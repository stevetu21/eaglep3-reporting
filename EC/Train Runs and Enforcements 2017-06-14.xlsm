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Enforcements!$A$6:$AC$76</definedName>
    <definedName name="_xlnm._FilterDatabase" localSheetId="2" hidden="1">'Missing Trips'!$A$2:$J$58</definedName>
    <definedName name="_xlnm._FilterDatabase" localSheetId="0" hidden="1">'Train Runs'!$A$12:$AG$275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Runs'!$A$12:$J$73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14" i="1" l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13" i="1"/>
  <c r="X8" i="3" l="1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7" i="3"/>
  <c r="AG13" i="1"/>
  <c r="W8" i="3"/>
  <c r="W12" i="3"/>
  <c r="W16" i="3"/>
  <c r="W20" i="3"/>
  <c r="W24" i="3"/>
  <c r="W28" i="3"/>
  <c r="W32" i="3"/>
  <c r="W36" i="3"/>
  <c r="W40" i="3"/>
  <c r="W44" i="3"/>
  <c r="W48" i="3"/>
  <c r="W52" i="3"/>
  <c r="W56" i="3"/>
  <c r="W9" i="3"/>
  <c r="W13" i="3"/>
  <c r="W17" i="3"/>
  <c r="W21" i="3"/>
  <c r="W25" i="3"/>
  <c r="W29" i="3"/>
  <c r="W33" i="3"/>
  <c r="W37" i="3"/>
  <c r="W41" i="3"/>
  <c r="W45" i="3"/>
  <c r="W49" i="3"/>
  <c r="W53" i="3"/>
  <c r="W10" i="3"/>
  <c r="W14" i="3"/>
  <c r="W18" i="3"/>
  <c r="W22" i="3"/>
  <c r="W26" i="3"/>
  <c r="W30" i="3"/>
  <c r="W34" i="3"/>
  <c r="W38" i="3"/>
  <c r="W42" i="3"/>
  <c r="W46" i="3"/>
  <c r="W50" i="3"/>
  <c r="W54" i="3"/>
  <c r="W11" i="3"/>
  <c r="W15" i="3"/>
  <c r="W19" i="3"/>
  <c r="W23" i="3"/>
  <c r="W27" i="3"/>
  <c r="W31" i="3"/>
  <c r="W35" i="3"/>
  <c r="W39" i="3"/>
  <c r="W43" i="3"/>
  <c r="W47" i="3"/>
  <c r="W51" i="3"/>
  <c r="W55" i="3"/>
  <c r="W7" i="3"/>
  <c r="AG14" i="1"/>
  <c r="AG18" i="1"/>
  <c r="AG22" i="1"/>
  <c r="AG26" i="1"/>
  <c r="AG30" i="1"/>
  <c r="AG34" i="1"/>
  <c r="AG38" i="1"/>
  <c r="AG42" i="1"/>
  <c r="AG46" i="1"/>
  <c r="AG50" i="1"/>
  <c r="AG54" i="1"/>
  <c r="AG58" i="1"/>
  <c r="AG62" i="1"/>
  <c r="AG66" i="1"/>
  <c r="AG70" i="1"/>
  <c r="AG74" i="1"/>
  <c r="AG78" i="1"/>
  <c r="AG82" i="1"/>
  <c r="AG86" i="1"/>
  <c r="AG90" i="1"/>
  <c r="AG94" i="1"/>
  <c r="AG98" i="1"/>
  <c r="AG102" i="1"/>
  <c r="AG106" i="1"/>
  <c r="AG110" i="1"/>
  <c r="AG114" i="1"/>
  <c r="AG118" i="1"/>
  <c r="AG122" i="1"/>
  <c r="AG126" i="1"/>
  <c r="AG130" i="1"/>
  <c r="AG134" i="1"/>
  <c r="AG138" i="1"/>
  <c r="AG142" i="1"/>
  <c r="AG146" i="1"/>
  <c r="AG150" i="1"/>
  <c r="AG154" i="1"/>
  <c r="AG158" i="1"/>
  <c r="AG162" i="1"/>
  <c r="AG166" i="1"/>
  <c r="AG170" i="1"/>
  <c r="AG174" i="1"/>
  <c r="AG178" i="1"/>
  <c r="AG182" i="1"/>
  <c r="AG186" i="1"/>
  <c r="AG190" i="1"/>
  <c r="AG194" i="1"/>
  <c r="AG198" i="1"/>
  <c r="AG202" i="1"/>
  <c r="AG206" i="1"/>
  <c r="AG210" i="1"/>
  <c r="AG214" i="1"/>
  <c r="AG218" i="1"/>
  <c r="AG222" i="1"/>
  <c r="AG226" i="1"/>
  <c r="AG230" i="1"/>
  <c r="AG15" i="1"/>
  <c r="AG19" i="1"/>
  <c r="AG23" i="1"/>
  <c r="AG27" i="1"/>
  <c r="AG31" i="1"/>
  <c r="AG35" i="1"/>
  <c r="AG39" i="1"/>
  <c r="AG43" i="1"/>
  <c r="AG47" i="1"/>
  <c r="AG51" i="1"/>
  <c r="AG55" i="1"/>
  <c r="AG59" i="1"/>
  <c r="AG63" i="1"/>
  <c r="AG67" i="1"/>
  <c r="AG71" i="1"/>
  <c r="AG75" i="1"/>
  <c r="AG79" i="1"/>
  <c r="AG83" i="1"/>
  <c r="AG87" i="1"/>
  <c r="AG91" i="1"/>
  <c r="AG95" i="1"/>
  <c r="AG99" i="1"/>
  <c r="AG103" i="1"/>
  <c r="AG107" i="1"/>
  <c r="AG111" i="1"/>
  <c r="AG115" i="1"/>
  <c r="AG119" i="1"/>
  <c r="AG123" i="1"/>
  <c r="AG127" i="1"/>
  <c r="AG131" i="1"/>
  <c r="AG135" i="1"/>
  <c r="AG139" i="1"/>
  <c r="AG143" i="1"/>
  <c r="AG147" i="1"/>
  <c r="AG151" i="1"/>
  <c r="AG155" i="1"/>
  <c r="AG159" i="1"/>
  <c r="AG163" i="1"/>
  <c r="AG167" i="1"/>
  <c r="AG171" i="1"/>
  <c r="AG175" i="1"/>
  <c r="AG179" i="1"/>
  <c r="AG183" i="1"/>
  <c r="AG187" i="1"/>
  <c r="AG191" i="1"/>
  <c r="AG195" i="1"/>
  <c r="AG199" i="1"/>
  <c r="AG203" i="1"/>
  <c r="AG207" i="1"/>
  <c r="AG211" i="1"/>
  <c r="AG215" i="1"/>
  <c r="AG219" i="1"/>
  <c r="AG223" i="1"/>
  <c r="AG227" i="1"/>
  <c r="AG231" i="1"/>
  <c r="AG16" i="1"/>
  <c r="AG20" i="1"/>
  <c r="AG24" i="1"/>
  <c r="AG28" i="1"/>
  <c r="AG32" i="1"/>
  <c r="AG36" i="1"/>
  <c r="AG40" i="1"/>
  <c r="AG44" i="1"/>
  <c r="AG48" i="1"/>
  <c r="AG52" i="1"/>
  <c r="AG56" i="1"/>
  <c r="AG60" i="1"/>
  <c r="AG64" i="1"/>
  <c r="AG68" i="1"/>
  <c r="AG72" i="1"/>
  <c r="AG76" i="1"/>
  <c r="AG80" i="1"/>
  <c r="AG17" i="1"/>
  <c r="AG33" i="1"/>
  <c r="AG49" i="1"/>
  <c r="AG65" i="1"/>
  <c r="AG81" i="1"/>
  <c r="AG89" i="1"/>
  <c r="AG97" i="1"/>
  <c r="AG105" i="1"/>
  <c r="AG113" i="1"/>
  <c r="AG121" i="1"/>
  <c r="AG129" i="1"/>
  <c r="AG137" i="1"/>
  <c r="AG145" i="1"/>
  <c r="AG153" i="1"/>
  <c r="AG161" i="1"/>
  <c r="AG169" i="1"/>
  <c r="AG177" i="1"/>
  <c r="AG185" i="1"/>
  <c r="AG193" i="1"/>
  <c r="AG201" i="1"/>
  <c r="AG209" i="1"/>
  <c r="AG217" i="1"/>
  <c r="AG225" i="1"/>
  <c r="AG233" i="1"/>
  <c r="AG21" i="1"/>
  <c r="AG37" i="1"/>
  <c r="AG53" i="1"/>
  <c r="AG69" i="1"/>
  <c r="AG84" i="1"/>
  <c r="AG92" i="1"/>
  <c r="AG100" i="1"/>
  <c r="AG108" i="1"/>
  <c r="AG116" i="1"/>
  <c r="AG124" i="1"/>
  <c r="AG132" i="1"/>
  <c r="AG140" i="1"/>
  <c r="AG148" i="1"/>
  <c r="AG156" i="1"/>
  <c r="AG164" i="1"/>
  <c r="AG172" i="1"/>
  <c r="AG180" i="1"/>
  <c r="AG188" i="1"/>
  <c r="AG196" i="1"/>
  <c r="AG204" i="1"/>
  <c r="AG212" i="1"/>
  <c r="AG220" i="1"/>
  <c r="AG228" i="1"/>
  <c r="AG25" i="1"/>
  <c r="AG41" i="1"/>
  <c r="AG57" i="1"/>
  <c r="AG73" i="1"/>
  <c r="AG85" i="1"/>
  <c r="AG93" i="1"/>
  <c r="AG101" i="1"/>
  <c r="AG109" i="1"/>
  <c r="AG117" i="1"/>
  <c r="AG125" i="1"/>
  <c r="AG133" i="1"/>
  <c r="AG141" i="1"/>
  <c r="AG149" i="1"/>
  <c r="AG157" i="1"/>
  <c r="AG165" i="1"/>
  <c r="AG173" i="1"/>
  <c r="AG181" i="1"/>
  <c r="AG189" i="1"/>
  <c r="AG197" i="1"/>
  <c r="AG205" i="1"/>
  <c r="AG213" i="1"/>
  <c r="AG221" i="1"/>
  <c r="AG229" i="1"/>
  <c r="AG29" i="1"/>
  <c r="AG45" i="1"/>
  <c r="AG61" i="1"/>
  <c r="AG77" i="1"/>
  <c r="AG88" i="1"/>
  <c r="AG96" i="1"/>
  <c r="AG104" i="1"/>
  <c r="AG112" i="1"/>
  <c r="AG120" i="1"/>
  <c r="AG128" i="1"/>
  <c r="AG136" i="1"/>
  <c r="AG144" i="1"/>
  <c r="AG152" i="1"/>
  <c r="AG160" i="1"/>
  <c r="AG168" i="1"/>
  <c r="AG176" i="1"/>
  <c r="AG184" i="1"/>
  <c r="AG192" i="1"/>
  <c r="AG200" i="1"/>
  <c r="AG208" i="1"/>
  <c r="AG216" i="1"/>
  <c r="AG224" i="1"/>
  <c r="AG232" i="1"/>
  <c r="AD14" i="1" l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T69" i="1" s="1"/>
  <c r="AD70" i="1"/>
  <c r="AD71" i="1"/>
  <c r="AD72" i="1"/>
  <c r="AD73" i="1"/>
  <c r="AD74" i="1"/>
  <c r="AD75" i="1"/>
  <c r="AD76" i="1"/>
  <c r="AD77" i="1"/>
  <c r="T77" i="1" s="1"/>
  <c r="AD78" i="1"/>
  <c r="AD79" i="1"/>
  <c r="T79" i="1" s="1"/>
  <c r="AD80" i="1"/>
  <c r="AD81" i="1"/>
  <c r="AD82" i="1"/>
  <c r="AD83" i="1"/>
  <c r="AD84" i="1"/>
  <c r="AD85" i="1"/>
  <c r="AD86" i="1"/>
  <c r="AD87" i="1"/>
  <c r="AD88" i="1"/>
  <c r="T88" i="1" s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T104" i="1" s="1"/>
  <c r="AD105" i="1"/>
  <c r="AD106" i="1"/>
  <c r="AD107" i="1"/>
  <c r="AD108" i="1"/>
  <c r="T108" i="1" s="1"/>
  <c r="AD109" i="1"/>
  <c r="AD110" i="1"/>
  <c r="AD111" i="1"/>
  <c r="AD112" i="1"/>
  <c r="T112" i="1" s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T124" i="1" s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T144" i="1" s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T156" i="1" s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T176" i="1" s="1"/>
  <c r="AD177" i="1"/>
  <c r="AD178" i="1"/>
  <c r="AD179" i="1"/>
  <c r="T179" i="1" s="1"/>
  <c r="AD180" i="1"/>
  <c r="T180" i="1" s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T225" i="1" s="1"/>
  <c r="AD226" i="1"/>
  <c r="AD227" i="1"/>
  <c r="AD228" i="1"/>
  <c r="AD229" i="1"/>
  <c r="AD230" i="1"/>
  <c r="AD231" i="1"/>
  <c r="AD232" i="1"/>
  <c r="T232" i="1" s="1"/>
  <c r="AD233" i="1"/>
  <c r="AD13" i="1"/>
  <c r="T63" i="1"/>
  <c r="M32" i="3"/>
  <c r="U32" i="3"/>
  <c r="K185" i="1"/>
  <c r="M185" i="1"/>
  <c r="P185" i="1" s="1"/>
  <c r="AA185" i="1"/>
  <c r="AB185" i="1"/>
  <c r="AC185" i="1"/>
  <c r="AE185" i="1"/>
  <c r="AM185" i="1"/>
  <c r="K184" i="1"/>
  <c r="M184" i="1"/>
  <c r="P184" i="1" s="1"/>
  <c r="AA184" i="1"/>
  <c r="AB184" i="1"/>
  <c r="AC184" i="1"/>
  <c r="AE184" i="1"/>
  <c r="AM184" i="1"/>
  <c r="K183" i="1"/>
  <c r="M183" i="1"/>
  <c r="N183" i="1"/>
  <c r="AA183" i="1"/>
  <c r="AB183" i="1"/>
  <c r="AC183" i="1"/>
  <c r="AE183" i="1"/>
  <c r="AM183" i="1"/>
  <c r="K14" i="1"/>
  <c r="M14" i="1"/>
  <c r="N14" i="1" s="1"/>
  <c r="Y14" i="1"/>
  <c r="Z14" i="1"/>
  <c r="AB14" i="1"/>
  <c r="AC14" i="1"/>
  <c r="T14" i="1"/>
  <c r="AE14" i="1"/>
  <c r="AM14" i="1"/>
  <c r="K15" i="1"/>
  <c r="M15" i="1"/>
  <c r="N15" i="1" s="1"/>
  <c r="Y15" i="1"/>
  <c r="Z15" i="1"/>
  <c r="AB15" i="1"/>
  <c r="AC15" i="1"/>
  <c r="AE15" i="1"/>
  <c r="AM15" i="1"/>
  <c r="K16" i="1"/>
  <c r="M16" i="1"/>
  <c r="N16" i="1" s="1"/>
  <c r="Y16" i="1"/>
  <c r="Z16" i="1"/>
  <c r="AB16" i="1"/>
  <c r="AC16" i="1"/>
  <c r="AE16" i="1"/>
  <c r="AM16" i="1"/>
  <c r="K17" i="1"/>
  <c r="M17" i="1"/>
  <c r="N17" i="1" s="1"/>
  <c r="Y17" i="1"/>
  <c r="Z17" i="1"/>
  <c r="AB17" i="1"/>
  <c r="AC17" i="1"/>
  <c r="AE17" i="1"/>
  <c r="AM17" i="1"/>
  <c r="K18" i="1"/>
  <c r="M18" i="1"/>
  <c r="N18" i="1" s="1"/>
  <c r="Y18" i="1"/>
  <c r="Z18" i="1"/>
  <c r="AB18" i="1"/>
  <c r="AC18" i="1"/>
  <c r="AE18" i="1"/>
  <c r="AM18" i="1"/>
  <c r="K19" i="1"/>
  <c r="M19" i="1"/>
  <c r="N19" i="1" s="1"/>
  <c r="Y19" i="1"/>
  <c r="Z19" i="1"/>
  <c r="AB19" i="1"/>
  <c r="AC19" i="1"/>
  <c r="AE19" i="1"/>
  <c r="AM19" i="1"/>
  <c r="K20" i="1"/>
  <c r="M20" i="1"/>
  <c r="N20" i="1" s="1"/>
  <c r="Y20" i="1"/>
  <c r="Z20" i="1"/>
  <c r="AB20" i="1"/>
  <c r="AC20" i="1"/>
  <c r="AE20" i="1"/>
  <c r="AM20" i="1"/>
  <c r="K21" i="1"/>
  <c r="M21" i="1"/>
  <c r="N21" i="1" s="1"/>
  <c r="Y21" i="1"/>
  <c r="Z21" i="1"/>
  <c r="AB21" i="1"/>
  <c r="AC21" i="1"/>
  <c r="AE21" i="1"/>
  <c r="AM21" i="1"/>
  <c r="K22" i="1"/>
  <c r="M22" i="1"/>
  <c r="N22" i="1" s="1"/>
  <c r="Y22" i="1"/>
  <c r="Z22" i="1"/>
  <c r="AB22" i="1"/>
  <c r="AC22" i="1"/>
  <c r="AE22" i="1"/>
  <c r="AM22" i="1"/>
  <c r="K23" i="1"/>
  <c r="M23" i="1"/>
  <c r="N23" i="1" s="1"/>
  <c r="Y23" i="1"/>
  <c r="Z23" i="1"/>
  <c r="AB23" i="1"/>
  <c r="AC23" i="1"/>
  <c r="AE23" i="1"/>
  <c r="AM23" i="1"/>
  <c r="K24" i="1"/>
  <c r="M24" i="1"/>
  <c r="N24" i="1" s="1"/>
  <c r="Y24" i="1"/>
  <c r="Z24" i="1"/>
  <c r="AB24" i="1"/>
  <c r="AC24" i="1"/>
  <c r="AE24" i="1"/>
  <c r="AM24" i="1"/>
  <c r="K25" i="1"/>
  <c r="M25" i="1"/>
  <c r="N25" i="1" s="1"/>
  <c r="Y25" i="1"/>
  <c r="Z25" i="1"/>
  <c r="AB25" i="1"/>
  <c r="AC25" i="1"/>
  <c r="AE25" i="1"/>
  <c r="AM25" i="1"/>
  <c r="K26" i="1"/>
  <c r="M26" i="1"/>
  <c r="N26" i="1" s="1"/>
  <c r="Y26" i="1"/>
  <c r="Z26" i="1"/>
  <c r="AB26" i="1"/>
  <c r="AC26" i="1"/>
  <c r="AE26" i="1"/>
  <c r="R17" i="3" s="1"/>
  <c r="AM26" i="1"/>
  <c r="K27" i="1"/>
  <c r="M27" i="1"/>
  <c r="N27" i="1" s="1"/>
  <c r="Y27" i="1"/>
  <c r="Z27" i="1"/>
  <c r="AB27" i="1"/>
  <c r="AC27" i="1"/>
  <c r="AE27" i="1"/>
  <c r="AM27" i="1"/>
  <c r="K28" i="1"/>
  <c r="M28" i="1"/>
  <c r="N28" i="1" s="1"/>
  <c r="Y28" i="1"/>
  <c r="Z28" i="1"/>
  <c r="AB28" i="1"/>
  <c r="AC28" i="1"/>
  <c r="AE28" i="1"/>
  <c r="AM28" i="1"/>
  <c r="K29" i="1"/>
  <c r="M29" i="1"/>
  <c r="N29" i="1" s="1"/>
  <c r="Y29" i="1"/>
  <c r="Z29" i="1"/>
  <c r="AB29" i="1"/>
  <c r="AC29" i="1"/>
  <c r="AE29" i="1"/>
  <c r="AM29" i="1"/>
  <c r="K30" i="1"/>
  <c r="M30" i="1"/>
  <c r="N30" i="1" s="1"/>
  <c r="Y30" i="1"/>
  <c r="Z30" i="1"/>
  <c r="AB30" i="1"/>
  <c r="AC30" i="1"/>
  <c r="AE30" i="1"/>
  <c r="AM30" i="1"/>
  <c r="K31" i="1"/>
  <c r="M31" i="1"/>
  <c r="N31" i="1" s="1"/>
  <c r="Y31" i="1"/>
  <c r="Z31" i="1"/>
  <c r="AB31" i="1"/>
  <c r="AC31" i="1"/>
  <c r="AE31" i="1"/>
  <c r="AM31" i="1"/>
  <c r="K32" i="1"/>
  <c r="M32" i="1"/>
  <c r="N32" i="1" s="1"/>
  <c r="Y32" i="1"/>
  <c r="Z32" i="1"/>
  <c r="AB32" i="1"/>
  <c r="AC32" i="1"/>
  <c r="AE32" i="1"/>
  <c r="AM32" i="1"/>
  <c r="K33" i="1"/>
  <c r="M33" i="1"/>
  <c r="N33" i="1" s="1"/>
  <c r="Y33" i="1"/>
  <c r="Z33" i="1"/>
  <c r="AB33" i="1"/>
  <c r="AC33" i="1"/>
  <c r="AE33" i="1"/>
  <c r="AM33" i="1"/>
  <c r="K34" i="1"/>
  <c r="M34" i="1"/>
  <c r="N34" i="1" s="1"/>
  <c r="Y34" i="1"/>
  <c r="Z34" i="1"/>
  <c r="AB34" i="1"/>
  <c r="AC34" i="1"/>
  <c r="AE34" i="1"/>
  <c r="AM34" i="1"/>
  <c r="K35" i="1"/>
  <c r="M35" i="1"/>
  <c r="N35" i="1" s="1"/>
  <c r="Y35" i="1"/>
  <c r="Z35" i="1"/>
  <c r="AB35" i="1"/>
  <c r="AC35" i="1"/>
  <c r="AE35" i="1"/>
  <c r="R22" i="3" s="1"/>
  <c r="AM35" i="1"/>
  <c r="K36" i="1"/>
  <c r="M36" i="1"/>
  <c r="N36" i="1" s="1"/>
  <c r="Y36" i="1"/>
  <c r="Z36" i="1"/>
  <c r="AB36" i="1"/>
  <c r="AC36" i="1"/>
  <c r="AE36" i="1"/>
  <c r="AM36" i="1"/>
  <c r="K37" i="1"/>
  <c r="M37" i="1"/>
  <c r="N37" i="1" s="1"/>
  <c r="Y37" i="1"/>
  <c r="Z37" i="1"/>
  <c r="AB37" i="1"/>
  <c r="AC37" i="1"/>
  <c r="AE37" i="1"/>
  <c r="AM37" i="1"/>
  <c r="K38" i="1"/>
  <c r="M38" i="1"/>
  <c r="N38" i="1" s="1"/>
  <c r="Y38" i="1"/>
  <c r="Z38" i="1"/>
  <c r="AB38" i="1"/>
  <c r="AC38" i="1"/>
  <c r="AE38" i="1"/>
  <c r="AM38" i="1"/>
  <c r="K39" i="1"/>
  <c r="M39" i="1"/>
  <c r="N39" i="1" s="1"/>
  <c r="Y39" i="1"/>
  <c r="Z39" i="1"/>
  <c r="AB39" i="1"/>
  <c r="AC39" i="1"/>
  <c r="AE39" i="1"/>
  <c r="AM39" i="1"/>
  <c r="K40" i="1"/>
  <c r="M40" i="1"/>
  <c r="N40" i="1" s="1"/>
  <c r="Y40" i="1"/>
  <c r="Z40" i="1"/>
  <c r="AB40" i="1"/>
  <c r="AC40" i="1"/>
  <c r="AE40" i="1"/>
  <c r="AM40" i="1"/>
  <c r="K41" i="1"/>
  <c r="M41" i="1"/>
  <c r="N41" i="1" s="1"/>
  <c r="Y41" i="1"/>
  <c r="Z41" i="1"/>
  <c r="AB41" i="1"/>
  <c r="AC41" i="1"/>
  <c r="AE41" i="1"/>
  <c r="AM41" i="1"/>
  <c r="K42" i="1"/>
  <c r="M42" i="1"/>
  <c r="N42" i="1" s="1"/>
  <c r="Y42" i="1"/>
  <c r="Z42" i="1"/>
  <c r="AB42" i="1"/>
  <c r="AC42" i="1"/>
  <c r="AE42" i="1"/>
  <c r="AM42" i="1"/>
  <c r="K43" i="1"/>
  <c r="M43" i="1"/>
  <c r="N43" i="1" s="1"/>
  <c r="Y43" i="1"/>
  <c r="Z43" i="1"/>
  <c r="AB43" i="1"/>
  <c r="AC43" i="1"/>
  <c r="AE43" i="1"/>
  <c r="AM43" i="1"/>
  <c r="K44" i="1"/>
  <c r="M44" i="1"/>
  <c r="N44" i="1" s="1"/>
  <c r="Y44" i="1"/>
  <c r="Z44" i="1"/>
  <c r="AB44" i="1"/>
  <c r="AC44" i="1"/>
  <c r="AE44" i="1"/>
  <c r="AM44" i="1"/>
  <c r="K45" i="1"/>
  <c r="M45" i="1"/>
  <c r="N45" i="1" s="1"/>
  <c r="Y45" i="1"/>
  <c r="Z45" i="1"/>
  <c r="AB45" i="1"/>
  <c r="AC45" i="1"/>
  <c r="AE45" i="1"/>
  <c r="AM45" i="1"/>
  <c r="K46" i="1"/>
  <c r="M46" i="1"/>
  <c r="N46" i="1" s="1"/>
  <c r="Y46" i="1"/>
  <c r="Z46" i="1"/>
  <c r="AB46" i="1"/>
  <c r="AC46" i="1"/>
  <c r="AE46" i="1"/>
  <c r="AM46" i="1"/>
  <c r="K47" i="1"/>
  <c r="M47" i="1"/>
  <c r="N47" i="1" s="1"/>
  <c r="Y47" i="1"/>
  <c r="Z47" i="1"/>
  <c r="AB47" i="1"/>
  <c r="AC47" i="1"/>
  <c r="AE47" i="1"/>
  <c r="AM47" i="1"/>
  <c r="K48" i="1"/>
  <c r="M48" i="1"/>
  <c r="N48" i="1" s="1"/>
  <c r="Y48" i="1"/>
  <c r="Z48" i="1"/>
  <c r="AB48" i="1"/>
  <c r="AC48" i="1"/>
  <c r="AE48" i="1"/>
  <c r="AM48" i="1"/>
  <c r="K49" i="1"/>
  <c r="M49" i="1"/>
  <c r="N49" i="1" s="1"/>
  <c r="Y49" i="1"/>
  <c r="Z49" i="1"/>
  <c r="AB49" i="1"/>
  <c r="AC49" i="1"/>
  <c r="AE49" i="1"/>
  <c r="R12" i="3" s="1"/>
  <c r="AM49" i="1"/>
  <c r="K50" i="1"/>
  <c r="M50" i="1"/>
  <c r="N50" i="1" s="1"/>
  <c r="Y50" i="1"/>
  <c r="Z50" i="1"/>
  <c r="AB50" i="1"/>
  <c r="AC50" i="1"/>
  <c r="AE50" i="1"/>
  <c r="R23" i="3" s="1"/>
  <c r="AM50" i="1"/>
  <c r="K51" i="1"/>
  <c r="M51" i="1"/>
  <c r="N51" i="1" s="1"/>
  <c r="Y51" i="1"/>
  <c r="Z51" i="1"/>
  <c r="AB51" i="1"/>
  <c r="AC51" i="1"/>
  <c r="AE51" i="1"/>
  <c r="AM51" i="1"/>
  <c r="K52" i="1"/>
  <c r="M52" i="1"/>
  <c r="N52" i="1" s="1"/>
  <c r="Y52" i="1"/>
  <c r="Z52" i="1"/>
  <c r="AB52" i="1"/>
  <c r="AC52" i="1"/>
  <c r="AE52" i="1"/>
  <c r="R18" i="3" s="1"/>
  <c r="AM52" i="1"/>
  <c r="K53" i="1"/>
  <c r="M53" i="1"/>
  <c r="N53" i="1" s="1"/>
  <c r="Y53" i="1"/>
  <c r="Z53" i="1"/>
  <c r="AB53" i="1"/>
  <c r="AC53" i="1"/>
  <c r="AE53" i="1"/>
  <c r="AM53" i="1"/>
  <c r="K54" i="1"/>
  <c r="M54" i="1"/>
  <c r="N54" i="1" s="1"/>
  <c r="Y54" i="1"/>
  <c r="Z54" i="1"/>
  <c r="AB54" i="1"/>
  <c r="AC54" i="1"/>
  <c r="AE54" i="1"/>
  <c r="AM54" i="1"/>
  <c r="K55" i="1"/>
  <c r="M55" i="1"/>
  <c r="N55" i="1" s="1"/>
  <c r="Y55" i="1"/>
  <c r="Z55" i="1"/>
  <c r="AB55" i="1"/>
  <c r="AC55" i="1"/>
  <c r="AE55" i="1"/>
  <c r="AM55" i="1"/>
  <c r="K56" i="1"/>
  <c r="M56" i="1"/>
  <c r="N56" i="1" s="1"/>
  <c r="Y56" i="1"/>
  <c r="Z56" i="1"/>
  <c r="AB56" i="1"/>
  <c r="AC56" i="1"/>
  <c r="AE56" i="1"/>
  <c r="AM56" i="1"/>
  <c r="K57" i="1"/>
  <c r="M57" i="1"/>
  <c r="N57" i="1" s="1"/>
  <c r="Y57" i="1"/>
  <c r="Z57" i="1"/>
  <c r="AB57" i="1"/>
  <c r="AC57" i="1"/>
  <c r="AE57" i="1"/>
  <c r="AM57" i="1"/>
  <c r="K58" i="1"/>
  <c r="M58" i="1"/>
  <c r="N58" i="1" s="1"/>
  <c r="Y58" i="1"/>
  <c r="Z58" i="1"/>
  <c r="AB58" i="1"/>
  <c r="AC58" i="1"/>
  <c r="T58" i="1"/>
  <c r="AE58" i="1"/>
  <c r="AM58" i="1"/>
  <c r="K59" i="1"/>
  <c r="M59" i="1"/>
  <c r="N59" i="1" s="1"/>
  <c r="Y59" i="1"/>
  <c r="Z59" i="1"/>
  <c r="AB59" i="1"/>
  <c r="AC59" i="1"/>
  <c r="AE59" i="1"/>
  <c r="AM59" i="1"/>
  <c r="K60" i="1"/>
  <c r="M60" i="1"/>
  <c r="N60" i="1" s="1"/>
  <c r="Y60" i="1"/>
  <c r="Z60" i="1"/>
  <c r="AB60" i="1"/>
  <c r="AC60" i="1"/>
  <c r="AE60" i="1"/>
  <c r="AM60" i="1"/>
  <c r="K61" i="1"/>
  <c r="M61" i="1"/>
  <c r="N61" i="1" s="1"/>
  <c r="Y61" i="1"/>
  <c r="Z61" i="1"/>
  <c r="AB61" i="1"/>
  <c r="AC61" i="1"/>
  <c r="AE61" i="1"/>
  <c r="AM61" i="1"/>
  <c r="K62" i="1"/>
  <c r="M62" i="1"/>
  <c r="N62" i="1" s="1"/>
  <c r="Y62" i="1"/>
  <c r="Z62" i="1"/>
  <c r="AB62" i="1"/>
  <c r="AC62" i="1"/>
  <c r="AE62" i="1"/>
  <c r="AM62" i="1"/>
  <c r="K63" i="1"/>
  <c r="M63" i="1"/>
  <c r="N63" i="1" s="1"/>
  <c r="Y63" i="1"/>
  <c r="Z63" i="1"/>
  <c r="AB63" i="1"/>
  <c r="AC63" i="1"/>
  <c r="AE63" i="1"/>
  <c r="R25" i="3" s="1"/>
  <c r="AM63" i="1"/>
  <c r="K64" i="1"/>
  <c r="M64" i="1"/>
  <c r="Y64" i="1"/>
  <c r="Z64" i="1"/>
  <c r="AB64" i="1"/>
  <c r="AC64" i="1"/>
  <c r="AE64" i="1"/>
  <c r="AM64" i="1"/>
  <c r="K65" i="1"/>
  <c r="M65" i="1"/>
  <c r="Y65" i="1"/>
  <c r="Z65" i="1"/>
  <c r="AB65" i="1"/>
  <c r="AC65" i="1"/>
  <c r="AE65" i="1"/>
  <c r="AM65" i="1"/>
  <c r="K66" i="1"/>
  <c r="M66" i="1"/>
  <c r="N66" i="1" s="1"/>
  <c r="Y66" i="1"/>
  <c r="Z66" i="1"/>
  <c r="AB66" i="1"/>
  <c r="AC66" i="1"/>
  <c r="AE66" i="1"/>
  <c r="AM66" i="1"/>
  <c r="K67" i="1"/>
  <c r="M67" i="1"/>
  <c r="N67" i="1" s="1"/>
  <c r="Y67" i="1"/>
  <c r="Z67" i="1"/>
  <c r="AB67" i="1"/>
  <c r="AC67" i="1"/>
  <c r="AE67" i="1"/>
  <c r="R29" i="3" s="1"/>
  <c r="AM67" i="1"/>
  <c r="K68" i="1"/>
  <c r="M68" i="1"/>
  <c r="N68" i="1" s="1"/>
  <c r="Y68" i="1"/>
  <c r="Z68" i="1"/>
  <c r="AB68" i="1"/>
  <c r="AC68" i="1"/>
  <c r="AE68" i="1"/>
  <c r="AM68" i="1"/>
  <c r="K69" i="1"/>
  <c r="M69" i="1"/>
  <c r="N69" i="1" s="1"/>
  <c r="Y69" i="1"/>
  <c r="Z69" i="1"/>
  <c r="AB69" i="1"/>
  <c r="AC69" i="1"/>
  <c r="AE69" i="1"/>
  <c r="AM69" i="1"/>
  <c r="K70" i="1"/>
  <c r="M70" i="1"/>
  <c r="N70" i="1" s="1"/>
  <c r="Y70" i="1"/>
  <c r="Z70" i="1"/>
  <c r="AB70" i="1"/>
  <c r="AC70" i="1"/>
  <c r="AE70" i="1"/>
  <c r="AM70" i="1"/>
  <c r="K71" i="1"/>
  <c r="M71" i="1"/>
  <c r="N71" i="1" s="1"/>
  <c r="Y71" i="1"/>
  <c r="Z71" i="1"/>
  <c r="AB71" i="1"/>
  <c r="AC71" i="1"/>
  <c r="AE71" i="1"/>
  <c r="R13" i="3" s="1"/>
  <c r="AM71" i="1"/>
  <c r="K72" i="1"/>
  <c r="M72" i="1"/>
  <c r="N72" i="1" s="1"/>
  <c r="Y72" i="1"/>
  <c r="Z72" i="1"/>
  <c r="AB72" i="1"/>
  <c r="AC72" i="1"/>
  <c r="AE72" i="1"/>
  <c r="AM72" i="1"/>
  <c r="K73" i="1"/>
  <c r="M73" i="1"/>
  <c r="N73" i="1" s="1"/>
  <c r="Y73" i="1"/>
  <c r="Z73" i="1"/>
  <c r="AB73" i="1"/>
  <c r="AC73" i="1"/>
  <c r="AE73" i="1"/>
  <c r="AM73" i="1"/>
  <c r="K74" i="1"/>
  <c r="M74" i="1"/>
  <c r="N74" i="1" s="1"/>
  <c r="Y74" i="1"/>
  <c r="Z74" i="1"/>
  <c r="AB74" i="1"/>
  <c r="AC74" i="1"/>
  <c r="AE74" i="1"/>
  <c r="AM74" i="1"/>
  <c r="K75" i="1"/>
  <c r="M75" i="1"/>
  <c r="N75" i="1" s="1"/>
  <c r="Y75" i="1"/>
  <c r="Z75" i="1"/>
  <c r="AB75" i="1"/>
  <c r="AC75" i="1"/>
  <c r="AE75" i="1"/>
  <c r="AM75" i="1"/>
  <c r="K76" i="1"/>
  <c r="M76" i="1"/>
  <c r="N76" i="1" s="1"/>
  <c r="Y76" i="1"/>
  <c r="Z76" i="1"/>
  <c r="AB76" i="1"/>
  <c r="AC76" i="1"/>
  <c r="AE76" i="1"/>
  <c r="AM76" i="1"/>
  <c r="K77" i="1"/>
  <c r="M77" i="1"/>
  <c r="N77" i="1" s="1"/>
  <c r="Y77" i="1"/>
  <c r="Z77" i="1"/>
  <c r="AB77" i="1"/>
  <c r="AC77" i="1"/>
  <c r="AE77" i="1"/>
  <c r="AM77" i="1"/>
  <c r="K78" i="1"/>
  <c r="M78" i="1"/>
  <c r="N78" i="1" s="1"/>
  <c r="Y78" i="1"/>
  <c r="Z78" i="1"/>
  <c r="AB78" i="1"/>
  <c r="AC78" i="1"/>
  <c r="AE78" i="1"/>
  <c r="AM78" i="1"/>
  <c r="K79" i="1"/>
  <c r="M79" i="1"/>
  <c r="N79" i="1" s="1"/>
  <c r="Y79" i="1"/>
  <c r="Z79" i="1"/>
  <c r="AB79" i="1"/>
  <c r="AC79" i="1"/>
  <c r="AE79" i="1"/>
  <c r="AM79" i="1"/>
  <c r="K80" i="1"/>
  <c r="M80" i="1"/>
  <c r="N80" i="1" s="1"/>
  <c r="Y80" i="1"/>
  <c r="Z80" i="1"/>
  <c r="AB80" i="1"/>
  <c r="AC80" i="1"/>
  <c r="AE80" i="1"/>
  <c r="AM80" i="1"/>
  <c r="K81" i="1"/>
  <c r="M81" i="1"/>
  <c r="N81" i="1" s="1"/>
  <c r="Y81" i="1"/>
  <c r="Z81" i="1"/>
  <c r="AB81" i="1"/>
  <c r="AC81" i="1"/>
  <c r="AE81" i="1"/>
  <c r="R10" i="3" s="1"/>
  <c r="AM81" i="1"/>
  <c r="K82" i="1"/>
  <c r="M82" i="1"/>
  <c r="N82" i="1" s="1"/>
  <c r="Y82" i="1"/>
  <c r="Z82" i="1"/>
  <c r="AB82" i="1"/>
  <c r="AC82" i="1"/>
  <c r="AE82" i="1"/>
  <c r="AM82" i="1"/>
  <c r="K83" i="1"/>
  <c r="M83" i="1"/>
  <c r="N83" i="1" s="1"/>
  <c r="Y83" i="1"/>
  <c r="Z83" i="1"/>
  <c r="AB83" i="1"/>
  <c r="AC83" i="1"/>
  <c r="AE83" i="1"/>
  <c r="AM83" i="1"/>
  <c r="K84" i="1"/>
  <c r="M84" i="1"/>
  <c r="N84" i="1" s="1"/>
  <c r="Y84" i="1"/>
  <c r="Z84" i="1"/>
  <c r="AB84" i="1"/>
  <c r="AC84" i="1"/>
  <c r="AE84" i="1"/>
  <c r="AM84" i="1"/>
  <c r="K85" i="1"/>
  <c r="M85" i="1"/>
  <c r="N85" i="1" s="1"/>
  <c r="Y85" i="1"/>
  <c r="Z85" i="1"/>
  <c r="AB85" i="1"/>
  <c r="AC85" i="1"/>
  <c r="AE85" i="1"/>
  <c r="AM85" i="1"/>
  <c r="K86" i="1"/>
  <c r="M86" i="1"/>
  <c r="N86" i="1" s="1"/>
  <c r="Y86" i="1"/>
  <c r="Z86" i="1"/>
  <c r="AB86" i="1"/>
  <c r="AC86" i="1"/>
  <c r="AE86" i="1"/>
  <c r="AM86" i="1"/>
  <c r="K87" i="1"/>
  <c r="M87" i="1"/>
  <c r="N87" i="1" s="1"/>
  <c r="Y87" i="1"/>
  <c r="Z87" i="1"/>
  <c r="AB87" i="1"/>
  <c r="AC87" i="1"/>
  <c r="AE87" i="1"/>
  <c r="AM87" i="1"/>
  <c r="K88" i="1"/>
  <c r="M88" i="1"/>
  <c r="N88" i="1" s="1"/>
  <c r="Y88" i="1"/>
  <c r="Z88" i="1"/>
  <c r="AB88" i="1"/>
  <c r="AC88" i="1"/>
  <c r="AE88" i="1"/>
  <c r="AM88" i="1"/>
  <c r="K89" i="1"/>
  <c r="M89" i="1"/>
  <c r="N89" i="1" s="1"/>
  <c r="Y89" i="1"/>
  <c r="Z89" i="1"/>
  <c r="AB89" i="1"/>
  <c r="AC89" i="1"/>
  <c r="AE89" i="1"/>
  <c r="AM89" i="1"/>
  <c r="K90" i="1"/>
  <c r="M90" i="1"/>
  <c r="N90" i="1" s="1"/>
  <c r="Y90" i="1"/>
  <c r="Z90" i="1"/>
  <c r="AB90" i="1"/>
  <c r="AC90" i="1"/>
  <c r="AE90" i="1"/>
  <c r="AM90" i="1"/>
  <c r="K91" i="1"/>
  <c r="M91" i="1"/>
  <c r="N91" i="1" s="1"/>
  <c r="Y91" i="1"/>
  <c r="Z91" i="1"/>
  <c r="AB91" i="1"/>
  <c r="AC91" i="1"/>
  <c r="AE91" i="1"/>
  <c r="AM91" i="1"/>
  <c r="K92" i="1"/>
  <c r="M92" i="1"/>
  <c r="N92" i="1" s="1"/>
  <c r="Y92" i="1"/>
  <c r="Z92" i="1"/>
  <c r="AB92" i="1"/>
  <c r="AC92" i="1"/>
  <c r="AE92" i="1"/>
  <c r="AM92" i="1"/>
  <c r="K93" i="1"/>
  <c r="M93" i="1"/>
  <c r="N93" i="1" s="1"/>
  <c r="Y93" i="1"/>
  <c r="Z93" i="1"/>
  <c r="AB93" i="1"/>
  <c r="AC93" i="1"/>
  <c r="AE93" i="1"/>
  <c r="AM93" i="1"/>
  <c r="K94" i="1"/>
  <c r="M94" i="1"/>
  <c r="N94" i="1" s="1"/>
  <c r="Y94" i="1"/>
  <c r="Z94" i="1"/>
  <c r="AB94" i="1"/>
  <c r="AC94" i="1"/>
  <c r="AE94" i="1"/>
  <c r="AM94" i="1"/>
  <c r="K95" i="1"/>
  <c r="M95" i="1"/>
  <c r="N95" i="1" s="1"/>
  <c r="Y95" i="1"/>
  <c r="Z95" i="1"/>
  <c r="AB95" i="1"/>
  <c r="AC95" i="1"/>
  <c r="AE95" i="1"/>
  <c r="R11" i="3" s="1"/>
  <c r="AM95" i="1"/>
  <c r="K96" i="1"/>
  <c r="M96" i="1"/>
  <c r="N96" i="1" s="1"/>
  <c r="Y96" i="1"/>
  <c r="Z96" i="1"/>
  <c r="AB96" i="1"/>
  <c r="AC96" i="1"/>
  <c r="AE96" i="1"/>
  <c r="AM96" i="1"/>
  <c r="K97" i="1"/>
  <c r="M97" i="1"/>
  <c r="N97" i="1" s="1"/>
  <c r="Y97" i="1"/>
  <c r="Z97" i="1"/>
  <c r="AB97" i="1"/>
  <c r="AC97" i="1"/>
  <c r="AE97" i="1"/>
  <c r="AM97" i="1"/>
  <c r="K98" i="1"/>
  <c r="M98" i="1"/>
  <c r="N98" i="1" s="1"/>
  <c r="Y98" i="1"/>
  <c r="Z98" i="1"/>
  <c r="AB98" i="1"/>
  <c r="AC98" i="1"/>
  <c r="AE98" i="1"/>
  <c r="AM98" i="1"/>
  <c r="K99" i="1"/>
  <c r="M99" i="1"/>
  <c r="N99" i="1" s="1"/>
  <c r="Y99" i="1"/>
  <c r="Z99" i="1"/>
  <c r="AB99" i="1"/>
  <c r="AC99" i="1"/>
  <c r="AE99" i="1"/>
  <c r="R19" i="3" s="1"/>
  <c r="AM99" i="1"/>
  <c r="K100" i="1"/>
  <c r="M100" i="1"/>
  <c r="N100" i="1" s="1"/>
  <c r="Y100" i="1"/>
  <c r="Z100" i="1"/>
  <c r="AB100" i="1"/>
  <c r="AC100" i="1"/>
  <c r="AE100" i="1"/>
  <c r="AM100" i="1"/>
  <c r="K101" i="1"/>
  <c r="M101" i="1"/>
  <c r="N101" i="1" s="1"/>
  <c r="Y101" i="1"/>
  <c r="Z101" i="1"/>
  <c r="AB101" i="1"/>
  <c r="AC101" i="1"/>
  <c r="AE101" i="1"/>
  <c r="AM101" i="1"/>
  <c r="K102" i="1"/>
  <c r="M102" i="1"/>
  <c r="N102" i="1" s="1"/>
  <c r="Y102" i="1"/>
  <c r="Z102" i="1"/>
  <c r="AB102" i="1"/>
  <c r="AC102" i="1"/>
  <c r="T102" i="1"/>
  <c r="AE102" i="1"/>
  <c r="AM102" i="1"/>
  <c r="K103" i="1"/>
  <c r="M103" i="1"/>
  <c r="N103" i="1" s="1"/>
  <c r="Y103" i="1"/>
  <c r="Z103" i="1"/>
  <c r="AB103" i="1"/>
  <c r="AC103" i="1"/>
  <c r="AE103" i="1"/>
  <c r="AM103" i="1"/>
  <c r="K104" i="1"/>
  <c r="M104" i="1"/>
  <c r="N104" i="1" s="1"/>
  <c r="Y104" i="1"/>
  <c r="Z104" i="1"/>
  <c r="AB104" i="1"/>
  <c r="AC104" i="1"/>
  <c r="AE104" i="1"/>
  <c r="AM104" i="1"/>
  <c r="K105" i="1"/>
  <c r="M105" i="1"/>
  <c r="N105" i="1" s="1"/>
  <c r="Y105" i="1"/>
  <c r="Z105" i="1"/>
  <c r="AB105" i="1"/>
  <c r="AC105" i="1"/>
  <c r="AE105" i="1"/>
  <c r="AM105" i="1"/>
  <c r="K106" i="1"/>
  <c r="M106" i="1"/>
  <c r="N106" i="1" s="1"/>
  <c r="Y106" i="1"/>
  <c r="Z106" i="1"/>
  <c r="AB106" i="1"/>
  <c r="AC106" i="1"/>
  <c r="AE106" i="1"/>
  <c r="AM106" i="1"/>
  <c r="K107" i="1"/>
  <c r="M107" i="1"/>
  <c r="N107" i="1" s="1"/>
  <c r="Y107" i="1"/>
  <c r="Z107" i="1"/>
  <c r="AB107" i="1"/>
  <c r="AC107" i="1"/>
  <c r="AE107" i="1"/>
  <c r="AM107" i="1"/>
  <c r="K108" i="1"/>
  <c r="M108" i="1"/>
  <c r="N108" i="1" s="1"/>
  <c r="Y108" i="1"/>
  <c r="Z108" i="1"/>
  <c r="AB108" i="1"/>
  <c r="AC108" i="1"/>
  <c r="AE108" i="1"/>
  <c r="R36" i="3" s="1"/>
  <c r="AM108" i="1"/>
  <c r="K109" i="1"/>
  <c r="M109" i="1"/>
  <c r="N109" i="1" s="1"/>
  <c r="Y109" i="1"/>
  <c r="Z109" i="1"/>
  <c r="AB109" i="1"/>
  <c r="AC109" i="1"/>
  <c r="AE109" i="1"/>
  <c r="R7" i="3" s="1"/>
  <c r="AM109" i="1"/>
  <c r="K110" i="1"/>
  <c r="M110" i="1"/>
  <c r="N110" i="1" s="1"/>
  <c r="Y110" i="1"/>
  <c r="Z110" i="1"/>
  <c r="AB110" i="1"/>
  <c r="AC110" i="1"/>
  <c r="T110" i="1"/>
  <c r="AE110" i="1"/>
  <c r="AM110" i="1"/>
  <c r="K111" i="1"/>
  <c r="M111" i="1"/>
  <c r="N111" i="1" s="1"/>
  <c r="Y111" i="1"/>
  <c r="Z111" i="1"/>
  <c r="AB111" i="1"/>
  <c r="AC111" i="1"/>
  <c r="AE111" i="1"/>
  <c r="R16" i="3" s="1"/>
  <c r="AM111" i="1"/>
  <c r="K112" i="1"/>
  <c r="M112" i="1"/>
  <c r="N112" i="1" s="1"/>
  <c r="Y112" i="1"/>
  <c r="Z112" i="1"/>
  <c r="AB112" i="1"/>
  <c r="AC112" i="1"/>
  <c r="AE112" i="1"/>
  <c r="AM112" i="1"/>
  <c r="K113" i="1"/>
  <c r="M113" i="1"/>
  <c r="N113" i="1" s="1"/>
  <c r="Y113" i="1"/>
  <c r="Z113" i="1"/>
  <c r="AB113" i="1"/>
  <c r="AC113" i="1"/>
  <c r="AE113" i="1"/>
  <c r="AM113" i="1"/>
  <c r="K114" i="1"/>
  <c r="M114" i="1"/>
  <c r="N114" i="1" s="1"/>
  <c r="Y114" i="1"/>
  <c r="Z114" i="1"/>
  <c r="AB114" i="1"/>
  <c r="AC114" i="1"/>
  <c r="AE114" i="1"/>
  <c r="AM114" i="1"/>
  <c r="K115" i="1"/>
  <c r="M115" i="1"/>
  <c r="N115" i="1" s="1"/>
  <c r="Y115" i="1"/>
  <c r="Z115" i="1"/>
  <c r="AB115" i="1"/>
  <c r="AC115" i="1"/>
  <c r="AE115" i="1"/>
  <c r="AM115" i="1"/>
  <c r="K116" i="1"/>
  <c r="M116" i="1"/>
  <c r="N116" i="1" s="1"/>
  <c r="Y116" i="1"/>
  <c r="Z116" i="1"/>
  <c r="AB116" i="1"/>
  <c r="AC116" i="1"/>
  <c r="AE116" i="1"/>
  <c r="AM116" i="1"/>
  <c r="K117" i="1"/>
  <c r="M117" i="1"/>
  <c r="N117" i="1" s="1"/>
  <c r="Y117" i="1"/>
  <c r="Z117" i="1"/>
  <c r="AB117" i="1"/>
  <c r="AC117" i="1"/>
  <c r="AE117" i="1"/>
  <c r="AM117" i="1"/>
  <c r="K118" i="1"/>
  <c r="M118" i="1"/>
  <c r="N118" i="1" s="1"/>
  <c r="Y118" i="1"/>
  <c r="Z118" i="1"/>
  <c r="AB118" i="1"/>
  <c r="AC118" i="1"/>
  <c r="AE118" i="1"/>
  <c r="AM118" i="1"/>
  <c r="K119" i="1"/>
  <c r="M119" i="1"/>
  <c r="N119" i="1" s="1"/>
  <c r="Y119" i="1"/>
  <c r="Z119" i="1"/>
  <c r="AB119" i="1"/>
  <c r="AC119" i="1"/>
  <c r="AE119" i="1"/>
  <c r="AM119" i="1"/>
  <c r="K120" i="1"/>
  <c r="M120" i="1"/>
  <c r="N120" i="1" s="1"/>
  <c r="Y120" i="1"/>
  <c r="Z120" i="1"/>
  <c r="AB120" i="1"/>
  <c r="AC120" i="1"/>
  <c r="AE120" i="1"/>
  <c r="AM120" i="1"/>
  <c r="K121" i="1"/>
  <c r="M121" i="1"/>
  <c r="N121" i="1" s="1"/>
  <c r="Y121" i="1"/>
  <c r="Z121" i="1"/>
  <c r="AB121" i="1"/>
  <c r="AC121" i="1"/>
  <c r="AE121" i="1"/>
  <c r="R33" i="3" s="1"/>
  <c r="AM121" i="1"/>
  <c r="K122" i="1"/>
  <c r="M122" i="1"/>
  <c r="N122" i="1" s="1"/>
  <c r="Y122" i="1"/>
  <c r="Z122" i="1"/>
  <c r="AB122" i="1"/>
  <c r="AC122" i="1"/>
  <c r="AE122" i="1"/>
  <c r="R37" i="3" s="1"/>
  <c r="AM122" i="1"/>
  <c r="K123" i="1"/>
  <c r="M123" i="1"/>
  <c r="N123" i="1" s="1"/>
  <c r="Y123" i="1"/>
  <c r="Z123" i="1"/>
  <c r="AB123" i="1"/>
  <c r="AC123" i="1"/>
  <c r="AE123" i="1"/>
  <c r="AM123" i="1"/>
  <c r="K124" i="1"/>
  <c r="M124" i="1"/>
  <c r="N124" i="1" s="1"/>
  <c r="Y124" i="1"/>
  <c r="Z124" i="1"/>
  <c r="AB124" i="1"/>
  <c r="AC124" i="1"/>
  <c r="AE124" i="1"/>
  <c r="AM124" i="1"/>
  <c r="K125" i="1"/>
  <c r="M125" i="1"/>
  <c r="N125" i="1" s="1"/>
  <c r="Y125" i="1"/>
  <c r="Z125" i="1"/>
  <c r="AB125" i="1"/>
  <c r="AC125" i="1"/>
  <c r="AE125" i="1"/>
  <c r="R9" i="3" s="1"/>
  <c r="AM125" i="1"/>
  <c r="K126" i="1"/>
  <c r="M126" i="1"/>
  <c r="N126" i="1" s="1"/>
  <c r="Y126" i="1"/>
  <c r="Z126" i="1"/>
  <c r="AB126" i="1"/>
  <c r="AC126" i="1"/>
  <c r="T126" i="1"/>
  <c r="AE126" i="1"/>
  <c r="AM126" i="1"/>
  <c r="K127" i="1"/>
  <c r="M127" i="1"/>
  <c r="N127" i="1" s="1"/>
  <c r="Y127" i="1"/>
  <c r="Z127" i="1"/>
  <c r="AB127" i="1"/>
  <c r="AC127" i="1"/>
  <c r="AE127" i="1"/>
  <c r="R28" i="3" s="1"/>
  <c r="AM127" i="1"/>
  <c r="K128" i="1"/>
  <c r="M128" i="1"/>
  <c r="N128" i="1" s="1"/>
  <c r="Y128" i="1"/>
  <c r="Z128" i="1"/>
  <c r="AB128" i="1"/>
  <c r="AC128" i="1"/>
  <c r="AE128" i="1"/>
  <c r="AM128" i="1"/>
  <c r="K129" i="1"/>
  <c r="M129" i="1"/>
  <c r="N129" i="1" s="1"/>
  <c r="Y129" i="1"/>
  <c r="Z129" i="1"/>
  <c r="AB129" i="1"/>
  <c r="AC129" i="1"/>
  <c r="AE129" i="1"/>
  <c r="AM129" i="1"/>
  <c r="K130" i="1"/>
  <c r="M130" i="1"/>
  <c r="N130" i="1" s="1"/>
  <c r="Y130" i="1"/>
  <c r="Z130" i="1"/>
  <c r="AB130" i="1"/>
  <c r="AC130" i="1"/>
  <c r="AE130" i="1"/>
  <c r="R30" i="3" s="1"/>
  <c r="AM130" i="1"/>
  <c r="K131" i="1"/>
  <c r="M131" i="1"/>
  <c r="N131" i="1" s="1"/>
  <c r="Y131" i="1"/>
  <c r="Z131" i="1"/>
  <c r="AB131" i="1"/>
  <c r="AC131" i="1"/>
  <c r="AE131" i="1"/>
  <c r="R34" i="3" s="1"/>
  <c r="AM131" i="1"/>
  <c r="K132" i="1"/>
  <c r="M132" i="1"/>
  <c r="N132" i="1" s="1"/>
  <c r="Y132" i="1"/>
  <c r="Z132" i="1"/>
  <c r="AB132" i="1"/>
  <c r="AC132" i="1"/>
  <c r="AE132" i="1"/>
  <c r="AM132" i="1"/>
  <c r="K133" i="1"/>
  <c r="M133" i="1"/>
  <c r="N133" i="1" s="1"/>
  <c r="Y133" i="1"/>
  <c r="Z133" i="1"/>
  <c r="AB133" i="1"/>
  <c r="AC133" i="1"/>
  <c r="AE133" i="1"/>
  <c r="R27" i="3" s="1"/>
  <c r="AM133" i="1"/>
  <c r="K134" i="1"/>
  <c r="M134" i="1"/>
  <c r="N134" i="1" s="1"/>
  <c r="Y134" i="1"/>
  <c r="Z134" i="1"/>
  <c r="AB134" i="1"/>
  <c r="AC134" i="1"/>
  <c r="AE134" i="1"/>
  <c r="R15" i="3" s="1"/>
  <c r="AM134" i="1"/>
  <c r="K135" i="1"/>
  <c r="M135" i="1"/>
  <c r="N135" i="1" s="1"/>
  <c r="Y135" i="1"/>
  <c r="Z135" i="1"/>
  <c r="AB135" i="1"/>
  <c r="AC135" i="1"/>
  <c r="AE135" i="1"/>
  <c r="AM135" i="1"/>
  <c r="K136" i="1"/>
  <c r="M136" i="1"/>
  <c r="N136" i="1" s="1"/>
  <c r="Y136" i="1"/>
  <c r="Z136" i="1"/>
  <c r="AB136" i="1"/>
  <c r="AC136" i="1"/>
  <c r="AE136" i="1"/>
  <c r="AM136" i="1"/>
  <c r="K137" i="1"/>
  <c r="M137" i="1"/>
  <c r="N137" i="1" s="1"/>
  <c r="Y137" i="1"/>
  <c r="Z137" i="1"/>
  <c r="AB137" i="1"/>
  <c r="AC137" i="1"/>
  <c r="AE137" i="1"/>
  <c r="R20" i="3" s="1"/>
  <c r="AM137" i="1"/>
  <c r="K138" i="1"/>
  <c r="M138" i="1"/>
  <c r="N138" i="1" s="1"/>
  <c r="Y138" i="1"/>
  <c r="Z138" i="1"/>
  <c r="AB138" i="1"/>
  <c r="AC138" i="1"/>
  <c r="AE138" i="1"/>
  <c r="AM138" i="1"/>
  <c r="K139" i="1"/>
  <c r="M139" i="1"/>
  <c r="N139" i="1" s="1"/>
  <c r="Y139" i="1"/>
  <c r="Z139" i="1"/>
  <c r="AB139" i="1"/>
  <c r="AC139" i="1"/>
  <c r="AE139" i="1"/>
  <c r="AM139" i="1"/>
  <c r="K140" i="1"/>
  <c r="M140" i="1"/>
  <c r="N140" i="1" s="1"/>
  <c r="Y140" i="1"/>
  <c r="Z140" i="1"/>
  <c r="AB140" i="1"/>
  <c r="AC140" i="1"/>
  <c r="AE140" i="1"/>
  <c r="AM140" i="1"/>
  <c r="K141" i="1"/>
  <c r="M141" i="1"/>
  <c r="Y141" i="1"/>
  <c r="Z141" i="1"/>
  <c r="AB141" i="1"/>
  <c r="AC141" i="1"/>
  <c r="AE141" i="1"/>
  <c r="AM141" i="1"/>
  <c r="K142" i="1"/>
  <c r="M142" i="1"/>
  <c r="Y142" i="1"/>
  <c r="Z142" i="1"/>
  <c r="AB142" i="1"/>
  <c r="AC142" i="1"/>
  <c r="T142" i="1"/>
  <c r="AE142" i="1"/>
  <c r="AM142" i="1"/>
  <c r="K143" i="1"/>
  <c r="M143" i="1"/>
  <c r="N143" i="1" s="1"/>
  <c r="Y143" i="1"/>
  <c r="Z143" i="1"/>
  <c r="AB143" i="1"/>
  <c r="AC143" i="1"/>
  <c r="AE143" i="1"/>
  <c r="AM143" i="1"/>
  <c r="K144" i="1"/>
  <c r="M144" i="1"/>
  <c r="N144" i="1" s="1"/>
  <c r="Y144" i="1"/>
  <c r="Z144" i="1"/>
  <c r="AB144" i="1"/>
  <c r="AC144" i="1"/>
  <c r="AE144" i="1"/>
  <c r="AM144" i="1"/>
  <c r="K145" i="1"/>
  <c r="M145" i="1"/>
  <c r="N145" i="1" s="1"/>
  <c r="Y145" i="1"/>
  <c r="Z145" i="1"/>
  <c r="AB145" i="1"/>
  <c r="AC145" i="1"/>
  <c r="AE145" i="1"/>
  <c r="AM145" i="1"/>
  <c r="K146" i="1"/>
  <c r="M146" i="1"/>
  <c r="N146" i="1" s="1"/>
  <c r="Y146" i="1"/>
  <c r="Z146" i="1"/>
  <c r="AB146" i="1"/>
  <c r="AC146" i="1"/>
  <c r="AE146" i="1"/>
  <c r="AM146" i="1"/>
  <c r="K147" i="1"/>
  <c r="M147" i="1"/>
  <c r="N147" i="1" s="1"/>
  <c r="Y147" i="1"/>
  <c r="Z147" i="1"/>
  <c r="AB147" i="1"/>
  <c r="AC147" i="1"/>
  <c r="AE147" i="1"/>
  <c r="AM147" i="1"/>
  <c r="K148" i="1"/>
  <c r="M148" i="1"/>
  <c r="N148" i="1" s="1"/>
  <c r="Y148" i="1"/>
  <c r="Z148" i="1"/>
  <c r="AB148" i="1"/>
  <c r="AC148" i="1"/>
  <c r="AE148" i="1"/>
  <c r="AM148" i="1"/>
  <c r="K149" i="1"/>
  <c r="M149" i="1"/>
  <c r="N149" i="1" s="1"/>
  <c r="Y149" i="1"/>
  <c r="Z149" i="1"/>
  <c r="AB149" i="1"/>
  <c r="AC149" i="1"/>
  <c r="AE149" i="1"/>
  <c r="AM149" i="1"/>
  <c r="K150" i="1"/>
  <c r="M150" i="1"/>
  <c r="N150" i="1" s="1"/>
  <c r="Y150" i="1"/>
  <c r="Z150" i="1"/>
  <c r="AB150" i="1"/>
  <c r="AC150" i="1"/>
  <c r="AE150" i="1"/>
  <c r="AM150" i="1"/>
  <c r="K151" i="1"/>
  <c r="M151" i="1"/>
  <c r="N151" i="1" s="1"/>
  <c r="Y151" i="1"/>
  <c r="Z151" i="1"/>
  <c r="AB151" i="1"/>
  <c r="AC151" i="1"/>
  <c r="AE151" i="1"/>
  <c r="AM151" i="1"/>
  <c r="K152" i="1"/>
  <c r="M152" i="1"/>
  <c r="N152" i="1" s="1"/>
  <c r="Y152" i="1"/>
  <c r="Z152" i="1"/>
  <c r="AB152" i="1"/>
  <c r="AC152" i="1"/>
  <c r="AE152" i="1"/>
  <c r="AM152" i="1"/>
  <c r="K153" i="1"/>
  <c r="M153" i="1"/>
  <c r="N153" i="1" s="1"/>
  <c r="Y153" i="1"/>
  <c r="Z153" i="1"/>
  <c r="AB153" i="1"/>
  <c r="AC153" i="1"/>
  <c r="AE153" i="1"/>
  <c r="AM153" i="1"/>
  <c r="K154" i="1"/>
  <c r="M154" i="1"/>
  <c r="N154" i="1" s="1"/>
  <c r="Y154" i="1"/>
  <c r="Z154" i="1"/>
  <c r="AB154" i="1"/>
  <c r="AC154" i="1"/>
  <c r="T154" i="1"/>
  <c r="AE154" i="1"/>
  <c r="AM154" i="1"/>
  <c r="K155" i="1"/>
  <c r="M155" i="1"/>
  <c r="N155" i="1" s="1"/>
  <c r="Y155" i="1"/>
  <c r="Z155" i="1"/>
  <c r="AB155" i="1"/>
  <c r="AC155" i="1"/>
  <c r="AE155" i="1"/>
  <c r="AM155" i="1"/>
  <c r="K156" i="1"/>
  <c r="M156" i="1"/>
  <c r="N156" i="1" s="1"/>
  <c r="Y156" i="1"/>
  <c r="Z156" i="1"/>
  <c r="AB156" i="1"/>
  <c r="AC156" i="1"/>
  <c r="AE156" i="1"/>
  <c r="AM156" i="1"/>
  <c r="K157" i="1"/>
  <c r="M157" i="1"/>
  <c r="N157" i="1" s="1"/>
  <c r="Y157" i="1"/>
  <c r="Z157" i="1"/>
  <c r="AB157" i="1"/>
  <c r="AC157" i="1"/>
  <c r="AE157" i="1"/>
  <c r="AM157" i="1"/>
  <c r="K158" i="1"/>
  <c r="M158" i="1"/>
  <c r="N158" i="1" s="1"/>
  <c r="Y158" i="1"/>
  <c r="Z158" i="1"/>
  <c r="AB158" i="1"/>
  <c r="AC158" i="1"/>
  <c r="AE158" i="1"/>
  <c r="R32" i="3" s="1"/>
  <c r="AM158" i="1"/>
  <c r="K206" i="1"/>
  <c r="M206" i="1"/>
  <c r="N206" i="1" s="1"/>
  <c r="Y206" i="1"/>
  <c r="Z206" i="1"/>
  <c r="AB206" i="1"/>
  <c r="AC206" i="1"/>
  <c r="AE206" i="1"/>
  <c r="AM159" i="1"/>
  <c r="K207" i="1"/>
  <c r="M207" i="1"/>
  <c r="N207" i="1" s="1"/>
  <c r="Y207" i="1"/>
  <c r="Z207" i="1"/>
  <c r="AB207" i="1"/>
  <c r="AC207" i="1"/>
  <c r="T207" i="1"/>
  <c r="AE207" i="1"/>
  <c r="AM160" i="1"/>
  <c r="K208" i="1"/>
  <c r="M208" i="1"/>
  <c r="N208" i="1" s="1"/>
  <c r="Y208" i="1"/>
  <c r="Z208" i="1"/>
  <c r="AB208" i="1"/>
  <c r="AC208" i="1"/>
  <c r="AE208" i="1"/>
  <c r="AM161" i="1"/>
  <c r="K209" i="1"/>
  <c r="M209" i="1"/>
  <c r="N209" i="1" s="1"/>
  <c r="Y209" i="1"/>
  <c r="Z209" i="1"/>
  <c r="AB209" i="1"/>
  <c r="AC209" i="1"/>
  <c r="AE209" i="1"/>
  <c r="AM162" i="1"/>
  <c r="K210" i="1"/>
  <c r="M210" i="1"/>
  <c r="N210" i="1" s="1"/>
  <c r="Y210" i="1"/>
  <c r="Z210" i="1"/>
  <c r="AB210" i="1"/>
  <c r="AC210" i="1"/>
  <c r="AE210" i="1"/>
  <c r="AM163" i="1"/>
  <c r="K211" i="1"/>
  <c r="M211" i="1"/>
  <c r="N211" i="1" s="1"/>
  <c r="Y211" i="1"/>
  <c r="Z211" i="1"/>
  <c r="AB211" i="1"/>
  <c r="AC211" i="1"/>
  <c r="AE211" i="1"/>
  <c r="AM164" i="1"/>
  <c r="K212" i="1"/>
  <c r="M212" i="1"/>
  <c r="N212" i="1" s="1"/>
  <c r="Y212" i="1"/>
  <c r="Z212" i="1"/>
  <c r="AB212" i="1"/>
  <c r="AC212" i="1"/>
  <c r="AE212" i="1"/>
  <c r="AM165" i="1"/>
  <c r="K213" i="1"/>
  <c r="M213" i="1"/>
  <c r="N213" i="1" s="1"/>
  <c r="Y213" i="1"/>
  <c r="Z213" i="1"/>
  <c r="AB213" i="1"/>
  <c r="AC213" i="1"/>
  <c r="AE213" i="1"/>
  <c r="AM166" i="1"/>
  <c r="K214" i="1"/>
  <c r="M214" i="1"/>
  <c r="N214" i="1" s="1"/>
  <c r="Y214" i="1"/>
  <c r="Z214" i="1"/>
  <c r="AB214" i="1"/>
  <c r="AC214" i="1"/>
  <c r="AE214" i="1"/>
  <c r="AM167" i="1"/>
  <c r="K215" i="1"/>
  <c r="M215" i="1"/>
  <c r="N215" i="1" s="1"/>
  <c r="Y215" i="1"/>
  <c r="Z215" i="1"/>
  <c r="AB215" i="1"/>
  <c r="AC215" i="1"/>
  <c r="AE215" i="1"/>
  <c r="AM168" i="1"/>
  <c r="K216" i="1"/>
  <c r="M216" i="1"/>
  <c r="N216" i="1" s="1"/>
  <c r="Y216" i="1"/>
  <c r="Z216" i="1"/>
  <c r="AB216" i="1"/>
  <c r="AC216" i="1"/>
  <c r="AE216" i="1"/>
  <c r="AM169" i="1"/>
  <c r="K217" i="1"/>
  <c r="M217" i="1"/>
  <c r="N217" i="1" s="1"/>
  <c r="Y217" i="1"/>
  <c r="Z217" i="1"/>
  <c r="AB217" i="1"/>
  <c r="AC217" i="1"/>
  <c r="AE217" i="1"/>
  <c r="AM170" i="1"/>
  <c r="K218" i="1"/>
  <c r="M218" i="1"/>
  <c r="N218" i="1" s="1"/>
  <c r="Y218" i="1"/>
  <c r="Z218" i="1"/>
  <c r="AB218" i="1"/>
  <c r="AC218" i="1"/>
  <c r="AE218" i="1"/>
  <c r="R54" i="3" s="1"/>
  <c r="AM171" i="1"/>
  <c r="K219" i="1"/>
  <c r="M219" i="1"/>
  <c r="N219" i="1" s="1"/>
  <c r="Y219" i="1"/>
  <c r="Z219" i="1"/>
  <c r="AB219" i="1"/>
  <c r="AC219" i="1"/>
  <c r="AE219" i="1"/>
  <c r="AM172" i="1"/>
  <c r="K220" i="1"/>
  <c r="M220" i="1"/>
  <c r="N220" i="1" s="1"/>
  <c r="Y220" i="1"/>
  <c r="Z220" i="1"/>
  <c r="AB220" i="1"/>
  <c r="AC220" i="1"/>
  <c r="AE220" i="1"/>
  <c r="AM173" i="1"/>
  <c r="K226" i="1"/>
  <c r="M226" i="1"/>
  <c r="N226" i="1" s="1"/>
  <c r="Y226" i="1"/>
  <c r="Z226" i="1"/>
  <c r="AB226" i="1"/>
  <c r="AC226" i="1"/>
  <c r="T226" i="1"/>
  <c r="AE226" i="1"/>
  <c r="AM174" i="1"/>
  <c r="K227" i="1"/>
  <c r="M227" i="1"/>
  <c r="N227" i="1" s="1"/>
  <c r="Y227" i="1"/>
  <c r="Z227" i="1"/>
  <c r="AB227" i="1"/>
  <c r="AC227" i="1"/>
  <c r="AE227" i="1"/>
  <c r="AM175" i="1"/>
  <c r="K228" i="1"/>
  <c r="M228" i="1"/>
  <c r="N228" i="1" s="1"/>
  <c r="Y228" i="1"/>
  <c r="Z228" i="1"/>
  <c r="AB228" i="1"/>
  <c r="AC228" i="1"/>
  <c r="AE228" i="1"/>
  <c r="AM176" i="1"/>
  <c r="K229" i="1"/>
  <c r="M229" i="1"/>
  <c r="N229" i="1" s="1"/>
  <c r="Y229" i="1"/>
  <c r="Z229" i="1"/>
  <c r="AB229" i="1"/>
  <c r="AC229" i="1"/>
  <c r="AE229" i="1"/>
  <c r="AM177" i="1"/>
  <c r="K230" i="1"/>
  <c r="M230" i="1"/>
  <c r="N230" i="1" s="1"/>
  <c r="Y230" i="1"/>
  <c r="Z230" i="1"/>
  <c r="AB230" i="1"/>
  <c r="AC230" i="1"/>
  <c r="T230" i="1"/>
  <c r="AE230" i="1"/>
  <c r="R56" i="3" s="1"/>
  <c r="AM178" i="1"/>
  <c r="K231" i="1"/>
  <c r="M231" i="1"/>
  <c r="N231" i="1" s="1"/>
  <c r="Y231" i="1"/>
  <c r="Z231" i="1"/>
  <c r="AB231" i="1"/>
  <c r="AC231" i="1"/>
  <c r="AE231" i="1"/>
  <c r="AM179" i="1"/>
  <c r="K232" i="1"/>
  <c r="M232" i="1"/>
  <c r="N232" i="1" s="1"/>
  <c r="Y232" i="1"/>
  <c r="Z232" i="1"/>
  <c r="AB232" i="1"/>
  <c r="AC232" i="1"/>
  <c r="AE232" i="1"/>
  <c r="AM180" i="1"/>
  <c r="K233" i="1"/>
  <c r="M233" i="1"/>
  <c r="N233" i="1" s="1"/>
  <c r="Y233" i="1"/>
  <c r="Z233" i="1"/>
  <c r="AB233" i="1"/>
  <c r="AC233" i="1"/>
  <c r="AE233" i="1"/>
  <c r="AM181" i="1"/>
  <c r="K159" i="1"/>
  <c r="M159" i="1"/>
  <c r="N159" i="1" s="1"/>
  <c r="Y159" i="1"/>
  <c r="AA159" i="1" s="1"/>
  <c r="AB159" i="1"/>
  <c r="AC159" i="1"/>
  <c r="AE159" i="1"/>
  <c r="R39" i="3" s="1"/>
  <c r="AM182" i="1"/>
  <c r="K160" i="1"/>
  <c r="M160" i="1"/>
  <c r="N160" i="1" s="1"/>
  <c r="Y160" i="1"/>
  <c r="Z160" i="1"/>
  <c r="AB160" i="1"/>
  <c r="AC160" i="1"/>
  <c r="AE160" i="1"/>
  <c r="AM186" i="1"/>
  <c r="K161" i="1"/>
  <c r="M161" i="1"/>
  <c r="N161" i="1" s="1"/>
  <c r="Y161" i="1"/>
  <c r="Z161" i="1"/>
  <c r="AB161" i="1"/>
  <c r="AC161" i="1"/>
  <c r="AE161" i="1"/>
  <c r="AM187" i="1"/>
  <c r="K162" i="1"/>
  <c r="M162" i="1"/>
  <c r="N162" i="1" s="1"/>
  <c r="Y162" i="1"/>
  <c r="Z162" i="1"/>
  <c r="AB162" i="1"/>
  <c r="AC162" i="1"/>
  <c r="AE162" i="1"/>
  <c r="R46" i="3" s="1"/>
  <c r="AM188" i="1"/>
  <c r="K163" i="1"/>
  <c r="M163" i="1"/>
  <c r="N163" i="1" s="1"/>
  <c r="Y163" i="1"/>
  <c r="Z163" i="1"/>
  <c r="AB163" i="1"/>
  <c r="AC163" i="1"/>
  <c r="AE163" i="1"/>
  <c r="AM189" i="1"/>
  <c r="K164" i="1"/>
  <c r="M164" i="1"/>
  <c r="N164" i="1" s="1"/>
  <c r="Y164" i="1"/>
  <c r="Z164" i="1"/>
  <c r="AB164" i="1"/>
  <c r="AC164" i="1"/>
  <c r="AE164" i="1"/>
  <c r="AM190" i="1"/>
  <c r="K165" i="1"/>
  <c r="M165" i="1"/>
  <c r="N165" i="1" s="1"/>
  <c r="Y165" i="1"/>
  <c r="Z165" i="1"/>
  <c r="AB165" i="1"/>
  <c r="AC165" i="1"/>
  <c r="AE165" i="1"/>
  <c r="R40" i="3" s="1"/>
  <c r="AM191" i="1"/>
  <c r="K166" i="1"/>
  <c r="M166" i="1"/>
  <c r="N166" i="1" s="1"/>
  <c r="Y166" i="1"/>
  <c r="Z166" i="1"/>
  <c r="AB166" i="1"/>
  <c r="AC166" i="1"/>
  <c r="AE166" i="1"/>
  <c r="R47" i="3" s="1"/>
  <c r="AM192" i="1"/>
  <c r="K167" i="1"/>
  <c r="M167" i="1"/>
  <c r="N167" i="1" s="1"/>
  <c r="Y167" i="1"/>
  <c r="Z167" i="1"/>
  <c r="AB167" i="1"/>
  <c r="AC167" i="1"/>
  <c r="T167" i="1"/>
  <c r="AE167" i="1"/>
  <c r="AM193" i="1"/>
  <c r="K168" i="1"/>
  <c r="M168" i="1"/>
  <c r="N168" i="1" s="1"/>
  <c r="Y168" i="1"/>
  <c r="Z168" i="1"/>
  <c r="AB168" i="1"/>
  <c r="AC168" i="1"/>
  <c r="AE168" i="1"/>
  <c r="AM194" i="1"/>
  <c r="K169" i="1"/>
  <c r="M169" i="1"/>
  <c r="N169" i="1" s="1"/>
  <c r="Y169" i="1"/>
  <c r="Z169" i="1"/>
  <c r="AB169" i="1"/>
  <c r="AC169" i="1"/>
  <c r="AE169" i="1"/>
  <c r="AM195" i="1"/>
  <c r="K170" i="1"/>
  <c r="M170" i="1"/>
  <c r="N170" i="1" s="1"/>
  <c r="Y170" i="1"/>
  <c r="Z170" i="1"/>
  <c r="AB170" i="1"/>
  <c r="AC170" i="1"/>
  <c r="AE170" i="1"/>
  <c r="R43" i="3" s="1"/>
  <c r="AM196" i="1"/>
  <c r="K171" i="1"/>
  <c r="M171" i="1"/>
  <c r="N171" i="1" s="1"/>
  <c r="Y171" i="1"/>
  <c r="Z171" i="1"/>
  <c r="AB171" i="1"/>
  <c r="AC171" i="1"/>
  <c r="AE171" i="1"/>
  <c r="AM197" i="1"/>
  <c r="K172" i="1"/>
  <c r="M172" i="1"/>
  <c r="N172" i="1" s="1"/>
  <c r="Y172" i="1"/>
  <c r="Z172" i="1"/>
  <c r="AB172" i="1"/>
  <c r="AC172" i="1"/>
  <c r="AE172" i="1"/>
  <c r="R48" i="3" s="1"/>
  <c r="AM198" i="1"/>
  <c r="K173" i="1"/>
  <c r="M173" i="1"/>
  <c r="N173" i="1" s="1"/>
  <c r="Y173" i="1"/>
  <c r="Z173" i="1"/>
  <c r="AB173" i="1"/>
  <c r="AC173" i="1"/>
  <c r="AE173" i="1"/>
  <c r="AM199" i="1"/>
  <c r="K174" i="1"/>
  <c r="M174" i="1"/>
  <c r="N174" i="1" s="1"/>
  <c r="Y174" i="1"/>
  <c r="Z174" i="1"/>
  <c r="AB174" i="1"/>
  <c r="AC174" i="1"/>
  <c r="AE174" i="1"/>
  <c r="AM200" i="1"/>
  <c r="K175" i="1"/>
  <c r="M175" i="1"/>
  <c r="N175" i="1" s="1"/>
  <c r="Y175" i="1"/>
  <c r="Z175" i="1"/>
  <c r="AB175" i="1"/>
  <c r="AC175" i="1"/>
  <c r="AE175" i="1"/>
  <c r="AM201" i="1"/>
  <c r="K176" i="1"/>
  <c r="M176" i="1"/>
  <c r="N176" i="1" s="1"/>
  <c r="Y176" i="1"/>
  <c r="Z176" i="1"/>
  <c r="AB176" i="1"/>
  <c r="AC176" i="1"/>
  <c r="AE176" i="1"/>
  <c r="R49" i="3" s="1"/>
  <c r="AM202" i="1"/>
  <c r="K177" i="1"/>
  <c r="M177" i="1"/>
  <c r="N177" i="1" s="1"/>
  <c r="Y177" i="1"/>
  <c r="Z177" i="1"/>
  <c r="AB177" i="1"/>
  <c r="AC177" i="1"/>
  <c r="AE177" i="1"/>
  <c r="AM203" i="1"/>
  <c r="K178" i="1"/>
  <c r="M178" i="1"/>
  <c r="N178" i="1" s="1"/>
  <c r="Y178" i="1"/>
  <c r="Z178" i="1"/>
  <c r="AB178" i="1"/>
  <c r="AC178" i="1"/>
  <c r="AE178" i="1"/>
  <c r="AM204" i="1"/>
  <c r="K179" i="1"/>
  <c r="M179" i="1"/>
  <c r="N179" i="1" s="1"/>
  <c r="Y179" i="1"/>
  <c r="Z179" i="1"/>
  <c r="AB179" i="1"/>
  <c r="AC179" i="1"/>
  <c r="AE179" i="1"/>
  <c r="AM205" i="1"/>
  <c r="K180" i="1"/>
  <c r="M180" i="1"/>
  <c r="N180" i="1" s="1"/>
  <c r="Y180" i="1"/>
  <c r="Z180" i="1"/>
  <c r="AB180" i="1"/>
  <c r="AC180" i="1"/>
  <c r="AE180" i="1"/>
  <c r="AM206" i="1"/>
  <c r="K181" i="1"/>
  <c r="M181" i="1"/>
  <c r="N181" i="1" s="1"/>
  <c r="Y181" i="1"/>
  <c r="Z181" i="1"/>
  <c r="AB181" i="1"/>
  <c r="AC181" i="1"/>
  <c r="AE181" i="1"/>
  <c r="AM207" i="1"/>
  <c r="K182" i="1"/>
  <c r="M182" i="1"/>
  <c r="N182" i="1" s="1"/>
  <c r="Y182" i="1"/>
  <c r="Z182" i="1"/>
  <c r="AB182" i="1"/>
  <c r="AC182" i="1"/>
  <c r="AE182" i="1"/>
  <c r="R50" i="3" s="1"/>
  <c r="AM208" i="1"/>
  <c r="K186" i="1"/>
  <c r="M186" i="1"/>
  <c r="N186" i="1" s="1"/>
  <c r="Y186" i="1"/>
  <c r="Z186" i="1"/>
  <c r="AB186" i="1"/>
  <c r="AC186" i="1"/>
  <c r="AE186" i="1"/>
  <c r="AM209" i="1"/>
  <c r="K187" i="1"/>
  <c r="M187" i="1"/>
  <c r="N187" i="1" s="1"/>
  <c r="Y187" i="1"/>
  <c r="Z187" i="1"/>
  <c r="AB187" i="1"/>
  <c r="AC187" i="1"/>
  <c r="AE187" i="1"/>
  <c r="R44" i="3" s="1"/>
  <c r="AM210" i="1"/>
  <c r="K188" i="1"/>
  <c r="M188" i="1"/>
  <c r="N188" i="1" s="1"/>
  <c r="Y188" i="1"/>
  <c r="Z188" i="1"/>
  <c r="AB188" i="1"/>
  <c r="AC188" i="1"/>
  <c r="AE188" i="1"/>
  <c r="AM211" i="1"/>
  <c r="K189" i="1"/>
  <c r="M189" i="1"/>
  <c r="N189" i="1" s="1"/>
  <c r="Y189" i="1"/>
  <c r="Z189" i="1"/>
  <c r="AB189" i="1"/>
  <c r="AC189" i="1"/>
  <c r="AE189" i="1"/>
  <c r="AM212" i="1"/>
  <c r="K190" i="1"/>
  <c r="M190" i="1"/>
  <c r="N190" i="1" s="1"/>
  <c r="Y190" i="1"/>
  <c r="Z190" i="1"/>
  <c r="AB190" i="1"/>
  <c r="AC190" i="1"/>
  <c r="AE190" i="1"/>
  <c r="R51" i="3" s="1"/>
  <c r="AM213" i="1"/>
  <c r="K191" i="1"/>
  <c r="M191" i="1"/>
  <c r="N191" i="1" s="1"/>
  <c r="Y191" i="1"/>
  <c r="Z191" i="1"/>
  <c r="AB191" i="1"/>
  <c r="AC191" i="1"/>
  <c r="AE191" i="1"/>
  <c r="AM214" i="1"/>
  <c r="K192" i="1"/>
  <c r="M192" i="1"/>
  <c r="N192" i="1" s="1"/>
  <c r="Y192" i="1"/>
  <c r="Z192" i="1"/>
  <c r="AB192" i="1"/>
  <c r="AC192" i="1"/>
  <c r="AE192" i="1"/>
  <c r="AM215" i="1"/>
  <c r="K193" i="1"/>
  <c r="M193" i="1"/>
  <c r="N193" i="1" s="1"/>
  <c r="Y193" i="1"/>
  <c r="Z193" i="1"/>
  <c r="AB193" i="1"/>
  <c r="AC193" i="1"/>
  <c r="AE193" i="1"/>
  <c r="AM216" i="1"/>
  <c r="K194" i="1"/>
  <c r="M194" i="1"/>
  <c r="N194" i="1" s="1"/>
  <c r="Y194" i="1"/>
  <c r="Z194" i="1"/>
  <c r="AB194" i="1"/>
  <c r="AC194" i="1"/>
  <c r="AE194" i="1"/>
  <c r="AM217" i="1"/>
  <c r="K195" i="1"/>
  <c r="M195" i="1"/>
  <c r="N195" i="1" s="1"/>
  <c r="Y195" i="1"/>
  <c r="Z195" i="1"/>
  <c r="AB195" i="1"/>
  <c r="AC195" i="1"/>
  <c r="AE195" i="1"/>
  <c r="R41" i="3" s="1"/>
  <c r="AM218" i="1"/>
  <c r="K196" i="1"/>
  <c r="M196" i="1"/>
  <c r="N196" i="1" s="1"/>
  <c r="Y196" i="1"/>
  <c r="Z196" i="1"/>
  <c r="AB196" i="1"/>
  <c r="AC196" i="1"/>
  <c r="AE196" i="1"/>
  <c r="AM219" i="1"/>
  <c r="K197" i="1"/>
  <c r="M197" i="1"/>
  <c r="N197" i="1" s="1"/>
  <c r="Y197" i="1"/>
  <c r="Z197" i="1"/>
  <c r="AB197" i="1"/>
  <c r="AC197" i="1"/>
  <c r="AE197" i="1"/>
  <c r="AM220" i="1"/>
  <c r="K198" i="1"/>
  <c r="M198" i="1"/>
  <c r="N198" i="1" s="1"/>
  <c r="Y198" i="1"/>
  <c r="Z198" i="1"/>
  <c r="AB198" i="1"/>
  <c r="AC198" i="1"/>
  <c r="AE198" i="1"/>
  <c r="AM221" i="1"/>
  <c r="K199" i="1"/>
  <c r="M199" i="1"/>
  <c r="N199" i="1" s="1"/>
  <c r="Y199" i="1"/>
  <c r="Z199" i="1"/>
  <c r="AB199" i="1"/>
  <c r="AC199" i="1"/>
  <c r="AE199" i="1"/>
  <c r="R42" i="3" s="1"/>
  <c r="AM222" i="1"/>
  <c r="K200" i="1"/>
  <c r="M200" i="1"/>
  <c r="N200" i="1" s="1"/>
  <c r="Y200" i="1"/>
  <c r="Z200" i="1"/>
  <c r="AB200" i="1"/>
  <c r="AC200" i="1"/>
  <c r="AE200" i="1"/>
  <c r="AM223" i="1"/>
  <c r="K201" i="1"/>
  <c r="M201" i="1"/>
  <c r="N201" i="1" s="1"/>
  <c r="Y201" i="1"/>
  <c r="Z201" i="1"/>
  <c r="AB201" i="1"/>
  <c r="AC201" i="1"/>
  <c r="AE201" i="1"/>
  <c r="AM224" i="1"/>
  <c r="K202" i="1"/>
  <c r="M202" i="1"/>
  <c r="N202" i="1" s="1"/>
  <c r="Y202" i="1"/>
  <c r="Z202" i="1"/>
  <c r="AB202" i="1"/>
  <c r="AC202" i="1"/>
  <c r="T202" i="1"/>
  <c r="AE202" i="1"/>
  <c r="R52" i="3" s="1"/>
  <c r="AM225" i="1"/>
  <c r="K203" i="1"/>
  <c r="M203" i="1"/>
  <c r="N203" i="1" s="1"/>
  <c r="Y203" i="1"/>
  <c r="Z203" i="1"/>
  <c r="AB203" i="1"/>
  <c r="AC203" i="1"/>
  <c r="T203" i="1"/>
  <c r="AE203" i="1"/>
  <c r="R45" i="3" s="1"/>
  <c r="AM226" i="1"/>
  <c r="K204" i="1"/>
  <c r="M204" i="1"/>
  <c r="N204" i="1" s="1"/>
  <c r="Y204" i="1"/>
  <c r="Z204" i="1"/>
  <c r="AB204" i="1"/>
  <c r="AC204" i="1"/>
  <c r="AE204" i="1"/>
  <c r="AM227" i="1"/>
  <c r="K205" i="1"/>
  <c r="M205" i="1"/>
  <c r="N205" i="1" s="1"/>
  <c r="Y205" i="1"/>
  <c r="Z205" i="1"/>
  <c r="AB205" i="1"/>
  <c r="AC205" i="1"/>
  <c r="AE205" i="1"/>
  <c r="R53" i="3" s="1"/>
  <c r="AM228" i="1"/>
  <c r="K221" i="1"/>
  <c r="M221" i="1"/>
  <c r="N221" i="1" s="1"/>
  <c r="Y221" i="1"/>
  <c r="Z221" i="1"/>
  <c r="AB221" i="1"/>
  <c r="AC221" i="1"/>
  <c r="AE221" i="1"/>
  <c r="AM229" i="1"/>
  <c r="K222" i="1"/>
  <c r="M222" i="1"/>
  <c r="N222" i="1" s="1"/>
  <c r="Y222" i="1"/>
  <c r="Z222" i="1"/>
  <c r="AB222" i="1"/>
  <c r="AC222" i="1"/>
  <c r="T222" i="1"/>
  <c r="AE222" i="1"/>
  <c r="R55" i="3" s="1"/>
  <c r="AM230" i="1"/>
  <c r="K223" i="1"/>
  <c r="M223" i="1"/>
  <c r="N223" i="1" s="1"/>
  <c r="Y223" i="1"/>
  <c r="Z223" i="1"/>
  <c r="AB223" i="1"/>
  <c r="AC223" i="1"/>
  <c r="AE223" i="1"/>
  <c r="AM231" i="1"/>
  <c r="K224" i="1"/>
  <c r="M224" i="1"/>
  <c r="N224" i="1" s="1"/>
  <c r="Y224" i="1"/>
  <c r="Z224" i="1"/>
  <c r="AB224" i="1"/>
  <c r="AC224" i="1"/>
  <c r="AE224" i="1"/>
  <c r="AM232" i="1"/>
  <c r="K225" i="1"/>
  <c r="M225" i="1"/>
  <c r="N225" i="1" s="1"/>
  <c r="Y225" i="1"/>
  <c r="Z225" i="1"/>
  <c r="AB225" i="1"/>
  <c r="AC225" i="1"/>
  <c r="AE225" i="1"/>
  <c r="AM233" i="1"/>
  <c r="M35" i="3"/>
  <c r="U35" i="3"/>
  <c r="M39" i="3"/>
  <c r="U39" i="3"/>
  <c r="Y39" i="3" s="1"/>
  <c r="M54" i="3"/>
  <c r="U54" i="3"/>
  <c r="M55" i="3"/>
  <c r="U55" i="3"/>
  <c r="M46" i="3"/>
  <c r="U46" i="3"/>
  <c r="M22" i="3"/>
  <c r="U22" i="3"/>
  <c r="M17" i="3"/>
  <c r="U17" i="3"/>
  <c r="M40" i="3"/>
  <c r="U40" i="3"/>
  <c r="Y40" i="3" s="1"/>
  <c r="M47" i="3"/>
  <c r="U47" i="3"/>
  <c r="M43" i="3"/>
  <c r="U43" i="3"/>
  <c r="M12" i="3"/>
  <c r="U12" i="3"/>
  <c r="M48" i="3"/>
  <c r="U48" i="3"/>
  <c r="M8" i="3"/>
  <c r="U8" i="3"/>
  <c r="M23" i="3"/>
  <c r="U23" i="3"/>
  <c r="M18" i="3"/>
  <c r="U18" i="3"/>
  <c r="M24" i="3"/>
  <c r="U24" i="3"/>
  <c r="M25" i="3"/>
  <c r="U25" i="3"/>
  <c r="Y25" i="3" s="1"/>
  <c r="M56" i="3"/>
  <c r="U56" i="3"/>
  <c r="M38" i="3"/>
  <c r="U38" i="3"/>
  <c r="M29" i="3"/>
  <c r="U29" i="3"/>
  <c r="M49" i="3"/>
  <c r="U49" i="3"/>
  <c r="M13" i="3"/>
  <c r="U13" i="3"/>
  <c r="M10" i="3"/>
  <c r="U10" i="3"/>
  <c r="Y10" i="3"/>
  <c r="M50" i="3"/>
  <c r="U50" i="3"/>
  <c r="M11" i="3"/>
  <c r="U11" i="3"/>
  <c r="Y11" i="3"/>
  <c r="M19" i="3"/>
  <c r="U19" i="3"/>
  <c r="M36" i="3"/>
  <c r="U36" i="3"/>
  <c r="M44" i="3"/>
  <c r="U44" i="3"/>
  <c r="M7" i="3"/>
  <c r="U7" i="3"/>
  <c r="M16" i="3"/>
  <c r="U16" i="3"/>
  <c r="Y16" i="3" s="1"/>
  <c r="M51" i="3"/>
  <c r="U51" i="3"/>
  <c r="M31" i="3"/>
  <c r="U31" i="3"/>
  <c r="M37" i="3"/>
  <c r="U37" i="3"/>
  <c r="M41" i="3"/>
  <c r="U41" i="3"/>
  <c r="M33" i="3"/>
  <c r="U33" i="3"/>
  <c r="M30" i="3"/>
  <c r="U30" i="3"/>
  <c r="M28" i="3"/>
  <c r="U28" i="3"/>
  <c r="M9" i="3"/>
  <c r="U9" i="3"/>
  <c r="M15" i="3"/>
  <c r="U15" i="3"/>
  <c r="Y15" i="3" s="1"/>
  <c r="M14" i="3"/>
  <c r="U14" i="3"/>
  <c r="M27" i="3"/>
  <c r="U27" i="3"/>
  <c r="M34" i="3"/>
  <c r="U34" i="3"/>
  <c r="M42" i="3"/>
  <c r="U42" i="3"/>
  <c r="Y42" i="3" s="1"/>
  <c r="M52" i="3"/>
  <c r="U52" i="3"/>
  <c r="M20" i="3"/>
  <c r="U20" i="3"/>
  <c r="Y20" i="3"/>
  <c r="M45" i="3"/>
  <c r="U45" i="3"/>
  <c r="Y45" i="3" s="1"/>
  <c r="M53" i="3"/>
  <c r="U53" i="3"/>
  <c r="M21" i="3"/>
  <c r="U21" i="3"/>
  <c r="R8" i="3" l="1"/>
  <c r="AA18" i="1"/>
  <c r="Y33" i="3"/>
  <c r="Y48" i="3"/>
  <c r="Y12" i="3"/>
  <c r="Y32" i="3"/>
  <c r="Y43" i="3"/>
  <c r="Y17" i="3"/>
  <c r="Y54" i="3"/>
  <c r="Y56" i="3"/>
  <c r="AA187" i="1"/>
  <c r="AA76" i="1"/>
  <c r="AA60" i="1"/>
  <c r="AA31" i="1"/>
  <c r="AA16" i="1"/>
  <c r="Y41" i="3"/>
  <c r="Y51" i="3"/>
  <c r="Y7" i="3"/>
  <c r="Y53" i="3"/>
  <c r="Y9" i="3"/>
  <c r="Y19" i="3"/>
  <c r="Y23" i="3"/>
  <c r="Y22" i="3"/>
  <c r="Y55" i="3"/>
  <c r="Y35" i="3"/>
  <c r="AA173" i="1"/>
  <c r="T86" i="1"/>
  <c r="AA62" i="1"/>
  <c r="AA28" i="1"/>
  <c r="T26" i="1"/>
  <c r="R14" i="3"/>
  <c r="T158" i="1"/>
  <c r="T134" i="1"/>
  <c r="T94" i="1"/>
  <c r="T34" i="1"/>
  <c r="T16" i="1"/>
  <c r="T219" i="1"/>
  <c r="X219" i="1"/>
  <c r="T211" i="1"/>
  <c r="T199" i="1"/>
  <c r="T195" i="1"/>
  <c r="T191" i="1"/>
  <c r="T187" i="1"/>
  <c r="T183" i="1"/>
  <c r="T163" i="1"/>
  <c r="T159" i="1"/>
  <c r="T75" i="1"/>
  <c r="T67" i="1"/>
  <c r="T47" i="1"/>
  <c r="T43" i="1"/>
  <c r="T39" i="1"/>
  <c r="T35" i="1"/>
  <c r="T31" i="1"/>
  <c r="T27" i="1"/>
  <c r="T23" i="1"/>
  <c r="T19" i="1"/>
  <c r="T15" i="1"/>
  <c r="AA77" i="1"/>
  <c r="AA175" i="1"/>
  <c r="AA133" i="1"/>
  <c r="AA36" i="1"/>
  <c r="AA19" i="1"/>
  <c r="T146" i="1"/>
  <c r="T130" i="1"/>
  <c r="T96" i="1"/>
  <c r="T90" i="1"/>
  <c r="T66" i="1"/>
  <c r="T62" i="1"/>
  <c r="AA43" i="1"/>
  <c r="AA35" i="1"/>
  <c r="T30" i="1"/>
  <c r="T18" i="1"/>
  <c r="AA14" i="1"/>
  <c r="X135" i="1"/>
  <c r="AI156" i="1"/>
  <c r="AA222" i="1"/>
  <c r="T218" i="1"/>
  <c r="X215" i="1"/>
  <c r="T150" i="1"/>
  <c r="T138" i="1"/>
  <c r="T118" i="1"/>
  <c r="T54" i="1"/>
  <c r="AA34" i="1"/>
  <c r="T22" i="1"/>
  <c r="AA15" i="1"/>
  <c r="X186" i="1"/>
  <c r="X121" i="1"/>
  <c r="AA168" i="1"/>
  <c r="AA139" i="1"/>
  <c r="AA131" i="1"/>
  <c r="AA107" i="1"/>
  <c r="AA100" i="1"/>
  <c r="AI220" i="1"/>
  <c r="R38" i="3"/>
  <c r="AA170" i="1"/>
  <c r="AA218" i="1"/>
  <c r="AA144" i="1"/>
  <c r="AA135" i="1"/>
  <c r="AA68" i="1"/>
  <c r="AA134" i="1"/>
  <c r="X24" i="1"/>
  <c r="R24" i="3"/>
  <c r="AA152" i="1"/>
  <c r="AA69" i="1"/>
  <c r="R31" i="3"/>
  <c r="P141" i="1"/>
  <c r="AA110" i="1"/>
  <c r="R21" i="3"/>
  <c r="AA195" i="1"/>
  <c r="AA228" i="1"/>
  <c r="T140" i="1"/>
  <c r="AA130" i="1"/>
  <c r="AA127" i="1"/>
  <c r="T120" i="1"/>
  <c r="AA44" i="1"/>
  <c r="AI69" i="1"/>
  <c r="T116" i="1"/>
  <c r="T71" i="1"/>
  <c r="AI149" i="1"/>
  <c r="AI113" i="1"/>
  <c r="AI109" i="1"/>
  <c r="AI105" i="1"/>
  <c r="T53" i="1"/>
  <c r="X25" i="1"/>
  <c r="T205" i="1"/>
  <c r="X189" i="1"/>
  <c r="X174" i="1"/>
  <c r="X173" i="1"/>
  <c r="T161" i="1"/>
  <c r="T217" i="1"/>
  <c r="T213" i="1"/>
  <c r="T209" i="1"/>
  <c r="T61" i="1"/>
  <c r="T49" i="1"/>
  <c r="X45" i="1"/>
  <c r="X41" i="1"/>
  <c r="T37" i="1"/>
  <c r="T33" i="1"/>
  <c r="T29" i="1"/>
  <c r="T169" i="1"/>
  <c r="T132" i="1"/>
  <c r="T128" i="1"/>
  <c r="X122" i="1"/>
  <c r="T100" i="1"/>
  <c r="AI97" i="1"/>
  <c r="T81" i="1"/>
  <c r="T73" i="1"/>
  <c r="AI65" i="1"/>
  <c r="T17" i="1"/>
  <c r="AI223" i="1"/>
  <c r="AI181" i="1"/>
  <c r="T175" i="1"/>
  <c r="AI233" i="1"/>
  <c r="AI229" i="1"/>
  <c r="AI212" i="1"/>
  <c r="AI153" i="1"/>
  <c r="X140" i="1"/>
  <c r="AI137" i="1"/>
  <c r="AI77" i="1"/>
  <c r="AI25" i="1"/>
  <c r="T25" i="1"/>
  <c r="AI20" i="1"/>
  <c r="AI185" i="1"/>
  <c r="AI216" i="1"/>
  <c r="AI208" i="1"/>
  <c r="X190" i="1"/>
  <c r="X200" i="1"/>
  <c r="AA146" i="1"/>
  <c r="AA196" i="1"/>
  <c r="AA191" i="1"/>
  <c r="AA188" i="1"/>
  <c r="AA180" i="1"/>
  <c r="AA160" i="1"/>
  <c r="AA155" i="1"/>
  <c r="AA125" i="1"/>
  <c r="AA123" i="1"/>
  <c r="AA121" i="1"/>
  <c r="AA116" i="1"/>
  <c r="X85" i="1"/>
  <c r="AI73" i="1"/>
  <c r="AA56" i="1"/>
  <c r="AA27" i="1"/>
  <c r="X184" i="1"/>
  <c r="AA202" i="1"/>
  <c r="AA200" i="1"/>
  <c r="AA199" i="1"/>
  <c r="X178" i="1"/>
  <c r="AA217" i="1"/>
  <c r="AA158" i="1"/>
  <c r="AI116" i="1"/>
  <c r="X114" i="1"/>
  <c r="T92" i="1"/>
  <c r="P64" i="1"/>
  <c r="AA230" i="1"/>
  <c r="AA126" i="1"/>
  <c r="AA122" i="1"/>
  <c r="AA115" i="1"/>
  <c r="AA102" i="1"/>
  <c r="X98" i="1"/>
  <c r="AA94" i="1"/>
  <c r="X66" i="1"/>
  <c r="X57" i="1"/>
  <c r="AA45" i="1"/>
  <c r="X44" i="1"/>
  <c r="AA40" i="1"/>
  <c r="AA26" i="1"/>
  <c r="X188" i="1"/>
  <c r="X205" i="1"/>
  <c r="AA192" i="1"/>
  <c r="AA181" i="1"/>
  <c r="T178" i="1"/>
  <c r="AA177" i="1"/>
  <c r="AA167" i="1"/>
  <c r="AA233" i="1"/>
  <c r="AA231" i="1"/>
  <c r="AA215" i="1"/>
  <c r="X156" i="1"/>
  <c r="AA154" i="1"/>
  <c r="AA150" i="1"/>
  <c r="AA119" i="1"/>
  <c r="T114" i="1"/>
  <c r="AA113" i="1"/>
  <c r="T113" i="1"/>
  <c r="AA112" i="1"/>
  <c r="T98" i="1"/>
  <c r="AA97" i="1"/>
  <c r="T97" i="1"/>
  <c r="AA96" i="1"/>
  <c r="AA91" i="1"/>
  <c r="AA86" i="1"/>
  <c r="AI84" i="1"/>
  <c r="AA81" i="1"/>
  <c r="AA73" i="1"/>
  <c r="AI67" i="1"/>
  <c r="AA66" i="1"/>
  <c r="AA49" i="1"/>
  <c r="AA23" i="1"/>
  <c r="X187" i="1"/>
  <c r="X165" i="1"/>
  <c r="X228" i="1"/>
  <c r="X152" i="1"/>
  <c r="X148" i="1"/>
  <c r="T48" i="1"/>
  <c r="X42" i="1"/>
  <c r="T41" i="1"/>
  <c r="T38" i="1"/>
  <c r="X21" i="1"/>
  <c r="AA225" i="1"/>
  <c r="AA223" i="1"/>
  <c r="AA166" i="1"/>
  <c r="X211" i="1"/>
  <c r="AA207" i="1"/>
  <c r="AA149" i="1"/>
  <c r="AA142" i="1"/>
  <c r="AA132" i="1"/>
  <c r="AA120" i="1"/>
  <c r="X118" i="1"/>
  <c r="AI114" i="1"/>
  <c r="X113" i="1"/>
  <c r="AA108" i="1"/>
  <c r="X106" i="1"/>
  <c r="X101" i="1"/>
  <c r="AI98" i="1"/>
  <c r="X97" i="1"/>
  <c r="AA92" i="1"/>
  <c r="AA80" i="1"/>
  <c r="AA72" i="1"/>
  <c r="T65" i="1"/>
  <c r="AI58" i="1"/>
  <c r="AI53" i="1"/>
  <c r="AA48" i="1"/>
  <c r="AA47" i="1"/>
  <c r="X46" i="1"/>
  <c r="AA24" i="1"/>
  <c r="AA20" i="1"/>
  <c r="X185" i="1"/>
  <c r="T185" i="1"/>
  <c r="AI184" i="1"/>
  <c r="T184" i="1"/>
  <c r="X183" i="1"/>
  <c r="X224" i="1"/>
  <c r="AI224" i="1"/>
  <c r="X201" i="1"/>
  <c r="T201" i="1"/>
  <c r="T198" i="1"/>
  <c r="X192" i="1"/>
  <c r="T189" i="1"/>
  <c r="X223" i="1"/>
  <c r="T193" i="1"/>
  <c r="X193" i="1"/>
  <c r="T190" i="1"/>
  <c r="AI190" i="1"/>
  <c r="X181" i="1"/>
  <c r="T224" i="1"/>
  <c r="T221" i="1"/>
  <c r="AI200" i="1"/>
  <c r="T194" i="1"/>
  <c r="X182" i="1"/>
  <c r="T182" i="1"/>
  <c r="X197" i="1"/>
  <c r="T197" i="1"/>
  <c r="T186" i="1"/>
  <c r="AI186" i="1"/>
  <c r="X20" i="1"/>
  <c r="AA221" i="1"/>
  <c r="AI204" i="1"/>
  <c r="AA204" i="1"/>
  <c r="AA198" i="1"/>
  <c r="AA186" i="1"/>
  <c r="AA179" i="1"/>
  <c r="T174" i="1"/>
  <c r="T165" i="1"/>
  <c r="AA164" i="1"/>
  <c r="AA161" i="1"/>
  <c r="AA227" i="1"/>
  <c r="AA226" i="1"/>
  <c r="AA214" i="1"/>
  <c r="AA213" i="1"/>
  <c r="AA210" i="1"/>
  <c r="AA206" i="1"/>
  <c r="X155" i="1"/>
  <c r="AA151" i="1"/>
  <c r="T148" i="1"/>
  <c r="AA147" i="1"/>
  <c r="AA141" i="1"/>
  <c r="X136" i="1"/>
  <c r="AA136" i="1"/>
  <c r="X132" i="1"/>
  <c r="AA128" i="1"/>
  <c r="AI124" i="1"/>
  <c r="X124" i="1"/>
  <c r="AI123" i="1"/>
  <c r="X117" i="1"/>
  <c r="T106" i="1"/>
  <c r="AA104" i="1"/>
  <c r="X102" i="1"/>
  <c r="AI100" i="1"/>
  <c r="X90" i="1"/>
  <c r="X89" i="1"/>
  <c r="AI88" i="1"/>
  <c r="AA53" i="1"/>
  <c r="AA38" i="1"/>
  <c r="AA37" i="1"/>
  <c r="AA32" i="1"/>
  <c r="AA29" i="1"/>
  <c r="AA21" i="1"/>
  <c r="AI17" i="1"/>
  <c r="X17" i="1"/>
  <c r="X172" i="1"/>
  <c r="X168" i="1"/>
  <c r="X84" i="1"/>
  <c r="X58" i="1"/>
  <c r="T57" i="1"/>
  <c r="X53" i="1"/>
  <c r="X52" i="1"/>
  <c r="T50" i="1"/>
  <c r="AA203" i="1"/>
  <c r="AA194" i="1"/>
  <c r="AA190" i="1"/>
  <c r="AA176" i="1"/>
  <c r="X169" i="1"/>
  <c r="AA163" i="1"/>
  <c r="X232" i="1"/>
  <c r="X227" i="1"/>
  <c r="AA220" i="1"/>
  <c r="X214" i="1"/>
  <c r="AA212" i="1"/>
  <c r="AA211" i="1"/>
  <c r="AA209" i="1"/>
  <c r="AA157" i="1"/>
  <c r="X151" i="1"/>
  <c r="AI148" i="1"/>
  <c r="AA143" i="1"/>
  <c r="AA138" i="1"/>
  <c r="AI106" i="1"/>
  <c r="X105" i="1"/>
  <c r="AI104" i="1"/>
  <c r="AA99" i="1"/>
  <c r="AA88" i="1"/>
  <c r="X86" i="1"/>
  <c r="AA83" i="1"/>
  <c r="X82" i="1"/>
  <c r="AA65" i="1"/>
  <c r="AA61" i="1"/>
  <c r="AI54" i="1"/>
  <c r="AA52" i="1"/>
  <c r="AA50" i="1"/>
  <c r="AA39" i="1"/>
  <c r="X33" i="1"/>
  <c r="AA17" i="1"/>
  <c r="AI16" i="1"/>
  <c r="AA205" i="1"/>
  <c r="T204" i="1"/>
  <c r="AA197" i="1"/>
  <c r="T196" i="1"/>
  <c r="AA189" i="1"/>
  <c r="T188" i="1"/>
  <c r="AA178" i="1"/>
  <c r="T177" i="1"/>
  <c r="T160" i="1"/>
  <c r="T206" i="1"/>
  <c r="T143" i="1"/>
  <c r="T127" i="1"/>
  <c r="T122" i="1"/>
  <c r="AA171" i="1"/>
  <c r="AA169" i="1"/>
  <c r="X164" i="1"/>
  <c r="AI161" i="1"/>
  <c r="X161" i="1"/>
  <c r="AA232" i="1"/>
  <c r="T231" i="1"/>
  <c r="AA229" i="1"/>
  <c r="T228" i="1"/>
  <c r="AA216" i="1"/>
  <c r="T215" i="1"/>
  <c r="X210" i="1"/>
  <c r="X207" i="1"/>
  <c r="AA156" i="1"/>
  <c r="T155" i="1"/>
  <c r="AA153" i="1"/>
  <c r="T152" i="1"/>
  <c r="X147" i="1"/>
  <c r="X144" i="1"/>
  <c r="AA140" i="1"/>
  <c r="T139" i="1"/>
  <c r="AA137" i="1"/>
  <c r="T136" i="1"/>
  <c r="X131" i="1"/>
  <c r="X128" i="1"/>
  <c r="AA124" i="1"/>
  <c r="AI121" i="1"/>
  <c r="T121" i="1"/>
  <c r="AA224" i="1"/>
  <c r="T223" i="1"/>
  <c r="X204" i="1"/>
  <c r="AA201" i="1"/>
  <c r="T200" i="1"/>
  <c r="X196" i="1"/>
  <c r="AA193" i="1"/>
  <c r="T192" i="1"/>
  <c r="AA182" i="1"/>
  <c r="T181" i="1"/>
  <c r="X177" i="1"/>
  <c r="AA174" i="1"/>
  <c r="T173" i="1"/>
  <c r="T168" i="1"/>
  <c r="X160" i="1"/>
  <c r="T227" i="1"/>
  <c r="T214" i="1"/>
  <c r="X206" i="1"/>
  <c r="T151" i="1"/>
  <c r="X143" i="1"/>
  <c r="T135" i="1"/>
  <c r="X127" i="1"/>
  <c r="AI120" i="1"/>
  <c r="AA172" i="1"/>
  <c r="AA165" i="1"/>
  <c r="T164" i="1"/>
  <c r="AA162" i="1"/>
  <c r="X231" i="1"/>
  <c r="AA219" i="1"/>
  <c r="X218" i="1"/>
  <c r="AI215" i="1"/>
  <c r="T210" i="1"/>
  <c r="AA208" i="1"/>
  <c r="AI152" i="1"/>
  <c r="AA148" i="1"/>
  <c r="T147" i="1"/>
  <c r="AA145" i="1"/>
  <c r="X139" i="1"/>
  <c r="AI136" i="1"/>
  <c r="T131" i="1"/>
  <c r="AA129" i="1"/>
  <c r="AI117" i="1"/>
  <c r="T117" i="1"/>
  <c r="X78" i="1"/>
  <c r="X74" i="1"/>
  <c r="X70" i="1"/>
  <c r="T60" i="1"/>
  <c r="AA57" i="1"/>
  <c r="T56" i="1"/>
  <c r="T45" i="1"/>
  <c r="AA41" i="1"/>
  <c r="T40" i="1"/>
  <c r="AI37" i="1"/>
  <c r="X37" i="1"/>
  <c r="AA33" i="1"/>
  <c r="T32" i="1"/>
  <c r="T28" i="1"/>
  <c r="T20" i="1"/>
  <c r="AA118" i="1"/>
  <c r="AA117" i="1"/>
  <c r="AA114" i="1"/>
  <c r="X110" i="1"/>
  <c r="X109" i="1"/>
  <c r="AA103" i="1"/>
  <c r="AA101" i="1"/>
  <c r="T101" i="1"/>
  <c r="AA98" i="1"/>
  <c r="X94" i="1"/>
  <c r="X93" i="1"/>
  <c r="AA87" i="1"/>
  <c r="AA85" i="1"/>
  <c r="T85" i="1"/>
  <c r="AA79" i="1"/>
  <c r="X77" i="1"/>
  <c r="AA75" i="1"/>
  <c r="X73" i="1"/>
  <c r="AA71" i="1"/>
  <c r="X69" i="1"/>
  <c r="AA67" i="1"/>
  <c r="AA64" i="1"/>
  <c r="AA63" i="1"/>
  <c r="X61" i="1"/>
  <c r="AA59" i="1"/>
  <c r="AA58" i="1"/>
  <c r="AI57" i="1"/>
  <c r="AA55" i="1"/>
  <c r="AA54" i="1"/>
  <c r="X49" i="1"/>
  <c r="X48" i="1"/>
  <c r="AA46" i="1"/>
  <c r="T46" i="1"/>
  <c r="T44" i="1"/>
  <c r="AA42" i="1"/>
  <c r="T42" i="1"/>
  <c r="AI41" i="1"/>
  <c r="X36" i="1"/>
  <c r="AI33" i="1"/>
  <c r="AI29" i="1"/>
  <c r="X29" i="1"/>
  <c r="AA25" i="1"/>
  <c r="T24" i="1"/>
  <c r="AA22" i="1"/>
  <c r="T21" i="1"/>
  <c r="X16" i="1"/>
  <c r="AA105" i="1"/>
  <c r="T105" i="1"/>
  <c r="AI92" i="1"/>
  <c r="AA89" i="1"/>
  <c r="T89" i="1"/>
  <c r="AA84" i="1"/>
  <c r="T84" i="1"/>
  <c r="AA82" i="1"/>
  <c r="T82" i="1"/>
  <c r="AA78" i="1"/>
  <c r="T78" i="1"/>
  <c r="AA74" i="1"/>
  <c r="T74" i="1"/>
  <c r="AA70" i="1"/>
  <c r="T70" i="1"/>
  <c r="X65" i="1"/>
  <c r="X62" i="1"/>
  <c r="X60" i="1"/>
  <c r="X56" i="1"/>
  <c r="T52" i="1"/>
  <c r="AA51" i="1"/>
  <c r="X50" i="1"/>
  <c r="X40" i="1"/>
  <c r="X38" i="1"/>
  <c r="X32" i="1"/>
  <c r="X28" i="1"/>
  <c r="AA111" i="1"/>
  <c r="AA109" i="1"/>
  <c r="T109" i="1"/>
  <c r="AA106" i="1"/>
  <c r="AA95" i="1"/>
  <c r="AA93" i="1"/>
  <c r="T93" i="1"/>
  <c r="AA90" i="1"/>
  <c r="T36" i="1"/>
  <c r="AA30" i="1"/>
  <c r="AI21" i="1"/>
  <c r="AI231" i="1"/>
  <c r="AI219" i="1"/>
  <c r="AI227" i="1"/>
  <c r="T166" i="1"/>
  <c r="X166" i="1"/>
  <c r="AI165" i="1"/>
  <c r="AI147" i="1"/>
  <c r="AI133" i="1"/>
  <c r="AI131" i="1"/>
  <c r="T171" i="1"/>
  <c r="X171" i="1"/>
  <c r="AI188" i="1"/>
  <c r="AI145" i="1"/>
  <c r="AI143" i="1"/>
  <c r="AI129" i="1"/>
  <c r="AI127" i="1"/>
  <c r="X225" i="1"/>
  <c r="X221" i="1"/>
  <c r="AI203" i="1"/>
  <c r="X202" i="1"/>
  <c r="AI199" i="1"/>
  <c r="X198" i="1"/>
  <c r="AI195" i="1"/>
  <c r="X194" i="1"/>
  <c r="AI191" i="1"/>
  <c r="AI187" i="1"/>
  <c r="AI180" i="1"/>
  <c r="X179" i="1"/>
  <c r="AI176" i="1"/>
  <c r="X175" i="1"/>
  <c r="AI172" i="1"/>
  <c r="T172" i="1"/>
  <c r="AI179" i="1"/>
  <c r="AI155" i="1"/>
  <c r="AI141" i="1"/>
  <c r="AI139" i="1"/>
  <c r="AI125" i="1"/>
  <c r="X222" i="1"/>
  <c r="X203" i="1"/>
  <c r="X199" i="1"/>
  <c r="X195" i="1"/>
  <c r="X191" i="1"/>
  <c r="X180" i="1"/>
  <c r="AI205" i="1"/>
  <c r="X176" i="1"/>
  <c r="T170" i="1"/>
  <c r="X170" i="1"/>
  <c r="AI175" i="1"/>
  <c r="AI169" i="1"/>
  <c r="AI151" i="1"/>
  <c r="AI167" i="1"/>
  <c r="AI163" i="1"/>
  <c r="X162" i="1"/>
  <c r="T162" i="1"/>
  <c r="X233" i="1"/>
  <c r="T233" i="1"/>
  <c r="X229" i="1"/>
  <c r="T229" i="1"/>
  <c r="X220" i="1"/>
  <c r="T220" i="1"/>
  <c r="X216" i="1"/>
  <c r="T216" i="1"/>
  <c r="AI168" i="1"/>
  <c r="AI213" i="1"/>
  <c r="X212" i="1"/>
  <c r="T212" i="1"/>
  <c r="AI164" i="1"/>
  <c r="AI209" i="1"/>
  <c r="X208" i="1"/>
  <c r="T208" i="1"/>
  <c r="AI160" i="1"/>
  <c r="X157" i="1"/>
  <c r="T157" i="1"/>
  <c r="X153" i="1"/>
  <c r="T153" i="1"/>
  <c r="X149" i="1"/>
  <c r="T149" i="1"/>
  <c r="X145" i="1"/>
  <c r="T145" i="1"/>
  <c r="X141" i="1"/>
  <c r="T141" i="1"/>
  <c r="AI140" i="1"/>
  <c r="X137" i="1"/>
  <c r="T137" i="1"/>
  <c r="X133" i="1"/>
  <c r="T133" i="1"/>
  <c r="AI132" i="1"/>
  <c r="X129" i="1"/>
  <c r="T129" i="1"/>
  <c r="X125" i="1"/>
  <c r="T125" i="1"/>
  <c r="T123" i="1"/>
  <c r="AI111" i="1"/>
  <c r="AI95" i="1"/>
  <c r="AI93" i="1"/>
  <c r="AI83" i="1"/>
  <c r="X167" i="1"/>
  <c r="X163" i="1"/>
  <c r="X159" i="1"/>
  <c r="X230" i="1"/>
  <c r="X226" i="1"/>
  <c r="X217" i="1"/>
  <c r="X213" i="1"/>
  <c r="X209" i="1"/>
  <c r="X158" i="1"/>
  <c r="X154" i="1"/>
  <c r="X150" i="1"/>
  <c r="X146" i="1"/>
  <c r="X142" i="1"/>
  <c r="X138" i="1"/>
  <c r="X134" i="1"/>
  <c r="X130" i="1"/>
  <c r="X126" i="1"/>
  <c r="X123" i="1"/>
  <c r="X120" i="1"/>
  <c r="T119" i="1"/>
  <c r="X119" i="1"/>
  <c r="AI115" i="1"/>
  <c r="AI99" i="1"/>
  <c r="AI118" i="1"/>
  <c r="AI103" i="1"/>
  <c r="AI101" i="1"/>
  <c r="AI87" i="1"/>
  <c r="AI85" i="1"/>
  <c r="AI107" i="1"/>
  <c r="AI91" i="1"/>
  <c r="AI89" i="1"/>
  <c r="X115" i="1"/>
  <c r="T115" i="1"/>
  <c r="X111" i="1"/>
  <c r="T111" i="1"/>
  <c r="AI110" i="1"/>
  <c r="X107" i="1"/>
  <c r="T107" i="1"/>
  <c r="X103" i="1"/>
  <c r="T103" i="1"/>
  <c r="X99" i="1"/>
  <c r="T99" i="1"/>
  <c r="X95" i="1"/>
  <c r="T95" i="1"/>
  <c r="AI94" i="1"/>
  <c r="X91" i="1"/>
  <c r="T91" i="1"/>
  <c r="X87" i="1"/>
  <c r="T87" i="1"/>
  <c r="AI86" i="1"/>
  <c r="AI60" i="1"/>
  <c r="AI56" i="1"/>
  <c r="X116" i="1"/>
  <c r="X112" i="1"/>
  <c r="X108" i="1"/>
  <c r="X104" i="1"/>
  <c r="X100" i="1"/>
  <c r="X96" i="1"/>
  <c r="X92" i="1"/>
  <c r="X88" i="1"/>
  <c r="AI82" i="1"/>
  <c r="X81" i="1"/>
  <c r="T80" i="1"/>
  <c r="X80" i="1"/>
  <c r="AI59" i="1"/>
  <c r="AI55" i="1"/>
  <c r="AI52" i="1"/>
  <c r="T83" i="1"/>
  <c r="X83" i="1"/>
  <c r="AI78" i="1"/>
  <c r="AI74" i="1"/>
  <c r="AI70" i="1"/>
  <c r="X79" i="1"/>
  <c r="X75" i="1"/>
  <c r="X71" i="1"/>
  <c r="X67" i="1"/>
  <c r="X63" i="1"/>
  <c r="AI62" i="1"/>
  <c r="X59" i="1"/>
  <c r="T59" i="1"/>
  <c r="X55" i="1"/>
  <c r="T55" i="1"/>
  <c r="AI48" i="1"/>
  <c r="AI40" i="1"/>
  <c r="AI32" i="1"/>
  <c r="AI28" i="1"/>
  <c r="AI79" i="1"/>
  <c r="X76" i="1"/>
  <c r="T76" i="1"/>
  <c r="X72" i="1"/>
  <c r="T72" i="1"/>
  <c r="AI71" i="1"/>
  <c r="X68" i="1"/>
  <c r="T68" i="1"/>
  <c r="X64" i="1"/>
  <c r="T64" i="1"/>
  <c r="AI63" i="1"/>
  <c r="AI50" i="1"/>
  <c r="AI44" i="1"/>
  <c r="AI38" i="1"/>
  <c r="AI24" i="1"/>
  <c r="T51" i="1"/>
  <c r="X51" i="1"/>
  <c r="AI46" i="1"/>
  <c r="AI42" i="1"/>
  <c r="X54" i="1"/>
  <c r="AI36" i="1"/>
  <c r="X34" i="1"/>
  <c r="X30" i="1"/>
  <c r="X26" i="1"/>
  <c r="X22" i="1"/>
  <c r="X18" i="1"/>
  <c r="X47" i="1"/>
  <c r="X43" i="1"/>
  <c r="X39" i="1"/>
  <c r="X35" i="1"/>
  <c r="X31" i="1"/>
  <c r="X27" i="1"/>
  <c r="X23" i="1"/>
  <c r="X19" i="1"/>
  <c r="X15" i="1"/>
  <c r="Y52" i="3"/>
  <c r="Y14" i="3"/>
  <c r="Y37" i="3"/>
  <c r="Y13" i="3"/>
  <c r="Y29" i="3"/>
  <c r="Y38" i="3"/>
  <c r="Y34" i="3"/>
  <c r="Y44" i="3"/>
  <c r="Y36" i="3"/>
  <c r="Y50" i="3"/>
  <c r="Y18" i="3"/>
  <c r="Y8" i="3"/>
  <c r="Y47" i="3"/>
  <c r="Y27" i="3"/>
  <c r="Y21" i="3"/>
  <c r="Y28" i="3"/>
  <c r="Y31" i="3"/>
  <c r="Y49" i="3"/>
  <c r="Y24" i="3"/>
  <c r="Y46" i="3"/>
  <c r="Y30" i="3"/>
  <c r="M26" i="3"/>
  <c r="U26" i="3"/>
  <c r="AI157" i="1" l="1"/>
  <c r="AI173" i="1"/>
  <c r="AI177" i="1"/>
  <c r="AI66" i="1"/>
  <c r="AI135" i="1"/>
  <c r="AI108" i="1"/>
  <c r="AI75" i="1"/>
  <c r="AI90" i="1"/>
  <c r="AI221" i="1"/>
  <c r="AI81" i="1"/>
  <c r="AI128" i="1"/>
  <c r="AI201" i="1"/>
  <c r="AI225" i="1"/>
  <c r="AI211" i="1"/>
  <c r="AI102" i="1"/>
  <c r="AI194" i="1"/>
  <c r="AI144" i="1"/>
  <c r="AI207" i="1"/>
  <c r="AI183" i="1"/>
  <c r="AI45" i="1"/>
  <c r="AI96" i="1"/>
  <c r="AI112" i="1"/>
  <c r="AI47" i="1"/>
  <c r="AI232" i="1"/>
  <c r="AI217" i="1"/>
  <c r="AI49" i="1"/>
  <c r="AI61" i="1"/>
  <c r="AI159" i="1"/>
  <c r="AI171" i="1"/>
  <c r="AI228" i="1"/>
  <c r="AI122" i="1"/>
  <c r="AI27" i="1"/>
  <c r="AI39" i="1"/>
  <c r="AI22" i="1"/>
  <c r="AI64" i="1"/>
  <c r="AI76" i="1"/>
  <c r="AI15" i="1"/>
  <c r="AI23" i="1"/>
  <c r="AI31" i="1"/>
  <c r="AI43" i="1"/>
  <c r="AI26" i="1"/>
  <c r="AI119" i="1"/>
  <c r="AI130" i="1"/>
  <c r="AI146" i="1"/>
  <c r="AI162" i="1"/>
  <c r="AI178" i="1"/>
  <c r="AI192" i="1"/>
  <c r="AI14" i="1"/>
  <c r="AI30" i="1"/>
  <c r="AI51" i="1"/>
  <c r="AI72" i="1"/>
  <c r="AI134" i="1"/>
  <c r="AI150" i="1"/>
  <c r="AI166" i="1"/>
  <c r="AI182" i="1"/>
  <c r="AI193" i="1"/>
  <c r="AI198" i="1"/>
  <c r="AI206" i="1"/>
  <c r="AI214" i="1"/>
  <c r="AI222" i="1"/>
  <c r="AI230" i="1"/>
  <c r="AI19" i="1"/>
  <c r="AI35" i="1"/>
  <c r="AI18" i="1"/>
  <c r="AI34" i="1"/>
  <c r="AI138" i="1"/>
  <c r="AI154" i="1"/>
  <c r="AI170" i="1"/>
  <c r="AI189" i="1"/>
  <c r="AI196" i="1"/>
  <c r="AI68" i="1"/>
  <c r="AI80" i="1"/>
  <c r="AI126" i="1"/>
  <c r="AI142" i="1"/>
  <c r="AI158" i="1"/>
  <c r="AI174" i="1"/>
  <c r="AI202" i="1"/>
  <c r="AI210" i="1"/>
  <c r="AI218" i="1"/>
  <c r="AI226" i="1"/>
  <c r="AI197" i="1"/>
  <c r="Y26" i="3"/>
  <c r="Z13" i="1" l="1"/>
  <c r="Y13" i="1"/>
  <c r="O2" i="3" l="1"/>
  <c r="M28" i="5" l="1"/>
  <c r="M23" i="5" l="1"/>
  <c r="AN17" i="1" l="1"/>
  <c r="V18" i="1"/>
  <c r="AN21" i="1"/>
  <c r="V22" i="1"/>
  <c r="AN25" i="1"/>
  <c r="V26" i="1"/>
  <c r="S17" i="3" s="1"/>
  <c r="AN29" i="1"/>
  <c r="V30" i="1"/>
  <c r="AN33" i="1"/>
  <c r="V34" i="1"/>
  <c r="AN37" i="1"/>
  <c r="V38" i="1"/>
  <c r="AN41" i="1"/>
  <c r="V42" i="1"/>
  <c r="AN45" i="1"/>
  <c r="V46" i="1"/>
  <c r="AN49" i="1"/>
  <c r="V50" i="1"/>
  <c r="AN53" i="1"/>
  <c r="V54" i="1"/>
  <c r="AN57" i="1"/>
  <c r="V58" i="1"/>
  <c r="AN60" i="1"/>
  <c r="V61" i="1"/>
  <c r="AN64" i="1"/>
  <c r="V65" i="1"/>
  <c r="AN68" i="1"/>
  <c r="V69" i="1"/>
  <c r="AN72" i="1"/>
  <c r="V73" i="1"/>
  <c r="V32" i="3"/>
  <c r="AE32" i="3" s="1"/>
  <c r="AN14" i="1"/>
  <c r="V15" i="1"/>
  <c r="AN18" i="1"/>
  <c r="V19" i="1"/>
  <c r="AN22" i="1"/>
  <c r="V23" i="1"/>
  <c r="AN26" i="1"/>
  <c r="V27" i="1"/>
  <c r="AN30" i="1"/>
  <c r="V31" i="1"/>
  <c r="AN34" i="1"/>
  <c r="V35" i="1"/>
  <c r="S22" i="3" s="1"/>
  <c r="AN38" i="1"/>
  <c r="V39" i="1"/>
  <c r="AN42" i="1"/>
  <c r="V43" i="1"/>
  <c r="AN46" i="1"/>
  <c r="V47" i="1"/>
  <c r="AN50" i="1"/>
  <c r="V51" i="1"/>
  <c r="AN54" i="1"/>
  <c r="V55" i="1"/>
  <c r="AN61" i="1"/>
  <c r="V62" i="1"/>
  <c r="AN65" i="1"/>
  <c r="V66" i="1"/>
  <c r="AN69" i="1"/>
  <c r="V70" i="1"/>
  <c r="AN73" i="1"/>
  <c r="V74" i="1"/>
  <c r="AD32" i="3"/>
  <c r="V185" i="1"/>
  <c r="AN185" i="1"/>
  <c r="V184" i="1"/>
  <c r="AN184" i="1"/>
  <c r="AN15" i="1"/>
  <c r="V16" i="1"/>
  <c r="AN19" i="1"/>
  <c r="V20" i="1"/>
  <c r="AN23" i="1"/>
  <c r="V24" i="1"/>
  <c r="AN27" i="1"/>
  <c r="V28" i="1"/>
  <c r="AN31" i="1"/>
  <c r="V32" i="1"/>
  <c r="AN35" i="1"/>
  <c r="V36" i="1"/>
  <c r="AN39" i="1"/>
  <c r="V40" i="1"/>
  <c r="AN43" i="1"/>
  <c r="V44" i="1"/>
  <c r="AN47" i="1"/>
  <c r="V48" i="1"/>
  <c r="AN51" i="1"/>
  <c r="V52" i="1"/>
  <c r="S18" i="3" s="1"/>
  <c r="AN55" i="1"/>
  <c r="V56" i="1"/>
  <c r="AN58" i="1"/>
  <c r="V59" i="1"/>
  <c r="AN62" i="1"/>
  <c r="V63" i="1"/>
  <c r="AN66" i="1"/>
  <c r="V67" i="1"/>
  <c r="S29" i="3" s="1"/>
  <c r="AN70" i="1"/>
  <c r="V71" i="1"/>
  <c r="S13" i="3" s="1"/>
  <c r="V183" i="1"/>
  <c r="AN183" i="1"/>
  <c r="V14" i="1"/>
  <c r="AN16" i="1"/>
  <c r="V17" i="1"/>
  <c r="AN20" i="1"/>
  <c r="V21" i="1"/>
  <c r="AN24" i="1"/>
  <c r="V25" i="1"/>
  <c r="AN28" i="1"/>
  <c r="V29" i="1"/>
  <c r="AN32" i="1"/>
  <c r="V33" i="1"/>
  <c r="AN36" i="1"/>
  <c r="V37" i="1"/>
  <c r="AN40" i="1"/>
  <c r="V41" i="1"/>
  <c r="AN44" i="1"/>
  <c r="V45" i="1"/>
  <c r="AN48" i="1"/>
  <c r="V49" i="1"/>
  <c r="S12" i="3" s="1"/>
  <c r="AN52" i="1"/>
  <c r="V53" i="1"/>
  <c r="AN56" i="1"/>
  <c r="V57" i="1"/>
  <c r="AN59" i="1"/>
  <c r="V60" i="1"/>
  <c r="AN63" i="1"/>
  <c r="V64" i="1"/>
  <c r="AN67" i="1"/>
  <c r="V68" i="1"/>
  <c r="AN71" i="1"/>
  <c r="V72" i="1"/>
  <c r="AN75" i="1"/>
  <c r="V76" i="1"/>
  <c r="AN74" i="1"/>
  <c r="AN77" i="1"/>
  <c r="V78" i="1"/>
  <c r="AN81" i="1"/>
  <c r="V82" i="1"/>
  <c r="AN85" i="1"/>
  <c r="V86" i="1"/>
  <c r="AN89" i="1"/>
  <c r="V90" i="1"/>
  <c r="AN93" i="1"/>
  <c r="V94" i="1"/>
  <c r="AN97" i="1"/>
  <c r="V98" i="1"/>
  <c r="AN101" i="1"/>
  <c r="V102" i="1"/>
  <c r="AN104" i="1"/>
  <c r="V105" i="1"/>
  <c r="AN108" i="1"/>
  <c r="V109" i="1"/>
  <c r="S7" i="3" s="1"/>
  <c r="AN111" i="1"/>
  <c r="V112" i="1"/>
  <c r="AN115" i="1"/>
  <c r="V116" i="1"/>
  <c r="AN119" i="1"/>
  <c r="V120" i="1"/>
  <c r="AN123" i="1"/>
  <c r="V124" i="1"/>
  <c r="AN126" i="1"/>
  <c r="V127" i="1"/>
  <c r="S28" i="3" s="1"/>
  <c r="AN130" i="1"/>
  <c r="V131" i="1"/>
  <c r="S34" i="3" s="1"/>
  <c r="AN134" i="1"/>
  <c r="V135" i="1"/>
  <c r="AN138" i="1"/>
  <c r="V139" i="1"/>
  <c r="AN78" i="1"/>
  <c r="V79" i="1"/>
  <c r="AN82" i="1"/>
  <c r="V83" i="1"/>
  <c r="AN86" i="1"/>
  <c r="V87" i="1"/>
  <c r="AN90" i="1"/>
  <c r="V91" i="1"/>
  <c r="AN94" i="1"/>
  <c r="V95" i="1"/>
  <c r="S11" i="3" s="1"/>
  <c r="AN98" i="1"/>
  <c r="V99" i="1"/>
  <c r="S19" i="3" s="1"/>
  <c r="AN105" i="1"/>
  <c r="V106" i="1"/>
  <c r="AN109" i="1"/>
  <c r="V110" i="1"/>
  <c r="AN112" i="1"/>
  <c r="V113" i="1"/>
  <c r="AN116" i="1"/>
  <c r="V117" i="1"/>
  <c r="AN120" i="1"/>
  <c r="V121" i="1"/>
  <c r="S33" i="3" s="1"/>
  <c r="AN124" i="1"/>
  <c r="V125" i="1"/>
  <c r="S9" i="3" s="1"/>
  <c r="AN127" i="1"/>
  <c r="V128" i="1"/>
  <c r="AN131" i="1"/>
  <c r="V132" i="1"/>
  <c r="AN135" i="1"/>
  <c r="V136" i="1"/>
  <c r="AN79" i="1"/>
  <c r="V80" i="1"/>
  <c r="AN83" i="1"/>
  <c r="V84" i="1"/>
  <c r="AN87" i="1"/>
  <c r="V88" i="1"/>
  <c r="AN91" i="1"/>
  <c r="V92" i="1"/>
  <c r="AN95" i="1"/>
  <c r="V96" i="1"/>
  <c r="AN99" i="1"/>
  <c r="V100" i="1"/>
  <c r="AN102" i="1"/>
  <c r="V103" i="1"/>
  <c r="AN106" i="1"/>
  <c r="V107" i="1"/>
  <c r="AN113" i="1"/>
  <c r="V114" i="1"/>
  <c r="AN117" i="1"/>
  <c r="V118" i="1"/>
  <c r="AN121" i="1"/>
  <c r="V122" i="1"/>
  <c r="S37" i="3" s="1"/>
  <c r="AN125" i="1"/>
  <c r="V126" i="1"/>
  <c r="AN128" i="1"/>
  <c r="V129" i="1"/>
  <c r="AN132" i="1"/>
  <c r="V133" i="1"/>
  <c r="S27" i="3" s="1"/>
  <c r="AN136" i="1"/>
  <c r="V137" i="1"/>
  <c r="S20" i="3" s="1"/>
  <c r="V75" i="1"/>
  <c r="AN76" i="1"/>
  <c r="V77" i="1"/>
  <c r="AN80" i="1"/>
  <c r="V81" i="1"/>
  <c r="S10" i="3" s="1"/>
  <c r="AN84" i="1"/>
  <c r="V85" i="1"/>
  <c r="AN88" i="1"/>
  <c r="V89" i="1"/>
  <c r="AN92" i="1"/>
  <c r="V93" i="1"/>
  <c r="AN96" i="1"/>
  <c r="V97" i="1"/>
  <c r="AN100" i="1"/>
  <c r="V101" i="1"/>
  <c r="AN103" i="1"/>
  <c r="V104" i="1"/>
  <c r="AN107" i="1"/>
  <c r="V108" i="1"/>
  <c r="S36" i="3" s="1"/>
  <c r="AN110" i="1"/>
  <c r="V111" i="1"/>
  <c r="AN114" i="1"/>
  <c r="V115" i="1"/>
  <c r="AN118" i="1"/>
  <c r="V119" i="1"/>
  <c r="AN122" i="1"/>
  <c r="V123" i="1"/>
  <c r="AN129" i="1"/>
  <c r="V130" i="1"/>
  <c r="S30" i="3" s="1"/>
  <c r="AN133" i="1"/>
  <c r="V134" i="1"/>
  <c r="AN137" i="1"/>
  <c r="V138" i="1"/>
  <c r="AN141" i="1"/>
  <c r="V142" i="1"/>
  <c r="V141" i="1"/>
  <c r="AN144" i="1"/>
  <c r="V145" i="1"/>
  <c r="AN148" i="1"/>
  <c r="V149" i="1"/>
  <c r="AN152" i="1"/>
  <c r="V153" i="1"/>
  <c r="AN155" i="1"/>
  <c r="V156" i="1"/>
  <c r="AN159" i="1"/>
  <c r="V207" i="1"/>
  <c r="AN162" i="1"/>
  <c r="V210" i="1"/>
  <c r="AN166" i="1"/>
  <c r="V214" i="1"/>
  <c r="AN170" i="1"/>
  <c r="V218" i="1"/>
  <c r="S54" i="3" s="1"/>
  <c r="AN177" i="1"/>
  <c r="V230" i="1"/>
  <c r="S56" i="3" s="1"/>
  <c r="AN180" i="1"/>
  <c r="V233" i="1"/>
  <c r="AN188" i="1"/>
  <c r="V163" i="1"/>
  <c r="AN192" i="1"/>
  <c r="V167" i="1"/>
  <c r="AN195" i="1"/>
  <c r="V170" i="1"/>
  <c r="S43" i="3" s="1"/>
  <c r="AN199" i="1"/>
  <c r="V174" i="1"/>
  <c r="AN203" i="1"/>
  <c r="V178" i="1"/>
  <c r="AN207" i="1"/>
  <c r="V182" i="1"/>
  <c r="S50" i="3" s="1"/>
  <c r="V188" i="1"/>
  <c r="AN140" i="1"/>
  <c r="AN145" i="1"/>
  <c r="V146" i="1"/>
  <c r="AN149" i="1"/>
  <c r="V150" i="1"/>
  <c r="AN153" i="1"/>
  <c r="V154" i="1"/>
  <c r="AN156" i="1"/>
  <c r="V157" i="1"/>
  <c r="AN163" i="1"/>
  <c r="V211" i="1"/>
  <c r="AN167" i="1"/>
  <c r="V215" i="1"/>
  <c r="AN171" i="1"/>
  <c r="V219" i="1"/>
  <c r="AN174" i="1"/>
  <c r="V227" i="1"/>
  <c r="AN181" i="1"/>
  <c r="V159" i="1"/>
  <c r="S39" i="3" s="1"/>
  <c r="AN182" i="1"/>
  <c r="V160" i="1"/>
  <c r="AN189" i="1"/>
  <c r="V164" i="1"/>
  <c r="AN196" i="1"/>
  <c r="V171" i="1"/>
  <c r="AN200" i="1"/>
  <c r="V175" i="1"/>
  <c r="AN204" i="1"/>
  <c r="V179" i="1"/>
  <c r="AN208" i="1"/>
  <c r="V186" i="1"/>
  <c r="V140" i="1"/>
  <c r="V143" i="1"/>
  <c r="AN146" i="1"/>
  <c r="V147" i="1"/>
  <c r="AN150" i="1"/>
  <c r="V151" i="1"/>
  <c r="AN157" i="1"/>
  <c r="V158" i="1"/>
  <c r="AN160" i="1"/>
  <c r="V208" i="1"/>
  <c r="AN164" i="1"/>
  <c r="V212" i="1"/>
  <c r="AN168" i="1"/>
  <c r="V216" i="1"/>
  <c r="AN172" i="1"/>
  <c r="V220" i="1"/>
  <c r="AN175" i="1"/>
  <c r="V228" i="1"/>
  <c r="AN178" i="1"/>
  <c r="V231" i="1"/>
  <c r="AN186" i="1"/>
  <c r="V161" i="1"/>
  <c r="AN190" i="1"/>
  <c r="V165" i="1"/>
  <c r="S40" i="3" s="1"/>
  <c r="AN193" i="1"/>
  <c r="V168" i="1"/>
  <c r="AN197" i="1"/>
  <c r="V172" i="1"/>
  <c r="S48" i="3" s="1"/>
  <c r="AN201" i="1"/>
  <c r="V176" i="1"/>
  <c r="AN205" i="1"/>
  <c r="V180" i="1"/>
  <c r="AN209" i="1"/>
  <c r="V187" i="1"/>
  <c r="S44" i="3" s="1"/>
  <c r="AN212" i="1"/>
  <c r="V190" i="1"/>
  <c r="S51" i="3" s="1"/>
  <c r="AN139" i="1"/>
  <c r="AN142" i="1"/>
  <c r="AN143" i="1"/>
  <c r="V144" i="1"/>
  <c r="AN147" i="1"/>
  <c r="V148" i="1"/>
  <c r="AN151" i="1"/>
  <c r="V152" i="1"/>
  <c r="AN154" i="1"/>
  <c r="V155" i="1"/>
  <c r="AN158" i="1"/>
  <c r="V206" i="1"/>
  <c r="AN161" i="1"/>
  <c r="V209" i="1"/>
  <c r="AN165" i="1"/>
  <c r="V213" i="1"/>
  <c r="AN169" i="1"/>
  <c r="V217" i="1"/>
  <c r="AN173" i="1"/>
  <c r="V226" i="1"/>
  <c r="AN176" i="1"/>
  <c r="V229" i="1"/>
  <c r="AN179" i="1"/>
  <c r="V232" i="1"/>
  <c r="AN187" i="1"/>
  <c r="V162" i="1"/>
  <c r="S46" i="3" s="1"/>
  <c r="AN191" i="1"/>
  <c r="V166" i="1"/>
  <c r="S47" i="3" s="1"/>
  <c r="AN194" i="1"/>
  <c r="V169" i="1"/>
  <c r="AN198" i="1"/>
  <c r="V173" i="1"/>
  <c r="AN202" i="1"/>
  <c r="V177" i="1"/>
  <c r="AN206" i="1"/>
  <c r="V181" i="1"/>
  <c r="AN210" i="1"/>
  <c r="V189" i="1"/>
  <c r="AN215" i="1"/>
  <c r="V193" i="1"/>
  <c r="AN219" i="1"/>
  <c r="V197" i="1"/>
  <c r="AN223" i="1"/>
  <c r="V201" i="1"/>
  <c r="AN229" i="1"/>
  <c r="V222" i="1"/>
  <c r="S55" i="3" s="1"/>
  <c r="AN232" i="1"/>
  <c r="V225" i="1"/>
  <c r="V35" i="3"/>
  <c r="AE35" i="3" s="1"/>
  <c r="V46" i="3"/>
  <c r="AE46" i="3" s="1"/>
  <c r="V43" i="3"/>
  <c r="AE43" i="3" s="1"/>
  <c r="V12" i="3"/>
  <c r="AE12" i="3" s="1"/>
  <c r="V48" i="3"/>
  <c r="AE48" i="3" s="1"/>
  <c r="V23" i="3"/>
  <c r="AE23" i="3" s="1"/>
  <c r="V44" i="3"/>
  <c r="AE44" i="3" s="1"/>
  <c r="V7" i="3"/>
  <c r="V16" i="3"/>
  <c r="AE16" i="3" s="1"/>
  <c r="V51" i="3"/>
  <c r="AE51" i="3" s="1"/>
  <c r="V31" i="3"/>
  <c r="AE31" i="3" s="1"/>
  <c r="V37" i="3"/>
  <c r="AE37" i="3" s="1"/>
  <c r="V41" i="3"/>
  <c r="AE41" i="3" s="1"/>
  <c r="V33" i="3"/>
  <c r="AE33" i="3" s="1"/>
  <c r="V30" i="3"/>
  <c r="AE30" i="3" s="1"/>
  <c r="V28" i="3"/>
  <c r="AE28" i="3" s="1"/>
  <c r="V9" i="3"/>
  <c r="AE9" i="3" s="1"/>
  <c r="V27" i="3"/>
  <c r="AE27" i="3" s="1"/>
  <c r="AN233" i="1"/>
  <c r="V55" i="3"/>
  <c r="AE55" i="3" s="1"/>
  <c r="AC40" i="3"/>
  <c r="V47" i="3"/>
  <c r="AE47" i="3" s="1"/>
  <c r="V8" i="3"/>
  <c r="AE8" i="3" s="1"/>
  <c r="V29" i="3"/>
  <c r="AE29" i="3" s="1"/>
  <c r="V49" i="3"/>
  <c r="AE49" i="3" s="1"/>
  <c r="V13" i="3"/>
  <c r="AE13" i="3" s="1"/>
  <c r="V10" i="3"/>
  <c r="AE10" i="3" s="1"/>
  <c r="V50" i="3"/>
  <c r="AE50" i="3" s="1"/>
  <c r="V11" i="3"/>
  <c r="AE11" i="3" s="1"/>
  <c r="V36" i="3"/>
  <c r="AE36" i="3" s="1"/>
  <c r="AD40" i="3"/>
  <c r="V15" i="3"/>
  <c r="AE15" i="3" s="1"/>
  <c r="V14" i="3"/>
  <c r="AE14" i="3" s="1"/>
  <c r="V21" i="3"/>
  <c r="AE21" i="3" s="1"/>
  <c r="V42" i="3"/>
  <c r="AE42" i="3" s="1"/>
  <c r="V52" i="3"/>
  <c r="AE52" i="3" s="1"/>
  <c r="V20" i="3"/>
  <c r="AE20" i="3" s="1"/>
  <c r="AN222" i="1"/>
  <c r="V200" i="1"/>
  <c r="V45" i="3"/>
  <c r="AE45" i="3" s="1"/>
  <c r="AN211" i="1"/>
  <c r="AN216" i="1"/>
  <c r="V194" i="1"/>
  <c r="AN220" i="1"/>
  <c r="V198" i="1"/>
  <c r="AN224" i="1"/>
  <c r="V202" i="1"/>
  <c r="S52" i="3" s="1"/>
  <c r="AN226" i="1"/>
  <c r="V204" i="1"/>
  <c r="AN214" i="1"/>
  <c r="V192" i="1"/>
  <c r="AN225" i="1"/>
  <c r="V203" i="1"/>
  <c r="S45" i="3" s="1"/>
  <c r="AC52" i="3"/>
  <c r="AN213" i="1"/>
  <c r="V191" i="1"/>
  <c r="AN217" i="1"/>
  <c r="V195" i="1"/>
  <c r="S41" i="3" s="1"/>
  <c r="AN221" i="1"/>
  <c r="V199" i="1"/>
  <c r="S42" i="3" s="1"/>
  <c r="AN227" i="1"/>
  <c r="V205" i="1"/>
  <c r="S53" i="3" s="1"/>
  <c r="AN230" i="1"/>
  <c r="V223" i="1"/>
  <c r="V54" i="3"/>
  <c r="AE54" i="3" s="1"/>
  <c r="V17" i="3"/>
  <c r="AE17" i="3" s="1"/>
  <c r="V24" i="3"/>
  <c r="AE24" i="3" s="1"/>
  <c r="V25" i="3"/>
  <c r="AE25" i="3" s="1"/>
  <c r="V38" i="3"/>
  <c r="AE38" i="3" s="1"/>
  <c r="AC29" i="3"/>
  <c r="AC49" i="3"/>
  <c r="AC13" i="3"/>
  <c r="AC50" i="3"/>
  <c r="V19" i="3"/>
  <c r="AE19" i="3" s="1"/>
  <c r="V53" i="3"/>
  <c r="AE53" i="3" s="1"/>
  <c r="AC21" i="3"/>
  <c r="AN218" i="1"/>
  <c r="V196" i="1"/>
  <c r="AN228" i="1"/>
  <c r="V221" i="1"/>
  <c r="AN231" i="1"/>
  <c r="V224" i="1"/>
  <c r="V39" i="3"/>
  <c r="AE39" i="3" s="1"/>
  <c r="V22" i="3"/>
  <c r="AE22" i="3" s="1"/>
  <c r="V40" i="3"/>
  <c r="AE40" i="3" s="1"/>
  <c r="V18" i="3"/>
  <c r="AE18" i="3" s="1"/>
  <c r="AC24" i="3"/>
  <c r="V56" i="3"/>
  <c r="AE56" i="3" s="1"/>
  <c r="AC11" i="3"/>
  <c r="V34" i="3"/>
  <c r="AE34" i="3" s="1"/>
  <c r="AC44" i="3"/>
  <c r="AC33" i="3"/>
  <c r="AD23" i="3"/>
  <c r="AC22" i="3"/>
  <c r="AD52" i="3"/>
  <c r="AC30" i="3"/>
  <c r="AC38" i="3"/>
  <c r="AC17" i="3"/>
  <c r="AC15" i="3"/>
  <c r="AC10" i="3"/>
  <c r="AC25" i="3"/>
  <c r="AC46" i="3"/>
  <c r="AC23" i="3"/>
  <c r="AD53" i="3"/>
  <c r="AD34" i="3"/>
  <c r="AD42" i="3"/>
  <c r="AD19" i="3"/>
  <c r="AD45" i="3"/>
  <c r="AD8" i="3"/>
  <c r="AC56" i="3"/>
  <c r="AD41" i="3"/>
  <c r="AD55" i="3"/>
  <c r="AD30" i="3"/>
  <c r="AD18" i="3"/>
  <c r="AC16" i="3"/>
  <c r="AD11" i="3"/>
  <c r="AC19" i="3"/>
  <c r="AD35" i="3"/>
  <c r="AD24" i="3"/>
  <c r="AD10" i="3"/>
  <c r="AD43" i="3"/>
  <c r="AD37" i="3"/>
  <c r="AD20" i="3"/>
  <c r="AD27" i="3"/>
  <c r="AC34" i="3"/>
  <c r="AC43" i="3"/>
  <c r="AD47" i="3"/>
  <c r="AD48" i="3"/>
  <c r="AC42" i="3"/>
  <c r="AC54" i="3"/>
  <c r="AC36" i="3"/>
  <c r="AD29" i="3"/>
  <c r="AC55" i="3"/>
  <c r="AC27" i="3"/>
  <c r="AC8" i="3"/>
  <c r="AC31" i="3"/>
  <c r="AD54" i="3"/>
  <c r="AD36" i="3"/>
  <c r="AD15" i="3"/>
  <c r="AC45" i="3"/>
  <c r="AD28" i="3"/>
  <c r="AD44" i="3"/>
  <c r="AD33" i="3"/>
  <c r="AD22" i="3"/>
  <c r="V26" i="3"/>
  <c r="AE26" i="3" s="1"/>
  <c r="AC39" i="3"/>
  <c r="AD39" i="3"/>
  <c r="AD13" i="3"/>
  <c r="AD46" i="3"/>
  <c r="AC51" i="3"/>
  <c r="AC12" i="3"/>
  <c r="AD25" i="3"/>
  <c r="AC53" i="3"/>
  <c r="AC9" i="3"/>
  <c r="AC37" i="3"/>
  <c r="AC20" i="3"/>
  <c r="AC47" i="3"/>
  <c r="AD38" i="3"/>
  <c r="AC48" i="3"/>
  <c r="AC32" i="3"/>
  <c r="AD50" i="3"/>
  <c r="AD21" i="3"/>
  <c r="AD12" i="3"/>
  <c r="AC41" i="3"/>
  <c r="AD17" i="3"/>
  <c r="AC18" i="3"/>
  <c r="AC28" i="3"/>
  <c r="AC7" i="3"/>
  <c r="AC14" i="3"/>
  <c r="AC35" i="3"/>
  <c r="AD31" i="3"/>
  <c r="AD56" i="3"/>
  <c r="AD9" i="3"/>
  <c r="AD49" i="3"/>
  <c r="AD16" i="3"/>
  <c r="AD14" i="3"/>
  <c r="AD51" i="3"/>
  <c r="AD26" i="3"/>
  <c r="AC26" i="3"/>
  <c r="AD7" i="3"/>
  <c r="AN13" i="1"/>
  <c r="S49" i="3" l="1"/>
  <c r="S38" i="3"/>
  <c r="S25" i="3"/>
  <c r="S24" i="3"/>
  <c r="S16" i="3"/>
  <c r="S31" i="3"/>
  <c r="S21" i="3"/>
  <c r="S32" i="3"/>
  <c r="S8" i="3"/>
  <c r="S23" i="3"/>
  <c r="S14" i="3"/>
  <c r="S15" i="3"/>
  <c r="AE7" i="3"/>
  <c r="K13" i="1" l="1"/>
  <c r="M13" i="1"/>
  <c r="N13" i="1" s="1"/>
  <c r="AB13" i="1"/>
  <c r="AC13" i="1"/>
  <c r="X14" i="1"/>
  <c r="AE13" i="1"/>
  <c r="AM13" i="1"/>
  <c r="R35" i="3" l="1"/>
  <c r="R26" i="3"/>
  <c r="AI13" i="1"/>
  <c r="X13" i="1"/>
  <c r="AA13" i="1"/>
  <c r="T13" i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3" i="6" l="1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I3" i="6" l="1"/>
  <c r="F3" i="6"/>
  <c r="G3" i="6"/>
  <c r="J3" i="6"/>
  <c r="B4" i="6"/>
  <c r="B55" i="9"/>
  <c r="B56" i="9"/>
  <c r="B57" i="9"/>
  <c r="B58" i="9"/>
  <c r="B59" i="9"/>
  <c r="B60" i="9"/>
  <c r="B61" i="9"/>
  <c r="B62" i="9"/>
  <c r="C63" i="9" s="1"/>
  <c r="F4" i="6" l="1"/>
  <c r="I4" i="6"/>
  <c r="G4" i="6"/>
  <c r="J4" i="6"/>
  <c r="B5" i="6"/>
  <c r="C61" i="9"/>
  <c r="C57" i="9"/>
  <c r="C59" i="9"/>
  <c r="C62" i="9"/>
  <c r="C60" i="9"/>
  <c r="C58" i="9"/>
  <c r="C56" i="9"/>
  <c r="G5" i="6" l="1"/>
  <c r="I5" i="6"/>
  <c r="J5" i="6"/>
  <c r="F5" i="6"/>
  <c r="B6" i="6"/>
  <c r="B50" i="9"/>
  <c r="B51" i="9"/>
  <c r="B52" i="9"/>
  <c r="B53" i="9"/>
  <c r="B54" i="9"/>
  <c r="F6" i="6" l="1"/>
  <c r="G6" i="6"/>
  <c r="I6" i="6"/>
  <c r="J6" i="6"/>
  <c r="B7" i="6"/>
  <c r="C52" i="9"/>
  <c r="C54" i="9"/>
  <c r="C55" i="9"/>
  <c r="C53" i="9"/>
  <c r="C51" i="9"/>
  <c r="G7" i="6" l="1"/>
  <c r="I7" i="6"/>
  <c r="J7" i="6"/>
  <c r="F7" i="6"/>
  <c r="B8" i="6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B9" i="6" l="1"/>
  <c r="F8" i="6"/>
  <c r="G8" i="6"/>
  <c r="I8" i="6"/>
  <c r="J8" i="6"/>
  <c r="C46" i="9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G9" i="6" l="1"/>
  <c r="I9" i="6"/>
  <c r="J9" i="6"/>
  <c r="F9" i="6"/>
  <c r="B10" i="6"/>
  <c r="V13" i="1"/>
  <c r="B31" i="9"/>
  <c r="B32" i="9"/>
  <c r="C33" i="9" s="1"/>
  <c r="S35" i="3" l="1"/>
  <c r="S26" i="3"/>
  <c r="F10" i="6"/>
  <c r="G10" i="6"/>
  <c r="I10" i="6"/>
  <c r="J10" i="6"/>
  <c r="B11" i="6"/>
  <c r="C32" i="9"/>
  <c r="G11" i="6" l="1"/>
  <c r="I11" i="6"/>
  <c r="F11" i="6"/>
  <c r="H11" i="6"/>
  <c r="J11" i="6"/>
  <c r="B12" i="6"/>
  <c r="G3" i="4"/>
  <c r="G4" i="4"/>
  <c r="G5" i="4"/>
  <c r="G6" i="4"/>
  <c r="G7" i="4"/>
  <c r="G8" i="4"/>
  <c r="L219" i="1" s="1"/>
  <c r="G9" i="4"/>
  <c r="L206" i="1" s="1"/>
  <c r="G10" i="4"/>
  <c r="G11" i="4"/>
  <c r="L226" i="1" s="1"/>
  <c r="G12" i="4"/>
  <c r="N35" i="3" s="1"/>
  <c r="G13" i="4"/>
  <c r="G14" i="4"/>
  <c r="L227" i="1" s="1"/>
  <c r="G15" i="4"/>
  <c r="L208" i="1" s="1"/>
  <c r="G16" i="4"/>
  <c r="L15" i="1" s="1"/>
  <c r="G17" i="4"/>
  <c r="L209" i="1" s="1"/>
  <c r="G18" i="4"/>
  <c r="L212" i="1" s="1"/>
  <c r="G19" i="4"/>
  <c r="L14" i="1" s="1"/>
  <c r="G20" i="4"/>
  <c r="G21" i="4"/>
  <c r="G22" i="4"/>
  <c r="L17" i="1" s="1"/>
  <c r="G23" i="4"/>
  <c r="L214" i="1" s="1"/>
  <c r="G24" i="4"/>
  <c r="L19" i="1" s="1"/>
  <c r="G25" i="4"/>
  <c r="L16" i="1" s="1"/>
  <c r="G26" i="4"/>
  <c r="L21" i="1" s="1"/>
  <c r="G27" i="4"/>
  <c r="L221" i="1" s="1"/>
  <c r="G28" i="4"/>
  <c r="G29" i="4"/>
  <c r="G30" i="4"/>
  <c r="L23" i="1" s="1"/>
  <c r="G31" i="4"/>
  <c r="L18" i="1" s="1"/>
  <c r="G32" i="4"/>
  <c r="L216" i="1" s="1"/>
  <c r="G33" i="4"/>
  <c r="L25" i="1" s="1"/>
  <c r="G34" i="4"/>
  <c r="G35" i="4"/>
  <c r="G36" i="4"/>
  <c r="G37" i="4"/>
  <c r="L20" i="1" s="1"/>
  <c r="G38" i="4"/>
  <c r="L27" i="1" s="1"/>
  <c r="G39" i="4"/>
  <c r="L160" i="1" s="1"/>
  <c r="G40" i="4"/>
  <c r="L29" i="1" s="1"/>
  <c r="G41" i="4"/>
  <c r="L22" i="1" s="1"/>
  <c r="G42" i="4"/>
  <c r="G43" i="4"/>
  <c r="L24" i="1" s="1"/>
  <c r="G44" i="4"/>
  <c r="L31" i="1" s="1"/>
  <c r="G45" i="4"/>
  <c r="L161" i="1" s="1"/>
  <c r="G46" i="4"/>
  <c r="G47" i="4"/>
  <c r="G48" i="4"/>
  <c r="L33" i="1" s="1"/>
  <c r="G49" i="4"/>
  <c r="L28" i="1" s="1"/>
  <c r="G50" i="4"/>
  <c r="G51" i="4"/>
  <c r="L30" i="1" s="1"/>
  <c r="G52" i="4"/>
  <c r="L164" i="1" s="1"/>
  <c r="G53" i="4"/>
  <c r="L163" i="1" s="1"/>
  <c r="G54" i="4"/>
  <c r="L37" i="1" s="1"/>
  <c r="G55" i="4"/>
  <c r="L39" i="1" s="1"/>
  <c r="G56" i="4"/>
  <c r="L32" i="1" s="1"/>
  <c r="G57" i="4"/>
  <c r="G58" i="4"/>
  <c r="G59" i="4"/>
  <c r="L34" i="1" s="1"/>
  <c r="G60" i="4"/>
  <c r="L41" i="1" s="1"/>
  <c r="G61" i="4"/>
  <c r="L36" i="1" s="1"/>
  <c r="G62" i="4"/>
  <c r="L43" i="1" s="1"/>
  <c r="G63" i="4"/>
  <c r="L168" i="1" s="1"/>
  <c r="G64" i="4"/>
  <c r="L167" i="1" s="1"/>
  <c r="G65" i="4"/>
  <c r="L38" i="1" s="1"/>
  <c r="G66" i="4"/>
  <c r="L45" i="1" s="1"/>
  <c r="G67" i="4"/>
  <c r="L40" i="1" s="1"/>
  <c r="G68" i="4"/>
  <c r="L47" i="1" s="1"/>
  <c r="G69" i="4"/>
  <c r="G70" i="4"/>
  <c r="L42" i="1" s="1"/>
  <c r="G71" i="4"/>
  <c r="L169" i="1" s="1"/>
  <c r="G72" i="4"/>
  <c r="G73" i="4"/>
  <c r="L44" i="1" s="1"/>
  <c r="G74" i="4"/>
  <c r="L51" i="1" s="1"/>
  <c r="G75" i="4"/>
  <c r="G76" i="4"/>
  <c r="L171" i="1" s="1"/>
  <c r="G77" i="4"/>
  <c r="L46" i="1" s="1"/>
  <c r="G78" i="4"/>
  <c r="L53" i="1" s="1"/>
  <c r="G79" i="4"/>
  <c r="L48" i="1" s="1"/>
  <c r="G80" i="4"/>
  <c r="L55" i="1" s="1"/>
  <c r="G81" i="4"/>
  <c r="G82" i="4"/>
  <c r="L50" i="1" s="1"/>
  <c r="G83" i="4"/>
  <c r="L57" i="1" s="1"/>
  <c r="G84" i="4"/>
  <c r="L229" i="1" s="1"/>
  <c r="G85" i="4"/>
  <c r="G86" i="4"/>
  <c r="L54" i="1" s="1"/>
  <c r="G87" i="4"/>
  <c r="L59" i="1" s="1"/>
  <c r="G88" i="4"/>
  <c r="L173" i="1" s="1"/>
  <c r="G89" i="4"/>
  <c r="L61" i="1" s="1"/>
  <c r="G90" i="4"/>
  <c r="L56" i="1" s="1"/>
  <c r="G91" i="4"/>
  <c r="L63" i="1" s="1"/>
  <c r="G92" i="4"/>
  <c r="L58" i="1" s="1"/>
  <c r="G93" i="4"/>
  <c r="L66" i="1" s="1"/>
  <c r="G94" i="4"/>
  <c r="L60" i="1" s="1"/>
  <c r="G95" i="4"/>
  <c r="L174" i="1" s="1"/>
  <c r="G96" i="4"/>
  <c r="L68" i="1" s="1"/>
  <c r="G97" i="4"/>
  <c r="L175" i="1" s="1"/>
  <c r="G98" i="4"/>
  <c r="L62" i="1" s="1"/>
  <c r="G99" i="4"/>
  <c r="G100" i="4"/>
  <c r="L70" i="1" s="1"/>
  <c r="G101" i="4"/>
  <c r="G102" i="4"/>
  <c r="L72" i="1" s="1"/>
  <c r="G103" i="4"/>
  <c r="L176" i="1" s="1"/>
  <c r="G104" i="4"/>
  <c r="G105" i="4"/>
  <c r="L74" i="1" s="1"/>
  <c r="G106" i="4"/>
  <c r="L69" i="1" s="1"/>
  <c r="G107" i="4"/>
  <c r="L228" i="1" s="1"/>
  <c r="G108" i="4"/>
  <c r="L76" i="1" s="1"/>
  <c r="G109" i="4"/>
  <c r="G110" i="4"/>
  <c r="L177" i="1" s="1"/>
  <c r="G111" i="4"/>
  <c r="L73" i="1" s="1"/>
  <c r="G112" i="4"/>
  <c r="G113" i="4"/>
  <c r="L78" i="1" s="1"/>
  <c r="G114" i="4"/>
  <c r="L80" i="1" s="1"/>
  <c r="G115" i="4"/>
  <c r="L178" i="1" s="1"/>
  <c r="G116" i="4"/>
  <c r="L75" i="1" s="1"/>
  <c r="G117" i="4"/>
  <c r="L82" i="1" s="1"/>
  <c r="G118" i="4"/>
  <c r="L77" i="1" s="1"/>
  <c r="G119" i="4"/>
  <c r="L84" i="1" s="1"/>
  <c r="G120" i="4"/>
  <c r="L79" i="1" s="1"/>
  <c r="G121" i="4"/>
  <c r="L179" i="1" s="1"/>
  <c r="G122" i="4"/>
  <c r="L86" i="1" s="1"/>
  <c r="G123" i="4"/>
  <c r="G124" i="4"/>
  <c r="L88" i="1" s="1"/>
  <c r="G125" i="4"/>
  <c r="L83" i="1" s="1"/>
  <c r="G126" i="4"/>
  <c r="L90" i="1" s="1"/>
  <c r="G127" i="4"/>
  <c r="L180" i="1" s="1"/>
  <c r="G128" i="4"/>
  <c r="G129" i="4"/>
  <c r="L92" i="1" s="1"/>
  <c r="G130" i="4"/>
  <c r="L85" i="1" s="1"/>
  <c r="G131" i="4"/>
  <c r="L87" i="1" s="1"/>
  <c r="G132" i="4"/>
  <c r="L94" i="1" s="1"/>
  <c r="G133" i="4"/>
  <c r="L181" i="1" s="1"/>
  <c r="G134" i="4"/>
  <c r="L89" i="1" s="1"/>
  <c r="G135" i="4"/>
  <c r="L96" i="1" s="1"/>
  <c r="G136" i="4"/>
  <c r="L91" i="1" s="1"/>
  <c r="G137" i="4"/>
  <c r="L98" i="1" s="1"/>
  <c r="G138" i="4"/>
  <c r="G139" i="4"/>
  <c r="L93" i="1" s="1"/>
  <c r="G140" i="4"/>
  <c r="L100" i="1" s="1"/>
  <c r="G141" i="4"/>
  <c r="G142" i="4"/>
  <c r="L97" i="1" s="1"/>
  <c r="G143" i="4"/>
  <c r="L183" i="1" s="1"/>
  <c r="G144" i="4"/>
  <c r="L102" i="1" s="1"/>
  <c r="G145" i="4"/>
  <c r="L104" i="1" s="1"/>
  <c r="G146" i="4"/>
  <c r="L106" i="1" s="1"/>
  <c r="G147" i="4"/>
  <c r="G148" i="4"/>
  <c r="L223" i="1" s="1"/>
  <c r="G149" i="4"/>
  <c r="L184" i="1" s="1"/>
  <c r="G150" i="4"/>
  <c r="L101" i="1" s="1"/>
  <c r="G151" i="4"/>
  <c r="G152" i="4"/>
  <c r="L186" i="1" s="1"/>
  <c r="G153" i="4"/>
  <c r="L103" i="1" s="1"/>
  <c r="G154" i="4"/>
  <c r="L185" i="1" s="1"/>
  <c r="G155" i="4"/>
  <c r="L110" i="1" s="1"/>
  <c r="G156" i="4"/>
  <c r="L105" i="1" s="1"/>
  <c r="G157" i="4"/>
  <c r="L112" i="1" s="1"/>
  <c r="G158" i="4"/>
  <c r="L107" i="1" s="1"/>
  <c r="G159" i="4"/>
  <c r="L114" i="1" s="1"/>
  <c r="G160" i="4"/>
  <c r="G161" i="4"/>
  <c r="L188" i="1" s="1"/>
  <c r="G162" i="4"/>
  <c r="G163" i="4"/>
  <c r="L116" i="1" s="1"/>
  <c r="G164" i="4"/>
  <c r="L111" i="1" s="1"/>
  <c r="G165" i="4"/>
  <c r="L118" i="1" s="1"/>
  <c r="G166" i="4"/>
  <c r="L189" i="1" s="1"/>
  <c r="G167" i="4"/>
  <c r="G168" i="4"/>
  <c r="L120" i="1" s="1"/>
  <c r="G169" i="4"/>
  <c r="L113" i="1" s="1"/>
  <c r="G170" i="4"/>
  <c r="L232" i="1" s="1"/>
  <c r="G171" i="4"/>
  <c r="L191" i="1" s="1"/>
  <c r="G172" i="4"/>
  <c r="L115" i="1" s="1"/>
  <c r="G173" i="4"/>
  <c r="G174" i="4"/>
  <c r="L192" i="1" s="1"/>
  <c r="G175" i="4"/>
  <c r="L117" i="1" s="1"/>
  <c r="G176" i="4"/>
  <c r="L124" i="1" s="1"/>
  <c r="G177" i="4"/>
  <c r="G178" i="4"/>
  <c r="L233" i="1" s="1"/>
  <c r="G179" i="4"/>
  <c r="L193" i="1" s="1"/>
  <c r="G180" i="4"/>
  <c r="L119" i="1" s="1"/>
  <c r="G181" i="4"/>
  <c r="L126" i="1" s="1"/>
  <c r="G182" i="4"/>
  <c r="L194" i="1" s="1"/>
  <c r="G183" i="4"/>
  <c r="G184" i="4"/>
  <c r="L128" i="1" s="1"/>
  <c r="G185" i="4"/>
  <c r="L123" i="1" s="1"/>
  <c r="G186" i="4"/>
  <c r="L231" i="1" s="1"/>
  <c r="G187" i="4"/>
  <c r="G188" i="4"/>
  <c r="G189" i="4"/>
  <c r="G190" i="4"/>
  <c r="G191" i="4"/>
  <c r="G192" i="4"/>
  <c r="L196" i="1" s="1"/>
  <c r="G193" i="4"/>
  <c r="L132" i="1" s="1"/>
  <c r="G194" i="4"/>
  <c r="L198" i="1" s="1"/>
  <c r="G195" i="4"/>
  <c r="G196" i="4"/>
  <c r="L207" i="1" s="1"/>
  <c r="G197" i="4"/>
  <c r="L197" i="1" s="1"/>
  <c r="G198" i="4"/>
  <c r="L134" i="1" s="1"/>
  <c r="G199" i="4"/>
  <c r="L129" i="1" s="1"/>
  <c r="G200" i="4"/>
  <c r="G201" i="4"/>
  <c r="L224" i="1" s="1"/>
  <c r="G202" i="4"/>
  <c r="G203" i="4"/>
  <c r="L200" i="1" s="1"/>
  <c r="G204" i="4"/>
  <c r="G205" i="4"/>
  <c r="L136" i="1" s="1"/>
  <c r="G206" i="4"/>
  <c r="G207" i="4"/>
  <c r="G208" i="4"/>
  <c r="L138" i="1" s="1"/>
  <c r="G209" i="4"/>
  <c r="L135" i="1" s="1"/>
  <c r="G210" i="4"/>
  <c r="G211" i="4"/>
  <c r="G212" i="4"/>
  <c r="L140" i="1" s="1"/>
  <c r="G213" i="4"/>
  <c r="L201" i="1" s="1"/>
  <c r="G214" i="4"/>
  <c r="L143" i="1" s="1"/>
  <c r="G215" i="4"/>
  <c r="L139" i="1" s="1"/>
  <c r="G216" i="4"/>
  <c r="G217" i="4"/>
  <c r="L204" i="1" s="1"/>
  <c r="G218" i="4"/>
  <c r="G219" i="4"/>
  <c r="L145" i="1" s="1"/>
  <c r="G220" i="4"/>
  <c r="G221" i="4"/>
  <c r="L147" i="1" s="1"/>
  <c r="G222" i="4"/>
  <c r="L144" i="1" s="1"/>
  <c r="G223" i="4"/>
  <c r="G224" i="4"/>
  <c r="G225" i="4"/>
  <c r="L146" i="1" s="1"/>
  <c r="G226" i="4"/>
  <c r="L149" i="1" s="1"/>
  <c r="G227" i="4"/>
  <c r="L225" i="1" s="1"/>
  <c r="G228" i="4"/>
  <c r="L151" i="1" s="1"/>
  <c r="G229" i="4"/>
  <c r="L148" i="1" s="1"/>
  <c r="G230" i="4"/>
  <c r="L153" i="1" s="1"/>
  <c r="G231" i="4"/>
  <c r="L150" i="1" s="1"/>
  <c r="G232" i="4"/>
  <c r="L152" i="1" s="1"/>
  <c r="G233" i="4"/>
  <c r="L155" i="1" s="1"/>
  <c r="G234" i="4"/>
  <c r="L154" i="1" s="1"/>
  <c r="G235" i="4"/>
  <c r="L157" i="1" s="1"/>
  <c r="G236" i="4"/>
  <c r="L213" i="1" s="1"/>
  <c r="G237" i="4"/>
  <c r="L156" i="1" s="1"/>
  <c r="G238" i="4"/>
  <c r="L215" i="1" s="1"/>
  <c r="G239" i="4"/>
  <c r="G240" i="4"/>
  <c r="G241" i="4"/>
  <c r="L217" i="1" s="1"/>
  <c r="G242" i="4"/>
  <c r="L220" i="1" s="1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45" i="3" l="1"/>
  <c r="L203" i="1"/>
  <c r="N27" i="3"/>
  <c r="L133" i="1"/>
  <c r="N34" i="3"/>
  <c r="L131" i="1"/>
  <c r="N30" i="3"/>
  <c r="L130" i="1"/>
  <c r="N44" i="3"/>
  <c r="L187" i="1"/>
  <c r="N13" i="3"/>
  <c r="L71" i="1"/>
  <c r="N29" i="3"/>
  <c r="L67" i="1"/>
  <c r="N12" i="3"/>
  <c r="L49" i="1"/>
  <c r="N54" i="3"/>
  <c r="L218" i="1"/>
  <c r="N21" i="3"/>
  <c r="N32" i="3"/>
  <c r="L158" i="1"/>
  <c r="N53" i="3"/>
  <c r="L205" i="1"/>
  <c r="N52" i="3"/>
  <c r="L202" i="1"/>
  <c r="N42" i="3"/>
  <c r="L199" i="1"/>
  <c r="N28" i="3"/>
  <c r="L127" i="1"/>
  <c r="N41" i="3"/>
  <c r="L195" i="1"/>
  <c r="N33" i="3"/>
  <c r="L121" i="1"/>
  <c r="N51" i="3"/>
  <c r="L190" i="1"/>
  <c r="N36" i="3"/>
  <c r="L108" i="1"/>
  <c r="N19" i="3"/>
  <c r="L99" i="1"/>
  <c r="N10" i="3"/>
  <c r="L81" i="1"/>
  <c r="N56" i="3"/>
  <c r="L230" i="1"/>
  <c r="N17" i="3"/>
  <c r="L26" i="1"/>
  <c r="L141" i="1"/>
  <c r="L142" i="1"/>
  <c r="N20" i="3"/>
  <c r="L137" i="1"/>
  <c r="L210" i="1"/>
  <c r="L211" i="1"/>
  <c r="N7" i="3"/>
  <c r="L109" i="1"/>
  <c r="N50" i="3"/>
  <c r="L182" i="1"/>
  <c r="N40" i="3"/>
  <c r="L165" i="1"/>
  <c r="N22" i="3"/>
  <c r="L35" i="1"/>
  <c r="N46" i="3"/>
  <c r="L162" i="1"/>
  <c r="N55" i="3"/>
  <c r="L222" i="1"/>
  <c r="N39" i="3"/>
  <c r="L159" i="1"/>
  <c r="N9" i="3"/>
  <c r="L125" i="1"/>
  <c r="N37" i="3"/>
  <c r="L122" i="1"/>
  <c r="N11" i="3"/>
  <c r="L95" i="1"/>
  <c r="L64" i="1"/>
  <c r="L65" i="1"/>
  <c r="N18" i="3"/>
  <c r="L52" i="1"/>
  <c r="N48" i="3"/>
  <c r="L172" i="1"/>
  <c r="N43" i="3"/>
  <c r="L170" i="1"/>
  <c r="N47" i="3"/>
  <c r="L166" i="1"/>
  <c r="N31" i="3"/>
  <c r="N16" i="3"/>
  <c r="N38" i="3"/>
  <c r="N49" i="3"/>
  <c r="N25" i="3"/>
  <c r="N24" i="3"/>
  <c r="N15" i="3"/>
  <c r="N14" i="3"/>
  <c r="N23" i="3"/>
  <c r="N8" i="3"/>
  <c r="N26" i="3"/>
  <c r="H8" i="6"/>
  <c r="H10" i="6"/>
  <c r="H5" i="6"/>
  <c r="H9" i="6"/>
  <c r="H3" i="6"/>
  <c r="H6" i="6"/>
  <c r="H7" i="6"/>
  <c r="H4" i="6"/>
  <c r="F12" i="6"/>
  <c r="I12" i="6"/>
  <c r="G12" i="6"/>
  <c r="H12" i="6"/>
  <c r="J12" i="6"/>
  <c r="B13" i="6"/>
  <c r="L13" i="1"/>
  <c r="G13" i="6" l="1"/>
  <c r="I13" i="6"/>
  <c r="J13" i="6"/>
  <c r="F13" i="6"/>
  <c r="H13" i="6"/>
  <c r="B14" i="6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F14" i="6" l="1"/>
  <c r="G14" i="6"/>
  <c r="I14" i="6"/>
  <c r="J14" i="6"/>
  <c r="H14" i="6"/>
  <c r="B15" i="6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G15" i="6" l="1"/>
  <c r="H15" i="6"/>
  <c r="J15" i="6"/>
  <c r="I15" i="6"/>
  <c r="F15" i="6"/>
  <c r="B16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17" i="6" l="1"/>
  <c r="F16" i="6"/>
  <c r="G16" i="6"/>
  <c r="I16" i="6"/>
  <c r="H16" i="6"/>
  <c r="J16" i="6"/>
  <c r="M30" i="5"/>
  <c r="M29" i="5"/>
  <c r="M27" i="5"/>
  <c r="G17" i="6" l="1"/>
  <c r="I17" i="6"/>
  <c r="J17" i="6"/>
  <c r="H17" i="6"/>
  <c r="F17" i="6"/>
  <c r="B18" i="6"/>
  <c r="M26" i="5"/>
  <c r="AH185" i="1" l="1"/>
  <c r="AH184" i="1"/>
  <c r="AH15" i="1"/>
  <c r="AH19" i="1"/>
  <c r="AH23" i="1"/>
  <c r="AH27" i="1"/>
  <c r="AH31" i="1"/>
  <c r="AH35" i="1"/>
  <c r="AH39" i="1"/>
  <c r="AH43" i="1"/>
  <c r="AH47" i="1"/>
  <c r="AH51" i="1"/>
  <c r="AH55" i="1"/>
  <c r="AH58" i="1"/>
  <c r="AH62" i="1"/>
  <c r="AH66" i="1"/>
  <c r="AH70" i="1"/>
  <c r="AH74" i="1"/>
  <c r="AH183" i="1"/>
  <c r="AH16" i="1"/>
  <c r="AH20" i="1"/>
  <c r="AH24" i="1"/>
  <c r="AH28" i="1"/>
  <c r="AH32" i="1"/>
  <c r="AH36" i="1"/>
  <c r="AH40" i="1"/>
  <c r="AH44" i="1"/>
  <c r="AH48" i="1"/>
  <c r="AH52" i="1"/>
  <c r="AH56" i="1"/>
  <c r="AH59" i="1"/>
  <c r="AH63" i="1"/>
  <c r="AH67" i="1"/>
  <c r="AH71" i="1"/>
  <c r="AH75" i="1"/>
  <c r="AH17" i="1"/>
  <c r="AH21" i="1"/>
  <c r="AH25" i="1"/>
  <c r="AH29" i="1"/>
  <c r="AH33" i="1"/>
  <c r="AH37" i="1"/>
  <c r="AH41" i="1"/>
  <c r="AH45" i="1"/>
  <c r="AH49" i="1"/>
  <c r="AH53" i="1"/>
  <c r="AH57" i="1"/>
  <c r="AH60" i="1"/>
  <c r="AH64" i="1"/>
  <c r="AH68" i="1"/>
  <c r="AH72" i="1"/>
  <c r="AH14" i="1"/>
  <c r="AH18" i="1"/>
  <c r="AH22" i="1"/>
  <c r="AH26" i="1"/>
  <c r="AH30" i="1"/>
  <c r="AH34" i="1"/>
  <c r="AH38" i="1"/>
  <c r="AH42" i="1"/>
  <c r="AH46" i="1"/>
  <c r="AH50" i="1"/>
  <c r="AH54" i="1"/>
  <c r="AH61" i="1"/>
  <c r="AH65" i="1"/>
  <c r="AH69" i="1"/>
  <c r="AH73" i="1"/>
  <c r="AH79" i="1"/>
  <c r="AH83" i="1"/>
  <c r="AH87" i="1"/>
  <c r="AH91" i="1"/>
  <c r="AH95" i="1"/>
  <c r="AH99" i="1"/>
  <c r="AH102" i="1"/>
  <c r="AH106" i="1"/>
  <c r="AH113" i="1"/>
  <c r="AH117" i="1"/>
  <c r="AH121" i="1"/>
  <c r="AH125" i="1"/>
  <c r="AH128" i="1"/>
  <c r="AH132" i="1"/>
  <c r="AH136" i="1"/>
  <c r="AH140" i="1"/>
  <c r="AH76" i="1"/>
  <c r="AH80" i="1"/>
  <c r="AH84" i="1"/>
  <c r="AH88" i="1"/>
  <c r="AH92" i="1"/>
  <c r="AH96" i="1"/>
  <c r="AH100" i="1"/>
  <c r="AH103" i="1"/>
  <c r="AH107" i="1"/>
  <c r="AH110" i="1"/>
  <c r="AH114" i="1"/>
  <c r="AH118" i="1"/>
  <c r="AH122" i="1"/>
  <c r="AH129" i="1"/>
  <c r="AH133" i="1"/>
  <c r="AH137" i="1"/>
  <c r="AH77" i="1"/>
  <c r="AH81" i="1"/>
  <c r="AH85" i="1"/>
  <c r="AH89" i="1"/>
  <c r="AH93" i="1"/>
  <c r="AH97" i="1"/>
  <c r="AH101" i="1"/>
  <c r="AH104" i="1"/>
  <c r="AH108" i="1"/>
  <c r="AH111" i="1"/>
  <c r="AH115" i="1"/>
  <c r="AH119" i="1"/>
  <c r="AH123" i="1"/>
  <c r="AH126" i="1"/>
  <c r="AH130" i="1"/>
  <c r="AH134" i="1"/>
  <c r="AH138" i="1"/>
  <c r="AH78" i="1"/>
  <c r="AH82" i="1"/>
  <c r="AH86" i="1"/>
  <c r="AH90" i="1"/>
  <c r="AH94" i="1"/>
  <c r="AH98" i="1"/>
  <c r="AH105" i="1"/>
  <c r="AH109" i="1"/>
  <c r="AH112" i="1"/>
  <c r="AH116" i="1"/>
  <c r="AH120" i="1"/>
  <c r="AH124" i="1"/>
  <c r="AH127" i="1"/>
  <c r="AH131" i="1"/>
  <c r="AH135" i="1"/>
  <c r="AH139" i="1"/>
  <c r="AH142" i="1"/>
  <c r="AH146" i="1"/>
  <c r="AH150" i="1"/>
  <c r="AH157" i="1"/>
  <c r="AH160" i="1"/>
  <c r="AH164" i="1"/>
  <c r="AH168" i="1"/>
  <c r="AH172" i="1"/>
  <c r="AH175" i="1"/>
  <c r="AH178" i="1"/>
  <c r="AH186" i="1"/>
  <c r="AH190" i="1"/>
  <c r="AH193" i="1"/>
  <c r="AH197" i="1"/>
  <c r="AH201" i="1"/>
  <c r="AH205" i="1"/>
  <c r="AH209" i="1"/>
  <c r="AH212" i="1"/>
  <c r="AH143" i="1"/>
  <c r="AH147" i="1"/>
  <c r="AH151" i="1"/>
  <c r="AH154" i="1"/>
  <c r="AH158" i="1"/>
  <c r="AH161" i="1"/>
  <c r="AH165" i="1"/>
  <c r="AH169" i="1"/>
  <c r="AH173" i="1"/>
  <c r="AH176" i="1"/>
  <c r="AH179" i="1"/>
  <c r="AH187" i="1"/>
  <c r="AH191" i="1"/>
  <c r="AH194" i="1"/>
  <c r="AH198" i="1"/>
  <c r="AH202" i="1"/>
  <c r="AH206" i="1"/>
  <c r="AH210" i="1"/>
  <c r="AH141" i="1"/>
  <c r="AH144" i="1"/>
  <c r="AH148" i="1"/>
  <c r="AH152" i="1"/>
  <c r="AH155" i="1"/>
  <c r="AH159" i="1"/>
  <c r="AH162" i="1"/>
  <c r="AH166" i="1"/>
  <c r="AH170" i="1"/>
  <c r="AH177" i="1"/>
  <c r="AH180" i="1"/>
  <c r="AH188" i="1"/>
  <c r="AH192" i="1"/>
  <c r="AH195" i="1"/>
  <c r="AH199" i="1"/>
  <c r="AH203" i="1"/>
  <c r="AH207" i="1"/>
  <c r="AH145" i="1"/>
  <c r="AH149" i="1"/>
  <c r="AH153" i="1"/>
  <c r="AH156" i="1"/>
  <c r="AH163" i="1"/>
  <c r="AH167" i="1"/>
  <c r="AH171" i="1"/>
  <c r="AH174" i="1"/>
  <c r="AH181" i="1"/>
  <c r="AH182" i="1"/>
  <c r="AH189" i="1"/>
  <c r="AH196" i="1"/>
  <c r="AH200" i="1"/>
  <c r="AH204" i="1"/>
  <c r="AH208" i="1"/>
  <c r="AH211" i="1"/>
  <c r="AH213" i="1"/>
  <c r="AH217" i="1"/>
  <c r="AH221" i="1"/>
  <c r="AH227" i="1"/>
  <c r="AH230" i="1"/>
  <c r="AH224" i="1"/>
  <c r="AH233" i="1"/>
  <c r="AH214" i="1"/>
  <c r="AH218" i="1"/>
  <c r="AH222" i="1"/>
  <c r="AH225" i="1"/>
  <c r="AH228" i="1"/>
  <c r="AH231" i="1"/>
  <c r="AH216" i="1"/>
  <c r="AH226" i="1"/>
  <c r="AH215" i="1"/>
  <c r="AH219" i="1"/>
  <c r="AH223" i="1"/>
  <c r="AH229" i="1"/>
  <c r="AH232" i="1"/>
  <c r="AH220" i="1"/>
  <c r="B19" i="6"/>
  <c r="F18" i="6"/>
  <c r="G18" i="6"/>
  <c r="H18" i="6"/>
  <c r="J18" i="6"/>
  <c r="I18" i="6"/>
  <c r="AH13" i="1"/>
  <c r="J7" i="1"/>
  <c r="G19" i="6" l="1"/>
  <c r="F19" i="6"/>
  <c r="H19" i="6"/>
  <c r="J19" i="6"/>
  <c r="I19" i="6"/>
  <c r="B20" i="6"/>
  <c r="X6" i="1"/>
  <c r="W6" i="1"/>
  <c r="V6" i="1"/>
  <c r="S6" i="1"/>
  <c r="R2" i="1"/>
  <c r="I2" i="1"/>
  <c r="O6" i="1"/>
  <c r="N6" i="1"/>
  <c r="M6" i="1"/>
  <c r="J6" i="1"/>
  <c r="B21" i="6" l="1"/>
  <c r="I20" i="6"/>
  <c r="G20" i="6"/>
  <c r="H20" i="6"/>
  <c r="J20" i="6"/>
  <c r="F20" i="6"/>
  <c r="P3" i="5"/>
  <c r="U225" i="1" l="1"/>
  <c r="S225" i="1" s="1"/>
  <c r="U202" i="1"/>
  <c r="S202" i="1" s="1"/>
  <c r="U179" i="1"/>
  <c r="S179" i="1" s="1"/>
  <c r="U219" i="1"/>
  <c r="S219" i="1" s="1"/>
  <c r="U207" i="1"/>
  <c r="S207" i="1" s="1"/>
  <c r="U212" i="1"/>
  <c r="S212" i="1" s="1"/>
  <c r="U206" i="1"/>
  <c r="S206" i="1" s="1"/>
  <c r="U198" i="1"/>
  <c r="S198" i="1" s="1"/>
  <c r="U214" i="1"/>
  <c r="S214" i="1" s="1"/>
  <c r="U227" i="1"/>
  <c r="S227" i="1" s="1"/>
  <c r="U189" i="1"/>
  <c r="S189" i="1" s="1"/>
  <c r="U194" i="1"/>
  <c r="S194" i="1" s="1"/>
  <c r="U224" i="1"/>
  <c r="S224" i="1" s="1"/>
  <c r="U183" i="1"/>
  <c r="S183" i="1" s="1"/>
  <c r="U166" i="1"/>
  <c r="S166" i="1" s="1"/>
  <c r="U172" i="1"/>
  <c r="S172" i="1" s="1"/>
  <c r="U191" i="1"/>
  <c r="S191" i="1" s="1"/>
  <c r="U222" i="1"/>
  <c r="S222" i="1" s="1"/>
  <c r="U176" i="1"/>
  <c r="S176" i="1" s="1"/>
  <c r="U171" i="1"/>
  <c r="S171" i="1" s="1"/>
  <c r="U216" i="1"/>
  <c r="S216" i="1" s="1"/>
  <c r="U188" i="1"/>
  <c r="S188" i="1" s="1"/>
  <c r="U205" i="1"/>
  <c r="S205" i="1" s="1"/>
  <c r="U164" i="1"/>
  <c r="S164" i="1" s="1"/>
  <c r="U160" i="1"/>
  <c r="S160" i="1" s="1"/>
  <c r="U185" i="1"/>
  <c r="S185" i="1" s="1"/>
  <c r="U200" i="1"/>
  <c r="S200" i="1" s="1"/>
  <c r="U196" i="1"/>
  <c r="S196" i="1" s="1"/>
  <c r="U211" i="1"/>
  <c r="S211" i="1" s="1"/>
  <c r="U192" i="1"/>
  <c r="S192" i="1" s="1"/>
  <c r="U218" i="1"/>
  <c r="S218" i="1" s="1"/>
  <c r="U174" i="1"/>
  <c r="S174" i="1" s="1"/>
  <c r="U233" i="1"/>
  <c r="S233" i="1" s="1"/>
  <c r="U221" i="1"/>
  <c r="S221" i="1" s="1"/>
  <c r="U182" i="1"/>
  <c r="S182" i="1" s="1"/>
  <c r="U165" i="1"/>
  <c r="S165" i="1" s="1"/>
  <c r="U232" i="1"/>
  <c r="S232" i="1" s="1"/>
  <c r="U209" i="1"/>
  <c r="S209" i="1" s="1"/>
  <c r="U159" i="1"/>
  <c r="S159" i="1" s="1"/>
  <c r="U163" i="1"/>
  <c r="S163" i="1" s="1"/>
  <c r="U187" i="1"/>
  <c r="S187" i="1" s="1"/>
  <c r="U162" i="1"/>
  <c r="S162" i="1" s="1"/>
  <c r="U204" i="1"/>
  <c r="S204" i="1" s="1"/>
  <c r="U168" i="1"/>
  <c r="S168" i="1" s="1"/>
  <c r="U175" i="1"/>
  <c r="S175" i="1" s="1"/>
  <c r="U220" i="1"/>
  <c r="S220" i="1" s="1"/>
  <c r="U177" i="1"/>
  <c r="S177" i="1" s="1"/>
  <c r="U178" i="1"/>
  <c r="S178" i="1" s="1"/>
  <c r="U229" i="1"/>
  <c r="S229" i="1" s="1"/>
  <c r="U173" i="1"/>
  <c r="S173" i="1" s="1"/>
  <c r="U223" i="1"/>
  <c r="S223" i="1" s="1"/>
  <c r="U161" i="1"/>
  <c r="S161" i="1" s="1"/>
  <c r="U190" i="1"/>
  <c r="S190" i="1" s="1"/>
  <c r="U215" i="1"/>
  <c r="S215" i="1" s="1"/>
  <c r="U228" i="1"/>
  <c r="S228" i="1" s="1"/>
  <c r="U167" i="1"/>
  <c r="S167" i="1" s="1"/>
  <c r="U180" i="1"/>
  <c r="S180" i="1" s="1"/>
  <c r="U199" i="1"/>
  <c r="S199" i="1" s="1"/>
  <c r="U170" i="1"/>
  <c r="S170" i="1" s="1"/>
  <c r="U203" i="1"/>
  <c r="S203" i="1" s="1"/>
  <c r="U195" i="1"/>
  <c r="S195" i="1" s="1"/>
  <c r="U208" i="1"/>
  <c r="S208" i="1" s="1"/>
  <c r="U181" i="1"/>
  <c r="S181" i="1" s="1"/>
  <c r="U193" i="1"/>
  <c r="S193" i="1" s="1"/>
  <c r="U231" i="1"/>
  <c r="S231" i="1" s="1"/>
  <c r="U210" i="1"/>
  <c r="S210" i="1" s="1"/>
  <c r="U184" i="1"/>
  <c r="S184" i="1" s="1"/>
  <c r="U197" i="1"/>
  <c r="S197" i="1" s="1"/>
  <c r="U169" i="1"/>
  <c r="S169" i="1" s="1"/>
  <c r="U201" i="1"/>
  <c r="S201" i="1" s="1"/>
  <c r="U186" i="1"/>
  <c r="S186" i="1" s="1"/>
  <c r="U230" i="1"/>
  <c r="S230" i="1" s="1"/>
  <c r="U213" i="1"/>
  <c r="S213" i="1" s="1"/>
  <c r="U217" i="1"/>
  <c r="S217" i="1" s="1"/>
  <c r="U226" i="1"/>
  <c r="S226" i="1" s="1"/>
  <c r="G21" i="6"/>
  <c r="I21" i="6"/>
  <c r="J21" i="6"/>
  <c r="F21" i="6"/>
  <c r="H21" i="6"/>
  <c r="B22" i="6"/>
  <c r="M18" i="5"/>
  <c r="AF183" i="1" l="1"/>
  <c r="AF16" i="1"/>
  <c r="AF20" i="1"/>
  <c r="AF24" i="1"/>
  <c r="AF28" i="1"/>
  <c r="AF32" i="1"/>
  <c r="AF36" i="1"/>
  <c r="AF40" i="1"/>
  <c r="AF44" i="1"/>
  <c r="AF48" i="1"/>
  <c r="AF52" i="1"/>
  <c r="AF56" i="1"/>
  <c r="AF59" i="1"/>
  <c r="AF63" i="1"/>
  <c r="AF67" i="1"/>
  <c r="AF71" i="1"/>
  <c r="AF75" i="1"/>
  <c r="AF17" i="1"/>
  <c r="AF21" i="1"/>
  <c r="AF25" i="1"/>
  <c r="AF29" i="1"/>
  <c r="AF33" i="1"/>
  <c r="AF37" i="1"/>
  <c r="AF41" i="1"/>
  <c r="AF45" i="1"/>
  <c r="AF49" i="1"/>
  <c r="AF53" i="1"/>
  <c r="AF57" i="1"/>
  <c r="AF60" i="1"/>
  <c r="AF64" i="1"/>
  <c r="AF68" i="1"/>
  <c r="AF72" i="1"/>
  <c r="AF76" i="1"/>
  <c r="AF14" i="1"/>
  <c r="AF18" i="1"/>
  <c r="AF22" i="1"/>
  <c r="AF26" i="1"/>
  <c r="AF30" i="1"/>
  <c r="AF34" i="1"/>
  <c r="AF38" i="1"/>
  <c r="AF42" i="1"/>
  <c r="AF46" i="1"/>
  <c r="AF50" i="1"/>
  <c r="AF54" i="1"/>
  <c r="AF61" i="1"/>
  <c r="AF65" i="1"/>
  <c r="AF69" i="1"/>
  <c r="AF73" i="1"/>
  <c r="AF185" i="1"/>
  <c r="AF184" i="1"/>
  <c r="AF15" i="1"/>
  <c r="AF19" i="1"/>
  <c r="AF23" i="1"/>
  <c r="AF27" i="1"/>
  <c r="AF31" i="1"/>
  <c r="AF35" i="1"/>
  <c r="AF39" i="1"/>
  <c r="AF43" i="1"/>
  <c r="AF47" i="1"/>
  <c r="AF51" i="1"/>
  <c r="AF55" i="1"/>
  <c r="AF58" i="1"/>
  <c r="AF62" i="1"/>
  <c r="AF66" i="1"/>
  <c r="AF70" i="1"/>
  <c r="AF74" i="1"/>
  <c r="AF80" i="1"/>
  <c r="AF84" i="1"/>
  <c r="AF88" i="1"/>
  <c r="AF92" i="1"/>
  <c r="AF96" i="1"/>
  <c r="AF100" i="1"/>
  <c r="AF103" i="1"/>
  <c r="AF107" i="1"/>
  <c r="AF110" i="1"/>
  <c r="AF114" i="1"/>
  <c r="AF118" i="1"/>
  <c r="AF122" i="1"/>
  <c r="AF129" i="1"/>
  <c r="AF133" i="1"/>
  <c r="AF137" i="1"/>
  <c r="AF141" i="1"/>
  <c r="AF77" i="1"/>
  <c r="AF81" i="1"/>
  <c r="AF85" i="1"/>
  <c r="AF89" i="1"/>
  <c r="AF93" i="1"/>
  <c r="AF97" i="1"/>
  <c r="AF101" i="1"/>
  <c r="AF104" i="1"/>
  <c r="AF108" i="1"/>
  <c r="AF111" i="1"/>
  <c r="AF115" i="1"/>
  <c r="AF119" i="1"/>
  <c r="AF123" i="1"/>
  <c r="AF126" i="1"/>
  <c r="AF130" i="1"/>
  <c r="AF134" i="1"/>
  <c r="AF138" i="1"/>
  <c r="AF78" i="1"/>
  <c r="AF82" i="1"/>
  <c r="AF86" i="1"/>
  <c r="AF90" i="1"/>
  <c r="AF94" i="1"/>
  <c r="AF98" i="1"/>
  <c r="AF105" i="1"/>
  <c r="AF109" i="1"/>
  <c r="AF112" i="1"/>
  <c r="AF116" i="1"/>
  <c r="AF120" i="1"/>
  <c r="AF124" i="1"/>
  <c r="AF127" i="1"/>
  <c r="AF131" i="1"/>
  <c r="AF135" i="1"/>
  <c r="AF139" i="1"/>
  <c r="AF79" i="1"/>
  <c r="AF83" i="1"/>
  <c r="AF87" i="1"/>
  <c r="AF91" i="1"/>
  <c r="AF95" i="1"/>
  <c r="AF99" i="1"/>
  <c r="AF102" i="1"/>
  <c r="AF106" i="1"/>
  <c r="AF113" i="1"/>
  <c r="AF117" i="1"/>
  <c r="AF121" i="1"/>
  <c r="AF125" i="1"/>
  <c r="AF128" i="1"/>
  <c r="AF132" i="1"/>
  <c r="AF136" i="1"/>
  <c r="AF140" i="1"/>
  <c r="AF143" i="1"/>
  <c r="AF147" i="1"/>
  <c r="AF151" i="1"/>
  <c r="AF154" i="1"/>
  <c r="AF158" i="1"/>
  <c r="AF208" i="1"/>
  <c r="AF212" i="1"/>
  <c r="AF216" i="1"/>
  <c r="AF220" i="1"/>
  <c r="AF228" i="1"/>
  <c r="AF231" i="1"/>
  <c r="AF161" i="1"/>
  <c r="AF165" i="1"/>
  <c r="AF168" i="1"/>
  <c r="AF172" i="1"/>
  <c r="AF176" i="1"/>
  <c r="AF180" i="1"/>
  <c r="AF187" i="1"/>
  <c r="AF142" i="1"/>
  <c r="AF144" i="1"/>
  <c r="AF148" i="1"/>
  <c r="AF152" i="1"/>
  <c r="AF155" i="1"/>
  <c r="AF206" i="1"/>
  <c r="AF209" i="1"/>
  <c r="AF213" i="1"/>
  <c r="AF217" i="1"/>
  <c r="AF229" i="1"/>
  <c r="AF232" i="1"/>
  <c r="AF162" i="1"/>
  <c r="AF166" i="1"/>
  <c r="AF169" i="1"/>
  <c r="AF173" i="1"/>
  <c r="AF177" i="1"/>
  <c r="AF181" i="1"/>
  <c r="AF145" i="1"/>
  <c r="AF149" i="1"/>
  <c r="AF153" i="1"/>
  <c r="AF156" i="1"/>
  <c r="AF210" i="1"/>
  <c r="AF214" i="1"/>
  <c r="AF218" i="1"/>
  <c r="AF226" i="1"/>
  <c r="AF233" i="1"/>
  <c r="AF159" i="1"/>
  <c r="AF163" i="1"/>
  <c r="AF170" i="1"/>
  <c r="AF174" i="1"/>
  <c r="AF178" i="1"/>
  <c r="AF182" i="1"/>
  <c r="AF188" i="1"/>
  <c r="AF146" i="1"/>
  <c r="AF150" i="1"/>
  <c r="AF157" i="1"/>
  <c r="AF207" i="1"/>
  <c r="AF211" i="1"/>
  <c r="AF215" i="1"/>
  <c r="AF219" i="1"/>
  <c r="AF227" i="1"/>
  <c r="AF230" i="1"/>
  <c r="AF160" i="1"/>
  <c r="AF164" i="1"/>
  <c r="AF167" i="1"/>
  <c r="AF171" i="1"/>
  <c r="AF175" i="1"/>
  <c r="AF179" i="1"/>
  <c r="AF186" i="1"/>
  <c r="AF189" i="1"/>
  <c r="AF191" i="1"/>
  <c r="AF195" i="1"/>
  <c r="AF199" i="1"/>
  <c r="AF202" i="1"/>
  <c r="AF205" i="1"/>
  <c r="AF223" i="1"/>
  <c r="T40" i="3"/>
  <c r="AF194" i="1"/>
  <c r="AF204" i="1"/>
  <c r="AF192" i="1"/>
  <c r="AF196" i="1"/>
  <c r="AF200" i="1"/>
  <c r="AF221" i="1"/>
  <c r="AF224" i="1"/>
  <c r="AF190" i="1"/>
  <c r="AF198" i="1"/>
  <c r="AF222" i="1"/>
  <c r="AF193" i="1"/>
  <c r="AF197" i="1"/>
  <c r="AF201" i="1"/>
  <c r="AF203" i="1"/>
  <c r="AF225" i="1"/>
  <c r="T46" i="3"/>
  <c r="T32" i="3"/>
  <c r="T21" i="3"/>
  <c r="T44" i="3"/>
  <c r="T18" i="3"/>
  <c r="T17" i="3"/>
  <c r="T16" i="3"/>
  <c r="T56" i="3"/>
  <c r="T39" i="3"/>
  <c r="T10" i="3"/>
  <c r="T53" i="3"/>
  <c r="T41" i="3"/>
  <c r="T22" i="3"/>
  <c r="T42" i="3"/>
  <c r="T9" i="3"/>
  <c r="T48" i="3"/>
  <c r="T38" i="3"/>
  <c r="T12" i="3"/>
  <c r="T51" i="3"/>
  <c r="T34" i="3"/>
  <c r="T13" i="3"/>
  <c r="T43" i="3"/>
  <c r="T36" i="3"/>
  <c r="T27" i="3"/>
  <c r="T37" i="3"/>
  <c r="T35" i="3"/>
  <c r="T30" i="3"/>
  <c r="T25" i="3"/>
  <c r="T8" i="3"/>
  <c r="T54" i="3"/>
  <c r="T33" i="3"/>
  <c r="T45" i="3"/>
  <c r="T11" i="3"/>
  <c r="T49" i="3"/>
  <c r="T47" i="3"/>
  <c r="T31" i="3"/>
  <c r="T24" i="3"/>
  <c r="T52" i="3"/>
  <c r="T28" i="3"/>
  <c r="T7" i="3"/>
  <c r="T20" i="3"/>
  <c r="T50" i="3"/>
  <c r="T29" i="3"/>
  <c r="T55" i="3"/>
  <c r="T14" i="3"/>
  <c r="T15" i="3"/>
  <c r="T19" i="3"/>
  <c r="T23" i="3"/>
  <c r="T26" i="3"/>
  <c r="B23" i="6"/>
  <c r="F22" i="6"/>
  <c r="G22" i="6"/>
  <c r="I22" i="6"/>
  <c r="J22" i="6"/>
  <c r="H22" i="6"/>
  <c r="AF13" i="1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23" i="6" l="1"/>
  <c r="I23" i="6"/>
  <c r="J23" i="6"/>
  <c r="F23" i="6"/>
  <c r="H23" i="6"/>
  <c r="B24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25" i="6" l="1"/>
  <c r="F24" i="6"/>
  <c r="G24" i="6"/>
  <c r="I24" i="6"/>
  <c r="H24" i="6"/>
  <c r="J24" i="6"/>
  <c r="G259" i="4"/>
  <c r="G260" i="4"/>
  <c r="G261" i="4"/>
  <c r="G262" i="4"/>
  <c r="G263" i="4"/>
  <c r="G264" i="4"/>
  <c r="G265" i="4"/>
  <c r="B26" i="6" l="1"/>
  <c r="G25" i="6"/>
  <c r="I25" i="6"/>
  <c r="H25" i="6"/>
  <c r="J25" i="6"/>
  <c r="F25" i="6"/>
  <c r="M14" i="5"/>
  <c r="M13" i="5"/>
  <c r="M12" i="5"/>
  <c r="M11" i="5"/>
  <c r="M10" i="5"/>
  <c r="M9" i="5"/>
  <c r="M8" i="5"/>
  <c r="M7" i="5"/>
  <c r="M6" i="5"/>
  <c r="M5" i="5"/>
  <c r="M4" i="5"/>
  <c r="M3" i="5"/>
  <c r="U108" i="1" l="1"/>
  <c r="S108" i="1" s="1"/>
  <c r="U79" i="1"/>
  <c r="S79" i="1" s="1"/>
  <c r="U62" i="1"/>
  <c r="S62" i="1" s="1"/>
  <c r="U88" i="1"/>
  <c r="S88" i="1" s="1"/>
  <c r="U102" i="1"/>
  <c r="S102" i="1" s="1"/>
  <c r="U94" i="1"/>
  <c r="S94" i="1" s="1"/>
  <c r="U144" i="1"/>
  <c r="S144" i="1" s="1"/>
  <c r="U110" i="1"/>
  <c r="S110" i="1" s="1"/>
  <c r="U63" i="1"/>
  <c r="S63" i="1" s="1"/>
  <c r="U69" i="1"/>
  <c r="S69" i="1" s="1"/>
  <c r="U104" i="1"/>
  <c r="S104" i="1" s="1"/>
  <c r="U99" i="1"/>
  <c r="S99" i="1" s="1"/>
  <c r="U24" i="1"/>
  <c r="S24" i="1" s="1"/>
  <c r="U25" i="1"/>
  <c r="S25" i="1" s="1"/>
  <c r="U87" i="1"/>
  <c r="S87" i="1" s="1"/>
  <c r="U149" i="1"/>
  <c r="S149" i="1" s="1"/>
  <c r="U85" i="1"/>
  <c r="S85" i="1" s="1"/>
  <c r="U155" i="1"/>
  <c r="S155" i="1" s="1"/>
  <c r="U66" i="1"/>
  <c r="S66" i="1" s="1"/>
  <c r="U123" i="1"/>
  <c r="S123" i="1" s="1"/>
  <c r="U84" i="1"/>
  <c r="S84" i="1" s="1"/>
  <c r="U127" i="1"/>
  <c r="S127" i="1" s="1"/>
  <c r="U75" i="1"/>
  <c r="S75" i="1" s="1"/>
  <c r="U91" i="1"/>
  <c r="S91" i="1" s="1"/>
  <c r="U74" i="1"/>
  <c r="S74" i="1" s="1"/>
  <c r="U40" i="1"/>
  <c r="S40" i="1" s="1"/>
  <c r="U48" i="1"/>
  <c r="S48" i="1" s="1"/>
  <c r="U118" i="1"/>
  <c r="S118" i="1" s="1"/>
  <c r="U97" i="1"/>
  <c r="S97" i="1" s="1"/>
  <c r="U132" i="1"/>
  <c r="S132" i="1" s="1"/>
  <c r="U93" i="1"/>
  <c r="S93" i="1" s="1"/>
  <c r="U145" i="1"/>
  <c r="S145" i="1" s="1"/>
  <c r="U21" i="1"/>
  <c r="S21" i="1" s="1"/>
  <c r="U33" i="1"/>
  <c r="S33" i="1" s="1"/>
  <c r="U117" i="1"/>
  <c r="S117" i="1" s="1"/>
  <c r="U65" i="1"/>
  <c r="U152" i="1"/>
  <c r="S152" i="1" s="1"/>
  <c r="U124" i="1"/>
  <c r="S124" i="1" s="1"/>
  <c r="U29" i="1"/>
  <c r="S29" i="1" s="1"/>
  <c r="U49" i="1"/>
  <c r="S49" i="1" s="1"/>
  <c r="U122" i="1"/>
  <c r="S122" i="1" s="1"/>
  <c r="U39" i="1"/>
  <c r="S39" i="1" s="1"/>
  <c r="U15" i="1"/>
  <c r="S15" i="1" s="1"/>
  <c r="U31" i="1"/>
  <c r="S31" i="1" s="1"/>
  <c r="U35" i="1"/>
  <c r="S35" i="1" s="1"/>
  <c r="U107" i="1"/>
  <c r="S107" i="1" s="1"/>
  <c r="U101" i="1"/>
  <c r="S101" i="1" s="1"/>
  <c r="U115" i="1"/>
  <c r="S115" i="1" s="1"/>
  <c r="U70" i="1"/>
  <c r="S70" i="1" s="1"/>
  <c r="U83" i="1"/>
  <c r="S83" i="1" s="1"/>
  <c r="U137" i="1"/>
  <c r="S137" i="1" s="1"/>
  <c r="U46" i="1"/>
  <c r="S46" i="1" s="1"/>
  <c r="U111" i="1"/>
  <c r="S111" i="1" s="1"/>
  <c r="U105" i="1"/>
  <c r="S105" i="1" s="1"/>
  <c r="U131" i="1"/>
  <c r="S131" i="1" s="1"/>
  <c r="U92" i="1"/>
  <c r="S92" i="1" s="1"/>
  <c r="U113" i="1"/>
  <c r="S113" i="1" s="1"/>
  <c r="U109" i="1"/>
  <c r="S109" i="1" s="1"/>
  <c r="U20" i="1"/>
  <c r="S20" i="1" s="1"/>
  <c r="U81" i="1"/>
  <c r="S81" i="1" s="1"/>
  <c r="U157" i="1"/>
  <c r="S157" i="1" s="1"/>
  <c r="U135" i="1"/>
  <c r="S135" i="1" s="1"/>
  <c r="U41" i="1"/>
  <c r="S41" i="1" s="1"/>
  <c r="U121" i="1"/>
  <c r="S121" i="1" s="1"/>
  <c r="U57" i="1"/>
  <c r="S57" i="1" s="1"/>
  <c r="U16" i="1"/>
  <c r="S16" i="1" s="1"/>
  <c r="U45" i="1"/>
  <c r="S45" i="1" s="1"/>
  <c r="U112" i="1"/>
  <c r="S112" i="1" s="1"/>
  <c r="U64" i="1"/>
  <c r="S64" i="1" s="1"/>
  <c r="U26" i="1"/>
  <c r="S26" i="1" s="1"/>
  <c r="U130" i="1"/>
  <c r="S130" i="1" s="1"/>
  <c r="U30" i="1"/>
  <c r="S30" i="1" s="1"/>
  <c r="U72" i="1"/>
  <c r="S72" i="1" s="1"/>
  <c r="U150" i="1"/>
  <c r="S150" i="1" s="1"/>
  <c r="U34" i="1"/>
  <c r="S34" i="1" s="1"/>
  <c r="U154" i="1"/>
  <c r="S154" i="1" s="1"/>
  <c r="U68" i="1"/>
  <c r="S68" i="1" s="1"/>
  <c r="U126" i="1"/>
  <c r="S126" i="1" s="1"/>
  <c r="U158" i="1"/>
  <c r="S158" i="1" s="1"/>
  <c r="U133" i="1"/>
  <c r="S133" i="1" s="1"/>
  <c r="U60" i="1"/>
  <c r="S60" i="1" s="1"/>
  <c r="U116" i="1"/>
  <c r="S116" i="1" s="1"/>
  <c r="U129" i="1"/>
  <c r="S129" i="1" s="1"/>
  <c r="U78" i="1"/>
  <c r="S78" i="1" s="1"/>
  <c r="U50" i="1"/>
  <c r="S50" i="1" s="1"/>
  <c r="U95" i="1"/>
  <c r="S95" i="1" s="1"/>
  <c r="U28" i="1"/>
  <c r="S28" i="1" s="1"/>
  <c r="U139" i="1"/>
  <c r="S139" i="1" s="1"/>
  <c r="U140" i="1"/>
  <c r="S140" i="1" s="1"/>
  <c r="U125" i="1"/>
  <c r="S125" i="1" s="1"/>
  <c r="U42" i="1"/>
  <c r="S42" i="1" s="1"/>
  <c r="U147" i="1"/>
  <c r="S147" i="1" s="1"/>
  <c r="U143" i="1"/>
  <c r="S143" i="1" s="1"/>
  <c r="U71" i="1"/>
  <c r="S71" i="1" s="1"/>
  <c r="U156" i="1"/>
  <c r="S156" i="1" s="1"/>
  <c r="U54" i="1"/>
  <c r="S54" i="1" s="1"/>
  <c r="U37" i="1"/>
  <c r="S37" i="1" s="1"/>
  <c r="U58" i="1"/>
  <c r="S58" i="1" s="1"/>
  <c r="U17" i="1"/>
  <c r="S17" i="1" s="1"/>
  <c r="U86" i="1"/>
  <c r="S86" i="1" s="1"/>
  <c r="U136" i="1"/>
  <c r="S136" i="1" s="1"/>
  <c r="U61" i="1"/>
  <c r="S61" i="1" s="1"/>
  <c r="U27" i="1"/>
  <c r="S27" i="1" s="1"/>
  <c r="U23" i="1"/>
  <c r="S23" i="1" s="1"/>
  <c r="U43" i="1"/>
  <c r="S43" i="1" s="1"/>
  <c r="U119" i="1"/>
  <c r="S119" i="1" s="1"/>
  <c r="U51" i="1"/>
  <c r="S51" i="1" s="1"/>
  <c r="U19" i="1"/>
  <c r="S19" i="1" s="1"/>
  <c r="U82" i="1"/>
  <c r="S82" i="1" s="1"/>
  <c r="U151" i="1"/>
  <c r="S151" i="1" s="1"/>
  <c r="U38" i="1"/>
  <c r="S38" i="1" s="1"/>
  <c r="U59" i="1"/>
  <c r="S59" i="1" s="1"/>
  <c r="U141" i="1"/>
  <c r="U44" i="1"/>
  <c r="S44" i="1" s="1"/>
  <c r="U100" i="1"/>
  <c r="S100" i="1" s="1"/>
  <c r="U103" i="1"/>
  <c r="S103" i="1" s="1"/>
  <c r="U36" i="1"/>
  <c r="S36" i="1" s="1"/>
  <c r="U56" i="1"/>
  <c r="S56" i="1" s="1"/>
  <c r="U90" i="1"/>
  <c r="S90" i="1" s="1"/>
  <c r="U55" i="1"/>
  <c r="S55" i="1" s="1"/>
  <c r="U52" i="1"/>
  <c r="S52" i="1" s="1"/>
  <c r="U32" i="1"/>
  <c r="S32" i="1" s="1"/>
  <c r="U120" i="1"/>
  <c r="S120" i="1" s="1"/>
  <c r="U53" i="1"/>
  <c r="S53" i="1" s="1"/>
  <c r="U128" i="1"/>
  <c r="S128" i="1" s="1"/>
  <c r="U153" i="1"/>
  <c r="S153" i="1" s="1"/>
  <c r="U73" i="1"/>
  <c r="S73" i="1" s="1"/>
  <c r="U89" i="1"/>
  <c r="S89" i="1" s="1"/>
  <c r="U114" i="1"/>
  <c r="S114" i="1" s="1"/>
  <c r="U98" i="1"/>
  <c r="S98" i="1" s="1"/>
  <c r="U77" i="1"/>
  <c r="S77" i="1" s="1"/>
  <c r="U106" i="1"/>
  <c r="S106" i="1" s="1"/>
  <c r="U67" i="1"/>
  <c r="S67" i="1" s="1"/>
  <c r="U148" i="1"/>
  <c r="S148" i="1" s="1"/>
  <c r="U96" i="1"/>
  <c r="S96" i="1" s="1"/>
  <c r="U47" i="1"/>
  <c r="S47" i="1" s="1"/>
  <c r="U22" i="1"/>
  <c r="S22" i="1" s="1"/>
  <c r="U76" i="1"/>
  <c r="S76" i="1" s="1"/>
  <c r="U146" i="1"/>
  <c r="S146" i="1" s="1"/>
  <c r="U14" i="1"/>
  <c r="S14" i="1" s="1"/>
  <c r="U134" i="1"/>
  <c r="S134" i="1" s="1"/>
  <c r="U18" i="1"/>
  <c r="S18" i="1" s="1"/>
  <c r="U138" i="1"/>
  <c r="S138" i="1" s="1"/>
  <c r="U80" i="1"/>
  <c r="S80" i="1" s="1"/>
  <c r="U142" i="1"/>
  <c r="S141" i="1" s="1"/>
  <c r="F26" i="6"/>
  <c r="G26" i="6"/>
  <c r="I26" i="6"/>
  <c r="J26" i="6"/>
  <c r="H26" i="6"/>
  <c r="B27" i="6"/>
  <c r="U13" i="1"/>
  <c r="S13" i="1" s="1"/>
  <c r="O3" i="3"/>
  <c r="H27" i="6" l="1"/>
  <c r="I27" i="6"/>
  <c r="F27" i="6"/>
  <c r="G27" i="6"/>
  <c r="J27" i="6"/>
  <c r="B28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29" i="6" l="1"/>
  <c r="F29" i="6" s="1"/>
  <c r="F28" i="6"/>
  <c r="G28" i="6"/>
  <c r="I28" i="6"/>
  <c r="H28" i="6"/>
  <c r="J28" i="6"/>
  <c r="J8" i="1"/>
  <c r="J4" i="1"/>
  <c r="S8" i="1"/>
  <c r="S4" i="1"/>
  <c r="J29" i="6" l="1"/>
  <c r="I29" i="6"/>
  <c r="G29" i="6"/>
  <c r="H29" i="6"/>
  <c r="B30" i="6"/>
  <c r="S9" i="1"/>
  <c r="J9" i="1"/>
  <c r="B31" i="6" l="1"/>
  <c r="H30" i="6"/>
  <c r="J30" i="6"/>
  <c r="F30" i="6"/>
  <c r="G30" i="6"/>
  <c r="I30" i="6"/>
  <c r="S11" i="1"/>
  <c r="A11" i="1"/>
  <c r="B32" i="6" l="1"/>
  <c r="F31" i="6"/>
  <c r="I31" i="6"/>
  <c r="J31" i="6"/>
  <c r="G31" i="6"/>
  <c r="H31" i="6"/>
  <c r="B1" i="6"/>
  <c r="A5" i="3"/>
  <c r="B33" i="6" l="1"/>
  <c r="G32" i="6"/>
  <c r="H32" i="6"/>
  <c r="F32" i="6"/>
  <c r="I32" i="6"/>
  <c r="J32" i="6"/>
  <c r="G33" i="6" l="1"/>
  <c r="H33" i="6"/>
  <c r="I33" i="6"/>
  <c r="J33" i="6"/>
  <c r="F33" i="6"/>
  <c r="B34" i="6"/>
  <c r="H34" i="6" l="1"/>
  <c r="F34" i="6"/>
  <c r="G34" i="6"/>
  <c r="I34" i="6"/>
  <c r="J34" i="6"/>
  <c r="B35" i="6"/>
  <c r="B36" i="6" l="1"/>
  <c r="G35" i="6"/>
  <c r="H35" i="6"/>
  <c r="I35" i="6"/>
  <c r="J35" i="6"/>
  <c r="F35" i="6"/>
  <c r="B37" i="6" l="1"/>
  <c r="I36" i="6"/>
  <c r="G36" i="6"/>
  <c r="F36" i="6"/>
  <c r="H36" i="6"/>
  <c r="J36" i="6"/>
  <c r="G37" i="6" l="1"/>
  <c r="F37" i="6"/>
  <c r="H37" i="6"/>
  <c r="I37" i="6"/>
  <c r="J37" i="6"/>
  <c r="B38" i="6"/>
  <c r="H38" i="6" l="1"/>
  <c r="J38" i="6"/>
  <c r="F38" i="6"/>
  <c r="G38" i="6"/>
  <c r="I38" i="6"/>
  <c r="B39" i="6"/>
  <c r="B40" i="6" l="1"/>
  <c r="F39" i="6"/>
  <c r="G39" i="6"/>
  <c r="I39" i="6"/>
  <c r="H39" i="6"/>
  <c r="J39" i="6"/>
  <c r="F40" i="6" l="1"/>
  <c r="G40" i="6"/>
  <c r="J40" i="6"/>
  <c r="H40" i="6"/>
  <c r="I40" i="6"/>
  <c r="B41" i="6"/>
  <c r="G41" i="6" l="1"/>
  <c r="J41" i="6"/>
  <c r="F41" i="6"/>
  <c r="H41" i="6"/>
  <c r="I41" i="6"/>
  <c r="B42" i="6"/>
  <c r="B43" i="6" l="1"/>
  <c r="F42" i="6"/>
  <c r="G42" i="6"/>
  <c r="H42" i="6"/>
  <c r="I42" i="6"/>
  <c r="J42" i="6"/>
  <c r="B44" i="6" l="1"/>
  <c r="J43" i="6"/>
  <c r="F43" i="6"/>
  <c r="I43" i="6"/>
  <c r="G43" i="6"/>
  <c r="H43" i="6"/>
  <c r="B45" i="6" l="1"/>
  <c r="G44" i="6"/>
  <c r="H44" i="6"/>
  <c r="F44" i="6"/>
  <c r="I44" i="6"/>
  <c r="J44" i="6"/>
  <c r="G45" i="6" l="1"/>
  <c r="I45" i="6"/>
  <c r="J45" i="6"/>
  <c r="F45" i="6"/>
  <c r="H45" i="6"/>
  <c r="B46" i="6"/>
  <c r="B47" i="6" l="1"/>
  <c r="J46" i="6"/>
  <c r="F46" i="6"/>
  <c r="H46" i="6"/>
  <c r="G46" i="6"/>
  <c r="I46" i="6"/>
  <c r="B48" i="6" l="1"/>
  <c r="H47" i="6"/>
  <c r="F47" i="6"/>
  <c r="I47" i="6"/>
  <c r="J47" i="6"/>
  <c r="G47" i="6"/>
  <c r="B50" i="6" l="1"/>
  <c r="B49" i="6"/>
  <c r="G48" i="6"/>
  <c r="H48" i="6"/>
  <c r="F48" i="6"/>
  <c r="I48" i="6"/>
  <c r="J48" i="6"/>
  <c r="G49" i="6" l="1"/>
  <c r="H49" i="6"/>
  <c r="I49" i="6"/>
  <c r="J49" i="6"/>
  <c r="F49" i="6"/>
  <c r="H50" i="6"/>
  <c r="J50" i="6"/>
  <c r="G50" i="6"/>
  <c r="I50" i="6"/>
  <c r="F50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<sst xmlns="http://schemas.openxmlformats.org/spreadsheetml/2006/main" count="2965" uniqueCount="1015">
  <si>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</si>
  <si>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</si>
  <si>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</si>
  <si>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</si>
  <si>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</si>
  <si>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</si>
  <si>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</si>
  <si>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</si>
  <si>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</si>
  <si>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</si>
  <si>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</si>
  <si>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</si>
  <si>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</si>
  <si>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</si>
  <si>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</si>
  <si>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</si>
  <si>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</si>
  <si>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</si>
  <si>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</si>
  <si>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</si>
  <si>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</si>
  <si>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</si>
  <si>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</si>
  <si>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</si>
  <si>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</si>
  <si>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</si>
  <si>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</si>
  <si>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</si>
  <si>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</si>
  <si>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</si>
  <si>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</si>
  <si>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</si>
  <si>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</si>
  <si>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</si>
  <si>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</si>
  <si>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</si>
  <si>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</si>
  <si>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</si>
  <si>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</si>
  <si>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</si>
  <si>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</si>
  <si>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</si>
  <si>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</si>
  <si>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</si>
  <si>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</si>
  <si>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</si>
  <si>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</si>
  <si>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</si>
  <si>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</si>
  <si>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</si>
  <si>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</si>
  <si>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</si>
  <si>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</si>
  <si>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</si>
  <si>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</si>
  <si>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</si>
  <si>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</si>
  <si>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</si>
  <si>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</si>
  <si>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</si>
  <si>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</si>
  <si>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</si>
  <si>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</si>
  <si>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</si>
  <si>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</si>
  <si>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</si>
  <si>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</si>
  <si>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</si>
  <si>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</si>
  <si>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</si>
  <si>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</si>
  <si>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</si>
  <si>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</si>
  <si>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</si>
  <si>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</si>
  <si>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</si>
  <si>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</si>
  <si>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</si>
  <si>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</si>
  <si>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</si>
  <si>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</si>
  <si>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</si>
  <si>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</si>
  <si>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</si>
  <si>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</si>
  <si>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</si>
  <si>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</si>
  <si>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</si>
  <si>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</si>
  <si>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</si>
  <si>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</si>
  <si>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</si>
  <si>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</si>
  <si>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</si>
  <si>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</si>
  <si>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</si>
  <si>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</si>
  <si>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</si>
  <si>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</si>
  <si>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</si>
  <si>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</si>
  <si>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</si>
  <si>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</si>
  <si>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</si>
  <si>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</si>
  <si>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</si>
  <si>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</si>
  <si>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</si>
  <si>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</si>
  <si>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</si>
  <si>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</si>
  <si>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</si>
  <si>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</si>
  <si>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</si>
  <si>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</si>
  <si>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</si>
  <si>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</si>
  <si>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</si>
  <si>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</si>
  <si>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</si>
  <si>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</si>
  <si>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</si>
  <si>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</si>
  <si>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</si>
  <si>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</si>
  <si>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</si>
  <si>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</si>
  <si>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</si>
  <si>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</si>
  <si>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</si>
  <si>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</si>
  <si>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</si>
  <si>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</si>
  <si>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</si>
  <si>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</si>
  <si>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</si>
  <si>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</si>
  <si>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</si>
  <si>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</si>
  <si>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</si>
  <si>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</si>
  <si>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</si>
  <si>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</si>
  <si>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</si>
  <si>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</si>
  <si>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</si>
  <si>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</si>
  <si>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</si>
  <si>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</si>
  <si>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</si>
  <si>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</si>
  <si>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</si>
  <si>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</si>
  <si>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</si>
  <si>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</si>
  <si>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</si>
  <si>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</si>
  <si>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</si>
  <si>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</si>
  <si>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</si>
  <si>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</si>
  <si>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</si>
  <si>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</si>
  <si>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</si>
  <si>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</si>
  <si>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</si>
  <si>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</si>
  <si>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</si>
  <si>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</si>
  <si>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</si>
  <si>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</si>
  <si>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</si>
  <si>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</si>
  <si>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</si>
  <si>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</si>
  <si>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</si>
  <si>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</si>
  <si>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</si>
  <si>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</si>
  <si>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</si>
  <si>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</si>
  <si>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</si>
  <si>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</si>
  <si>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</si>
  <si>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</si>
  <si>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</si>
  <si>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</si>
  <si>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</si>
  <si>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</si>
  <si>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</si>
  <si>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</si>
  <si>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</si>
  <si>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</si>
  <si>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</si>
  <si>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</si>
  <si>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AWS CP Parallel</t>
  </si>
  <si>
    <t>DownloadS3Logs</t>
  </si>
  <si>
    <t>%USERPROFILE%\Documents\GitHub\eaglep3\Utilities\DownloadLogsFromS3.py</t>
  </si>
  <si>
    <t>204:457</t>
  </si>
  <si>
    <t>204:460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</si>
  <si>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</si>
  <si>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</si>
  <si>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</si>
  <si>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</si>
  <si>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</si>
  <si>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</si>
  <si>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</si>
  <si>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</si>
  <si>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</si>
  <si>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</si>
  <si>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</si>
  <si>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</si>
  <si>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</si>
  <si>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</si>
  <si>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</si>
  <si>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</si>
  <si>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</si>
  <si>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</si>
  <si>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</si>
  <si>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</si>
  <si>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</si>
  <si>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</si>
  <si>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</si>
  <si>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</si>
  <si>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</si>
  <si>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</si>
  <si>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</si>
  <si>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</si>
  <si>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</si>
  <si>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</si>
  <si>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</si>
  <si>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</si>
  <si>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</si>
  <si>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</si>
  <si>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</si>
  <si>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</si>
  <si>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</si>
  <si>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</si>
  <si>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</si>
  <si>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</si>
  <si>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</si>
  <si>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</si>
  <si>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</si>
  <si>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</si>
  <si>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</si>
  <si>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</si>
  <si>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</si>
  <si>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</si>
  <si>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</si>
  <si>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</si>
  <si>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</si>
  <si>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</si>
  <si>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</si>
  <si>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</si>
  <si>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</si>
  <si>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</si>
  <si>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</si>
  <si>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</si>
  <si>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</si>
  <si>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</si>
  <si>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</si>
  <si>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</si>
  <si>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</si>
  <si>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</si>
  <si>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</si>
  <si>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</si>
  <si>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</si>
  <si>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</si>
  <si>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</si>
  <si>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</si>
  <si>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</si>
  <si>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</si>
  <si>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</si>
  <si>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</si>
  <si>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</si>
  <si>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</si>
  <si>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</si>
  <si>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</si>
  <si>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</si>
  <si>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</si>
  <si>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</si>
  <si>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</si>
  <si>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</si>
  <si>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</si>
  <si>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</si>
  <si>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</si>
  <si>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</si>
  <si>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</si>
  <si>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</si>
  <si>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</si>
  <si>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</si>
  <si>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</si>
  <si>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</si>
  <si>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</si>
  <si>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</si>
  <si>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</si>
  <si>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</si>
  <si>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</si>
  <si>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</si>
  <si>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</si>
  <si>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</si>
  <si>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</si>
  <si>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</si>
  <si>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</si>
  <si>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</si>
  <si>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</si>
  <si>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</si>
  <si>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</si>
  <si>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</si>
  <si>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</si>
  <si>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</si>
  <si>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</si>
  <si>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</si>
  <si>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</si>
  <si>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</si>
  <si>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</si>
  <si>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</si>
  <si>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</si>
  <si>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</si>
  <si>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</si>
  <si>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</si>
  <si>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</si>
  <si>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</si>
  <si>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</si>
  <si>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</si>
  <si>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</si>
  <si>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</si>
  <si>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</si>
  <si>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</si>
  <si>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</si>
  <si>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</si>
  <si>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</si>
  <si>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</si>
  <si>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</si>
  <si>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</si>
  <si>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</si>
  <si>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</si>
  <si>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</si>
  <si>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</si>
  <si>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</si>
  <si>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rtdc.l.rtdc.4027:itc</t>
  </si>
  <si>
    <t>rtdc.l.rtdc.4022:itc</t>
  </si>
  <si>
    <t>SMITH</t>
  </si>
  <si>
    <t>204:449</t>
  </si>
  <si>
    <t>WCR Redmine cURL</t>
  </si>
  <si>
    <t>27f4683f8c668ceb395ce0223286e38dfe180cf8</t>
  </si>
  <si>
    <t>https://ptcsupport.wabtec.com/issues.json</t>
  </si>
  <si>
    <t>204:446</t>
  </si>
  <si>
    <t>204:458</t>
  </si>
  <si>
    <t>204:150</t>
  </si>
  <si>
    <t>204:149</t>
  </si>
  <si>
    <t>204:143</t>
  </si>
  <si>
    <t>204:466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</si>
  <si>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</si>
  <si>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</si>
  <si>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</si>
  <si>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</si>
  <si>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</si>
  <si>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</si>
  <si>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</si>
  <si>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</si>
  <si>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</si>
  <si>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</si>
  <si>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</si>
  <si>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rtdc.l.rtdc.4033:itc</t>
  </si>
  <si>
    <t>rtdc.l.rtdc.4034:itc</t>
  </si>
  <si>
    <t>rtdc.l.rtdc.4021:itc</t>
  </si>
  <si>
    <t>THOMAS</t>
  </si>
  <si>
    <t>NEWELL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</si>
  <si>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</si>
  <si>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</si>
  <si>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</si>
  <si>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</si>
  <si>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</si>
  <si>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</si>
  <si>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</si>
  <si>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</si>
  <si>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</si>
  <si>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CHANDLER</t>
  </si>
  <si>
    <t>KELVIN</t>
  </si>
  <si>
    <t>GUZMAN</t>
  </si>
  <si>
    <t>DANNY</t>
  </si>
  <si>
    <t>BIRENBAUM</t>
  </si>
  <si>
    <t>WILLIAMS</t>
  </si>
  <si>
    <t>DONTE</t>
  </si>
  <si>
    <t>ZEWDU</t>
  </si>
  <si>
    <t>DEREJE</t>
  </si>
  <si>
    <t>315-08</t>
  </si>
  <si>
    <t>242-08</t>
  </si>
  <si>
    <t>309-08</t>
  </si>
  <si>
    <t>311-08</t>
  </si>
  <si>
    <t>313-08</t>
  </si>
  <si>
    <t>204:462</t>
  </si>
  <si>
    <t>204:233293</t>
  </si>
  <si>
    <t>SULLIVAN</t>
  </si>
  <si>
    <t>BRANDON</t>
  </si>
  <si>
    <t>204:154</t>
  </si>
  <si>
    <t>Early arrival</t>
  </si>
  <si>
    <t>rtdc.l.rtdc.4049:itc</t>
  </si>
  <si>
    <t>rtdc.l.rtdc.4050:itc</t>
  </si>
  <si>
    <t>rtdc.l.rtdc.4008:itc</t>
  </si>
  <si>
    <t>rtdc.l.rtdc.4054:itc</t>
  </si>
  <si>
    <t>rtdc.l.rtdc.4059:itc</t>
  </si>
  <si>
    <t>59-16</t>
  </si>
  <si>
    <t>66-16</t>
  </si>
  <si>
    <t>rtdc.l.rtdc.4060:itc</t>
  </si>
  <si>
    <t>60-16</t>
  </si>
  <si>
    <t>309-16</t>
  </si>
  <si>
    <t>244-16</t>
  </si>
  <si>
    <t>311-16</t>
  </si>
  <si>
    <t>313-16</t>
  </si>
  <si>
    <t>Y</t>
  </si>
  <si>
    <t>Wi-MAX data drop</t>
  </si>
  <si>
    <t>ROBINSON</t>
  </si>
  <si>
    <t>KADDIBA</t>
  </si>
  <si>
    <t>DAVIS</t>
  </si>
  <si>
    <t>DUNCAN</t>
  </si>
  <si>
    <t>SHEILA</t>
  </si>
  <si>
    <t>MAGEE</t>
  </si>
  <si>
    <t>KENYA</t>
  </si>
  <si>
    <t>204:232977</t>
  </si>
  <si>
    <t>204:145</t>
  </si>
  <si>
    <t>rtdc.l.rtdc.4043:itc</t>
  </si>
  <si>
    <t>rtdc.l.rtdc.4019:itc</t>
  </si>
  <si>
    <t>80-23</t>
  </si>
  <si>
    <t>rtdc.l.rtdc.4020:itc</t>
  </si>
  <si>
    <t>rtdc.l.rtdc.4044:itc</t>
  </si>
  <si>
    <t>FORTUNATO</t>
  </si>
  <si>
    <t>FRANK</t>
  </si>
  <si>
    <t>81-23</t>
  </si>
  <si>
    <t>240-23</t>
  </si>
  <si>
    <t>243-23</t>
  </si>
  <si>
    <t>307-23</t>
  </si>
  <si>
    <t>242-23</t>
  </si>
  <si>
    <t>309-23</t>
  </si>
  <si>
    <t>244-23</t>
  </si>
  <si>
    <t>311-23</t>
  </si>
  <si>
    <t>313-23</t>
  </si>
  <si>
    <t>204:233297</t>
  </si>
  <si>
    <t>M - F = 49 trips</t>
  </si>
  <si>
    <t>Sat - Sun = 35 Trips</t>
  </si>
  <si>
    <t>204:467</t>
  </si>
  <si>
    <t>204:156</t>
  </si>
  <si>
    <t>rtdc.l.rtdc.4001:itc</t>
  </si>
  <si>
    <t>rtdc.l.rtdc.4002:itc</t>
  </si>
  <si>
    <t>SAFIEF</t>
  </si>
  <si>
    <t>AEIMEN</t>
  </si>
  <si>
    <t>204:233289</t>
  </si>
  <si>
    <t>204:444</t>
  </si>
  <si>
    <t>204:233307</t>
  </si>
  <si>
    <t>204:437</t>
  </si>
  <si>
    <t>rtdc.l.rtdc.4016:itc</t>
  </si>
  <si>
    <t>204:232986</t>
  </si>
  <si>
    <t>rtdc.l.rtdc.4046:itc</t>
  </si>
  <si>
    <t>rtdc.l.rtdc.4045:itc</t>
  </si>
  <si>
    <t>rtdc.l.rtdc.4055:itc</t>
  </si>
  <si>
    <t>rtdc.l.rtdc.4056:itc</t>
  </si>
  <si>
    <t>204:233303</t>
  </si>
  <si>
    <t>204:232971</t>
  </si>
  <si>
    <t>204:136</t>
  </si>
  <si>
    <t>204:232996</t>
  </si>
  <si>
    <t>rtdc.l.rtdc.4015:itc</t>
  </si>
  <si>
    <t>204:232994</t>
  </si>
  <si>
    <t>204:233311</t>
  </si>
  <si>
    <t>204:233302</t>
  </si>
  <si>
    <t>204:232969</t>
  </si>
  <si>
    <t>204:161</t>
  </si>
  <si>
    <t>204:232985</t>
  </si>
  <si>
    <t>204:233300</t>
  </si>
  <si>
    <t>204:233291</t>
  </si>
  <si>
    <t>204:233295</t>
  </si>
  <si>
    <t>204:232987</t>
  </si>
  <si>
    <t>204:233299</t>
  </si>
  <si>
    <t>300:58950</t>
  </si>
  <si>
    <t>MACDONALD</t>
  </si>
  <si>
    <t>BRUDER</t>
  </si>
  <si>
    <t>RICHARD</t>
  </si>
  <si>
    <t>MAELZER</t>
  </si>
  <si>
    <t>KURT</t>
  </si>
  <si>
    <t>204:232993</t>
  </si>
  <si>
    <t>204:233019</t>
  </si>
  <si>
    <t>204:440</t>
  </si>
  <si>
    <t>204:232991</t>
  </si>
  <si>
    <t>300:58624</t>
  </si>
  <si>
    <t>300:58636</t>
  </si>
  <si>
    <t>204:469</t>
  </si>
  <si>
    <t>HAITHCOX</t>
  </si>
  <si>
    <t>204:233301</t>
  </si>
  <si>
    <t>204:233334</t>
  </si>
  <si>
    <t>204:435</t>
  </si>
  <si>
    <t>204:232975</t>
  </si>
  <si>
    <t>300:58638</t>
  </si>
  <si>
    <t>300:58943</t>
  </si>
  <si>
    <t>300:58956</t>
  </si>
  <si>
    <t>204:1004</t>
  </si>
  <si>
    <t>300:58976</t>
  </si>
  <si>
    <t>204:233337</t>
  </si>
  <si>
    <t>204:442</t>
  </si>
  <si>
    <t>rtdc.l.rtdc.4006:itc</t>
  </si>
  <si>
    <t>rtdc.l.rtdc.4030:itc</t>
  </si>
  <si>
    <t>BONDS</t>
  </si>
  <si>
    <t>REYNALDO</t>
  </si>
  <si>
    <t>STARKS</t>
  </si>
  <si>
    <t>ANGELINA</t>
  </si>
  <si>
    <t>rtdc.l.rtdc.4029:itc</t>
  </si>
  <si>
    <t>rtdc.l.rtdc.4005:itc</t>
  </si>
  <si>
    <t>HELVIE</t>
  </si>
  <si>
    <t>ADAM</t>
  </si>
  <si>
    <t>STORY</t>
  </si>
  <si>
    <t>SAMANTHA</t>
  </si>
  <si>
    <t>clear-night</t>
  </si>
  <si>
    <t>Clear</t>
  </si>
  <si>
    <t>clear-day</t>
  </si>
  <si>
    <t>204:232959</t>
  </si>
  <si>
    <t>204:232982</t>
  </si>
  <si>
    <t>204:232981</t>
  </si>
  <si>
    <t>204:233310</t>
  </si>
  <si>
    <t>204:138</t>
  </si>
  <si>
    <t>204:160</t>
  </si>
  <si>
    <t>204:233319</t>
  </si>
  <si>
    <t>204:233284</t>
  </si>
  <si>
    <t>204:232978</t>
  </si>
  <si>
    <t>204:232965</t>
  </si>
  <si>
    <t>204:86352</t>
  </si>
  <si>
    <t>204:232961</t>
  </si>
  <si>
    <t>204:232974</t>
  </si>
  <si>
    <t>300:58600</t>
  </si>
  <si>
    <t>300:58952</t>
  </si>
  <si>
    <t>rtdc.l.rtdc.4031:itc</t>
  </si>
  <si>
    <t>rtdc.l.rtdc.4032:itc</t>
  </si>
  <si>
    <t>rtdc.l.rtdc.4024:itc</t>
  </si>
  <si>
    <t>rtdc.l.rtdc.4023:itc</t>
  </si>
  <si>
    <t>238-13</t>
  </si>
  <si>
    <t>SPECTOR</t>
  </si>
  <si>
    <t>LOZA</t>
  </si>
  <si>
    <t>FIDEL</t>
  </si>
  <si>
    <t>STEWART</t>
  </si>
  <si>
    <t>LEVIN</t>
  </si>
  <si>
    <t>SCOTT</t>
  </si>
  <si>
    <t>NELSON</t>
  </si>
  <si>
    <t>ARIANE</t>
  </si>
  <si>
    <t>233-13</t>
  </si>
  <si>
    <t>230-13</t>
  </si>
  <si>
    <t>847-13</t>
  </si>
  <si>
    <t>232-13</t>
  </si>
  <si>
    <t>235-13</t>
  </si>
  <si>
    <t>908-13</t>
  </si>
  <si>
    <t>237-13</t>
  </si>
  <si>
    <t>234-13</t>
  </si>
  <si>
    <t>236-13</t>
  </si>
  <si>
    <t>239-13</t>
  </si>
  <si>
    <t>241-13</t>
  </si>
  <si>
    <t>240-13</t>
  </si>
  <si>
    <t>243-13</t>
  </si>
  <si>
    <t>307-13</t>
  </si>
  <si>
    <t>242-13</t>
  </si>
  <si>
    <t>244-13</t>
  </si>
  <si>
    <t>309-13</t>
  </si>
  <si>
    <t>311-13</t>
  </si>
  <si>
    <t>313-13</t>
  </si>
  <si>
    <t>204:429</t>
  </si>
  <si>
    <t>204:233314</t>
  </si>
  <si>
    <t>204:233280</t>
  </si>
  <si>
    <t>204:232980</t>
  </si>
  <si>
    <t>204:233274</t>
  </si>
  <si>
    <t>204:233005</t>
  </si>
  <si>
    <t>204:64171</t>
  </si>
  <si>
    <t>204:233304</t>
  </si>
  <si>
    <t>204:232989</t>
  </si>
  <si>
    <t>204:163</t>
  </si>
  <si>
    <t>204:438</t>
  </si>
  <si>
    <t>204:233298</t>
  </si>
  <si>
    <t>204:129</t>
  </si>
  <si>
    <t>204:433</t>
  </si>
  <si>
    <t>204:232992</t>
  </si>
  <si>
    <t>204:233004</t>
  </si>
  <si>
    <t>204:233372</t>
  </si>
  <si>
    <t>204:233065</t>
  </si>
  <si>
    <t>204:233320</t>
  </si>
  <si>
    <t>204:477</t>
  </si>
  <si>
    <t>204:232964</t>
  </si>
  <si>
    <t>300:23306</t>
  </si>
  <si>
    <t>204:1162</t>
  </si>
  <si>
    <t>204:1175</t>
  </si>
  <si>
    <t>300:58939</t>
  </si>
  <si>
    <t>300:58626</t>
  </si>
  <si>
    <t>204:1035</t>
  </si>
  <si>
    <t>204:1028</t>
  </si>
  <si>
    <t>204:1009</t>
  </si>
  <si>
    <t>300:58630</t>
  </si>
  <si>
    <t>204:724</t>
  </si>
  <si>
    <t>300:58946</t>
  </si>
  <si>
    <t>204:692</t>
  </si>
  <si>
    <t>204:981</t>
  </si>
  <si>
    <t>300:58929</t>
  </si>
  <si>
    <t>300:58623</t>
  </si>
  <si>
    <t>204:696</t>
  </si>
  <si>
    <t>204:985</t>
  </si>
  <si>
    <t>Form C</t>
  </si>
  <si>
    <t>rtdc.l.rtdc.4010:itc</t>
  </si>
  <si>
    <t>101-14</t>
  </si>
  <si>
    <t>rtdc.l.rtdc.4011:itc</t>
  </si>
  <si>
    <t>800-14</t>
  </si>
  <si>
    <t>rtdc.l.rtdc.4007:itc</t>
  </si>
  <si>
    <t>312-14</t>
  </si>
  <si>
    <t>902-14</t>
  </si>
  <si>
    <t>803-14</t>
  </si>
  <si>
    <t>123-14</t>
  </si>
  <si>
    <t>rtdc.l.rtdc.4003:itc</t>
  </si>
  <si>
    <t>114-14</t>
  </si>
  <si>
    <t>806-14</t>
  </si>
  <si>
    <t>807-14</t>
  </si>
  <si>
    <t>811-14</t>
  </si>
  <si>
    <t>SWITCH UNKNOWN</t>
  </si>
  <si>
    <t>Track device (7)</t>
  </si>
  <si>
    <t>137-14</t>
  </si>
  <si>
    <t>813-14</t>
  </si>
  <si>
    <t>138-14</t>
  </si>
  <si>
    <t>rtdc.l.rtdc.4009:itc</t>
  </si>
  <si>
    <t>140-14</t>
  </si>
  <si>
    <t>151-14</t>
  </si>
  <si>
    <t>58-14</t>
  </si>
  <si>
    <t>817-14</t>
  </si>
  <si>
    <t>154-14</t>
  </si>
  <si>
    <t>158-14</t>
  </si>
  <si>
    <t>168-14</t>
  </si>
  <si>
    <t>823-14</t>
  </si>
  <si>
    <t>182-14</t>
  </si>
  <si>
    <t>186-14</t>
  </si>
  <si>
    <t>195-14</t>
  </si>
  <si>
    <t>828-14</t>
  </si>
  <si>
    <t>196-14</t>
  </si>
  <si>
    <t>198-14</t>
  </si>
  <si>
    <t>rtdc.l.rtdc.4012:itc</t>
  </si>
  <si>
    <t>831-14</t>
  </si>
  <si>
    <t>209-14</t>
  </si>
  <si>
    <t>836-14</t>
  </si>
  <si>
    <t>208-14</t>
  </si>
  <si>
    <t>217-14</t>
  </si>
  <si>
    <t>214-14</t>
  </si>
  <si>
    <t>212-14</t>
  </si>
  <si>
    <t>221-14</t>
  </si>
  <si>
    <t>220-14</t>
  </si>
  <si>
    <t>218-14</t>
  </si>
  <si>
    <t>840-14</t>
  </si>
  <si>
    <t>843-14</t>
  </si>
  <si>
    <t>224-14</t>
  </si>
  <si>
    <t>844-14</t>
  </si>
  <si>
    <t>847-14</t>
  </si>
  <si>
    <t>244-14</t>
  </si>
  <si>
    <t>300-14</t>
  </si>
  <si>
    <t>51-14</t>
  </si>
  <si>
    <t>52-14</t>
  </si>
  <si>
    <t>302-14</t>
  </si>
  <si>
    <t>103-14</t>
  </si>
  <si>
    <t>304-14</t>
  </si>
  <si>
    <t>306-14</t>
  </si>
  <si>
    <t>102-14</t>
  </si>
  <si>
    <t>105-14</t>
  </si>
  <si>
    <t>308-14</t>
  </si>
  <si>
    <t>WENDY</t>
  </si>
  <si>
    <t>107-14</t>
  </si>
  <si>
    <t>104-14</t>
  </si>
  <si>
    <t>109-14</t>
  </si>
  <si>
    <t>901-14</t>
  </si>
  <si>
    <t>111-14</t>
  </si>
  <si>
    <t>106-14</t>
  </si>
  <si>
    <t>310-14</t>
  </si>
  <si>
    <t>rtdc.l.rtdc.4004:itc</t>
  </si>
  <si>
    <t>113-14</t>
  </si>
  <si>
    <t>BEAM</t>
  </si>
  <si>
    <t>ROSS</t>
  </si>
  <si>
    <t>108-14</t>
  </si>
  <si>
    <t>115-14</t>
  </si>
  <si>
    <t>801-14</t>
  </si>
  <si>
    <t>117-14</t>
  </si>
  <si>
    <t>110-14</t>
  </si>
  <si>
    <t>GEBRETEKLE</t>
  </si>
  <si>
    <t>DAGNEW</t>
  </si>
  <si>
    <t>112-14</t>
  </si>
  <si>
    <t>119-14</t>
  </si>
  <si>
    <t>802-14</t>
  </si>
  <si>
    <t>121-14</t>
  </si>
  <si>
    <t>116-14</t>
  </si>
  <si>
    <t>118-14</t>
  </si>
  <si>
    <t>805-14</t>
  </si>
  <si>
    <t>804-14</t>
  </si>
  <si>
    <t>125-14</t>
  </si>
  <si>
    <t>127-14</t>
  </si>
  <si>
    <t>120-14</t>
  </si>
  <si>
    <t>122-14</t>
  </si>
  <si>
    <t>129-14</t>
  </si>
  <si>
    <t>124-14</t>
  </si>
  <si>
    <t>131-14</t>
  </si>
  <si>
    <t>809-14</t>
  </si>
  <si>
    <t>808-14</t>
  </si>
  <si>
    <t>126-14</t>
  </si>
  <si>
    <t>133-14</t>
  </si>
  <si>
    <t>128-14</t>
  </si>
  <si>
    <t>135-14</t>
  </si>
  <si>
    <t>130-14</t>
  </si>
  <si>
    <t>810-14</t>
  </si>
  <si>
    <t>132-14</t>
  </si>
  <si>
    <t>139-14</t>
  </si>
  <si>
    <t>903-14</t>
  </si>
  <si>
    <t>812-14</t>
  </si>
  <si>
    <t>134-14</t>
  </si>
  <si>
    <t>141-14</t>
  </si>
  <si>
    <t>136-14</t>
  </si>
  <si>
    <t>143-14</t>
  </si>
  <si>
    <t>145-14</t>
  </si>
  <si>
    <t>56-14</t>
  </si>
  <si>
    <t>GRASTON</t>
  </si>
  <si>
    <t>MATHEU</t>
  </si>
  <si>
    <t>142-14</t>
  </si>
  <si>
    <t>147-14</t>
  </si>
  <si>
    <t>814-14</t>
  </si>
  <si>
    <t>149-14</t>
  </si>
  <si>
    <t>144-14</t>
  </si>
  <si>
    <t>146-14</t>
  </si>
  <si>
    <t>153-14</t>
  </si>
  <si>
    <t>148-14</t>
  </si>
  <si>
    <t>815-14</t>
  </si>
  <si>
    <t>155-14</t>
  </si>
  <si>
    <t>816-14</t>
  </si>
  <si>
    <t>150-14</t>
  </si>
  <si>
    <t>DE LA ROSA</t>
  </si>
  <si>
    <t>ALEX</t>
  </si>
  <si>
    <t>157-14</t>
  </si>
  <si>
    <t>152-14</t>
  </si>
  <si>
    <t>159-14</t>
  </si>
  <si>
    <t>161-14</t>
  </si>
  <si>
    <t>156-14</t>
  </si>
  <si>
    <t>55-14</t>
  </si>
  <si>
    <t>163-14</t>
  </si>
  <si>
    <t>818-14</t>
  </si>
  <si>
    <t>160-14</t>
  </si>
  <si>
    <t>165-14</t>
  </si>
  <si>
    <t>167-14</t>
  </si>
  <si>
    <t>819-14</t>
  </si>
  <si>
    <t>162-14</t>
  </si>
  <si>
    <t>169-14</t>
  </si>
  <si>
    <t>DELGADO</t>
  </si>
  <si>
    <t>DIANAH</t>
  </si>
  <si>
    <t>164-14</t>
  </si>
  <si>
    <t>171-14</t>
  </si>
  <si>
    <t>166-14</t>
  </si>
  <si>
    <t>820-14</t>
  </si>
  <si>
    <t>173-14</t>
  </si>
  <si>
    <t>HOLCOMB</t>
  </si>
  <si>
    <t>KAMDEN</t>
  </si>
  <si>
    <t>175-14</t>
  </si>
  <si>
    <t>170-14</t>
  </si>
  <si>
    <t>177-14</t>
  </si>
  <si>
    <t>821-14</t>
  </si>
  <si>
    <t>179-14</t>
  </si>
  <si>
    <t>172-14</t>
  </si>
  <si>
    <t>174-14</t>
  </si>
  <si>
    <t>181-14</t>
  </si>
  <si>
    <t>822-14</t>
  </si>
  <si>
    <t>176-14</t>
  </si>
  <si>
    <t>183-14</t>
  </si>
  <si>
    <t>178-14</t>
  </si>
  <si>
    <t>185-14</t>
  </si>
  <si>
    <t>180-14</t>
  </si>
  <si>
    <t>187-14</t>
  </si>
  <si>
    <t>184-14</t>
  </si>
  <si>
    <t>824-14</t>
  </si>
  <si>
    <t>189-14</t>
  </si>
  <si>
    <t>191-14</t>
  </si>
  <si>
    <t>193-14</t>
  </si>
  <si>
    <t>904-14</t>
  </si>
  <si>
    <t>STAMBAUGH</t>
  </si>
  <si>
    <t>825-14</t>
  </si>
  <si>
    <t>188-14</t>
  </si>
  <si>
    <t>827-14</t>
  </si>
  <si>
    <t>190-14</t>
  </si>
  <si>
    <t>826-14</t>
  </si>
  <si>
    <t>197-14</t>
  </si>
  <si>
    <t>192-14</t>
  </si>
  <si>
    <t>199-14</t>
  </si>
  <si>
    <t>194-14</t>
  </si>
  <si>
    <t>201-14</t>
  </si>
  <si>
    <t>829-14</t>
  </si>
  <si>
    <t>203-14</t>
  </si>
  <si>
    <t>205-14</t>
  </si>
  <si>
    <t>830-14</t>
  </si>
  <si>
    <t>207-14</t>
  </si>
  <si>
    <t>200-14</t>
  </si>
  <si>
    <t>73-14</t>
  </si>
  <si>
    <t>832-14</t>
  </si>
  <si>
    <t>202-14</t>
  </si>
  <si>
    <t>833-14</t>
  </si>
  <si>
    <t>204-14</t>
  </si>
  <si>
    <t>211-14</t>
  </si>
  <si>
    <t>75-14</t>
  </si>
  <si>
    <t>BERLING</t>
  </si>
  <si>
    <t>GARY</t>
  </si>
  <si>
    <t>834-14</t>
  </si>
  <si>
    <t>206-14</t>
  </si>
  <si>
    <t>213-14</t>
  </si>
  <si>
    <t>835-14</t>
  </si>
  <si>
    <t>215-14</t>
  </si>
  <si>
    <t>210-14</t>
  </si>
  <si>
    <t>72-14</t>
  </si>
  <si>
    <t>837-14</t>
  </si>
  <si>
    <t>219-14</t>
  </si>
  <si>
    <t>839-14</t>
  </si>
  <si>
    <t>301-14</t>
  </si>
  <si>
    <t>838-14</t>
  </si>
  <si>
    <t>216-14</t>
  </si>
  <si>
    <t>906-14</t>
  </si>
  <si>
    <t>303-14</t>
  </si>
  <si>
    <t>841-14</t>
  </si>
  <si>
    <t>223-14</t>
  </si>
  <si>
    <t>305-14</t>
  </si>
  <si>
    <t>225-14</t>
  </si>
  <si>
    <t>222-14</t>
  </si>
  <si>
    <t>227-14</t>
  </si>
  <si>
    <t>842-14</t>
  </si>
  <si>
    <t>229-14</t>
  </si>
  <si>
    <t>226-14</t>
  </si>
  <si>
    <t>845-14</t>
  </si>
  <si>
    <t>228-14</t>
  </si>
  <si>
    <t>231-14</t>
  </si>
  <si>
    <t>233-14</t>
  </si>
  <si>
    <t>230-14</t>
  </si>
  <si>
    <t>232-14</t>
  </si>
  <si>
    <t>235-14</t>
  </si>
  <si>
    <t>JACKSON</t>
  </si>
  <si>
    <t>WILLIAM</t>
  </si>
  <si>
    <t>908-14</t>
  </si>
  <si>
    <t>237-14</t>
  </si>
  <si>
    <t>234-14</t>
  </si>
  <si>
    <t>239-14</t>
  </si>
  <si>
    <t>236-14</t>
  </si>
  <si>
    <t>238-14</t>
  </si>
  <si>
    <t>241-14</t>
  </si>
  <si>
    <t>240-14</t>
  </si>
  <si>
    <t>243-14</t>
  </si>
  <si>
    <t>307-14</t>
  </si>
  <si>
    <t>242-14</t>
  </si>
  <si>
    <t>309-14</t>
  </si>
  <si>
    <t>311-14</t>
  </si>
  <si>
    <t>313-14</t>
  </si>
  <si>
    <t>uvIndex</t>
  </si>
  <si>
    <t>windGust</t>
  </si>
  <si>
    <t>204:803</t>
  </si>
  <si>
    <t>204:233417</t>
  </si>
  <si>
    <t>204:232936</t>
  </si>
  <si>
    <t>204:232976</t>
  </si>
  <si>
    <t>204:233006</t>
  </si>
  <si>
    <t>204:232984</t>
  </si>
  <si>
    <t>204:539</t>
  </si>
  <si>
    <t>204:475</t>
  </si>
  <si>
    <t>204:232973</t>
  </si>
  <si>
    <t>204:478</t>
  </si>
  <si>
    <t>204:233309</t>
  </si>
  <si>
    <t>204:431</t>
  </si>
  <si>
    <t>204:502</t>
  </si>
  <si>
    <t>204:233276</t>
  </si>
  <si>
    <t>204:232998</t>
  </si>
  <si>
    <t>204:455</t>
  </si>
  <si>
    <t>204:232979</t>
  </si>
  <si>
    <t>204:232970</t>
  </si>
  <si>
    <t>204:233328</t>
  </si>
  <si>
    <t>204:233278</t>
  </si>
  <si>
    <t>204:464</t>
  </si>
  <si>
    <t>204:232953</t>
  </si>
  <si>
    <t>204:233383</t>
  </si>
  <si>
    <t>204:233067</t>
  </si>
  <si>
    <t>204:134</t>
  </si>
  <si>
    <t>204:233076</t>
  </si>
  <si>
    <t>204:233255</t>
  </si>
  <si>
    <t>204:233007</t>
  </si>
  <si>
    <t>204:233272</t>
  </si>
  <si>
    <t>204:233404</t>
  </si>
  <si>
    <t>204:233089</t>
  </si>
  <si>
    <t>204:125</t>
  </si>
  <si>
    <t>204:233380</t>
  </si>
  <si>
    <t>204:233327</t>
  </si>
  <si>
    <t>204:233000</t>
  </si>
  <si>
    <t>204:233317</t>
  </si>
  <si>
    <t>204:127</t>
  </si>
  <si>
    <t>204:480</t>
  </si>
  <si>
    <t>204:233349</t>
  </si>
  <si>
    <t>204:233318</t>
  </si>
  <si>
    <t>204:233288</t>
  </si>
  <si>
    <t>204:232983</t>
  </si>
  <si>
    <t>204:232950</t>
  </si>
  <si>
    <t>204:233001</t>
  </si>
  <si>
    <t>204:61430</t>
  </si>
  <si>
    <t>204:36788</t>
  </si>
  <si>
    <t>204:233407</t>
  </si>
  <si>
    <t>204:232957</t>
  </si>
  <si>
    <t>204:233361</t>
  </si>
  <si>
    <t>204:233023</t>
  </si>
  <si>
    <t>204:233322</t>
  </si>
  <si>
    <t>300:23423</t>
  </si>
  <si>
    <t>300:23312</t>
  </si>
  <si>
    <t>300:23309</t>
  </si>
  <si>
    <t>300:20403</t>
  </si>
  <si>
    <t>300:23304</t>
  </si>
  <si>
    <t>300:23097</t>
  </si>
  <si>
    <t>300:23072</t>
  </si>
  <si>
    <t>204:471</t>
  </si>
  <si>
    <t>300:23310</t>
  </si>
  <si>
    <t>300:23478</t>
  </si>
  <si>
    <t>300:20011</t>
  </si>
  <si>
    <t>204:232</t>
  </si>
  <si>
    <t>204:3543</t>
  </si>
  <si>
    <t>204:3236</t>
  </si>
  <si>
    <t>300:24203</t>
  </si>
  <si>
    <t>300:29720</t>
  </si>
  <si>
    <t>300:39566</t>
  </si>
  <si>
    <t>300:23519</t>
  </si>
  <si>
    <t>204:859</t>
  </si>
  <si>
    <t>300:23392</t>
  </si>
  <si>
    <t>204:1864</t>
  </si>
  <si>
    <t>204:1475</t>
  </si>
  <si>
    <t>300:23314</t>
  </si>
  <si>
    <t>204:1137</t>
  </si>
  <si>
    <t>300:56642</t>
  </si>
  <si>
    <t>300:58068</t>
  </si>
  <si>
    <t>300:58984</t>
  </si>
  <si>
    <t>300:58672</t>
  </si>
  <si>
    <t>204:712</t>
  </si>
  <si>
    <t>300:58615</t>
  </si>
  <si>
    <t>204:757</t>
  </si>
  <si>
    <t>300:58679</t>
  </si>
  <si>
    <t>204:684</t>
  </si>
  <si>
    <t>204:682</t>
  </si>
  <si>
    <t>204:993</t>
  </si>
  <si>
    <t>300:58997</t>
  </si>
  <si>
    <t>300:58666</t>
  </si>
  <si>
    <t>204:699</t>
  </si>
  <si>
    <t>204:978</t>
  </si>
  <si>
    <t>300:58670</t>
  </si>
  <si>
    <t>204:691</t>
  </si>
  <si>
    <t>204:979</t>
  </si>
  <si>
    <t>300:58988</t>
  </si>
  <si>
    <t>300:58673</t>
  </si>
  <si>
    <t>204:701</t>
  </si>
  <si>
    <t>300:58664</t>
  </si>
  <si>
    <t>204:1317</t>
  </si>
  <si>
    <t>300:58954</t>
  </si>
  <si>
    <t>204:897</t>
  </si>
  <si>
    <t>300:58948</t>
  </si>
  <si>
    <t>204:967</t>
  </si>
  <si>
    <t>204:652</t>
  </si>
  <si>
    <t>204:976</t>
  </si>
  <si>
    <t>204:937</t>
  </si>
  <si>
    <t>300:4877</t>
  </si>
  <si>
    <t>204:988</t>
  </si>
  <si>
    <t>300:58961</t>
  </si>
  <si>
    <t>300:58653</t>
  </si>
  <si>
    <t>204:703</t>
  </si>
  <si>
    <t>204:895</t>
  </si>
  <si>
    <t>300:5098</t>
  </si>
  <si>
    <t>204:698</t>
  </si>
  <si>
    <t>300:58911</t>
  </si>
  <si>
    <t>300:58643</t>
  </si>
  <si>
    <t>204:657</t>
  </si>
  <si>
    <t>204:948</t>
  </si>
  <si>
    <t>300:29936</t>
  </si>
  <si>
    <t>300:23542</t>
  </si>
  <si>
    <t>300:23680</t>
  </si>
  <si>
    <t>300:20837</t>
  </si>
  <si>
    <t>300:58611</t>
  </si>
  <si>
    <t>300:28795</t>
  </si>
  <si>
    <t>300:58609</t>
  </si>
  <si>
    <t>300:28778</t>
  </si>
  <si>
    <t>start /low /b %USERPROFILE%\Documents\GitHub\eaglep3\Utilities\DownloadLogsFromS3.py --loco 4039 --day 2017-06-14</t>
  </si>
  <si>
    <t>start /low /b %USERPROFILE%\Documents\GitHub\eaglep3\Utilities\DownloadLogsFromS3.py --loco 4055 --day 2017-06-14</t>
  </si>
  <si>
    <t>start /low /b %USERPROFILE%\Documents\GitHub\eaglep3\Utilities\DownloadLogsFromS3.py --loco 4011 --day 2017-06-14</t>
  </si>
  <si>
    <t>start /low /b %USERPROFILE%\Documents\GitHub\eaglep3\Utilities\DownloadLogsFromS3.py --loco 4019 --day 2017-06-14</t>
  </si>
  <si>
    <t>start /low /b %USERPROFILE%\Documents\GitHub\eaglep3\Utilities\DownloadLogsFromS3.py --loco 4009 --day 2017-06-14</t>
  </si>
  <si>
    <t>start /low /b %USERPROFILE%\Documents\GitHub\eaglep3\Utilities\DownloadLogsFromS3.py --loco 4003 --day 2017-06-15</t>
  </si>
  <si>
    <t>start /low /b %USERPROFILE%\Documents\GitHub\eaglep3\Utilities\DownloadLogsFromS3.py --loco 4040 --day 2017-06-14</t>
  </si>
  <si>
    <t>start /low /b %USERPROFILE%\Documents\GitHub\eaglep3\Utilities\DownloadLogsFromS3.py --loco 4043 --day 2017-06-14</t>
  </si>
  <si>
    <t>start /low /b %USERPROFILE%\Documents\GitHub\eaglep3\Utilities\DownloadLogsFromS3.py --loco 4010 --day 2017-06-15</t>
  </si>
  <si>
    <t>start /low /b %USERPROFILE%\Documents\GitHub\eaglep3\Utilities\DownloadLogsFromS3.py --loco 4003 --day 2017-06-14</t>
  </si>
  <si>
    <t>start /low /b %USERPROFILE%\Documents\GitHub\eaglep3\Utilities\DownloadLogsFromS3.py --loco 4043 --day 2017-06-15</t>
  </si>
  <si>
    <t>start /low /b %USERPROFILE%\Documents\GitHub\eaglep3\Utilities\DownloadLogsFromS3.py --loco 4055 --day 2017-06-15</t>
  </si>
  <si>
    <t>start /low /b %USERPROFILE%\Documents\GitHub\eaglep3\Utilities\DownloadLogsFromS3.py --loco 4010 --day 2017-06-14</t>
  </si>
  <si>
    <t>start /low /b %USERPROFILE%\Documents\GitHub\eaglep3\Utilities\DownloadLogsFromS3.py --loco 4016 --day 2017-06-15</t>
  </si>
  <si>
    <t>start /low /b %USERPROFILE%\Documents\GitHub\eaglep3\Utilities\DownloadLogsFromS3.py --loco 4039 --day 2017-06-15</t>
  </si>
  <si>
    <t>start /low /b %USERPROFILE%\Documents\GitHub\eaglep3\Utilities\DownloadLogsFromS3.py --loco 4015 --day 2017-06-15</t>
  </si>
  <si>
    <t>start /low /b %USERPROFILE%\Documents\GitHub\eaglep3\Utilities\DownloadLogsFromS3.py --loco 4020 --day 2017-06-14</t>
  </si>
  <si>
    <t>start /low /b %USERPROFILE%\Documents\GitHub\eaglep3\Utilities\DownloadLogsFromS3.py --loco 4011 --day 2017-06-15</t>
  </si>
  <si>
    <t>start /low /b %USERPROFILE%\Documents\GitHub\eaglep3\Utilities\DownloadLogsFromS3.py --loco 4019 --day 2017-06-15</t>
  </si>
  <si>
    <t>start /low /b %USERPROFILE%\Documents\GitHub\eaglep3\Utilities\DownloadLogsFromS3.py --loco 4012 --day 2017-06-14</t>
  </si>
  <si>
    <t>start /low /b %USERPROFILE%\Documents\GitHub\eaglep3\Utilities\DownloadLogsFromS3.py --loco 4020 --day 2017-06-15</t>
  </si>
  <si>
    <t>EC0816RH 88-2T 2S flipping aspects</t>
  </si>
  <si>
    <t>At 11:09:32, 11:13:03, 11:14:05, and 11:16:50, EC0816RH 88-2T 2S was observed flipping back and forth between STOP &amp; PROCEED and 270. Do logs tell anything unusual?</t>
  </si>
  <si>
    <t>Delayed by passenger emergency</t>
  </si>
  <si>
    <t>Minor onboard in-route failure caused comm outage</t>
  </si>
  <si>
    <t>DUS 28S STOP due to 4S STOP</t>
  </si>
  <si>
    <t>DTO efficiency test</t>
  </si>
  <si>
    <t>Powercycled due to 824-14 issues, did not perform depart test</t>
  </si>
  <si>
    <t>Consist spam reported (Lundeen is fixing)</t>
  </si>
  <si>
    <t>Barricade test</t>
  </si>
  <si>
    <t>EC0957RH 95-1T 1S STOP &amp; PROCEED, cleared after</t>
  </si>
  <si>
    <t>Minor onboard in-route failure, braked for signal 7 miles out</t>
  </si>
  <si>
    <t>ATC enforcement? No penalty application originating from PTC</t>
  </si>
  <si>
    <t>Reported consist-related delays, but all consist info looks normal. Did not perform departure test after a reboot.</t>
  </si>
  <si>
    <t>Sortable Run Number</t>
  </si>
  <si>
    <t>Delayed by poor GPS at DUS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</si>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</sst>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8"/>
  <sheetViews>
    <sheetView tabSelected="1"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32.285156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42900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42900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47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COUNTIFS($N$13:$N$9323,"&gt;0",$AG$13:$AG$9323,I1)</f>
        <v>142</v>
      </c>
      <c r="K5" s="39"/>
      <c r="L5" s="39"/>
      <c r="M5" s="40">
        <f>AVERAGEIFS($N$13:$N$9323,$AG$13:$AG$9323,I1)</f>
        <v>37.96572769976477</v>
      </c>
      <c r="N5" s="38">
        <f t="array" ref="N5">MIN(IF($AG$13:$AG$9323=I1,IF(ISNUMBER($N$13:$N$9323),IF($N$13:$N$9323&gt;0,$N$13:$N$9323))))</f>
        <v>34.61666667019017</v>
      </c>
      <c r="O5" s="3">
        <f t="array" ref="O5">MAX(IF($AG$13:$AG$9323=I1,IF(ISNUMBER($N$13:$N$9323),IF($N$13:$N$9323&gt;0,$N$13:$N$9323))))</f>
        <v>50.233333330834284</v>
      </c>
      <c r="P5" s="2"/>
      <c r="R5" s="166" t="s">
        <v>17</v>
      </c>
      <c r="S5" s="186">
        <f>COUNTIFS($N$13:$N$9323,"&gt;0",$AG$13:$AG$9323,R1)</f>
        <v>45</v>
      </c>
      <c r="T5" s="187"/>
      <c r="U5" s="187"/>
      <c r="V5" s="183">
        <f>AVERAGEIFS($N$13:$N$9323,$AG$13:$AG$9323,R1)</f>
        <v>15.249999999534339</v>
      </c>
      <c r="W5" s="184">
        <f t="array" ref="W5">MIN(IF($AG$13:$AG$9323=R1,IF(ISNUMBER($N$13:$N$9323),IF($N$13:$N$9323&gt;0,$N$13:$N$9323))))</f>
        <v>12.049999998416752</v>
      </c>
      <c r="X5" s="185">
        <f t="array" ref="X5">MAX(IF($AG$13:$AG$9323=R1,IF(ISNUMBER($N$13:$N$9323),IF($N$13:$N$9323&gt;0,$N$13:$N$9323))))</f>
        <v>22.366666666930541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COUNT($O$13:$O$124)</f>
        <v>0</v>
      </c>
      <c r="K6" s="39"/>
      <c r="L6" s="39"/>
      <c r="M6" s="40">
        <f>IFERROR(AVERAGE($O$13:$O$124),0)</f>
        <v>0</v>
      </c>
      <c r="N6" s="38">
        <f>MIN($O$13:$O$124)</f>
        <v>0</v>
      </c>
      <c r="O6" s="3">
        <f>MAX($O$13:$O$124)</f>
        <v>0</v>
      </c>
      <c r="P6" s="2"/>
      <c r="R6" s="167" t="s">
        <v>43</v>
      </c>
      <c r="S6" s="186">
        <f>COUNT($O$13:$O$124)</f>
        <v>0</v>
      </c>
      <c r="T6" s="187"/>
      <c r="U6" s="187"/>
      <c r="V6" s="183">
        <f>IFERROR(AVERAGE($O$13:$O$124),0)</f>
        <v>0</v>
      </c>
      <c r="W6" s="184">
        <f>MIN($O$13:$O$124)</f>
        <v>0</v>
      </c>
      <c r="X6" s="185">
        <f>MAX($O$13:$O$124)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COUNTIFS($P$13:$P$9323,"&gt;0",$AG$13:$AG$9323,I1)</f>
        <v>2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COUNTIFS($P$13:$P$9323,"&gt;0",$AG$13:$AG$9323,R1)</f>
        <v>2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142</v>
      </c>
      <c r="K8" s="39"/>
      <c r="L8" s="39"/>
      <c r="M8" s="40">
        <f>M5</f>
        <v>37.96572769976477</v>
      </c>
      <c r="N8" s="38">
        <f>N5</f>
        <v>34.61666667019017</v>
      </c>
      <c r="O8" s="3">
        <f>O5</f>
        <v>50.233333330834284</v>
      </c>
      <c r="P8" s="2"/>
      <c r="R8" s="166" t="s">
        <v>16</v>
      </c>
      <c r="S8" s="186">
        <f>S5</f>
        <v>45</v>
      </c>
      <c r="T8" s="187"/>
      <c r="U8" s="187"/>
      <c r="V8" s="183">
        <f>V5</f>
        <v>15.249999999534339</v>
      </c>
      <c r="W8" s="184">
        <f>W5</f>
        <v>12.049999998416752</v>
      </c>
      <c r="X8" s="185">
        <f>X5</f>
        <v>22.366666666930541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0.98611111111111116</v>
      </c>
      <c r="K9" s="41"/>
      <c r="L9" s="41"/>
      <c r="M9" s="69"/>
      <c r="N9" s="36"/>
      <c r="O9" s="70"/>
      <c r="P9" s="2"/>
      <c r="R9" s="166" t="s">
        <v>19</v>
      </c>
      <c r="S9" s="216">
        <f>S8/S4</f>
        <v>0.95744680851063835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1" t="str">
        <f>"Eagle P3 System Performance - "&amp;TEXT(Variables!A2,"yyyy-mm-dd")</f>
        <v>Eagle P3 System Performance - 2017-06-14</v>
      </c>
      <c r="B11" s="211"/>
      <c r="C11" s="211"/>
      <c r="D11" s="211"/>
      <c r="E11" s="211"/>
      <c r="F11" s="211"/>
      <c r="G11" s="211"/>
      <c r="H11" s="211"/>
      <c r="I11" s="211"/>
      <c r="J11" s="211"/>
      <c r="K11" s="211"/>
      <c r="L11" s="211"/>
      <c r="M11" s="211"/>
      <c r="N11" s="211"/>
      <c r="O11" s="211"/>
      <c r="P11" s="211"/>
      <c r="S11" s="213">
        <f>AVERAGE(S13:S96)</f>
        <v>0.99899598393574285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4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195</v>
      </c>
      <c r="AN12" s="46" t="s">
        <v>344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600</v>
      </c>
      <c r="B13" s="7">
        <v>4010</v>
      </c>
      <c r="C13" s="21" t="s">
        <v>202</v>
      </c>
      <c r="D13" s="21" t="s">
        <v>847</v>
      </c>
      <c r="E13" s="13">
        <v>42900.130486111113</v>
      </c>
      <c r="F13" s="13">
        <v>42900.135601851849</v>
      </c>
      <c r="G13" s="7">
        <v>0</v>
      </c>
      <c r="H13" s="21" t="s">
        <v>848</v>
      </c>
      <c r="I13" s="13">
        <v>42900.162743055553</v>
      </c>
      <c r="J13" s="7">
        <v>2</v>
      </c>
      <c r="K13" s="89" t="str">
        <f t="shared" ref="K13:K76" si="0">IF(ISEVEN(B13),(B13-1)&amp;"/"&amp;B13,B13&amp;"/"&amp;(B13+1))</f>
        <v>4009/4010</v>
      </c>
      <c r="L13" s="21" t="str">
        <f>VLOOKUP(A13,'Trips&amp;Operators'!$C$1:$G$99999,5,FALSE)</f>
        <v>BONDS REYNALDO</v>
      </c>
      <c r="M13" s="6">
        <f t="shared" ref="M13:M76" si="1">I13-F13</f>
        <v>2.7141203703649808E-2</v>
      </c>
      <c r="N13" s="7">
        <f t="shared" ref="N13:N44" si="2">24*60*SUM($M13:$M13)</f>
        <v>39.083333333255723</v>
      </c>
      <c r="O13" s="7"/>
      <c r="P13" s="7"/>
      <c r="Q13" s="22"/>
      <c r="R13" s="170"/>
      <c r="S13" s="215">
        <f t="shared" ref="S13:S44" si="3">SUM(U13:U13)/IF(AG13="EC",12,1)</f>
        <v>1</v>
      </c>
      <c r="T13" s="195" t="str">
        <f t="shared" ref="T13:T76" si="4"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-06-14T02:07:54-0600',mode:absolute,to:'2017-06-14T04:54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" s="197" t="str">
        <f>IF(AA13&lt;VLOOKUP(AG13,Variables!$AC$3:$AD$8,2,FALSE),"Y","N")</f>
        <v>N</v>
      </c>
      <c r="X13" s="197" t="e">
        <f t="shared" ref="X13:X76" si="6">VALUE(LEFT(AD13,4))-VALUE(LEFT(AD12,4))</f>
        <v>#VALUE!</v>
      </c>
      <c r="Y13" s="197">
        <f t="shared" ref="Y13:Y44" si="7">RIGHT(D13,LEN(D13)-4)/10000</f>
        <v>8.0299999999999996E-2</v>
      </c>
      <c r="Z13" s="197">
        <f t="shared" ref="Z13:Z44" si="8">RIGHT(H13,LEN(H13)-4)/10000</f>
        <v>23.341699999999999</v>
      </c>
      <c r="AA13" s="197">
        <f t="shared" ref="AA13:AA76" si="9">ABS(Z13-Y13)</f>
        <v>23.261399999999998</v>
      </c>
      <c r="AB13" s="54" t="e">
        <f>VLOOKUP(A13,Enforcements!$C$7:$K$13,8,0)</f>
        <v>#N/A</v>
      </c>
      <c r="AC13" s="51" t="e">
        <f>VLOOKUP(A13,Enforcements!$C$7:$E$13,3,0)</f>
        <v>#N/A</v>
      </c>
      <c r="AD13" s="206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s3://rtdc.mdm.uploadarchive.raw/RTDC4010/ "%USERPROFILE%\AppData\Local\Temp\OnboardLogs"\RTDC4010\2017-06-14 --exclude "*" --recursive --include "*20170614*" &amp; "%USERPROFILE%\Documents\GitHub\mrs-test-scripts\Headless Mode &amp; Sideloading\WalkAndUnGZ.bat" "%USERPROFILE%\AppData\Local\Temp\OnboardLogs"\RTDC4010\2017-06-14 &amp; 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/stypes="app*4010*20170614*" /stext=" 09:.+((SYSTEM_STATE.+slice.+state.+changed )|(ment ac)|(multiple cpu faults)|(system.+state.+changed )|(\[timeout)|(PRM\|1\|D)|(kpr)|(kdp)|(train st.+moving)|(\|lc)|(penalty))"</v>
      </c>
      <c r="AG13" s="209" t="str">
        <f>DetSubdiv(A13)</f>
        <v>EC</v>
      </c>
      <c r="AH13" s="78" t="str">
        <f t="shared" ref="AH13:AH76" si="13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101-14 --locoid 4010 --swversion DE.1.0.9.0 --startMP 204:803 --initTime 2017-06-14T03:07:54 --startdatetime 2017-06-14T03:15:16 --delay 0 --endMP 204:233417 --enddatetime 2017-06-14T03:54:21 --enforcementcount 2 &gt;&gt;C:\Users\stu\Documents\GitHub\eaglep3-reporting\EC\2017-06-14-refined-times.txt</v>
      </c>
      <c r="AI13" s="96" t="str">
        <f t="shared" ref="AI13:AI76" si="14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{"issue":{"subject":"","project_id":79,"tracker_id":40,"status_id":1,"priority_id":2,"assigned_to_id":23,"start_date":"2017-06-14","description":"","custom_fields":[{"id":1,"name":"Subdivision","value":"EC"},{"id":4,"name":"Milepost","value":"23.3417"},{"id":17,"name":"Train ID","value":"101-14"},{"id":16,"name":"Locomotive ID","value":"4010"},{"id":130,"name":"Impact","value":""},{"id":150,"name":"Time of Event (Mountain Time)","value":"03:54:21"},{"id":151,"name":"Denver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:AM76" si="15">"start /low /b "&amp;dls3logs&amp;" --loco "&amp;B13&amp;" --day "&amp;TEXT(F13,"YYYY-MM-DD")</f>
        <v>start /low /b %USERPROFILE%\Documents\GitHub\eaglep3\Utilities\DownloadLogsFromS3.py --loco 4010 --day 2017-06-14</v>
      </c>
      <c r="AN13" s="151" t="str">
        <f t="shared" ref="AN13:AN76" si="16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09:54:21"},{"id":29,"name":"Sharepoint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2" t="s">
        <v>657</v>
      </c>
      <c r="B14" s="7">
        <v>4009</v>
      </c>
      <c r="C14" s="21" t="s">
        <v>202</v>
      </c>
      <c r="D14" s="21" t="s">
        <v>849</v>
      </c>
      <c r="E14" s="13">
        <v>42900.174675925926</v>
      </c>
      <c r="F14" s="13">
        <v>42900.175833333335</v>
      </c>
      <c r="G14" s="7">
        <v>1</v>
      </c>
      <c r="H14" s="21" t="s">
        <v>193</v>
      </c>
      <c r="I14" s="13">
        <v>42900.203310185185</v>
      </c>
      <c r="J14" s="7">
        <v>2</v>
      </c>
      <c r="K14" s="89" t="str">
        <f t="shared" si="0"/>
        <v>4009/4010</v>
      </c>
      <c r="L14" s="21" t="str">
        <f>VLOOKUP(A14,'Trips&amp;Operators'!$C$1:$G$99999,5,FALSE)</f>
        <v>BONDS REYNALDO</v>
      </c>
      <c r="M14" s="6">
        <f t="shared" si="1"/>
        <v>2.7476851850224193E-2</v>
      </c>
      <c r="N14" s="7">
        <f t="shared" si="2"/>
        <v>39.566666664322838</v>
      </c>
      <c r="O14" s="7"/>
      <c r="P14" s="7"/>
      <c r="Q14" s="22"/>
      <c r="R14" s="170"/>
      <c r="S14" s="215">
        <f t="shared" si="3"/>
        <v>1</v>
      </c>
      <c r="T14" s="195" t="str">
        <f t="shared" si="4"/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 t="shared" si="5"/>
        <v>https://d0f6bd738d7f1b3e5a7ca70fe4ff75f0.us-east-1.aws.found.io/app/kibana#/discover/Steve-Slow-Train-Analysis-(2080s-and-2083s)?_g=(refreshInterval:(display:Off,pause:!f,section:0,value:0),time:(from:'2017-06-14T03:11:32-0600',mode:absolute,to:'2017-06-14T05:52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" s="197" t="str">
        <f>IF(AA14&lt;VLOOKUP(AG14,Variables!$AC$3:$AD$8,2,FALSE),"Y","N")</f>
        <v>N</v>
      </c>
      <c r="X14" s="197">
        <f t="shared" si="6"/>
        <v>1</v>
      </c>
      <c r="Y14" s="197">
        <f t="shared" si="7"/>
        <v>23.293600000000001</v>
      </c>
      <c r="Z14" s="197">
        <f t="shared" si="8"/>
        <v>1.52E-2</v>
      </c>
      <c r="AA14" s="197">
        <f t="shared" si="9"/>
        <v>23.278400000000001</v>
      </c>
      <c r="AB14" s="54" t="e">
        <f>VLOOKUP(A14,Enforcements!$C$7:$K$13,8,0)</f>
        <v>#N/A</v>
      </c>
      <c r="AC14" s="51" t="e">
        <f>VLOOKUP(A14,Enforcements!$C$7:$E$13,3,0)</f>
        <v>#N/A</v>
      </c>
      <c r="AD14" s="206">
        <f t="shared" si="10"/>
        <v>102</v>
      </c>
      <c r="AE14" s="77" t="str">
        <f t="shared" si="11"/>
        <v>aws s3 cp s3://rtdc.mdm.uploadarchive.raw/RTDC4009/ "%USERPROFILE%\AppData\Local\Temp\OnboardLogs"\RTDC4009\2017-06-14 --exclude "*" --recursive --include "*20170614*" &amp; "%USERPROFILE%\Documents\GitHub\mrs-test-scripts\Headless Mode &amp; Sideloading\WalkAndUnGZ.bat" "%USERPROFILE%\AppData\Local\Temp\OnboardLogs"\RTDC4009\2017-06-14 &amp; aws s3 cp s3://rtdc.mdm.uploadarchive.raw/RTDC4009/ "%USERPROFILE%\AppData\Local\Temp\OnboardLogs"\RTDC4009\2017-06-15 --exclude "*" --recursive --include "*20170615*" &amp; "%USERPROFILE%\Documents\GitHub\mrs-test-scripts\Headless Mode &amp; Sideloading\WalkAndUnGZ.bat" "%USERPROFILE%\AppData\Local\Temp\OnboardLogs"\RTDC4009\2017-06-15</v>
      </c>
      <c r="AF14" s="74" t="str">
        <f t="shared" si="12"/>
        <v>"C:\Program Files (x86)\AstroGrep\AstroGrep.exe" /e /r /s /spath="%USERPROFILE%\AppData\Local\Temp\OnboardLogs" /stypes="app*4009*20170614*" /stext=" 10:.+((SYSTEM_STATE.+slice.+state.+changed )|(ment ac)|(multiple cpu faults)|(system.+state.+changed )|(\[timeout)|(PRM\|1\|D)|(kpr)|(kdp)|(train st.+moving)|(\|lc)|(penalty))"</v>
      </c>
      <c r="AG14" s="209" t="str">
        <f t="shared" ref="AG14:AG77" si="17">DetSubdiv(A14)</f>
        <v>EC</v>
      </c>
      <c r="AH14" s="78" t="str">
        <f t="shared" si="13"/>
        <v>"%USERPROFILE%\Documents\GitHub\eaglep3\Utilities\RefineRTDCRunTimes.py" --tripid 102-14 --locoid 4009 --swversion DE.1.0.9.0 --startMP 204:232936 --initTime 2017-06-14T04:11:32 --startdatetime 2017-06-14T04:13:12 --delay 1 --endMP 204:152 --enddatetime 2017-06-14T04:52:46 --enforcementcount 2 &gt;&gt;C:\Users\stu\Documents\GitHub\eaglep3-reporting\EC\2017-06-14-refined-times.txt</v>
      </c>
      <c r="AI14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{"issue":{"subject":"","project_id":79,"tracker_id":40,"status_id":1,"priority_id":2,"assigned_to_id":23,"start_date":"2017-06-14","description":"","custom_fields":[{"id":1,"name":"Subdivision","value":"EC"},{"id":4,"name":"Milepost","value":"0.0152"},{"id":17,"name":"Train ID","value":"102-14"},{"id":16,"name":"Locomotive ID","value":"4009"},{"id":130,"name":"Impact","value":""},{"id":150,"name":"Time of Event (Mountain Time)","value":"04:52:46"},{"id":151,"name":"Denver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si="15"/>
        <v>start /low /b %USERPROFILE%\Documents\GitHub\eaglep3\Utilities\DownloadLogsFromS3.py --loco 4009 --day 2017-06-14</v>
      </c>
      <c r="AN14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10:52:46"},{"id":29,"name":"Sharepoint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72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654</v>
      </c>
      <c r="B15" s="7">
        <v>4044</v>
      </c>
      <c r="C15" s="21" t="s">
        <v>202</v>
      </c>
      <c r="D15" s="21" t="s">
        <v>348</v>
      </c>
      <c r="E15" s="13">
        <v>42900.151643518519</v>
      </c>
      <c r="F15" s="13">
        <v>42900.156458333331</v>
      </c>
      <c r="G15" s="7">
        <v>1</v>
      </c>
      <c r="H15" s="21" t="s">
        <v>470</v>
      </c>
      <c r="I15" s="13">
        <v>42900.181643518517</v>
      </c>
      <c r="J15" s="7">
        <v>2</v>
      </c>
      <c r="K15" s="89" t="str">
        <f t="shared" si="0"/>
        <v>4043/4044</v>
      </c>
      <c r="L15" s="21" t="str">
        <f>VLOOKUP(A15,'Trips&amp;Operators'!$C$1:$G$99999,5,FALSE)</f>
        <v>MAELZER KURT</v>
      </c>
      <c r="M15" s="6">
        <f t="shared" si="1"/>
        <v>2.5185185186273884E-2</v>
      </c>
      <c r="N15" s="7">
        <f t="shared" si="2"/>
        <v>36.266666668234393</v>
      </c>
      <c r="O15" s="7"/>
      <c r="P15" s="7"/>
      <c r="Q15" s="22"/>
      <c r="R15" s="170"/>
      <c r="S15" s="215">
        <f t="shared" si="3"/>
        <v>1</v>
      </c>
      <c r="T15" s="195" t="str">
        <f t="shared" si="4"/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 t="shared" si="5"/>
        <v>https://d0f6bd738d7f1b3e5a7ca70fe4ff75f0.us-east-1.aws.found.io/app/kibana#/discover/Steve-Slow-Train-Analysis-(2080s-and-2083s)?_g=(refreshInterval:(display:Off,pause:!f,section:0,value:0),time:(from:'2017-06-14T02:38:22-0600',mode:absolute,to:'2017-06-14T05:21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" s="197" t="str">
        <f>IF(AA15&lt;VLOOKUP(AG15,Variables!$AC$3:$AD$8,2,FALSE),"Y","N")</f>
        <v>N</v>
      </c>
      <c r="X15" s="197">
        <f t="shared" si="6"/>
        <v>1</v>
      </c>
      <c r="Y15" s="197">
        <f t="shared" si="7"/>
        <v>4.58E-2</v>
      </c>
      <c r="Z15" s="197">
        <f t="shared" si="8"/>
        <v>23.329499999999999</v>
      </c>
      <c r="AA15" s="197">
        <f t="shared" si="9"/>
        <v>23.2837</v>
      </c>
      <c r="AB15" s="54" t="e">
        <f>VLOOKUP(A15,Enforcements!$C$7:$K$13,8,0)</f>
        <v>#N/A</v>
      </c>
      <c r="AC15" s="51" t="e">
        <f>VLOOKUP(A15,Enforcements!$C$7:$E$13,3,0)</f>
        <v>#N/A</v>
      </c>
      <c r="AD15" s="206">
        <f t="shared" si="10"/>
        <v>103</v>
      </c>
      <c r="AE15" s="77" t="str">
        <f t="shared" si="11"/>
        <v>aws s3 cp s3://rtdc.mdm.uploadarchive.raw/RTDC4044/ "%USERPROFILE%\AppData\Local\Temp\OnboardLogs"\RTDC4044\2017-06-14 --exclude "*" --recursive --include "*20170614*" &amp; "%USERPROFILE%\Documents\GitHub\mrs-test-scripts\Headless Mode &amp; Sideloading\WalkAndUnGZ.bat" "%USERPROFILE%\AppData\Local\Temp\OnboardLogs"\RTDC4044\2017-06-14 &amp; aws s3 cp s3://rtdc.mdm.uploadarchive.raw/RTDC4044/ "%USERPROFILE%\AppData\Local\Temp\OnboardLogs"\RTDC4044\2017-06-15 --exclude "*" --recursive --include "*20170615*" &amp; "%USERPROFILE%\Documents\GitHub\mrs-test-scripts\Headless Mode &amp; Sideloading\WalkAndUnGZ.bat" "%USERPROFILE%\AppData\Local\Temp\OnboardLogs"\RTDC4044\2017-06-15</v>
      </c>
      <c r="AF15" s="74" t="str">
        <f t="shared" si="12"/>
        <v>"C:\Program Files (x86)\AstroGrep\AstroGrep.exe" /e /r /s /spath="%USERPROFILE%\AppData\Local\Temp\OnboardLogs" /stypes="app*4044*20170614*" /stext=" 10:.+((SYSTEM_STATE.+slice.+state.+changed )|(ment ac)|(multiple cpu faults)|(system.+state.+changed )|(\[timeout)|(PRM\|1\|D)|(kpr)|(kdp)|(train st.+moving)|(\|lc)|(penalty))"</v>
      </c>
      <c r="AG15" s="209" t="str">
        <f t="shared" si="17"/>
        <v>EC</v>
      </c>
      <c r="AH15" s="78" t="str">
        <f t="shared" si="13"/>
        <v>"%USERPROFILE%\Documents\GitHub\eaglep3\Utilities\RefineRTDCRunTimes.py" --tripid 103-14 --locoid 4044 --swversion DE.1.0.9.0 --startMP 204:458 --initTime 2017-06-14T03:38:22 --startdatetime 2017-06-14T03:45:18 --delay 1 --endMP 204:233295 --enddatetime 2017-06-14T04:21:34 --enforcementcount 2 &gt;&gt;C:\Users\stu\Documents\GitHub\eaglep3-reporting\EC\2017-06-14-refined-times.txt</v>
      </c>
      <c r="AI15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{"issue":{"subject":"","project_id":79,"tracker_id":40,"status_id":1,"priority_id":2,"assigned_to_id":23,"start_date":"2017-06-14","description":"","custom_fields":[{"id":1,"name":"Subdivision","value":"EC"},{"id":4,"name":"Milepost","value":"23.3295"},{"id":17,"name":"Train ID","value":"103-14"},{"id":16,"name":"Locomotive ID","value":"4044"},{"id":130,"name":"Impact","value":""},{"id":150,"name":"Time of Event (Mountain Time)","value":"04:21:34"},{"id":151,"name":"Denver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15"/>
        <v>start /low /b %USERPROFILE%\Documents\GitHub\eaglep3\Utilities\DownloadLogsFromS3.py --loco 4044 --day 2017-06-14</v>
      </c>
      <c r="AN15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10:21:34"},{"id":29,"name":"Sharepoint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72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662</v>
      </c>
      <c r="B16" s="7">
        <v>4043</v>
      </c>
      <c r="C16" s="21" t="s">
        <v>202</v>
      </c>
      <c r="D16" s="21" t="s">
        <v>458</v>
      </c>
      <c r="E16" s="13">
        <v>42900.190497685187</v>
      </c>
      <c r="F16" s="13">
        <v>42900.196099537039</v>
      </c>
      <c r="G16" s="7">
        <v>1</v>
      </c>
      <c r="H16" s="21" t="s">
        <v>517</v>
      </c>
      <c r="I16" s="13">
        <v>42900.223379629628</v>
      </c>
      <c r="J16" s="7">
        <v>2</v>
      </c>
      <c r="K16" s="89" t="str">
        <f t="shared" si="0"/>
        <v>4043/4044</v>
      </c>
      <c r="L16" s="21" t="str">
        <f>VLOOKUP(A16,'Trips&amp;Operators'!$C$1:$G$99999,5,FALSE)</f>
        <v>MAELZER KURT</v>
      </c>
      <c r="M16" s="6">
        <f t="shared" si="1"/>
        <v>2.7280092588625848E-2</v>
      </c>
      <c r="N16" s="7">
        <f t="shared" si="2"/>
        <v>39.283333327621222</v>
      </c>
      <c r="O16" s="7"/>
      <c r="P16" s="7"/>
      <c r="Q16" s="22"/>
      <c r="R16" s="170"/>
      <c r="S16" s="215">
        <f t="shared" si="3"/>
        <v>1</v>
      </c>
      <c r="T16" s="195" t="str">
        <f t="shared" si="4"/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 t="shared" si="5"/>
        <v>https://d0f6bd738d7f1b3e5a7ca70fe4ff75f0.us-east-1.aws.found.io/app/kibana#/discover/Steve-Slow-Train-Analysis-(2080s-and-2083s)?_g=(refreshInterval:(display:Off,pause:!f,section:0,value:0),time:(from:'2017-06-14T03:34:19-0600',mode:absolute,to:'2017-06-14T06:21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" s="197" t="str">
        <f>IF(AA16&lt;VLOOKUP(AG16,Variables!$AC$3:$AD$8,2,FALSE),"Y","N")</f>
        <v>N</v>
      </c>
      <c r="X16" s="197">
        <f t="shared" si="6"/>
        <v>1</v>
      </c>
      <c r="Y16" s="197">
        <f t="shared" si="7"/>
        <v>23.2971</v>
      </c>
      <c r="Z16" s="197">
        <f t="shared" si="8"/>
        <v>1.38E-2</v>
      </c>
      <c r="AA16" s="197">
        <f t="shared" si="9"/>
        <v>23.283300000000001</v>
      </c>
      <c r="AB16" s="54" t="e">
        <f>VLOOKUP(A16,Enforcements!$C$7:$K$13,8,0)</f>
        <v>#N/A</v>
      </c>
      <c r="AC16" s="51" t="e">
        <f>VLOOKUP(A16,Enforcements!$C$7:$E$13,3,0)</f>
        <v>#N/A</v>
      </c>
      <c r="AD16" s="206">
        <f t="shared" si="10"/>
        <v>104</v>
      </c>
      <c r="AE16" s="77" t="str">
        <f t="shared" si="11"/>
        <v>aws s3 cp s3://rtdc.mdm.uploadarchive.raw/RTDC4043/ "%USERPROFILE%\AppData\Local\Temp\OnboardLogs"\RTDC4043\2017-06-14 --exclude "*" --recursive --include "*20170614*" &amp; "%USERPROFILE%\Documents\GitHub\mrs-test-scripts\Headless Mode &amp; Sideloading\WalkAndUnGZ.bat" "%USERPROFILE%\AppData\Local\Temp\OnboardLogs"\RTDC4043\2017-06-14 &amp; aws s3 cp s3://rtdc.mdm.uploadarchive.raw/RTDC4043/ "%USERPROFILE%\AppData\Local\Temp\OnboardLogs"\RTDC4043\2017-06-15 --exclude "*" --recursive --include "*20170615*" &amp; "%USERPROFILE%\Documents\GitHub\mrs-test-scripts\Headless Mode &amp; Sideloading\WalkAndUnGZ.bat" "%USERPROFILE%\AppData\Local\Temp\OnboardLogs"\RTDC4043\2017-06-15</v>
      </c>
      <c r="AF16" s="74" t="str">
        <f t="shared" si="12"/>
        <v>"C:\Program Files (x86)\AstroGrep\AstroGrep.exe" /e /r /s /spath="%USERPROFILE%\AppData\Local\Temp\OnboardLogs" /stypes="app*4043*20170614*" /stext=" 11:.+((SYSTEM_STATE.+slice.+state.+changed )|(ment ac)|(multiple cpu faults)|(system.+state.+changed )|(\[timeout)|(PRM\|1\|D)|(kpr)|(kdp)|(train st.+moving)|(\|lc)|(penalty))"</v>
      </c>
      <c r="AG16" s="209" t="str">
        <f t="shared" si="17"/>
        <v>EC</v>
      </c>
      <c r="AH16" s="78" t="str">
        <f t="shared" si="13"/>
        <v>"%USERPROFILE%\Documents\GitHub\eaglep3\Utilities\RefineRTDCRunTimes.py" --tripid 104-14 --locoid 4043 --swversion DE.1.0.9.0 --startMP 204:232971 --initTime 2017-06-14T04:34:19 --startdatetime 2017-06-14T04:42:23 --delay 1 --endMP 204:138 --enddatetime 2017-06-14T05:21:40 --enforcementcount 2 &gt;&gt;C:\Users\stu\Documents\GitHub\eaglep3-reporting\EC\2017-06-14-refined-times.txt</v>
      </c>
      <c r="AI16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{"issue":{"subject":"","project_id":79,"tracker_id":40,"status_id":1,"priority_id":2,"assigned_to_id":23,"start_date":"2017-06-14","description":"","custom_fields":[{"id":1,"name":"Subdivision","value":"EC"},{"id":4,"name":"Milepost","value":"0.0138"},{"id":17,"name":"Train ID","value":"104-14"},{"id":16,"name":"Locomotive ID","value":"4043"},{"id":130,"name":"Impact","value":""},{"id":150,"name":"Time of Event (Mountain Time)","value":"05:21:40"},{"id":151,"name":"Denver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15"/>
        <v>start /low /b %USERPROFILE%\Documents\GitHub\eaglep3\Utilities\DownloadLogsFromS3.py --loco 4043 --day 2017-06-14</v>
      </c>
      <c r="AN16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11:21:40"},{"id":29,"name":"Sharepoint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72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658</v>
      </c>
      <c r="B17" s="7">
        <v>4016</v>
      </c>
      <c r="C17" s="21" t="s">
        <v>202</v>
      </c>
      <c r="D17" s="21" t="s">
        <v>343</v>
      </c>
      <c r="E17" s="13">
        <v>42900.176006944443</v>
      </c>
      <c r="F17" s="13">
        <v>42900.17728009259</v>
      </c>
      <c r="G17" s="7">
        <v>0</v>
      </c>
      <c r="H17" s="21" t="s">
        <v>571</v>
      </c>
      <c r="I17" s="13">
        <v>42900.203275462962</v>
      </c>
      <c r="J17" s="7">
        <v>2</v>
      </c>
      <c r="K17" s="89" t="str">
        <f t="shared" si="0"/>
        <v>4015/4016</v>
      </c>
      <c r="L17" s="21" t="str">
        <f>VLOOKUP(A17,'Trips&amp;Operators'!$C$1:$G$99999,5,FALSE)</f>
        <v>STARKS ANGELINA</v>
      </c>
      <c r="M17" s="6">
        <f t="shared" si="1"/>
        <v>2.5995370371674653E-2</v>
      </c>
      <c r="N17" s="7">
        <f t="shared" si="2"/>
        <v>37.433333335211501</v>
      </c>
      <c r="O17" s="7"/>
      <c r="P17" s="7"/>
      <c r="Q17" s="22"/>
      <c r="R17" s="170"/>
      <c r="S17" s="215">
        <f t="shared" si="3"/>
        <v>1</v>
      </c>
      <c r="T17" s="195" t="str">
        <f t="shared" si="4"/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 t="shared" si="5"/>
        <v>https://d0f6bd738d7f1b3e5a7ca70fe4ff75f0.us-east-1.aws.found.io/app/kibana#/discover/Steve-Slow-Train-Analysis-(2080s-and-2083s)?_g=(refreshInterval:(display:Off,pause:!f,section:0,value:0),time:(from:'2017-06-14T03:13:27-0600',mode:absolute,to:'2017-06-14T05:52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" s="197" t="str">
        <f>IF(AA17&lt;VLOOKUP(AG17,Variables!$AC$3:$AD$8,2,FALSE),"Y","N")</f>
        <v>N</v>
      </c>
      <c r="X17" s="197">
        <f t="shared" si="6"/>
        <v>1</v>
      </c>
      <c r="Y17" s="197">
        <f t="shared" si="7"/>
        <v>4.4900000000000002E-2</v>
      </c>
      <c r="Z17" s="197">
        <f t="shared" si="8"/>
        <v>23.329799999999999</v>
      </c>
      <c r="AA17" s="197">
        <f t="shared" si="9"/>
        <v>23.2849</v>
      </c>
      <c r="AB17" s="54" t="e">
        <f>VLOOKUP(A17,Enforcements!$C$7:$K$13,8,0)</f>
        <v>#N/A</v>
      </c>
      <c r="AC17" s="51" t="e">
        <f>VLOOKUP(A17,Enforcements!$C$7:$E$13,3,0)</f>
        <v>#N/A</v>
      </c>
      <c r="AD17" s="206">
        <f t="shared" si="10"/>
        <v>105</v>
      </c>
      <c r="AE17" s="77" t="str">
        <f t="shared" si="11"/>
        <v>aws s3 cp s3://rtdc.mdm.uploadarchive.raw/RTDC4016/ "%USERPROFILE%\AppData\Local\Temp\OnboardLogs"\RTDC4016\2017-06-14 --exclude "*" --recursive --include "*20170614*" &amp; "%USERPROFILE%\Documents\GitHub\mrs-test-scripts\Headless Mode &amp; Sideloading\WalkAndUnGZ.bat" "%USERPROFILE%\AppData\Local\Temp\OnboardLogs"\RTDC4016\2017-06-14 &amp; aws s3 cp s3://rtdc.mdm.uploadarchive.raw/RTDC4016/ "%USERPROFILE%\AppData\Local\Temp\OnboardLogs"\RTDC4016\2017-06-15 --exclude "*" --recursive --include "*20170615*" &amp; "%USERPROFILE%\Documents\GitHub\mrs-test-scripts\Headless Mode &amp; Sideloading\WalkAndUnGZ.bat" "%USERPROFILE%\AppData\Local\Temp\OnboardLogs"\RTDC4016\2017-06-15</v>
      </c>
      <c r="AF17" s="74" t="str">
        <f t="shared" si="12"/>
        <v>"C:\Program Files (x86)\AstroGrep\AstroGrep.exe" /e /r /s /spath="%USERPROFILE%\AppData\Local\Temp\OnboardLogs" /stypes="app*4016*20170614*" /stext=" 10:.+((SYSTEM_STATE.+slice.+state.+changed )|(ment ac)|(multiple cpu faults)|(system.+state.+changed )|(\[timeout)|(PRM\|1\|D)|(kpr)|(kdp)|(train st.+moving)|(\|lc)|(penalty))"</v>
      </c>
      <c r="AG17" s="209" t="str">
        <f t="shared" si="17"/>
        <v>EC</v>
      </c>
      <c r="AH17" s="78" t="str">
        <f t="shared" si="13"/>
        <v>"%USERPROFILE%\Documents\GitHub\eaglep3\Utilities\RefineRTDCRunTimes.py" --tripid 105-14 --locoid 4016 --swversion DE.1.0.9.0 --startMP 204:449 --initTime 2017-06-14T04:13:27 --startdatetime 2017-06-14T04:15:17 --delay 0 --endMP 204:233298 --enddatetime 2017-06-14T04:52:43 --enforcementcount 2 &gt;&gt;C:\Users\stu\Documents\GitHub\eaglep3-reporting\EC\2017-06-14-refined-times.txt</v>
      </c>
      <c r="AI17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{"issue":{"subject":"","project_id":79,"tracker_id":40,"status_id":1,"priority_id":2,"assigned_to_id":23,"start_date":"2017-06-14","description":"","custom_fields":[{"id":1,"name":"Subdivision","value":"EC"},{"id":4,"name":"Milepost","value":"23.3298"},{"id":17,"name":"Train ID","value":"105-14"},{"id":16,"name":"Locomotive ID","value":"4016"},{"id":130,"name":"Impact","value":""},{"id":150,"name":"Time of Event (Mountain Time)","value":"04:52:43"},{"id":151,"name":"Denver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15"/>
        <v>start /low /b %USERPROFILE%\Documents\GitHub\eaglep3\Utilities\DownloadLogsFromS3.py --loco 4016 --day 2017-06-14</v>
      </c>
      <c r="AN17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10:52:43"},{"id":29,"name":"Sharepoint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72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666</v>
      </c>
      <c r="B18" s="7">
        <v>4015</v>
      </c>
      <c r="C18" s="21" t="s">
        <v>202</v>
      </c>
      <c r="D18" s="21" t="s">
        <v>850</v>
      </c>
      <c r="E18" s="13">
        <v>42900.206076388888</v>
      </c>
      <c r="F18" s="13">
        <v>42900.216874999998</v>
      </c>
      <c r="G18" s="7">
        <v>1</v>
      </c>
      <c r="H18" s="21" t="s">
        <v>359</v>
      </c>
      <c r="I18" s="13">
        <v>42900.243981481479</v>
      </c>
      <c r="J18" s="7">
        <v>2</v>
      </c>
      <c r="K18" s="89" t="str">
        <f t="shared" si="0"/>
        <v>4015/4016</v>
      </c>
      <c r="L18" s="21" t="str">
        <f>VLOOKUP(A18,'Trips&amp;Operators'!$C$1:$G$99999,5,FALSE)</f>
        <v>STARKS ANGELINA</v>
      </c>
      <c r="M18" s="6">
        <f t="shared" si="1"/>
        <v>2.7106481480586808E-2</v>
      </c>
      <c r="N18" s="7">
        <f t="shared" si="2"/>
        <v>39.033333332045004</v>
      </c>
      <c r="O18" s="7"/>
      <c r="P18" s="7"/>
      <c r="Q18" s="22"/>
      <c r="R18" s="170"/>
      <c r="S18" s="215">
        <f t="shared" si="3"/>
        <v>1</v>
      </c>
      <c r="T18" s="195" t="str">
        <f t="shared" si="4"/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 t="shared" si="5"/>
        <v>https://d0f6bd738d7f1b3e5a7ca70fe4ff75f0.us-east-1.aws.found.io/app/kibana#/discover/Steve-Slow-Train-Analysis-(2080s-and-2083s)?_g=(refreshInterval:(display:Off,pause:!f,section:0,value:0),time:(from:'2017-06-14T03:56:45-0600',mode:absolute,to:'2017-06-14T06:51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" s="197" t="str">
        <f>IF(AA18&lt;VLOOKUP(AG18,Variables!$AC$3:$AD$8,2,FALSE),"Y","N")</f>
        <v>N</v>
      </c>
      <c r="X18" s="197">
        <f t="shared" si="6"/>
        <v>1</v>
      </c>
      <c r="Y18" s="197">
        <f t="shared" si="7"/>
        <v>23.297599999999999</v>
      </c>
      <c r="Z18" s="197">
        <f t="shared" si="8"/>
        <v>1.41E-2</v>
      </c>
      <c r="AA18" s="197">
        <f t="shared" si="9"/>
        <v>23.2835</v>
      </c>
      <c r="AB18" s="54" t="e">
        <f>VLOOKUP(A18,Enforcements!$C$7:$K$13,8,0)</f>
        <v>#N/A</v>
      </c>
      <c r="AC18" s="51" t="e">
        <f>VLOOKUP(A18,Enforcements!$C$7:$E$13,3,0)</f>
        <v>#N/A</v>
      </c>
      <c r="AD18" s="206">
        <f t="shared" si="10"/>
        <v>106</v>
      </c>
      <c r="AE18" s="77" t="str">
        <f t="shared" si="11"/>
        <v>aws s3 cp s3://rtdc.mdm.uploadarchive.raw/RTDC4015/ "%USERPROFILE%\AppData\Local\Temp\OnboardLogs"\RTDC4015\2017-06-14 --exclude "*" --recursive --include "*20170614*" &amp; "%USERPROFILE%\Documents\GitHub\mrs-test-scripts\Headless Mode &amp; Sideloading\WalkAndUnGZ.bat" "%USERPROFILE%\AppData\Local\Temp\OnboardLogs"\RTDC4015\2017-06-14 &amp; aws s3 cp s3://rtdc.mdm.uploadarchive.raw/RTDC4015/ "%USERPROFILE%\AppData\Local\Temp\OnboardLogs"\RTDC4015\2017-06-15 --exclude "*" --recursive --include "*20170615*" &amp; "%USERPROFILE%\Documents\GitHub\mrs-test-scripts\Headless Mode &amp; Sideloading\WalkAndUnGZ.bat" "%USERPROFILE%\AppData\Local\Temp\OnboardLogs"\RTDC4015\2017-06-15</v>
      </c>
      <c r="AF18" s="74" t="str">
        <f t="shared" si="12"/>
        <v>"C:\Program Files (x86)\AstroGrep\AstroGrep.exe" /e /r /s /spath="%USERPROFILE%\AppData\Local\Temp\OnboardLogs" /stypes="app*4015*20170614*" /stext=" 11:.+((SYSTEM_STATE.+slice.+state.+changed )|(ment ac)|(multiple cpu faults)|(system.+state.+changed )|(\[timeout)|(PRM\|1\|D)|(kpr)|(kdp)|(train st.+moving)|(\|lc)|(penalty))"</v>
      </c>
      <c r="AG18" s="209" t="str">
        <f t="shared" si="17"/>
        <v>EC</v>
      </c>
      <c r="AH18" s="78" t="str">
        <f t="shared" si="13"/>
        <v>"%USERPROFILE%\Documents\GitHub\eaglep3\Utilities\RefineRTDCRunTimes.py" --tripid 106-14 --locoid 4015 --swversion DE.1.0.9.0 --startMP 204:232976 --initTime 2017-06-14T04:56:45 --startdatetime 2017-06-14T05:12:18 --delay 1 --endMP 204:141 --enddatetime 2017-06-14T05:51:20 --enforcementcount 2 &gt;&gt;C:\Users\stu\Documents\GitHub\eaglep3-reporting\EC\2017-06-14-refined-times.txt</v>
      </c>
      <c r="AI18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{"issue":{"subject":"","project_id":79,"tracker_id":40,"status_id":1,"priority_id":2,"assigned_to_id":23,"start_date":"2017-06-14","description":"","custom_fields":[{"id":1,"name":"Subdivision","value":"EC"},{"id":4,"name":"Milepost","value":"0.0141"},{"id":17,"name":"Train ID","value":"106-14"},{"id":16,"name":"Locomotive ID","value":"4015"},{"id":130,"name":"Impact","value":""},{"id":150,"name":"Time of Event (Mountain Time)","value":"05:51:20"},{"id":151,"name":"Denver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15"/>
        <v>start /low /b %USERPROFILE%\Documents\GitHub\eaglep3\Utilities\DownloadLogsFromS3.py --loco 4015 --day 2017-06-14</v>
      </c>
      <c r="AN18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11:51:20"},{"id":29,"name":"Sharepoint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72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661</v>
      </c>
      <c r="B19" s="7">
        <v>4056</v>
      </c>
      <c r="C19" s="21" t="s">
        <v>202</v>
      </c>
      <c r="D19" s="21" t="s">
        <v>441</v>
      </c>
      <c r="E19" s="13">
        <v>42900.185555555552</v>
      </c>
      <c r="F19" s="13">
        <v>42900.187824074077</v>
      </c>
      <c r="G19" s="7">
        <v>1</v>
      </c>
      <c r="H19" s="21" t="s">
        <v>564</v>
      </c>
      <c r="I19" s="13">
        <v>42900.213703703703</v>
      </c>
      <c r="J19" s="7">
        <v>2</v>
      </c>
      <c r="K19" s="89" t="str">
        <f t="shared" si="0"/>
        <v>4055/4056</v>
      </c>
      <c r="L19" s="21" t="str">
        <f>VLOOKUP(A19,'Trips&amp;Operators'!$C$1:$G$99999,5,FALSE)</f>
        <v>HELVIE ADAM</v>
      </c>
      <c r="M19" s="6">
        <f t="shared" si="1"/>
        <v>2.5879629625706002E-2</v>
      </c>
      <c r="N19" s="7">
        <f t="shared" si="2"/>
        <v>37.266666661016643</v>
      </c>
      <c r="O19" s="7"/>
      <c r="P19" s="7"/>
      <c r="Q19" s="22"/>
      <c r="R19" s="170"/>
      <c r="S19" s="215">
        <f t="shared" si="3"/>
        <v>1</v>
      </c>
      <c r="T19" s="195" t="str">
        <f t="shared" si="4"/>
        <v>NorthBound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 t="shared" si="5"/>
        <v>https://d0f6bd738d7f1b3e5a7ca70fe4ff75f0.us-east-1.aws.found.io/app/kibana#/discover/Steve-Slow-Train-Analysis-(2080s-and-2083s)?_g=(refreshInterval:(display:Off,pause:!f,section:0,value:0),time:(from:'2017-06-14T03:27:12-0600',mode:absolute,to:'2017-06-14T06:07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" s="197" t="str">
        <f>IF(AA19&lt;VLOOKUP(AG19,Variables!$AC$3:$AD$8,2,FALSE),"Y","N")</f>
        <v>N</v>
      </c>
      <c r="X19" s="197">
        <f t="shared" si="6"/>
        <v>1</v>
      </c>
      <c r="Y19" s="197">
        <f t="shared" si="7"/>
        <v>4.6699999999999998E-2</v>
      </c>
      <c r="Z19" s="197">
        <f t="shared" si="8"/>
        <v>23.327400000000001</v>
      </c>
      <c r="AA19" s="197">
        <f t="shared" si="9"/>
        <v>23.2807</v>
      </c>
      <c r="AB19" s="54" t="e">
        <f>VLOOKUP(A19,Enforcements!$C$7:$K$13,8,0)</f>
        <v>#N/A</v>
      </c>
      <c r="AC19" s="51" t="e">
        <f>VLOOKUP(A19,Enforcements!$C$7:$E$13,3,0)</f>
        <v>#N/A</v>
      </c>
      <c r="AD19" s="206">
        <f t="shared" si="10"/>
        <v>107</v>
      </c>
      <c r="AE19" s="77" t="str">
        <f t="shared" si="11"/>
        <v>aws s3 cp s3://rtdc.mdm.uploadarchive.raw/RTDC4056/ "%USERPROFILE%\AppData\Local\Temp\OnboardLogs"\RTDC4056\2017-06-14 --exclude "*" --recursive --include "*20170614*" &amp; "%USERPROFILE%\Documents\GitHub\mrs-test-scripts\Headless Mode &amp; Sideloading\WalkAndUnGZ.bat" "%USERPROFILE%\AppData\Local\Temp\OnboardLogs"\RTDC4056\2017-06-14 &amp; aws s3 cp s3://rtdc.mdm.uploadarchive.raw/RTDC4056/ "%USERPROFILE%\AppData\Local\Temp\OnboardLogs"\RTDC4056\2017-06-15 --exclude "*" --recursive --include "*20170615*" &amp; "%USERPROFILE%\Documents\GitHub\mrs-test-scripts\Headless Mode &amp; Sideloading\WalkAndUnGZ.bat" "%USERPROFILE%\AppData\Local\Temp\OnboardLogs"\RTDC4056\2017-06-15</v>
      </c>
      <c r="AF19" s="74" t="str">
        <f t="shared" si="12"/>
        <v>"C:\Program Files (x86)\AstroGrep\AstroGrep.exe" /e /r /s /spath="%USERPROFILE%\AppData\Local\Temp\OnboardLogs" /stypes="app*4056*20170614*" /stext=" 11:.+((SYSTEM_STATE.+slice.+state.+changed )|(ment ac)|(multiple cpu faults)|(system.+state.+changed )|(\[timeout)|(PRM\|1\|D)|(kpr)|(kdp)|(train st.+moving)|(\|lc)|(penalty))"</v>
      </c>
      <c r="AG19" s="209" t="str">
        <f t="shared" si="17"/>
        <v>EC</v>
      </c>
      <c r="AH19" s="78" t="str">
        <f t="shared" si="13"/>
        <v>"%USERPROFILE%\Documents\GitHub\eaglep3\Utilities\RefineRTDCRunTimes.py" --tripid 107-14 --locoid 4056 --swversion DE.1.0.9.0 --startMP 204:467 --initTime 2017-06-14T04:27:12 --startdatetime 2017-06-14T04:30:28 --delay 1 --endMP 204:233274 --enddatetime 2017-06-14T05:07:44 --enforcementcount 2 &gt;&gt;C:\Users\stu\Documents\GitHub\eaglep3-reporting\EC\2017-06-14-refined-times.txt</v>
      </c>
      <c r="AI19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{"issue":{"subject":"","project_id":79,"tracker_id":40,"status_id":1,"priority_id":2,"assigned_to_id":23,"start_date":"2017-06-14","description":"","custom_fields":[{"id":1,"name":"Subdivision","value":"EC"},{"id":4,"name":"Milepost","value":"23.3274"},{"id":17,"name":"Train ID","value":"107-14"},{"id":16,"name":"Locomotive ID","value":"4056"},{"id":130,"name":"Impact","value":""},{"id":150,"name":"Time of Event (Mountain Time)","value":"05:07:44"},{"id":151,"name":"Denver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15"/>
        <v>start /low /b %USERPROFILE%\Documents\GitHub\eaglep3\Utilities\DownloadLogsFromS3.py --loco 4056 --day 2017-06-14</v>
      </c>
      <c r="AN19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11:07:44"},{"id":29,"name":"Sharepoint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72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672</v>
      </c>
      <c r="B20" s="7">
        <v>4055</v>
      </c>
      <c r="C20" s="21" t="s">
        <v>202</v>
      </c>
      <c r="D20" s="21" t="s">
        <v>524</v>
      </c>
      <c r="E20" s="13">
        <v>42900.224050925928</v>
      </c>
      <c r="F20" s="13">
        <v>42900.227430555555</v>
      </c>
      <c r="G20" s="7">
        <v>1</v>
      </c>
      <c r="H20" s="21" t="s">
        <v>357</v>
      </c>
      <c r="I20" s="13">
        <v>42900.253900462965</v>
      </c>
      <c r="J20" s="7">
        <v>2</v>
      </c>
      <c r="K20" s="89" t="str">
        <f t="shared" si="0"/>
        <v>4055/4056</v>
      </c>
      <c r="L20" s="21" t="str">
        <f>VLOOKUP(A20,'Trips&amp;Operators'!$C$1:$G$99999,5,FALSE)</f>
        <v>HELVIE ADAM</v>
      </c>
      <c r="M20" s="6">
        <f t="shared" si="1"/>
        <v>2.6469907410501037E-2</v>
      </c>
      <c r="N20" s="7">
        <f t="shared" si="2"/>
        <v>38.116666671121493</v>
      </c>
      <c r="O20" s="7"/>
      <c r="P20" s="7"/>
      <c r="Q20" s="22"/>
      <c r="R20" s="170"/>
      <c r="S20" s="215">
        <f t="shared" si="3"/>
        <v>1</v>
      </c>
      <c r="T20" s="195" t="str">
        <f t="shared" si="4"/>
        <v>Southbound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 t="shared" si="5"/>
        <v>https://d0f6bd738d7f1b3e5a7ca70fe4ff75f0.us-east-1.aws.found.io/app/kibana#/discover/Steve-Slow-Train-Analysis-(2080s-and-2083s)?_g=(refreshInterval:(display:Off,pause:!f,section:0,value:0),time:(from:'2017-06-14T04:22:38-0600',mode:absolute,to:'2017-06-14T07:05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0" s="197" t="str">
        <f>IF(AA20&lt;VLOOKUP(AG20,Variables!$AC$3:$AD$8,2,FALSE),"Y","N")</f>
        <v>N</v>
      </c>
      <c r="X20" s="197">
        <f t="shared" si="6"/>
        <v>1</v>
      </c>
      <c r="Y20" s="197">
        <f t="shared" si="7"/>
        <v>23.296099999999999</v>
      </c>
      <c r="Z20" s="197">
        <f t="shared" si="8"/>
        <v>1.3899999999999999E-2</v>
      </c>
      <c r="AA20" s="197">
        <f t="shared" si="9"/>
        <v>23.2822</v>
      </c>
      <c r="AB20" s="54" t="e">
        <f>VLOOKUP(A20,Enforcements!$C$7:$K$13,8,0)</f>
        <v>#N/A</v>
      </c>
      <c r="AC20" s="51" t="e">
        <f>VLOOKUP(A20,Enforcements!$C$7:$E$13,3,0)</f>
        <v>#N/A</v>
      </c>
      <c r="AD20" s="206">
        <f t="shared" si="10"/>
        <v>108</v>
      </c>
      <c r="AE20" s="77" t="str">
        <f t="shared" si="11"/>
        <v>aws s3 cp s3://rtdc.mdm.uploadarchive.raw/RTDC4055/ "%USERPROFILE%\AppData\Local\Temp\OnboardLogs"\RTDC4055\2017-06-14 --exclude "*" --recursive --include "*20170614*" &amp; "%USERPROFILE%\Documents\GitHub\mrs-test-scripts\Headless Mode &amp; Sideloading\WalkAndUnGZ.bat" "%USERPROFILE%\AppData\Local\Temp\OnboardLogs"\RTDC4055\2017-06-14 &amp; aws s3 cp s3://rtdc.mdm.uploadarchive.raw/RTDC4055/ "%USERPROFILE%\AppData\Local\Temp\OnboardLogs"\RTDC4055\2017-06-15 --exclude "*" --recursive --include "*20170615*" &amp; "%USERPROFILE%\Documents\GitHub\mrs-test-scripts\Headless Mode &amp; Sideloading\WalkAndUnGZ.bat" "%USERPROFILE%\AppData\Local\Temp\OnboardLogs"\RTDC4055\2017-06-15</v>
      </c>
      <c r="AF20" s="74" t="str">
        <f t="shared" si="12"/>
        <v>"C:\Program Files (x86)\AstroGrep\AstroGrep.exe" /e /r /s /spath="%USERPROFILE%\AppData\Local\Temp\OnboardLogs" /stypes="app*4055*20170614*" /stext=" 12:.+((SYSTEM_STATE.+slice.+state.+changed )|(ment ac)|(multiple cpu faults)|(system.+state.+changed )|(\[timeout)|(PRM\|1\|D)|(kpr)|(kdp)|(train st.+moving)|(\|lc)|(penalty))"</v>
      </c>
      <c r="AG20" s="209" t="str">
        <f t="shared" si="17"/>
        <v>EC</v>
      </c>
      <c r="AH20" s="78" t="str">
        <f t="shared" si="13"/>
        <v>"%USERPROFILE%\Documents\GitHub\eaglep3\Utilities\RefineRTDCRunTimes.py" --tripid 108-14 --locoid 4055 --swversion DE.1.0.9.0 --startMP 204:232961 --initTime 2017-06-14T05:22:38 --startdatetime 2017-06-14T05:27:30 --delay 1 --endMP 204:139 --enddatetime 2017-06-14T06:05:37 --enforcementcount 2 &gt;&gt;C:\Users\stu\Documents\GitHub\eaglep3-reporting\EC\2017-06-14-refined-times.txt</v>
      </c>
      <c r="AI20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{"issue":{"subject":"","project_id":79,"tracker_id":40,"status_id":1,"priority_id":2,"assigned_to_id":23,"start_date":"2017-06-14","description":"","custom_fields":[{"id":1,"name":"Subdivision","value":"EC"},{"id":4,"name":"Milepost","value":"0.0139"},{"id":17,"name":"Train ID","value":"108-14"},{"id":16,"name":"Locomotive ID","value":"4055"},{"id":130,"name":"Impact","value":""},{"id":150,"name":"Time of Event (Mountain Time)","value":"06:05:37"},{"id":151,"name":"Denver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15"/>
        <v>start /low /b %USERPROFILE%\Documents\GitHub\eaglep3\Utilities\DownloadLogsFromS3.py --loco 4055 --day 2017-06-14</v>
      </c>
      <c r="AN20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12:05:37"},{"id":29,"name":"Sharepoint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72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663</v>
      </c>
      <c r="B21" s="7">
        <v>4040</v>
      </c>
      <c r="C21" s="21" t="s">
        <v>202</v>
      </c>
      <c r="D21" s="21" t="s">
        <v>392</v>
      </c>
      <c r="E21" s="13">
        <v>42900.193078703705</v>
      </c>
      <c r="F21" s="13">
        <v>42900.19809027778</v>
      </c>
      <c r="G21" s="7">
        <v>1</v>
      </c>
      <c r="H21" s="21" t="s">
        <v>567</v>
      </c>
      <c r="I21" s="13">
        <v>42900.224143518521</v>
      </c>
      <c r="J21" s="7">
        <v>2</v>
      </c>
      <c r="K21" s="89" t="str">
        <f t="shared" si="0"/>
        <v>4039/4040</v>
      </c>
      <c r="L21" s="21" t="str">
        <f>VLOOKUP(A21,'Trips&amp;Operators'!$C$1:$G$99999,5,FALSE)</f>
        <v>DAVIS WENDY</v>
      </c>
      <c r="M21" s="6">
        <f t="shared" si="1"/>
        <v>2.6053240741021E-2</v>
      </c>
      <c r="N21" s="7">
        <f t="shared" si="2"/>
        <v>37.51666666707024</v>
      </c>
      <c r="O21" s="7"/>
      <c r="P21" s="7"/>
      <c r="Q21" s="22"/>
      <c r="R21" s="170"/>
      <c r="S21" s="215">
        <f t="shared" si="3"/>
        <v>1</v>
      </c>
      <c r="T21" s="195" t="str">
        <f t="shared" si="4"/>
        <v>NorthBound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 t="shared" si="5"/>
        <v>https://d0f6bd738d7f1b3e5a7ca70fe4ff75f0.us-east-1.aws.found.io/app/kibana#/discover/Steve-Slow-Train-Analysis-(2080s-and-2083s)?_g=(refreshInterval:(display:Off,pause:!f,section:0,value:0),time:(from:'2017-06-14T03:38:02-0600',mode:absolute,to:'2017-06-14T06:22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" s="197" t="str">
        <f>IF(AA21&lt;VLOOKUP(AG21,Variables!$AC$3:$AD$8,2,FALSE),"Y","N")</f>
        <v>N</v>
      </c>
      <c r="X21" s="197">
        <f t="shared" si="6"/>
        <v>1</v>
      </c>
      <c r="Y21" s="197">
        <f t="shared" si="7"/>
        <v>4.6199999999999998E-2</v>
      </c>
      <c r="Z21" s="197">
        <f t="shared" si="8"/>
        <v>23.330400000000001</v>
      </c>
      <c r="AA21" s="197">
        <f t="shared" si="9"/>
        <v>23.284200000000002</v>
      </c>
      <c r="AB21" s="54" t="e">
        <f>VLOOKUP(A21,Enforcements!$C$7:$K$13,8,0)</f>
        <v>#N/A</v>
      </c>
      <c r="AC21" s="51" t="e">
        <f>VLOOKUP(A21,Enforcements!$C$7:$E$13,3,0)</f>
        <v>#N/A</v>
      </c>
      <c r="AD21" s="206">
        <f t="shared" si="10"/>
        <v>109</v>
      </c>
      <c r="AE21" s="77" t="str">
        <f t="shared" si="11"/>
        <v>aws s3 cp s3://rtdc.mdm.uploadarchive.raw/RTDC4040/ "%USERPROFILE%\AppData\Local\Temp\OnboardLogs"\RTDC4040\2017-06-14 --exclude "*" --recursive --include "*20170614*" &amp; "%USERPROFILE%\Documents\GitHub\mrs-test-scripts\Headless Mode &amp; Sideloading\WalkAndUnGZ.bat" "%USERPROFILE%\AppData\Local\Temp\OnboardLogs"\RTDC4040\2017-06-14 &amp; aws s3 cp s3://rtdc.mdm.uploadarchive.raw/RTDC4040/ "%USERPROFILE%\AppData\Local\Temp\OnboardLogs"\RTDC4040\2017-06-15 --exclude "*" --recursive --include "*20170615*" &amp; "%USERPROFILE%\Documents\GitHub\mrs-test-scripts\Headless Mode &amp; Sideloading\WalkAndUnGZ.bat" "%USERPROFILE%\AppData\Local\Temp\OnboardLogs"\RTDC4040\2017-06-15</v>
      </c>
      <c r="AF21" s="74" t="str">
        <f t="shared" si="12"/>
        <v>"C:\Program Files (x86)\AstroGrep\AstroGrep.exe" /e /r /s /spath="%USERPROFILE%\AppData\Local\Temp\OnboardLogs" /stypes="app*4040*20170614*" /stext=" 11:.+((SYSTEM_STATE.+slice.+state.+changed )|(ment ac)|(multiple cpu faults)|(system.+state.+changed )|(\[timeout)|(PRM\|1\|D)|(kpr)|(kdp)|(train st.+moving)|(\|lc)|(penalty))"</v>
      </c>
      <c r="AG21" s="209" t="str">
        <f t="shared" si="17"/>
        <v>EC</v>
      </c>
      <c r="AH21" s="78" t="str">
        <f t="shared" si="13"/>
        <v>"%USERPROFILE%\Documents\GitHub\eaglep3\Utilities\RefineRTDCRunTimes.py" --tripid 109-14 --locoid 4040 --swversion DE.1.0.9.0 --startMP 204:462 --initTime 2017-06-14T04:38:02 --startdatetime 2017-06-14T04:45:15 --delay 1 --endMP 204:233304 --enddatetime 2017-06-14T05:22:46 --enforcementcount 2 &gt;&gt;C:\Users\stu\Documents\GitHub\eaglep3-reporting\EC\2017-06-14-refined-times.txt</v>
      </c>
      <c r="AI21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{"issue":{"subject":"","project_id":79,"tracker_id":40,"status_id":1,"priority_id":2,"assigned_to_id":23,"start_date":"2017-06-14","description":"","custom_fields":[{"id":1,"name":"Subdivision","value":"EC"},{"id":4,"name":"Milepost","value":"23.3304"},{"id":17,"name":"Train ID","value":"109-14"},{"id":16,"name":"Locomotive ID","value":"4040"},{"id":130,"name":"Impact","value":""},{"id":150,"name":"Time of Event (Mountain Time)","value":"05:22:46"},{"id":151,"name":"Denver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15"/>
        <v>start /low /b %USERPROFILE%\Documents\GitHub\eaglep3\Utilities\DownloadLogsFromS3.py --loco 4040 --day 2017-06-14</v>
      </c>
      <c r="AN21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11:22:46"},{"id":29,"name":"Sharepoint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72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676</v>
      </c>
      <c r="B22" s="7">
        <v>4039</v>
      </c>
      <c r="C22" s="21" t="s">
        <v>202</v>
      </c>
      <c r="D22" s="21" t="s">
        <v>568</v>
      </c>
      <c r="E22" s="13">
        <v>42900.23537037037</v>
      </c>
      <c r="F22" s="13">
        <v>42900.237835648149</v>
      </c>
      <c r="G22" s="7">
        <v>1</v>
      </c>
      <c r="H22" s="21" t="s">
        <v>359</v>
      </c>
      <c r="I22" s="13">
        <v>42900.264837962961</v>
      </c>
      <c r="J22" s="7">
        <v>2</v>
      </c>
      <c r="K22" s="89" t="str">
        <f t="shared" si="0"/>
        <v>4039/4040</v>
      </c>
      <c r="L22" s="21" t="str">
        <f>VLOOKUP(A22,'Trips&amp;Operators'!$C$1:$G$99999,5,FALSE)</f>
        <v>DAVIS WENDY</v>
      </c>
      <c r="M22" s="6">
        <f t="shared" si="1"/>
        <v>2.700231481139781E-2</v>
      </c>
      <c r="N22" s="7">
        <f t="shared" si="2"/>
        <v>38.883333328412846</v>
      </c>
      <c r="O22" s="7"/>
      <c r="P22" s="7"/>
      <c r="Q22" s="22"/>
      <c r="R22" s="170"/>
      <c r="S22" s="215">
        <f t="shared" si="3"/>
        <v>1</v>
      </c>
      <c r="T22" s="195" t="str">
        <f t="shared" si="4"/>
        <v>Southbound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 t="shared" si="5"/>
        <v>https://d0f6bd738d7f1b3e5a7ca70fe4ff75f0.us-east-1.aws.found.io/app/kibana#/discover/Steve-Slow-Train-Analysis-(2080s-and-2083s)?_g=(refreshInterval:(display:Off,pause:!f,section:0,value:0),time:(from:'2017-06-14T04:38:56-0600',mode:absolute,to:'2017-06-14T07:21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" s="197" t="str">
        <f>IF(AA22&lt;VLOOKUP(AG22,Variables!$AC$3:$AD$8,2,FALSE),"Y","N")</f>
        <v>N</v>
      </c>
      <c r="X22" s="197">
        <f t="shared" si="6"/>
        <v>1</v>
      </c>
      <c r="Y22" s="197">
        <f t="shared" si="7"/>
        <v>23.2989</v>
      </c>
      <c r="Z22" s="197">
        <f t="shared" si="8"/>
        <v>1.41E-2</v>
      </c>
      <c r="AA22" s="197">
        <f t="shared" si="9"/>
        <v>23.284800000000001</v>
      </c>
      <c r="AB22" s="54" t="e">
        <f>VLOOKUP(A22,Enforcements!$C$7:$K$13,8,0)</f>
        <v>#N/A</v>
      </c>
      <c r="AC22" s="51" t="e">
        <f>VLOOKUP(A22,Enforcements!$C$7:$E$13,3,0)</f>
        <v>#N/A</v>
      </c>
      <c r="AD22" s="206">
        <f t="shared" si="10"/>
        <v>110</v>
      </c>
      <c r="AE22" s="77" t="str">
        <f t="shared" si="11"/>
        <v>aws s3 cp s3://rtdc.mdm.uploadarchive.raw/RTDC4039/ "%USERPROFILE%\AppData\Local\Temp\OnboardLogs"\RTDC4039\2017-06-14 --exclude "*" --recursive --include "*20170614*" &amp; "%USERPROFILE%\Documents\GitHub\mrs-test-scripts\Headless Mode &amp; Sideloading\WalkAndUnGZ.bat" "%USERPROFILE%\AppData\Local\Temp\OnboardLogs"\RTDC4039\2017-06-14 &amp; aws s3 cp s3://rtdc.mdm.uploadarchive.raw/RTDC4039/ "%USERPROFILE%\AppData\Local\Temp\OnboardLogs"\RTDC4039\2017-06-15 --exclude "*" --recursive --include "*20170615*" &amp; "%USERPROFILE%\Documents\GitHub\mrs-test-scripts\Headless Mode &amp; Sideloading\WalkAndUnGZ.bat" "%USERPROFILE%\AppData\Local\Temp\OnboardLogs"\RTDC4039\2017-06-15</v>
      </c>
      <c r="AF22" s="74" t="str">
        <f t="shared" si="12"/>
        <v>"C:\Program Files (x86)\AstroGrep\AstroGrep.exe" /e /r /s /spath="%USERPROFILE%\AppData\Local\Temp\OnboardLogs" /stypes="app*4039*20170614*" /stext=" 12:.+((SYSTEM_STATE.+slice.+state.+changed )|(ment ac)|(multiple cpu faults)|(system.+state.+changed )|(\[timeout)|(PRM\|1\|D)|(kpr)|(kdp)|(train st.+moving)|(\|lc)|(penalty))"</v>
      </c>
      <c r="AG22" s="209" t="str">
        <f t="shared" si="17"/>
        <v>EC</v>
      </c>
      <c r="AH22" s="78" t="str">
        <f t="shared" si="13"/>
        <v>"%USERPROFILE%\Documents\GitHub\eaglep3\Utilities\RefineRTDCRunTimes.py" --tripid 110-14 --locoid 4039 --swversion DE.1.0.9.0 --startMP 204:232989 --initTime 2017-06-14T05:38:56 --startdatetime 2017-06-14T05:42:29 --delay 1 --endMP 204:141 --enddatetime 2017-06-14T06:21:22 --enforcementcount 2 &gt;&gt;C:\Users\stu\Documents\GitHub\eaglep3-reporting\EC\2017-06-14-refined-times.txt</v>
      </c>
      <c r="AI22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{"issue":{"subject":"","project_id":79,"tracker_id":40,"status_id":1,"priority_id":2,"assigned_to_id":23,"start_date":"2017-06-14","description":"","custom_fields":[{"id":1,"name":"Subdivision","value":"EC"},{"id":4,"name":"Milepost","value":"0.0141"},{"id":17,"name":"Train ID","value":"110-14"},{"id":16,"name":"Locomotive ID","value":"4039"},{"id":130,"name":"Impact","value":""},{"id":150,"name":"Time of Event (Mountain Time)","value":"06:21:22"},{"id":151,"name":"Denver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15"/>
        <v>start /low /b %USERPROFILE%\Documents\GitHub\eaglep3\Utilities\DownloadLogsFromS3.py --loco 4039 --day 2017-06-14</v>
      </c>
      <c r="AN22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12:21:22"},{"id":29,"name":"Sharepoint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7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665</v>
      </c>
      <c r="B23" s="7">
        <v>4010</v>
      </c>
      <c r="C23" s="21" t="s">
        <v>202</v>
      </c>
      <c r="D23" s="21" t="s">
        <v>356</v>
      </c>
      <c r="E23" s="13">
        <v>42900.205081018517</v>
      </c>
      <c r="F23" s="13">
        <v>42900.208518518521</v>
      </c>
      <c r="G23" s="7">
        <v>1</v>
      </c>
      <c r="H23" s="21" t="s">
        <v>472</v>
      </c>
      <c r="I23" s="13">
        <v>42900.234270833331</v>
      </c>
      <c r="J23" s="7">
        <v>2</v>
      </c>
      <c r="K23" s="89" t="str">
        <f t="shared" si="0"/>
        <v>4009/4010</v>
      </c>
      <c r="L23" s="21" t="str">
        <f>VLOOKUP(A23,'Trips&amp;Operators'!$C$1:$G$99999,5,FALSE)</f>
        <v>BONDS REYNALDO</v>
      </c>
      <c r="M23" s="6">
        <f t="shared" si="1"/>
        <v>2.5752314810233656E-2</v>
      </c>
      <c r="N23" s="7">
        <f t="shared" si="2"/>
        <v>37.083333326736465</v>
      </c>
      <c r="O23" s="7"/>
      <c r="P23" s="7"/>
      <c r="Q23" s="22"/>
      <c r="R23" s="170"/>
      <c r="S23" s="215">
        <f t="shared" si="3"/>
        <v>1</v>
      </c>
      <c r="T23" s="195" t="str">
        <f t="shared" si="4"/>
        <v>NorthBound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 t="shared" si="5"/>
        <v>https://d0f6bd738d7f1b3e5a7ca70fe4ff75f0.us-east-1.aws.found.io/app/kibana#/discover/Steve-Slow-Train-Analysis-(2080s-and-2083s)?_g=(refreshInterval:(display:Off,pause:!f,section:0,value:0),time:(from:'2017-06-14T03:55:19-0600',mode:absolute,to:'2017-06-14T06:37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3" s="197" t="str">
        <f>IF(AA23&lt;VLOOKUP(AG23,Variables!$AC$3:$AD$8,2,FALSE),"Y","N")</f>
        <v>N</v>
      </c>
      <c r="X23" s="197">
        <f t="shared" si="6"/>
        <v>1</v>
      </c>
      <c r="Y23" s="197">
        <f t="shared" si="7"/>
        <v>4.4699999999999997E-2</v>
      </c>
      <c r="Z23" s="197">
        <f t="shared" si="8"/>
        <v>23.329899999999999</v>
      </c>
      <c r="AA23" s="197">
        <f t="shared" si="9"/>
        <v>23.2852</v>
      </c>
      <c r="AB23" s="54" t="e">
        <f>VLOOKUP(A23,Enforcements!$C$7:$K$13,8,0)</f>
        <v>#N/A</v>
      </c>
      <c r="AC23" s="51" t="e">
        <f>VLOOKUP(A23,Enforcements!$C$7:$E$13,3,0)</f>
        <v>#N/A</v>
      </c>
      <c r="AD23" s="206">
        <f t="shared" si="10"/>
        <v>111</v>
      </c>
      <c r="AE23" s="77" t="str">
        <f t="shared" si="11"/>
        <v>aws s3 cp s3://rtdc.mdm.uploadarchive.raw/RTDC4010/ "%USERPROFILE%\AppData\Local\Temp\OnboardLogs"\RTDC4010\2017-06-14 --exclude "*" --recursive --include "*20170614*" &amp; "%USERPROFILE%\Documents\GitHub\mrs-test-scripts\Headless Mode &amp; Sideloading\WalkAndUnGZ.bat" "%USERPROFILE%\AppData\Local\Temp\OnboardLogs"\RTDC4010\2017-06-14 &amp; 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</v>
      </c>
      <c r="AF23" s="74" t="str">
        <f t="shared" si="12"/>
        <v>"C:\Program Files (x86)\AstroGrep\AstroGrep.exe" /e /r /s /spath="%USERPROFILE%\AppData\Local\Temp\OnboardLogs" /stypes="app*4010*20170614*" /stext=" 11:.+((SYSTEM_STATE.+slice.+state.+changed )|(ment ac)|(multiple cpu faults)|(system.+state.+changed )|(\[timeout)|(PRM\|1\|D)|(kpr)|(kdp)|(train st.+moving)|(\|lc)|(penalty))"</v>
      </c>
      <c r="AG23" s="209" t="str">
        <f t="shared" si="17"/>
        <v>EC</v>
      </c>
      <c r="AH23" s="78" t="str">
        <f t="shared" si="13"/>
        <v>"%USERPROFILE%\Documents\GitHub\eaglep3\Utilities\RefineRTDCRunTimes.py" --tripid 111-14 --locoid 4010 --swversion DE.1.0.9.0 --startMP 204:447 --initTime 2017-06-14T04:55:19 --startdatetime 2017-06-14T05:00:16 --delay 1 --endMP 204:233299 --enddatetime 2017-06-14T05:37:21 --enforcementcount 2 &gt;&gt;C:\Users\stu\Documents\GitHub\eaglep3-reporting\EC\2017-06-14-refined-times.txt</v>
      </c>
      <c r="AI23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{"issue":{"subject":"","project_id":79,"tracker_id":40,"status_id":1,"priority_id":2,"assigned_to_id":23,"start_date":"2017-06-14","description":"","custom_fields":[{"id":1,"name":"Subdivision","value":"EC"},{"id":4,"name":"Milepost","value":"23.3299"},{"id":17,"name":"Train ID","value":"111-14"},{"id":16,"name":"Locomotive ID","value":"4010"},{"id":130,"name":"Impact","value":""},{"id":150,"name":"Time of Event (Mountain Time)","value":"05:37:21"},{"id":151,"name":"Denver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15"/>
        <v>start /low /b %USERPROFILE%\Documents\GitHub\eaglep3\Utilities\DownloadLogsFromS3.py --loco 4010 --day 2017-06-14</v>
      </c>
      <c r="AN23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11:37:21"},{"id":29,"name":"Sharepoint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72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679</v>
      </c>
      <c r="B24" s="7">
        <v>4009</v>
      </c>
      <c r="C24" s="21" t="s">
        <v>202</v>
      </c>
      <c r="D24" s="21" t="s">
        <v>452</v>
      </c>
      <c r="E24" s="13">
        <v>42900.244293981479</v>
      </c>
      <c r="F24" s="13">
        <v>42900.248101851852</v>
      </c>
      <c r="G24" s="7">
        <v>1</v>
      </c>
      <c r="H24" s="21" t="s">
        <v>351</v>
      </c>
      <c r="I24" s="13">
        <v>42900.275127314817</v>
      </c>
      <c r="J24" s="7">
        <v>2</v>
      </c>
      <c r="K24" s="89" t="str">
        <f t="shared" si="0"/>
        <v>4009/4010</v>
      </c>
      <c r="L24" s="21" t="str">
        <f>VLOOKUP(A24,'Trips&amp;Operators'!$C$1:$G$99999,5,FALSE)</f>
        <v>BONDS REYNALDO</v>
      </c>
      <c r="M24" s="6">
        <f t="shared" si="1"/>
        <v>2.7025462964957114E-2</v>
      </c>
      <c r="N24" s="7">
        <f t="shared" si="2"/>
        <v>38.916666669538245</v>
      </c>
      <c r="O24" s="7"/>
      <c r="P24" s="7"/>
      <c r="Q24" s="22"/>
      <c r="R24" s="170"/>
      <c r="S24" s="215">
        <f t="shared" si="3"/>
        <v>1</v>
      </c>
      <c r="T24" s="195" t="str">
        <f t="shared" si="4"/>
        <v>Southbound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 t="shared" si="5"/>
        <v>https://d0f6bd738d7f1b3e5a7ca70fe4ff75f0.us-east-1.aws.found.io/app/kibana#/discover/Steve-Slow-Train-Analysis-(2080s-and-2083s)?_g=(refreshInterval:(display:Off,pause:!f,section:0,value:0),time:(from:'2017-06-14T04:51:47-0600',mode:absolute,to:'2017-06-14T07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4" s="197" t="str">
        <f>IF(AA24&lt;VLOOKUP(AG24,Variables!$AC$3:$AD$8,2,FALSE),"Y","N")</f>
        <v>N</v>
      </c>
      <c r="X24" s="197">
        <f t="shared" si="6"/>
        <v>1</v>
      </c>
      <c r="Y24" s="197">
        <f t="shared" si="7"/>
        <v>23.2986</v>
      </c>
      <c r="Z24" s="197">
        <f t="shared" si="8"/>
        <v>1.43E-2</v>
      </c>
      <c r="AA24" s="197">
        <f t="shared" si="9"/>
        <v>23.284300000000002</v>
      </c>
      <c r="AB24" s="54" t="e">
        <f>VLOOKUP(A24,Enforcements!$C$7:$K$13,8,0)</f>
        <v>#N/A</v>
      </c>
      <c r="AC24" s="51" t="e">
        <f>VLOOKUP(A24,Enforcements!$C$7:$E$13,3,0)</f>
        <v>#N/A</v>
      </c>
      <c r="AD24" s="206">
        <f t="shared" si="10"/>
        <v>112</v>
      </c>
      <c r="AE24" s="77" t="str">
        <f t="shared" si="11"/>
        <v>aws s3 cp s3://rtdc.mdm.uploadarchive.raw/RTDC4009/ "%USERPROFILE%\AppData\Local\Temp\OnboardLogs"\RTDC4009\2017-06-14 --exclude "*" --recursive --include "*20170614*" &amp; "%USERPROFILE%\Documents\GitHub\mrs-test-scripts\Headless Mode &amp; Sideloading\WalkAndUnGZ.bat" "%USERPROFILE%\AppData\Local\Temp\OnboardLogs"\RTDC4009\2017-06-14 &amp; aws s3 cp s3://rtdc.mdm.uploadarchive.raw/RTDC4009/ "%USERPROFILE%\AppData\Local\Temp\OnboardLogs"\RTDC4009\2017-06-15 --exclude "*" --recursive --include "*20170615*" &amp; "%USERPROFILE%\Documents\GitHub\mrs-test-scripts\Headless Mode &amp; Sideloading\WalkAndUnGZ.bat" "%USERPROFILE%\AppData\Local\Temp\OnboardLogs"\RTDC4009\2017-06-15</v>
      </c>
      <c r="AF24" s="74" t="str">
        <f t="shared" si="12"/>
        <v>"C:\Program Files (x86)\AstroGrep\AstroGrep.exe" /e /r /s /spath="%USERPROFILE%\AppData\Local\Temp\OnboardLogs" /stypes="app*4009*20170614*" /stext=" 12:.+((SYSTEM_STATE.+slice.+state.+changed )|(ment ac)|(multiple cpu faults)|(system.+state.+changed )|(\[timeout)|(PRM\|1\|D)|(kpr)|(kdp)|(train st.+moving)|(\|lc)|(penalty))"</v>
      </c>
      <c r="AG24" s="209" t="str">
        <f t="shared" si="17"/>
        <v>EC</v>
      </c>
      <c r="AH24" s="78" t="str">
        <f t="shared" si="13"/>
        <v>"%USERPROFILE%\Documents\GitHub\eaglep3\Utilities\RefineRTDCRunTimes.py" --tripid 112-14 --locoid 4009 --swversion DE.1.0.9.0 --startMP 204:232986 --initTime 2017-06-14T05:51:47 --startdatetime 2017-06-14T05:57:16 --delay 1 --endMP 204:143 --enddatetime 2017-06-14T06:36:11 --enforcementcount 2 &gt;&gt;C:\Users\stu\Documents\GitHub\eaglep3-reporting\EC\2017-06-14-refined-times.txt</v>
      </c>
      <c r="AI24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{"issue":{"subject":"","project_id":79,"tracker_id":40,"status_id":1,"priority_id":2,"assigned_to_id":23,"start_date":"2017-06-14","description":"","custom_fields":[{"id":1,"name":"Subdivision","value":"EC"},{"id":4,"name":"Milepost","value":"0.0143"},{"id":17,"name":"Train ID","value":"112-14"},{"id":16,"name":"Locomotive ID","value":"4009"},{"id":130,"name":"Impact","value":""},{"id":150,"name":"Time of Event (Mountain Time)","value":"06:36:11"},{"id":151,"name":"Denver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15"/>
        <v>start /low /b %USERPROFILE%\Documents\GitHub\eaglep3\Utilities\DownloadLogsFromS3.py --loco 4009 --day 2017-06-14</v>
      </c>
      <c r="AN24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12:36:11"},{"id":29,"name":"Sharepoint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72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669</v>
      </c>
      <c r="B25" s="7">
        <v>4004</v>
      </c>
      <c r="C25" s="21" t="s">
        <v>202</v>
      </c>
      <c r="D25" s="21" t="s">
        <v>347</v>
      </c>
      <c r="E25" s="13">
        <v>42900.215138888889</v>
      </c>
      <c r="F25" s="13">
        <v>42900.218969907408</v>
      </c>
      <c r="G25" s="7">
        <v>1</v>
      </c>
      <c r="H25" s="21" t="s">
        <v>464</v>
      </c>
      <c r="I25" s="13">
        <v>42900.243773148148</v>
      </c>
      <c r="J25" s="7">
        <v>2</v>
      </c>
      <c r="K25" s="89" t="str">
        <f t="shared" si="0"/>
        <v>4003/4004</v>
      </c>
      <c r="L25" s="21" t="str">
        <f>VLOOKUP(A25,'Trips&amp;Operators'!$C$1:$G$99999,5,FALSE)</f>
        <v>LOZA FIDEL</v>
      </c>
      <c r="M25" s="6">
        <f t="shared" si="1"/>
        <v>2.4803240739856847E-2</v>
      </c>
      <c r="N25" s="7">
        <f t="shared" si="2"/>
        <v>35.716666665393859</v>
      </c>
      <c r="O25" s="7"/>
      <c r="P25" s="7"/>
      <c r="Q25" s="22"/>
      <c r="R25" s="170"/>
      <c r="S25" s="215">
        <f t="shared" si="3"/>
        <v>1</v>
      </c>
      <c r="T25" s="195" t="str">
        <f t="shared" si="4"/>
        <v>NorthBound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 t="shared" si="5"/>
        <v>https://d0f6bd738d7f1b3e5a7ca70fe4ff75f0.us-east-1.aws.found.io/app/kibana#/discover/Steve-Slow-Train-Analysis-(2080s-and-2083s)?_g=(refreshInterval:(display:Off,pause:!f,section:0,value:0),time:(from:'2017-06-14T04:09:48-0600',mode:absolute,to:'2017-06-14T06:51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5" s="197" t="str">
        <f>IF(AA25&lt;VLOOKUP(AG25,Variables!$AC$3:$AD$8,2,FALSE),"Y","N")</f>
        <v>N</v>
      </c>
      <c r="X25" s="197">
        <f t="shared" si="6"/>
        <v>1</v>
      </c>
      <c r="Y25" s="197">
        <f t="shared" si="7"/>
        <v>4.4600000000000001E-2</v>
      </c>
      <c r="Z25" s="197">
        <f t="shared" si="8"/>
        <v>23.330200000000001</v>
      </c>
      <c r="AA25" s="197">
        <f t="shared" si="9"/>
        <v>23.285600000000002</v>
      </c>
      <c r="AB25" s="54" t="e">
        <f>VLOOKUP(A25,Enforcements!$C$7:$K$13,8,0)</f>
        <v>#N/A</v>
      </c>
      <c r="AC25" s="51" t="e">
        <f>VLOOKUP(A25,Enforcements!$C$7:$E$13,3,0)</f>
        <v>#N/A</v>
      </c>
      <c r="AD25" s="206">
        <f t="shared" si="10"/>
        <v>113</v>
      </c>
      <c r="AE25" s="77" t="str">
        <f t="shared" si="11"/>
        <v>aws s3 cp s3://rtdc.mdm.uploadarchive.raw/RTDC4004/ "%USERPROFILE%\AppData\Local\Temp\OnboardLogs"\RTDC4004\2017-06-14 --exclude "*" --recursive --include "*20170614*" &amp; "%USERPROFILE%\Documents\GitHub\mrs-test-scripts\Headless Mode &amp; Sideloading\WalkAndUnGZ.bat" "%USERPROFILE%\AppData\Local\Temp\OnboardLogs"\RTDC4004\2017-06-14 &amp; aws s3 cp s3://rtdc.mdm.uploadarchive.raw/RTDC4004/ "%USERPROFILE%\AppData\Local\Temp\OnboardLogs"\RTDC4004\2017-06-15 --exclude "*" --recursive --include "*20170615*" &amp; "%USERPROFILE%\Documents\GitHub\mrs-test-scripts\Headless Mode &amp; Sideloading\WalkAndUnGZ.bat" "%USERPROFILE%\AppData\Local\Temp\OnboardLogs"\RTDC4004\2017-06-15</v>
      </c>
      <c r="AF25" s="74" t="str">
        <f t="shared" si="12"/>
        <v>"C:\Program Files (x86)\AstroGrep\AstroGrep.exe" /e /r /s /spath="%USERPROFILE%\AppData\Local\Temp\OnboardLogs" /stypes="app*4004*20170614*" /stext=" 11:.+((SYSTEM_STATE.+slice.+state.+changed )|(ment ac)|(multiple cpu faults)|(system.+state.+changed )|(\[timeout)|(PRM\|1\|D)|(kpr)|(kdp)|(train st.+moving)|(\|lc)|(penalty))"</v>
      </c>
      <c r="AG25" s="209" t="str">
        <f t="shared" si="17"/>
        <v>EC</v>
      </c>
      <c r="AH25" s="78" t="str">
        <f t="shared" si="13"/>
        <v>"%USERPROFILE%\Documents\GitHub\eaglep3\Utilities\RefineRTDCRunTimes.py" --tripid 113-14 --locoid 4004 --swversion DE.1.0.9.0 --startMP 204:446 --initTime 2017-06-14T05:09:48 --startdatetime 2017-06-14T05:15:19 --delay 1 --endMP 204:233302 --enddatetime 2017-06-14T05:51:02 --enforcementcount 2 &gt;&gt;C:\Users\stu\Documents\GitHub\eaglep3-reporting\EC\2017-06-14-refined-times.txt</v>
      </c>
      <c r="AI25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{"issue":{"subject":"","project_id":79,"tracker_id":40,"status_id":1,"priority_id":2,"assigned_to_id":23,"start_date":"2017-06-14","description":"","custom_fields":[{"id":1,"name":"Subdivision","value":"EC"},{"id":4,"name":"Milepost","value":"23.3302"},{"id":17,"name":"Train ID","value":"113-14"},{"id":16,"name":"Locomotive ID","value":"4004"},{"id":130,"name":"Impact","value":""},{"id":150,"name":"Time of Event (Mountain Time)","value":"05:51:02"},{"id":151,"name":"Denver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15"/>
        <v>start /low /b %USERPROFILE%\Documents\GitHub\eaglep3\Utilities\DownloadLogsFromS3.py --loco 4004 --day 2017-06-14</v>
      </c>
      <c r="AN25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11:51:02"},{"id":29,"name":"Sharepoint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72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609</v>
      </c>
      <c r="B26" s="7">
        <v>4003</v>
      </c>
      <c r="C26" s="21" t="s">
        <v>202</v>
      </c>
      <c r="D26" s="21" t="s">
        <v>851</v>
      </c>
      <c r="E26" s="13">
        <v>42900.255706018521</v>
      </c>
      <c r="F26" s="13">
        <v>42900.258726851855</v>
      </c>
      <c r="G26" s="7">
        <v>1</v>
      </c>
      <c r="H26" s="21" t="s">
        <v>396</v>
      </c>
      <c r="I26" s="13">
        <v>42900.284548611111</v>
      </c>
      <c r="J26" s="7">
        <v>2</v>
      </c>
      <c r="K26" s="89" t="str">
        <f t="shared" si="0"/>
        <v>4003/4004</v>
      </c>
      <c r="L26" s="21" t="str">
        <f>VLOOKUP(A26,'Trips&amp;Operators'!$C$1:$G$99999,5,FALSE)</f>
        <v>LOZA FIDEL</v>
      </c>
      <c r="M26" s="6">
        <f t="shared" si="1"/>
        <v>2.5821759256359655E-2</v>
      </c>
      <c r="N26" s="7">
        <f t="shared" si="2"/>
        <v>37.183333329157904</v>
      </c>
      <c r="O26" s="7"/>
      <c r="P26" s="7"/>
      <c r="Q26" s="22"/>
      <c r="R26" s="170"/>
      <c r="S26" s="215">
        <f t="shared" si="3"/>
        <v>1</v>
      </c>
      <c r="T26" s="195" t="str">
        <f t="shared" si="4"/>
        <v>Southbound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 t="shared" si="5"/>
        <v>https://d0f6bd738d7f1b3e5a7ca70fe4ff75f0.us-east-1.aws.found.io/app/kibana#/discover/Steve-Slow-Train-Analysis-(2080s-and-2083s)?_g=(refreshInterval:(display:Off,pause:!f,section:0,value:0),time:(from:'2017-06-14T05:08:13-0600',mode:absolute,to:'2017-06-14T07:49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6" s="197" t="str">
        <f>IF(AA26&lt;VLOOKUP(AG26,Variables!$AC$3:$AD$8,2,FALSE),"Y","N")</f>
        <v>N</v>
      </c>
      <c r="X26" s="197">
        <f t="shared" si="6"/>
        <v>1</v>
      </c>
      <c r="Y26" s="197">
        <f t="shared" si="7"/>
        <v>23.300599999999999</v>
      </c>
      <c r="Z26" s="197">
        <f t="shared" si="8"/>
        <v>1.54E-2</v>
      </c>
      <c r="AA26" s="197">
        <f t="shared" si="9"/>
        <v>23.2852</v>
      </c>
      <c r="AB26" s="54" t="e">
        <f>VLOOKUP(A26,Enforcements!$C$7:$K$13,8,0)</f>
        <v>#N/A</v>
      </c>
      <c r="AC26" s="51" t="e">
        <f>VLOOKUP(A26,Enforcements!$C$7:$E$13,3,0)</f>
        <v>#N/A</v>
      </c>
      <c r="AD26" s="206">
        <f t="shared" si="10"/>
        <v>114</v>
      </c>
      <c r="AE26" s="77" t="str">
        <f t="shared" si="11"/>
        <v>aws s3 cp s3://rtdc.mdm.uploadarchive.raw/RTDC4003/ "%USERPROFILE%\AppData\Local\Temp\OnboardLogs"\RTDC4003\2017-06-14 --exclude "*" --recursive --include "*20170614*" &amp; "%USERPROFILE%\Documents\GitHub\mrs-test-scripts\Headless Mode &amp; Sideloading\WalkAndUnGZ.bat" "%USERPROFILE%\AppData\Local\Temp\OnboardLogs"\RTDC4003\2017-06-14 &amp; aws s3 cp s3://rtdc.mdm.uploadarchive.raw/RTDC4003/ "%USERPROFILE%\AppData\Local\Temp\OnboardLogs"\RTDC4003\2017-06-15 --exclude "*" --recursive --include "*20170615*" &amp; "%USERPROFILE%\Documents\GitHub\mrs-test-scripts\Headless Mode &amp; Sideloading\WalkAndUnGZ.bat" "%USERPROFILE%\AppData\Local\Temp\OnboardLogs"\RTDC4003\2017-06-15</v>
      </c>
      <c r="AF26" s="74" t="str">
        <f t="shared" si="12"/>
        <v>"C:\Program Files (x86)\AstroGrep\AstroGrep.exe" /e /r /s /spath="%USERPROFILE%\AppData\Local\Temp\OnboardLogs" /stypes="app*4003*20170614*" /stext=" 12:.+((SYSTEM_STATE.+slice.+state.+changed )|(ment ac)|(multiple cpu faults)|(system.+state.+changed )|(\[timeout)|(PRM\|1\|D)|(kpr)|(kdp)|(train st.+moving)|(\|lc)|(penalty))"</v>
      </c>
      <c r="AG26" s="209" t="str">
        <f t="shared" si="17"/>
        <v>EC</v>
      </c>
      <c r="AH26" s="78" t="str">
        <f t="shared" si="13"/>
        <v>"%USERPROFILE%\Documents\GitHub\eaglep3\Utilities\RefineRTDCRunTimes.py" --tripid 114-14 --locoid 4003 --swversion DE.1.0.9.0 --startMP 204:233006 --initTime 2017-06-14T06:08:13 --startdatetime 2017-06-14T06:12:34 --delay 1 --endMP 204:154 --enddatetime 2017-06-14T06:49:45 --enforcementcount 2 &gt;&gt;C:\Users\stu\Documents\GitHub\eaglep3-reporting\EC\2017-06-14-refined-times.txt</v>
      </c>
      <c r="AI26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{"issue":{"subject":"","project_id":79,"tracker_id":40,"status_id":1,"priority_id":2,"assigned_to_id":23,"start_date":"2017-06-14","description":"","custom_fields":[{"id":1,"name":"Subdivision","value":"EC"},{"id":4,"name":"Milepost","value":"0.0154"},{"id":17,"name":"Train ID","value":"114-14"},{"id":16,"name":"Locomotive ID","value":"4003"},{"id":130,"name":"Impact","value":""},{"id":150,"name":"Time of Event (Mountain Time)","value":"06:49:45"},{"id":151,"name":"Denver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15"/>
        <v>start /low /b %USERPROFILE%\Documents\GitHub\eaglep3\Utilities\DownloadLogsFromS3.py --loco 4003 --day 2017-06-14</v>
      </c>
      <c r="AN26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12:49:45"},{"id":29,"name":"Sharepoint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72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673</v>
      </c>
      <c r="B27" s="7">
        <v>4044</v>
      </c>
      <c r="C27" s="21" t="s">
        <v>202</v>
      </c>
      <c r="D27" s="21" t="s">
        <v>485</v>
      </c>
      <c r="E27" s="13">
        <v>42900.225347222222</v>
      </c>
      <c r="F27" s="13">
        <v>42900.22960648148</v>
      </c>
      <c r="G27" s="7">
        <v>1</v>
      </c>
      <c r="H27" s="21" t="s">
        <v>438</v>
      </c>
      <c r="I27" s="13">
        <v>42900.254444444443</v>
      </c>
      <c r="J27" s="7">
        <v>2</v>
      </c>
      <c r="K27" s="89" t="str">
        <f t="shared" si="0"/>
        <v>4043/4044</v>
      </c>
      <c r="L27" s="21" t="str">
        <f>VLOOKUP(A27,'Trips&amp;Operators'!$C$1:$G$99999,5,FALSE)</f>
        <v>MAELZER KURT</v>
      </c>
      <c r="M27" s="6">
        <f t="shared" si="1"/>
        <v>2.4837962962919846E-2</v>
      </c>
      <c r="N27" s="7">
        <f t="shared" si="2"/>
        <v>35.766666666604578</v>
      </c>
      <c r="O27" s="7"/>
      <c r="P27" s="7"/>
      <c r="Q27" s="22"/>
      <c r="R27" s="170"/>
      <c r="S27" s="215">
        <f t="shared" si="3"/>
        <v>1</v>
      </c>
      <c r="T27" s="195" t="str">
        <f t="shared" si="4"/>
        <v>NorthBound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 t="shared" si="5"/>
        <v>https://d0f6bd738d7f1b3e5a7ca70fe4ff75f0.us-east-1.aws.found.io/app/kibana#/discover/Steve-Slow-Train-Analysis-(2080s-and-2083s)?_g=(refreshInterval:(display:Off,pause:!f,section:0,value:0),time:(from:'2017-06-14T04:24:30-0600',mode:absolute,to:'2017-06-14T07:06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7" s="197" t="str">
        <f>IF(AA27&lt;VLOOKUP(AG27,Variables!$AC$3:$AD$8,2,FALSE),"Y","N")</f>
        <v>N</v>
      </c>
      <c r="X27" s="197">
        <f t="shared" si="6"/>
        <v>1</v>
      </c>
      <c r="Y27" s="197">
        <f t="shared" si="7"/>
        <v>4.6899999999999997E-2</v>
      </c>
      <c r="Z27" s="197">
        <f t="shared" si="8"/>
        <v>23.329699999999999</v>
      </c>
      <c r="AA27" s="197">
        <f t="shared" si="9"/>
        <v>23.282799999999998</v>
      </c>
      <c r="AB27" s="54" t="e">
        <f>VLOOKUP(A27,Enforcements!$C$7:$K$13,8,0)</f>
        <v>#N/A</v>
      </c>
      <c r="AC27" s="51" t="e">
        <f>VLOOKUP(A27,Enforcements!$C$7:$E$13,3,0)</f>
        <v>#N/A</v>
      </c>
      <c r="AD27" s="206">
        <f t="shared" si="10"/>
        <v>115</v>
      </c>
      <c r="AE27" s="77" t="str">
        <f t="shared" si="11"/>
        <v>aws s3 cp s3://rtdc.mdm.uploadarchive.raw/RTDC4044/ "%USERPROFILE%\AppData\Local\Temp\OnboardLogs"\RTDC4044\2017-06-14 --exclude "*" --recursive --include "*20170614*" &amp; "%USERPROFILE%\Documents\GitHub\mrs-test-scripts\Headless Mode &amp; Sideloading\WalkAndUnGZ.bat" "%USERPROFILE%\AppData\Local\Temp\OnboardLogs"\RTDC4044\2017-06-14 &amp; aws s3 cp s3://rtdc.mdm.uploadarchive.raw/RTDC4044/ "%USERPROFILE%\AppData\Local\Temp\OnboardLogs"\RTDC4044\2017-06-15 --exclude "*" --recursive --include "*20170615*" &amp; "%USERPROFILE%\Documents\GitHub\mrs-test-scripts\Headless Mode &amp; Sideloading\WalkAndUnGZ.bat" "%USERPROFILE%\AppData\Local\Temp\OnboardLogs"\RTDC4044\2017-06-15</v>
      </c>
      <c r="AF27" s="74" t="str">
        <f t="shared" si="12"/>
        <v>"C:\Program Files (x86)\AstroGrep\AstroGrep.exe" /e /r /s /spath="%USERPROFILE%\AppData\Local\Temp\OnboardLogs" /stypes="app*4044*20170614*" /stext=" 12:.+((SYSTEM_STATE.+slice.+state.+changed )|(ment ac)|(multiple cpu faults)|(system.+state.+changed )|(\[timeout)|(PRM\|1\|D)|(kpr)|(kdp)|(train st.+moving)|(\|lc)|(penalty))"</v>
      </c>
      <c r="AG27" s="209" t="str">
        <f t="shared" si="17"/>
        <v>EC</v>
      </c>
      <c r="AH27" s="78" t="str">
        <f t="shared" si="13"/>
        <v>"%USERPROFILE%\Documents\GitHub\eaglep3\Utilities\RefineRTDCRunTimes.py" --tripid 115-14 --locoid 4044 --swversion DE.1.0.9.0 --startMP 204:469 --initTime 2017-06-14T05:24:30 --startdatetime 2017-06-14T05:30:38 --delay 1 --endMP 204:233297 --enddatetime 2017-06-14T06:06:24 --enforcementcount 2 &gt;&gt;C:\Users\stu\Documents\GitHub\eaglep3-reporting\EC\2017-06-14-refined-times.txt</v>
      </c>
      <c r="AI27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{"issue":{"subject":"","project_id":79,"tracker_id":40,"status_id":1,"priority_id":2,"assigned_to_id":23,"start_date":"2017-06-14","description":"","custom_fields":[{"id":1,"name":"Subdivision","value":"EC"},{"id":4,"name":"Milepost","value":"23.3297"},{"id":17,"name":"Train ID","value":"115-14"},{"id":16,"name":"Locomotive ID","value":"4044"},{"id":130,"name":"Impact","value":""},{"id":150,"name":"Time of Event (Mountain Time)","value":"06:06:24"},{"id":151,"name":"Denver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15"/>
        <v>start /low /b %USERPROFILE%\Documents\GitHub\eaglep3\Utilities\DownloadLogsFromS3.py --loco 4044 --day 2017-06-14</v>
      </c>
      <c r="AN27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12:06:24"},{"id":29,"name":"Sharepoint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72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683</v>
      </c>
      <c r="B28" s="7">
        <v>4043</v>
      </c>
      <c r="C28" s="21" t="s">
        <v>202</v>
      </c>
      <c r="D28" s="21" t="s">
        <v>852</v>
      </c>
      <c r="E28" s="13">
        <v>42900.261701388888</v>
      </c>
      <c r="F28" s="13">
        <v>42900.268969907411</v>
      </c>
      <c r="G28" s="7">
        <v>0</v>
      </c>
      <c r="H28" s="21" t="s">
        <v>359</v>
      </c>
      <c r="I28" s="13">
        <v>42900.295567129629</v>
      </c>
      <c r="J28" s="7">
        <v>2</v>
      </c>
      <c r="K28" s="89" t="str">
        <f t="shared" si="0"/>
        <v>4043/4044</v>
      </c>
      <c r="L28" s="21" t="str">
        <f>VLOOKUP(A28,'Trips&amp;Operators'!$C$1:$G$99999,5,FALSE)</f>
        <v>MAELZER KURT</v>
      </c>
      <c r="M28" s="6">
        <f t="shared" si="1"/>
        <v>2.6597222218697425E-2</v>
      </c>
      <c r="N28" s="7">
        <f t="shared" si="2"/>
        <v>38.299999994924292</v>
      </c>
      <c r="O28" s="7"/>
      <c r="P28" s="7"/>
      <c r="Q28" s="22"/>
      <c r="R28" s="170"/>
      <c r="S28" s="215">
        <f t="shared" si="3"/>
        <v>1</v>
      </c>
      <c r="T28" s="195" t="str">
        <f t="shared" si="4"/>
        <v>Southbound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 t="shared" si="5"/>
        <v>https://d0f6bd738d7f1b3e5a7ca70fe4ff75f0.us-east-1.aws.found.io/app/kibana#/discover/Steve-Slow-Train-Analysis-(2080s-and-2083s)?_g=(refreshInterval:(display:Off,pause:!f,section:0,value:0),time:(from:'2017-06-14T05:16:51-0600',mode:absolute,to:'2017-06-14T08:05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8" s="197" t="str">
        <f>IF(AA28&lt;VLOOKUP(AG28,Variables!$AC$3:$AD$8,2,FALSE),"Y","N")</f>
        <v>N</v>
      </c>
      <c r="X28" s="197">
        <f t="shared" si="6"/>
        <v>1</v>
      </c>
      <c r="Y28" s="197">
        <f t="shared" si="7"/>
        <v>23.298400000000001</v>
      </c>
      <c r="Z28" s="197">
        <f t="shared" si="8"/>
        <v>1.41E-2</v>
      </c>
      <c r="AA28" s="197">
        <f t="shared" si="9"/>
        <v>23.284300000000002</v>
      </c>
      <c r="AB28" s="54" t="e">
        <f>VLOOKUP(A28,Enforcements!$C$7:$K$13,8,0)</f>
        <v>#N/A</v>
      </c>
      <c r="AC28" s="51" t="e">
        <f>VLOOKUP(A28,Enforcements!$C$7:$E$13,3,0)</f>
        <v>#N/A</v>
      </c>
      <c r="AD28" s="206">
        <f t="shared" si="10"/>
        <v>116</v>
      </c>
      <c r="AE28" s="77" t="str">
        <f t="shared" si="11"/>
        <v>aws s3 cp s3://rtdc.mdm.uploadarchive.raw/RTDC4043/ "%USERPROFILE%\AppData\Local\Temp\OnboardLogs"\RTDC4043\2017-06-14 --exclude "*" --recursive --include "*20170614*" &amp; "%USERPROFILE%\Documents\GitHub\mrs-test-scripts\Headless Mode &amp; Sideloading\WalkAndUnGZ.bat" "%USERPROFILE%\AppData\Local\Temp\OnboardLogs"\RTDC4043\2017-06-14 &amp; aws s3 cp s3://rtdc.mdm.uploadarchive.raw/RTDC4043/ "%USERPROFILE%\AppData\Local\Temp\OnboardLogs"\RTDC4043\2017-06-15 --exclude "*" --recursive --include "*20170615*" &amp; "%USERPROFILE%\Documents\GitHub\mrs-test-scripts\Headless Mode &amp; Sideloading\WalkAndUnGZ.bat" "%USERPROFILE%\AppData\Local\Temp\OnboardLogs"\RTDC4043\2017-06-15</v>
      </c>
      <c r="AF28" s="74" t="str">
        <f t="shared" si="12"/>
        <v>"C:\Program Files (x86)\AstroGrep\AstroGrep.exe" /e /r /s /spath="%USERPROFILE%\AppData\Local\Temp\OnboardLogs" /stypes="app*4043*20170614*" /stext=" 13:.+((SYSTEM_STATE.+slice.+state.+changed )|(ment ac)|(multiple cpu faults)|(system.+state.+changed )|(\[timeout)|(PRM\|1\|D)|(kpr)|(kdp)|(train st.+moving)|(\|lc)|(penalty))"</v>
      </c>
      <c r="AG28" s="209" t="str">
        <f t="shared" si="17"/>
        <v>EC</v>
      </c>
      <c r="AH28" s="78" t="str">
        <f t="shared" si="13"/>
        <v>"%USERPROFILE%\Documents\GitHub\eaglep3\Utilities\RefineRTDCRunTimes.py" --tripid 116-14 --locoid 4043 --swversion DE.1.0.9.0 --startMP 204:232984 --initTime 2017-06-14T06:16:51 --startdatetime 2017-06-14T06:27:19 --delay 0 --endMP 204:141 --enddatetime 2017-06-14T07:05:37 --enforcementcount 2 &gt;&gt;C:\Users\stu\Documents\GitHub\eaglep3-reporting\EC\2017-06-14-refined-times.txt</v>
      </c>
      <c r="AI28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{"issue":{"subject":"","project_id":79,"tracker_id":40,"status_id":1,"priority_id":2,"assigned_to_id":23,"start_date":"2017-06-14","description":"","custom_fields":[{"id":1,"name":"Subdivision","value":"EC"},{"id":4,"name":"Milepost","value":"0.0141"},{"id":17,"name":"Train ID","value":"116-14"},{"id":16,"name":"Locomotive ID","value":"4043"},{"id":130,"name":"Impact","value":""},{"id":150,"name":"Time of Event (Mountain Time)","value":"07:05:37"},{"id":151,"name":"Denver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15"/>
        <v>start /low /b %USERPROFILE%\Documents\GitHub\eaglep3\Utilities\DownloadLogsFromS3.py --loco 4043 --day 2017-06-14</v>
      </c>
      <c r="AN28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13:05:37"},{"id":29,"name":"Sharepoint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72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675</v>
      </c>
      <c r="B29" s="7">
        <v>4008</v>
      </c>
      <c r="C29" s="21" t="s">
        <v>202</v>
      </c>
      <c r="D29" s="21" t="s">
        <v>853</v>
      </c>
      <c r="E29" s="13">
        <v>42900.235115740739</v>
      </c>
      <c r="F29" s="13">
        <v>42900.239849537036</v>
      </c>
      <c r="G29" s="7">
        <v>1</v>
      </c>
      <c r="H29" s="21" t="s">
        <v>561</v>
      </c>
      <c r="I29" s="13">
        <v>42900.265057870369</v>
      </c>
      <c r="J29" s="7">
        <v>2</v>
      </c>
      <c r="K29" s="89" t="str">
        <f t="shared" si="0"/>
        <v>4007/4008</v>
      </c>
      <c r="L29" s="21" t="str">
        <f>VLOOKUP(A29,'Trips&amp;Operators'!$C$1:$G$99999,5,FALSE)</f>
        <v>BEAM ROSS</v>
      </c>
      <c r="M29" s="6">
        <f t="shared" si="1"/>
        <v>2.5208333332557231E-2</v>
      </c>
      <c r="N29" s="7">
        <f t="shared" si="2"/>
        <v>36.299999998882413</v>
      </c>
      <c r="O29" s="7"/>
      <c r="P29" s="7"/>
      <c r="Q29" s="22"/>
      <c r="R29" s="170"/>
      <c r="S29" s="215">
        <f t="shared" si="3"/>
        <v>1</v>
      </c>
      <c r="T29" s="195" t="str">
        <f t="shared" si="4"/>
        <v>NorthBound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 t="shared" si="5"/>
        <v>https://d0f6bd738d7f1b3e5a7ca70fe4ff75f0.us-east-1.aws.found.io/app/kibana#/discover/Steve-Slow-Train-Analysis-(2080s-and-2083s)?_g=(refreshInterval:(display:Off,pause:!f,section:0,value:0),time:(from:'2017-06-14T04:38:34-0600',mode:absolute,to:'2017-06-14T07:21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9" s="197" t="str">
        <f>IF(AA29&lt;VLOOKUP(AG29,Variables!$AC$3:$AD$8,2,FALSE),"Y","N")</f>
        <v>N</v>
      </c>
      <c r="X29" s="197">
        <f t="shared" si="6"/>
        <v>1</v>
      </c>
      <c r="Y29" s="197">
        <f t="shared" si="7"/>
        <v>5.3900000000000003E-2</v>
      </c>
      <c r="Z29" s="197">
        <f t="shared" si="8"/>
        <v>23.331399999999999</v>
      </c>
      <c r="AA29" s="197">
        <f t="shared" si="9"/>
        <v>23.2775</v>
      </c>
      <c r="AB29" s="54" t="e">
        <f>VLOOKUP(A29,Enforcements!$C$7:$K$13,8,0)</f>
        <v>#N/A</v>
      </c>
      <c r="AC29" s="51" t="e">
        <f>VLOOKUP(A29,Enforcements!$C$7:$E$13,3,0)</f>
        <v>#N/A</v>
      </c>
      <c r="AD29" s="206">
        <f t="shared" si="10"/>
        <v>117</v>
      </c>
      <c r="AE29" s="77" t="str">
        <f t="shared" si="11"/>
        <v>aws s3 cp s3://rtdc.mdm.uploadarchive.raw/RTDC4008/ "%USERPROFILE%\AppData\Local\Temp\OnboardLogs"\RTDC4008\2017-06-14 --exclude "*" --recursive --include "*20170614*" &amp; "%USERPROFILE%\Documents\GitHub\mrs-test-scripts\Headless Mode &amp; Sideloading\WalkAndUnGZ.bat" "%USERPROFILE%\AppData\Local\Temp\OnboardLogs"\RTDC4008\2017-06-14 &amp; aws s3 cp s3://rtdc.mdm.uploadarchive.raw/RTDC4008/ "%USERPROFILE%\AppData\Local\Temp\OnboardLogs"\RTDC4008\2017-06-15 --exclude "*" --recursive --include "*20170615*" &amp; "%USERPROFILE%\Documents\GitHub\mrs-test-scripts\Headless Mode &amp; Sideloading\WalkAndUnGZ.bat" "%USERPROFILE%\AppData\Local\Temp\OnboardLogs"\RTDC4008\2017-06-15</v>
      </c>
      <c r="AF29" s="74" t="str">
        <f t="shared" si="12"/>
        <v>"C:\Program Files (x86)\AstroGrep\AstroGrep.exe" /e /r /s /spath="%USERPROFILE%\AppData\Local\Temp\OnboardLogs" /stypes="app*4008*20170614*" /stext=" 12:.+((SYSTEM_STATE.+slice.+state.+changed )|(ment ac)|(multiple cpu faults)|(system.+state.+changed )|(\[timeout)|(PRM\|1\|D)|(kpr)|(kdp)|(train st.+moving)|(\|lc)|(penalty))"</v>
      </c>
      <c r="AG29" s="209" t="str">
        <f t="shared" si="17"/>
        <v>EC</v>
      </c>
      <c r="AH29" s="78" t="str">
        <f t="shared" si="13"/>
        <v>"%USERPROFILE%\Documents\GitHub\eaglep3\Utilities\RefineRTDCRunTimes.py" --tripid 117-14 --locoid 4008 --swversion DE.1.0.9.0 --startMP 204:539 --initTime 2017-06-14T05:38:34 --startdatetime 2017-06-14T05:45:23 --delay 1 --endMP 204:233314 --enddatetime 2017-06-14T06:21:41 --enforcementcount 2 &gt;&gt;C:\Users\stu\Documents\GitHub\eaglep3-reporting\EC\2017-06-14-refined-times.txt</v>
      </c>
      <c r="AI29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{"issue":{"subject":"","project_id":79,"tracker_id":40,"status_id":1,"priority_id":2,"assigned_to_id":23,"start_date":"2017-06-14","description":"","custom_fields":[{"id":1,"name":"Subdivision","value":"EC"},{"id":4,"name":"Milepost","value":"23.3314"},{"id":17,"name":"Train ID","value":"117-14"},{"id":16,"name":"Locomotive ID","value":"4008"},{"id":130,"name":"Impact","value":""},{"id":150,"name":"Time of Event (Mountain Time)","value":"06:21:41"},{"id":151,"name":"Denver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15"/>
        <v>start /low /b %USERPROFILE%\Documents\GitHub\eaglep3\Utilities\DownloadLogsFromS3.py --loco 4008 --day 2017-06-14</v>
      </c>
      <c r="AN29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12:21:41"},{"id":29,"name":"Sharepoint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72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684</v>
      </c>
      <c r="B30" s="7">
        <v>4007</v>
      </c>
      <c r="C30" s="21" t="s">
        <v>202</v>
      </c>
      <c r="D30" s="21" t="s">
        <v>575</v>
      </c>
      <c r="E30" s="13">
        <v>42900.268958333334</v>
      </c>
      <c r="F30" s="13">
        <v>42900.279351851852</v>
      </c>
      <c r="G30" s="7">
        <v>1</v>
      </c>
      <c r="H30" s="21" t="s">
        <v>193</v>
      </c>
      <c r="I30" s="13">
        <v>42900.305659722224</v>
      </c>
      <c r="J30" s="7">
        <v>2</v>
      </c>
      <c r="K30" s="89" t="str">
        <f t="shared" si="0"/>
        <v>4007/4008</v>
      </c>
      <c r="L30" s="21" t="str">
        <f>VLOOKUP(A30,'Trips&amp;Operators'!$C$1:$G$99999,5,FALSE)</f>
        <v>BEAM ROSS</v>
      </c>
      <c r="M30" s="6">
        <f t="shared" si="1"/>
        <v>2.6307870371965691E-2</v>
      </c>
      <c r="N30" s="7">
        <f t="shared" si="2"/>
        <v>37.883333335630596</v>
      </c>
      <c r="O30" s="7"/>
      <c r="P30" s="7"/>
      <c r="Q30" s="22"/>
      <c r="R30" s="170"/>
      <c r="S30" s="215">
        <f t="shared" si="3"/>
        <v>1</v>
      </c>
      <c r="T30" s="195" t="str">
        <f t="shared" si="4"/>
        <v>Southbound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 t="shared" si="5"/>
        <v>https://d0f6bd738d7f1b3e5a7ca70fe4ff75f0.us-east-1.aws.found.io/app/kibana#/discover/Steve-Slow-Train-Analysis-(2080s-and-2083s)?_g=(refreshInterval:(display:Off,pause:!f,section:0,value:0),time:(from:'2017-06-14T05:27:18-0600',mode:absolute,to:'2017-06-14T08:20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0" s="197" t="str">
        <f>IF(AA30&lt;VLOOKUP(AG30,Variables!$AC$3:$AD$8,2,FALSE),"Y","N")</f>
        <v>N</v>
      </c>
      <c r="X30" s="197">
        <f t="shared" si="6"/>
        <v>1</v>
      </c>
      <c r="Y30" s="197">
        <f t="shared" si="7"/>
        <v>23.3004</v>
      </c>
      <c r="Z30" s="197">
        <f t="shared" si="8"/>
        <v>1.52E-2</v>
      </c>
      <c r="AA30" s="197">
        <f t="shared" si="9"/>
        <v>23.2852</v>
      </c>
      <c r="AB30" s="54" t="e">
        <f>VLOOKUP(A30,Enforcements!$C$7:$K$13,8,0)</f>
        <v>#N/A</v>
      </c>
      <c r="AC30" s="51" t="e">
        <f>VLOOKUP(A30,Enforcements!$C$7:$E$13,3,0)</f>
        <v>#N/A</v>
      </c>
      <c r="AD30" s="206">
        <f t="shared" si="10"/>
        <v>118</v>
      </c>
      <c r="AE30" s="77" t="str">
        <f t="shared" si="11"/>
        <v>aws s3 cp s3://rtdc.mdm.uploadarchive.raw/RTDC4007/ "%USERPROFILE%\AppData\Local\Temp\OnboardLogs"\RTDC4007\2017-06-14 --exclude "*" --recursive --include "*20170614*" &amp; "%USERPROFILE%\Documents\GitHub\mrs-test-scripts\Headless Mode &amp; Sideloading\WalkAndUnGZ.bat" "%USERPROFILE%\AppData\Local\Temp\OnboardLogs"\RTDC4007\2017-06-14 &amp; aws s3 cp s3://rtdc.mdm.uploadarchive.raw/RTDC4007/ "%USERPROFILE%\AppData\Local\Temp\OnboardLogs"\RTDC4007\2017-06-15 --exclude "*" --recursive --include "*20170615*" &amp; "%USERPROFILE%\Documents\GitHub\mrs-test-scripts\Headless Mode &amp; Sideloading\WalkAndUnGZ.bat" "%USERPROFILE%\AppData\Local\Temp\OnboardLogs"\RTDC4007\2017-06-15</v>
      </c>
      <c r="AF30" s="74" t="str">
        <f t="shared" si="12"/>
        <v>"C:\Program Files (x86)\AstroGrep\AstroGrep.exe" /e /r /s /spath="%USERPROFILE%\AppData\Local\Temp\OnboardLogs" /stypes="app*4007*20170614*" /stext=" 13:.+((SYSTEM_STATE.+slice.+state.+changed )|(ment ac)|(multiple cpu faults)|(system.+state.+changed )|(\[timeout)|(PRM\|1\|D)|(kpr)|(kdp)|(train st.+moving)|(\|lc)|(penalty))"</v>
      </c>
      <c r="AG30" s="209" t="str">
        <f t="shared" si="17"/>
        <v>EC</v>
      </c>
      <c r="AH30" s="78" t="str">
        <f t="shared" si="13"/>
        <v>"%USERPROFILE%\Documents\GitHub\eaglep3\Utilities\RefineRTDCRunTimes.py" --tripid 118-14 --locoid 4007 --swversion DE.1.0.9.0 --startMP 204:233004 --initTime 2017-06-14T06:27:18 --startdatetime 2017-06-14T06:42:16 --delay 1 --endMP 204:152 --enddatetime 2017-06-14T07:20:09 --enforcementcount 2 &gt;&gt;C:\Users\stu\Documents\GitHub\eaglep3-reporting\EC\2017-06-14-refined-times.txt</v>
      </c>
      <c r="AI30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{"issue":{"subject":"","project_id":79,"tracker_id":40,"status_id":1,"priority_id":2,"assigned_to_id":23,"start_date":"2017-06-14","description":"","custom_fields":[{"id":1,"name":"Subdivision","value":"EC"},{"id":4,"name":"Milepost","value":"0.0152"},{"id":17,"name":"Train ID","value":"118-14"},{"id":16,"name":"Locomotive ID","value":"4007"},{"id":130,"name":"Impact","value":""},{"id":150,"name":"Time of Event (Mountain Time)","value":"07:20:09"},{"id":151,"name":"Denver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15"/>
        <v>start /low /b %USERPROFILE%\Documents\GitHub\eaglep3\Utilities\DownloadLogsFromS3.py --loco 4007 --day 2017-06-14</v>
      </c>
      <c r="AN30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13:20:09"},{"id":29,"name":"Sharepoint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72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680</v>
      </c>
      <c r="B31" s="7">
        <v>4016</v>
      </c>
      <c r="C31" s="21" t="s">
        <v>202</v>
      </c>
      <c r="D31" s="21" t="s">
        <v>854</v>
      </c>
      <c r="E31" s="13">
        <v>42900.248379629629</v>
      </c>
      <c r="F31" s="13">
        <v>42900.250324074077</v>
      </c>
      <c r="G31" s="7">
        <v>1</v>
      </c>
      <c r="H31" s="21" t="s">
        <v>449</v>
      </c>
      <c r="I31" s="13">
        <v>42900.275069444448</v>
      </c>
      <c r="J31" s="7">
        <v>2</v>
      </c>
      <c r="K31" s="89" t="str">
        <f t="shared" si="0"/>
        <v>4015/4016</v>
      </c>
      <c r="L31" s="21" t="str">
        <f>VLOOKUP(A31,'Trips&amp;Operators'!$C$1:$G$99999,5,FALSE)</f>
        <v>STARKS ANGELINA</v>
      </c>
      <c r="M31" s="6">
        <f t="shared" si="1"/>
        <v>2.47453703705105E-2</v>
      </c>
      <c r="N31" s="7">
        <f t="shared" si="2"/>
        <v>35.63333333353512</v>
      </c>
      <c r="O31" s="7"/>
      <c r="P31" s="7"/>
      <c r="Q31" s="22"/>
      <c r="R31" s="170"/>
      <c r="S31" s="215">
        <f t="shared" si="3"/>
        <v>1</v>
      </c>
      <c r="T31" s="195" t="str">
        <f t="shared" si="4"/>
        <v>NorthBound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 t="shared" si="5"/>
        <v>https://d0f6bd738d7f1b3e5a7ca70fe4ff75f0.us-east-1.aws.found.io/app/kibana#/discover/Steve-Slow-Train-Analysis-(2080s-and-2083s)?_g=(refreshInterval:(display:Off,pause:!f,section:0,value:0),time:(from:'2017-06-14T04:57:40-0600',mode:absolute,to:'2017-06-14T07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1" s="197" t="str">
        <f>IF(AA31&lt;VLOOKUP(AG31,Variables!$AC$3:$AD$8,2,FALSE),"Y","N")</f>
        <v>N</v>
      </c>
      <c r="X31" s="197">
        <f t="shared" si="6"/>
        <v>1</v>
      </c>
      <c r="Y31" s="197">
        <f t="shared" si="7"/>
        <v>4.7500000000000001E-2</v>
      </c>
      <c r="Z31" s="197">
        <f t="shared" si="8"/>
        <v>23.3307</v>
      </c>
      <c r="AA31" s="197">
        <f t="shared" si="9"/>
        <v>23.283200000000001</v>
      </c>
      <c r="AB31" s="54" t="e">
        <f>VLOOKUP(A31,Enforcements!$C$7:$K$13,8,0)</f>
        <v>#N/A</v>
      </c>
      <c r="AC31" s="51" t="e">
        <f>VLOOKUP(A31,Enforcements!$C$7:$E$13,3,0)</f>
        <v>#N/A</v>
      </c>
      <c r="AD31" s="206">
        <f t="shared" si="10"/>
        <v>119</v>
      </c>
      <c r="AE31" s="77" t="str">
        <f t="shared" si="11"/>
        <v>aws s3 cp s3://rtdc.mdm.uploadarchive.raw/RTDC4016/ "%USERPROFILE%\AppData\Local\Temp\OnboardLogs"\RTDC4016\2017-06-14 --exclude "*" --recursive --include "*20170614*" &amp; "%USERPROFILE%\Documents\GitHub\mrs-test-scripts\Headless Mode &amp; Sideloading\WalkAndUnGZ.bat" "%USERPROFILE%\AppData\Local\Temp\OnboardLogs"\RTDC4016\2017-06-14 &amp; aws s3 cp s3://rtdc.mdm.uploadarchive.raw/RTDC4016/ "%USERPROFILE%\AppData\Local\Temp\OnboardLogs"\RTDC4016\2017-06-15 --exclude "*" --recursive --include "*20170615*" &amp; "%USERPROFILE%\Documents\GitHub\mrs-test-scripts\Headless Mode &amp; Sideloading\WalkAndUnGZ.bat" "%USERPROFILE%\AppData\Local\Temp\OnboardLogs"\RTDC4016\2017-06-15</v>
      </c>
      <c r="AF31" s="74" t="str">
        <f t="shared" si="12"/>
        <v>"C:\Program Files (x86)\AstroGrep\AstroGrep.exe" /e /r /s /spath="%USERPROFILE%\AppData\Local\Temp\OnboardLogs" /stypes="app*4016*20170614*" /stext=" 12:.+((SYSTEM_STATE.+slice.+state.+changed )|(ment ac)|(multiple cpu faults)|(system.+state.+changed )|(\[timeout)|(PRM\|1\|D)|(kpr)|(kdp)|(train st.+moving)|(\|lc)|(penalty))"</v>
      </c>
      <c r="AG31" s="209" t="str">
        <f t="shared" si="17"/>
        <v>EC</v>
      </c>
      <c r="AH31" s="78" t="str">
        <f t="shared" si="13"/>
        <v>"%USERPROFILE%\Documents\GitHub\eaglep3\Utilities\RefineRTDCRunTimes.py" --tripid 119-14 --locoid 4016 --swversion DE.1.0.9.0 --startMP 204:475 --initTime 2017-06-14T05:57:40 --startdatetime 2017-06-14T06:00:28 --delay 1 --endMP 204:233307 --enddatetime 2017-06-14T06:36:06 --enforcementcount 2 &gt;&gt;C:\Users\stu\Documents\GitHub\eaglep3-reporting\EC\2017-06-14-refined-times.txt</v>
      </c>
      <c r="AI31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{"issue":{"subject":"","project_id":79,"tracker_id":40,"status_id":1,"priority_id":2,"assigned_to_id":23,"start_date":"2017-06-14","description":"","custom_fields":[{"id":1,"name":"Subdivision","value":"EC"},{"id":4,"name":"Milepost","value":"23.3307"},{"id":17,"name":"Train ID","value":"119-14"},{"id":16,"name":"Locomotive ID","value":"4016"},{"id":130,"name":"Impact","value":""},{"id":150,"name":"Time of Event (Mountain Time)","value":"06:36:06"},{"id":151,"name":"Denver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15"/>
        <v>start /low /b %USERPROFILE%\Documents\GitHub\eaglep3\Utilities\DownloadLogsFromS3.py --loco 4016 --day 2017-06-14</v>
      </c>
      <c r="AN31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12:36:06"},{"id":29,"name":"Sharepoint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72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689</v>
      </c>
      <c r="B32" s="7">
        <v>4015</v>
      </c>
      <c r="C32" s="21" t="s">
        <v>202</v>
      </c>
      <c r="D32" s="21" t="s">
        <v>855</v>
      </c>
      <c r="E32" s="13">
        <v>42900.286817129629</v>
      </c>
      <c r="F32" s="13">
        <v>42900.289826388886</v>
      </c>
      <c r="G32" s="7">
        <v>1</v>
      </c>
      <c r="H32" s="21" t="s">
        <v>351</v>
      </c>
      <c r="I32" s="13">
        <v>42900.316747685189</v>
      </c>
      <c r="J32" s="7">
        <v>2</v>
      </c>
      <c r="K32" s="89" t="str">
        <f t="shared" si="0"/>
        <v>4015/4016</v>
      </c>
      <c r="L32" s="21" t="str">
        <f>VLOOKUP(A32,'Trips&amp;Operators'!$C$1:$G$99999,5,FALSE)</f>
        <v>STARKS ANGELINA</v>
      </c>
      <c r="M32" s="6">
        <f t="shared" si="1"/>
        <v>2.6921296303044073E-2</v>
      </c>
      <c r="N32" s="7">
        <f t="shared" si="2"/>
        <v>38.766666676383466</v>
      </c>
      <c r="O32" s="7"/>
      <c r="P32" s="7"/>
      <c r="Q32" s="22"/>
      <c r="R32" s="170"/>
      <c r="S32" s="215">
        <f t="shared" si="3"/>
        <v>1</v>
      </c>
      <c r="T32" s="195" t="str">
        <f t="shared" si="4"/>
        <v>Southbound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 t="shared" si="5"/>
        <v>https://d0f6bd738d7f1b3e5a7ca70fe4ff75f0.us-east-1.aws.found.io/app/kibana#/discover/Steve-Slow-Train-Analysis-(2080s-and-2083s)?_g=(refreshInterval:(display:Off,pause:!f,section:0,value:0),time:(from:'2017-06-14T05:53:01-0600',mode:absolute,to:'2017-06-14T08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2" s="197" t="str">
        <f>IF(AA32&lt;VLOOKUP(AG32,Variables!$AC$3:$AD$8,2,FALSE),"Y","N")</f>
        <v>N</v>
      </c>
      <c r="X32" s="197">
        <f t="shared" si="6"/>
        <v>1</v>
      </c>
      <c r="Y32" s="197">
        <f t="shared" si="7"/>
        <v>23.2973</v>
      </c>
      <c r="Z32" s="197">
        <f t="shared" si="8"/>
        <v>1.43E-2</v>
      </c>
      <c r="AA32" s="197">
        <f t="shared" si="9"/>
        <v>23.283000000000001</v>
      </c>
      <c r="AB32" s="54" t="e">
        <f>VLOOKUP(A32,Enforcements!$C$7:$K$13,8,0)</f>
        <v>#N/A</v>
      </c>
      <c r="AC32" s="51" t="e">
        <f>VLOOKUP(A32,Enforcements!$C$7:$E$13,3,0)</f>
        <v>#N/A</v>
      </c>
      <c r="AD32" s="206">
        <f t="shared" si="10"/>
        <v>120</v>
      </c>
      <c r="AE32" s="77" t="str">
        <f t="shared" si="11"/>
        <v>aws s3 cp s3://rtdc.mdm.uploadarchive.raw/RTDC4015/ "%USERPROFILE%\AppData\Local\Temp\OnboardLogs"\RTDC4015\2017-06-14 --exclude "*" --recursive --include "*20170614*" &amp; "%USERPROFILE%\Documents\GitHub\mrs-test-scripts\Headless Mode &amp; Sideloading\WalkAndUnGZ.bat" "%USERPROFILE%\AppData\Local\Temp\OnboardLogs"\RTDC4015\2017-06-14 &amp; aws s3 cp s3://rtdc.mdm.uploadarchive.raw/RTDC4015/ "%USERPROFILE%\AppData\Local\Temp\OnboardLogs"\RTDC4015\2017-06-15 --exclude "*" --recursive --include "*20170615*" &amp; "%USERPROFILE%\Documents\GitHub\mrs-test-scripts\Headless Mode &amp; Sideloading\WalkAndUnGZ.bat" "%USERPROFILE%\AppData\Local\Temp\OnboardLogs"\RTDC4015\2017-06-15</v>
      </c>
      <c r="AF32" s="74" t="str">
        <f t="shared" si="12"/>
        <v>"C:\Program Files (x86)\AstroGrep\AstroGrep.exe" /e /r /s /spath="%USERPROFILE%\AppData\Local\Temp\OnboardLogs" /stypes="app*4015*20170614*" /stext=" 13:.+((SYSTEM_STATE.+slice.+state.+changed )|(ment ac)|(multiple cpu faults)|(system.+state.+changed )|(\[timeout)|(PRM\|1\|D)|(kpr)|(kdp)|(train st.+moving)|(\|lc)|(penalty))"</v>
      </c>
      <c r="AG32" s="209" t="str">
        <f t="shared" si="17"/>
        <v>EC</v>
      </c>
      <c r="AH32" s="78" t="str">
        <f t="shared" si="13"/>
        <v>"%USERPROFILE%\Documents\GitHub\eaglep3\Utilities\RefineRTDCRunTimes.py" --tripid 120-14 --locoid 4015 --swversion DE.1.0.9.0 --startMP 204:232973 --initTime 2017-06-14T06:53:01 --startdatetime 2017-06-14T06:57:21 --delay 1 --endMP 204:143 --enddatetime 2017-06-14T07:36:07 --enforcementcount 2 &gt;&gt;C:\Users\stu\Documents\GitHub\eaglep3-reporting\EC\2017-06-14-refined-times.txt</v>
      </c>
      <c r="AI32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{"issue":{"subject":"","project_id":79,"tracker_id":40,"status_id":1,"priority_id":2,"assigned_to_id":23,"start_date":"2017-06-14","description":"","custom_fields":[{"id":1,"name":"Subdivision","value":"EC"},{"id":4,"name":"Milepost","value":"0.0143"},{"id":17,"name":"Train ID","value":"120-14"},{"id":16,"name":"Locomotive ID","value":"4015"},{"id":130,"name":"Impact","value":""},{"id":150,"name":"Time of Event (Mountain Time)","value":"07:36:07"},{"id":151,"name":"Denver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15"/>
        <v>start /low /b %USERPROFILE%\Documents\GitHub\eaglep3\Utilities\DownloadLogsFromS3.py --loco 4015 --day 2017-06-14</v>
      </c>
      <c r="AN32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13:36:07"},{"id":29,"name":"Sharepoint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7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682</v>
      </c>
      <c r="B33" s="7">
        <v>4056</v>
      </c>
      <c r="C33" s="21" t="s">
        <v>202</v>
      </c>
      <c r="D33" s="21" t="s">
        <v>856</v>
      </c>
      <c r="E33" s="13">
        <v>42900.25953703704</v>
      </c>
      <c r="F33" s="13">
        <v>42900.260972222219</v>
      </c>
      <c r="G33" s="7">
        <v>1</v>
      </c>
      <c r="H33" s="21" t="s">
        <v>516</v>
      </c>
      <c r="I33" s="13">
        <v>42900.285902777781</v>
      </c>
      <c r="J33" s="7">
        <v>2</v>
      </c>
      <c r="K33" s="89" t="str">
        <f t="shared" si="0"/>
        <v>4055/4056</v>
      </c>
      <c r="L33" s="21" t="str">
        <f>VLOOKUP(A33,'Trips&amp;Operators'!$C$1:$G$99999,5,FALSE)</f>
        <v>HELVIE ADAM</v>
      </c>
      <c r="M33" s="6">
        <f t="shared" si="1"/>
        <v>2.493055556260515E-2</v>
      </c>
      <c r="N33" s="7">
        <f t="shared" si="2"/>
        <v>35.900000010151416</v>
      </c>
      <c r="O33" s="7"/>
      <c r="P33" s="7"/>
      <c r="Q33" s="22"/>
      <c r="R33" s="170"/>
      <c r="S33" s="215">
        <f t="shared" si="3"/>
        <v>1</v>
      </c>
      <c r="T33" s="195" t="str">
        <f t="shared" si="4"/>
        <v>NorthBound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 t="shared" si="5"/>
        <v>https://d0f6bd738d7f1b3e5a7ca70fe4ff75f0.us-east-1.aws.found.io/app/kibana#/discover/Steve-Slow-Train-Analysis-(2080s-and-2083s)?_g=(refreshInterval:(display:Off,pause:!f,section:0,value:0),time:(from:'2017-06-14T05:13:44-0600',mode:absolute,to:'2017-06-14T07:51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33" s="197" t="str">
        <f>IF(AA33&lt;VLOOKUP(AG33,Variables!$AC$3:$AD$8,2,FALSE),"Y","N")</f>
        <v>N</v>
      </c>
      <c r="X33" s="197">
        <f t="shared" si="6"/>
        <v>1</v>
      </c>
      <c r="Y33" s="197">
        <f t="shared" si="7"/>
        <v>4.7800000000000002E-2</v>
      </c>
      <c r="Z33" s="197">
        <f t="shared" si="8"/>
        <v>23.331</v>
      </c>
      <c r="AA33" s="197">
        <f t="shared" si="9"/>
        <v>23.283200000000001</v>
      </c>
      <c r="AB33" s="54" t="e">
        <f>VLOOKUP(A33,Enforcements!$C$7:$K$13,8,0)</f>
        <v>#N/A</v>
      </c>
      <c r="AC33" s="51" t="e">
        <f>VLOOKUP(A33,Enforcements!$C$7:$E$13,3,0)</f>
        <v>#N/A</v>
      </c>
      <c r="AD33" s="206">
        <f t="shared" si="10"/>
        <v>121</v>
      </c>
      <c r="AE33" s="77" t="str">
        <f t="shared" si="11"/>
        <v>aws s3 cp s3://rtdc.mdm.uploadarchive.raw/RTDC4056/ "%USERPROFILE%\AppData\Local\Temp\OnboardLogs"\RTDC4056\2017-06-14 --exclude "*" --recursive --include "*20170614*" &amp; "%USERPROFILE%\Documents\GitHub\mrs-test-scripts\Headless Mode &amp; Sideloading\WalkAndUnGZ.bat" "%USERPROFILE%\AppData\Local\Temp\OnboardLogs"\RTDC4056\2017-06-14 &amp; aws s3 cp s3://rtdc.mdm.uploadarchive.raw/RTDC4056/ "%USERPROFILE%\AppData\Local\Temp\OnboardLogs"\RTDC4056\2017-06-15 --exclude "*" --recursive --include "*20170615*" &amp; "%USERPROFILE%\Documents\GitHub\mrs-test-scripts\Headless Mode &amp; Sideloading\WalkAndUnGZ.bat" "%USERPROFILE%\AppData\Local\Temp\OnboardLogs"\RTDC4056\2017-06-15</v>
      </c>
      <c r="AF33" s="74" t="str">
        <f t="shared" si="12"/>
        <v>"C:\Program Files (x86)\AstroGrep\AstroGrep.exe" /e /r /s /spath="%USERPROFILE%\AppData\Local\Temp\OnboardLogs" /stypes="app*4056*20170614*" /stext=" 12:.+((SYSTEM_STATE.+slice.+state.+changed )|(ment ac)|(multiple cpu faults)|(system.+state.+changed )|(\[timeout)|(PRM\|1\|D)|(kpr)|(kdp)|(train st.+moving)|(\|lc)|(penalty))"</v>
      </c>
      <c r="AG33" s="209" t="str">
        <f t="shared" si="17"/>
        <v>EC</v>
      </c>
      <c r="AH33" s="78" t="str">
        <f t="shared" si="13"/>
        <v>"%USERPROFILE%\Documents\GitHub\eaglep3\Utilities\RefineRTDCRunTimes.py" --tripid 121-14 --locoid 4056 --swversion DE.1.0.9.0 --startMP 204:478 --initTime 2017-06-14T06:13:44 --startdatetime 2017-06-14T06:15:48 --delay 1 --endMP 204:233310 --enddatetime 2017-06-14T06:51:42 --enforcementcount 2 &gt;&gt;C:\Users\stu\Documents\GitHub\eaglep3-reporting\EC\2017-06-14-refined-times.txt</v>
      </c>
      <c r="AI33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{"issue":{"subject":"","project_id":79,"tracker_id":40,"status_id":1,"priority_id":2,"assigned_to_id":23,"start_date":"2017-06-14","description":"","custom_fields":[{"id":1,"name":"Subdivision","value":"EC"},{"id":4,"name":"Milepost","value":"23.331"},{"id":17,"name":"Train ID","value":"121-14"},{"id":16,"name":"Locomotive ID","value":"4056"},{"id":130,"name":"Impact","value":""},{"id":150,"name":"Time of Event (Mountain Time)","value":"06:51:42"},{"id":151,"name":"Denver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15"/>
        <v>start /low /b %USERPROFILE%\Documents\GitHub\eaglep3\Utilities\DownloadLogsFromS3.py --loco 4056 --day 2017-06-14</v>
      </c>
      <c r="AN33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12:51:42"},{"id":29,"name":"Sharepoint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72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690</v>
      </c>
      <c r="B34" s="7">
        <v>4055</v>
      </c>
      <c r="C34" s="21" t="s">
        <v>202</v>
      </c>
      <c r="D34" s="21" t="s">
        <v>420</v>
      </c>
      <c r="E34" s="13">
        <v>42900.298078703701</v>
      </c>
      <c r="F34" s="13">
        <v>42900.300393518519</v>
      </c>
      <c r="G34" s="7">
        <v>1</v>
      </c>
      <c r="H34" s="21" t="s">
        <v>569</v>
      </c>
      <c r="I34" s="13">
        <v>42900.32707175926</v>
      </c>
      <c r="J34" s="7">
        <v>2</v>
      </c>
      <c r="K34" s="89" t="str">
        <f t="shared" si="0"/>
        <v>4055/4056</v>
      </c>
      <c r="L34" s="21" t="str">
        <f>VLOOKUP(A34,'Trips&amp;Operators'!$C$1:$G$99999,5,FALSE)</f>
        <v>HELVIE ADAM</v>
      </c>
      <c r="M34" s="6">
        <f t="shared" si="1"/>
        <v>2.6678240741603076E-2</v>
      </c>
      <c r="N34" s="7">
        <f t="shared" si="2"/>
        <v>38.41666666790843</v>
      </c>
      <c r="O34" s="7"/>
      <c r="P34" s="7"/>
      <c r="Q34" s="22"/>
      <c r="R34" s="170"/>
      <c r="S34" s="215">
        <f t="shared" si="3"/>
        <v>1</v>
      </c>
      <c r="T34" s="195" t="str">
        <f t="shared" si="4"/>
        <v>Southbound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 t="shared" si="5"/>
        <v>https://d0f6bd738d7f1b3e5a7ca70fe4ff75f0.us-east-1.aws.found.io/app/kibana#/discover/Steve-Slow-Train-Analysis-(2080s-and-2083s)?_g=(refreshInterval:(display:Off,pause:!f,section:0,value:0),time:(from:'2017-06-14T06:09:14-0600',mode:absolute,to:'2017-06-14T08:50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34" s="197" t="str">
        <f>IF(AA34&lt;VLOOKUP(AG34,Variables!$AC$3:$AD$8,2,FALSE),"Y","N")</f>
        <v>N</v>
      </c>
      <c r="X34" s="197">
        <f t="shared" si="6"/>
        <v>1</v>
      </c>
      <c r="Y34" s="197">
        <f t="shared" si="7"/>
        <v>23.297699999999999</v>
      </c>
      <c r="Z34" s="197">
        <f t="shared" si="8"/>
        <v>1.6299999999999999E-2</v>
      </c>
      <c r="AA34" s="197">
        <f t="shared" si="9"/>
        <v>23.281399999999998</v>
      </c>
      <c r="AB34" s="54" t="e">
        <f>VLOOKUP(A34,Enforcements!$C$7:$K$13,8,0)</f>
        <v>#N/A</v>
      </c>
      <c r="AC34" s="51" t="e">
        <f>VLOOKUP(A34,Enforcements!$C$7:$E$13,3,0)</f>
        <v>#N/A</v>
      </c>
      <c r="AD34" s="206">
        <f t="shared" si="10"/>
        <v>122</v>
      </c>
      <c r="AE34" s="77" t="str">
        <f t="shared" si="11"/>
        <v>aws s3 cp s3://rtdc.mdm.uploadarchive.raw/RTDC4055/ "%USERPROFILE%\AppData\Local\Temp\OnboardLogs"\RTDC4055\2017-06-14 --exclude "*" --recursive --include "*20170614*" &amp; "%USERPROFILE%\Documents\GitHub\mrs-test-scripts\Headless Mode &amp; Sideloading\WalkAndUnGZ.bat" "%USERPROFILE%\AppData\Local\Temp\OnboardLogs"\RTDC4055\2017-06-14 &amp; aws s3 cp s3://rtdc.mdm.uploadarchive.raw/RTDC4055/ "%USERPROFILE%\AppData\Local\Temp\OnboardLogs"\RTDC4055\2017-06-15 --exclude "*" --recursive --include "*20170615*" &amp; "%USERPROFILE%\Documents\GitHub\mrs-test-scripts\Headless Mode &amp; Sideloading\WalkAndUnGZ.bat" "%USERPROFILE%\AppData\Local\Temp\OnboardLogs"\RTDC4055\2017-06-15</v>
      </c>
      <c r="AF34" s="74" t="str">
        <f t="shared" si="12"/>
        <v>"C:\Program Files (x86)\AstroGrep\AstroGrep.exe" /e /r /s /spath="%USERPROFILE%\AppData\Local\Temp\OnboardLogs" /stypes="app*4055*20170614*" /stext=" 13:.+((SYSTEM_STATE.+slice.+state.+changed )|(ment ac)|(multiple cpu faults)|(system.+state.+changed )|(\[timeout)|(PRM\|1\|D)|(kpr)|(kdp)|(train st.+moving)|(\|lc)|(penalty))"</v>
      </c>
      <c r="AG34" s="209" t="str">
        <f t="shared" si="17"/>
        <v>EC</v>
      </c>
      <c r="AH34" s="78" t="str">
        <f t="shared" si="13"/>
        <v>"%USERPROFILE%\Documents\GitHub\eaglep3\Utilities\RefineRTDCRunTimes.py" --tripid 122-14 --locoid 4055 --swversion DE.1.0.9.0 --startMP 204:232977 --initTime 2017-06-14T07:09:14 --startdatetime 2017-06-14T07:12:34 --delay 1 --endMP 204:163 --enddatetime 2017-06-14T07:50:59 --enforcementcount 2 &gt;&gt;C:\Users\stu\Documents\GitHub\eaglep3-reporting\EC\2017-06-14-refined-times.txt</v>
      </c>
      <c r="AI34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{"issue":{"subject":"","project_id":79,"tracker_id":40,"status_id":1,"priority_id":2,"assigned_to_id":23,"start_date":"2017-06-14","description":"","custom_fields":[{"id":1,"name":"Subdivision","value":"EC"},{"id":4,"name":"Milepost","value":"0.0163"},{"id":17,"name":"Train ID","value":"122-14"},{"id":16,"name":"Locomotive ID","value":"4055"},{"id":130,"name":"Impact","value":""},{"id":150,"name":"Time of Event (Mountain Time)","value":"07:50:59"},{"id":151,"name":"Denver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15"/>
        <v>start /low /b %USERPROFILE%\Documents\GitHub\eaglep3\Utilities\DownloadLogsFromS3.py --loco 4055 --day 2017-06-14</v>
      </c>
      <c r="AN34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13:50:59"},{"id":29,"name":"Sharepoint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72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607</v>
      </c>
      <c r="B35" s="7">
        <v>4040</v>
      </c>
      <c r="C35" s="21" t="s">
        <v>202</v>
      </c>
      <c r="D35" s="21" t="s">
        <v>356</v>
      </c>
      <c r="E35" s="13">
        <v>42900.266226851854</v>
      </c>
      <c r="F35" s="13">
        <v>42900.27103009259</v>
      </c>
      <c r="G35" s="7">
        <v>1</v>
      </c>
      <c r="H35" s="21" t="s">
        <v>857</v>
      </c>
      <c r="I35" s="13">
        <v>42900.297523148147</v>
      </c>
      <c r="J35" s="7">
        <v>2</v>
      </c>
      <c r="K35" s="89" t="str">
        <f t="shared" si="0"/>
        <v>4039/4040</v>
      </c>
      <c r="L35" s="21" t="str">
        <f>VLOOKUP(A35,'Trips&amp;Operators'!$C$1:$G$99999,5,FALSE)</f>
        <v>DAVIS WENDY</v>
      </c>
      <c r="M35" s="6">
        <f t="shared" si="1"/>
        <v>2.6493055556784384E-2</v>
      </c>
      <c r="N35" s="7">
        <f t="shared" si="2"/>
        <v>38.150000001769513</v>
      </c>
      <c r="O35" s="7"/>
      <c r="P35" s="7"/>
      <c r="Q35" s="22"/>
      <c r="R35" s="170"/>
      <c r="S35" s="215">
        <f t="shared" si="3"/>
        <v>1</v>
      </c>
      <c r="T35" s="195" t="str">
        <f t="shared" si="4"/>
        <v>NorthBound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 t="shared" si="5"/>
        <v>https://d0f6bd738d7f1b3e5a7ca70fe4ff75f0.us-east-1.aws.found.io/app/kibana#/discover/Steve-Slow-Train-Analysis-(2080s-and-2083s)?_g=(refreshInterval:(display:Off,pause:!f,section:0,value:0),time:(from:'2017-06-14T05:23:22-0600',mode:absolute,to:'2017-06-14T08:08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5" s="197" t="str">
        <f>IF(AA35&lt;VLOOKUP(AG35,Variables!$AC$3:$AD$8,2,FALSE),"Y","N")</f>
        <v>N</v>
      </c>
      <c r="X35" s="197">
        <f t="shared" si="6"/>
        <v>1</v>
      </c>
      <c r="Y35" s="197">
        <f t="shared" si="7"/>
        <v>4.4699999999999997E-2</v>
      </c>
      <c r="Z35" s="197">
        <f t="shared" si="8"/>
        <v>23.3309</v>
      </c>
      <c r="AA35" s="197">
        <f t="shared" si="9"/>
        <v>23.286200000000001</v>
      </c>
      <c r="AB35" s="54" t="e">
        <f>VLOOKUP(A35,Enforcements!$C$7:$K$13,8,0)</f>
        <v>#N/A</v>
      </c>
      <c r="AC35" s="51" t="e">
        <f>VLOOKUP(A35,Enforcements!$C$7:$E$13,3,0)</f>
        <v>#N/A</v>
      </c>
      <c r="AD35" s="206">
        <f t="shared" si="10"/>
        <v>123</v>
      </c>
      <c r="AE35" s="77" t="str">
        <f t="shared" si="11"/>
        <v>aws s3 cp s3://rtdc.mdm.uploadarchive.raw/RTDC4040/ "%USERPROFILE%\AppData\Local\Temp\OnboardLogs"\RTDC4040\2017-06-14 --exclude "*" --recursive --include "*20170614*" &amp; "%USERPROFILE%\Documents\GitHub\mrs-test-scripts\Headless Mode &amp; Sideloading\WalkAndUnGZ.bat" "%USERPROFILE%\AppData\Local\Temp\OnboardLogs"\RTDC4040\2017-06-14 &amp; aws s3 cp s3://rtdc.mdm.uploadarchive.raw/RTDC4040/ "%USERPROFILE%\AppData\Local\Temp\OnboardLogs"\RTDC4040\2017-06-15 --exclude "*" --recursive --include "*20170615*" &amp; "%USERPROFILE%\Documents\GitHub\mrs-test-scripts\Headless Mode &amp; Sideloading\WalkAndUnGZ.bat" "%USERPROFILE%\AppData\Local\Temp\OnboardLogs"\RTDC4040\2017-06-15</v>
      </c>
      <c r="AF35" s="74" t="str">
        <f t="shared" si="12"/>
        <v>"C:\Program Files (x86)\AstroGrep\AstroGrep.exe" /e /r /s /spath="%USERPROFILE%\AppData\Local\Temp\OnboardLogs" /stypes="app*4040*20170614*" /stext=" 13:.+((SYSTEM_STATE.+slice.+state.+changed )|(ment ac)|(multiple cpu faults)|(system.+state.+changed )|(\[timeout)|(PRM\|1\|D)|(kpr)|(kdp)|(train st.+moving)|(\|lc)|(penalty))"</v>
      </c>
      <c r="AG35" s="209" t="str">
        <f t="shared" si="17"/>
        <v>EC</v>
      </c>
      <c r="AH35" s="78" t="str">
        <f t="shared" si="13"/>
        <v>"%USERPROFILE%\Documents\GitHub\eaglep3\Utilities\RefineRTDCRunTimes.py" --tripid 123-14 --locoid 4040 --swversion DE.1.0.9.0 --startMP 204:447 --initTime 2017-06-14T06:23:22 --startdatetime 2017-06-14T06:30:17 --delay 1 --endMP 204:233309 --enddatetime 2017-06-14T07:08:26 --enforcementcount 2 &gt;&gt;C:\Users\stu\Documents\GitHub\eaglep3-reporting\EC\2017-06-14-refined-times.txt</v>
      </c>
      <c r="AI35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{"issue":{"subject":"","project_id":79,"tracker_id":40,"status_id":1,"priority_id":2,"assigned_to_id":23,"start_date":"2017-06-14","description":"","custom_fields":[{"id":1,"name":"Subdivision","value":"EC"},{"id":4,"name":"Milepost","value":"23.3309"},{"id":17,"name":"Train ID","value":"123-14"},{"id":16,"name":"Locomotive ID","value":"4040"},{"id":130,"name":"Impact","value":""},{"id":150,"name":"Time of Event (Mountain Time)","value":"07:08:26"},{"id":151,"name":"Denver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15"/>
        <v>start /low /b %USERPROFILE%\Documents\GitHub\eaglep3\Utilities\DownloadLogsFromS3.py --loco 4040 --day 2017-06-14</v>
      </c>
      <c r="AN35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13:08:26"},{"id":29,"name":"Sharepoint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72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692</v>
      </c>
      <c r="B36" s="7">
        <v>4039</v>
      </c>
      <c r="C36" s="21" t="s">
        <v>202</v>
      </c>
      <c r="D36" s="21" t="s">
        <v>521</v>
      </c>
      <c r="E36" s="13">
        <v>42900.308518518519</v>
      </c>
      <c r="F36" s="13">
        <v>42900.310567129629</v>
      </c>
      <c r="G36" s="7">
        <v>1</v>
      </c>
      <c r="H36" s="21" t="s">
        <v>572</v>
      </c>
      <c r="I36" s="13">
        <v>42900.337916666664</v>
      </c>
      <c r="J36" s="7">
        <v>2</v>
      </c>
      <c r="K36" s="89" t="str">
        <f t="shared" si="0"/>
        <v>4039/4040</v>
      </c>
      <c r="L36" s="21" t="str">
        <f>VLOOKUP(A36,'Trips&amp;Operators'!$C$1:$G$99999,5,FALSE)</f>
        <v>DAVIS WENDY</v>
      </c>
      <c r="M36" s="6">
        <f t="shared" si="1"/>
        <v>2.7349537034751847E-2</v>
      </c>
      <c r="N36" s="7">
        <f t="shared" si="2"/>
        <v>39.38333333004266</v>
      </c>
      <c r="O36" s="7"/>
      <c r="P36" s="7"/>
      <c r="Q36" s="22"/>
      <c r="R36" s="170"/>
      <c r="S36" s="215">
        <f t="shared" si="3"/>
        <v>1</v>
      </c>
      <c r="T36" s="195" t="str">
        <f t="shared" si="4"/>
        <v>Southbound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 t="shared" si="5"/>
        <v>https://d0f6bd738d7f1b3e5a7ca70fe4ff75f0.us-east-1.aws.found.io/app/kibana#/discover/Steve-Slow-Train-Analysis-(2080s-and-2083s)?_g=(refreshInterval:(display:Off,pause:!f,section:0,value:0),time:(from:'2017-06-14T06:24:16-0600',mode:absolute,to:'2017-06-14T09:06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6" s="197" t="str">
        <f>IF(AA36&lt;VLOOKUP(AG36,Variables!$AC$3:$AD$8,2,FALSE),"Y","N")</f>
        <v>N</v>
      </c>
      <c r="X36" s="197">
        <f t="shared" si="6"/>
        <v>1</v>
      </c>
      <c r="Y36" s="197">
        <f t="shared" si="7"/>
        <v>23.297799999999999</v>
      </c>
      <c r="Z36" s="197">
        <f t="shared" si="8"/>
        <v>1.29E-2</v>
      </c>
      <c r="AA36" s="197">
        <f t="shared" si="9"/>
        <v>23.2849</v>
      </c>
      <c r="AB36" s="54" t="e">
        <f>VLOOKUP(A36,Enforcements!$C$7:$K$13,8,0)</f>
        <v>#N/A</v>
      </c>
      <c r="AC36" s="51" t="e">
        <f>VLOOKUP(A36,Enforcements!$C$7:$E$13,3,0)</f>
        <v>#N/A</v>
      </c>
      <c r="AD36" s="206">
        <f t="shared" si="10"/>
        <v>124</v>
      </c>
      <c r="AE36" s="77" t="str">
        <f t="shared" si="11"/>
        <v>aws s3 cp s3://rtdc.mdm.uploadarchive.raw/RTDC4039/ "%USERPROFILE%\AppData\Local\Temp\OnboardLogs"\RTDC4039\2017-06-14 --exclude "*" --recursive --include "*20170614*" &amp; "%USERPROFILE%\Documents\GitHub\mrs-test-scripts\Headless Mode &amp; Sideloading\WalkAndUnGZ.bat" "%USERPROFILE%\AppData\Local\Temp\OnboardLogs"\RTDC4039\2017-06-14 &amp; aws s3 cp s3://rtdc.mdm.uploadarchive.raw/RTDC4039/ "%USERPROFILE%\AppData\Local\Temp\OnboardLogs"\RTDC4039\2017-06-15 --exclude "*" --recursive --include "*20170615*" &amp; "%USERPROFILE%\Documents\GitHub\mrs-test-scripts\Headless Mode &amp; Sideloading\WalkAndUnGZ.bat" "%USERPROFILE%\AppData\Local\Temp\OnboardLogs"\RTDC4039\2017-06-15</v>
      </c>
      <c r="AF36" s="74" t="str">
        <f t="shared" si="12"/>
        <v>"C:\Program Files (x86)\AstroGrep\AstroGrep.exe" /e /r /s /spath="%USERPROFILE%\AppData\Local\Temp\OnboardLogs" /stypes="app*4039*20170614*" /stext=" 14:.+((SYSTEM_STATE.+slice.+state.+changed )|(ment ac)|(multiple cpu faults)|(system.+state.+changed )|(\[timeout)|(PRM\|1\|D)|(kpr)|(kdp)|(train st.+moving)|(\|lc)|(penalty))"</v>
      </c>
      <c r="AG36" s="209" t="str">
        <f t="shared" si="17"/>
        <v>EC</v>
      </c>
      <c r="AH36" s="78" t="str">
        <f t="shared" si="13"/>
        <v>"%USERPROFILE%\Documents\GitHub\eaglep3\Utilities\RefineRTDCRunTimes.py" --tripid 124-14 --locoid 4039 --swversion DE.1.0.9.0 --startMP 204:232978 --initTime 2017-06-14T07:24:16 --startdatetime 2017-06-14T07:27:13 --delay 1 --endMP 204:129 --enddatetime 2017-06-14T08:06:36 --enforcementcount 2 &gt;&gt;C:\Users\stu\Documents\GitHub\eaglep3-reporting\EC\2017-06-14-refined-times.txt</v>
      </c>
      <c r="AI36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{"issue":{"subject":"","project_id":79,"tracker_id":40,"status_id":1,"priority_id":2,"assigned_to_id":23,"start_date":"2017-06-14","description":"","custom_fields":[{"id":1,"name":"Subdivision","value":"EC"},{"id":4,"name":"Milepost","value":"0.0129"},{"id":17,"name":"Train ID","value":"124-14"},{"id":16,"name":"Locomotive ID","value":"4039"},{"id":130,"name":"Impact","value":""},{"id":150,"name":"Time of Event (Mountain Time)","value":"08:06:36"},{"id":151,"name":"Denver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15"/>
        <v>start /low /b %USERPROFILE%\Documents\GitHub\eaglep3\Utilities\DownloadLogsFromS3.py --loco 4039 --day 2017-06-14</v>
      </c>
      <c r="AN36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14:06:36"},{"id":29,"name":"Sharepoint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72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687</v>
      </c>
      <c r="B37" s="7">
        <v>4010</v>
      </c>
      <c r="C37" s="21" t="s">
        <v>202</v>
      </c>
      <c r="D37" s="21" t="s">
        <v>199</v>
      </c>
      <c r="E37" s="13">
        <v>42900.276631944442</v>
      </c>
      <c r="F37" s="13">
        <v>42900.281504629631</v>
      </c>
      <c r="G37" s="7">
        <v>1</v>
      </c>
      <c r="H37" s="21" t="s">
        <v>438</v>
      </c>
      <c r="I37" s="13">
        <v>42900.307800925926</v>
      </c>
      <c r="J37" s="7">
        <v>2</v>
      </c>
      <c r="K37" s="89" t="str">
        <f t="shared" si="0"/>
        <v>4009/4010</v>
      </c>
      <c r="L37" s="21" t="str">
        <f>VLOOKUP(A37,'Trips&amp;Operators'!$C$1:$G$99999,5,FALSE)</f>
        <v>BONDS REYNALDO</v>
      </c>
      <c r="M37" s="6">
        <f t="shared" si="1"/>
        <v>2.6296296295186039E-2</v>
      </c>
      <c r="N37" s="7">
        <f t="shared" si="2"/>
        <v>37.866666665067896</v>
      </c>
      <c r="O37" s="7"/>
      <c r="P37" s="7"/>
      <c r="Q37" s="22"/>
      <c r="R37" s="170"/>
      <c r="S37" s="215">
        <f t="shared" si="3"/>
        <v>1</v>
      </c>
      <c r="T37" s="195" t="str">
        <f t="shared" si="4"/>
        <v>NorthBound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 t="shared" si="5"/>
        <v>https://d0f6bd738d7f1b3e5a7ca70fe4ff75f0.us-east-1.aws.found.io/app/kibana#/discover/Steve-Slow-Train-Analysis-(2080s-and-2083s)?_g=(refreshInterval:(display:Off,pause:!f,section:0,value:0),time:(from:'2017-06-14T05:38:21-0600',mode:absolute,to:'2017-06-14T08:23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7" s="197" t="str">
        <f>IF(AA37&lt;VLOOKUP(AG37,Variables!$AC$3:$AD$8,2,FALSE),"Y","N")</f>
        <v>N</v>
      </c>
      <c r="X37" s="197">
        <f t="shared" si="6"/>
        <v>1</v>
      </c>
      <c r="Y37" s="197">
        <f t="shared" si="7"/>
        <v>4.5999999999999999E-2</v>
      </c>
      <c r="Z37" s="197">
        <f t="shared" si="8"/>
        <v>23.329699999999999</v>
      </c>
      <c r="AA37" s="197">
        <f t="shared" si="9"/>
        <v>23.2837</v>
      </c>
      <c r="AB37" s="54" t="e">
        <f>VLOOKUP(A37,Enforcements!$C$7:$K$13,8,0)</f>
        <v>#N/A</v>
      </c>
      <c r="AC37" s="51" t="e">
        <f>VLOOKUP(A37,Enforcements!$C$7:$E$13,3,0)</f>
        <v>#N/A</v>
      </c>
      <c r="AD37" s="206">
        <f t="shared" si="10"/>
        <v>125</v>
      </c>
      <c r="AE37" s="77" t="str">
        <f t="shared" si="11"/>
        <v>aws s3 cp s3://rtdc.mdm.uploadarchive.raw/RTDC4010/ "%USERPROFILE%\AppData\Local\Temp\OnboardLogs"\RTDC4010\2017-06-14 --exclude "*" --recursive --include "*20170614*" &amp; "%USERPROFILE%\Documents\GitHub\mrs-test-scripts\Headless Mode &amp; Sideloading\WalkAndUnGZ.bat" "%USERPROFILE%\AppData\Local\Temp\OnboardLogs"\RTDC4010\2017-06-14 &amp; 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</v>
      </c>
      <c r="AF37" s="74" t="str">
        <f t="shared" si="12"/>
        <v>"C:\Program Files (x86)\AstroGrep\AstroGrep.exe" /e /r /s /spath="%USERPROFILE%\AppData\Local\Temp\OnboardLogs" /stypes="app*4010*20170614*" /stext=" 13:.+((SYSTEM_STATE.+slice.+state.+changed )|(ment ac)|(multiple cpu faults)|(system.+state.+changed )|(\[timeout)|(PRM\|1\|D)|(kpr)|(kdp)|(train st.+moving)|(\|lc)|(penalty))"</v>
      </c>
      <c r="AG37" s="209" t="str">
        <f t="shared" si="17"/>
        <v>EC</v>
      </c>
      <c r="AH37" s="78" t="str">
        <f t="shared" si="13"/>
        <v>"%USERPROFILE%\Documents\GitHub\eaglep3\Utilities\RefineRTDCRunTimes.py" --tripid 125-14 --locoid 4010 --swversion DE.1.0.9.0 --startMP 204:460 --initTime 2017-06-14T06:38:21 --startdatetime 2017-06-14T06:45:22 --delay 1 --endMP 204:233297 --enddatetime 2017-06-14T07:23:14 --enforcementcount 2 &gt;&gt;C:\Users\stu\Documents\GitHub\eaglep3-reporting\EC\2017-06-14-refined-times.txt</v>
      </c>
      <c r="AI37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{"issue":{"subject":"","project_id":79,"tracker_id":40,"status_id":1,"priority_id":2,"assigned_to_id":23,"start_date":"2017-06-14","description":"","custom_fields":[{"id":1,"name":"Subdivision","value":"EC"},{"id":4,"name":"Milepost","value":"23.3297"},{"id":17,"name":"Train ID","value":"125-14"},{"id":16,"name":"Locomotive ID","value":"4010"},{"id":130,"name":"Impact","value":""},{"id":150,"name":"Time of Event (Mountain Time)","value":"07:23:14"},{"id":151,"name":"Denver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15"/>
        <v>start /low /b %USERPROFILE%\Documents\GitHub\eaglep3\Utilities\DownloadLogsFromS3.py --loco 4010 --day 2017-06-14</v>
      </c>
      <c r="AN37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13:23:14"},{"id":29,"name":"Sharepoint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72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696</v>
      </c>
      <c r="B38" s="7">
        <v>4009</v>
      </c>
      <c r="C38" s="21" t="s">
        <v>202</v>
      </c>
      <c r="D38" s="21" t="s">
        <v>482</v>
      </c>
      <c r="E38" s="13">
        <v>42900.318599537037</v>
      </c>
      <c r="F38" s="13">
        <v>42900.321331018517</v>
      </c>
      <c r="G38" s="7">
        <v>1</v>
      </c>
      <c r="H38" s="21" t="s">
        <v>459</v>
      </c>
      <c r="I38" s="13">
        <v>42900.34884259259</v>
      </c>
      <c r="J38" s="7">
        <v>2</v>
      </c>
      <c r="K38" s="89" t="str">
        <f t="shared" si="0"/>
        <v>4009/4010</v>
      </c>
      <c r="L38" s="21" t="str">
        <f>VLOOKUP(A38,'Trips&amp;Operators'!$C$1:$G$99999,5,FALSE)</f>
        <v>BONDS REYNALDO</v>
      </c>
      <c r="M38" s="6">
        <f t="shared" si="1"/>
        <v>2.7511574073287193E-2</v>
      </c>
      <c r="N38" s="7">
        <f t="shared" si="2"/>
        <v>39.616666665533558</v>
      </c>
      <c r="O38" s="7"/>
      <c r="P38" s="7"/>
      <c r="Q38" s="22"/>
      <c r="R38" s="170"/>
      <c r="S38" s="215">
        <f t="shared" si="3"/>
        <v>1</v>
      </c>
      <c r="T38" s="195" t="str">
        <f t="shared" si="4"/>
        <v>Southbound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 t="shared" si="5"/>
        <v>https://d0f6bd738d7f1b3e5a7ca70fe4ff75f0.us-east-1.aws.found.io/app/kibana#/discover/Steve-Slow-Train-Analysis-(2080s-and-2083s)?_g=(refreshInterval:(display:Off,pause:!f,section:0,value:0),time:(from:'2017-06-14T06:38:47-0600',mode:absolute,to:'2017-06-14T09:22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8" s="197" t="str">
        <f>IF(AA38&lt;VLOOKUP(AG38,Variables!$AC$3:$AD$8,2,FALSE),"Y","N")</f>
        <v>N</v>
      </c>
      <c r="X38" s="197">
        <f t="shared" si="6"/>
        <v>1</v>
      </c>
      <c r="Y38" s="197">
        <f t="shared" si="7"/>
        <v>23.299099999999999</v>
      </c>
      <c r="Z38" s="197">
        <f t="shared" si="8"/>
        <v>1.3599999999999999E-2</v>
      </c>
      <c r="AA38" s="197">
        <f t="shared" si="9"/>
        <v>23.285499999999999</v>
      </c>
      <c r="AB38" s="54" t="e">
        <f>VLOOKUP(A38,Enforcements!$C$7:$K$13,8,0)</f>
        <v>#N/A</v>
      </c>
      <c r="AC38" s="51" t="e">
        <f>VLOOKUP(A38,Enforcements!$C$7:$E$13,3,0)</f>
        <v>#N/A</v>
      </c>
      <c r="AD38" s="206">
        <f t="shared" si="10"/>
        <v>126</v>
      </c>
      <c r="AE38" s="77" t="str">
        <f t="shared" si="11"/>
        <v>aws s3 cp s3://rtdc.mdm.uploadarchive.raw/RTDC4009/ "%USERPROFILE%\AppData\Local\Temp\OnboardLogs"\RTDC4009\2017-06-14 --exclude "*" --recursive --include "*20170614*" &amp; "%USERPROFILE%\Documents\GitHub\mrs-test-scripts\Headless Mode &amp; Sideloading\WalkAndUnGZ.bat" "%USERPROFILE%\AppData\Local\Temp\OnboardLogs"\RTDC4009\2017-06-14 &amp; aws s3 cp s3://rtdc.mdm.uploadarchive.raw/RTDC4009/ "%USERPROFILE%\AppData\Local\Temp\OnboardLogs"\RTDC4009\2017-06-15 --exclude "*" --recursive --include "*20170615*" &amp; "%USERPROFILE%\Documents\GitHub\mrs-test-scripts\Headless Mode &amp; Sideloading\WalkAndUnGZ.bat" "%USERPROFILE%\AppData\Local\Temp\OnboardLogs"\RTDC4009\2017-06-15</v>
      </c>
      <c r="AF38" s="74" t="str">
        <f t="shared" si="12"/>
        <v>"C:\Program Files (x86)\AstroGrep\AstroGrep.exe" /e /r /s /spath="%USERPROFILE%\AppData\Local\Temp\OnboardLogs" /stypes="app*4009*20170614*" /stext=" 14:.+((SYSTEM_STATE.+slice.+state.+changed )|(ment ac)|(multiple cpu faults)|(system.+state.+changed )|(\[timeout)|(PRM\|1\|D)|(kpr)|(kdp)|(train st.+moving)|(\|lc)|(penalty))"</v>
      </c>
      <c r="AG38" s="209" t="str">
        <f t="shared" si="17"/>
        <v>EC</v>
      </c>
      <c r="AH38" s="78" t="str">
        <f t="shared" si="13"/>
        <v>"%USERPROFILE%\Documents\GitHub\eaglep3\Utilities\RefineRTDCRunTimes.py" --tripid 126-14 --locoid 4009 --swversion DE.1.0.9.0 --startMP 204:232991 --initTime 2017-06-14T07:38:47 --startdatetime 2017-06-14T07:42:43 --delay 1 --endMP 204:136 --enddatetime 2017-06-14T08:22:20 --enforcementcount 2 &gt;&gt;C:\Users\stu\Documents\GitHub\eaglep3-reporting\EC\2017-06-14-refined-times.txt</v>
      </c>
      <c r="AI38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{"issue":{"subject":"","project_id":79,"tracker_id":40,"status_id":1,"priority_id":2,"assigned_to_id":23,"start_date":"2017-06-14","description":"","custom_fields":[{"id":1,"name":"Subdivision","value":"EC"},{"id":4,"name":"Milepost","value":"0.0136"},{"id":17,"name":"Train ID","value":"126-14"},{"id":16,"name":"Locomotive ID","value":"4009"},{"id":130,"name":"Impact","value":""},{"id":150,"name":"Time of Event (Mountain Time)","value":"08:22:20"},{"id":151,"name":"Denver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15"/>
        <v>start /low /b %USERPROFILE%\Documents\GitHub\eaglep3\Utilities\DownloadLogsFromS3.py --loco 4009 --day 2017-06-14</v>
      </c>
      <c r="AN38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14:22:20"},{"id":29,"name":"Sharepoint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72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688</v>
      </c>
      <c r="B39" s="7">
        <v>4004</v>
      </c>
      <c r="C39" s="21" t="s">
        <v>202</v>
      </c>
      <c r="D39" s="21" t="s">
        <v>858</v>
      </c>
      <c r="E39" s="13">
        <v>42900.286759259259</v>
      </c>
      <c r="F39" s="13">
        <v>42900.291863425926</v>
      </c>
      <c r="G39" s="7">
        <v>1</v>
      </c>
      <c r="H39" s="21" t="s">
        <v>520</v>
      </c>
      <c r="I39" s="13">
        <v>42900.316307870373</v>
      </c>
      <c r="J39" s="7">
        <v>2</v>
      </c>
      <c r="K39" s="89" t="str">
        <f t="shared" si="0"/>
        <v>4003/4004</v>
      </c>
      <c r="L39" s="21" t="str">
        <f>VLOOKUP(A39,'Trips&amp;Operators'!$C$1:$G$99999,5,FALSE)</f>
        <v>LOZA FIDEL</v>
      </c>
      <c r="M39" s="6">
        <f t="shared" si="1"/>
        <v>2.4444444446999114E-2</v>
      </c>
      <c r="N39" s="7">
        <f t="shared" si="2"/>
        <v>35.200000003678724</v>
      </c>
      <c r="O39" s="7"/>
      <c r="P39" s="7"/>
      <c r="Q39" s="22"/>
      <c r="R39" s="170"/>
      <c r="S39" s="215">
        <f t="shared" si="3"/>
        <v>1</v>
      </c>
      <c r="T39" s="195" t="str">
        <f t="shared" si="4"/>
        <v>NorthBound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 t="shared" si="5"/>
        <v>https://d0f6bd738d7f1b3e5a7ca70fe4ff75f0.us-east-1.aws.found.io/app/kibana#/discover/Steve-Slow-Train-Analysis-(2080s-and-2083s)?_g=(refreshInterval:(display:Off,pause:!f,section:0,value:0),time:(from:'2017-06-14T05:52:56-0600',mode:absolute,to:'2017-06-14T08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9" s="197" t="str">
        <f>IF(AA39&lt;VLOOKUP(AG39,Variables!$AC$3:$AD$8,2,FALSE),"Y","N")</f>
        <v>N</v>
      </c>
      <c r="X39" s="197">
        <f t="shared" si="6"/>
        <v>1</v>
      </c>
      <c r="Y39" s="197">
        <f t="shared" si="7"/>
        <v>4.3099999999999999E-2</v>
      </c>
      <c r="Z39" s="197">
        <f t="shared" si="8"/>
        <v>23.328399999999998</v>
      </c>
      <c r="AA39" s="197">
        <f t="shared" si="9"/>
        <v>23.285299999999999</v>
      </c>
      <c r="AB39" s="54" t="e">
        <f>VLOOKUP(A39,Enforcements!$C$7:$K$13,8,0)</f>
        <v>#N/A</v>
      </c>
      <c r="AC39" s="51" t="e">
        <f>VLOOKUP(A39,Enforcements!$C$7:$E$13,3,0)</f>
        <v>#N/A</v>
      </c>
      <c r="AD39" s="206">
        <f t="shared" si="10"/>
        <v>127</v>
      </c>
      <c r="AE39" s="77" t="str">
        <f t="shared" si="11"/>
        <v>aws s3 cp s3://rtdc.mdm.uploadarchive.raw/RTDC4004/ "%USERPROFILE%\AppData\Local\Temp\OnboardLogs"\RTDC4004\2017-06-14 --exclude "*" --recursive --include "*20170614*" &amp; "%USERPROFILE%\Documents\GitHub\mrs-test-scripts\Headless Mode &amp; Sideloading\WalkAndUnGZ.bat" "%USERPROFILE%\AppData\Local\Temp\OnboardLogs"\RTDC4004\2017-06-14 &amp; aws s3 cp s3://rtdc.mdm.uploadarchive.raw/RTDC4004/ "%USERPROFILE%\AppData\Local\Temp\OnboardLogs"\RTDC4004\2017-06-15 --exclude "*" --recursive --include "*20170615*" &amp; "%USERPROFILE%\Documents\GitHub\mrs-test-scripts\Headless Mode &amp; Sideloading\WalkAndUnGZ.bat" "%USERPROFILE%\AppData\Local\Temp\OnboardLogs"\RTDC4004\2017-06-15</v>
      </c>
      <c r="AF39" s="74" t="str">
        <f t="shared" si="12"/>
        <v>"C:\Program Files (x86)\AstroGrep\AstroGrep.exe" /e /r /s /spath="%USERPROFILE%\AppData\Local\Temp\OnboardLogs" /stypes="app*4004*20170614*" /stext=" 13:.+((SYSTEM_STATE.+slice.+state.+changed )|(ment ac)|(multiple cpu faults)|(system.+state.+changed )|(\[timeout)|(PRM\|1\|D)|(kpr)|(kdp)|(train st.+moving)|(\|lc)|(penalty))"</v>
      </c>
      <c r="AG39" s="209" t="str">
        <f t="shared" si="17"/>
        <v>EC</v>
      </c>
      <c r="AH39" s="78" t="str">
        <f t="shared" si="13"/>
        <v>"%USERPROFILE%\Documents\GitHub\eaglep3\Utilities\RefineRTDCRunTimes.py" --tripid 127-14 --locoid 4004 --swversion DE.1.0.9.0 --startMP 204:431 --initTime 2017-06-14T06:52:56 --startdatetime 2017-06-14T07:00:17 --delay 1 --endMP 204:233284 --enddatetime 2017-06-14T07:35:29 --enforcementcount 2 &gt;&gt;C:\Users\stu\Documents\GitHub\eaglep3-reporting\EC\2017-06-14-refined-times.txt</v>
      </c>
      <c r="AI39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{"issue":{"subject":"","project_id":79,"tracker_id":40,"status_id":1,"priority_id":2,"assigned_to_id":23,"start_date":"2017-06-14","description":"","custom_fields":[{"id":1,"name":"Subdivision","value":"EC"},{"id":4,"name":"Milepost","value":"23.3284"},{"id":17,"name":"Train ID","value":"127-14"},{"id":16,"name":"Locomotive ID","value":"4004"},{"id":130,"name":"Impact","value":""},{"id":150,"name":"Time of Event (Mountain Time)","value":"07:35:29"},{"id":151,"name":"Denver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15"/>
        <v>start /low /b %USERPROFILE%\Documents\GitHub\eaglep3\Utilities\DownloadLogsFromS3.py --loco 4004 --day 2017-06-14</v>
      </c>
      <c r="AN39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13:35:29"},{"id":29,"name":"Sharepoint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72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698</v>
      </c>
      <c r="B40" s="7">
        <v>4003</v>
      </c>
      <c r="C40" s="21" t="s">
        <v>202</v>
      </c>
      <c r="D40" s="21" t="s">
        <v>563</v>
      </c>
      <c r="E40" s="13">
        <v>42900.322974537034</v>
      </c>
      <c r="F40" s="13">
        <v>42900.331504629627</v>
      </c>
      <c r="G40" s="7">
        <v>1</v>
      </c>
      <c r="H40" s="21" t="s">
        <v>351</v>
      </c>
      <c r="I40" s="13">
        <v>42900.357083333336</v>
      </c>
      <c r="J40" s="7">
        <v>2</v>
      </c>
      <c r="K40" s="89" t="str">
        <f t="shared" si="0"/>
        <v>4003/4004</v>
      </c>
      <c r="L40" s="21" t="str">
        <f>VLOOKUP(A40,'Trips&amp;Operators'!$C$1:$G$99999,5,FALSE)</f>
        <v>LOZA FIDEL</v>
      </c>
      <c r="M40" s="6">
        <f t="shared" si="1"/>
        <v>2.5578703709470574E-2</v>
      </c>
      <c r="N40" s="7">
        <f t="shared" si="2"/>
        <v>36.833333341637626</v>
      </c>
      <c r="O40" s="7"/>
      <c r="P40" s="7"/>
      <c r="Q40" s="22"/>
      <c r="R40" s="170"/>
      <c r="S40" s="215">
        <f t="shared" si="3"/>
        <v>1</v>
      </c>
      <c r="T40" s="195" t="str">
        <f t="shared" si="4"/>
        <v>Southbound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 t="shared" si="5"/>
        <v>https://d0f6bd738d7f1b3e5a7ca70fe4ff75f0.us-east-1.aws.found.io/app/kibana#/discover/Steve-Slow-Train-Analysis-(2080s-and-2083s)?_g=(refreshInterval:(display:Off,pause:!f,section:0,value:0),time:(from:'2017-06-14T06:45:05-0600',mode:absolute,to:'2017-06-14T09:34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0" s="197" t="str">
        <f>IF(AA40&lt;VLOOKUP(AG40,Variables!$AC$3:$AD$8,2,FALSE),"Y","N")</f>
        <v>N</v>
      </c>
      <c r="X40" s="197">
        <f t="shared" si="6"/>
        <v>1</v>
      </c>
      <c r="Y40" s="197">
        <f t="shared" si="7"/>
        <v>23.297999999999998</v>
      </c>
      <c r="Z40" s="197">
        <f t="shared" si="8"/>
        <v>1.43E-2</v>
      </c>
      <c r="AA40" s="197">
        <f t="shared" si="9"/>
        <v>23.2837</v>
      </c>
      <c r="AB40" s="54" t="e">
        <f>VLOOKUP(A40,Enforcements!$C$7:$K$13,8,0)</f>
        <v>#N/A</v>
      </c>
      <c r="AC40" s="51" t="e">
        <f>VLOOKUP(A40,Enforcements!$C$7:$E$13,3,0)</f>
        <v>#N/A</v>
      </c>
      <c r="AD40" s="206">
        <f t="shared" si="10"/>
        <v>128</v>
      </c>
      <c r="AE40" s="77" t="str">
        <f t="shared" si="11"/>
        <v>aws s3 cp s3://rtdc.mdm.uploadarchive.raw/RTDC4003/ "%USERPROFILE%\AppData\Local\Temp\OnboardLogs"\RTDC4003\2017-06-14 --exclude "*" --recursive --include "*20170614*" &amp; "%USERPROFILE%\Documents\GitHub\mrs-test-scripts\Headless Mode &amp; Sideloading\WalkAndUnGZ.bat" "%USERPROFILE%\AppData\Local\Temp\OnboardLogs"\RTDC4003\2017-06-14 &amp; aws s3 cp s3://rtdc.mdm.uploadarchive.raw/RTDC4003/ "%USERPROFILE%\AppData\Local\Temp\OnboardLogs"\RTDC4003\2017-06-15 --exclude "*" --recursive --include "*20170615*" &amp; "%USERPROFILE%\Documents\GitHub\mrs-test-scripts\Headless Mode &amp; Sideloading\WalkAndUnGZ.bat" "%USERPROFILE%\AppData\Local\Temp\OnboardLogs"\RTDC4003\2017-06-15</v>
      </c>
      <c r="AF40" s="74" t="str">
        <f t="shared" si="12"/>
        <v>"C:\Program Files (x86)\AstroGrep\AstroGrep.exe" /e /r /s /spath="%USERPROFILE%\AppData\Local\Temp\OnboardLogs" /stypes="app*4003*20170614*" /stext=" 14:.+((SYSTEM_STATE.+slice.+state.+changed )|(ment ac)|(multiple cpu faults)|(system.+state.+changed )|(\[timeout)|(PRM\|1\|D)|(kpr)|(kdp)|(train st.+moving)|(\|lc)|(penalty))"</v>
      </c>
      <c r="AG40" s="209" t="str">
        <f t="shared" si="17"/>
        <v>EC</v>
      </c>
      <c r="AH40" s="78" t="str">
        <f t="shared" si="13"/>
        <v>"%USERPROFILE%\Documents\GitHub\eaglep3\Utilities\RefineRTDCRunTimes.py" --tripid 128-14 --locoid 4003 --swversion DE.1.0.9.0 --startMP 204:232980 --initTime 2017-06-14T07:45:05 --startdatetime 2017-06-14T07:57:22 --delay 1 --endMP 204:143 --enddatetime 2017-06-14T08:34:12 --enforcementcount 2 &gt;&gt;C:\Users\stu\Documents\GitHub\eaglep3-reporting\EC\2017-06-14-refined-times.txt</v>
      </c>
      <c r="AI40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{"issue":{"subject":"","project_id":79,"tracker_id":40,"status_id":1,"priority_id":2,"assigned_to_id":23,"start_date":"2017-06-14","description":"","custom_fields":[{"id":1,"name":"Subdivision","value":"EC"},{"id":4,"name":"Milepost","value":"0.0143"},{"id":17,"name":"Train ID","value":"128-14"},{"id":16,"name":"Locomotive ID","value":"4003"},{"id":130,"name":"Impact","value":""},{"id":150,"name":"Time of Event (Mountain Time)","value":"08:34:12"},{"id":151,"name":"Denver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15"/>
        <v>start /low /b %USERPROFILE%\Documents\GitHub\eaglep3\Utilities\DownloadLogsFromS3.py --loco 4003 --day 2017-06-14</v>
      </c>
      <c r="AN40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14:34:12"},{"id":29,"name":"Sharepoint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72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691</v>
      </c>
      <c r="B41" s="7">
        <v>4044</v>
      </c>
      <c r="C41" s="21" t="s">
        <v>202</v>
      </c>
      <c r="D41" s="21" t="s">
        <v>450</v>
      </c>
      <c r="E41" s="13">
        <v>42900.299143518518</v>
      </c>
      <c r="F41" s="13">
        <v>42900.302476851852</v>
      </c>
      <c r="G41" s="7">
        <v>0</v>
      </c>
      <c r="H41" s="21" t="s">
        <v>438</v>
      </c>
      <c r="I41" s="13">
        <v>42900.328877314816</v>
      </c>
      <c r="J41" s="7">
        <v>2</v>
      </c>
      <c r="K41" s="89" t="str">
        <f t="shared" si="0"/>
        <v>4043/4044</v>
      </c>
      <c r="L41" s="21" t="str">
        <f>VLOOKUP(A41,'Trips&amp;Operators'!$C$1:$G$99999,5,FALSE)</f>
        <v>MAELZER KURT</v>
      </c>
      <c r="M41" s="6">
        <f t="shared" si="1"/>
        <v>2.6400462964375038E-2</v>
      </c>
      <c r="N41" s="7">
        <f t="shared" si="2"/>
        <v>38.016666668700054</v>
      </c>
      <c r="O41" s="7"/>
      <c r="P41" s="7"/>
      <c r="Q41" s="22"/>
      <c r="R41" s="170"/>
      <c r="S41" s="215">
        <f t="shared" si="3"/>
        <v>1</v>
      </c>
      <c r="T41" s="195" t="str">
        <f t="shared" si="4"/>
        <v>NorthBound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 t="shared" si="5"/>
        <v>https://d0f6bd738d7f1b3e5a7ca70fe4ff75f0.us-east-1.aws.found.io/app/kibana#/discover/Steve-Slow-Train-Analysis-(2080s-and-2083s)?_g=(refreshInterval:(display:Off,pause:!f,section:0,value:0),time:(from:'2017-06-14T06:10:46-0600',mode:absolute,to:'2017-06-14T08:53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1" s="197" t="str">
        <f>IF(AA41&lt;VLOOKUP(AG41,Variables!$AC$3:$AD$8,2,FALSE),"Y","N")</f>
        <v>N</v>
      </c>
      <c r="X41" s="197">
        <f t="shared" si="6"/>
        <v>1</v>
      </c>
      <c r="Y41" s="197">
        <f t="shared" si="7"/>
        <v>4.3700000000000003E-2</v>
      </c>
      <c r="Z41" s="197">
        <f t="shared" si="8"/>
        <v>23.329699999999999</v>
      </c>
      <c r="AA41" s="197">
        <f t="shared" si="9"/>
        <v>23.285999999999998</v>
      </c>
      <c r="AB41" s="54" t="e">
        <f>VLOOKUP(A41,Enforcements!$C$7:$K$13,8,0)</f>
        <v>#N/A</v>
      </c>
      <c r="AC41" s="51" t="e">
        <f>VLOOKUP(A41,Enforcements!$C$7:$E$13,3,0)</f>
        <v>#N/A</v>
      </c>
      <c r="AD41" s="206">
        <f t="shared" si="10"/>
        <v>129</v>
      </c>
      <c r="AE41" s="77" t="str">
        <f t="shared" si="11"/>
        <v>aws s3 cp s3://rtdc.mdm.uploadarchive.raw/RTDC4044/ "%USERPROFILE%\AppData\Local\Temp\OnboardLogs"\RTDC4044\2017-06-14 --exclude "*" --recursive --include "*20170614*" &amp; "%USERPROFILE%\Documents\GitHub\mrs-test-scripts\Headless Mode &amp; Sideloading\WalkAndUnGZ.bat" "%USERPROFILE%\AppData\Local\Temp\OnboardLogs"\RTDC4044\2017-06-14 &amp; aws s3 cp s3://rtdc.mdm.uploadarchive.raw/RTDC4044/ "%USERPROFILE%\AppData\Local\Temp\OnboardLogs"\RTDC4044\2017-06-15 --exclude "*" --recursive --include "*20170615*" &amp; "%USERPROFILE%\Documents\GitHub\mrs-test-scripts\Headless Mode &amp; Sideloading\WalkAndUnGZ.bat" "%USERPROFILE%\AppData\Local\Temp\OnboardLogs"\RTDC4044\2017-06-15</v>
      </c>
      <c r="AF41" s="74" t="str">
        <f t="shared" si="12"/>
        <v>"C:\Program Files (x86)\AstroGrep\AstroGrep.exe" /e /r /s /spath="%USERPROFILE%\AppData\Local\Temp\OnboardLogs" /stypes="app*4044*20170614*" /stext=" 13:.+((SYSTEM_STATE.+slice.+state.+changed )|(ment ac)|(multiple cpu faults)|(system.+state.+changed )|(\[timeout)|(PRM\|1\|D)|(kpr)|(kdp)|(train st.+moving)|(\|lc)|(penalty))"</v>
      </c>
      <c r="AG41" s="209" t="str">
        <f t="shared" si="17"/>
        <v>EC</v>
      </c>
      <c r="AH41" s="78" t="str">
        <f t="shared" si="13"/>
        <v>"%USERPROFILE%\Documents\GitHub\eaglep3\Utilities\RefineRTDCRunTimes.py" --tripid 129-14 --locoid 4044 --swversion DE.1.0.9.0 --startMP 204:437 --initTime 2017-06-14T07:10:46 --startdatetime 2017-06-14T07:15:34 --delay 0 --endMP 204:233297 --enddatetime 2017-06-14T07:53:35 --enforcementcount 2 &gt;&gt;C:\Users\stu\Documents\GitHub\eaglep3-reporting\EC\2017-06-14-refined-times.txt</v>
      </c>
      <c r="AI41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{"issue":{"subject":"","project_id":79,"tracker_id":40,"status_id":1,"priority_id":2,"assigned_to_id":23,"start_date":"2017-06-14","description":"","custom_fields":[{"id":1,"name":"Subdivision","value":"EC"},{"id":4,"name":"Milepost","value":"23.3297"},{"id":17,"name":"Train ID","value":"129-14"},{"id":16,"name":"Locomotive ID","value":"4044"},{"id":130,"name":"Impact","value":""},{"id":150,"name":"Time of Event (Mountain Time)","value":"07:53:35"},{"id":151,"name":"Denver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15"/>
        <v>start /low /b %USERPROFILE%\Documents\GitHub\eaglep3\Utilities\DownloadLogsFromS3.py --loco 4044 --day 2017-06-14</v>
      </c>
      <c r="AN41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13:53:35"},{"id":29,"name":"Sharepoint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72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700</v>
      </c>
      <c r="B42" s="7">
        <v>4043</v>
      </c>
      <c r="C42" s="21" t="s">
        <v>202</v>
      </c>
      <c r="D42" s="21" t="s">
        <v>482</v>
      </c>
      <c r="E42" s="13">
        <v>42900.333703703705</v>
      </c>
      <c r="F42" s="13">
        <v>42900.341828703706</v>
      </c>
      <c r="G42" s="7">
        <v>0</v>
      </c>
      <c r="H42" s="21" t="s">
        <v>360</v>
      </c>
      <c r="I42" s="13">
        <v>42900.368194444447</v>
      </c>
      <c r="J42" s="7">
        <v>2</v>
      </c>
      <c r="K42" s="89" t="str">
        <f t="shared" si="0"/>
        <v>4043/4044</v>
      </c>
      <c r="L42" s="21" t="str">
        <f>VLOOKUP(A42,'Trips&amp;Operators'!$C$1:$G$99999,5,FALSE)</f>
        <v>MAELZER KURT</v>
      </c>
      <c r="M42" s="6">
        <f t="shared" si="1"/>
        <v>2.6365740741312038E-2</v>
      </c>
      <c r="N42" s="7">
        <f t="shared" si="2"/>
        <v>37.966666667489335</v>
      </c>
      <c r="O42" s="7"/>
      <c r="P42" s="7"/>
      <c r="Q42" s="22"/>
      <c r="R42" s="170"/>
      <c r="S42" s="215">
        <f t="shared" si="3"/>
        <v>1</v>
      </c>
      <c r="T42" s="195" t="str">
        <f t="shared" si="4"/>
        <v>Southbound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 t="shared" si="5"/>
        <v>https://d0f6bd738d7f1b3e5a7ca70fe4ff75f0.us-east-1.aws.found.io/app/kibana#/discover/Steve-Slow-Train-Analysis-(2080s-and-2083s)?_g=(refreshInterval:(display:Off,pause:!f,section:0,value:0),time:(from:'2017-06-14T07:00:32-0600',mode:absolute,to:'2017-06-14T09:50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2" s="197" t="str">
        <f>IF(AA42&lt;VLOOKUP(AG42,Variables!$AC$3:$AD$8,2,FALSE),"Y","N")</f>
        <v>N</v>
      </c>
      <c r="X42" s="197">
        <f t="shared" si="6"/>
        <v>1</v>
      </c>
      <c r="Y42" s="197">
        <f t="shared" si="7"/>
        <v>23.299099999999999</v>
      </c>
      <c r="Z42" s="197">
        <f t="shared" si="8"/>
        <v>1.47E-2</v>
      </c>
      <c r="AA42" s="197">
        <f t="shared" si="9"/>
        <v>23.284399999999998</v>
      </c>
      <c r="AB42" s="54" t="e">
        <f>VLOOKUP(A42,Enforcements!$C$7:$K$13,8,0)</f>
        <v>#N/A</v>
      </c>
      <c r="AC42" s="51" t="e">
        <f>VLOOKUP(A42,Enforcements!$C$7:$E$13,3,0)</f>
        <v>#N/A</v>
      </c>
      <c r="AD42" s="206">
        <f t="shared" si="10"/>
        <v>130</v>
      </c>
      <c r="AE42" s="77" t="str">
        <f t="shared" si="11"/>
        <v>aws s3 cp s3://rtdc.mdm.uploadarchive.raw/RTDC4043/ "%USERPROFILE%\AppData\Local\Temp\OnboardLogs"\RTDC4043\2017-06-14 --exclude "*" --recursive --include "*20170614*" &amp; "%USERPROFILE%\Documents\GitHub\mrs-test-scripts\Headless Mode &amp; Sideloading\WalkAndUnGZ.bat" "%USERPROFILE%\AppData\Local\Temp\OnboardLogs"\RTDC4043\2017-06-14 &amp; aws s3 cp s3://rtdc.mdm.uploadarchive.raw/RTDC4043/ "%USERPROFILE%\AppData\Local\Temp\OnboardLogs"\RTDC4043\2017-06-15 --exclude "*" --recursive --include "*20170615*" &amp; "%USERPROFILE%\Documents\GitHub\mrs-test-scripts\Headless Mode &amp; Sideloading\WalkAndUnGZ.bat" "%USERPROFILE%\AppData\Local\Temp\OnboardLogs"\RTDC4043\2017-06-15</v>
      </c>
      <c r="AF42" s="74" t="str">
        <f t="shared" si="12"/>
        <v>"C:\Program Files (x86)\AstroGrep\AstroGrep.exe" /e /r /s /spath="%USERPROFILE%\AppData\Local\Temp\OnboardLogs" /stypes="app*4043*20170614*" /stext=" 14:.+((SYSTEM_STATE.+slice.+state.+changed )|(ment ac)|(multiple cpu faults)|(system.+state.+changed )|(\[timeout)|(PRM\|1\|D)|(kpr)|(kdp)|(train st.+moving)|(\|lc)|(penalty))"</v>
      </c>
      <c r="AG42" s="209" t="str">
        <f t="shared" si="17"/>
        <v>EC</v>
      </c>
      <c r="AH42" s="78" t="str">
        <f t="shared" si="13"/>
        <v>"%USERPROFILE%\Documents\GitHub\eaglep3\Utilities\RefineRTDCRunTimes.py" --tripid 130-14 --locoid 4043 --swversion DE.1.0.9.0 --startMP 204:232991 --initTime 2017-06-14T08:00:32 --startdatetime 2017-06-14T08:12:14 --delay 0 --endMP 204:147 --enddatetime 2017-06-14T08:50:12 --enforcementcount 2 &gt;&gt;C:\Users\stu\Documents\GitHub\eaglep3-reporting\EC\2017-06-14-refined-times.txt</v>
      </c>
      <c r="AI42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{"issue":{"subject":"","project_id":79,"tracker_id":40,"status_id":1,"priority_id":2,"assigned_to_id":23,"start_date":"2017-06-14","description":"","custom_fields":[{"id":1,"name":"Subdivision","value":"EC"},{"id":4,"name":"Milepost","value":"0.0147"},{"id":17,"name":"Train ID","value":"130-14"},{"id":16,"name":"Locomotive ID","value":"4043"},{"id":130,"name":"Impact","value":""},{"id":150,"name":"Time of Event (Mountain Time)","value":"08:50:12"},{"id":151,"name":"Denver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15"/>
        <v>start /low /b %USERPROFILE%\Documents\GitHub\eaglep3\Utilities\DownloadLogsFromS3.py --loco 4043 --day 2017-06-14</v>
      </c>
      <c r="AN42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14:50:12"},{"id":29,"name":"Sharepoint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7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693</v>
      </c>
      <c r="B43" s="7">
        <v>4008</v>
      </c>
      <c r="C43" s="21" t="s">
        <v>202</v>
      </c>
      <c r="D43" s="21" t="s">
        <v>859</v>
      </c>
      <c r="E43" s="13">
        <v>42900.310347222221</v>
      </c>
      <c r="F43" s="13">
        <v>42900.312893518516</v>
      </c>
      <c r="G43" s="7">
        <v>1</v>
      </c>
      <c r="H43" s="21" t="s">
        <v>470</v>
      </c>
      <c r="I43" s="13">
        <v>42900.33693287037</v>
      </c>
      <c r="J43" s="7">
        <v>2</v>
      </c>
      <c r="K43" s="89" t="str">
        <f t="shared" si="0"/>
        <v>4007/4008</v>
      </c>
      <c r="L43" s="21" t="str">
        <f>VLOOKUP(A43,'Trips&amp;Operators'!$C$1:$G$99999,5,FALSE)</f>
        <v>BEAM ROSS</v>
      </c>
      <c r="M43" s="6">
        <f t="shared" si="1"/>
        <v>2.4039351854298729E-2</v>
      </c>
      <c r="N43" s="7">
        <f t="shared" si="2"/>
        <v>34.61666667019017</v>
      </c>
      <c r="O43" s="7"/>
      <c r="P43" s="7"/>
      <c r="Q43" s="22"/>
      <c r="R43" s="170"/>
      <c r="S43" s="215">
        <f t="shared" si="3"/>
        <v>1</v>
      </c>
      <c r="T43" s="195" t="str">
        <f t="shared" si="4"/>
        <v>NorthBound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 t="shared" si="5"/>
        <v>https://d0f6bd738d7f1b3e5a7ca70fe4ff75f0.us-east-1.aws.found.io/app/kibana#/discover/Steve-Slow-Train-Analysis-(2080s-and-2083s)?_g=(refreshInterval:(display:Off,pause:!f,section:0,value:0),time:(from:'2017-06-14T06:26:54-0600',mode:absolute,to:'2017-06-14T09:05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3" s="197" t="str">
        <f>IF(AA43&lt;VLOOKUP(AG43,Variables!$AC$3:$AD$8,2,FALSE),"Y","N")</f>
        <v>N</v>
      </c>
      <c r="X43" s="197">
        <f t="shared" si="6"/>
        <v>1</v>
      </c>
      <c r="Y43" s="197">
        <f t="shared" si="7"/>
        <v>5.0200000000000002E-2</v>
      </c>
      <c r="Z43" s="197">
        <f t="shared" si="8"/>
        <v>23.329499999999999</v>
      </c>
      <c r="AA43" s="197">
        <f t="shared" si="9"/>
        <v>23.279299999999999</v>
      </c>
      <c r="AB43" s="54" t="e">
        <f>VLOOKUP(A43,Enforcements!$C$7:$K$13,8,0)</f>
        <v>#N/A</v>
      </c>
      <c r="AC43" s="51" t="e">
        <f>VLOOKUP(A43,Enforcements!$C$7:$E$13,3,0)</f>
        <v>#N/A</v>
      </c>
      <c r="AD43" s="206">
        <f t="shared" si="10"/>
        <v>131</v>
      </c>
      <c r="AE43" s="77" t="str">
        <f t="shared" si="11"/>
        <v>aws s3 cp s3://rtdc.mdm.uploadarchive.raw/RTDC4008/ "%USERPROFILE%\AppData\Local\Temp\OnboardLogs"\RTDC4008\2017-06-14 --exclude "*" --recursive --include "*20170614*" &amp; "%USERPROFILE%\Documents\GitHub\mrs-test-scripts\Headless Mode &amp; Sideloading\WalkAndUnGZ.bat" "%USERPROFILE%\AppData\Local\Temp\OnboardLogs"\RTDC4008\2017-06-14 &amp; aws s3 cp s3://rtdc.mdm.uploadarchive.raw/RTDC4008/ "%USERPROFILE%\AppData\Local\Temp\OnboardLogs"\RTDC4008\2017-06-15 --exclude "*" --recursive --include "*20170615*" &amp; "%USERPROFILE%\Documents\GitHub\mrs-test-scripts\Headless Mode &amp; Sideloading\WalkAndUnGZ.bat" "%USERPROFILE%\AppData\Local\Temp\OnboardLogs"\RTDC4008\2017-06-15</v>
      </c>
      <c r="AF43" s="74" t="str">
        <f t="shared" si="12"/>
        <v>"C:\Program Files (x86)\AstroGrep\AstroGrep.exe" /e /r /s /spath="%USERPROFILE%\AppData\Local\Temp\OnboardLogs" /stypes="app*4008*20170614*" /stext=" 14:.+((SYSTEM_STATE.+slice.+state.+changed )|(ment ac)|(multiple cpu faults)|(system.+state.+changed )|(\[timeout)|(PRM\|1\|D)|(kpr)|(kdp)|(train st.+moving)|(\|lc)|(penalty))"</v>
      </c>
      <c r="AG43" s="209" t="str">
        <f t="shared" si="17"/>
        <v>EC</v>
      </c>
      <c r="AH43" s="78" t="str">
        <f t="shared" si="13"/>
        <v>"%USERPROFILE%\Documents\GitHub\eaglep3\Utilities\RefineRTDCRunTimes.py" --tripid 131-14 --locoid 4008 --swversion DE.1.0.9.0 --startMP 204:502 --initTime 2017-06-14T07:26:54 --startdatetime 2017-06-14T07:30:34 --delay 1 --endMP 204:233295 --enddatetime 2017-06-14T08:05:11 --enforcementcount 2 &gt;&gt;C:\Users\stu\Documents\GitHub\eaglep3-reporting\EC\2017-06-14-refined-times.txt</v>
      </c>
      <c r="AI43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{"issue":{"subject":"","project_id":79,"tracker_id":40,"status_id":1,"priority_id":2,"assigned_to_id":23,"start_date":"2017-06-14","description":"","custom_fields":[{"id":1,"name":"Subdivision","value":"EC"},{"id":4,"name":"Milepost","value":"23.3295"},{"id":17,"name":"Train ID","value":"131-14"},{"id":16,"name":"Locomotive ID","value":"4008"},{"id":130,"name":"Impact","value":""},{"id":150,"name":"Time of Event (Mountain Time)","value":"08:05:11"},{"id":151,"name":"Denver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15"/>
        <v>start /low /b %USERPROFILE%\Documents\GitHub\eaglep3\Utilities\DownloadLogsFromS3.py --loco 4008 --day 2017-06-14</v>
      </c>
      <c r="AN43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14:05:11"},{"id":29,"name":"Sharepoint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72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702</v>
      </c>
      <c r="B44" s="7">
        <v>4007</v>
      </c>
      <c r="C44" s="21" t="s">
        <v>202</v>
      </c>
      <c r="D44" s="21" t="s">
        <v>563</v>
      </c>
      <c r="E44" s="13">
        <v>42900.342118055552</v>
      </c>
      <c r="F44" s="13">
        <v>42900.352372685185</v>
      </c>
      <c r="G44" s="7">
        <v>1</v>
      </c>
      <c r="H44" s="21" t="s">
        <v>351</v>
      </c>
      <c r="I44" s="13">
        <v>42900.379074074073</v>
      </c>
      <c r="J44" s="7">
        <v>2</v>
      </c>
      <c r="K44" s="89" t="str">
        <f t="shared" si="0"/>
        <v>4007/4008</v>
      </c>
      <c r="L44" s="21" t="str">
        <f>VLOOKUP(A44,'Trips&amp;Operators'!$C$1:$G$99999,5,FALSE)</f>
        <v>BEAM ROSS</v>
      </c>
      <c r="M44" s="6">
        <f t="shared" si="1"/>
        <v>2.6701388887886424E-2</v>
      </c>
      <c r="N44" s="7">
        <f t="shared" si="2"/>
        <v>38.44999999855645</v>
      </c>
      <c r="O44" s="7"/>
      <c r="P44" s="7"/>
      <c r="Q44" s="22"/>
      <c r="R44" s="170"/>
      <c r="S44" s="215">
        <f t="shared" si="3"/>
        <v>1</v>
      </c>
      <c r="T44" s="195" t="str">
        <f t="shared" si="4"/>
        <v>Southbound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 t="shared" si="5"/>
        <v>https://d0f6bd738d7f1b3e5a7ca70fe4ff75f0.us-east-1.aws.found.io/app/kibana#/discover/Steve-Slow-Train-Analysis-(2080s-and-2083s)?_g=(refreshInterval:(display:Off,pause:!f,section:0,value:0),time:(from:'2017-06-14T07:12:39-0600',mode:absolute,to:'2017-06-14T10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4" s="197" t="str">
        <f>IF(AA44&lt;VLOOKUP(AG44,Variables!$AC$3:$AD$8,2,FALSE),"Y","N")</f>
        <v>N</v>
      </c>
      <c r="X44" s="197">
        <f t="shared" si="6"/>
        <v>1</v>
      </c>
      <c r="Y44" s="197">
        <f t="shared" si="7"/>
        <v>23.297999999999998</v>
      </c>
      <c r="Z44" s="197">
        <f t="shared" si="8"/>
        <v>1.43E-2</v>
      </c>
      <c r="AA44" s="197">
        <f t="shared" si="9"/>
        <v>23.2837</v>
      </c>
      <c r="AB44" s="54" t="e">
        <f>VLOOKUP(A44,Enforcements!$C$7:$K$13,8,0)</f>
        <v>#N/A</v>
      </c>
      <c r="AC44" s="51" t="e">
        <f>VLOOKUP(A44,Enforcements!$C$7:$E$13,3,0)</f>
        <v>#N/A</v>
      </c>
      <c r="AD44" s="206">
        <f t="shared" si="10"/>
        <v>132</v>
      </c>
      <c r="AE44" s="77" t="str">
        <f t="shared" si="11"/>
        <v>aws s3 cp s3://rtdc.mdm.uploadarchive.raw/RTDC4007/ "%USERPROFILE%\AppData\Local\Temp\OnboardLogs"\RTDC4007\2017-06-14 --exclude "*" --recursive --include "*20170614*" &amp; "%USERPROFILE%\Documents\GitHub\mrs-test-scripts\Headless Mode &amp; Sideloading\WalkAndUnGZ.bat" "%USERPROFILE%\AppData\Local\Temp\OnboardLogs"\RTDC4007\2017-06-14 &amp; aws s3 cp s3://rtdc.mdm.uploadarchive.raw/RTDC4007/ "%USERPROFILE%\AppData\Local\Temp\OnboardLogs"\RTDC4007\2017-06-15 --exclude "*" --recursive --include "*20170615*" &amp; "%USERPROFILE%\Documents\GitHub\mrs-test-scripts\Headless Mode &amp; Sideloading\WalkAndUnGZ.bat" "%USERPROFILE%\AppData\Local\Temp\OnboardLogs"\RTDC4007\2017-06-15</v>
      </c>
      <c r="AF44" s="74" t="str">
        <f t="shared" si="12"/>
        <v>"C:\Program Files (x86)\AstroGrep\AstroGrep.exe" /e /r /s /spath="%USERPROFILE%\AppData\Local\Temp\OnboardLogs" /stypes="app*4007*20170614*" /stext=" 15:.+((SYSTEM_STATE.+slice.+state.+changed )|(ment ac)|(multiple cpu faults)|(system.+state.+changed )|(\[timeout)|(PRM\|1\|D)|(kpr)|(kdp)|(train st.+moving)|(\|lc)|(penalty))"</v>
      </c>
      <c r="AG44" s="209" t="str">
        <f t="shared" si="17"/>
        <v>EC</v>
      </c>
      <c r="AH44" s="78" t="str">
        <f t="shared" si="13"/>
        <v>"%USERPROFILE%\Documents\GitHub\eaglep3\Utilities\RefineRTDCRunTimes.py" --tripid 132-14 --locoid 4007 --swversion DE.1.0.9.0 --startMP 204:232980 --initTime 2017-06-14T08:12:39 --startdatetime 2017-06-14T08:27:25 --delay 1 --endMP 204:143 --enddatetime 2017-06-14T09:05:52 --enforcementcount 2 &gt;&gt;C:\Users\stu\Documents\GitHub\eaglep3-reporting\EC\2017-06-14-refined-times.txt</v>
      </c>
      <c r="AI44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{"issue":{"subject":"","project_id":79,"tracker_id":40,"status_id":1,"priority_id":2,"assigned_to_id":23,"start_date":"2017-06-14","description":"","custom_fields":[{"id":1,"name":"Subdivision","value":"EC"},{"id":4,"name":"Milepost","value":"0.0143"},{"id":17,"name":"Train ID","value":"132-14"},{"id":16,"name":"Locomotive ID","value":"4007"},{"id":130,"name":"Impact","value":""},{"id":150,"name":"Time of Event (Mountain Time)","value":"09:05:52"},{"id":151,"name":"Denver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15"/>
        <v>start /low /b %USERPROFILE%\Documents\GitHub\eaglep3\Utilities\DownloadLogsFromS3.py --loco 4007 --day 2017-06-14</v>
      </c>
      <c r="AN44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15:05:52"},{"id":29,"name":"Sharepoint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72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697</v>
      </c>
      <c r="B45" s="7">
        <v>4016</v>
      </c>
      <c r="C45" s="21" t="s">
        <v>202</v>
      </c>
      <c r="D45" s="21" t="s">
        <v>485</v>
      </c>
      <c r="E45" s="13">
        <v>42900.31890046296</v>
      </c>
      <c r="F45" s="13">
        <v>42900.323159722226</v>
      </c>
      <c r="G45" s="7">
        <v>1</v>
      </c>
      <c r="H45" s="21" t="s">
        <v>860</v>
      </c>
      <c r="I45" s="13">
        <v>42900.348553240743</v>
      </c>
      <c r="J45" s="7">
        <v>2</v>
      </c>
      <c r="K45" s="89" t="str">
        <f t="shared" si="0"/>
        <v>4015/4016</v>
      </c>
      <c r="L45" s="21" t="str">
        <f>VLOOKUP(A45,'Trips&amp;Operators'!$C$1:$G$99999,5,FALSE)</f>
        <v>STARKS ANGELINA</v>
      </c>
      <c r="M45" s="6">
        <f t="shared" si="1"/>
        <v>2.5393518517375924E-2</v>
      </c>
      <c r="N45" s="7">
        <f t="shared" ref="N45:N63" si="18">24*60*SUM($M45:$M45)</f>
        <v>36.56666666502133</v>
      </c>
      <c r="O45" s="7"/>
      <c r="P45" s="7"/>
      <c r="Q45" s="22"/>
      <c r="R45" s="170"/>
      <c r="S45" s="215">
        <f t="shared" ref="S45:S63" si="19">SUM(U45:U45)/IF(AG45="EC",12,1)</f>
        <v>1</v>
      </c>
      <c r="T45" s="195" t="str">
        <f t="shared" si="4"/>
        <v>NorthBound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 t="shared" si="5"/>
        <v>https://d0f6bd738d7f1b3e5a7ca70fe4ff75f0.us-east-1.aws.found.io/app/kibana#/discover/Steve-Slow-Train-Analysis-(2080s-and-2083s)?_g=(refreshInterval:(display:Off,pause:!f,section:0,value:0),time:(from:'2017-06-14T06:39:13-0600',mode:absolute,to:'2017-06-14T09:21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5" s="197" t="str">
        <f>IF(AA45&lt;VLOOKUP(AG45,Variables!$AC$3:$AD$8,2,FALSE),"Y","N")</f>
        <v>N</v>
      </c>
      <c r="X45" s="197">
        <f t="shared" si="6"/>
        <v>1</v>
      </c>
      <c r="Y45" s="197">
        <f t="shared" ref="Y45:Y76" si="20">RIGHT(D45,LEN(D45)-4)/10000</f>
        <v>4.6899999999999997E-2</v>
      </c>
      <c r="Z45" s="197">
        <f t="shared" ref="Z45:Z76" si="21">RIGHT(H45,LEN(H45)-4)/10000</f>
        <v>23.3276</v>
      </c>
      <c r="AA45" s="197">
        <f t="shared" si="9"/>
        <v>23.2807</v>
      </c>
      <c r="AB45" s="54" t="e">
        <f>VLOOKUP(A45,Enforcements!$C$7:$K$13,8,0)</f>
        <v>#N/A</v>
      </c>
      <c r="AC45" s="51" t="e">
        <f>VLOOKUP(A45,Enforcements!$C$7:$E$13,3,0)</f>
        <v>#N/A</v>
      </c>
      <c r="AD45" s="206">
        <f t="shared" si="10"/>
        <v>133</v>
      </c>
      <c r="AE45" s="77" t="str">
        <f t="shared" si="11"/>
        <v>aws s3 cp s3://rtdc.mdm.uploadarchive.raw/RTDC4016/ "%USERPROFILE%\AppData\Local\Temp\OnboardLogs"\RTDC4016\2017-06-14 --exclude "*" --recursive --include "*20170614*" &amp; "%USERPROFILE%\Documents\GitHub\mrs-test-scripts\Headless Mode &amp; Sideloading\WalkAndUnGZ.bat" "%USERPROFILE%\AppData\Local\Temp\OnboardLogs"\RTDC4016\2017-06-14 &amp; aws s3 cp s3://rtdc.mdm.uploadarchive.raw/RTDC4016/ "%USERPROFILE%\AppData\Local\Temp\OnboardLogs"\RTDC4016\2017-06-15 --exclude "*" --recursive --include "*20170615*" &amp; "%USERPROFILE%\Documents\GitHub\mrs-test-scripts\Headless Mode &amp; Sideloading\WalkAndUnGZ.bat" "%USERPROFILE%\AppData\Local\Temp\OnboardLogs"\RTDC4016\2017-06-15</v>
      </c>
      <c r="AF45" s="74" t="str">
        <f t="shared" si="12"/>
        <v>"C:\Program Files (x86)\AstroGrep\AstroGrep.exe" /e /r /s /spath="%USERPROFILE%\AppData\Local\Temp\OnboardLogs" /stypes="app*4016*20170614*" /stext=" 14:.+((SYSTEM_STATE.+slice.+state.+changed )|(ment ac)|(multiple cpu faults)|(system.+state.+changed )|(\[timeout)|(PRM\|1\|D)|(kpr)|(kdp)|(train st.+moving)|(\|lc)|(penalty))"</v>
      </c>
      <c r="AG45" s="209" t="str">
        <f t="shared" si="17"/>
        <v>EC</v>
      </c>
      <c r="AH45" s="78" t="str">
        <f t="shared" si="13"/>
        <v>"%USERPROFILE%\Documents\GitHub\eaglep3\Utilities\RefineRTDCRunTimes.py" --tripid 133-14 --locoid 4016 --swversion DE.1.0.9.0 --startMP 204:469 --initTime 2017-06-14T07:39:13 --startdatetime 2017-06-14T07:45:21 --delay 1 --endMP 204:233276 --enddatetime 2017-06-14T08:21:55 --enforcementcount 2 &gt;&gt;C:\Users\stu\Documents\GitHub\eaglep3-reporting\EC\2017-06-14-refined-times.txt</v>
      </c>
      <c r="AI45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{"issue":{"subject":"","project_id":79,"tracker_id":40,"status_id":1,"priority_id":2,"assigned_to_id":23,"start_date":"2017-06-14","description":"","custom_fields":[{"id":1,"name":"Subdivision","value":"EC"},{"id":4,"name":"Milepost","value":"23.3276"},{"id":17,"name":"Train ID","value":"133-14"},{"id":16,"name":"Locomotive ID","value":"4016"},{"id":130,"name":"Impact","value":""},{"id":150,"name":"Time of Event (Mountain Time)","value":"08:21:55"},{"id":151,"name":"Denver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15"/>
        <v>start /low /b %USERPROFILE%\Documents\GitHub\eaglep3\Utilities\DownloadLogsFromS3.py --loco 4016 --day 2017-06-14</v>
      </c>
      <c r="AN45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14:21:55"},{"id":29,"name":"Sharepoint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72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706</v>
      </c>
      <c r="B46" s="7">
        <v>4015</v>
      </c>
      <c r="C46" s="21" t="s">
        <v>202</v>
      </c>
      <c r="D46" s="21" t="s">
        <v>420</v>
      </c>
      <c r="E46" s="13">
        <v>42900.359814814816</v>
      </c>
      <c r="F46" s="13">
        <v>42900.362662037034</v>
      </c>
      <c r="G46" s="7">
        <v>1</v>
      </c>
      <c r="H46" s="21" t="s">
        <v>194</v>
      </c>
      <c r="I46" s="13">
        <v>42900.392916666664</v>
      </c>
      <c r="J46" s="7">
        <v>2</v>
      </c>
      <c r="K46" s="89" t="str">
        <f t="shared" si="0"/>
        <v>4015/4016</v>
      </c>
      <c r="L46" s="21" t="str">
        <f>VLOOKUP(A46,'Trips&amp;Operators'!$C$1:$G$99999,5,FALSE)</f>
        <v>STARKS ANGELINA</v>
      </c>
      <c r="M46" s="6">
        <f t="shared" si="1"/>
        <v>3.0254629629780538E-2</v>
      </c>
      <c r="N46" s="7">
        <f t="shared" si="18"/>
        <v>43.566666666883975</v>
      </c>
      <c r="O46" s="7"/>
      <c r="P46" s="7"/>
      <c r="Q46" s="22"/>
      <c r="R46" s="170"/>
      <c r="S46" s="215">
        <f t="shared" si="19"/>
        <v>1</v>
      </c>
      <c r="T46" s="195" t="str">
        <f t="shared" si="4"/>
        <v>Southbound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 t="shared" si="5"/>
        <v>https://d0f6bd738d7f1b3e5a7ca70fe4ff75f0.us-east-1.aws.found.io/app/kibana#/discover/Steve-Slow-Train-Analysis-(2080s-and-2083s)?_g=(refreshInterval:(display:Off,pause:!f,section:0,value:0),time:(from:'2017-06-14T07:38:08-0600',mode:absolute,to:'2017-06-14T10:25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6" s="197" t="str">
        <f>IF(AA46&lt;VLOOKUP(AG46,Variables!$AC$3:$AD$8,2,FALSE),"Y","N")</f>
        <v>N</v>
      </c>
      <c r="X46" s="197">
        <f t="shared" si="6"/>
        <v>1</v>
      </c>
      <c r="Y46" s="197">
        <f t="shared" si="20"/>
        <v>23.297699999999999</v>
      </c>
      <c r="Z46" s="197">
        <f t="shared" si="21"/>
        <v>1.5800000000000002E-2</v>
      </c>
      <c r="AA46" s="197">
        <f t="shared" si="9"/>
        <v>23.2819</v>
      </c>
      <c r="AB46" s="54" t="e">
        <f>VLOOKUP(A46,Enforcements!$C$7:$K$13,8,0)</f>
        <v>#N/A</v>
      </c>
      <c r="AC46" s="51" t="e">
        <f>VLOOKUP(A46,Enforcements!$C$7:$E$13,3,0)</f>
        <v>#N/A</v>
      </c>
      <c r="AD46" s="206">
        <f t="shared" si="10"/>
        <v>134</v>
      </c>
      <c r="AE46" s="77" t="str">
        <f t="shared" si="11"/>
        <v>aws s3 cp s3://rtdc.mdm.uploadarchive.raw/RTDC4015/ "%USERPROFILE%\AppData\Local\Temp\OnboardLogs"\RTDC4015\2017-06-14 --exclude "*" --recursive --include "*20170614*" &amp; "%USERPROFILE%\Documents\GitHub\mrs-test-scripts\Headless Mode &amp; Sideloading\WalkAndUnGZ.bat" "%USERPROFILE%\AppData\Local\Temp\OnboardLogs"\RTDC4015\2017-06-14 &amp; aws s3 cp s3://rtdc.mdm.uploadarchive.raw/RTDC4015/ "%USERPROFILE%\AppData\Local\Temp\OnboardLogs"\RTDC4015\2017-06-15 --exclude "*" --recursive --include "*20170615*" &amp; "%USERPROFILE%\Documents\GitHub\mrs-test-scripts\Headless Mode &amp; Sideloading\WalkAndUnGZ.bat" "%USERPROFILE%\AppData\Local\Temp\OnboardLogs"\RTDC4015\2017-06-15</v>
      </c>
      <c r="AF46" s="74" t="str">
        <f t="shared" si="12"/>
        <v>"C:\Program Files (x86)\AstroGrep\AstroGrep.exe" /e /r /s /spath="%USERPROFILE%\AppData\Local\Temp\OnboardLogs" /stypes="app*4015*20170614*" /stext=" 15:.+((SYSTEM_STATE.+slice.+state.+changed )|(ment ac)|(multiple cpu faults)|(system.+state.+changed )|(\[timeout)|(PRM\|1\|D)|(kpr)|(kdp)|(train st.+moving)|(\|lc)|(penalty))"</v>
      </c>
      <c r="AG46" s="209" t="str">
        <f t="shared" si="17"/>
        <v>EC</v>
      </c>
      <c r="AH46" s="78" t="str">
        <f t="shared" si="13"/>
        <v>"%USERPROFILE%\Documents\GitHub\eaglep3\Utilities\RefineRTDCRunTimes.py" --tripid 134-14 --locoid 4015 --swversion DE.1.0.9.0 --startMP 204:232977 --initTime 2017-06-14T08:38:08 --startdatetime 2017-06-14T08:42:14 --delay 1 --endMP 204:158 --enddatetime 2017-06-14T09:25:48 --enforcementcount 2 &gt;&gt;C:\Users\stu\Documents\GitHub\eaglep3-reporting\EC\2017-06-14-refined-times.txt</v>
      </c>
      <c r="AI46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{"issue":{"subject":"","project_id":79,"tracker_id":40,"status_id":1,"priority_id":2,"assigned_to_id":23,"start_date":"2017-06-14","description":"","custom_fields":[{"id":1,"name":"Subdivision","value":"EC"},{"id":4,"name":"Milepost","value":"0.0158"},{"id":17,"name":"Train ID","value":"134-14"},{"id":16,"name":"Locomotive ID","value":"4015"},{"id":130,"name":"Impact","value":""},{"id":150,"name":"Time of Event (Mountain Time)","value":"09:25:48"},{"id":151,"name":"Denver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15"/>
        <v>start /low /b %USERPROFILE%\Documents\GitHub\eaglep3\Utilities\DownloadLogsFromS3.py --loco 4015 --day 2017-06-14</v>
      </c>
      <c r="AN46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15:25:48"},{"id":29,"name":"Sharepoint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72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699</v>
      </c>
      <c r="B47" s="7">
        <v>4056</v>
      </c>
      <c r="C47" s="21" t="s">
        <v>202</v>
      </c>
      <c r="D47" s="21" t="s">
        <v>199</v>
      </c>
      <c r="E47" s="13">
        <v>42900.330671296295</v>
      </c>
      <c r="F47" s="13">
        <v>42900.333611111113</v>
      </c>
      <c r="G47" s="7">
        <v>1</v>
      </c>
      <c r="H47" s="21" t="s">
        <v>438</v>
      </c>
      <c r="I47" s="13">
        <v>42900.358090277776</v>
      </c>
      <c r="J47" s="7">
        <v>2</v>
      </c>
      <c r="K47" s="89" t="str">
        <f t="shared" si="0"/>
        <v>4055/4056</v>
      </c>
      <c r="L47" s="21" t="str">
        <f>VLOOKUP(A47,'Trips&amp;Operators'!$C$1:$G$99999,5,FALSE)</f>
        <v>HELVIE ADAM</v>
      </c>
      <c r="M47" s="6">
        <f t="shared" si="1"/>
        <v>2.4479166662786156E-2</v>
      </c>
      <c r="N47" s="7">
        <f t="shared" si="18"/>
        <v>35.249999994412065</v>
      </c>
      <c r="O47" s="7"/>
      <c r="P47" s="7"/>
      <c r="Q47" s="22"/>
      <c r="R47" s="170"/>
      <c r="S47" s="215">
        <f t="shared" si="19"/>
        <v>1</v>
      </c>
      <c r="T47" s="195" t="str">
        <f t="shared" si="4"/>
        <v>NorthBound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 t="shared" si="5"/>
        <v>https://d0f6bd738d7f1b3e5a7ca70fe4ff75f0.us-east-1.aws.found.io/app/kibana#/discover/Steve-Slow-Train-Analysis-(2080s-and-2083s)?_g=(refreshInterval:(display:Off,pause:!f,section:0,value:0),time:(from:'2017-06-14T06:56:10-0600',mode:absolute,to:'2017-06-14T09:35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47" s="197" t="str">
        <f>IF(AA47&lt;VLOOKUP(AG47,Variables!$AC$3:$AD$8,2,FALSE),"Y","N")</f>
        <v>N</v>
      </c>
      <c r="X47" s="197">
        <f t="shared" si="6"/>
        <v>1</v>
      </c>
      <c r="Y47" s="197">
        <f t="shared" si="20"/>
        <v>4.5999999999999999E-2</v>
      </c>
      <c r="Z47" s="197">
        <f t="shared" si="21"/>
        <v>23.329699999999999</v>
      </c>
      <c r="AA47" s="197">
        <f t="shared" si="9"/>
        <v>23.2837</v>
      </c>
      <c r="AB47" s="54" t="e">
        <f>VLOOKUP(A47,Enforcements!$C$7:$K$13,8,0)</f>
        <v>#N/A</v>
      </c>
      <c r="AC47" s="51" t="e">
        <f>VLOOKUP(A47,Enforcements!$C$7:$E$13,3,0)</f>
        <v>#N/A</v>
      </c>
      <c r="AD47" s="206">
        <f t="shared" si="10"/>
        <v>135</v>
      </c>
      <c r="AE47" s="77" t="str">
        <f t="shared" si="11"/>
        <v>aws s3 cp s3://rtdc.mdm.uploadarchive.raw/RTDC4056/ "%USERPROFILE%\AppData\Local\Temp\OnboardLogs"\RTDC4056\2017-06-14 --exclude "*" --recursive --include "*20170614*" &amp; "%USERPROFILE%\Documents\GitHub\mrs-test-scripts\Headless Mode &amp; Sideloading\WalkAndUnGZ.bat" "%USERPROFILE%\AppData\Local\Temp\OnboardLogs"\RTDC4056\2017-06-14 &amp; aws s3 cp s3://rtdc.mdm.uploadarchive.raw/RTDC4056/ "%USERPROFILE%\AppData\Local\Temp\OnboardLogs"\RTDC4056\2017-06-15 --exclude "*" --recursive --include "*20170615*" &amp; "%USERPROFILE%\Documents\GitHub\mrs-test-scripts\Headless Mode &amp; Sideloading\WalkAndUnGZ.bat" "%USERPROFILE%\AppData\Local\Temp\OnboardLogs"\RTDC4056\2017-06-15</v>
      </c>
      <c r="AF47" s="74" t="str">
        <f t="shared" si="12"/>
        <v>"C:\Program Files (x86)\AstroGrep\AstroGrep.exe" /e /r /s /spath="%USERPROFILE%\AppData\Local\Temp\OnboardLogs" /stypes="app*4056*20170614*" /stext=" 14:.+((SYSTEM_STATE.+slice.+state.+changed )|(ment ac)|(multiple cpu faults)|(system.+state.+changed )|(\[timeout)|(PRM\|1\|D)|(kpr)|(kdp)|(train st.+moving)|(\|lc)|(penalty))"</v>
      </c>
      <c r="AG47" s="209" t="str">
        <f t="shared" si="17"/>
        <v>EC</v>
      </c>
      <c r="AH47" s="78" t="str">
        <f t="shared" si="13"/>
        <v>"%USERPROFILE%\Documents\GitHub\eaglep3\Utilities\RefineRTDCRunTimes.py" --tripid 135-14 --locoid 4056 --swversion DE.1.0.9.0 --startMP 204:460 --initTime 2017-06-14T07:56:10 --startdatetime 2017-06-14T08:00:24 --delay 1 --endMP 204:233297 --enddatetime 2017-06-14T08:35:39 --enforcementcount 2 &gt;&gt;C:\Users\stu\Documents\GitHub\eaglep3-reporting\EC\2017-06-14-refined-times.txt</v>
      </c>
      <c r="AI47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{"issue":{"subject":"","project_id":79,"tracker_id":40,"status_id":1,"priority_id":2,"assigned_to_id":23,"start_date":"2017-06-14","description":"","custom_fields":[{"id":1,"name":"Subdivision","value":"EC"},{"id":4,"name":"Milepost","value":"23.3297"},{"id":17,"name":"Train ID","value":"135-14"},{"id":16,"name":"Locomotive ID","value":"4056"},{"id":130,"name":"Impact","value":""},{"id":150,"name":"Time of Event (Mountain Time)","value":"08:35:39"},{"id":151,"name":"Denver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15"/>
        <v>start /low /b %USERPROFILE%\Documents\GitHub\eaglep3\Utilities\DownloadLogsFromS3.py --loco 4056 --day 2017-06-14</v>
      </c>
      <c r="AN47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14:35:39"},{"id":29,"name":"Sharepoint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72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708</v>
      </c>
      <c r="B48" s="7">
        <v>4055</v>
      </c>
      <c r="C48" s="21" t="s">
        <v>202</v>
      </c>
      <c r="D48" s="21" t="s">
        <v>490</v>
      </c>
      <c r="E48" s="13">
        <v>42900.370578703703</v>
      </c>
      <c r="F48" s="13">
        <v>42900.373101851852</v>
      </c>
      <c r="G48" s="7">
        <v>1</v>
      </c>
      <c r="H48" s="21" t="s">
        <v>350</v>
      </c>
      <c r="I48" s="13">
        <v>42900.399155092593</v>
      </c>
      <c r="J48" s="7">
        <v>2</v>
      </c>
      <c r="K48" s="89" t="str">
        <f t="shared" si="0"/>
        <v>4055/4056</v>
      </c>
      <c r="L48" s="21" t="str">
        <f>VLOOKUP(A48,'Trips&amp;Operators'!$C$1:$G$99999,5,FALSE)</f>
        <v>HELVIE ADAM</v>
      </c>
      <c r="M48" s="6">
        <f t="shared" si="1"/>
        <v>2.6053240741021E-2</v>
      </c>
      <c r="N48" s="7">
        <f t="shared" si="18"/>
        <v>37.51666666707024</v>
      </c>
      <c r="O48" s="7"/>
      <c r="P48" s="7"/>
      <c r="Q48" s="22"/>
      <c r="R48" s="170"/>
      <c r="S48" s="215">
        <f t="shared" si="19"/>
        <v>1</v>
      </c>
      <c r="T48" s="195" t="str">
        <f t="shared" si="4"/>
        <v>Southbound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 t="shared" si="5"/>
        <v>https://d0f6bd738d7f1b3e5a7ca70fe4ff75f0.us-east-1.aws.found.io/app/kibana#/discover/Steve-Slow-Train-Analysis-(2080s-and-2083s)?_g=(refreshInterval:(display:Off,pause:!f,section:0,value:0),time:(from:'2017-06-14T07:53:38-0600',mode:absolute,to:'2017-06-14T10:34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48" s="197" t="str">
        <f>IF(AA48&lt;VLOOKUP(AG48,Variables!$AC$3:$AD$8,2,FALSE),"Y","N")</f>
        <v>N</v>
      </c>
      <c r="X48" s="197">
        <f t="shared" si="6"/>
        <v>1</v>
      </c>
      <c r="Y48" s="197">
        <f t="shared" si="20"/>
        <v>23.297499999999999</v>
      </c>
      <c r="Z48" s="197">
        <f t="shared" si="21"/>
        <v>1.49E-2</v>
      </c>
      <c r="AA48" s="197">
        <f t="shared" si="9"/>
        <v>23.282599999999999</v>
      </c>
      <c r="AB48" s="54" t="e">
        <f>VLOOKUP(A48,Enforcements!$C$7:$K$13,8,0)</f>
        <v>#N/A</v>
      </c>
      <c r="AC48" s="51" t="e">
        <f>VLOOKUP(A48,Enforcements!$C$7:$E$13,3,0)</f>
        <v>#N/A</v>
      </c>
      <c r="AD48" s="206">
        <f t="shared" si="10"/>
        <v>136</v>
      </c>
      <c r="AE48" s="77" t="str">
        <f t="shared" si="11"/>
        <v>aws s3 cp s3://rtdc.mdm.uploadarchive.raw/RTDC4055/ "%USERPROFILE%\AppData\Local\Temp\OnboardLogs"\RTDC4055\2017-06-14 --exclude "*" --recursive --include "*20170614*" &amp; "%USERPROFILE%\Documents\GitHub\mrs-test-scripts\Headless Mode &amp; Sideloading\WalkAndUnGZ.bat" "%USERPROFILE%\AppData\Local\Temp\OnboardLogs"\RTDC4055\2017-06-14 &amp; aws s3 cp s3://rtdc.mdm.uploadarchive.raw/RTDC4055/ "%USERPROFILE%\AppData\Local\Temp\OnboardLogs"\RTDC4055\2017-06-15 --exclude "*" --recursive --include "*20170615*" &amp; "%USERPROFILE%\Documents\GitHub\mrs-test-scripts\Headless Mode &amp; Sideloading\WalkAndUnGZ.bat" "%USERPROFILE%\AppData\Local\Temp\OnboardLogs"\RTDC4055\2017-06-15</v>
      </c>
      <c r="AF48" s="74" t="str">
        <f t="shared" si="12"/>
        <v>"C:\Program Files (x86)\AstroGrep\AstroGrep.exe" /e /r /s /spath="%USERPROFILE%\AppData\Local\Temp\OnboardLogs" /stypes="app*4055*20170614*" /stext=" 15:.+((SYSTEM_STATE.+slice.+state.+changed )|(ment ac)|(multiple cpu faults)|(system.+state.+changed )|(\[timeout)|(PRM\|1\|D)|(kpr)|(kdp)|(train st.+moving)|(\|lc)|(penalty))"</v>
      </c>
      <c r="AG48" s="209" t="str">
        <f t="shared" si="17"/>
        <v>EC</v>
      </c>
      <c r="AH48" s="78" t="str">
        <f t="shared" si="13"/>
        <v>"%USERPROFILE%\Documents\GitHub\eaglep3\Utilities\RefineRTDCRunTimes.py" --tripid 136-14 --locoid 4055 --swversion DE.1.0.9.0 --startMP 204:232975 --initTime 2017-06-14T08:53:38 --startdatetime 2017-06-14T08:57:16 --delay 1 --endMP 204:149 --enddatetime 2017-06-14T09:34:47 --enforcementcount 2 &gt;&gt;C:\Users\stu\Documents\GitHub\eaglep3-reporting\EC\2017-06-14-refined-times.txt</v>
      </c>
      <c r="AI48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{"issue":{"subject":"","project_id":79,"tracker_id":40,"status_id":1,"priority_id":2,"assigned_to_id":23,"start_date":"2017-06-14","description":"","custom_fields":[{"id":1,"name":"Subdivision","value":"EC"},{"id":4,"name":"Milepost","value":"0.0149"},{"id":17,"name":"Train ID","value":"136-14"},{"id":16,"name":"Locomotive ID","value":"4055"},{"id":130,"name":"Impact","value":""},{"id":150,"name":"Time of Event (Mountain Time)","value":"09:34:47"},{"id":151,"name":"Denver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15"/>
        <v>start /low /b %USERPROFILE%\Documents\GitHub\eaglep3\Utilities\DownloadLogsFromS3.py --loco 4055 --day 2017-06-14</v>
      </c>
      <c r="AN48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15:34:47"},{"id":29,"name":"Sharepoint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72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615</v>
      </c>
      <c r="B49" s="7">
        <v>4040</v>
      </c>
      <c r="C49" s="21" t="s">
        <v>202</v>
      </c>
      <c r="D49" s="21" t="s">
        <v>570</v>
      </c>
      <c r="E49" s="13">
        <v>42900.339363425926</v>
      </c>
      <c r="F49" s="13">
        <v>42900.343935185185</v>
      </c>
      <c r="G49" s="7">
        <v>1</v>
      </c>
      <c r="H49" s="21" t="s">
        <v>561</v>
      </c>
      <c r="I49" s="13">
        <v>42900.372685185182</v>
      </c>
      <c r="J49" s="7">
        <v>2</v>
      </c>
      <c r="K49" s="89" t="str">
        <f t="shared" si="0"/>
        <v>4039/4040</v>
      </c>
      <c r="L49" s="21" t="str">
        <f>VLOOKUP(A49,'Trips&amp;Operators'!$C$1:$G$99999,5,FALSE)</f>
        <v>DAVIS WENDY</v>
      </c>
      <c r="M49" s="6">
        <f t="shared" si="1"/>
        <v>2.8749999997671694E-2</v>
      </c>
      <c r="N49" s="7">
        <f t="shared" si="18"/>
        <v>41.399999996647239</v>
      </c>
      <c r="O49" s="7"/>
      <c r="P49" s="7"/>
      <c r="Q49" s="22"/>
      <c r="R49" s="170"/>
      <c r="S49" s="215">
        <f t="shared" si="19"/>
        <v>1</v>
      </c>
      <c r="T49" s="195" t="str">
        <f t="shared" si="4"/>
        <v>NorthBound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 t="shared" si="5"/>
        <v>https://d0f6bd738d7f1b3e5a7ca70fe4ff75f0.us-east-1.aws.found.io/app/kibana#/discover/Steve-Slow-Train-Analysis-(2080s-and-2083s)?_g=(refreshInterval:(display:Off,pause:!f,section:0,value:0),time:(from:'2017-06-14T07:08:41-0600',mode:absolute,to:'2017-06-14T09:56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9" s="197" t="str">
        <f>IF(AA49&lt;VLOOKUP(AG49,Variables!$AC$3:$AD$8,2,FALSE),"Y","N")</f>
        <v>N</v>
      </c>
      <c r="X49" s="197">
        <f t="shared" si="6"/>
        <v>1</v>
      </c>
      <c r="Y49" s="197">
        <f t="shared" si="20"/>
        <v>4.3799999999999999E-2</v>
      </c>
      <c r="Z49" s="197">
        <f t="shared" si="21"/>
        <v>23.331399999999999</v>
      </c>
      <c r="AA49" s="197">
        <f t="shared" si="9"/>
        <v>23.287599999999998</v>
      </c>
      <c r="AB49" s="54" t="str">
        <f>VLOOKUP(A49,Enforcements!$C$7:$K$13,8,0)</f>
        <v>Bulletin (2)</v>
      </c>
      <c r="AC49" s="51" t="str">
        <f>VLOOKUP(A49,Enforcements!$C$7:$E$13,3,0)</f>
        <v>GRADE CROSSING</v>
      </c>
      <c r="AD49" s="206">
        <f t="shared" si="10"/>
        <v>137</v>
      </c>
      <c r="AE49" s="77" t="str">
        <f t="shared" si="11"/>
        <v>aws s3 cp s3://rtdc.mdm.uploadarchive.raw/RTDC4040/ "%USERPROFILE%\AppData\Local\Temp\OnboardLogs"\RTDC4040\2017-06-14 --exclude "*" --recursive --include "*20170614*" &amp; "%USERPROFILE%\Documents\GitHub\mrs-test-scripts\Headless Mode &amp; Sideloading\WalkAndUnGZ.bat" "%USERPROFILE%\AppData\Local\Temp\OnboardLogs"\RTDC4040\2017-06-14 &amp; aws s3 cp s3://rtdc.mdm.uploadarchive.raw/RTDC4040/ "%USERPROFILE%\AppData\Local\Temp\OnboardLogs"\RTDC4040\2017-06-15 --exclude "*" --recursive --include "*20170615*" &amp; "%USERPROFILE%\Documents\GitHub\mrs-test-scripts\Headless Mode &amp; Sideloading\WalkAndUnGZ.bat" "%USERPROFILE%\AppData\Local\Temp\OnboardLogs"\RTDC4040\2017-06-15</v>
      </c>
      <c r="AF49" s="74" t="str">
        <f t="shared" si="12"/>
        <v>"C:\Program Files (x86)\AstroGrep\AstroGrep.exe" /e /r /s /spath="%USERPROFILE%\AppData\Local\Temp\OnboardLogs" /stypes="app*4040*20170614*" /stext=" 14:.+((SYSTEM_STATE.+slice.+state.+changed )|(ment ac)|(multiple cpu faults)|(system.+state.+changed )|(\[timeout)|(PRM\|1\|D)|(kpr)|(kdp)|(train st.+moving)|(\|lc)|(penalty))"</v>
      </c>
      <c r="AG49" s="209" t="str">
        <f t="shared" si="17"/>
        <v>EC</v>
      </c>
      <c r="AH49" s="78" t="str">
        <f t="shared" si="13"/>
        <v>"%USERPROFILE%\Documents\GitHub\eaglep3\Utilities\RefineRTDCRunTimes.py" --tripid 137-14 --locoid 4040 --swversion DE.1.0.9.0 --startMP 204:438 --initTime 2017-06-14T08:08:41 --startdatetime 2017-06-14T08:15:16 --delay 1 --endMP 204:233314 --enddatetime 2017-06-14T08:56:40 --enforcementcount 2 &gt;&gt;C:\Users\stu\Documents\GitHub\eaglep3-reporting\EC\2017-06-14-refined-times.txt</v>
      </c>
      <c r="AI49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{"issue":{"subject":"","project_id":79,"tracker_id":40,"status_id":1,"priority_id":2,"assigned_to_id":23,"start_date":"2017-06-14","description":"","custom_fields":[{"id":1,"name":"Subdivision","value":"EC"},{"id":4,"name":"Milepost","value":"23.3314"},{"id":17,"name":"Train ID","value":"137-14"},{"id":16,"name":"Locomotive ID","value":"4040"},{"id":130,"name":"Impact","value":""},{"id":150,"name":"Time of Event (Mountain Time)","value":"08:56:40"},{"id":151,"name":"Denver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15"/>
        <v>start /low /b %USERPROFILE%\Documents\GitHub\eaglep3\Utilities\DownloadLogsFromS3.py --loco 4040 --day 2017-06-14</v>
      </c>
      <c r="AN49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14:56:40"},{"id":29,"name":"Sharepoint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72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617</v>
      </c>
      <c r="B50" s="7">
        <v>4039</v>
      </c>
      <c r="C50" s="21" t="s">
        <v>202</v>
      </c>
      <c r="D50" s="21" t="s">
        <v>479</v>
      </c>
      <c r="E50" s="13">
        <v>42900.380428240744</v>
      </c>
      <c r="F50" s="13">
        <v>42900.38349537037</v>
      </c>
      <c r="G50" s="7">
        <v>1</v>
      </c>
      <c r="H50" s="21" t="s">
        <v>421</v>
      </c>
      <c r="I50" s="13">
        <v>42900.411307870374</v>
      </c>
      <c r="J50" s="7">
        <v>2</v>
      </c>
      <c r="K50" s="89" t="str">
        <f t="shared" si="0"/>
        <v>4039/4040</v>
      </c>
      <c r="L50" s="21" t="str">
        <f>VLOOKUP(A50,'Trips&amp;Operators'!$C$1:$G$99999,5,FALSE)</f>
        <v>DAVIS WENDY</v>
      </c>
      <c r="M50" s="6">
        <f t="shared" si="1"/>
        <v>2.7812500004074536E-2</v>
      </c>
      <c r="N50" s="7">
        <f t="shared" si="18"/>
        <v>40.050000005867332</v>
      </c>
      <c r="O50" s="7"/>
      <c r="P50" s="7"/>
      <c r="Q50" s="22"/>
      <c r="R50" s="170"/>
      <c r="S50" s="215">
        <f t="shared" si="19"/>
        <v>1</v>
      </c>
      <c r="T50" s="195" t="str">
        <f t="shared" si="4"/>
        <v>Southbound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 t="shared" si="5"/>
        <v>https://d0f6bd738d7f1b3e5a7ca70fe4ff75f0.us-east-1.aws.found.io/app/kibana#/discover/Steve-Slow-Train-Analysis-(2080s-and-2083s)?_g=(refreshInterval:(display:Off,pause:!f,section:0,value:0),time:(from:'2017-06-14T08:07:49-0600',mode:absolute,to:'2017-06-14T10:52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0" s="197" t="str">
        <f>IF(AA50&lt;VLOOKUP(AG50,Variables!$AC$3:$AD$8,2,FALSE),"Y","N")</f>
        <v>N</v>
      </c>
      <c r="X50" s="197">
        <f t="shared" si="6"/>
        <v>1</v>
      </c>
      <c r="Y50" s="197">
        <f t="shared" si="20"/>
        <v>23.299299999999999</v>
      </c>
      <c r="Z50" s="197">
        <f t="shared" si="21"/>
        <v>1.4500000000000001E-2</v>
      </c>
      <c r="AA50" s="197">
        <f t="shared" si="9"/>
        <v>23.284799999999997</v>
      </c>
      <c r="AB50" s="54" t="str">
        <f>VLOOKUP(A50,Enforcements!$C$7:$K$13,8,0)</f>
        <v>Bulletin (2)</v>
      </c>
      <c r="AC50" s="51" t="str">
        <f>VLOOKUP(A50,Enforcements!$C$7:$E$13,3,0)</f>
        <v>GRADE CROSSING</v>
      </c>
      <c r="AD50" s="206">
        <f t="shared" si="10"/>
        <v>138</v>
      </c>
      <c r="AE50" s="77" t="str">
        <f t="shared" si="11"/>
        <v>aws s3 cp s3://rtdc.mdm.uploadarchive.raw/RTDC4039/ "%USERPROFILE%\AppData\Local\Temp\OnboardLogs"\RTDC4039\2017-06-14 --exclude "*" --recursive --include "*20170614*" &amp; "%USERPROFILE%\Documents\GitHub\mrs-test-scripts\Headless Mode &amp; Sideloading\WalkAndUnGZ.bat" "%USERPROFILE%\AppData\Local\Temp\OnboardLogs"\RTDC4039\2017-06-14 &amp; aws s3 cp s3://rtdc.mdm.uploadarchive.raw/RTDC4039/ "%USERPROFILE%\AppData\Local\Temp\OnboardLogs"\RTDC4039\2017-06-15 --exclude "*" --recursive --include "*20170615*" &amp; "%USERPROFILE%\Documents\GitHub\mrs-test-scripts\Headless Mode &amp; Sideloading\WalkAndUnGZ.bat" "%USERPROFILE%\AppData\Local\Temp\OnboardLogs"\RTDC4039\2017-06-15</v>
      </c>
      <c r="AF50" s="74" t="str">
        <f t="shared" si="12"/>
        <v>"C:\Program Files (x86)\AstroGrep\AstroGrep.exe" /e /r /s /spath="%USERPROFILE%\AppData\Local\Temp\OnboardLogs" /stypes="app*4039*20170614*" /stext=" 15:.+((SYSTEM_STATE.+slice.+state.+changed )|(ment ac)|(multiple cpu faults)|(system.+state.+changed )|(\[timeout)|(PRM\|1\|D)|(kpr)|(kdp)|(train st.+moving)|(\|lc)|(penalty))"</v>
      </c>
      <c r="AG50" s="209" t="str">
        <f t="shared" si="17"/>
        <v>EC</v>
      </c>
      <c r="AH50" s="78" t="str">
        <f t="shared" si="13"/>
        <v>"%USERPROFILE%\Documents\GitHub\eaglep3\Utilities\RefineRTDCRunTimes.py" --tripid 138-14 --locoid 4039 --swversion DE.1.0.9.0 --startMP 204:232993 --initTime 2017-06-14T09:07:49 --startdatetime 2017-06-14T09:12:14 --delay 1 --endMP 204:145 --enddatetime 2017-06-14T09:52:17 --enforcementcount 2 &gt;&gt;C:\Users\stu\Documents\GitHub\eaglep3-reporting\EC\2017-06-14-refined-times.txt</v>
      </c>
      <c r="AI50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{"issue":{"subject":"","project_id":79,"tracker_id":40,"status_id":1,"priority_id":2,"assigned_to_id":23,"start_date":"2017-06-14","description":"","custom_fields":[{"id":1,"name":"Subdivision","value":"EC"},{"id":4,"name":"Milepost","value":"0.0145"},{"id":17,"name":"Train ID","value":"138-14"},{"id":16,"name":"Locomotive ID","value":"4039"},{"id":130,"name":"Impact","value":""},{"id":150,"name":"Time of Event (Mountain Time)","value":"09:52:17"},{"id":151,"name":"Denver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15"/>
        <v>start /low /b %USERPROFILE%\Documents\GitHub\eaglep3\Utilities\DownloadLogsFromS3.py --loco 4039 --day 2017-06-14</v>
      </c>
      <c r="AN50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15:52:17"},{"id":29,"name":"Sharepoint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72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703</v>
      </c>
      <c r="B51" s="7">
        <v>4010</v>
      </c>
      <c r="C51" s="21" t="s">
        <v>202</v>
      </c>
      <c r="D51" s="21" t="s">
        <v>356</v>
      </c>
      <c r="E51" s="13">
        <v>42900.350416666668</v>
      </c>
      <c r="F51" s="13">
        <v>42900.35434027778</v>
      </c>
      <c r="G51" s="7">
        <v>0</v>
      </c>
      <c r="H51" s="21" t="s">
        <v>472</v>
      </c>
      <c r="I51" s="13">
        <v>42900.380150462966</v>
      </c>
      <c r="J51" s="7">
        <v>2</v>
      </c>
      <c r="K51" s="89" t="str">
        <f t="shared" si="0"/>
        <v>4009/4010</v>
      </c>
      <c r="L51" s="21" t="str">
        <f>VLOOKUP(A51,'Trips&amp;Operators'!$C$1:$G$99999,5,FALSE)</f>
        <v>BONDS REYNALDO</v>
      </c>
      <c r="M51" s="6">
        <f t="shared" si="1"/>
        <v>2.5810185186855961E-2</v>
      </c>
      <c r="N51" s="7">
        <f t="shared" si="18"/>
        <v>37.166666669072583</v>
      </c>
      <c r="O51" s="7"/>
      <c r="P51" s="7"/>
      <c r="Q51" s="22"/>
      <c r="R51" s="170"/>
      <c r="S51" s="215">
        <f t="shared" si="19"/>
        <v>1</v>
      </c>
      <c r="T51" s="195" t="str">
        <f t="shared" si="4"/>
        <v>NorthBound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 t="shared" si="5"/>
        <v>https://d0f6bd738d7f1b3e5a7ca70fe4ff75f0.us-east-1.aws.found.io/app/kibana#/discover/Steve-Slow-Train-Analysis-(2080s-and-2083s)?_g=(refreshInterval:(display:Off,pause:!f,section:0,value:0),time:(from:'2017-06-14T07:24:36-0600',mode:absolute,to:'2017-06-14T10:07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1" s="197" t="str">
        <f>IF(AA51&lt;VLOOKUP(AG51,Variables!$AC$3:$AD$8,2,FALSE),"Y","N")</f>
        <v>N</v>
      </c>
      <c r="X51" s="197">
        <f t="shared" si="6"/>
        <v>1</v>
      </c>
      <c r="Y51" s="197">
        <f t="shared" si="20"/>
        <v>4.4699999999999997E-2</v>
      </c>
      <c r="Z51" s="197">
        <f t="shared" si="21"/>
        <v>23.329899999999999</v>
      </c>
      <c r="AA51" s="197">
        <f t="shared" si="9"/>
        <v>23.2852</v>
      </c>
      <c r="AB51" s="54" t="e">
        <f>VLOOKUP(A51,Enforcements!$C$7:$K$13,8,0)</f>
        <v>#N/A</v>
      </c>
      <c r="AC51" s="51" t="e">
        <f>VLOOKUP(A51,Enforcements!$C$7:$E$13,3,0)</f>
        <v>#N/A</v>
      </c>
      <c r="AD51" s="206">
        <f t="shared" si="10"/>
        <v>139</v>
      </c>
      <c r="AE51" s="77" t="str">
        <f t="shared" si="11"/>
        <v>aws s3 cp s3://rtdc.mdm.uploadarchive.raw/RTDC4010/ "%USERPROFILE%\AppData\Local\Temp\OnboardLogs"\RTDC4010\2017-06-14 --exclude "*" --recursive --include "*20170614*" &amp; "%USERPROFILE%\Documents\GitHub\mrs-test-scripts\Headless Mode &amp; Sideloading\WalkAndUnGZ.bat" "%USERPROFILE%\AppData\Local\Temp\OnboardLogs"\RTDC4010\2017-06-14 &amp; 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</v>
      </c>
      <c r="AF51" s="74" t="str">
        <f t="shared" si="12"/>
        <v>"C:\Program Files (x86)\AstroGrep\AstroGrep.exe" /e /r /s /spath="%USERPROFILE%\AppData\Local\Temp\OnboardLogs" /stypes="app*4010*20170614*" /stext=" 15:.+((SYSTEM_STATE.+slice.+state.+changed )|(ment ac)|(multiple cpu faults)|(system.+state.+changed )|(\[timeout)|(PRM\|1\|D)|(kpr)|(kdp)|(train st.+moving)|(\|lc)|(penalty))"</v>
      </c>
      <c r="AG51" s="209" t="str">
        <f t="shared" si="17"/>
        <v>EC</v>
      </c>
      <c r="AH51" s="78" t="str">
        <f t="shared" si="13"/>
        <v>"%USERPROFILE%\Documents\GitHub\eaglep3\Utilities\RefineRTDCRunTimes.py" --tripid 139-14 --locoid 4010 --swversion DE.1.0.9.0 --startMP 204:447 --initTime 2017-06-14T08:24:36 --startdatetime 2017-06-14T08:30:15 --delay 0 --endMP 204:233299 --enddatetime 2017-06-14T09:07:25 --enforcementcount 2 &gt;&gt;C:\Users\stu\Documents\GitHub\eaglep3-reporting\EC\2017-06-14-refined-times.txt</v>
      </c>
      <c r="AI51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{"issue":{"subject":"","project_id":79,"tracker_id":40,"status_id":1,"priority_id":2,"assigned_to_id":23,"start_date":"2017-06-14","description":"","custom_fields":[{"id":1,"name":"Subdivision","value":"EC"},{"id":4,"name":"Milepost","value":"23.3299"},{"id":17,"name":"Train ID","value":"139-14"},{"id":16,"name":"Locomotive ID","value":"4010"},{"id":130,"name":"Impact","value":""},{"id":150,"name":"Time of Event (Mountain Time)","value":"09:07:25"},{"id":151,"name":"Denver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15"/>
        <v>start /low /b %USERPROFILE%\Documents\GitHub\eaglep3\Utilities\DownloadLogsFromS3.py --loco 4010 --day 2017-06-14</v>
      </c>
      <c r="AN51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15:07:25"},{"id":29,"name":"Sharepoint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72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619</v>
      </c>
      <c r="B52" s="7">
        <v>4009</v>
      </c>
      <c r="C52" s="21" t="s">
        <v>202</v>
      </c>
      <c r="D52" s="21" t="s">
        <v>522</v>
      </c>
      <c r="E52" s="13">
        <v>42900.390949074077</v>
      </c>
      <c r="F52" s="13">
        <v>42900.394050925926</v>
      </c>
      <c r="G52" s="7">
        <v>1</v>
      </c>
      <c r="H52" s="21" t="s">
        <v>396</v>
      </c>
      <c r="I52" s="13">
        <v>42900.423020833332</v>
      </c>
      <c r="J52" s="7">
        <v>2</v>
      </c>
      <c r="K52" s="89" t="str">
        <f t="shared" si="0"/>
        <v>4009/4010</v>
      </c>
      <c r="L52" s="21" t="str">
        <f>VLOOKUP(A52,'Trips&amp;Operators'!$C$1:$G$99999,5,FALSE)</f>
        <v>BONDS REYNALDO</v>
      </c>
      <c r="M52" s="6">
        <f t="shared" si="1"/>
        <v>2.8969907405553386E-2</v>
      </c>
      <c r="N52" s="7">
        <f t="shared" si="18"/>
        <v>41.716666663996875</v>
      </c>
      <c r="O52" s="7"/>
      <c r="P52" s="7"/>
      <c r="Q52" s="22"/>
      <c r="R52" s="170"/>
      <c r="S52" s="215">
        <f t="shared" si="19"/>
        <v>1</v>
      </c>
      <c r="T52" s="195" t="str">
        <f t="shared" si="4"/>
        <v>Southbound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 t="shared" si="5"/>
        <v>https://d0f6bd738d7f1b3e5a7ca70fe4ff75f0.us-east-1.aws.found.io/app/kibana#/discover/Steve-Slow-Train-Analysis-(2080s-and-2083s)?_g=(refreshInterval:(display:Off,pause:!f,section:0,value:0),time:(from:'2017-06-14T08:22:58-0600',mode:absolute,to:'2017-06-14T11:09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2" s="197" t="str">
        <f>IF(AA52&lt;VLOOKUP(AG52,Variables!$AC$3:$AD$8,2,FALSE),"Y","N")</f>
        <v>N</v>
      </c>
      <c r="X52" s="197">
        <f t="shared" si="6"/>
        <v>1</v>
      </c>
      <c r="Y52" s="197">
        <f t="shared" si="20"/>
        <v>23.296500000000002</v>
      </c>
      <c r="Z52" s="197">
        <f t="shared" si="21"/>
        <v>1.54E-2</v>
      </c>
      <c r="AA52" s="197">
        <f t="shared" si="9"/>
        <v>23.281100000000002</v>
      </c>
      <c r="AB52" s="54" t="e">
        <f>VLOOKUP(A52,Enforcements!$C$7:$K$13,8,0)</f>
        <v>#N/A</v>
      </c>
      <c r="AC52" s="51" t="e">
        <f>VLOOKUP(A52,Enforcements!$C$7:$E$13,3,0)</f>
        <v>#N/A</v>
      </c>
      <c r="AD52" s="206">
        <f t="shared" si="10"/>
        <v>140</v>
      </c>
      <c r="AE52" s="77" t="str">
        <f t="shared" si="11"/>
        <v>aws s3 cp s3://rtdc.mdm.uploadarchive.raw/RTDC4009/ "%USERPROFILE%\AppData\Local\Temp\OnboardLogs"\RTDC4009\2017-06-14 --exclude "*" --recursive --include "*20170614*" &amp; "%USERPROFILE%\Documents\GitHub\mrs-test-scripts\Headless Mode &amp; Sideloading\WalkAndUnGZ.bat" "%USERPROFILE%\AppData\Local\Temp\OnboardLogs"\RTDC4009\2017-06-14 &amp; aws s3 cp s3://rtdc.mdm.uploadarchive.raw/RTDC4009/ "%USERPROFILE%\AppData\Local\Temp\OnboardLogs"\RTDC4009\2017-06-15 --exclude "*" --recursive --include "*20170615*" &amp; "%USERPROFILE%\Documents\GitHub\mrs-test-scripts\Headless Mode &amp; Sideloading\WalkAndUnGZ.bat" "%USERPROFILE%\AppData\Local\Temp\OnboardLogs"\RTDC4009\2017-06-15</v>
      </c>
      <c r="AF52" s="74" t="str">
        <f t="shared" si="12"/>
        <v>"C:\Program Files (x86)\AstroGrep\AstroGrep.exe" /e /r /s /spath="%USERPROFILE%\AppData\Local\Temp\OnboardLogs" /stypes="app*4009*20170614*" /stext=" 16:.+((SYSTEM_STATE.+slice.+state.+changed )|(ment ac)|(multiple cpu faults)|(system.+state.+changed )|(\[timeout)|(PRM\|1\|D)|(kpr)|(kdp)|(train st.+moving)|(\|lc)|(penalty))"</v>
      </c>
      <c r="AG52" s="209" t="str">
        <f t="shared" si="17"/>
        <v>EC</v>
      </c>
      <c r="AH52" s="78" t="str">
        <f t="shared" si="13"/>
        <v>"%USERPROFILE%\Documents\GitHub\eaglep3\Utilities\RefineRTDCRunTimes.py" --tripid 140-14 --locoid 4009 --swversion DE.1.0.9.0 --startMP 204:232965 --initTime 2017-06-14T09:22:58 --startdatetime 2017-06-14T09:27:26 --delay 1 --endMP 204:154 --enddatetime 2017-06-14T10:09:09 --enforcementcount 2 &gt;&gt;C:\Users\stu\Documents\GitHub\eaglep3-reporting\EC\2017-06-14-refined-times.txt</v>
      </c>
      <c r="AI52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{"issue":{"subject":"","project_id":79,"tracker_id":40,"status_id":1,"priority_id":2,"assigned_to_id":23,"start_date":"2017-06-14","description":"","custom_fields":[{"id":1,"name":"Subdivision","value":"EC"},{"id":4,"name":"Milepost","value":"0.0154"},{"id":17,"name":"Train ID","value":"140-14"},{"id":16,"name":"Locomotive ID","value":"4009"},{"id":130,"name":"Impact","value":""},{"id":150,"name":"Time of Event (Mountain Time)","value":"10:09:09"},{"id":151,"name":"Denver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15"/>
        <v>start /low /b %USERPROFILE%\Documents\GitHub\eaglep3\Utilities\DownloadLogsFromS3.py --loco 4009 --day 2017-06-14</v>
      </c>
      <c r="AN52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16:09:09"},{"id":29,"name":"Sharepoint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7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707</v>
      </c>
      <c r="B53" s="7">
        <v>4004</v>
      </c>
      <c r="C53" s="21" t="s">
        <v>202</v>
      </c>
      <c r="D53" s="21" t="s">
        <v>497</v>
      </c>
      <c r="E53" s="13">
        <v>42900.361967592595</v>
      </c>
      <c r="F53" s="13">
        <v>42900.364965277775</v>
      </c>
      <c r="G53" s="7">
        <v>1</v>
      </c>
      <c r="H53" s="21" t="s">
        <v>516</v>
      </c>
      <c r="I53" s="13">
        <v>42900.389618055553</v>
      </c>
      <c r="J53" s="7">
        <v>2</v>
      </c>
      <c r="K53" s="89" t="str">
        <f t="shared" si="0"/>
        <v>4003/4004</v>
      </c>
      <c r="L53" s="21" t="str">
        <f>VLOOKUP(A53,'Trips&amp;Operators'!$C$1:$G$99999,5,FALSE)</f>
        <v>LOZA FIDEL</v>
      </c>
      <c r="M53" s="6">
        <f t="shared" si="1"/>
        <v>2.4652777778101154E-2</v>
      </c>
      <c r="N53" s="7">
        <f t="shared" si="18"/>
        <v>35.500000000465661</v>
      </c>
      <c r="O53" s="7"/>
      <c r="P53" s="7"/>
      <c r="Q53" s="22"/>
      <c r="R53" s="170"/>
      <c r="S53" s="215">
        <f t="shared" si="19"/>
        <v>1</v>
      </c>
      <c r="T53" s="195" t="str">
        <f t="shared" si="4"/>
        <v>NorthBound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 t="shared" si="5"/>
        <v>https://d0f6bd738d7f1b3e5a7ca70fe4ff75f0.us-east-1.aws.found.io/app/kibana#/discover/Steve-Slow-Train-Analysis-(2080s-and-2083s)?_g=(refreshInterval:(display:Off,pause:!f,section:0,value:0),time:(from:'2017-06-14T07:41:14-0600',mode:absolute,to:'2017-06-14T10:21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3" s="197" t="str">
        <f>IF(AA53&lt;VLOOKUP(AG53,Variables!$AC$3:$AD$8,2,FALSE),"Y","N")</f>
        <v>N</v>
      </c>
      <c r="X53" s="197">
        <f t="shared" si="6"/>
        <v>1</v>
      </c>
      <c r="Y53" s="197">
        <f t="shared" si="20"/>
        <v>4.4200000000000003E-2</v>
      </c>
      <c r="Z53" s="197">
        <f t="shared" si="21"/>
        <v>23.331</v>
      </c>
      <c r="AA53" s="197">
        <f t="shared" si="9"/>
        <v>23.286799999999999</v>
      </c>
      <c r="AB53" s="54" t="e">
        <f>VLOOKUP(A53,Enforcements!$C$7:$K$13,8,0)</f>
        <v>#N/A</v>
      </c>
      <c r="AC53" s="51" t="e">
        <f>VLOOKUP(A53,Enforcements!$C$7:$E$13,3,0)</f>
        <v>#N/A</v>
      </c>
      <c r="AD53" s="206">
        <f t="shared" si="10"/>
        <v>141</v>
      </c>
      <c r="AE53" s="77" t="str">
        <f t="shared" si="11"/>
        <v>aws s3 cp s3://rtdc.mdm.uploadarchive.raw/RTDC4004/ "%USERPROFILE%\AppData\Local\Temp\OnboardLogs"\RTDC4004\2017-06-14 --exclude "*" --recursive --include "*20170614*" &amp; "%USERPROFILE%\Documents\GitHub\mrs-test-scripts\Headless Mode &amp; Sideloading\WalkAndUnGZ.bat" "%USERPROFILE%\AppData\Local\Temp\OnboardLogs"\RTDC4004\2017-06-14 &amp; aws s3 cp s3://rtdc.mdm.uploadarchive.raw/RTDC4004/ "%USERPROFILE%\AppData\Local\Temp\OnboardLogs"\RTDC4004\2017-06-15 --exclude "*" --recursive --include "*20170615*" &amp; "%USERPROFILE%\Documents\GitHub\mrs-test-scripts\Headless Mode &amp; Sideloading\WalkAndUnGZ.bat" "%USERPROFILE%\AppData\Local\Temp\OnboardLogs"\RTDC4004\2017-06-15</v>
      </c>
      <c r="AF53" s="74" t="str">
        <f t="shared" si="12"/>
        <v>"C:\Program Files (x86)\AstroGrep\AstroGrep.exe" /e /r /s /spath="%USERPROFILE%\AppData\Local\Temp\OnboardLogs" /stypes="app*4004*20170614*" /stext=" 15:.+((SYSTEM_STATE.+slice.+state.+changed )|(ment ac)|(multiple cpu faults)|(system.+state.+changed )|(\[timeout)|(PRM\|1\|D)|(kpr)|(kdp)|(train st.+moving)|(\|lc)|(penalty))"</v>
      </c>
      <c r="AG53" s="209" t="str">
        <f t="shared" si="17"/>
        <v>EC</v>
      </c>
      <c r="AH53" s="78" t="str">
        <f t="shared" si="13"/>
        <v>"%USERPROFILE%\Documents\GitHub\eaglep3\Utilities\RefineRTDCRunTimes.py" --tripid 141-14 --locoid 4004 --swversion DE.1.0.9.0 --startMP 204:442 --initTime 2017-06-14T08:41:14 --startdatetime 2017-06-14T08:45:33 --delay 1 --endMP 204:233310 --enddatetime 2017-06-14T09:21:03 --enforcementcount 2 &gt;&gt;C:\Users\stu\Documents\GitHub\eaglep3-reporting\EC\2017-06-14-refined-times.txt</v>
      </c>
      <c r="AI53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{"issue":{"subject":"","project_id":79,"tracker_id":40,"status_id":1,"priority_id":2,"assigned_to_id":23,"start_date":"2017-06-14","description":"","custom_fields":[{"id":1,"name":"Subdivision","value":"EC"},{"id":4,"name":"Milepost","value":"23.331"},{"id":17,"name":"Train ID","value":"141-14"},{"id":16,"name":"Locomotive ID","value":"4004"},{"id":130,"name":"Impact","value":""},{"id":150,"name":"Time of Event (Mountain Time)","value":"09:21:03"},{"id":151,"name":"Denver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15"/>
        <v>start /low /b %USERPROFILE%\Documents\GitHub\eaglep3\Utilities\DownloadLogsFromS3.py --loco 4004 --day 2017-06-14</v>
      </c>
      <c r="AN53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15:21:03"},{"id":29,"name":"Sharepoint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72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714</v>
      </c>
      <c r="B54" s="7">
        <v>4003</v>
      </c>
      <c r="C54" s="21" t="s">
        <v>202</v>
      </c>
      <c r="D54" s="21" t="s">
        <v>861</v>
      </c>
      <c r="E54" s="13">
        <v>42900.39303240741</v>
      </c>
      <c r="F54" s="13">
        <v>42900.404432870368</v>
      </c>
      <c r="G54" s="7">
        <v>1</v>
      </c>
      <c r="H54" s="21" t="s">
        <v>193</v>
      </c>
      <c r="I54" s="13">
        <v>42900.430914351855</v>
      </c>
      <c r="J54" s="7">
        <v>2</v>
      </c>
      <c r="K54" s="89" t="str">
        <f t="shared" si="0"/>
        <v>4003/4004</v>
      </c>
      <c r="L54" s="21" t="str">
        <f>VLOOKUP(A54,'Trips&amp;Operators'!$C$1:$G$99999,5,FALSE)</f>
        <v>LOZA FIDEL</v>
      </c>
      <c r="M54" s="6">
        <f t="shared" si="1"/>
        <v>2.6481481487280689E-2</v>
      </c>
      <c r="N54" s="7">
        <f t="shared" si="18"/>
        <v>38.133333341684192</v>
      </c>
      <c r="O54" s="7"/>
      <c r="P54" s="7"/>
      <c r="Q54" s="22"/>
      <c r="R54" s="170"/>
      <c r="S54" s="215">
        <f t="shared" si="19"/>
        <v>1</v>
      </c>
      <c r="T54" s="195" t="str">
        <f t="shared" si="4"/>
        <v>Southbound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 t="shared" si="5"/>
        <v>https://d0f6bd738d7f1b3e5a7ca70fe4ff75f0.us-east-1.aws.found.io/app/kibana#/discover/Steve-Slow-Train-Analysis-(2080s-and-2083s)?_g=(refreshInterval:(display:Off,pause:!f,section:0,value:0),time:(from:'2017-06-14T08:25:58-0600',mode:absolute,to:'2017-06-14T11:20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4" s="197" t="str">
        <f>IF(AA54&lt;VLOOKUP(AG54,Variables!$AC$3:$AD$8,2,FALSE),"Y","N")</f>
        <v>N</v>
      </c>
      <c r="X54" s="197">
        <f t="shared" si="6"/>
        <v>1</v>
      </c>
      <c r="Y54" s="197">
        <f t="shared" si="20"/>
        <v>23.299800000000001</v>
      </c>
      <c r="Z54" s="197">
        <f t="shared" si="21"/>
        <v>1.52E-2</v>
      </c>
      <c r="AA54" s="197">
        <f t="shared" si="9"/>
        <v>23.284600000000001</v>
      </c>
      <c r="AB54" s="54" t="e">
        <f>VLOOKUP(A54,Enforcements!$C$7:$K$13,8,0)</f>
        <v>#N/A</v>
      </c>
      <c r="AC54" s="51" t="e">
        <f>VLOOKUP(A54,Enforcements!$C$7:$E$13,3,0)</f>
        <v>#N/A</v>
      </c>
      <c r="AD54" s="206">
        <f t="shared" si="10"/>
        <v>142</v>
      </c>
      <c r="AE54" s="77" t="str">
        <f t="shared" si="11"/>
        <v>aws s3 cp s3://rtdc.mdm.uploadarchive.raw/RTDC4003/ "%USERPROFILE%\AppData\Local\Temp\OnboardLogs"\RTDC4003\2017-06-14 --exclude "*" --recursive --include "*20170614*" &amp; "%USERPROFILE%\Documents\GitHub\mrs-test-scripts\Headless Mode &amp; Sideloading\WalkAndUnGZ.bat" "%USERPROFILE%\AppData\Local\Temp\OnboardLogs"\RTDC4003\2017-06-14 &amp; aws s3 cp s3://rtdc.mdm.uploadarchive.raw/RTDC4003/ "%USERPROFILE%\AppData\Local\Temp\OnboardLogs"\RTDC4003\2017-06-15 --exclude "*" --recursive --include "*20170615*" &amp; "%USERPROFILE%\Documents\GitHub\mrs-test-scripts\Headless Mode &amp; Sideloading\WalkAndUnGZ.bat" "%USERPROFILE%\AppData\Local\Temp\OnboardLogs"\RTDC4003\2017-06-15</v>
      </c>
      <c r="AF54" s="74" t="str">
        <f t="shared" si="12"/>
        <v>"C:\Program Files (x86)\AstroGrep\AstroGrep.exe" /e /r /s /spath="%USERPROFILE%\AppData\Local\Temp\OnboardLogs" /stypes="app*4003*20170614*" /stext=" 16:.+((SYSTEM_STATE.+slice.+state.+changed )|(ment ac)|(multiple cpu faults)|(system.+state.+changed )|(\[timeout)|(PRM\|1\|D)|(kpr)|(kdp)|(train st.+moving)|(\|lc)|(penalty))"</v>
      </c>
      <c r="AG54" s="209" t="str">
        <f t="shared" si="17"/>
        <v>EC</v>
      </c>
      <c r="AH54" s="78" t="str">
        <f t="shared" si="13"/>
        <v>"%USERPROFILE%\Documents\GitHub\eaglep3\Utilities\RefineRTDCRunTimes.py" --tripid 142-14 --locoid 4003 --swversion DE.1.0.9.0 --startMP 204:232998 --initTime 2017-06-14T09:25:58 --startdatetime 2017-06-14T09:42:23 --delay 1 --endMP 204:152 --enddatetime 2017-06-14T10:20:31 --enforcementcount 2 &gt;&gt;C:\Users\stu\Documents\GitHub\eaglep3-reporting\EC\2017-06-14-refined-times.txt</v>
      </c>
      <c r="AI54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{"issue":{"subject":"","project_id":79,"tracker_id":40,"status_id":1,"priority_id":2,"assigned_to_id":23,"start_date":"2017-06-14","description":"","custom_fields":[{"id":1,"name":"Subdivision","value":"EC"},{"id":4,"name":"Milepost","value":"0.0152"},{"id":17,"name":"Train ID","value":"142-14"},{"id":16,"name":"Locomotive ID","value":"4003"},{"id":130,"name":"Impact","value":""},{"id":150,"name":"Time of Event (Mountain Time)","value":"10:20:31"},{"id":151,"name":"Denver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15"/>
        <v>start /low /b %USERPROFILE%\Documents\GitHub\eaglep3\Utilities\DownloadLogsFromS3.py --loco 4003 --day 2017-06-14</v>
      </c>
      <c r="AN54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16:20:31"},{"id":29,"name":"Sharepoint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72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709</v>
      </c>
      <c r="B55" s="7">
        <v>4044</v>
      </c>
      <c r="C55" s="21" t="s">
        <v>202</v>
      </c>
      <c r="D55" s="21" t="s">
        <v>560</v>
      </c>
      <c r="E55" s="13">
        <v>42900.371759259258</v>
      </c>
      <c r="F55" s="13">
        <v>42900.375439814816</v>
      </c>
      <c r="G55" s="7">
        <v>1</v>
      </c>
      <c r="H55" s="21" t="s">
        <v>463</v>
      </c>
      <c r="I55" s="13">
        <v>42900.400127314817</v>
      </c>
      <c r="J55" s="7">
        <v>2</v>
      </c>
      <c r="K55" s="89" t="str">
        <f t="shared" si="0"/>
        <v>4043/4044</v>
      </c>
      <c r="L55" s="21" t="str">
        <f>VLOOKUP(A55,'Trips&amp;Operators'!$C$1:$G$99999,5,FALSE)</f>
        <v>MAELZER KURT</v>
      </c>
      <c r="M55" s="6">
        <f t="shared" si="1"/>
        <v>2.4687500001164153E-2</v>
      </c>
      <c r="N55" s="7">
        <f t="shared" si="18"/>
        <v>35.550000001676381</v>
      </c>
      <c r="O55" s="7"/>
      <c r="P55" s="7"/>
      <c r="Q55" s="22"/>
      <c r="R55" s="170"/>
      <c r="S55" s="215">
        <f t="shared" si="19"/>
        <v>1</v>
      </c>
      <c r="T55" s="195" t="str">
        <f t="shared" si="4"/>
        <v>NorthBound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 t="shared" si="5"/>
        <v>https://d0f6bd738d7f1b3e5a7ca70fe4ff75f0.us-east-1.aws.found.io/app/kibana#/discover/Steve-Slow-Train-Analysis-(2080s-and-2083s)?_g=(refreshInterval:(display:Off,pause:!f,section:0,value:0),time:(from:'2017-06-14T07:55:20-0600',mode:absolute,to:'2017-06-14T10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5" s="197" t="str">
        <f>IF(AA55&lt;VLOOKUP(AG55,Variables!$AC$3:$AD$8,2,FALSE),"Y","N")</f>
        <v>N</v>
      </c>
      <c r="X55" s="197">
        <f t="shared" si="6"/>
        <v>1</v>
      </c>
      <c r="Y55" s="197">
        <f t="shared" si="20"/>
        <v>4.2900000000000001E-2</v>
      </c>
      <c r="Z55" s="197">
        <f t="shared" si="21"/>
        <v>23.331099999999999</v>
      </c>
      <c r="AA55" s="197">
        <f t="shared" si="9"/>
        <v>23.2882</v>
      </c>
      <c r="AB55" s="54" t="e">
        <f>VLOOKUP(A55,Enforcements!$C$7:$K$13,8,0)</f>
        <v>#N/A</v>
      </c>
      <c r="AC55" s="51" t="e">
        <f>VLOOKUP(A55,Enforcements!$C$7:$E$13,3,0)</f>
        <v>#N/A</v>
      </c>
      <c r="AD55" s="206">
        <f t="shared" si="10"/>
        <v>143</v>
      </c>
      <c r="AE55" s="77" t="str">
        <f t="shared" si="11"/>
        <v>aws s3 cp s3://rtdc.mdm.uploadarchive.raw/RTDC4044/ "%USERPROFILE%\AppData\Local\Temp\OnboardLogs"\RTDC4044\2017-06-14 --exclude "*" --recursive --include "*20170614*" &amp; "%USERPROFILE%\Documents\GitHub\mrs-test-scripts\Headless Mode &amp; Sideloading\WalkAndUnGZ.bat" "%USERPROFILE%\AppData\Local\Temp\OnboardLogs"\RTDC4044\2017-06-14 &amp; aws s3 cp s3://rtdc.mdm.uploadarchive.raw/RTDC4044/ "%USERPROFILE%\AppData\Local\Temp\OnboardLogs"\RTDC4044\2017-06-15 --exclude "*" --recursive --include "*20170615*" &amp; "%USERPROFILE%\Documents\GitHub\mrs-test-scripts\Headless Mode &amp; Sideloading\WalkAndUnGZ.bat" "%USERPROFILE%\AppData\Local\Temp\OnboardLogs"\RTDC4044\2017-06-15</v>
      </c>
      <c r="AF55" s="74" t="str">
        <f t="shared" si="12"/>
        <v>"C:\Program Files (x86)\AstroGrep\AstroGrep.exe" /e /r /s /spath="%USERPROFILE%\AppData\Local\Temp\OnboardLogs" /stypes="app*4044*20170614*" /stext=" 15:.+((SYSTEM_STATE.+slice.+state.+changed )|(ment ac)|(multiple cpu faults)|(system.+state.+changed )|(\[timeout)|(PRM\|1\|D)|(kpr)|(kdp)|(train st.+moving)|(\|lc)|(penalty))"</v>
      </c>
      <c r="AG55" s="209" t="str">
        <f t="shared" si="17"/>
        <v>EC</v>
      </c>
      <c r="AH55" s="78" t="str">
        <f t="shared" si="13"/>
        <v>"%USERPROFILE%\Documents\GitHub\eaglep3\Utilities\RefineRTDCRunTimes.py" --tripid 143-14 --locoid 4044 --swversion DE.1.0.9.0 --startMP 204:429 --initTime 2017-06-14T08:55:20 --startdatetime 2017-06-14T09:00:38 --delay 1 --endMP 204:233311 --enddatetime 2017-06-14T09:36:11 --enforcementcount 2 &gt;&gt;C:\Users\stu\Documents\GitHub\eaglep3-reporting\EC\2017-06-14-refined-times.txt</v>
      </c>
      <c r="AI55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{"issue":{"subject":"","project_id":79,"tracker_id":40,"status_id":1,"priority_id":2,"assigned_to_id":23,"start_date":"2017-06-14","description":"","custom_fields":[{"id":1,"name":"Subdivision","value":"EC"},{"id":4,"name":"Milepost","value":"23.3311"},{"id":17,"name":"Train ID","value":"143-14"},{"id":16,"name":"Locomotive ID","value":"4044"},{"id":130,"name":"Impact","value":""},{"id":150,"name":"Time of Event (Mountain Time)","value":"09:36:11"},{"id":151,"name":"Denver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15"/>
        <v>start /low /b %USERPROFILE%\Documents\GitHub\eaglep3\Utilities\DownloadLogsFromS3.py --loco 4044 --day 2017-06-14</v>
      </c>
      <c r="AN55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15:36:11"},{"id":29,"name":"Sharepoint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72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718</v>
      </c>
      <c r="B56" s="7">
        <v>4043</v>
      </c>
      <c r="C56" s="21" t="s">
        <v>202</v>
      </c>
      <c r="D56" s="21" t="s">
        <v>852</v>
      </c>
      <c r="E56" s="13">
        <v>42900.411736111113</v>
      </c>
      <c r="F56" s="13">
        <v>42900.414872685185</v>
      </c>
      <c r="G56" s="7">
        <v>0</v>
      </c>
      <c r="H56" s="21" t="s">
        <v>193</v>
      </c>
      <c r="I56" s="13">
        <v>42900.442361111112</v>
      </c>
      <c r="J56" s="7">
        <v>2</v>
      </c>
      <c r="K56" s="89" t="str">
        <f t="shared" si="0"/>
        <v>4043/4044</v>
      </c>
      <c r="L56" s="21" t="str">
        <f>VLOOKUP(A56,'Trips&amp;Operators'!$C$1:$G$99999,5,FALSE)</f>
        <v>MAELZER KURT</v>
      </c>
      <c r="M56" s="6">
        <f t="shared" si="1"/>
        <v>2.7488425927003846E-2</v>
      </c>
      <c r="N56" s="7">
        <f t="shared" si="18"/>
        <v>39.583333334885538</v>
      </c>
      <c r="O56" s="7"/>
      <c r="P56" s="7"/>
      <c r="Q56" s="22"/>
      <c r="R56" s="170"/>
      <c r="S56" s="215">
        <f t="shared" si="19"/>
        <v>1</v>
      </c>
      <c r="T56" s="195" t="str">
        <f t="shared" si="4"/>
        <v>Southbound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 t="shared" si="5"/>
        <v>https://d0f6bd738d7f1b3e5a7ca70fe4ff75f0.us-east-1.aws.found.io/app/kibana#/discover/Steve-Slow-Train-Analysis-(2080s-and-2083s)?_g=(refreshInterval:(display:Off,pause:!f,section:0,value:0),time:(from:'2017-06-14T08:52:54-0600',mode:absolute,to:'2017-06-14T11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6" s="197" t="str">
        <f>IF(AA56&lt;VLOOKUP(AG56,Variables!$AC$3:$AD$8,2,FALSE),"Y","N")</f>
        <v>N</v>
      </c>
      <c r="X56" s="197">
        <f t="shared" si="6"/>
        <v>1</v>
      </c>
      <c r="Y56" s="197">
        <f t="shared" si="20"/>
        <v>23.298400000000001</v>
      </c>
      <c r="Z56" s="197">
        <f t="shared" si="21"/>
        <v>1.52E-2</v>
      </c>
      <c r="AA56" s="197">
        <f t="shared" si="9"/>
        <v>23.283200000000001</v>
      </c>
      <c r="AB56" s="54" t="e">
        <f>VLOOKUP(A56,Enforcements!$C$7:$K$13,8,0)</f>
        <v>#N/A</v>
      </c>
      <c r="AC56" s="51" t="e">
        <f>VLOOKUP(A56,Enforcements!$C$7:$E$13,3,0)</f>
        <v>#N/A</v>
      </c>
      <c r="AD56" s="206">
        <f t="shared" si="10"/>
        <v>144</v>
      </c>
      <c r="AE56" s="77" t="str">
        <f t="shared" si="11"/>
        <v>aws s3 cp s3://rtdc.mdm.uploadarchive.raw/RTDC4043/ "%USERPROFILE%\AppData\Local\Temp\OnboardLogs"\RTDC4043\2017-06-14 --exclude "*" --recursive --include "*20170614*" &amp; "%USERPROFILE%\Documents\GitHub\mrs-test-scripts\Headless Mode &amp; Sideloading\WalkAndUnGZ.bat" "%USERPROFILE%\AppData\Local\Temp\OnboardLogs"\RTDC4043\2017-06-14 &amp; aws s3 cp s3://rtdc.mdm.uploadarchive.raw/RTDC4043/ "%USERPROFILE%\AppData\Local\Temp\OnboardLogs"\RTDC4043\2017-06-15 --exclude "*" --recursive --include "*20170615*" &amp; "%USERPROFILE%\Documents\GitHub\mrs-test-scripts\Headless Mode &amp; Sideloading\WalkAndUnGZ.bat" "%USERPROFILE%\AppData\Local\Temp\OnboardLogs"\RTDC4043\2017-06-15</v>
      </c>
      <c r="AF56" s="74" t="str">
        <f t="shared" si="12"/>
        <v>"C:\Program Files (x86)\AstroGrep\AstroGrep.exe" /e /r /s /spath="%USERPROFILE%\AppData\Local\Temp\OnboardLogs" /stypes="app*4043*20170614*" /stext=" 16:.+((SYSTEM_STATE.+slice.+state.+changed )|(ment ac)|(multiple cpu faults)|(system.+state.+changed )|(\[timeout)|(PRM\|1\|D)|(kpr)|(kdp)|(train st.+moving)|(\|lc)|(penalty))"</v>
      </c>
      <c r="AG56" s="209" t="str">
        <f t="shared" si="17"/>
        <v>EC</v>
      </c>
      <c r="AH56" s="78" t="str">
        <f t="shared" si="13"/>
        <v>"%USERPROFILE%\Documents\GitHub\eaglep3\Utilities\RefineRTDCRunTimes.py" --tripid 144-14 --locoid 4043 --swversion DE.1.0.9.0 --startMP 204:232984 --initTime 2017-06-14T09:52:54 --startdatetime 2017-06-14T09:57:25 --delay 0 --endMP 204:152 --enddatetime 2017-06-14T10:37:00 --enforcementcount 2 &gt;&gt;C:\Users\stu\Documents\GitHub\eaglep3-reporting\EC\2017-06-14-refined-times.txt</v>
      </c>
      <c r="AI56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{"issue":{"subject":"","project_id":79,"tracker_id":40,"status_id":1,"priority_id":2,"assigned_to_id":23,"start_date":"2017-06-14","description":"","custom_fields":[{"id":1,"name":"Subdivision","value":"EC"},{"id":4,"name":"Milepost","value":"0.0152"},{"id":17,"name":"Train ID","value":"144-14"},{"id":16,"name":"Locomotive ID","value":"4043"},{"id":130,"name":"Impact","value":""},{"id":150,"name":"Time of Event (Mountain Time)","value":"10:37:00"},{"id":151,"name":"Denver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15"/>
        <v>start /low /b %USERPROFILE%\Documents\GitHub\eaglep3\Utilities\DownloadLogsFromS3.py --loco 4043 --day 2017-06-14</v>
      </c>
      <c r="AN56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16:37:00"},{"id":29,"name":"Sharepoint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72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710</v>
      </c>
      <c r="B57" s="7">
        <v>4008</v>
      </c>
      <c r="C57" s="21" t="s">
        <v>202</v>
      </c>
      <c r="D57" s="21" t="s">
        <v>862</v>
      </c>
      <c r="E57" s="13">
        <v>42900.383344907408</v>
      </c>
      <c r="F57" s="13">
        <v>42900.385844907411</v>
      </c>
      <c r="G57" s="7">
        <v>1</v>
      </c>
      <c r="H57" s="21" t="s">
        <v>561</v>
      </c>
      <c r="I57" s="13">
        <v>42900.411296296297</v>
      </c>
      <c r="J57" s="7">
        <v>2</v>
      </c>
      <c r="K57" s="89" t="str">
        <f t="shared" si="0"/>
        <v>4007/4008</v>
      </c>
      <c r="L57" s="21" t="str">
        <f>VLOOKUP(A57,'Trips&amp;Operators'!$C$1:$G$99999,5,FALSE)</f>
        <v>BEAM ROSS</v>
      </c>
      <c r="M57" s="6">
        <f t="shared" si="1"/>
        <v>2.545138888672227E-2</v>
      </c>
      <c r="N57" s="7">
        <f t="shared" si="18"/>
        <v>36.649999996880069</v>
      </c>
      <c r="O57" s="7"/>
      <c r="P57" s="7"/>
      <c r="Q57" s="22"/>
      <c r="R57" s="170"/>
      <c r="S57" s="215">
        <f t="shared" si="19"/>
        <v>1</v>
      </c>
      <c r="T57" s="195" t="str">
        <f t="shared" si="4"/>
        <v>NorthBound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 t="shared" si="5"/>
        <v>https://d0f6bd738d7f1b3e5a7ca70fe4ff75f0.us-east-1.aws.found.io/app/kibana#/discover/Steve-Slow-Train-Analysis-(2080s-and-2083s)?_g=(refreshInterval:(display:Off,pause:!f,section:0,value:0),time:(from:'2017-06-14T08:12:01-0600',mode:absolute,to:'2017-06-14T10:52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7" s="197" t="str">
        <f>IF(AA57&lt;VLOOKUP(AG57,Variables!$AC$3:$AD$8,2,FALSE),"Y","N")</f>
        <v>N</v>
      </c>
      <c r="X57" s="197">
        <f t="shared" si="6"/>
        <v>1</v>
      </c>
      <c r="Y57" s="197">
        <f t="shared" si="20"/>
        <v>4.5499999999999999E-2</v>
      </c>
      <c r="Z57" s="197">
        <f t="shared" si="21"/>
        <v>23.331399999999999</v>
      </c>
      <c r="AA57" s="197">
        <f t="shared" si="9"/>
        <v>23.285899999999998</v>
      </c>
      <c r="AB57" s="54" t="e">
        <f>VLOOKUP(A57,Enforcements!$C$7:$K$13,8,0)</f>
        <v>#N/A</v>
      </c>
      <c r="AC57" s="51" t="e">
        <f>VLOOKUP(A57,Enforcements!$C$7:$E$13,3,0)</f>
        <v>#N/A</v>
      </c>
      <c r="AD57" s="206">
        <f t="shared" si="10"/>
        <v>145</v>
      </c>
      <c r="AE57" s="77" t="str">
        <f t="shared" si="11"/>
        <v>aws s3 cp s3://rtdc.mdm.uploadarchive.raw/RTDC4008/ "%USERPROFILE%\AppData\Local\Temp\OnboardLogs"\RTDC4008\2017-06-14 --exclude "*" --recursive --include "*20170614*" &amp; "%USERPROFILE%\Documents\GitHub\mrs-test-scripts\Headless Mode &amp; Sideloading\WalkAndUnGZ.bat" "%USERPROFILE%\AppData\Local\Temp\OnboardLogs"\RTDC4008\2017-06-14 &amp; aws s3 cp s3://rtdc.mdm.uploadarchive.raw/RTDC4008/ "%USERPROFILE%\AppData\Local\Temp\OnboardLogs"\RTDC4008\2017-06-15 --exclude "*" --recursive --include "*20170615*" &amp; "%USERPROFILE%\Documents\GitHub\mrs-test-scripts\Headless Mode &amp; Sideloading\WalkAndUnGZ.bat" "%USERPROFILE%\AppData\Local\Temp\OnboardLogs"\RTDC4008\2017-06-15</v>
      </c>
      <c r="AF57" s="74" t="str">
        <f t="shared" si="12"/>
        <v>"C:\Program Files (x86)\AstroGrep\AstroGrep.exe" /e /r /s /spath="%USERPROFILE%\AppData\Local\Temp\OnboardLogs" /stypes="app*4008*20170614*" /stext=" 15:.+((SYSTEM_STATE.+slice.+state.+changed )|(ment ac)|(multiple cpu faults)|(system.+state.+changed )|(\[timeout)|(PRM\|1\|D)|(kpr)|(kdp)|(train st.+moving)|(\|lc)|(penalty))"</v>
      </c>
      <c r="AG57" s="209" t="str">
        <f t="shared" si="17"/>
        <v>EC</v>
      </c>
      <c r="AH57" s="78" t="str">
        <f t="shared" si="13"/>
        <v>"%USERPROFILE%\Documents\GitHub\eaglep3\Utilities\RefineRTDCRunTimes.py" --tripid 145-14 --locoid 4008 --swversion DE.1.0.9.0 --startMP 204:455 --initTime 2017-06-14T09:12:01 --startdatetime 2017-06-14T09:15:37 --delay 1 --endMP 204:233314 --enddatetime 2017-06-14T09:52:16 --enforcementcount 2 &gt;&gt;C:\Users\stu\Documents\GitHub\eaglep3-reporting\EC\2017-06-14-refined-times.txt</v>
      </c>
      <c r="AI57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{"issue":{"subject":"","project_id":79,"tracker_id":40,"status_id":1,"priority_id":2,"assigned_to_id":23,"start_date":"2017-06-14","description":"","custom_fields":[{"id":1,"name":"Subdivision","value":"EC"},{"id":4,"name":"Milepost","value":"23.3314"},{"id":17,"name":"Train ID","value":"145-14"},{"id":16,"name":"Locomotive ID","value":"4008"},{"id":130,"name":"Impact","value":""},{"id":150,"name":"Time of Event (Mountain Time)","value":"09:52:16"},{"id":151,"name":"Denver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15"/>
        <v>start /low /b %USERPROFILE%\Documents\GitHub\eaglep3\Utilities\DownloadLogsFromS3.py --loco 4008 --day 2017-06-14</v>
      </c>
      <c r="AN57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15:52:16"},{"id":29,"name":"Sharepoint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72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719</v>
      </c>
      <c r="B58" s="7">
        <v>4007</v>
      </c>
      <c r="C58" s="21" t="s">
        <v>202</v>
      </c>
      <c r="D58" s="21" t="s">
        <v>863</v>
      </c>
      <c r="E58" s="13">
        <v>42900.420937499999</v>
      </c>
      <c r="F58" s="13">
        <v>42900.425381944442</v>
      </c>
      <c r="G58" s="7">
        <v>1</v>
      </c>
      <c r="H58" s="21" t="s">
        <v>194</v>
      </c>
      <c r="I58" s="13">
        <v>42900.452245370368</v>
      </c>
      <c r="J58" s="7">
        <v>2</v>
      </c>
      <c r="K58" s="89" t="str">
        <f t="shared" si="0"/>
        <v>4007/4008</v>
      </c>
      <c r="L58" s="21" t="str">
        <f>VLOOKUP(A58,'Trips&amp;Operators'!$C$1:$G$99999,5,FALSE)</f>
        <v>BEAM ROSS</v>
      </c>
      <c r="M58" s="6">
        <f t="shared" si="1"/>
        <v>2.6863425926421769E-2</v>
      </c>
      <c r="N58" s="7">
        <f t="shared" si="18"/>
        <v>38.683333334047347</v>
      </c>
      <c r="O58" s="7"/>
      <c r="P58" s="7"/>
      <c r="Q58" s="22"/>
      <c r="R58" s="170"/>
      <c r="S58" s="215">
        <f t="shared" si="19"/>
        <v>1</v>
      </c>
      <c r="T58" s="195" t="str">
        <f t="shared" si="4"/>
        <v>Southbound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 t="shared" si="5"/>
        <v>https://d0f6bd738d7f1b3e5a7ca70fe4ff75f0.us-east-1.aws.found.io/app/kibana#/discover/Steve-Slow-Train-Analysis-(2080s-and-2083s)?_g=(refreshInterval:(display:Off,pause:!f,section:0,value:0),time:(from:'2017-06-14T09:06:09-0600',mode:absolute,to:'2017-06-14T11:51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8" s="197" t="str">
        <f>IF(AA58&lt;VLOOKUP(AG58,Variables!$AC$3:$AD$8,2,FALSE),"Y","N")</f>
        <v>N</v>
      </c>
      <c r="X58" s="197">
        <f t="shared" si="6"/>
        <v>1</v>
      </c>
      <c r="Y58" s="197">
        <f t="shared" si="20"/>
        <v>23.297899999999998</v>
      </c>
      <c r="Z58" s="197">
        <f t="shared" si="21"/>
        <v>1.5800000000000002E-2</v>
      </c>
      <c r="AA58" s="197">
        <f t="shared" si="9"/>
        <v>23.2821</v>
      </c>
      <c r="AB58" s="54" t="e">
        <f>VLOOKUP(A58,Enforcements!$C$7:$K$13,8,0)</f>
        <v>#N/A</v>
      </c>
      <c r="AC58" s="51" t="e">
        <f>VLOOKUP(A58,Enforcements!$C$7:$E$13,3,0)</f>
        <v>#N/A</v>
      </c>
      <c r="AD58" s="206">
        <f t="shared" si="10"/>
        <v>146</v>
      </c>
      <c r="AE58" s="77" t="str">
        <f t="shared" si="11"/>
        <v>aws s3 cp s3://rtdc.mdm.uploadarchive.raw/RTDC4007/ "%USERPROFILE%\AppData\Local\Temp\OnboardLogs"\RTDC4007\2017-06-14 --exclude "*" --recursive --include "*20170614*" &amp; "%USERPROFILE%\Documents\GitHub\mrs-test-scripts\Headless Mode &amp; Sideloading\WalkAndUnGZ.bat" "%USERPROFILE%\AppData\Local\Temp\OnboardLogs"\RTDC4007\2017-06-14 &amp; aws s3 cp s3://rtdc.mdm.uploadarchive.raw/RTDC4007/ "%USERPROFILE%\AppData\Local\Temp\OnboardLogs"\RTDC4007\2017-06-15 --exclude "*" --recursive --include "*20170615*" &amp; "%USERPROFILE%\Documents\GitHub\mrs-test-scripts\Headless Mode &amp; Sideloading\WalkAndUnGZ.bat" "%USERPROFILE%\AppData\Local\Temp\OnboardLogs"\RTDC4007\2017-06-15</v>
      </c>
      <c r="AF58" s="74" t="str">
        <f t="shared" si="12"/>
        <v>"C:\Program Files (x86)\AstroGrep\AstroGrep.exe" /e /r /s /spath="%USERPROFILE%\AppData\Local\Temp\OnboardLogs" /stypes="app*4007*20170614*" /stext=" 16:.+((SYSTEM_STATE.+slice.+state.+changed )|(ment ac)|(multiple cpu faults)|(system.+state.+changed )|(\[timeout)|(PRM\|1\|D)|(kpr)|(kdp)|(train st.+moving)|(\|lc)|(penalty))"</v>
      </c>
      <c r="AG58" s="209" t="str">
        <f t="shared" si="17"/>
        <v>EC</v>
      </c>
      <c r="AH58" s="78" t="str">
        <f t="shared" si="13"/>
        <v>"%USERPROFILE%\Documents\GitHub\eaglep3\Utilities\RefineRTDCRunTimes.py" --tripid 146-14 --locoid 4007 --swversion DE.1.0.9.0 --startMP 204:232979 --initTime 2017-06-14T10:06:09 --startdatetime 2017-06-14T10:12:33 --delay 1 --endMP 204:158 --enddatetime 2017-06-14T10:51:14 --enforcementcount 2 &gt;&gt;C:\Users\stu\Documents\GitHub\eaglep3-reporting\EC\2017-06-14-refined-times.txt</v>
      </c>
      <c r="AI58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{"issue":{"subject":"","project_id":79,"tracker_id":40,"status_id":1,"priority_id":2,"assigned_to_id":23,"start_date":"2017-06-14","description":"","custom_fields":[{"id":1,"name":"Subdivision","value":"EC"},{"id":4,"name":"Milepost","value":"0.0158"},{"id":17,"name":"Train ID","value":"146-14"},{"id":16,"name":"Locomotive ID","value":"4007"},{"id":130,"name":"Impact","value":""},{"id":150,"name":"Time of Event (Mountain Time)","value":"10:51:14"},{"id":151,"name":"Denver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15"/>
        <v>start /low /b %USERPROFILE%\Documents\GitHub\eaglep3\Utilities\DownloadLogsFromS3.py --loco 4007 --day 2017-06-14</v>
      </c>
      <c r="AN58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16:51:14"},{"id":29,"name":"Sharepoint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72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715</v>
      </c>
      <c r="B59" s="7">
        <v>4016</v>
      </c>
      <c r="C59" s="21" t="s">
        <v>202</v>
      </c>
      <c r="D59" s="21" t="s">
        <v>198</v>
      </c>
      <c r="E59" s="13">
        <v>42900.394884259258</v>
      </c>
      <c r="F59" s="13">
        <v>42900.396053240744</v>
      </c>
      <c r="G59" s="7">
        <v>0</v>
      </c>
      <c r="H59" s="21" t="s">
        <v>472</v>
      </c>
      <c r="I59" s="13">
        <v>42900.421064814815</v>
      </c>
      <c r="J59" s="7">
        <v>2</v>
      </c>
      <c r="K59" s="89" t="str">
        <f t="shared" si="0"/>
        <v>4015/4016</v>
      </c>
      <c r="L59" s="21" t="str">
        <f>VLOOKUP(A59,'Trips&amp;Operators'!$C$1:$G$99999,5,FALSE)</f>
        <v>STARKS ANGELINA</v>
      </c>
      <c r="M59" s="6">
        <f t="shared" si="1"/>
        <v>2.5011574070958886E-2</v>
      </c>
      <c r="N59" s="7">
        <f t="shared" si="18"/>
        <v>36.016666662180796</v>
      </c>
      <c r="O59" s="7"/>
      <c r="P59" s="7"/>
      <c r="Q59" s="22"/>
      <c r="R59" s="170"/>
      <c r="S59" s="215">
        <f t="shared" si="19"/>
        <v>1</v>
      </c>
      <c r="T59" s="195" t="str">
        <f t="shared" si="4"/>
        <v>NorthBound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 t="shared" si="5"/>
        <v>https://d0f6bd738d7f1b3e5a7ca70fe4ff75f0.us-east-1.aws.found.io/app/kibana#/discover/Steve-Slow-Train-Analysis-(2080s-and-2083s)?_g=(refreshInterval:(display:Off,pause:!f,section:0,value:0),time:(from:'2017-06-14T08:28:38-0600',mode:absolute,to:'2017-06-14T11:06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9" s="197" t="str">
        <f>IF(AA59&lt;VLOOKUP(AG59,Variables!$AC$3:$AD$8,2,FALSE),"Y","N")</f>
        <v>N</v>
      </c>
      <c r="X59" s="197">
        <f t="shared" si="6"/>
        <v>1</v>
      </c>
      <c r="Y59" s="197">
        <f t="shared" si="20"/>
        <v>4.5699999999999998E-2</v>
      </c>
      <c r="Z59" s="197">
        <f t="shared" si="21"/>
        <v>23.329899999999999</v>
      </c>
      <c r="AA59" s="197">
        <f t="shared" si="9"/>
        <v>23.284199999999998</v>
      </c>
      <c r="AB59" s="54" t="e">
        <f>VLOOKUP(A59,Enforcements!$C$7:$K$13,8,0)</f>
        <v>#N/A</v>
      </c>
      <c r="AC59" s="51" t="e">
        <f>VLOOKUP(A59,Enforcements!$C$7:$E$13,3,0)</f>
        <v>#N/A</v>
      </c>
      <c r="AD59" s="206">
        <f t="shared" si="10"/>
        <v>147</v>
      </c>
      <c r="AE59" s="77" t="str">
        <f t="shared" si="11"/>
        <v>aws s3 cp s3://rtdc.mdm.uploadarchive.raw/RTDC4016/ "%USERPROFILE%\AppData\Local\Temp\OnboardLogs"\RTDC4016\2017-06-14 --exclude "*" --recursive --include "*20170614*" &amp; "%USERPROFILE%\Documents\GitHub\mrs-test-scripts\Headless Mode &amp; Sideloading\WalkAndUnGZ.bat" "%USERPROFILE%\AppData\Local\Temp\OnboardLogs"\RTDC4016\2017-06-14 &amp; aws s3 cp s3://rtdc.mdm.uploadarchive.raw/RTDC4016/ "%USERPROFILE%\AppData\Local\Temp\OnboardLogs"\RTDC4016\2017-06-15 --exclude "*" --recursive --include "*20170615*" &amp; "%USERPROFILE%\Documents\GitHub\mrs-test-scripts\Headless Mode &amp; Sideloading\WalkAndUnGZ.bat" "%USERPROFILE%\AppData\Local\Temp\OnboardLogs"\RTDC4016\2017-06-15</v>
      </c>
      <c r="AF59" s="74" t="str">
        <f t="shared" si="12"/>
        <v>"C:\Program Files (x86)\AstroGrep\AstroGrep.exe" /e /r /s /spath="%USERPROFILE%\AppData\Local\Temp\OnboardLogs" /stypes="app*4016*20170614*" /stext=" 16:.+((SYSTEM_STATE.+slice.+state.+changed )|(ment ac)|(multiple cpu faults)|(system.+state.+changed )|(\[timeout)|(PRM\|1\|D)|(kpr)|(kdp)|(train st.+moving)|(\|lc)|(penalty))"</v>
      </c>
      <c r="AG59" s="209" t="str">
        <f t="shared" si="17"/>
        <v>EC</v>
      </c>
      <c r="AH59" s="78" t="str">
        <f t="shared" si="13"/>
        <v>"%USERPROFILE%\Documents\GitHub\eaglep3\Utilities\RefineRTDCRunTimes.py" --tripid 147-14 --locoid 4016 --swversion DE.1.0.9.0 --startMP 204:457 --initTime 2017-06-14T09:28:38 --startdatetime 2017-06-14T09:30:19 --delay 0 --endMP 204:233299 --enddatetime 2017-06-14T10:06:20 --enforcementcount 2 &gt;&gt;C:\Users\stu\Documents\GitHub\eaglep3-reporting\EC\2017-06-14-refined-times.txt</v>
      </c>
      <c r="AI59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{"issue":{"subject":"","project_id":79,"tracker_id":40,"status_id":1,"priority_id":2,"assigned_to_id":23,"start_date":"2017-06-14","description":"","custom_fields":[{"id":1,"name":"Subdivision","value":"EC"},{"id":4,"name":"Milepost","value":"23.3299"},{"id":17,"name":"Train ID","value":"147-14"},{"id":16,"name":"Locomotive ID","value":"4016"},{"id":130,"name":"Impact","value":""},{"id":150,"name":"Time of Event (Mountain Time)","value":"10:06:20"},{"id":151,"name":"Denver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15"/>
        <v>start /low /b %USERPROFILE%\Documents\GitHub\eaglep3\Utilities\DownloadLogsFromS3.py --loco 4016 --day 2017-06-14</v>
      </c>
      <c r="AN59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16:06:20"},{"id":29,"name":"Sharepoint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72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721</v>
      </c>
      <c r="B60" s="7">
        <v>4015</v>
      </c>
      <c r="C60" s="21" t="s">
        <v>202</v>
      </c>
      <c r="D60" s="21" t="s">
        <v>460</v>
      </c>
      <c r="E60" s="13">
        <v>42900.427418981482</v>
      </c>
      <c r="F60" s="13">
        <v>42900.437685185185</v>
      </c>
      <c r="G60" s="7">
        <v>1</v>
      </c>
      <c r="H60" s="21" t="s">
        <v>359</v>
      </c>
      <c r="I60" s="13">
        <v>42900.464074074072</v>
      </c>
      <c r="J60" s="7">
        <v>2</v>
      </c>
      <c r="K60" s="89" t="str">
        <f t="shared" si="0"/>
        <v>4015/4016</v>
      </c>
      <c r="L60" s="21" t="str">
        <f>VLOOKUP(A60,'Trips&amp;Operators'!$C$1:$G$99999,5,FALSE)</f>
        <v>STARKS ANGELINA</v>
      </c>
      <c r="M60" s="6">
        <f t="shared" si="1"/>
        <v>2.6388888887595385E-2</v>
      </c>
      <c r="N60" s="7">
        <f t="shared" si="18"/>
        <v>37.999999998137355</v>
      </c>
      <c r="O60" s="7"/>
      <c r="P60" s="7"/>
      <c r="Q60" s="22"/>
      <c r="R60" s="170"/>
      <c r="S60" s="215">
        <f t="shared" si="19"/>
        <v>1</v>
      </c>
      <c r="T60" s="195" t="str">
        <f t="shared" si="4"/>
        <v>Southbound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 t="shared" si="5"/>
        <v>https://d0f6bd738d7f1b3e5a7ca70fe4ff75f0.us-east-1.aws.found.io/app/kibana#/discover/Steve-Slow-Train-Analysis-(2080s-and-2083s)?_g=(refreshInterval:(display:Off,pause:!f,section:0,value:0),time:(from:'2017-06-14T09:15:29-0600',mode:absolute,to:'2017-06-14T12:08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0" s="197" t="str">
        <f>IF(AA60&lt;VLOOKUP(AG60,Variables!$AC$3:$AD$8,2,FALSE),"Y","N")</f>
        <v>N</v>
      </c>
      <c r="X60" s="197">
        <f t="shared" si="6"/>
        <v>1</v>
      </c>
      <c r="Y60" s="197">
        <f t="shared" si="20"/>
        <v>23.299600000000002</v>
      </c>
      <c r="Z60" s="197">
        <f t="shared" si="21"/>
        <v>1.41E-2</v>
      </c>
      <c r="AA60" s="197">
        <f t="shared" si="9"/>
        <v>23.285500000000003</v>
      </c>
      <c r="AB60" s="54" t="e">
        <f>VLOOKUP(A60,Enforcements!$C$7:$K$13,8,0)</f>
        <v>#N/A</v>
      </c>
      <c r="AC60" s="51" t="e">
        <f>VLOOKUP(A60,Enforcements!$C$7:$E$13,3,0)</f>
        <v>#N/A</v>
      </c>
      <c r="AD60" s="206">
        <f t="shared" si="10"/>
        <v>148</v>
      </c>
      <c r="AE60" s="77" t="str">
        <f t="shared" si="11"/>
        <v>aws s3 cp s3://rtdc.mdm.uploadarchive.raw/RTDC4015/ "%USERPROFILE%\AppData\Local\Temp\OnboardLogs"\RTDC4015\2017-06-14 --exclude "*" --recursive --include "*20170614*" &amp; "%USERPROFILE%\Documents\GitHub\mrs-test-scripts\Headless Mode &amp; Sideloading\WalkAndUnGZ.bat" "%USERPROFILE%\AppData\Local\Temp\OnboardLogs"\RTDC4015\2017-06-14 &amp; aws s3 cp s3://rtdc.mdm.uploadarchive.raw/RTDC4015/ "%USERPROFILE%\AppData\Local\Temp\OnboardLogs"\RTDC4015\2017-06-15 --exclude "*" --recursive --include "*20170615*" &amp; "%USERPROFILE%\Documents\GitHub\mrs-test-scripts\Headless Mode &amp; Sideloading\WalkAndUnGZ.bat" "%USERPROFILE%\AppData\Local\Temp\OnboardLogs"\RTDC4015\2017-06-15</v>
      </c>
      <c r="AF60" s="74" t="str">
        <f t="shared" si="12"/>
        <v>"C:\Program Files (x86)\AstroGrep\AstroGrep.exe" /e /r /s /spath="%USERPROFILE%\AppData\Local\Temp\OnboardLogs" /stypes="app*4015*20170614*" /stext=" 17:.+((SYSTEM_STATE.+slice.+state.+changed )|(ment ac)|(multiple cpu faults)|(system.+state.+changed )|(\[timeout)|(PRM\|1\|D)|(kpr)|(kdp)|(train st.+moving)|(\|lc)|(penalty))"</v>
      </c>
      <c r="AG60" s="209" t="str">
        <f t="shared" si="17"/>
        <v>EC</v>
      </c>
      <c r="AH60" s="78" t="str">
        <f t="shared" si="13"/>
        <v>"%USERPROFILE%\Documents\GitHub\eaglep3\Utilities\RefineRTDCRunTimes.py" --tripid 148-14 --locoid 4015 --swversion DE.1.0.9.0 --startMP 204:232996 --initTime 2017-06-14T10:15:29 --startdatetime 2017-06-14T10:30:16 --delay 1 --endMP 204:141 --enddatetime 2017-06-14T11:08:16 --enforcementcount 2 &gt;&gt;C:\Users\stu\Documents\GitHub\eaglep3-reporting\EC\2017-06-14-refined-times.txt</v>
      </c>
      <c r="AI60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{"issue":{"subject":"","project_id":79,"tracker_id":40,"status_id":1,"priority_id":2,"assigned_to_id":23,"start_date":"2017-06-14","description":"","custom_fields":[{"id":1,"name":"Subdivision","value":"EC"},{"id":4,"name":"Milepost","value":"0.0141"},{"id":17,"name":"Train ID","value":"148-14"},{"id":16,"name":"Locomotive ID","value":"4015"},{"id":130,"name":"Impact","value":""},{"id":150,"name":"Time of Event (Mountain Time)","value":"11:08:16"},{"id":151,"name":"Denver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15"/>
        <v>start /low /b %USERPROFILE%\Documents\GitHub\eaglep3\Utilities\DownloadLogsFromS3.py --loco 4015 --day 2017-06-14</v>
      </c>
      <c r="AN60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17:08:16"},{"id":29,"name":"Sharepoint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72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717</v>
      </c>
      <c r="B61" s="7">
        <v>4056</v>
      </c>
      <c r="C61" s="21" t="s">
        <v>202</v>
      </c>
      <c r="D61" s="21" t="s">
        <v>352</v>
      </c>
      <c r="E61" s="13">
        <v>42900.405289351853</v>
      </c>
      <c r="F61" s="13">
        <v>42900.406678240739</v>
      </c>
      <c r="G61" s="7">
        <v>1</v>
      </c>
      <c r="H61" s="21" t="s">
        <v>393</v>
      </c>
      <c r="I61" s="13">
        <v>42900.433240740742</v>
      </c>
      <c r="J61" s="7">
        <v>2</v>
      </c>
      <c r="K61" s="89" t="str">
        <f t="shared" si="0"/>
        <v>4055/4056</v>
      </c>
      <c r="L61" s="21" t="str">
        <f>VLOOKUP(A61,'Trips&amp;Operators'!$C$1:$G$99999,5,FALSE)</f>
        <v>HELVIE ADAM</v>
      </c>
      <c r="M61" s="6">
        <f t="shared" si="1"/>
        <v>2.6562500002910383E-2</v>
      </c>
      <c r="N61" s="7">
        <f t="shared" si="18"/>
        <v>38.250000004190952</v>
      </c>
      <c r="O61" s="7"/>
      <c r="P61" s="7"/>
      <c r="Q61" s="22"/>
      <c r="R61" s="170"/>
      <c r="S61" s="215">
        <f t="shared" si="19"/>
        <v>1</v>
      </c>
      <c r="T61" s="195" t="str">
        <f t="shared" si="4"/>
        <v>NorthBound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 t="shared" si="5"/>
        <v>https://d0f6bd738d7f1b3e5a7ca70fe4ff75f0.us-east-1.aws.found.io/app/kibana#/discover/Steve-Slow-Train-Analysis-(2080s-and-2083s)?_g=(refreshInterval:(display:Off,pause:!f,section:0,value:0),time:(from:'2017-06-14T08:43:37-0600',mode:absolute,to:'2017-06-14T11:23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61" s="197" t="str">
        <f>IF(AA61&lt;VLOOKUP(AG61,Variables!$AC$3:$AD$8,2,FALSE),"Y","N")</f>
        <v>N</v>
      </c>
      <c r="X61" s="197">
        <f t="shared" si="6"/>
        <v>1</v>
      </c>
      <c r="Y61" s="197">
        <f t="shared" si="20"/>
        <v>4.6600000000000003E-2</v>
      </c>
      <c r="Z61" s="197">
        <f t="shared" si="21"/>
        <v>23.3293</v>
      </c>
      <c r="AA61" s="197">
        <f t="shared" si="9"/>
        <v>23.282699999999998</v>
      </c>
      <c r="AB61" s="54" t="e">
        <f>VLOOKUP(A61,Enforcements!$C$7:$K$13,8,0)</f>
        <v>#N/A</v>
      </c>
      <c r="AC61" s="51" t="e">
        <f>VLOOKUP(A61,Enforcements!$C$7:$E$13,3,0)</f>
        <v>#N/A</v>
      </c>
      <c r="AD61" s="206">
        <f t="shared" si="10"/>
        <v>149</v>
      </c>
      <c r="AE61" s="77" t="str">
        <f t="shared" si="11"/>
        <v>aws s3 cp s3://rtdc.mdm.uploadarchive.raw/RTDC4056/ "%USERPROFILE%\AppData\Local\Temp\OnboardLogs"\RTDC4056\2017-06-14 --exclude "*" --recursive --include "*20170614*" &amp; "%USERPROFILE%\Documents\GitHub\mrs-test-scripts\Headless Mode &amp; Sideloading\WalkAndUnGZ.bat" "%USERPROFILE%\AppData\Local\Temp\OnboardLogs"\RTDC4056\2017-06-14 &amp; aws s3 cp s3://rtdc.mdm.uploadarchive.raw/RTDC4056/ "%USERPROFILE%\AppData\Local\Temp\OnboardLogs"\RTDC4056\2017-06-15 --exclude "*" --recursive --include "*20170615*" &amp; "%USERPROFILE%\Documents\GitHub\mrs-test-scripts\Headless Mode &amp; Sideloading\WalkAndUnGZ.bat" "%USERPROFILE%\AppData\Local\Temp\OnboardLogs"\RTDC4056\2017-06-15</v>
      </c>
      <c r="AF61" s="74" t="str">
        <f t="shared" si="12"/>
        <v>"C:\Program Files (x86)\AstroGrep\AstroGrep.exe" /e /r /s /spath="%USERPROFILE%\AppData\Local\Temp\OnboardLogs" /stypes="app*4056*20170614*" /stext=" 16:.+((SYSTEM_STATE.+slice.+state.+changed )|(ment ac)|(multiple cpu faults)|(system.+state.+changed )|(\[timeout)|(PRM\|1\|D)|(kpr)|(kdp)|(train st.+moving)|(\|lc)|(penalty))"</v>
      </c>
      <c r="AG61" s="209" t="str">
        <f t="shared" si="17"/>
        <v>EC</v>
      </c>
      <c r="AH61" s="78" t="str">
        <f t="shared" si="13"/>
        <v>"%USERPROFILE%\Documents\GitHub\eaglep3\Utilities\RefineRTDCRunTimes.py" --tripid 149-14 --locoid 4056 --swversion DE.1.0.9.0 --startMP 204:466 --initTime 2017-06-14T09:43:37 --startdatetime 2017-06-14T09:45:37 --delay 1 --endMP 204:233293 --enddatetime 2017-06-14T10:23:52 --enforcementcount 2 &gt;&gt;C:\Users\stu\Documents\GitHub\eaglep3-reporting\EC\2017-06-14-refined-times.txt</v>
      </c>
      <c r="AI61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{"issue":{"subject":"","project_id":79,"tracker_id":40,"status_id":1,"priority_id":2,"assigned_to_id":23,"start_date":"2017-06-14","description":"","custom_fields":[{"id":1,"name":"Subdivision","value":"EC"},{"id":4,"name":"Milepost","value":"23.3293"},{"id":17,"name":"Train ID","value":"149-14"},{"id":16,"name":"Locomotive ID","value":"4056"},{"id":130,"name":"Impact","value":""},{"id":150,"name":"Time of Event (Mountain Time)","value":"10:23:52"},{"id":151,"name":"Denver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15"/>
        <v>start /low /b %USERPROFILE%\Documents\GitHub\eaglep3\Utilities\DownloadLogsFromS3.py --loco 4056 --day 2017-06-14</v>
      </c>
      <c r="AN61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16:23:52"},{"id":29,"name":"Sharepoint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72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725</v>
      </c>
      <c r="B62" s="7">
        <v>4055</v>
      </c>
      <c r="C62" s="21" t="s">
        <v>202</v>
      </c>
      <c r="D62" s="21" t="s">
        <v>864</v>
      </c>
      <c r="E62" s="13">
        <v>42900.443877314814</v>
      </c>
      <c r="F62" s="13">
        <v>42900.446446759262</v>
      </c>
      <c r="G62" s="7">
        <v>0</v>
      </c>
      <c r="H62" s="21" t="s">
        <v>518</v>
      </c>
      <c r="I62" s="13">
        <v>42900.471666666665</v>
      </c>
      <c r="J62" s="7">
        <v>2</v>
      </c>
      <c r="K62" s="89" t="str">
        <f t="shared" si="0"/>
        <v>4055/4056</v>
      </c>
      <c r="L62" s="21" t="str">
        <f>VLOOKUP(A62,'Trips&amp;Operators'!$C$1:$G$99999,5,FALSE)</f>
        <v>HELVIE ADAM</v>
      </c>
      <c r="M62" s="6">
        <f t="shared" si="1"/>
        <v>2.5219907402060926E-2</v>
      </c>
      <c r="N62" s="7">
        <f t="shared" si="18"/>
        <v>36.316666658967733</v>
      </c>
      <c r="O62" s="7"/>
      <c r="P62" s="7"/>
      <c r="Q62" s="22"/>
      <c r="R62" s="170"/>
      <c r="S62" s="215">
        <f t="shared" si="19"/>
        <v>1</v>
      </c>
      <c r="T62" s="195" t="str">
        <f t="shared" si="4"/>
        <v>Southbound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 t="shared" si="5"/>
        <v>https://d0f6bd738d7f1b3e5a7ca70fe4ff75f0.us-east-1.aws.found.io/app/kibana#/discover/Steve-Slow-Train-Analysis-(2080s-and-2083s)?_g=(refreshInterval:(display:Off,pause:!f,section:0,value:0),time:(from:'2017-06-14T09:39:11-0600',mode:absolute,to:'2017-06-14T12:19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62" s="197" t="str">
        <f>IF(AA62&lt;VLOOKUP(AG62,Variables!$AC$3:$AD$8,2,FALSE),"Y","N")</f>
        <v>N</v>
      </c>
      <c r="X62" s="197">
        <f t="shared" si="6"/>
        <v>1</v>
      </c>
      <c r="Y62" s="197">
        <f t="shared" si="20"/>
        <v>23.297000000000001</v>
      </c>
      <c r="Z62" s="197">
        <f t="shared" si="21"/>
        <v>1.6E-2</v>
      </c>
      <c r="AA62" s="197">
        <f t="shared" si="9"/>
        <v>23.281000000000002</v>
      </c>
      <c r="AB62" s="54" t="e">
        <f>VLOOKUP(A62,Enforcements!$C$7:$K$13,8,0)</f>
        <v>#N/A</v>
      </c>
      <c r="AC62" s="51" t="e">
        <f>VLOOKUP(A62,Enforcements!$C$7:$E$13,3,0)</f>
        <v>#N/A</v>
      </c>
      <c r="AD62" s="206">
        <f t="shared" si="10"/>
        <v>150</v>
      </c>
      <c r="AE62" s="77" t="str">
        <f t="shared" si="11"/>
        <v>aws s3 cp s3://rtdc.mdm.uploadarchive.raw/RTDC4055/ "%USERPROFILE%\AppData\Local\Temp\OnboardLogs"\RTDC4055\2017-06-14 --exclude "*" --recursive --include "*20170614*" &amp; "%USERPROFILE%\Documents\GitHub\mrs-test-scripts\Headless Mode &amp; Sideloading\WalkAndUnGZ.bat" "%USERPROFILE%\AppData\Local\Temp\OnboardLogs"\RTDC4055\2017-06-14 &amp; aws s3 cp s3://rtdc.mdm.uploadarchive.raw/RTDC4055/ "%USERPROFILE%\AppData\Local\Temp\OnboardLogs"\RTDC4055\2017-06-15 --exclude "*" --recursive --include "*20170615*" &amp; "%USERPROFILE%\Documents\GitHub\mrs-test-scripts\Headless Mode &amp; Sideloading\WalkAndUnGZ.bat" "%USERPROFILE%\AppData\Local\Temp\OnboardLogs"\RTDC4055\2017-06-15</v>
      </c>
      <c r="AF62" s="74" t="str">
        <f t="shared" si="12"/>
        <v>"C:\Program Files (x86)\AstroGrep\AstroGrep.exe" /e /r /s /spath="%USERPROFILE%\AppData\Local\Temp\OnboardLogs" /stypes="app*4055*20170614*" /stext=" 17:.+((SYSTEM_STATE.+slice.+state.+changed )|(ment ac)|(multiple cpu faults)|(system.+state.+changed )|(\[timeout)|(PRM\|1\|D)|(kpr)|(kdp)|(train st.+moving)|(\|lc)|(penalty))"</v>
      </c>
      <c r="AG62" s="209" t="str">
        <f t="shared" si="17"/>
        <v>EC</v>
      </c>
      <c r="AH62" s="78" t="str">
        <f t="shared" si="13"/>
        <v>"%USERPROFILE%\Documents\GitHub\eaglep3\Utilities\RefineRTDCRunTimes.py" --tripid 150-14 --locoid 4055 --swversion DE.1.0.9.0 --startMP 204:232970 --initTime 2017-06-14T10:39:11 --startdatetime 2017-06-14T10:42:53 --delay 0 --endMP 204:160 --enddatetime 2017-06-14T11:19:12 --enforcementcount 2 &gt;&gt;C:\Users\stu\Documents\GitHub\eaglep3-reporting\EC\2017-06-14-refined-times.txt</v>
      </c>
      <c r="AI62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{"issue":{"subject":"","project_id":79,"tracker_id":40,"status_id":1,"priority_id":2,"assigned_to_id":23,"start_date":"2017-06-14","description":"","custom_fields":[{"id":1,"name":"Subdivision","value":"EC"},{"id":4,"name":"Milepost","value":"0.016"},{"id":17,"name":"Train ID","value":"150-14"},{"id":16,"name":"Locomotive ID","value":"4055"},{"id":130,"name":"Impact","value":""},{"id":150,"name":"Time of Event (Mountain Time)","value":"11:19:12"},{"id":151,"name":"Denver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15"/>
        <v>start /low /b %USERPROFILE%\Documents\GitHub\eaglep3\Utilities\DownloadLogsFromS3.py --loco 4055 --day 2017-06-14</v>
      </c>
      <c r="AN62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17:19:12"},{"id":29,"name":"Sharepoint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7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620</v>
      </c>
      <c r="B63" s="7">
        <v>4040</v>
      </c>
      <c r="C63" s="21" t="s">
        <v>202</v>
      </c>
      <c r="D63" s="21" t="s">
        <v>441</v>
      </c>
      <c r="E63" s="13">
        <v>42900.413136574076</v>
      </c>
      <c r="F63" s="13">
        <v>42900.41684027778</v>
      </c>
      <c r="G63" s="7">
        <v>1</v>
      </c>
      <c r="H63" s="21" t="s">
        <v>865</v>
      </c>
      <c r="I63" s="13">
        <v>42900.444293981483</v>
      </c>
      <c r="J63" s="7">
        <v>2</v>
      </c>
      <c r="K63" s="89" t="str">
        <f t="shared" si="0"/>
        <v>4039/4040</v>
      </c>
      <c r="L63" s="21" t="str">
        <f>VLOOKUP(A63,'Trips&amp;Operators'!$C$1:$G$99999,5,FALSE)</f>
        <v>DAVIS WENDY</v>
      </c>
      <c r="M63" s="6">
        <f t="shared" si="1"/>
        <v>2.7453703703940846E-2</v>
      </c>
      <c r="N63" s="7">
        <f t="shared" si="18"/>
        <v>39.533333333674818</v>
      </c>
      <c r="O63" s="7"/>
      <c r="P63" s="7"/>
      <c r="Q63" s="22"/>
      <c r="R63" s="170"/>
      <c r="S63" s="215">
        <f t="shared" si="19"/>
        <v>1</v>
      </c>
      <c r="T63" s="195" t="str">
        <f t="shared" si="4"/>
        <v>NorthBound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 t="shared" si="5"/>
        <v>https://d0f6bd738d7f1b3e5a7ca70fe4ff75f0.us-east-1.aws.found.io/app/kibana#/discover/Steve-Slow-Train-Analysis-(2080s-and-2083s)?_g=(refreshInterval:(display:Off,pause:!f,section:0,value:0),time:(from:'2017-06-14T08:54:55-0600',mode:absolute,to:'2017-06-14T11:39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3" s="197" t="str">
        <f>IF(AA63&lt;VLOOKUP(AG63,Variables!$AC$3:$AD$8,2,FALSE),"Y","N")</f>
        <v>N</v>
      </c>
      <c r="X63" s="197">
        <f t="shared" si="6"/>
        <v>1</v>
      </c>
      <c r="Y63" s="197">
        <f t="shared" si="20"/>
        <v>4.6699999999999998E-2</v>
      </c>
      <c r="Z63" s="197">
        <f t="shared" si="21"/>
        <v>23.332799999999999</v>
      </c>
      <c r="AA63" s="197">
        <f t="shared" si="9"/>
        <v>23.286099999999998</v>
      </c>
      <c r="AB63" s="54" t="e">
        <f>VLOOKUP(A63,Enforcements!$C$7:$K$13,8,0)</f>
        <v>#N/A</v>
      </c>
      <c r="AC63" s="51" t="e">
        <f>VLOOKUP(A63,Enforcements!$C$7:$E$13,3,0)</f>
        <v>#N/A</v>
      </c>
      <c r="AD63" s="206">
        <f t="shared" si="10"/>
        <v>151</v>
      </c>
      <c r="AE63" s="77" t="str">
        <f t="shared" si="11"/>
        <v>aws s3 cp s3://rtdc.mdm.uploadarchive.raw/RTDC4040/ "%USERPROFILE%\AppData\Local\Temp\OnboardLogs"\RTDC4040\2017-06-14 --exclude "*" --recursive --include "*20170614*" &amp; "%USERPROFILE%\Documents\GitHub\mrs-test-scripts\Headless Mode &amp; Sideloading\WalkAndUnGZ.bat" "%USERPROFILE%\AppData\Local\Temp\OnboardLogs"\RTDC4040\2017-06-14 &amp; aws s3 cp s3://rtdc.mdm.uploadarchive.raw/RTDC4040/ "%USERPROFILE%\AppData\Local\Temp\OnboardLogs"\RTDC4040\2017-06-15 --exclude "*" --recursive --include "*20170615*" &amp; "%USERPROFILE%\Documents\GitHub\mrs-test-scripts\Headless Mode &amp; Sideloading\WalkAndUnGZ.bat" "%USERPROFILE%\AppData\Local\Temp\OnboardLogs"\RTDC4040\2017-06-15</v>
      </c>
      <c r="AF63" s="74" t="str">
        <f t="shared" si="12"/>
        <v>"C:\Program Files (x86)\AstroGrep\AstroGrep.exe" /e /r /s /spath="%USERPROFILE%\AppData\Local\Temp\OnboardLogs" /stypes="app*4040*20170614*" /stext=" 16:.+((SYSTEM_STATE.+slice.+state.+changed )|(ment ac)|(multiple cpu faults)|(system.+state.+changed )|(\[timeout)|(PRM\|1\|D)|(kpr)|(kdp)|(train st.+moving)|(\|lc)|(penalty))"</v>
      </c>
      <c r="AG63" s="209" t="str">
        <f t="shared" si="17"/>
        <v>EC</v>
      </c>
      <c r="AH63" s="78" t="str">
        <f t="shared" si="13"/>
        <v>"%USERPROFILE%\Documents\GitHub\eaglep3\Utilities\RefineRTDCRunTimes.py" --tripid 151-14 --locoid 4040 --swversion DE.1.0.9.0 --startMP 204:467 --initTime 2017-06-14T09:54:55 --startdatetime 2017-06-14T10:00:15 --delay 1 --endMP 204:233328 --enddatetime 2017-06-14T10:39:47 --enforcementcount 2 &gt;&gt;C:\Users\stu\Documents\GitHub\eaglep3-reporting\EC\2017-06-14-refined-times.txt</v>
      </c>
      <c r="AI63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{"issue":{"subject":"","project_id":79,"tracker_id":40,"status_id":1,"priority_id":2,"assigned_to_id":23,"start_date":"2017-06-14","description":"","custom_fields":[{"id":1,"name":"Subdivision","value":"EC"},{"id":4,"name":"Milepost","value":"23.3328"},{"id":17,"name":"Train ID","value":"151-14"},{"id":16,"name":"Locomotive ID","value":"4040"},{"id":130,"name":"Impact","value":""},{"id":150,"name":"Time of Event (Mountain Time)","value":"10:39:47"},{"id":151,"name":"Denver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15"/>
        <v>start /low /b %USERPROFILE%\Documents\GitHub\eaglep3\Utilities\DownloadLogsFromS3.py --loco 4040 --day 2017-06-14</v>
      </c>
      <c r="AN63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16:39:47"},{"id":29,"name":"Sharepoint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72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729</v>
      </c>
      <c r="B64" s="7">
        <v>4039</v>
      </c>
      <c r="C64" s="21" t="s">
        <v>202</v>
      </c>
      <c r="D64" s="21" t="s">
        <v>574</v>
      </c>
      <c r="E64" s="13">
        <v>42900.45380787037</v>
      </c>
      <c r="F64" s="13">
        <v>42900.454652777778</v>
      </c>
      <c r="G64" s="7">
        <v>1</v>
      </c>
      <c r="H64" s="21" t="s">
        <v>523</v>
      </c>
      <c r="I64" s="13">
        <v>42900.470648148148</v>
      </c>
      <c r="J64" s="7">
        <v>0</v>
      </c>
      <c r="K64" s="89" t="str">
        <f t="shared" si="0"/>
        <v>4039/4040</v>
      </c>
      <c r="L64" s="21" t="str">
        <f>VLOOKUP(A64,'Trips&amp;Operators'!$C$1:$G$99999,5,FALSE)</f>
        <v>DAVIS WENDY</v>
      </c>
      <c r="M64" s="6">
        <f t="shared" si="1"/>
        <v>1.5995370369637385E-2</v>
      </c>
      <c r="N64" s="7"/>
      <c r="O64" s="7"/>
      <c r="P64" s="7">
        <f>24*60*SUM($M64:$M65)</f>
        <v>37.916666666278616</v>
      </c>
      <c r="Q64" s="22"/>
      <c r="R64" s="170" t="s">
        <v>993</v>
      </c>
      <c r="S64" s="215">
        <f>SUM(U64:U65)/IF(AG64="EC",12,1)</f>
        <v>0.91666666666666663</v>
      </c>
      <c r="T64" s="195" t="str">
        <f t="shared" si="4"/>
        <v>Southbound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2</v>
      </c>
      <c r="V64" s="196" t="str">
        <f t="shared" si="5"/>
        <v>https://d0f6bd738d7f1b3e5a7ca70fe4ff75f0.us-east-1.aws.found.io/app/kibana#/discover/Steve-Slow-Train-Analysis-(2080s-and-2083s)?_g=(refreshInterval:(display:Off,pause:!f,section:0,value:0),time:(from:'2017-06-14T09:53:29-0600',mode:absolute,to:'2017-06-14T12:17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4" s="197" t="str">
        <f>IF(AA64&lt;VLOOKUP(AG64,Variables!$AC$3:$AD$8,2,FALSE),"Y","N")</f>
        <v>Y</v>
      </c>
      <c r="X64" s="197">
        <f t="shared" si="6"/>
        <v>1</v>
      </c>
      <c r="Y64" s="197">
        <f t="shared" si="20"/>
        <v>23.299199999999999</v>
      </c>
      <c r="Z64" s="197">
        <f t="shared" si="21"/>
        <v>8.6351999999999993</v>
      </c>
      <c r="AA64" s="197">
        <f t="shared" si="9"/>
        <v>14.664</v>
      </c>
      <c r="AB64" s="54" t="e">
        <f>VLOOKUP(A64,Enforcements!$C$7:$K$13,8,0)</f>
        <v>#N/A</v>
      </c>
      <c r="AC64" s="51" t="e">
        <f>VLOOKUP(A64,Enforcements!$C$7:$E$13,3,0)</f>
        <v>#N/A</v>
      </c>
      <c r="AD64" s="206">
        <f t="shared" si="10"/>
        <v>152</v>
      </c>
      <c r="AE64" s="77" t="str">
        <f t="shared" si="11"/>
        <v>aws s3 cp s3://rtdc.mdm.uploadarchive.raw/RTDC4039/ "%USERPROFILE%\AppData\Local\Temp\OnboardLogs"\RTDC4039\2017-06-14 --exclude "*" --recursive --include "*20170614*" &amp; "%USERPROFILE%\Documents\GitHub\mrs-test-scripts\Headless Mode &amp; Sideloading\WalkAndUnGZ.bat" "%USERPROFILE%\AppData\Local\Temp\OnboardLogs"\RTDC4039\2017-06-14 &amp; aws s3 cp s3://rtdc.mdm.uploadarchive.raw/RTDC4039/ "%USERPROFILE%\AppData\Local\Temp\OnboardLogs"\RTDC4039\2017-06-15 --exclude "*" --recursive --include "*20170615*" &amp; "%USERPROFILE%\Documents\GitHub\mrs-test-scripts\Headless Mode &amp; Sideloading\WalkAndUnGZ.bat" "%USERPROFILE%\AppData\Local\Temp\OnboardLogs"\RTDC4039\2017-06-15</v>
      </c>
      <c r="AF64" s="74" t="str">
        <f t="shared" si="12"/>
        <v>"C:\Program Files (x86)\AstroGrep\AstroGrep.exe" /e /r /s /spath="%USERPROFILE%\AppData\Local\Temp\OnboardLogs" /stypes="app*4039*20170614*" /stext=" 17:.+((SYSTEM_STATE.+slice.+state.+changed )|(ment ac)|(multiple cpu faults)|(system.+state.+changed )|(\[timeout)|(PRM\|1\|D)|(kpr)|(kdp)|(train st.+moving)|(\|lc)|(penalty))"</v>
      </c>
      <c r="AG64" s="209" t="str">
        <f t="shared" si="17"/>
        <v>EC</v>
      </c>
      <c r="AH64" s="78" t="str">
        <f t="shared" si="13"/>
        <v>"%USERPROFILE%\Documents\GitHub\eaglep3\Utilities\RefineRTDCRunTimes.py" --tripid 152-14 --locoid 4039 --swversion DE.1.0.9.0 --startMP 204:232992 --initTime 2017-06-14T10:53:29 --startdatetime 2017-06-14T10:54:42 --delay 1 --endMP 204:86352 --enddatetime 2017-06-14T11:17:44 --enforcementcount 0 &gt;&gt;C:\Users\stu\Documents\GitHub\eaglep3-reporting\EC\2017-06-14-refined-times.txt</v>
      </c>
      <c r="AI64" s="96" t="str">
        <f t="shared" si="14"/>
        <v>echo {"issue":{"subject":"EC0816RH 88-2T 2S flipping aspects","project_id":79,"tracker_id":40,"status_id":1,"priority_id":2,"assigned_to_id":23,"start_date":"2017-06-14","description":"At 11:09:32, 11:13:03, 11:14:05, and 11:16:50, EC0816RH 88-2T 2S was observed flipping back and forth between STOP &amp; PROCEED and 270. Do logs tell anything unusual?","custom_fields":[{"id":1,"name":"Subdivision","value":"EC"},{"id":4,"name":"Milepost","value":"8.6352"},{"id":17,"name":"Train ID","value":"152-14"},{"id":16,"name":"Locomotive ID","value":"4039"},{"id":130,"name":"Impact","value":"Unexpected Cut-Out or Disengaged"},{"id":150,"name":"Time of Event (Mountain Time)","value":"11:17:44"},{"id":151,"name":"Denver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64" s="20" t="s">
        <v>994</v>
      </c>
      <c r="AK64" s="47" t="s">
        <v>126</v>
      </c>
      <c r="AL64" s="47" t="s">
        <v>125</v>
      </c>
      <c r="AM64" s="142" t="str">
        <f t="shared" si="15"/>
        <v>start /low /b %USERPROFILE%\Documents\GitHub\eaglep3\Utilities\DownloadLogsFromS3.py --loco 4039 --day 2017-06-14</v>
      </c>
      <c r="AN64" s="151" t="str">
        <f t="shared" si="16"/>
        <v>echo {"issue":{"subject":"EC0816RH 88-2T 2S flipping aspects","project_id":30,"tracker_id":4,"status_id":1,"priority_id":1,"assigned_to_id":10,"start_date":"2017-06-14","description":"At 11:09:32, 11:13:03, 11:14:05, and 11:16:50, EC0816RH 88-2T 2S was observed flipping back and forth between STOP &amp; PROCEED and 270. Do logs tell anything unusual?","custom_fields":[{"id":30,"name":"Category","value":"Issue"},{"id":3,"name":"Functional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17:17:44"},{"id":29,"name":"Sharepoint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72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729</v>
      </c>
      <c r="B65" s="7">
        <v>4039</v>
      </c>
      <c r="C65" s="21" t="s">
        <v>202</v>
      </c>
      <c r="D65" s="21" t="s">
        <v>566</v>
      </c>
      <c r="E65" s="13">
        <v>42900.475798611114</v>
      </c>
      <c r="F65" s="13">
        <v>42900.476435185185</v>
      </c>
      <c r="G65" s="7">
        <v>0</v>
      </c>
      <c r="H65" s="21" t="s">
        <v>421</v>
      </c>
      <c r="I65" s="13">
        <v>42900.486770833333</v>
      </c>
      <c r="J65" s="7">
        <v>0</v>
      </c>
      <c r="K65" s="89" t="str">
        <f t="shared" si="0"/>
        <v>4039/4040</v>
      </c>
      <c r="L65" s="21" t="str">
        <f>VLOOKUP(A65,'Trips&amp;Operators'!$C$1:$G$99999,5,FALSE)</f>
        <v>DAVIS WENDY</v>
      </c>
      <c r="M65" s="6">
        <f t="shared" si="1"/>
        <v>1.0335648148611654E-2</v>
      </c>
      <c r="N65" s="7"/>
      <c r="O65" s="7"/>
      <c r="P65" s="7"/>
      <c r="Q65" s="22"/>
      <c r="R65" s="170"/>
      <c r="S65" s="215"/>
      <c r="T65" s="195" t="str">
        <f t="shared" si="4"/>
        <v>Southbound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9</v>
      </c>
      <c r="V65" s="196" t="str">
        <f t="shared" si="5"/>
        <v>https://d0f6bd738d7f1b3e5a7ca70fe4ff75f0.us-east-1.aws.found.io/app/kibana#/discover/Steve-Slow-Train-Analysis-(2080s-and-2083s)?_g=(refreshInterval:(display:Off,pause:!f,section:0,value:0),time:(from:'2017-06-14T10:25:09-0600',mode:absolute,to:'2017-06-14T12:40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5" s="197" t="str">
        <f>IF(AA65&lt;VLOOKUP(AG65,Variables!$AC$3:$AD$8,2,FALSE),"Y","N")</f>
        <v>Y</v>
      </c>
      <c r="X65" s="197">
        <f t="shared" si="6"/>
        <v>0</v>
      </c>
      <c r="Y65" s="197">
        <f t="shared" si="20"/>
        <v>6.4170999999999996</v>
      </c>
      <c r="Z65" s="197">
        <f t="shared" si="21"/>
        <v>1.4500000000000001E-2</v>
      </c>
      <c r="AA65" s="197">
        <f t="shared" si="9"/>
        <v>6.4025999999999996</v>
      </c>
      <c r="AB65" s="54" t="e">
        <f>VLOOKUP(A65,Enforcements!$C$7:$K$13,8,0)</f>
        <v>#N/A</v>
      </c>
      <c r="AC65" s="51" t="e">
        <f>VLOOKUP(A65,Enforcements!$C$7:$E$13,3,0)</f>
        <v>#N/A</v>
      </c>
      <c r="AD65" s="206">
        <f t="shared" si="10"/>
        <v>152</v>
      </c>
      <c r="AE65" s="77" t="str">
        <f t="shared" si="11"/>
        <v>aws s3 cp s3://rtdc.mdm.uploadarchive.raw/RTDC4039/ "%USERPROFILE%\AppData\Local\Temp\OnboardLogs"\RTDC4039\2017-06-14 --exclude "*" --recursive --include "*20170614*" &amp; "%USERPROFILE%\Documents\GitHub\mrs-test-scripts\Headless Mode &amp; Sideloading\WalkAndUnGZ.bat" "%USERPROFILE%\AppData\Local\Temp\OnboardLogs"\RTDC4039\2017-06-14 &amp; aws s3 cp s3://rtdc.mdm.uploadarchive.raw/RTDC4039/ "%USERPROFILE%\AppData\Local\Temp\OnboardLogs"\RTDC4039\2017-06-15 --exclude "*" --recursive --include "*20170615*" &amp; "%USERPROFILE%\Documents\GitHub\mrs-test-scripts\Headless Mode &amp; Sideloading\WalkAndUnGZ.bat" "%USERPROFILE%\AppData\Local\Temp\OnboardLogs"\RTDC4039\2017-06-15</v>
      </c>
      <c r="AF65" s="74" t="str">
        <f t="shared" si="12"/>
        <v>"C:\Program Files (x86)\AstroGrep\AstroGrep.exe" /e /r /s /spath="%USERPROFILE%\AppData\Local\Temp\OnboardLogs" /stypes="app*4039*20170614*" /stext=" 17:.+((SYSTEM_STATE.+slice.+state.+changed )|(ment ac)|(multiple cpu faults)|(system.+state.+changed )|(\[timeout)|(PRM\|1\|D)|(kpr)|(kdp)|(train st.+moving)|(\|lc)|(penalty))"</v>
      </c>
      <c r="AG65" s="209" t="str">
        <f t="shared" si="17"/>
        <v>EC</v>
      </c>
      <c r="AH65" s="78" t="str">
        <f t="shared" si="13"/>
        <v>"%USERPROFILE%\Documents\GitHub\eaglep3\Utilities\RefineRTDCRunTimes.py" --tripid 152-14 --locoid 4039 --swversion DE.1.0.9.0 --startMP 204:64171 --initTime 2017-06-14T11:25:09 --startdatetime 2017-06-14T11:26:04 --delay 0 --endMP 204:145 --enddatetime 2017-06-14T11:40:57 --enforcementcount 0 &gt;&gt;C:\Users\stu\Documents\GitHub\eaglep3-reporting\EC\2017-06-14-refined-times.txt</v>
      </c>
      <c r="AI65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{"issue":{"subject":"","project_id":79,"tracker_id":40,"status_id":1,"priority_id":2,"assigned_to_id":23,"start_date":"2017-06-14","description":"","custom_fields":[{"id":1,"name":"Subdivision","value":"EC"},{"id":4,"name":"Milepost","value":"0.0145"},{"id":17,"name":"Train ID","value":"152-14"},{"id":16,"name":"Locomotive ID","value":"4039"},{"id":130,"name":"Impact","value":""},{"id":150,"name":"Time of Event (Mountain Time)","value":"11:40:57"},{"id":151,"name":"Denver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15"/>
        <v>start /low /b %USERPROFILE%\Documents\GitHub\eaglep3\Utilities\DownloadLogsFromS3.py --loco 4039 --day 2017-06-14</v>
      </c>
      <c r="AN65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17:40:57"},{"id":29,"name":"Sharepoint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72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720</v>
      </c>
      <c r="B66" s="7">
        <v>4010</v>
      </c>
      <c r="C66" s="21" t="s">
        <v>202</v>
      </c>
      <c r="D66" s="21" t="s">
        <v>353</v>
      </c>
      <c r="E66" s="13">
        <v>42900.424791666665</v>
      </c>
      <c r="F66" s="13">
        <v>42900.427314814813</v>
      </c>
      <c r="G66" s="7">
        <v>2</v>
      </c>
      <c r="H66" s="21" t="s">
        <v>866</v>
      </c>
      <c r="I66" s="13">
        <v>42900.452592592592</v>
      </c>
      <c r="J66" s="7">
        <v>2</v>
      </c>
      <c r="K66" s="89" t="str">
        <f t="shared" si="0"/>
        <v>4009/4010</v>
      </c>
      <c r="L66" s="21" t="str">
        <f>VLOOKUP(A66,'Trips&amp;Operators'!$C$1:$G$99999,5,FALSE)</f>
        <v>MACDONALD THOMAS</v>
      </c>
      <c r="M66" s="6">
        <f t="shared" si="1"/>
        <v>2.527777777868323E-2</v>
      </c>
      <c r="N66" s="7">
        <f t="shared" ref="N66:N97" si="22">24*60*SUM($M66:$M66)</f>
        <v>36.400000001303852</v>
      </c>
      <c r="O66" s="7"/>
      <c r="P66" s="7"/>
      <c r="Q66" s="22"/>
      <c r="R66" s="170"/>
      <c r="S66" s="215">
        <f t="shared" ref="S66:S97" si="23">SUM(U66:U66)/IF(AG66="EC",12,1)</f>
        <v>1</v>
      </c>
      <c r="T66" s="195" t="str">
        <f t="shared" si="4"/>
        <v>NorthBound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 t="shared" si="5"/>
        <v>https://d0f6bd738d7f1b3e5a7ca70fe4ff75f0.us-east-1.aws.found.io/app/kibana#/discover/Steve-Slow-Train-Analysis-(2080s-and-2083s)?_g=(refreshInterval:(display:Off,pause:!f,section:0,value:0),time:(from:'2017-06-14T09:11:42-0600',mode:absolute,to:'2017-06-14T11:51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6" s="197" t="str">
        <f>IF(AA66&lt;VLOOKUP(AG66,Variables!$AC$3:$AD$8,2,FALSE),"Y","N")</f>
        <v>N</v>
      </c>
      <c r="X66" s="197">
        <f t="shared" si="6"/>
        <v>1</v>
      </c>
      <c r="Y66" s="197">
        <f t="shared" si="20"/>
        <v>4.5100000000000001E-2</v>
      </c>
      <c r="Z66" s="197">
        <f t="shared" si="21"/>
        <v>23.3278</v>
      </c>
      <c r="AA66" s="197">
        <f t="shared" si="9"/>
        <v>23.282699999999998</v>
      </c>
      <c r="AB66" s="54" t="e">
        <f>VLOOKUP(A66,Enforcements!$C$7:$K$13,8,0)</f>
        <v>#N/A</v>
      </c>
      <c r="AC66" s="51" t="e">
        <f>VLOOKUP(A66,Enforcements!$C$7:$E$13,3,0)</f>
        <v>#N/A</v>
      </c>
      <c r="AD66" s="206">
        <f t="shared" si="10"/>
        <v>153</v>
      </c>
      <c r="AE66" s="77" t="str">
        <f t="shared" si="11"/>
        <v>aws s3 cp s3://rtdc.mdm.uploadarchive.raw/RTDC4010/ "%USERPROFILE%\AppData\Local\Temp\OnboardLogs"\RTDC4010\2017-06-14 --exclude "*" --recursive --include "*20170614*" &amp; "%USERPROFILE%\Documents\GitHub\mrs-test-scripts\Headless Mode &amp; Sideloading\WalkAndUnGZ.bat" "%USERPROFILE%\AppData\Local\Temp\OnboardLogs"\RTDC4010\2017-06-14 &amp; 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</v>
      </c>
      <c r="AF66" s="74" t="str">
        <f t="shared" si="12"/>
        <v>"C:\Program Files (x86)\AstroGrep\AstroGrep.exe" /e /r /s /spath="%USERPROFILE%\AppData\Local\Temp\OnboardLogs" /stypes="app*4010*20170614*" /stext=" 16:.+((SYSTEM_STATE.+slice.+state.+changed )|(ment ac)|(multiple cpu faults)|(system.+state.+changed )|(\[timeout)|(PRM\|1\|D)|(kpr)|(kdp)|(train st.+moving)|(\|lc)|(penalty))"</v>
      </c>
      <c r="AG66" s="209" t="str">
        <f t="shared" si="17"/>
        <v>EC</v>
      </c>
      <c r="AH66" s="78" t="str">
        <f t="shared" si="13"/>
        <v>"%USERPROFILE%\Documents\GitHub\eaglep3\Utilities\RefineRTDCRunTimes.py" --tripid 153-14 --locoid 4010 --swversion DE.1.0.9.0 --startMP 204:451 --initTime 2017-06-14T10:11:42 --startdatetime 2017-06-14T10:15:20 --delay 2 --endMP 204:233278 --enddatetime 2017-06-14T10:51:44 --enforcementcount 2 &gt;&gt;C:\Users\stu\Documents\GitHub\eaglep3-reporting\EC\2017-06-14-refined-times.txt</v>
      </c>
      <c r="AI66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{"issue":{"subject":"","project_id":79,"tracker_id":40,"status_id":1,"priority_id":2,"assigned_to_id":23,"start_date":"2017-06-14","description":"","custom_fields":[{"id":1,"name":"Subdivision","value":"EC"},{"id":4,"name":"Milepost","value":"23.3278"},{"id":17,"name":"Train ID","value":"153-14"},{"id":16,"name":"Locomotive ID","value":"4010"},{"id":130,"name":"Impact","value":""},{"id":150,"name":"Time of Event (Mountain Time)","value":"10:51:44"},{"id":151,"name":"Denver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15"/>
        <v>start /low /b %USERPROFILE%\Documents\GitHub\eaglep3\Utilities\DownloadLogsFromS3.py --loco 4010 --day 2017-06-14</v>
      </c>
      <c r="AN66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16:51:44"},{"id":29,"name":"Sharepoint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72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623</v>
      </c>
      <c r="B67" s="7">
        <v>4009</v>
      </c>
      <c r="C67" s="21" t="s">
        <v>202</v>
      </c>
      <c r="D67" s="21" t="s">
        <v>580</v>
      </c>
      <c r="E67" s="13">
        <v>42900.464513888888</v>
      </c>
      <c r="F67" s="13">
        <v>42900.467141203706</v>
      </c>
      <c r="G67" s="7">
        <v>3</v>
      </c>
      <c r="H67" s="21" t="s">
        <v>193</v>
      </c>
      <c r="I67" s="13">
        <v>42900.495173611111</v>
      </c>
      <c r="J67" s="7">
        <v>2</v>
      </c>
      <c r="K67" s="89" t="str">
        <f t="shared" si="0"/>
        <v>4009/4010</v>
      </c>
      <c r="L67" s="21" t="str">
        <f>VLOOKUP(A67,'Trips&amp;Operators'!$C$1:$G$99999,5,FALSE)</f>
        <v>MACDONALD THOMAS</v>
      </c>
      <c r="M67" s="6">
        <f t="shared" si="1"/>
        <v>2.8032407404680271E-2</v>
      </c>
      <c r="N67" s="7">
        <f t="shared" si="22"/>
        <v>40.36666666273959</v>
      </c>
      <c r="O67" s="7"/>
      <c r="P67" s="7"/>
      <c r="Q67" s="22"/>
      <c r="R67" s="170"/>
      <c r="S67" s="215">
        <f t="shared" si="23"/>
        <v>1</v>
      </c>
      <c r="T67" s="195" t="str">
        <f t="shared" si="4"/>
        <v>Southbound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 t="shared" si="5"/>
        <v>https://d0f6bd738d7f1b3e5a7ca70fe4ff75f0.us-east-1.aws.found.io/app/kibana#/discover/Steve-Slow-Train-Analysis-(2080s-and-2083s)?_g=(refreshInterval:(display:Off,pause:!f,section:0,value:0),time:(from:'2017-06-14T10:08:54-0600',mode:absolute,to:'2017-06-14T12:53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7" s="197" t="str">
        <f>IF(AA67&lt;VLOOKUP(AG67,Variables!$AC$3:$AD$8,2,FALSE),"Y","N")</f>
        <v>N</v>
      </c>
      <c r="X67" s="197">
        <f t="shared" si="6"/>
        <v>1</v>
      </c>
      <c r="Y67" s="197">
        <f t="shared" si="20"/>
        <v>23.296399999999998</v>
      </c>
      <c r="Z67" s="197">
        <f t="shared" si="21"/>
        <v>1.52E-2</v>
      </c>
      <c r="AA67" s="197">
        <f t="shared" si="9"/>
        <v>23.281199999999998</v>
      </c>
      <c r="AB67" s="54" t="e">
        <f>VLOOKUP(A67,Enforcements!$C$7:$K$13,8,0)</f>
        <v>#N/A</v>
      </c>
      <c r="AC67" s="51" t="e">
        <f>VLOOKUP(A67,Enforcements!$C$7:$E$13,3,0)</f>
        <v>#N/A</v>
      </c>
      <c r="AD67" s="206">
        <f t="shared" si="10"/>
        <v>154</v>
      </c>
      <c r="AE67" s="77" t="str">
        <f t="shared" si="11"/>
        <v>aws s3 cp s3://rtdc.mdm.uploadarchive.raw/RTDC4009/ "%USERPROFILE%\AppData\Local\Temp\OnboardLogs"\RTDC4009\2017-06-14 --exclude "*" --recursive --include "*20170614*" &amp; "%USERPROFILE%\Documents\GitHub\mrs-test-scripts\Headless Mode &amp; Sideloading\WalkAndUnGZ.bat" "%USERPROFILE%\AppData\Local\Temp\OnboardLogs"\RTDC4009\2017-06-14 &amp; aws s3 cp s3://rtdc.mdm.uploadarchive.raw/RTDC4009/ "%USERPROFILE%\AppData\Local\Temp\OnboardLogs"\RTDC4009\2017-06-15 --exclude "*" --recursive --include "*20170615*" &amp; "%USERPROFILE%\Documents\GitHub\mrs-test-scripts\Headless Mode &amp; Sideloading\WalkAndUnGZ.bat" "%USERPROFILE%\AppData\Local\Temp\OnboardLogs"\RTDC4009\2017-06-15</v>
      </c>
      <c r="AF67" s="74" t="str">
        <f t="shared" si="12"/>
        <v>"C:\Program Files (x86)\AstroGrep\AstroGrep.exe" /e /r /s /spath="%USERPROFILE%\AppData\Local\Temp\OnboardLogs" /stypes="app*4009*20170614*" /stext=" 17:.+((SYSTEM_STATE.+slice.+state.+changed )|(ment ac)|(multiple cpu faults)|(system.+state.+changed )|(\[timeout)|(PRM\|1\|D)|(kpr)|(kdp)|(train st.+moving)|(\|lc)|(penalty))"</v>
      </c>
      <c r="AG67" s="209" t="str">
        <f t="shared" si="17"/>
        <v>EC</v>
      </c>
      <c r="AH67" s="78" t="str">
        <f t="shared" si="13"/>
        <v>"%USERPROFILE%\Documents\GitHub\eaglep3\Utilities\RefineRTDCRunTimes.py" --tripid 154-14 --locoid 4009 --swversion DE.1.0.9.0 --startMP 204:232964 --initTime 2017-06-14T11:08:54 --startdatetime 2017-06-14T11:12:41 --delay 3 --endMP 204:152 --enddatetime 2017-06-14T11:53:03 --enforcementcount 2 &gt;&gt;C:\Users\stu\Documents\GitHub\eaglep3-reporting\EC\2017-06-14-refined-times.txt</v>
      </c>
      <c r="AI67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{"issue":{"subject":"","project_id":79,"tracker_id":40,"status_id":1,"priority_id":2,"assigned_to_id":23,"start_date":"2017-06-14","description":"","custom_fields":[{"id":1,"name":"Subdivision","value":"EC"},{"id":4,"name":"Milepost","value":"0.0152"},{"id":17,"name":"Train ID","value":"154-14"},{"id":16,"name":"Locomotive ID","value":"4009"},{"id":130,"name":"Impact","value":""},{"id":150,"name":"Time of Event (Mountain Time)","value":"11:53:03"},{"id":151,"name":"Denver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15"/>
        <v>start /low /b %USERPROFILE%\Documents\GitHub\eaglep3\Utilities\DownloadLogsFromS3.py --loco 4009 --day 2017-06-14</v>
      </c>
      <c r="AN67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17:53:03"},{"id":29,"name":"Sharepoint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72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723</v>
      </c>
      <c r="B68" s="7">
        <v>4004</v>
      </c>
      <c r="C68" s="21" t="s">
        <v>202</v>
      </c>
      <c r="D68" s="21" t="s">
        <v>481</v>
      </c>
      <c r="E68" s="13">
        <v>42900.434629629628</v>
      </c>
      <c r="F68" s="13">
        <v>42900.437673611108</v>
      </c>
      <c r="G68" s="7">
        <v>1</v>
      </c>
      <c r="H68" s="21" t="s">
        <v>488</v>
      </c>
      <c r="I68" s="13">
        <v>42900.46193287037</v>
      </c>
      <c r="J68" s="7">
        <v>2</v>
      </c>
      <c r="K68" s="89" t="str">
        <f t="shared" si="0"/>
        <v>4003/4004</v>
      </c>
      <c r="L68" s="21" t="str">
        <f>VLOOKUP(A68,'Trips&amp;Operators'!$C$1:$G$99999,5,FALSE)</f>
        <v>LOZA FIDEL</v>
      </c>
      <c r="M68" s="6">
        <f t="shared" si="1"/>
        <v>2.4259259262180422E-2</v>
      </c>
      <c r="N68" s="7">
        <f t="shared" si="22"/>
        <v>34.933333337539807</v>
      </c>
      <c r="O68" s="7"/>
      <c r="P68" s="7"/>
      <c r="Q68" s="22"/>
      <c r="R68" s="170"/>
      <c r="S68" s="215">
        <f t="shared" si="23"/>
        <v>1</v>
      </c>
      <c r="T68" s="195" t="str">
        <f t="shared" si="4"/>
        <v>NorthBound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 t="shared" si="5"/>
        <v>https://d0f6bd738d7f1b3e5a7ca70fe4ff75f0.us-east-1.aws.found.io/app/kibana#/discover/Steve-Slow-Train-Analysis-(2080s-and-2083s)?_g=(refreshInterval:(display:Off,pause:!f,section:0,value:0),time:(from:'2017-06-14T09:25:52-0600',mode:absolute,to:'2017-06-14T12:05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8" s="197" t="str">
        <f>IF(AA68&lt;VLOOKUP(AG68,Variables!$AC$3:$AD$8,2,FALSE),"Y","N")</f>
        <v>N</v>
      </c>
      <c r="X68" s="197">
        <f t="shared" si="6"/>
        <v>1</v>
      </c>
      <c r="Y68" s="197">
        <f t="shared" si="20"/>
        <v>4.3999999999999997E-2</v>
      </c>
      <c r="Z68" s="197">
        <f t="shared" si="21"/>
        <v>23.333400000000001</v>
      </c>
      <c r="AA68" s="197">
        <f t="shared" si="9"/>
        <v>23.289400000000001</v>
      </c>
      <c r="AB68" s="54" t="e">
        <f>VLOOKUP(A68,Enforcements!$C$7:$K$13,8,0)</f>
        <v>#N/A</v>
      </c>
      <c r="AC68" s="51" t="e">
        <f>VLOOKUP(A68,Enforcements!$C$7:$E$13,3,0)</f>
        <v>#N/A</v>
      </c>
      <c r="AD68" s="206">
        <f t="shared" si="10"/>
        <v>155</v>
      </c>
      <c r="AE68" s="77" t="str">
        <f t="shared" si="11"/>
        <v>aws s3 cp s3://rtdc.mdm.uploadarchive.raw/RTDC4004/ "%USERPROFILE%\AppData\Local\Temp\OnboardLogs"\RTDC4004\2017-06-14 --exclude "*" --recursive --include "*20170614*" &amp; "%USERPROFILE%\Documents\GitHub\mrs-test-scripts\Headless Mode &amp; Sideloading\WalkAndUnGZ.bat" "%USERPROFILE%\AppData\Local\Temp\OnboardLogs"\RTDC4004\2017-06-14 &amp; aws s3 cp s3://rtdc.mdm.uploadarchive.raw/RTDC4004/ "%USERPROFILE%\AppData\Local\Temp\OnboardLogs"\RTDC4004\2017-06-15 --exclude "*" --recursive --include "*20170615*" &amp; "%USERPROFILE%\Documents\GitHub\mrs-test-scripts\Headless Mode &amp; Sideloading\WalkAndUnGZ.bat" "%USERPROFILE%\AppData\Local\Temp\OnboardLogs"\RTDC4004\2017-06-15</v>
      </c>
      <c r="AF68" s="74" t="str">
        <f t="shared" si="12"/>
        <v>"C:\Program Files (x86)\AstroGrep\AstroGrep.exe" /e /r /s /spath="%USERPROFILE%\AppData\Local\Temp\OnboardLogs" /stypes="app*4004*20170614*" /stext=" 17:.+((SYSTEM_STATE.+slice.+state.+changed )|(ment ac)|(multiple cpu faults)|(system.+state.+changed )|(\[timeout)|(PRM\|1\|D)|(kpr)|(kdp)|(train st.+moving)|(\|lc)|(penalty))"</v>
      </c>
      <c r="AG68" s="209" t="str">
        <f t="shared" si="17"/>
        <v>EC</v>
      </c>
      <c r="AH68" s="78" t="str">
        <f t="shared" si="13"/>
        <v>"%USERPROFILE%\Documents\GitHub\eaglep3\Utilities\RefineRTDCRunTimes.py" --tripid 155-14 --locoid 4004 --swversion DE.1.0.9.0 --startMP 204:440 --initTime 2017-06-14T10:25:52 --startdatetime 2017-06-14T10:30:15 --delay 1 --endMP 204:233334 --enddatetime 2017-06-14T11:05:11 --enforcementcount 2 &gt;&gt;C:\Users\stu\Documents\GitHub\eaglep3-reporting\EC\2017-06-14-refined-times.txt</v>
      </c>
      <c r="AI68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{"issue":{"subject":"","project_id":79,"tracker_id":40,"status_id":1,"priority_id":2,"assigned_to_id":23,"start_date":"2017-06-14","description":"","custom_fields":[{"id":1,"name":"Subdivision","value":"EC"},{"id":4,"name":"Milepost","value":"23.3334"},{"id":17,"name":"Train ID","value":"155-14"},{"id":16,"name":"Locomotive ID","value":"4004"},{"id":130,"name":"Impact","value":""},{"id":150,"name":"Time of Event (Mountain Time)","value":"11:05:11"},{"id":151,"name":"Denver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15"/>
        <v>start /low /b %USERPROFILE%\Documents\GitHub\eaglep3\Utilities\DownloadLogsFromS3.py --loco 4004 --day 2017-06-14</v>
      </c>
      <c r="AN68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17:05:11"},{"id":29,"name":"Sharepoint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72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732</v>
      </c>
      <c r="B69" s="7">
        <v>4003</v>
      </c>
      <c r="C69" s="21" t="s">
        <v>202</v>
      </c>
      <c r="D69" s="21" t="s">
        <v>452</v>
      </c>
      <c r="E69" s="13">
        <v>42900.470555555556</v>
      </c>
      <c r="F69" s="13">
        <v>42900.477326388886</v>
      </c>
      <c r="G69" s="7">
        <v>1</v>
      </c>
      <c r="H69" s="21" t="s">
        <v>359</v>
      </c>
      <c r="I69" s="13">
        <v>42900.505543981482</v>
      </c>
      <c r="J69" s="7">
        <v>2</v>
      </c>
      <c r="K69" s="89" t="str">
        <f t="shared" si="0"/>
        <v>4003/4004</v>
      </c>
      <c r="L69" s="21" t="str">
        <f>VLOOKUP(A69,'Trips&amp;Operators'!$C$1:$G$99999,5,FALSE)</f>
        <v>LOZA FIDEL</v>
      </c>
      <c r="M69" s="6">
        <f t="shared" si="1"/>
        <v>2.8217592596774921E-2</v>
      </c>
      <c r="N69" s="7">
        <f t="shared" si="22"/>
        <v>40.633333339355886</v>
      </c>
      <c r="O69" s="7"/>
      <c r="P69" s="7"/>
      <c r="Q69" s="22"/>
      <c r="R69" s="170"/>
      <c r="S69" s="215">
        <f t="shared" si="23"/>
        <v>1</v>
      </c>
      <c r="T69" s="195" t="str">
        <f t="shared" si="4"/>
        <v>Southbound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 t="shared" si="5"/>
        <v>https://d0f6bd738d7f1b3e5a7ca70fe4ff75f0.us-east-1.aws.found.io/app/kibana#/discover/Steve-Slow-Train-Analysis-(2080s-and-2083s)?_g=(refreshInterval:(display:Off,pause:!f,section:0,value:0),time:(from:'2017-06-14T10:17:36-0600',mode:absolute,to:'2017-06-14T13:07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9" s="197" t="str">
        <f>IF(AA69&lt;VLOOKUP(AG69,Variables!$AC$3:$AD$8,2,FALSE),"Y","N")</f>
        <v>N</v>
      </c>
      <c r="X69" s="197">
        <f t="shared" si="6"/>
        <v>1</v>
      </c>
      <c r="Y69" s="197">
        <f t="shared" si="20"/>
        <v>23.2986</v>
      </c>
      <c r="Z69" s="197">
        <f t="shared" si="21"/>
        <v>1.41E-2</v>
      </c>
      <c r="AA69" s="197">
        <f t="shared" si="9"/>
        <v>23.284500000000001</v>
      </c>
      <c r="AB69" s="54" t="e">
        <f>VLOOKUP(A69,Enforcements!$C$7:$K$13,8,0)</f>
        <v>#N/A</v>
      </c>
      <c r="AC69" s="51" t="e">
        <f>VLOOKUP(A69,Enforcements!$C$7:$E$13,3,0)</f>
        <v>#N/A</v>
      </c>
      <c r="AD69" s="206">
        <f t="shared" si="10"/>
        <v>156</v>
      </c>
      <c r="AE69" s="77" t="str">
        <f t="shared" si="11"/>
        <v>aws s3 cp s3://rtdc.mdm.uploadarchive.raw/RTDC4003/ "%USERPROFILE%\AppData\Local\Temp\OnboardLogs"\RTDC4003\2017-06-14 --exclude "*" --recursive --include "*20170614*" &amp; "%USERPROFILE%\Documents\GitHub\mrs-test-scripts\Headless Mode &amp; Sideloading\WalkAndUnGZ.bat" "%USERPROFILE%\AppData\Local\Temp\OnboardLogs"\RTDC4003\2017-06-14 &amp; aws s3 cp s3://rtdc.mdm.uploadarchive.raw/RTDC4003/ "%USERPROFILE%\AppData\Local\Temp\OnboardLogs"\RTDC4003\2017-06-15 --exclude "*" --recursive --include "*20170615*" &amp; "%USERPROFILE%\Documents\GitHub\mrs-test-scripts\Headless Mode &amp; Sideloading\WalkAndUnGZ.bat" "%USERPROFILE%\AppData\Local\Temp\OnboardLogs"\RTDC4003\2017-06-15</v>
      </c>
      <c r="AF69" s="74" t="str">
        <f t="shared" si="12"/>
        <v>"C:\Program Files (x86)\AstroGrep\AstroGrep.exe" /e /r /s /spath="%USERPROFILE%\AppData\Local\Temp\OnboardLogs" /stypes="app*4003*20170614*" /stext=" 18:.+((SYSTEM_STATE.+slice.+state.+changed )|(ment ac)|(multiple cpu faults)|(system.+state.+changed )|(\[timeout)|(PRM\|1\|D)|(kpr)|(kdp)|(train st.+moving)|(\|lc)|(penalty))"</v>
      </c>
      <c r="AG69" s="209" t="str">
        <f t="shared" si="17"/>
        <v>EC</v>
      </c>
      <c r="AH69" s="78" t="str">
        <f t="shared" si="13"/>
        <v>"%USERPROFILE%\Documents\GitHub\eaglep3\Utilities\RefineRTDCRunTimes.py" --tripid 156-14 --locoid 4003 --swversion DE.1.0.9.0 --startMP 204:232986 --initTime 2017-06-14T11:17:36 --startdatetime 2017-06-14T11:27:21 --delay 1 --endMP 204:141 --enddatetime 2017-06-14T12:07:59 --enforcementcount 2 &gt;&gt;C:\Users\stu\Documents\GitHub\eaglep3-reporting\EC\2017-06-14-refined-times.txt</v>
      </c>
      <c r="AI69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{"issue":{"subject":"","project_id":79,"tracker_id":40,"status_id":1,"priority_id":2,"assigned_to_id":23,"start_date":"2017-06-14","description":"","custom_fields":[{"id":1,"name":"Subdivision","value":"EC"},{"id":4,"name":"Milepost","value":"0.0141"},{"id":17,"name":"Train ID","value":"156-14"},{"id":16,"name":"Locomotive ID","value":"4003"},{"id":130,"name":"Impact","value":""},{"id":150,"name":"Time of Event (Mountain Time)","value":"12:07:59"},{"id":151,"name":"Denver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15"/>
        <v>start /low /b %USERPROFILE%\Documents\GitHub\eaglep3\Utilities\DownloadLogsFromS3.py --loco 4003 --day 2017-06-14</v>
      </c>
      <c r="AN69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18:07:59"},{"id":29,"name":"Sharepoint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72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728</v>
      </c>
      <c r="B70" s="7">
        <v>4044</v>
      </c>
      <c r="C70" s="21" t="s">
        <v>202</v>
      </c>
      <c r="D70" s="21" t="s">
        <v>485</v>
      </c>
      <c r="E70" s="13">
        <v>42900.445011574076</v>
      </c>
      <c r="F70" s="13">
        <v>42900.448252314818</v>
      </c>
      <c r="G70" s="7">
        <v>2</v>
      </c>
      <c r="H70" s="21" t="s">
        <v>561</v>
      </c>
      <c r="I70" s="13">
        <v>42900.47446759259</v>
      </c>
      <c r="J70" s="7">
        <v>2</v>
      </c>
      <c r="K70" s="89" t="str">
        <f t="shared" si="0"/>
        <v>4043/4044</v>
      </c>
      <c r="L70" s="21" t="str">
        <f>VLOOKUP(A70,'Trips&amp;Operators'!$C$1:$G$99999,5,FALSE)</f>
        <v>DAVIS MICHAEL</v>
      </c>
      <c r="M70" s="6">
        <f t="shared" si="1"/>
        <v>2.6215277772280388E-2</v>
      </c>
      <c r="N70" s="7">
        <f t="shared" si="22"/>
        <v>37.749999992083758</v>
      </c>
      <c r="O70" s="7"/>
      <c r="P70" s="7"/>
      <c r="Q70" s="22"/>
      <c r="R70" s="170"/>
      <c r="S70" s="215">
        <f t="shared" si="23"/>
        <v>1</v>
      </c>
      <c r="T70" s="195" t="str">
        <f t="shared" si="4"/>
        <v>NorthBound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 t="shared" si="5"/>
        <v>https://d0f6bd738d7f1b3e5a7ca70fe4ff75f0.us-east-1.aws.found.io/app/kibana#/discover/Steve-Slow-Train-Analysis-(2080s-and-2083s)?_g=(refreshInterval:(display:Off,pause:!f,section:0,value:0),time:(from:'2017-06-14T09:40:49-0600',mode:absolute,to:'2017-06-14T12:23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0" s="197" t="str">
        <f>IF(AA70&lt;VLOOKUP(AG70,Variables!$AC$3:$AD$8,2,FALSE),"Y","N")</f>
        <v>N</v>
      </c>
      <c r="X70" s="197">
        <f t="shared" si="6"/>
        <v>1</v>
      </c>
      <c r="Y70" s="197">
        <f t="shared" si="20"/>
        <v>4.6899999999999997E-2</v>
      </c>
      <c r="Z70" s="197">
        <f t="shared" si="21"/>
        <v>23.331399999999999</v>
      </c>
      <c r="AA70" s="197">
        <f t="shared" si="9"/>
        <v>23.284499999999998</v>
      </c>
      <c r="AB70" s="54" t="e">
        <f>VLOOKUP(A70,Enforcements!$C$7:$K$13,8,0)</f>
        <v>#N/A</v>
      </c>
      <c r="AC70" s="51" t="e">
        <f>VLOOKUP(A70,Enforcements!$C$7:$E$13,3,0)</f>
        <v>#N/A</v>
      </c>
      <c r="AD70" s="206">
        <f t="shared" si="10"/>
        <v>157</v>
      </c>
      <c r="AE70" s="77" t="str">
        <f t="shared" si="11"/>
        <v>aws s3 cp s3://rtdc.mdm.uploadarchive.raw/RTDC4044/ "%USERPROFILE%\AppData\Local\Temp\OnboardLogs"\RTDC4044\2017-06-14 --exclude "*" --recursive --include "*20170614*" &amp; "%USERPROFILE%\Documents\GitHub\mrs-test-scripts\Headless Mode &amp; Sideloading\WalkAndUnGZ.bat" "%USERPROFILE%\AppData\Local\Temp\OnboardLogs"\RTDC4044\2017-06-14 &amp; aws s3 cp s3://rtdc.mdm.uploadarchive.raw/RTDC4044/ "%USERPROFILE%\AppData\Local\Temp\OnboardLogs"\RTDC4044\2017-06-15 --exclude "*" --recursive --include "*20170615*" &amp; "%USERPROFILE%\Documents\GitHub\mrs-test-scripts\Headless Mode &amp; Sideloading\WalkAndUnGZ.bat" "%USERPROFILE%\AppData\Local\Temp\OnboardLogs"\RTDC4044\2017-06-15</v>
      </c>
      <c r="AF70" s="74" t="str">
        <f t="shared" si="12"/>
        <v>"C:\Program Files (x86)\AstroGrep\AstroGrep.exe" /e /r /s /spath="%USERPROFILE%\AppData\Local\Temp\OnboardLogs" /stypes="app*4044*20170614*" /stext=" 17:.+((SYSTEM_STATE.+slice.+state.+changed )|(ment ac)|(multiple cpu faults)|(system.+state.+changed )|(\[timeout)|(PRM\|1\|D)|(kpr)|(kdp)|(train st.+moving)|(\|lc)|(penalty))"</v>
      </c>
      <c r="AG70" s="209" t="str">
        <f t="shared" si="17"/>
        <v>EC</v>
      </c>
      <c r="AH70" s="78" t="str">
        <f t="shared" si="13"/>
        <v>"%USERPROFILE%\Documents\GitHub\eaglep3\Utilities\RefineRTDCRunTimes.py" --tripid 157-14 --locoid 4044 --swversion DE.1.0.9.0 --startMP 204:469 --initTime 2017-06-14T10:40:49 --startdatetime 2017-06-14T10:45:29 --delay 2 --endMP 204:233314 --enddatetime 2017-06-14T11:23:14 --enforcementcount 2 &gt;&gt;C:\Users\stu\Documents\GitHub\eaglep3-reporting\EC\2017-06-14-refined-times.txt</v>
      </c>
      <c r="AI70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{"issue":{"subject":"","project_id":79,"tracker_id":40,"status_id":1,"priority_id":2,"assigned_to_id":23,"start_date":"2017-06-14","description":"","custom_fields":[{"id":1,"name":"Subdivision","value":"EC"},{"id":4,"name":"Milepost","value":"23.3314"},{"id":17,"name":"Train ID","value":"157-14"},{"id":16,"name":"Locomotive ID","value":"4044"},{"id":130,"name":"Impact","value":""},{"id":150,"name":"Time of Event (Mountain Time)","value":"11:23:14"},{"id":151,"name":"Denver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15"/>
        <v>start /low /b %USERPROFILE%\Documents\GitHub\eaglep3\Utilities\DownloadLogsFromS3.py --loco 4044 --day 2017-06-14</v>
      </c>
      <c r="AN70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17:23:14"},{"id":29,"name":"Sharepoint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72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624</v>
      </c>
      <c r="B71" s="7">
        <v>4043</v>
      </c>
      <c r="C71" s="21" t="s">
        <v>202</v>
      </c>
      <c r="D71" s="21" t="s">
        <v>575</v>
      </c>
      <c r="E71" s="13">
        <v>42900.486273148148</v>
      </c>
      <c r="F71" s="13">
        <v>42900.487962962965</v>
      </c>
      <c r="G71" s="7">
        <v>1</v>
      </c>
      <c r="H71" s="21" t="s">
        <v>421</v>
      </c>
      <c r="I71" s="13">
        <v>42900.518009259256</v>
      </c>
      <c r="J71" s="7">
        <v>2</v>
      </c>
      <c r="K71" s="89" t="str">
        <f t="shared" si="0"/>
        <v>4043/4044</v>
      </c>
      <c r="L71" s="21" t="str">
        <f>VLOOKUP(A71,'Trips&amp;Operators'!$C$1:$G$99999,5,FALSE)</f>
        <v>DAVIS MICHAEL</v>
      </c>
      <c r="M71" s="6">
        <f t="shared" si="1"/>
        <v>3.0046296291402541E-2</v>
      </c>
      <c r="N71" s="7">
        <f t="shared" si="22"/>
        <v>43.266666659619659</v>
      </c>
      <c r="O71" s="7"/>
      <c r="P71" s="7"/>
      <c r="Q71" s="22"/>
      <c r="R71" s="170"/>
      <c r="S71" s="215">
        <f t="shared" si="23"/>
        <v>1</v>
      </c>
      <c r="T71" s="195" t="str">
        <f t="shared" si="4"/>
        <v>Southbound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 t="shared" si="5"/>
        <v>https://d0f6bd738d7f1b3e5a7ca70fe4ff75f0.us-east-1.aws.found.io/app/kibana#/discover/Steve-Slow-Train-Analysis-(2080s-and-2083s)?_g=(refreshInterval:(display:Off,pause:!f,section:0,value:0),time:(from:'2017-06-14T10:40:14-0600',mode:absolute,to:'2017-06-14T13:25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1" s="197" t="str">
        <f>IF(AA71&lt;VLOOKUP(AG71,Variables!$AC$3:$AD$8,2,FALSE),"Y","N")</f>
        <v>N</v>
      </c>
      <c r="X71" s="197">
        <f t="shared" si="6"/>
        <v>1</v>
      </c>
      <c r="Y71" s="197">
        <f t="shared" si="20"/>
        <v>23.3004</v>
      </c>
      <c r="Z71" s="197">
        <f t="shared" si="21"/>
        <v>1.4500000000000001E-2</v>
      </c>
      <c r="AA71" s="197">
        <f t="shared" si="9"/>
        <v>23.285899999999998</v>
      </c>
      <c r="AB71" s="54" t="str">
        <f>VLOOKUP(A71,Enforcements!$C$7:$K$13,8,0)</f>
        <v>Bulletin (2)</v>
      </c>
      <c r="AC71" s="51" t="str">
        <f>VLOOKUP(A71,Enforcements!$C$7:$E$13,3,0)</f>
        <v>GRADE CROSSING</v>
      </c>
      <c r="AD71" s="206">
        <f t="shared" si="10"/>
        <v>158</v>
      </c>
      <c r="AE71" s="77" t="str">
        <f t="shared" si="11"/>
        <v>aws s3 cp s3://rtdc.mdm.uploadarchive.raw/RTDC4043/ "%USERPROFILE%\AppData\Local\Temp\OnboardLogs"\RTDC4043\2017-06-14 --exclude "*" --recursive --include "*20170614*" &amp; "%USERPROFILE%\Documents\GitHub\mrs-test-scripts\Headless Mode &amp; Sideloading\WalkAndUnGZ.bat" "%USERPROFILE%\AppData\Local\Temp\OnboardLogs"\RTDC4043\2017-06-14 &amp; aws s3 cp s3://rtdc.mdm.uploadarchive.raw/RTDC4043/ "%USERPROFILE%\AppData\Local\Temp\OnboardLogs"\RTDC4043\2017-06-15 --exclude "*" --recursive --include "*20170615*" &amp; "%USERPROFILE%\Documents\GitHub\mrs-test-scripts\Headless Mode &amp; Sideloading\WalkAndUnGZ.bat" "%USERPROFILE%\AppData\Local\Temp\OnboardLogs"\RTDC4043\2017-06-15</v>
      </c>
      <c r="AF71" s="74" t="str">
        <f t="shared" si="12"/>
        <v>"C:\Program Files (x86)\AstroGrep\AstroGrep.exe" /e /r /s /spath="%USERPROFILE%\AppData\Local\Temp\OnboardLogs" /stypes="app*4043*20170614*" /stext=" 18:.+((SYSTEM_STATE.+slice.+state.+changed )|(ment ac)|(multiple cpu faults)|(system.+state.+changed )|(\[timeout)|(PRM\|1\|D)|(kpr)|(kdp)|(train st.+moving)|(\|lc)|(penalty))"</v>
      </c>
      <c r="AG71" s="209" t="str">
        <f t="shared" si="17"/>
        <v>EC</v>
      </c>
      <c r="AH71" s="78" t="str">
        <f t="shared" si="13"/>
        <v>"%USERPROFILE%\Documents\GitHub\eaglep3\Utilities\RefineRTDCRunTimes.py" --tripid 158-14 --locoid 4043 --swversion DE.1.0.9.0 --startMP 204:233004 --initTime 2017-06-14T11:40:14 --startdatetime 2017-06-14T11:42:40 --delay 1 --endMP 204:145 --enddatetime 2017-06-14T12:25:56 --enforcementcount 2 &gt;&gt;C:\Users\stu\Documents\GitHub\eaglep3-reporting\EC\2017-06-14-refined-times.txt</v>
      </c>
      <c r="AI71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{"issue":{"subject":"","project_id":79,"tracker_id":40,"status_id":1,"priority_id":2,"assigned_to_id":23,"start_date":"2017-06-14","description":"","custom_fields":[{"id":1,"name":"Subdivision","value":"EC"},{"id":4,"name":"Milepost","value":"0.0145"},{"id":17,"name":"Train ID","value":"158-14"},{"id":16,"name":"Locomotive ID","value":"4043"},{"id":130,"name":"Impact","value":""},{"id":150,"name":"Time of Event (Mountain Time)","value":"12:25:56"},{"id":151,"name":"Denver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15"/>
        <v>start /low /b %USERPROFILE%\Documents\GitHub\eaglep3\Utilities\DownloadLogsFromS3.py --loco 4043 --day 2017-06-14</v>
      </c>
      <c r="AN71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18:25:56"},{"id":29,"name":"Sharepoint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72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730</v>
      </c>
      <c r="B72" s="7">
        <v>4008</v>
      </c>
      <c r="C72" s="21" t="s">
        <v>202</v>
      </c>
      <c r="D72" s="21" t="s">
        <v>867</v>
      </c>
      <c r="E72" s="13">
        <v>42900.454965277779</v>
      </c>
      <c r="F72" s="13">
        <v>42900.458564814813</v>
      </c>
      <c r="G72" s="7">
        <v>1</v>
      </c>
      <c r="H72" s="21" t="s">
        <v>487</v>
      </c>
      <c r="I72" s="13">
        <v>42900.483194444445</v>
      </c>
      <c r="J72" s="7">
        <v>2</v>
      </c>
      <c r="K72" s="89" t="str">
        <f t="shared" si="0"/>
        <v>4007/4008</v>
      </c>
      <c r="L72" s="21" t="str">
        <f>VLOOKUP(A72,'Trips&amp;Operators'!$C$1:$G$99999,5,FALSE)</f>
        <v>BEAM ROSS</v>
      </c>
      <c r="M72" s="6">
        <f t="shared" si="1"/>
        <v>2.4629629631817807E-2</v>
      </c>
      <c r="N72" s="7">
        <f t="shared" si="22"/>
        <v>35.466666669817641</v>
      </c>
      <c r="O72" s="7"/>
      <c r="P72" s="7"/>
      <c r="Q72" s="22"/>
      <c r="R72" s="170"/>
      <c r="S72" s="215">
        <f t="shared" si="23"/>
        <v>1</v>
      </c>
      <c r="T72" s="195" t="str">
        <f t="shared" si="4"/>
        <v>NorthBound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 t="shared" si="5"/>
        <v>https://d0f6bd738d7f1b3e5a7ca70fe4ff75f0.us-east-1.aws.found.io/app/kibana#/discover/Steve-Slow-Train-Analysis-(2080s-and-2083s)?_g=(refreshInterval:(display:Off,pause:!f,section:0,value:0),time:(from:'2017-06-14T09:55:09-0600',mode:absolute,to:'2017-06-14T12:35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2" s="197" t="str">
        <f>IF(AA72&lt;VLOOKUP(AG72,Variables!$AC$3:$AD$8,2,FALSE),"Y","N")</f>
        <v>N</v>
      </c>
      <c r="X72" s="197">
        <f t="shared" si="6"/>
        <v>1</v>
      </c>
      <c r="Y72" s="197">
        <f t="shared" si="20"/>
        <v>4.6399999999999997E-2</v>
      </c>
      <c r="Z72" s="197">
        <f t="shared" si="21"/>
        <v>23.330100000000002</v>
      </c>
      <c r="AA72" s="197">
        <f t="shared" si="9"/>
        <v>23.283700000000003</v>
      </c>
      <c r="AB72" s="54" t="e">
        <f>VLOOKUP(A72,Enforcements!$C$7:$K$13,8,0)</f>
        <v>#N/A</v>
      </c>
      <c r="AC72" s="51" t="e">
        <f>VLOOKUP(A72,Enforcements!$C$7:$E$13,3,0)</f>
        <v>#N/A</v>
      </c>
      <c r="AD72" s="206">
        <f t="shared" si="10"/>
        <v>159</v>
      </c>
      <c r="AE72" s="77" t="str">
        <f t="shared" si="11"/>
        <v>aws s3 cp s3://rtdc.mdm.uploadarchive.raw/RTDC4008/ "%USERPROFILE%\AppData\Local\Temp\OnboardLogs"\RTDC4008\2017-06-14 --exclude "*" --recursive --include "*20170614*" &amp; "%USERPROFILE%\Documents\GitHub\mrs-test-scripts\Headless Mode &amp; Sideloading\WalkAndUnGZ.bat" "%USERPROFILE%\AppData\Local\Temp\OnboardLogs"\RTDC4008\2017-06-14 &amp; aws s3 cp s3://rtdc.mdm.uploadarchive.raw/RTDC4008/ "%USERPROFILE%\AppData\Local\Temp\OnboardLogs"\RTDC4008\2017-06-15 --exclude "*" --recursive --include "*20170615*" &amp; "%USERPROFILE%\Documents\GitHub\mrs-test-scripts\Headless Mode &amp; Sideloading\WalkAndUnGZ.bat" "%USERPROFILE%\AppData\Local\Temp\OnboardLogs"\RTDC4008\2017-06-15</v>
      </c>
      <c r="AF72" s="74" t="str">
        <f t="shared" si="12"/>
        <v>"C:\Program Files (x86)\AstroGrep\AstroGrep.exe" /e /r /s /spath="%USERPROFILE%\AppData\Local\Temp\OnboardLogs" /stypes="app*4008*20170614*" /stext=" 17:.+((SYSTEM_STATE.+slice.+state.+changed )|(ment ac)|(multiple cpu faults)|(system.+state.+changed )|(\[timeout)|(PRM\|1\|D)|(kpr)|(kdp)|(train st.+moving)|(\|lc)|(penalty))"</v>
      </c>
      <c r="AG72" s="209" t="str">
        <f t="shared" si="17"/>
        <v>EC</v>
      </c>
      <c r="AH72" s="78" t="str">
        <f t="shared" si="13"/>
        <v>"%USERPROFILE%\Documents\GitHub\eaglep3\Utilities\RefineRTDCRunTimes.py" --tripid 159-14 --locoid 4008 --swversion DE.1.0.9.0 --startMP 204:464 --initTime 2017-06-14T10:55:09 --startdatetime 2017-06-14T11:00:20 --delay 1 --endMP 204:233301 --enddatetime 2017-06-14T11:35:48 --enforcementcount 2 &gt;&gt;C:\Users\stu\Documents\GitHub\eaglep3-reporting\EC\2017-06-14-refined-times.txt</v>
      </c>
      <c r="AI72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{"issue":{"subject":"","project_id":79,"tracker_id":40,"status_id":1,"priority_id":2,"assigned_to_id":23,"start_date":"2017-06-14","description":"","custom_fields":[{"id":1,"name":"Subdivision","value":"EC"},{"id":4,"name":"Milepost","value":"23.3301"},{"id":17,"name":"Train ID","value":"159-14"},{"id":16,"name":"Locomotive ID","value":"4008"},{"id":130,"name":"Impact","value":""},{"id":150,"name":"Time of Event (Mountain Time)","value":"11:35:48"},{"id":151,"name":"Denver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15"/>
        <v>start /low /b %USERPROFILE%\Documents\GitHub\eaglep3\Utilities\DownloadLogsFromS3.py --loco 4008 --day 2017-06-14</v>
      </c>
      <c r="AN72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17:35:48"},{"id":29,"name":"Sharepoint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736</v>
      </c>
      <c r="B73" s="7">
        <v>4007</v>
      </c>
      <c r="C73" s="21" t="s">
        <v>202</v>
      </c>
      <c r="D73" s="21" t="s">
        <v>462</v>
      </c>
      <c r="E73" s="13">
        <v>42900.48574074074</v>
      </c>
      <c r="F73" s="13">
        <v>42900.498101851852</v>
      </c>
      <c r="G73" s="7">
        <v>1</v>
      </c>
      <c r="H73" s="21" t="s">
        <v>351</v>
      </c>
      <c r="I73" s="13">
        <v>42900.524618055555</v>
      </c>
      <c r="J73" s="7">
        <v>2</v>
      </c>
      <c r="K73" s="89" t="str">
        <f t="shared" si="0"/>
        <v>4007/4008</v>
      </c>
      <c r="L73" s="21" t="str">
        <f>VLOOKUP(A73,'Trips&amp;Operators'!$C$1:$G$99999,5,FALSE)</f>
        <v>BEAM ROSS</v>
      </c>
      <c r="M73" s="6">
        <f t="shared" si="1"/>
        <v>2.6516203703067731E-2</v>
      </c>
      <c r="N73" s="7">
        <f t="shared" si="22"/>
        <v>38.183333332417533</v>
      </c>
      <c r="O73" s="7"/>
      <c r="P73" s="7"/>
      <c r="Q73" s="22"/>
      <c r="R73" s="170"/>
      <c r="S73" s="215">
        <f t="shared" si="23"/>
        <v>1</v>
      </c>
      <c r="T73" s="195" t="str">
        <f t="shared" si="4"/>
        <v>Southbound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 t="shared" si="5"/>
        <v>https://d0f6bd738d7f1b3e5a7ca70fe4ff75f0.us-east-1.aws.found.io/app/kibana#/discover/Steve-Slow-Train-Analysis-(2080s-and-2083s)?_g=(refreshInterval:(display:Off,pause:!f,section:0,value:0),time:(from:'2017-06-14T10:39:28-0600',mode:absolute,to:'2017-06-14T13:35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3" s="197" t="str">
        <f>IF(AA73&lt;VLOOKUP(AG73,Variables!$AC$3:$AD$8,2,FALSE),"Y","N")</f>
        <v>N</v>
      </c>
      <c r="X73" s="197">
        <f t="shared" si="6"/>
        <v>1</v>
      </c>
      <c r="Y73" s="197">
        <f t="shared" si="20"/>
        <v>23.299399999999999</v>
      </c>
      <c r="Z73" s="197">
        <f t="shared" si="21"/>
        <v>1.43E-2</v>
      </c>
      <c r="AA73" s="197">
        <f t="shared" si="9"/>
        <v>23.2851</v>
      </c>
      <c r="AB73" s="54" t="e">
        <f>VLOOKUP(A73,Enforcements!$C$7:$K$13,8,0)</f>
        <v>#N/A</v>
      </c>
      <c r="AC73" s="51" t="e">
        <f>VLOOKUP(A73,Enforcements!$C$7:$E$13,3,0)</f>
        <v>#N/A</v>
      </c>
      <c r="AD73" s="206">
        <f t="shared" si="10"/>
        <v>160</v>
      </c>
      <c r="AE73" s="77" t="str">
        <f t="shared" si="11"/>
        <v>aws s3 cp s3://rtdc.mdm.uploadarchive.raw/RTDC4007/ "%USERPROFILE%\AppData\Local\Temp\OnboardLogs"\RTDC4007\2017-06-14 --exclude "*" --recursive --include "*20170614*" &amp; "%USERPROFILE%\Documents\GitHub\mrs-test-scripts\Headless Mode &amp; Sideloading\WalkAndUnGZ.bat" "%USERPROFILE%\AppData\Local\Temp\OnboardLogs"\RTDC4007\2017-06-14 &amp; aws s3 cp s3://rtdc.mdm.uploadarchive.raw/RTDC4007/ "%USERPROFILE%\AppData\Local\Temp\OnboardLogs"\RTDC4007\2017-06-15 --exclude "*" --recursive --include "*20170615*" &amp; "%USERPROFILE%\Documents\GitHub\mrs-test-scripts\Headless Mode &amp; Sideloading\WalkAndUnGZ.bat" "%USERPROFILE%\AppData\Local\Temp\OnboardLogs"\RTDC4007\2017-06-15</v>
      </c>
      <c r="AF73" s="74" t="str">
        <f t="shared" si="12"/>
        <v>"C:\Program Files (x86)\AstroGrep\AstroGrep.exe" /e /r /s /spath="%USERPROFILE%\AppData\Local\Temp\OnboardLogs" /stypes="app*4007*20170614*" /stext=" 18:.+((SYSTEM_STATE.+slice.+state.+changed )|(ment ac)|(multiple cpu faults)|(system.+state.+changed )|(\[timeout)|(PRM\|1\|D)|(kpr)|(kdp)|(train st.+moving)|(\|lc)|(penalty))"</v>
      </c>
      <c r="AG73" s="209" t="str">
        <f t="shared" si="17"/>
        <v>EC</v>
      </c>
      <c r="AH73" s="78" t="str">
        <f t="shared" si="13"/>
        <v>"%USERPROFILE%\Documents\GitHub\eaglep3\Utilities\RefineRTDCRunTimes.py" --tripid 160-14 --locoid 4007 --swversion DE.1.0.9.0 --startMP 204:232994 --initTime 2017-06-14T11:39:28 --startdatetime 2017-06-14T11:57:16 --delay 1 --endMP 204:143 --enddatetime 2017-06-14T12:35:27 --enforcementcount 2 &gt;&gt;C:\Users\stu\Documents\GitHub\eaglep3-reporting\EC\2017-06-14-refined-times.txt</v>
      </c>
      <c r="AI73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{"issue":{"subject":"","project_id":79,"tracker_id":40,"status_id":1,"priority_id":2,"assigned_to_id":23,"start_date":"2017-06-14","description":"","custom_fields":[{"id":1,"name":"Subdivision","value":"EC"},{"id":4,"name":"Milepost","value":"0.0143"},{"id":17,"name":"Train ID","value":"160-14"},{"id":16,"name":"Locomotive ID","value":"4007"},{"id":130,"name":"Impact","value":""},{"id":150,"name":"Time of Event (Mountain Time)","value":"12:35:27"},{"id":151,"name":"Denver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15"/>
        <v>start /low /b %USERPROFILE%\Documents\GitHub\eaglep3\Utilities\DownloadLogsFromS3.py --loco 4007 --day 2017-06-14</v>
      </c>
      <c r="AN73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18:35:27"},{"id":29,"name":"Sharepoint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72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731</v>
      </c>
      <c r="B74" s="7">
        <v>4016</v>
      </c>
      <c r="C74" s="21" t="s">
        <v>202</v>
      </c>
      <c r="D74" s="21" t="s">
        <v>579</v>
      </c>
      <c r="E74" s="13">
        <v>42900.466574074075</v>
      </c>
      <c r="F74" s="13">
        <v>42900.468981481485</v>
      </c>
      <c r="G74" s="7">
        <v>2</v>
      </c>
      <c r="H74" s="21" t="s">
        <v>469</v>
      </c>
      <c r="I74" s="13">
        <v>42900.49422453704</v>
      </c>
      <c r="J74" s="7">
        <v>2</v>
      </c>
      <c r="K74" s="89" t="str">
        <f t="shared" si="0"/>
        <v>4015/4016</v>
      </c>
      <c r="L74" s="21" t="str">
        <f>VLOOKUP(A74,'Trips&amp;Operators'!$C$1:$G$99999,5,FALSE)</f>
        <v>STEWART MICHAEL</v>
      </c>
      <c r="M74" s="6">
        <f t="shared" si="1"/>
        <v>2.5243055555620231E-2</v>
      </c>
      <c r="N74" s="7">
        <f t="shared" si="22"/>
        <v>36.350000000093132</v>
      </c>
      <c r="O74" s="7"/>
      <c r="P74" s="7"/>
      <c r="Q74" s="22"/>
      <c r="R74" s="170"/>
      <c r="S74" s="215">
        <f t="shared" si="23"/>
        <v>1</v>
      </c>
      <c r="T74" s="195" t="str">
        <f t="shared" si="4"/>
        <v>NorthBound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 t="shared" si="5"/>
        <v>https://d0f6bd738d7f1b3e5a7ca70fe4ff75f0.us-east-1.aws.found.io/app/kibana#/discover/Steve-Slow-Train-Analysis-(2080s-and-2083s)?_g=(refreshInterval:(display:Off,pause:!f,section:0,value:0),time:(from:'2017-06-14T10:11:52-0600',mode:absolute,to:'2017-06-14T12:51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4" s="197" t="str">
        <f>IF(AA74&lt;VLOOKUP(AG74,Variables!$AC$3:$AD$8,2,FALSE),"Y","N")</f>
        <v>N</v>
      </c>
      <c r="X74" s="197">
        <f t="shared" si="6"/>
        <v>1</v>
      </c>
      <c r="Y74" s="197">
        <f t="shared" si="20"/>
        <v>4.7699999999999999E-2</v>
      </c>
      <c r="Z74" s="197">
        <f t="shared" si="21"/>
        <v>23.3291</v>
      </c>
      <c r="AA74" s="197">
        <f t="shared" si="9"/>
        <v>23.281400000000001</v>
      </c>
      <c r="AB74" s="54" t="e">
        <f>VLOOKUP(A74,Enforcements!$C$7:$K$13,8,0)</f>
        <v>#N/A</v>
      </c>
      <c r="AC74" s="51" t="e">
        <f>VLOOKUP(A74,Enforcements!$C$7:$E$13,3,0)</f>
        <v>#N/A</v>
      </c>
      <c r="AD74" s="206">
        <f t="shared" si="10"/>
        <v>161</v>
      </c>
      <c r="AE74" s="77" t="str">
        <f t="shared" si="11"/>
        <v>aws s3 cp s3://rtdc.mdm.uploadarchive.raw/RTDC4016/ "%USERPROFILE%\AppData\Local\Temp\OnboardLogs"\RTDC4016\2017-06-14 --exclude "*" --recursive --include "*20170614*" &amp; "%USERPROFILE%\Documents\GitHub\mrs-test-scripts\Headless Mode &amp; Sideloading\WalkAndUnGZ.bat" "%USERPROFILE%\AppData\Local\Temp\OnboardLogs"\RTDC4016\2017-06-14 &amp; aws s3 cp s3://rtdc.mdm.uploadarchive.raw/RTDC4016/ "%USERPROFILE%\AppData\Local\Temp\OnboardLogs"\RTDC4016\2017-06-15 --exclude "*" --recursive --include "*20170615*" &amp; "%USERPROFILE%\Documents\GitHub\mrs-test-scripts\Headless Mode &amp; Sideloading\WalkAndUnGZ.bat" "%USERPROFILE%\AppData\Local\Temp\OnboardLogs"\RTDC4016\2017-06-15</v>
      </c>
      <c r="AF74" s="74" t="str">
        <f t="shared" si="12"/>
        <v>"C:\Program Files (x86)\AstroGrep\AstroGrep.exe" /e /r /s /spath="%USERPROFILE%\AppData\Local\Temp\OnboardLogs" /stypes="app*4016*20170614*" /stext=" 17:.+((SYSTEM_STATE.+slice.+state.+changed )|(ment ac)|(multiple cpu faults)|(system.+state.+changed )|(\[timeout)|(PRM\|1\|D)|(kpr)|(kdp)|(train st.+moving)|(\|lc)|(penalty))"</v>
      </c>
      <c r="AG74" s="209" t="str">
        <f t="shared" si="17"/>
        <v>EC</v>
      </c>
      <c r="AH74" s="78" t="str">
        <f t="shared" si="13"/>
        <v>"%USERPROFILE%\Documents\GitHub\eaglep3\Utilities\RefineRTDCRunTimes.py" --tripid 161-14 --locoid 4016 --swversion DE.1.0.9.0 --startMP 204:477 --initTime 2017-06-14T11:11:52 --startdatetime 2017-06-14T11:15:20 --delay 2 --endMP 204:233291 --enddatetime 2017-06-14T11:51:41 --enforcementcount 2 &gt;&gt;C:\Users\stu\Documents\GitHub\eaglep3-reporting\EC\2017-06-14-refined-times.txt</v>
      </c>
      <c r="AI74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{"issue":{"subject":"","project_id":79,"tracker_id":40,"status_id":1,"priority_id":2,"assigned_to_id":23,"start_date":"2017-06-14","description":"","custom_fields":[{"id":1,"name":"Subdivision","value":"EC"},{"id":4,"name":"Milepost","value":"23.3291"},{"id":17,"name":"Train ID","value":"161-14"},{"id":16,"name":"Locomotive ID","value":"4016"},{"id":130,"name":"Impact","value":""},{"id":150,"name":"Time of Event (Mountain Time)","value":"11:51:41"},{"id":151,"name":"Denver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15"/>
        <v>start /low /b %USERPROFILE%\Documents\GitHub\eaglep3\Utilities\DownloadLogsFromS3.py --loco 4016 --day 2017-06-14</v>
      </c>
      <c r="AN74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17:51:41"},{"id":29,"name":"Sharepoint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72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740</v>
      </c>
      <c r="B75" s="7">
        <v>4015</v>
      </c>
      <c r="C75" s="21" t="s">
        <v>202</v>
      </c>
      <c r="D75" s="21" t="s">
        <v>420</v>
      </c>
      <c r="E75" s="13">
        <v>42900.505335648151</v>
      </c>
      <c r="F75" s="13">
        <v>42900.50854166667</v>
      </c>
      <c r="G75" s="7">
        <v>3</v>
      </c>
      <c r="H75" s="21" t="s">
        <v>350</v>
      </c>
      <c r="I75" s="13">
        <v>42900.536134259259</v>
      </c>
      <c r="J75" s="7">
        <v>2</v>
      </c>
      <c r="K75" s="89" t="str">
        <f t="shared" si="0"/>
        <v>4015/4016</v>
      </c>
      <c r="L75" s="21" t="str">
        <f>VLOOKUP(A75,'Trips&amp;Operators'!$C$1:$G$99999,5,FALSE)</f>
        <v>STEWART MICHAEL</v>
      </c>
      <c r="M75" s="6">
        <f t="shared" si="1"/>
        <v>2.7592592588916887E-2</v>
      </c>
      <c r="N75" s="7">
        <f t="shared" si="22"/>
        <v>39.733333328040317</v>
      </c>
      <c r="O75" s="7"/>
      <c r="P75" s="7"/>
      <c r="Q75" s="22"/>
      <c r="R75" s="170"/>
      <c r="S75" s="215">
        <f t="shared" si="23"/>
        <v>1</v>
      </c>
      <c r="T75" s="195" t="str">
        <f t="shared" si="4"/>
        <v>Southbound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 t="shared" si="5"/>
        <v>https://d0f6bd738d7f1b3e5a7ca70fe4ff75f0.us-east-1.aws.found.io/app/kibana#/discover/Steve-Slow-Train-Analysis-(2080s-and-2083s)?_g=(refreshInterval:(display:Off,pause:!f,section:0,value:0),time:(from:'2017-06-14T11:07:41-0600',mode:absolute,to:'2017-06-14T13:52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5" s="197" t="str">
        <f>IF(AA75&lt;VLOOKUP(AG75,Variables!$AC$3:$AD$8,2,FALSE),"Y","N")</f>
        <v>N</v>
      </c>
      <c r="X75" s="197">
        <f t="shared" si="6"/>
        <v>1</v>
      </c>
      <c r="Y75" s="197">
        <f t="shared" si="20"/>
        <v>23.297699999999999</v>
      </c>
      <c r="Z75" s="197">
        <f t="shared" si="21"/>
        <v>1.49E-2</v>
      </c>
      <c r="AA75" s="197">
        <f t="shared" si="9"/>
        <v>23.282799999999998</v>
      </c>
      <c r="AB75" s="54" t="e">
        <f>VLOOKUP(A75,Enforcements!$C$7:$K$13,8,0)</f>
        <v>#N/A</v>
      </c>
      <c r="AC75" s="51" t="e">
        <f>VLOOKUP(A75,Enforcements!$C$7:$E$13,3,0)</f>
        <v>#N/A</v>
      </c>
      <c r="AD75" s="206">
        <f t="shared" si="10"/>
        <v>162</v>
      </c>
      <c r="AE75" s="77" t="str">
        <f t="shared" si="11"/>
        <v>aws s3 cp s3://rtdc.mdm.uploadarchive.raw/RTDC4015/ "%USERPROFILE%\AppData\Local\Temp\OnboardLogs"\RTDC4015\2017-06-14 --exclude "*" --recursive --include "*20170614*" &amp; "%USERPROFILE%\Documents\GitHub\mrs-test-scripts\Headless Mode &amp; Sideloading\WalkAndUnGZ.bat" "%USERPROFILE%\AppData\Local\Temp\OnboardLogs"\RTDC4015\2017-06-14 &amp; aws s3 cp s3://rtdc.mdm.uploadarchive.raw/RTDC4015/ "%USERPROFILE%\AppData\Local\Temp\OnboardLogs"\RTDC4015\2017-06-15 --exclude "*" --recursive --include "*20170615*" &amp; "%USERPROFILE%\Documents\GitHub\mrs-test-scripts\Headless Mode &amp; Sideloading\WalkAndUnGZ.bat" "%USERPROFILE%\AppData\Local\Temp\OnboardLogs"\RTDC4015\2017-06-15</v>
      </c>
      <c r="AF75" s="74" t="str">
        <f t="shared" si="12"/>
        <v>"C:\Program Files (x86)\AstroGrep\AstroGrep.exe" /e /r /s /spath="%USERPROFILE%\AppData\Local\Temp\OnboardLogs" /stypes="app*4015*20170614*" /stext=" 18:.+((SYSTEM_STATE.+slice.+state.+changed )|(ment ac)|(multiple cpu faults)|(system.+state.+changed )|(\[timeout)|(PRM\|1\|D)|(kpr)|(kdp)|(train st.+moving)|(\|lc)|(penalty))"</v>
      </c>
      <c r="AG75" s="209" t="str">
        <f t="shared" si="17"/>
        <v>EC</v>
      </c>
      <c r="AH75" s="78" t="str">
        <f t="shared" si="13"/>
        <v>"%USERPROFILE%\Documents\GitHub\eaglep3\Utilities\RefineRTDCRunTimes.py" --tripid 162-14 --locoid 4015 --swversion DE.1.0.9.0 --startMP 204:232977 --initTime 2017-06-14T12:07:41 --startdatetime 2017-06-14T12:12:18 --delay 3 --endMP 204:149 --enddatetime 2017-06-14T12:52:02 --enforcementcount 2 &gt;&gt;C:\Users\stu\Documents\GitHub\eaglep3-reporting\EC\2017-06-14-refined-times.txt</v>
      </c>
      <c r="AI75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{"issue":{"subject":"","project_id":79,"tracker_id":40,"status_id":1,"priority_id":2,"assigned_to_id":23,"start_date":"2017-06-14","description":"","custom_fields":[{"id":1,"name":"Subdivision","value":"EC"},{"id":4,"name":"Milepost","value":"0.0149"},{"id":17,"name":"Train ID","value":"162-14"},{"id":16,"name":"Locomotive ID","value":"4015"},{"id":130,"name":"Impact","value":""},{"id":150,"name":"Time of Event (Mountain Time)","value":"12:52:02"},{"id":151,"name":"Denver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15"/>
        <v>start /low /b %USERPROFILE%\Documents\GitHub\eaglep3\Utilities\DownloadLogsFromS3.py --loco 4015 --day 2017-06-14</v>
      </c>
      <c r="AN75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18:52:02"},{"id":29,"name":"Sharepoint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72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734</v>
      </c>
      <c r="B76" s="7">
        <v>4056</v>
      </c>
      <c r="C76" s="21" t="s">
        <v>202</v>
      </c>
      <c r="D76" s="21" t="s">
        <v>856</v>
      </c>
      <c r="E76" s="13">
        <v>42900.474074074074</v>
      </c>
      <c r="F76" s="13">
        <v>42900.479328703703</v>
      </c>
      <c r="G76" s="7">
        <v>2</v>
      </c>
      <c r="H76" s="21" t="s">
        <v>520</v>
      </c>
      <c r="I76" s="13">
        <v>42900.50408564815</v>
      </c>
      <c r="J76" s="7">
        <v>2</v>
      </c>
      <c r="K76" s="89" t="str">
        <f t="shared" si="0"/>
        <v>4055/4056</v>
      </c>
      <c r="L76" s="21" t="str">
        <f>VLOOKUP(A76,'Trips&amp;Operators'!$C$1:$G$99999,5,FALSE)</f>
        <v>ROBINSON KADDIBA</v>
      </c>
      <c r="M76" s="6">
        <f t="shared" si="1"/>
        <v>2.4756944447290152E-2</v>
      </c>
      <c r="N76" s="7">
        <f t="shared" si="22"/>
        <v>35.650000004097819</v>
      </c>
      <c r="O76" s="7"/>
      <c r="P76" s="7"/>
      <c r="Q76" s="22"/>
      <c r="R76" s="170"/>
      <c r="S76" s="215">
        <f t="shared" si="23"/>
        <v>1</v>
      </c>
      <c r="T76" s="195" t="str">
        <f t="shared" si="4"/>
        <v>NorthBound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 t="shared" si="5"/>
        <v>https://d0f6bd738d7f1b3e5a7ca70fe4ff75f0.us-east-1.aws.found.io/app/kibana#/discover/Steve-Slow-Train-Analysis-(2080s-and-2083s)?_g=(refreshInterval:(display:Off,pause:!f,section:0,value:0),time:(from:'2017-06-14T10:22:40-0600',mode:absolute,to:'2017-06-14T13:05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76" s="197" t="str">
        <f>IF(AA76&lt;VLOOKUP(AG76,Variables!$AC$3:$AD$8,2,FALSE),"Y","N")</f>
        <v>N</v>
      </c>
      <c r="X76" s="197">
        <f t="shared" si="6"/>
        <v>1</v>
      </c>
      <c r="Y76" s="197">
        <f t="shared" si="20"/>
        <v>4.7800000000000002E-2</v>
      </c>
      <c r="Z76" s="197">
        <f t="shared" si="21"/>
        <v>23.328399999999998</v>
      </c>
      <c r="AA76" s="197">
        <f t="shared" si="9"/>
        <v>23.2806</v>
      </c>
      <c r="AB76" s="54" t="e">
        <f>VLOOKUP(A76,Enforcements!$C$7:$K$13,8,0)</f>
        <v>#N/A</v>
      </c>
      <c r="AC76" s="51" t="e">
        <f>VLOOKUP(A76,Enforcements!$C$7:$E$13,3,0)</f>
        <v>#N/A</v>
      </c>
      <c r="AD76" s="206">
        <f t="shared" si="10"/>
        <v>163</v>
      </c>
      <c r="AE76" s="77" t="str">
        <f t="shared" si="11"/>
        <v>aws s3 cp s3://rtdc.mdm.uploadarchive.raw/RTDC4056/ "%USERPROFILE%\AppData\Local\Temp\OnboardLogs"\RTDC4056\2017-06-14 --exclude "*" --recursive --include "*20170614*" &amp; "%USERPROFILE%\Documents\GitHub\mrs-test-scripts\Headless Mode &amp; Sideloading\WalkAndUnGZ.bat" "%USERPROFILE%\AppData\Local\Temp\OnboardLogs"\RTDC4056\2017-06-14 &amp; aws s3 cp s3://rtdc.mdm.uploadarchive.raw/RTDC4056/ "%USERPROFILE%\AppData\Local\Temp\OnboardLogs"\RTDC4056\2017-06-15 --exclude "*" --recursive --include "*20170615*" &amp; "%USERPROFILE%\Documents\GitHub\mrs-test-scripts\Headless Mode &amp; Sideloading\WalkAndUnGZ.bat" "%USERPROFILE%\AppData\Local\Temp\OnboardLogs"\RTDC4056\2017-06-15</v>
      </c>
      <c r="AF76" s="74" t="str">
        <f t="shared" si="12"/>
        <v>"C:\Program Files (x86)\AstroGrep\AstroGrep.exe" /e /r /s /spath="%USERPROFILE%\AppData\Local\Temp\OnboardLogs" /stypes="app*4056*20170614*" /stext=" 18:.+((SYSTEM_STATE.+slice.+state.+changed )|(ment ac)|(multiple cpu faults)|(system.+state.+changed )|(\[timeout)|(PRM\|1\|D)|(kpr)|(kdp)|(train st.+moving)|(\|lc)|(penalty))"</v>
      </c>
      <c r="AG76" s="209" t="str">
        <f t="shared" si="17"/>
        <v>EC</v>
      </c>
      <c r="AH76" s="78" t="str">
        <f t="shared" si="13"/>
        <v>"%USERPROFILE%\Documents\GitHub\eaglep3\Utilities\RefineRTDCRunTimes.py" --tripid 163-14 --locoid 4056 --swversion DE.1.0.9.0 --startMP 204:478 --initTime 2017-06-14T11:22:40 --startdatetime 2017-06-14T11:30:14 --delay 2 --endMP 204:233284 --enddatetime 2017-06-14T12:05:53 --enforcementcount 2 &gt;&gt;C:\Users\stu\Documents\GitHub\eaglep3-reporting\EC\2017-06-14-refined-times.txt</v>
      </c>
      <c r="AI76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{"issue":{"subject":"","project_id":79,"tracker_id":40,"status_id":1,"priority_id":2,"assigned_to_id":23,"start_date":"2017-06-14","description":"","custom_fields":[{"id":1,"name":"Subdivision","value":"EC"},{"id":4,"name":"Milepost","value":"23.3284"},{"id":17,"name":"Train ID","value":"163-14"},{"id":16,"name":"Locomotive ID","value":"4056"},{"id":130,"name":"Impact","value":""},{"id":150,"name":"Time of Event (Mountain Time)","value":"12:05:53"},{"id":151,"name":"Denver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15"/>
        <v>start /low /b %USERPROFILE%\Documents\GitHub\eaglep3\Utilities\DownloadLogsFromS3.py --loco 4056 --day 2017-06-14</v>
      </c>
      <c r="AN76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18:05:53"},{"id":29,"name":"Sharepoint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72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744</v>
      </c>
      <c r="B77" s="7">
        <v>4055</v>
      </c>
      <c r="C77" s="21" t="s">
        <v>202</v>
      </c>
      <c r="D77" s="21" t="s">
        <v>868</v>
      </c>
      <c r="E77" s="13">
        <v>42900.517534722225</v>
      </c>
      <c r="F77" s="13">
        <v>42900.518935185188</v>
      </c>
      <c r="G77" s="7">
        <v>1</v>
      </c>
      <c r="H77" s="21" t="s">
        <v>396</v>
      </c>
      <c r="I77" s="13">
        <v>42900.545763888891</v>
      </c>
      <c r="J77" s="7">
        <v>2</v>
      </c>
      <c r="K77" s="89" t="str">
        <f t="shared" ref="K77:K140" si="24">IF(ISEVEN(B77),(B77-1)&amp;"/"&amp;B77,B77&amp;"/"&amp;(B77+1))</f>
        <v>4055/4056</v>
      </c>
      <c r="L77" s="21" t="str">
        <f>VLOOKUP(A77,'Trips&amp;Operators'!$C$1:$G$99999,5,FALSE)</f>
        <v>HELVIE ADAM</v>
      </c>
      <c r="M77" s="6">
        <f t="shared" ref="M77:M140" si="25">I77-F77</f>
        <v>2.6828703703358769E-2</v>
      </c>
      <c r="N77" s="7">
        <f t="shared" si="22"/>
        <v>38.633333332836628</v>
      </c>
      <c r="O77" s="7"/>
      <c r="P77" s="7"/>
      <c r="Q77" s="22"/>
      <c r="R77" s="170"/>
      <c r="S77" s="215">
        <f t="shared" si="23"/>
        <v>1</v>
      </c>
      <c r="T77" s="195" t="str">
        <f t="shared" ref="T77:T140" si="26">IF(ISEVEN(LEFT(AD77,4)),"Southbound","NorthBound")</f>
        <v>Southbound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 t="shared" ref="V77:V140" si="27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-06-14T11:25:15-0600',mode:absolute,to:'2017-06-14T14:05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77" s="197" t="str">
        <f>IF(AA77&lt;VLOOKUP(AG77,Variables!$AC$3:$AD$8,2,FALSE),"Y","N")</f>
        <v>N</v>
      </c>
      <c r="X77" s="197">
        <f t="shared" ref="X77:X140" si="28">VALUE(LEFT(AD77,4))-VALUE(LEFT(AD76,4))</f>
        <v>1</v>
      </c>
      <c r="Y77" s="197">
        <f t="shared" ref="Y77:Y108" si="29">RIGHT(D77,LEN(D77)-4)/10000</f>
        <v>23.295300000000001</v>
      </c>
      <c r="Z77" s="197">
        <f t="shared" ref="Z77:Z108" si="30">RIGHT(H77,LEN(H77)-4)/10000</f>
        <v>1.54E-2</v>
      </c>
      <c r="AA77" s="197">
        <f t="shared" ref="AA77:AA140" si="31">ABS(Z77-Y77)</f>
        <v>23.279900000000001</v>
      </c>
      <c r="AB77" s="54" t="e">
        <f>VLOOKUP(A77,Enforcements!$C$7:$K$13,8,0)</f>
        <v>#N/A</v>
      </c>
      <c r="AC77" s="51" t="e">
        <f>VLOOKUP(A77,Enforcements!$C$7:$E$13,3,0)</f>
        <v>#N/A</v>
      </c>
      <c r="AD77" s="206">
        <f t="shared" ref="AD77:AD140" si="32">VALUE(LEFT(A77,LEN(A77)-3))</f>
        <v>164</v>
      </c>
      <c r="AE77" s="77" t="str">
        <f t="shared" ref="AE77:AE140" si="33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s3://rtdc.mdm.uploadarchive.raw/RTDC4055/ "%USERPROFILE%\AppData\Local\Temp\OnboardLogs"\RTDC4055\2017-06-14 --exclude "*" --recursive --include "*20170614*" &amp; "%USERPROFILE%\Documents\GitHub\mrs-test-scripts\Headless Mode &amp; Sideloading\WalkAndUnGZ.bat" "%USERPROFILE%\AppData\Local\Temp\OnboardLogs"\RTDC4055\2017-06-14 &amp; aws s3 cp s3://rtdc.mdm.uploadarchive.raw/RTDC4055/ "%USERPROFILE%\AppData\Local\Temp\OnboardLogs"\RTDC4055\2017-06-15 --exclude "*" --recursive --include "*20170615*" &amp; "%USERPROFILE%\Documents\GitHub\mrs-test-scripts\Headless Mode &amp; Sideloading\WalkAndUnGZ.bat" "%USERPROFILE%\AppData\Local\Temp\OnboardLogs"\RTDC4055\2017-06-15</v>
      </c>
      <c r="AF77" s="74" t="str">
        <f t="shared" ref="AF77:AF140" si="34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/stypes="app*4055*20170614*" /stext=" 19:.+((SYSTEM_STATE.+slice.+state.+changed )|(ment ac)|(multiple cpu faults)|(system.+state.+changed )|(\[timeout)|(PRM\|1\|D)|(kpr)|(kdp)|(train st.+moving)|(\|lc)|(penalty))"</v>
      </c>
      <c r="AG77" s="209" t="str">
        <f t="shared" si="17"/>
        <v>EC</v>
      </c>
      <c r="AH77" s="78" t="str">
        <f t="shared" ref="AH77:AH140" si="35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164-14 --locoid 4055 --swversion DE.1.0.9.0 --startMP 204:232953 --initTime 2017-06-14T12:25:15 --startdatetime 2017-06-14T12:27:16 --delay 1 --endMP 204:154 --enddatetime 2017-06-14T13:05:54 --enforcementcount 2 &gt;&gt;C:\Users\stu\Documents\GitHub\eaglep3-reporting\EC\2017-06-14-refined-times.txt</v>
      </c>
      <c r="AI77" s="96" t="str">
        <f t="shared" ref="AI77:AI140" si="36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{"issue":{"subject":"","project_id":79,"tracker_id":40,"status_id":1,"priority_id":2,"assigned_to_id":23,"start_date":"2017-06-14","description":"","custom_fields":[{"id":1,"name":"Subdivision","value":"EC"},{"id":4,"name":"Milepost","value":"0.0154"},{"id":17,"name":"Train ID","value":"164-14"},{"id":16,"name":"Locomotive ID","value":"4055"},{"id":130,"name":"Impact","value":""},{"id":150,"name":"Time of Event (Mountain Time)","value":"13:05:54"},{"id":151,"name":"Denver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ref="AM77:AM140" si="37">"start /low /b "&amp;dls3logs&amp;" --loco "&amp;B77&amp;" --day "&amp;TEXT(F77,"YYYY-MM-DD")</f>
        <v>start /low /b %USERPROFILE%\Documents\GitHub\eaglep3\Utilities\DownloadLogsFromS3.py --loco 4055 --day 2017-06-14</v>
      </c>
      <c r="AN77" s="151" t="str">
        <f t="shared" ref="AN77:AN140" si="38">"echo {""issue"":{""subject"":"""&amp;R77&amp;""",""project_id"":30,""tracker_id"":4,""status_id"":"&amp;redmine_status_wcr&amp;",""priority_id"":"&amp;redmine_priority_wcr&amp;",""assigned_to_id"":"&amp;redmine_assignee_wcr&amp;",""start_date"":"""&amp;TEXT(I77-utc_offset/24,"YYYY-mm-dd")&amp;""",""description"":"""&amp;AJ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19:05:54"},{"id":29,"name":"Sharepoint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72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737</v>
      </c>
      <c r="B78" s="7">
        <v>4040</v>
      </c>
      <c r="C78" s="21" t="s">
        <v>202</v>
      </c>
      <c r="D78" s="21" t="s">
        <v>489</v>
      </c>
      <c r="E78" s="13">
        <v>42900.48847222222</v>
      </c>
      <c r="F78" s="13">
        <v>42900.490358796298</v>
      </c>
      <c r="G78" s="7">
        <v>1</v>
      </c>
      <c r="H78" s="21" t="s">
        <v>516</v>
      </c>
      <c r="I78" s="13">
        <v>42900.516585648147</v>
      </c>
      <c r="J78" s="7">
        <v>2</v>
      </c>
      <c r="K78" s="89" t="str">
        <f t="shared" si="24"/>
        <v>4039/4040</v>
      </c>
      <c r="L78" s="21" t="str">
        <f>VLOOKUP(A78,'Trips&amp;Operators'!$C$1:$G$99999,5,FALSE)</f>
        <v>BRUDER RICHARD</v>
      </c>
      <c r="M78" s="6">
        <f t="shared" si="25"/>
        <v>2.622685184906004E-2</v>
      </c>
      <c r="N78" s="7">
        <f t="shared" si="22"/>
        <v>37.766666662646458</v>
      </c>
      <c r="O78" s="7"/>
      <c r="P78" s="7"/>
      <c r="Q78" s="22"/>
      <c r="R78" s="170"/>
      <c r="S78" s="215">
        <f t="shared" si="23"/>
        <v>1</v>
      </c>
      <c r="T78" s="195" t="str">
        <f t="shared" si="26"/>
        <v>NorthBound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 t="shared" si="27"/>
        <v>https://d0f6bd738d7f1b3e5a7ca70fe4ff75f0.us-east-1.aws.found.io/app/kibana#/discover/Steve-Slow-Train-Analysis-(2080s-and-2083s)?_g=(refreshInterval:(display:Off,pause:!f,section:0,value:0),time:(from:'2017-06-14T10:43:24-0600',mode:absolute,to:'2017-06-14T13:23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8" s="197" t="str">
        <f>IF(AA78&lt;VLOOKUP(AG78,Variables!$AC$3:$AD$8,2,FALSE),"Y","N")</f>
        <v>N</v>
      </c>
      <c r="X78" s="197">
        <f t="shared" si="28"/>
        <v>1</v>
      </c>
      <c r="Y78" s="197">
        <f t="shared" si="29"/>
        <v>4.3499999999999997E-2</v>
      </c>
      <c r="Z78" s="197">
        <f t="shared" si="30"/>
        <v>23.331</v>
      </c>
      <c r="AA78" s="197">
        <f t="shared" si="31"/>
        <v>23.287499999999998</v>
      </c>
      <c r="AB78" s="54" t="e">
        <f>VLOOKUP(A78,Enforcements!$C$7:$K$13,8,0)</f>
        <v>#N/A</v>
      </c>
      <c r="AC78" s="51" t="e">
        <f>VLOOKUP(A78,Enforcements!$C$7:$E$13,3,0)</f>
        <v>#N/A</v>
      </c>
      <c r="AD78" s="206">
        <f t="shared" si="32"/>
        <v>165</v>
      </c>
      <c r="AE78" s="77" t="str">
        <f t="shared" si="33"/>
        <v>aws s3 cp s3://rtdc.mdm.uploadarchive.raw/RTDC4040/ "%USERPROFILE%\AppData\Local\Temp\OnboardLogs"\RTDC4040\2017-06-14 --exclude "*" --recursive --include "*20170614*" &amp; "%USERPROFILE%\Documents\GitHub\mrs-test-scripts\Headless Mode &amp; Sideloading\WalkAndUnGZ.bat" "%USERPROFILE%\AppData\Local\Temp\OnboardLogs"\RTDC4040\2017-06-14 &amp; aws s3 cp s3://rtdc.mdm.uploadarchive.raw/RTDC4040/ "%USERPROFILE%\AppData\Local\Temp\OnboardLogs"\RTDC4040\2017-06-15 --exclude "*" --recursive --include "*20170615*" &amp; "%USERPROFILE%\Documents\GitHub\mrs-test-scripts\Headless Mode &amp; Sideloading\WalkAndUnGZ.bat" "%USERPROFILE%\AppData\Local\Temp\OnboardLogs"\RTDC4040\2017-06-15</v>
      </c>
      <c r="AF78" s="74" t="str">
        <f t="shared" si="34"/>
        <v>"C:\Program Files (x86)\AstroGrep\AstroGrep.exe" /e /r /s /spath="%USERPROFILE%\AppData\Local\Temp\OnboardLogs" /stypes="app*4040*20170614*" /stext=" 18:.+((SYSTEM_STATE.+slice.+state.+changed )|(ment ac)|(multiple cpu faults)|(system.+state.+changed )|(\[timeout)|(PRM\|1\|D)|(kpr)|(kdp)|(train st.+moving)|(\|lc)|(penalty))"</v>
      </c>
      <c r="AG78" s="209" t="str">
        <f t="shared" ref="AG78:AG141" si="39">DetSubdiv(A78)</f>
        <v>EC</v>
      </c>
      <c r="AH78" s="78" t="str">
        <f t="shared" si="35"/>
        <v>"%USERPROFILE%\Documents\GitHub\eaglep3\Utilities\RefineRTDCRunTimes.py" --tripid 165-14 --locoid 4040 --swversion DE.1.0.9.0 --startMP 204:435 --initTime 2017-06-14T11:43:24 --startdatetime 2017-06-14T11:46:07 --delay 1 --endMP 204:233310 --enddatetime 2017-06-14T12:23:53 --enforcementcount 2 &gt;&gt;C:\Users\stu\Documents\GitHub\eaglep3-reporting\EC\2017-06-14-refined-times.txt</v>
      </c>
      <c r="AI78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{"issue":{"subject":"","project_id":79,"tracker_id":40,"status_id":1,"priority_id":2,"assigned_to_id":23,"start_date":"2017-06-14","description":"","custom_fields":[{"id":1,"name":"Subdivision","value":"EC"},{"id":4,"name":"Milepost","value":"23.331"},{"id":17,"name":"Train ID","value":"165-14"},{"id":16,"name":"Locomotive ID","value":"4040"},{"id":130,"name":"Impact","value":""},{"id":150,"name":"Time of Event (Mountain Time)","value":"12:23:53"},{"id":151,"name":"Denver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si="37"/>
        <v>start /low /b %USERPROFILE%\Documents\GitHub\eaglep3\Utilities\DownloadLogsFromS3.py --loco 4040 --day 2017-06-14</v>
      </c>
      <c r="AN78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18:23:53"},{"id":29,"name":"Sharepoint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72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746</v>
      </c>
      <c r="B79" s="7">
        <v>4039</v>
      </c>
      <c r="C79" s="21" t="s">
        <v>202</v>
      </c>
      <c r="D79" s="21" t="s">
        <v>482</v>
      </c>
      <c r="E79" s="13">
        <v>42900.52443287037</v>
      </c>
      <c r="F79" s="13">
        <v>42900.529386574075</v>
      </c>
      <c r="G79" s="7">
        <v>1</v>
      </c>
      <c r="H79" s="21" t="s">
        <v>396</v>
      </c>
      <c r="I79" s="13">
        <v>42900.555613425924</v>
      </c>
      <c r="J79" s="7">
        <v>2</v>
      </c>
      <c r="K79" s="89" t="str">
        <f t="shared" si="24"/>
        <v>4039/4040</v>
      </c>
      <c r="L79" s="21" t="str">
        <f>VLOOKUP(A79,'Trips&amp;Operators'!$C$1:$G$99999,5,FALSE)</f>
        <v>BRUDER RICHARD</v>
      </c>
      <c r="M79" s="6">
        <f t="shared" si="25"/>
        <v>2.622685184906004E-2</v>
      </c>
      <c r="N79" s="7">
        <f t="shared" si="22"/>
        <v>37.766666662646458</v>
      </c>
      <c r="O79" s="7"/>
      <c r="P79" s="7"/>
      <c r="Q79" s="22"/>
      <c r="R79" s="170"/>
      <c r="S79" s="215">
        <f t="shared" si="23"/>
        <v>1</v>
      </c>
      <c r="T79" s="195" t="str">
        <f t="shared" si="26"/>
        <v>Southbound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 t="shared" si="27"/>
        <v>https://d0f6bd738d7f1b3e5a7ca70fe4ff75f0.us-east-1.aws.found.io/app/kibana#/discover/Steve-Slow-Train-Analysis-(2080s-and-2083s)?_g=(refreshInterval:(display:Off,pause:!f,section:0,value:0),time:(from:'2017-06-14T11:35:11-0600',mode:absolute,to:'2017-06-14T14:20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9" s="197" t="str">
        <f>IF(AA79&lt;VLOOKUP(AG79,Variables!$AC$3:$AD$8,2,FALSE),"Y","N")</f>
        <v>N</v>
      </c>
      <c r="X79" s="197">
        <f t="shared" si="28"/>
        <v>1</v>
      </c>
      <c r="Y79" s="197">
        <f t="shared" si="29"/>
        <v>23.299099999999999</v>
      </c>
      <c r="Z79" s="197">
        <f t="shared" si="30"/>
        <v>1.54E-2</v>
      </c>
      <c r="AA79" s="197">
        <f t="shared" si="31"/>
        <v>23.2837</v>
      </c>
      <c r="AB79" s="54" t="e">
        <f>VLOOKUP(A79,Enforcements!$C$7:$K$13,8,0)</f>
        <v>#N/A</v>
      </c>
      <c r="AC79" s="51" t="e">
        <f>VLOOKUP(A79,Enforcements!$C$7:$E$13,3,0)</f>
        <v>#N/A</v>
      </c>
      <c r="AD79" s="206">
        <f t="shared" si="32"/>
        <v>166</v>
      </c>
      <c r="AE79" s="77" t="str">
        <f t="shared" si="33"/>
        <v>aws s3 cp s3://rtdc.mdm.uploadarchive.raw/RTDC4039/ "%USERPROFILE%\AppData\Local\Temp\OnboardLogs"\RTDC4039\2017-06-14 --exclude "*" --recursive --include "*20170614*" &amp; "%USERPROFILE%\Documents\GitHub\mrs-test-scripts\Headless Mode &amp; Sideloading\WalkAndUnGZ.bat" "%USERPROFILE%\AppData\Local\Temp\OnboardLogs"\RTDC4039\2017-06-14 &amp; aws s3 cp s3://rtdc.mdm.uploadarchive.raw/RTDC4039/ "%USERPROFILE%\AppData\Local\Temp\OnboardLogs"\RTDC4039\2017-06-15 --exclude "*" --recursive --include "*20170615*" &amp; "%USERPROFILE%\Documents\GitHub\mrs-test-scripts\Headless Mode &amp; Sideloading\WalkAndUnGZ.bat" "%USERPROFILE%\AppData\Local\Temp\OnboardLogs"\RTDC4039\2017-06-15</v>
      </c>
      <c r="AF79" s="74" t="str">
        <f t="shared" si="34"/>
        <v>"C:\Program Files (x86)\AstroGrep\AstroGrep.exe" /e /r /s /spath="%USERPROFILE%\AppData\Local\Temp\OnboardLogs" /stypes="app*4039*20170614*" /stext=" 19:.+((SYSTEM_STATE.+slice.+state.+changed )|(ment ac)|(multiple cpu faults)|(system.+state.+changed )|(\[timeout)|(PRM\|1\|D)|(kpr)|(kdp)|(train st.+moving)|(\|lc)|(penalty))"</v>
      </c>
      <c r="AG79" s="209" t="str">
        <f t="shared" si="39"/>
        <v>EC</v>
      </c>
      <c r="AH79" s="78" t="str">
        <f t="shared" si="35"/>
        <v>"%USERPROFILE%\Documents\GitHub\eaglep3\Utilities\RefineRTDCRunTimes.py" --tripid 166-14 --locoid 4039 --swversion DE.1.0.9.0 --startMP 204:232991 --initTime 2017-06-14T12:35:11 --startdatetime 2017-06-14T12:42:19 --delay 1 --endMP 204:154 --enddatetime 2017-06-14T13:20:05 --enforcementcount 2 &gt;&gt;C:\Users\stu\Documents\GitHub\eaglep3-reporting\EC\2017-06-14-refined-times.txt</v>
      </c>
      <c r="AI79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{"issue":{"subject":"","project_id":79,"tracker_id":40,"status_id":1,"priority_id":2,"assigned_to_id":23,"start_date":"2017-06-14","description":"","custom_fields":[{"id":1,"name":"Subdivision","value":"EC"},{"id":4,"name":"Milepost","value":"0.0154"},{"id":17,"name":"Train ID","value":"166-14"},{"id":16,"name":"Locomotive ID","value":"4039"},{"id":130,"name":"Impact","value":""},{"id":150,"name":"Time of Event (Mountain Time)","value":"13:20:05"},{"id":151,"name":"Denver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37"/>
        <v>start /low /b %USERPROFILE%\Documents\GitHub\eaglep3\Utilities\DownloadLogsFromS3.py --loco 4039 --day 2017-06-14</v>
      </c>
      <c r="AN79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19:20:05"},{"id":29,"name":"Sharepoint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72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738</v>
      </c>
      <c r="B80" s="7">
        <v>4010</v>
      </c>
      <c r="C80" s="21" t="s">
        <v>202</v>
      </c>
      <c r="D80" s="21" t="s">
        <v>856</v>
      </c>
      <c r="E80" s="13">
        <v>42900.497349537036</v>
      </c>
      <c r="F80" s="13">
        <v>42900.500254629631</v>
      </c>
      <c r="G80" s="7">
        <v>1</v>
      </c>
      <c r="H80" s="21" t="s">
        <v>869</v>
      </c>
      <c r="I80" s="13">
        <v>42900.52548611111</v>
      </c>
      <c r="J80" s="7">
        <v>2</v>
      </c>
      <c r="K80" s="89" t="str">
        <f t="shared" si="24"/>
        <v>4009/4010</v>
      </c>
      <c r="L80" s="21" t="str">
        <f>VLOOKUP(A80,'Trips&amp;Operators'!$C$1:$G$99999,5,FALSE)</f>
        <v>LEVIN SCOTT</v>
      </c>
      <c r="M80" s="6">
        <f t="shared" si="25"/>
        <v>2.5231481478840578E-2</v>
      </c>
      <c r="N80" s="7">
        <f t="shared" si="22"/>
        <v>36.333333329530433</v>
      </c>
      <c r="O80" s="7"/>
      <c r="P80" s="7"/>
      <c r="Q80" s="22"/>
      <c r="R80" s="170"/>
      <c r="S80" s="215">
        <f t="shared" si="23"/>
        <v>1</v>
      </c>
      <c r="T80" s="195" t="str">
        <f t="shared" si="26"/>
        <v>NorthBound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 t="shared" si="27"/>
        <v>https://d0f6bd738d7f1b3e5a7ca70fe4ff75f0.us-east-1.aws.found.io/app/kibana#/discover/Steve-Slow-Train-Analysis-(2080s-and-2083s)?_g=(refreshInterval:(display:Off,pause:!f,section:0,value:0),time:(from:'2017-06-14T10:56:11-0600',mode:absolute,to:'2017-06-14T13:36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0" s="197" t="str">
        <f>IF(AA80&lt;VLOOKUP(AG80,Variables!$AC$3:$AD$8,2,FALSE),"Y","N")</f>
        <v>N</v>
      </c>
      <c r="X80" s="197">
        <f t="shared" si="28"/>
        <v>1</v>
      </c>
      <c r="Y80" s="197">
        <f t="shared" si="29"/>
        <v>4.7800000000000002E-2</v>
      </c>
      <c r="Z80" s="197">
        <f t="shared" si="30"/>
        <v>23.3383</v>
      </c>
      <c r="AA80" s="197">
        <f t="shared" si="31"/>
        <v>23.290500000000002</v>
      </c>
      <c r="AB80" s="54" t="e">
        <f>VLOOKUP(A80,Enforcements!$C$7:$K$13,8,0)</f>
        <v>#N/A</v>
      </c>
      <c r="AC80" s="51" t="e">
        <f>VLOOKUP(A80,Enforcements!$C$7:$E$13,3,0)</f>
        <v>#N/A</v>
      </c>
      <c r="AD80" s="206">
        <f t="shared" si="32"/>
        <v>167</v>
      </c>
      <c r="AE80" s="77" t="str">
        <f t="shared" si="33"/>
        <v>aws s3 cp s3://rtdc.mdm.uploadarchive.raw/RTDC4010/ "%USERPROFILE%\AppData\Local\Temp\OnboardLogs"\RTDC4010\2017-06-14 --exclude "*" --recursive --include "*20170614*" &amp; "%USERPROFILE%\Documents\GitHub\mrs-test-scripts\Headless Mode &amp; Sideloading\WalkAndUnGZ.bat" "%USERPROFILE%\AppData\Local\Temp\OnboardLogs"\RTDC4010\2017-06-14 &amp; 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</v>
      </c>
      <c r="AF80" s="74" t="str">
        <f t="shared" si="34"/>
        <v>"C:\Program Files (x86)\AstroGrep\AstroGrep.exe" /e /r /s /spath="%USERPROFILE%\AppData\Local\Temp\OnboardLogs" /stypes="app*4010*20170614*" /stext=" 18:.+((SYSTEM_STATE.+slice.+state.+changed )|(ment ac)|(multiple cpu faults)|(system.+state.+changed )|(\[timeout)|(PRM\|1\|D)|(kpr)|(kdp)|(train st.+moving)|(\|lc)|(penalty))"</v>
      </c>
      <c r="AG80" s="209" t="str">
        <f t="shared" si="39"/>
        <v>EC</v>
      </c>
      <c r="AH80" s="78" t="str">
        <f t="shared" si="35"/>
        <v>"%USERPROFILE%\Documents\GitHub\eaglep3\Utilities\RefineRTDCRunTimes.py" --tripid 167-14 --locoid 4010 --swversion DE.1.0.9.0 --startMP 204:478 --initTime 2017-06-14T11:56:11 --startdatetime 2017-06-14T12:00:22 --delay 1 --endMP 204:233383 --enddatetime 2017-06-14T12:36:42 --enforcementcount 2 &gt;&gt;C:\Users\stu\Documents\GitHub\eaglep3-reporting\EC\2017-06-14-refined-times.txt</v>
      </c>
      <c r="AI80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{"issue":{"subject":"","project_id":79,"tracker_id":40,"status_id":1,"priority_id":2,"assigned_to_id":23,"start_date":"2017-06-14","description":"","custom_fields":[{"id":1,"name":"Subdivision","value":"EC"},{"id":4,"name":"Milepost","value":"23.3383"},{"id":17,"name":"Train ID","value":"167-14"},{"id":16,"name":"Locomotive ID","value":"4010"},{"id":130,"name":"Impact","value":""},{"id":150,"name":"Time of Event (Mountain Time)","value":"12:36:42"},{"id":151,"name":"Denver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37"/>
        <v>start /low /b %USERPROFILE%\Documents\GitHub\eaglep3\Utilities\DownloadLogsFromS3.py --loco 4010 --day 2017-06-14</v>
      </c>
      <c r="AN80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18:36:42"},{"id":29,"name":"Sharepoint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72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625</v>
      </c>
      <c r="B81" s="7">
        <v>4009</v>
      </c>
      <c r="C81" s="21" t="s">
        <v>202</v>
      </c>
      <c r="D81" s="21" t="s">
        <v>870</v>
      </c>
      <c r="E81" s="13">
        <v>42900.536481481482</v>
      </c>
      <c r="F81" s="13">
        <v>42900.539768518516</v>
      </c>
      <c r="G81" s="7">
        <v>1</v>
      </c>
      <c r="H81" s="21" t="s">
        <v>871</v>
      </c>
      <c r="I81" s="13">
        <v>42900.56763888889</v>
      </c>
      <c r="J81" s="7">
        <v>2</v>
      </c>
      <c r="K81" s="89" t="str">
        <f t="shared" si="24"/>
        <v>4009/4010</v>
      </c>
      <c r="L81" s="21" t="str">
        <f>VLOOKUP(A81,'Trips&amp;Operators'!$C$1:$G$99999,5,FALSE)</f>
        <v>LEVIN SCOTT</v>
      </c>
      <c r="M81" s="6">
        <f t="shared" si="25"/>
        <v>2.7870370373420883E-2</v>
      </c>
      <c r="N81" s="7">
        <f t="shared" si="22"/>
        <v>40.133333337726071</v>
      </c>
      <c r="O81" s="7"/>
      <c r="P81" s="7"/>
      <c r="Q81" s="22"/>
      <c r="R81" s="170"/>
      <c r="S81" s="215">
        <f t="shared" si="23"/>
        <v>1</v>
      </c>
      <c r="T81" s="195" t="str">
        <f t="shared" si="26"/>
        <v>Southbound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 t="shared" si="27"/>
        <v>https://d0f6bd738d7f1b3e5a7ca70fe4ff75f0.us-east-1.aws.found.io/app/kibana#/discover/Steve-Slow-Train-Analysis-(2080s-and-2083s)?_g=(refreshInterval:(display:Off,pause:!f,section:0,value:0),time:(from:'2017-06-14T11:52:32-0600',mode:absolute,to:'2017-06-14T14:37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1" s="197" t="str">
        <f>IF(AA81&lt;VLOOKUP(AG81,Variables!$AC$3:$AD$8,2,FALSE),"Y","N")</f>
        <v>N</v>
      </c>
      <c r="X81" s="197">
        <f t="shared" si="28"/>
        <v>1</v>
      </c>
      <c r="Y81" s="197">
        <f t="shared" si="29"/>
        <v>23.306699999999999</v>
      </c>
      <c r="Z81" s="197">
        <f t="shared" si="30"/>
        <v>1.34E-2</v>
      </c>
      <c r="AA81" s="197">
        <f t="shared" si="31"/>
        <v>23.293299999999999</v>
      </c>
      <c r="AB81" s="54" t="str">
        <f>VLOOKUP(A81,Enforcements!$C$7:$K$13,8,0)</f>
        <v>Bulletin (2)</v>
      </c>
      <c r="AC81" s="51" t="str">
        <f>VLOOKUP(A81,Enforcements!$C$7:$E$13,3,0)</f>
        <v>GRADE CROSSING</v>
      </c>
      <c r="AD81" s="206">
        <f t="shared" si="32"/>
        <v>168</v>
      </c>
      <c r="AE81" s="77" t="str">
        <f t="shared" si="33"/>
        <v>aws s3 cp s3://rtdc.mdm.uploadarchive.raw/RTDC4009/ "%USERPROFILE%\AppData\Local\Temp\OnboardLogs"\RTDC4009\2017-06-14 --exclude "*" --recursive --include "*20170614*" &amp; "%USERPROFILE%\Documents\GitHub\mrs-test-scripts\Headless Mode &amp; Sideloading\WalkAndUnGZ.bat" "%USERPROFILE%\AppData\Local\Temp\OnboardLogs"\RTDC4009\2017-06-14 &amp; aws s3 cp s3://rtdc.mdm.uploadarchive.raw/RTDC4009/ "%USERPROFILE%\AppData\Local\Temp\OnboardLogs"\RTDC4009\2017-06-15 --exclude "*" --recursive --include "*20170615*" &amp; "%USERPROFILE%\Documents\GitHub\mrs-test-scripts\Headless Mode &amp; Sideloading\WalkAndUnGZ.bat" "%USERPROFILE%\AppData\Local\Temp\OnboardLogs"\RTDC4009\2017-06-15</v>
      </c>
      <c r="AF81" s="74" t="str">
        <f t="shared" si="34"/>
        <v>"C:\Program Files (x86)\AstroGrep\AstroGrep.exe" /e /r /s /spath="%USERPROFILE%\AppData\Local\Temp\OnboardLogs" /stypes="app*4009*20170614*" /stext=" 19:.+((SYSTEM_STATE.+slice.+state.+changed )|(ment ac)|(multiple cpu faults)|(system.+state.+changed )|(\[timeout)|(PRM\|1\|D)|(kpr)|(kdp)|(train st.+moving)|(\|lc)|(penalty))"</v>
      </c>
      <c r="AG81" s="209" t="str">
        <f t="shared" si="39"/>
        <v>EC</v>
      </c>
      <c r="AH81" s="78" t="str">
        <f t="shared" si="35"/>
        <v>"%USERPROFILE%\Documents\GitHub\eaglep3\Utilities\RefineRTDCRunTimes.py" --tripid 168-14 --locoid 4009 --swversion DE.1.0.9.0 --startMP 204:233067 --initTime 2017-06-14T12:52:32 --startdatetime 2017-06-14T12:57:16 --delay 1 --endMP 204:134 --enddatetime 2017-06-14T13:37:24 --enforcementcount 2 &gt;&gt;C:\Users\stu\Documents\GitHub\eaglep3-reporting\EC\2017-06-14-refined-times.txt</v>
      </c>
      <c r="AI81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{"issue":{"subject":"","project_id":79,"tracker_id":40,"status_id":1,"priority_id":2,"assigned_to_id":23,"start_date":"2017-06-14","description":"","custom_fields":[{"id":1,"name":"Subdivision","value":"EC"},{"id":4,"name":"Milepost","value":"0.0134"},{"id":17,"name":"Train ID","value":"168-14"},{"id":16,"name":"Locomotive ID","value":"4009"},{"id":130,"name":"Impact","value":""},{"id":150,"name":"Time of Event (Mountain Time)","value":"13:37:24"},{"id":151,"name":"Denver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37"/>
        <v>start /low /b %USERPROFILE%\Documents\GitHub\eaglep3\Utilities\DownloadLogsFromS3.py --loco 4009 --day 2017-06-14</v>
      </c>
      <c r="AN81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19:37:24"},{"id":29,"name":"Sharepoint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72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741</v>
      </c>
      <c r="B82" s="7">
        <v>4004</v>
      </c>
      <c r="C82" s="21" t="s">
        <v>202</v>
      </c>
      <c r="D82" s="21" t="s">
        <v>867</v>
      </c>
      <c r="E82" s="13">
        <v>42900.507395833331</v>
      </c>
      <c r="F82" s="13">
        <v>42900.51059027778</v>
      </c>
      <c r="G82" s="7">
        <v>1</v>
      </c>
      <c r="H82" s="21" t="s">
        <v>576</v>
      </c>
      <c r="I82" s="13">
        <v>42900.53533564815</v>
      </c>
      <c r="J82" s="7">
        <v>2</v>
      </c>
      <c r="K82" s="89" t="str">
        <f t="shared" si="24"/>
        <v>4003/4004</v>
      </c>
      <c r="L82" s="21" t="str">
        <f>VLOOKUP(A82,'Trips&amp;Operators'!$C$1:$G$99999,5,FALSE)</f>
        <v>DELGADO DIANAH</v>
      </c>
      <c r="M82" s="6">
        <f t="shared" si="25"/>
        <v>2.47453703705105E-2</v>
      </c>
      <c r="N82" s="7">
        <f t="shared" si="22"/>
        <v>35.63333333353512</v>
      </c>
      <c r="O82" s="7"/>
      <c r="P82" s="7"/>
      <c r="Q82" s="22"/>
      <c r="R82" s="170"/>
      <c r="S82" s="215">
        <f t="shared" si="23"/>
        <v>1</v>
      </c>
      <c r="T82" s="195" t="str">
        <f t="shared" si="26"/>
        <v>NorthBound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 t="shared" si="27"/>
        <v>https://d0f6bd738d7f1b3e5a7ca70fe4ff75f0.us-east-1.aws.found.io/app/kibana#/discover/Steve-Slow-Train-Analysis-(2080s-and-2083s)?_g=(refreshInterval:(display:Off,pause:!f,section:0,value:0),time:(from:'2017-06-14T11:10:39-0600',mode:absolute,to:'2017-06-14T13:50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2" s="197" t="str">
        <f>IF(AA82&lt;VLOOKUP(AG82,Variables!$AC$3:$AD$8,2,FALSE),"Y","N")</f>
        <v>N</v>
      </c>
      <c r="X82" s="197">
        <f t="shared" si="28"/>
        <v>1</v>
      </c>
      <c r="Y82" s="197">
        <f t="shared" si="29"/>
        <v>4.6399999999999997E-2</v>
      </c>
      <c r="Z82" s="197">
        <f t="shared" si="30"/>
        <v>23.337199999999999</v>
      </c>
      <c r="AA82" s="197">
        <f t="shared" si="31"/>
        <v>23.290800000000001</v>
      </c>
      <c r="AB82" s="54" t="e">
        <f>VLOOKUP(A82,Enforcements!$C$7:$K$13,8,0)</f>
        <v>#N/A</v>
      </c>
      <c r="AC82" s="51" t="e">
        <f>VLOOKUP(A82,Enforcements!$C$7:$E$13,3,0)</f>
        <v>#N/A</v>
      </c>
      <c r="AD82" s="206">
        <f t="shared" si="32"/>
        <v>169</v>
      </c>
      <c r="AE82" s="77" t="str">
        <f t="shared" si="33"/>
        <v>aws s3 cp s3://rtdc.mdm.uploadarchive.raw/RTDC4004/ "%USERPROFILE%\AppData\Local\Temp\OnboardLogs"\RTDC4004\2017-06-14 --exclude "*" --recursive --include "*20170614*" &amp; "%USERPROFILE%\Documents\GitHub\mrs-test-scripts\Headless Mode &amp; Sideloading\WalkAndUnGZ.bat" "%USERPROFILE%\AppData\Local\Temp\OnboardLogs"\RTDC4004\2017-06-14 &amp; aws s3 cp s3://rtdc.mdm.uploadarchive.raw/RTDC4004/ "%USERPROFILE%\AppData\Local\Temp\OnboardLogs"\RTDC4004\2017-06-15 --exclude "*" --recursive --include "*20170615*" &amp; "%USERPROFILE%\Documents\GitHub\mrs-test-scripts\Headless Mode &amp; Sideloading\WalkAndUnGZ.bat" "%USERPROFILE%\AppData\Local\Temp\OnboardLogs"\RTDC4004\2017-06-15</v>
      </c>
      <c r="AF82" s="74" t="str">
        <f t="shared" si="34"/>
        <v>"C:\Program Files (x86)\AstroGrep\AstroGrep.exe" /e /r /s /spath="%USERPROFILE%\AppData\Local\Temp\OnboardLogs" /stypes="app*4004*20170614*" /stext=" 18:.+((SYSTEM_STATE.+slice.+state.+changed )|(ment ac)|(multiple cpu faults)|(system.+state.+changed )|(\[timeout)|(PRM\|1\|D)|(kpr)|(kdp)|(train st.+moving)|(\|lc)|(penalty))"</v>
      </c>
      <c r="AG82" s="209" t="str">
        <f t="shared" si="39"/>
        <v>EC</v>
      </c>
      <c r="AH82" s="78" t="str">
        <f t="shared" si="35"/>
        <v>"%USERPROFILE%\Documents\GitHub\eaglep3\Utilities\RefineRTDCRunTimes.py" --tripid 169-14 --locoid 4004 --swversion DE.1.0.9.0 --startMP 204:464 --initTime 2017-06-14T12:10:39 --startdatetime 2017-06-14T12:15:15 --delay 1 --endMP 204:233372 --enddatetime 2017-06-14T12:50:53 --enforcementcount 2 &gt;&gt;C:\Users\stu\Documents\GitHub\eaglep3-reporting\EC\2017-06-14-refined-times.txt</v>
      </c>
      <c r="AI82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{"issue":{"subject":"","project_id":79,"tracker_id":40,"status_id":1,"priority_id":2,"assigned_to_id":23,"start_date":"2017-06-14","description":"","custom_fields":[{"id":1,"name":"Subdivision","value":"EC"},{"id":4,"name":"Milepost","value":"23.3372"},{"id":17,"name":"Train ID","value":"169-14"},{"id":16,"name":"Locomotive ID","value":"4004"},{"id":130,"name":"Impact","value":""},{"id":150,"name":"Time of Event (Mountain Time)","value":"12:50:53"},{"id":151,"name":"Denver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37"/>
        <v>start /low /b %USERPROFILE%\Documents\GitHub\eaglep3\Utilities\DownloadLogsFromS3.py --loco 4004 --day 2017-06-14</v>
      </c>
      <c r="AN82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18:50:53"},{"id":29,"name":"Sharepoint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7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752</v>
      </c>
      <c r="B83" s="7">
        <v>4003</v>
      </c>
      <c r="C83" s="21" t="s">
        <v>202</v>
      </c>
      <c r="D83" s="21" t="s">
        <v>872</v>
      </c>
      <c r="E83" s="13">
        <v>42900.54378472222</v>
      </c>
      <c r="F83" s="13">
        <v>42900.550162037034</v>
      </c>
      <c r="G83" s="7">
        <v>7</v>
      </c>
      <c r="H83" s="21" t="s">
        <v>360</v>
      </c>
      <c r="I83" s="13">
        <v>42900.576296296298</v>
      </c>
      <c r="J83" s="7">
        <v>2</v>
      </c>
      <c r="K83" s="89" t="str">
        <f t="shared" si="24"/>
        <v>4003/4004</v>
      </c>
      <c r="L83" s="21" t="str">
        <f>VLOOKUP(A83,'Trips&amp;Operators'!$C$1:$G$99999,5,FALSE)</f>
        <v>DELGADO DIANAH</v>
      </c>
      <c r="M83" s="6">
        <f t="shared" si="25"/>
        <v>2.6134259263926651E-2</v>
      </c>
      <c r="N83" s="7">
        <f t="shared" si="22"/>
        <v>37.633333340054378</v>
      </c>
      <c r="O83" s="7"/>
      <c r="P83" s="7"/>
      <c r="Q83" s="22"/>
      <c r="R83" s="170"/>
      <c r="S83" s="215">
        <f t="shared" si="23"/>
        <v>1</v>
      </c>
      <c r="T83" s="195" t="str">
        <f t="shared" si="26"/>
        <v>Southbound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 t="shared" si="27"/>
        <v>https://d0f6bd738d7f1b3e5a7ca70fe4ff75f0.us-east-1.aws.found.io/app/kibana#/discover/Steve-Slow-Train-Analysis-(2080s-and-2083s)?_g=(refreshInterval:(display:Off,pause:!f,section:0,value:0),time:(from:'2017-06-14T12:03:03-0600',mode:absolute,to:'2017-06-14T14:49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3" s="197" t="str">
        <f>IF(AA83&lt;VLOOKUP(AG83,Variables!$AC$3:$AD$8,2,FALSE),"Y","N")</f>
        <v>N</v>
      </c>
      <c r="X83" s="197">
        <f t="shared" si="28"/>
        <v>1</v>
      </c>
      <c r="Y83" s="197">
        <f t="shared" si="29"/>
        <v>23.307600000000001</v>
      </c>
      <c r="Z83" s="197">
        <f t="shared" si="30"/>
        <v>1.47E-2</v>
      </c>
      <c r="AA83" s="197">
        <f t="shared" si="31"/>
        <v>23.292899999999999</v>
      </c>
      <c r="AB83" s="54" t="e">
        <f>VLOOKUP(A83,Enforcements!$C$7:$K$13,8,0)</f>
        <v>#N/A</v>
      </c>
      <c r="AC83" s="51" t="e">
        <f>VLOOKUP(A83,Enforcements!$C$7:$E$13,3,0)</f>
        <v>#N/A</v>
      </c>
      <c r="AD83" s="206">
        <f t="shared" si="32"/>
        <v>170</v>
      </c>
      <c r="AE83" s="77" t="str">
        <f t="shared" si="33"/>
        <v>aws s3 cp s3://rtdc.mdm.uploadarchive.raw/RTDC4003/ "%USERPROFILE%\AppData\Local\Temp\OnboardLogs"\RTDC4003\2017-06-14 --exclude "*" --recursive --include "*20170614*" &amp; "%USERPROFILE%\Documents\GitHub\mrs-test-scripts\Headless Mode &amp; Sideloading\WalkAndUnGZ.bat" "%USERPROFILE%\AppData\Local\Temp\OnboardLogs"\RTDC4003\2017-06-14 &amp; aws s3 cp s3://rtdc.mdm.uploadarchive.raw/RTDC4003/ "%USERPROFILE%\AppData\Local\Temp\OnboardLogs"\RTDC4003\2017-06-15 --exclude "*" --recursive --include "*20170615*" &amp; "%USERPROFILE%\Documents\GitHub\mrs-test-scripts\Headless Mode &amp; Sideloading\WalkAndUnGZ.bat" "%USERPROFILE%\AppData\Local\Temp\OnboardLogs"\RTDC4003\2017-06-15</v>
      </c>
      <c r="AF83" s="74" t="str">
        <f t="shared" si="34"/>
        <v>"C:\Program Files (x86)\AstroGrep\AstroGrep.exe" /e /r /s /spath="%USERPROFILE%\AppData\Local\Temp\OnboardLogs" /stypes="app*4003*20170614*" /stext=" 19:.+((SYSTEM_STATE.+slice.+state.+changed )|(ment ac)|(multiple cpu faults)|(system.+state.+changed )|(\[timeout)|(PRM\|1\|D)|(kpr)|(kdp)|(train st.+moving)|(\|lc)|(penalty))"</v>
      </c>
      <c r="AG83" s="209" t="str">
        <f t="shared" si="39"/>
        <v>EC</v>
      </c>
      <c r="AH83" s="78" t="str">
        <f t="shared" si="35"/>
        <v>"%USERPROFILE%\Documents\GitHub\eaglep3\Utilities\RefineRTDCRunTimes.py" --tripid 170-14 --locoid 4003 --swversion DE.1.0.9.0 --startMP 204:233076 --initTime 2017-06-14T13:03:03 --startdatetime 2017-06-14T13:12:14 --delay 7 --endMP 204:147 --enddatetime 2017-06-14T13:49:52 --enforcementcount 2 &gt;&gt;C:\Users\stu\Documents\GitHub\eaglep3-reporting\EC\2017-06-14-refined-times.txt</v>
      </c>
      <c r="AI83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{"issue":{"subject":"","project_id":79,"tracker_id":40,"status_id":1,"priority_id":2,"assigned_to_id":23,"start_date":"2017-06-14","description":"","custom_fields":[{"id":1,"name":"Subdivision","value":"EC"},{"id":4,"name":"Milepost","value":"0.0147"},{"id":17,"name":"Train ID","value":"170-14"},{"id":16,"name":"Locomotive ID","value":"4003"},{"id":130,"name":"Impact","value":""},{"id":150,"name":"Time of Event (Mountain Time)","value":"13:49:52"},{"id":151,"name":"Denver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37"/>
        <v>start /low /b %USERPROFILE%\Documents\GitHub\eaglep3\Utilities\DownloadLogsFromS3.py --loco 4003 --day 2017-06-14</v>
      </c>
      <c r="AN83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19:49:52"},{"id":29,"name":"Sharepoint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72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745</v>
      </c>
      <c r="B84" s="7">
        <v>4044</v>
      </c>
      <c r="C84" s="21" t="s">
        <v>202</v>
      </c>
      <c r="D84" s="21" t="s">
        <v>348</v>
      </c>
      <c r="E84" s="13">
        <v>42900.519837962966</v>
      </c>
      <c r="F84" s="13">
        <v>42900.521238425928</v>
      </c>
      <c r="G84" s="7">
        <v>1</v>
      </c>
      <c r="H84" s="21" t="s">
        <v>873</v>
      </c>
      <c r="I84" s="13">
        <v>42900.556122685186</v>
      </c>
      <c r="J84" s="7">
        <v>2</v>
      </c>
      <c r="K84" s="89" t="str">
        <f t="shared" si="24"/>
        <v>4043/4044</v>
      </c>
      <c r="L84" s="21" t="str">
        <f>VLOOKUP(A84,'Trips&amp;Operators'!$C$1:$G$99999,5,FALSE)</f>
        <v>DAVIS MICHAEL</v>
      </c>
      <c r="M84" s="6">
        <f t="shared" si="25"/>
        <v>3.4884259257523809E-2</v>
      </c>
      <c r="N84" s="7">
        <f t="shared" si="22"/>
        <v>50.233333330834284</v>
      </c>
      <c r="O84" s="7"/>
      <c r="P84" s="7"/>
      <c r="Q84" s="22"/>
      <c r="R84" s="170" t="s">
        <v>995</v>
      </c>
      <c r="S84" s="215">
        <f t="shared" si="23"/>
        <v>1</v>
      </c>
      <c r="T84" s="195" t="str">
        <f t="shared" si="26"/>
        <v>NorthBound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 t="shared" si="27"/>
        <v>https://d0f6bd738d7f1b3e5a7ca70fe4ff75f0.us-east-1.aws.found.io/app/kibana#/discover/Steve-Slow-Train-Analysis-(2080s-and-2083s)?_g=(refreshInterval:(display:Off,pause:!f,section:0,value:0),time:(from:'2017-06-14T11:28:34-0600',mode:absolute,to:'2017-06-14T14:20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4" s="197" t="str">
        <f>IF(AA84&lt;VLOOKUP(AG84,Variables!$AC$3:$AD$8,2,FALSE),"Y","N")</f>
        <v>N</v>
      </c>
      <c r="X84" s="197">
        <f t="shared" si="28"/>
        <v>1</v>
      </c>
      <c r="Y84" s="197">
        <f t="shared" si="29"/>
        <v>4.58E-2</v>
      </c>
      <c r="Z84" s="197">
        <f t="shared" si="30"/>
        <v>23.325500000000002</v>
      </c>
      <c r="AA84" s="197">
        <f t="shared" si="31"/>
        <v>23.279700000000002</v>
      </c>
      <c r="AB84" s="54" t="e">
        <f>VLOOKUP(A84,Enforcements!$C$7:$K$13,8,0)</f>
        <v>#N/A</v>
      </c>
      <c r="AC84" s="51" t="e">
        <f>VLOOKUP(A84,Enforcements!$C$7:$E$13,3,0)</f>
        <v>#N/A</v>
      </c>
      <c r="AD84" s="206">
        <f t="shared" si="32"/>
        <v>171</v>
      </c>
      <c r="AE84" s="77" t="str">
        <f t="shared" si="33"/>
        <v>aws s3 cp s3://rtdc.mdm.uploadarchive.raw/RTDC4044/ "%USERPROFILE%\AppData\Local\Temp\OnboardLogs"\RTDC4044\2017-06-14 --exclude "*" --recursive --include "*20170614*" &amp; "%USERPROFILE%\Documents\GitHub\mrs-test-scripts\Headless Mode &amp; Sideloading\WalkAndUnGZ.bat" "%USERPROFILE%\AppData\Local\Temp\OnboardLogs"\RTDC4044\2017-06-14 &amp; aws s3 cp s3://rtdc.mdm.uploadarchive.raw/RTDC4044/ "%USERPROFILE%\AppData\Local\Temp\OnboardLogs"\RTDC4044\2017-06-15 --exclude "*" --recursive --include "*20170615*" &amp; "%USERPROFILE%\Documents\GitHub\mrs-test-scripts\Headless Mode &amp; Sideloading\WalkAndUnGZ.bat" "%USERPROFILE%\AppData\Local\Temp\OnboardLogs"\RTDC4044\2017-06-15</v>
      </c>
      <c r="AF84" s="74" t="str">
        <f t="shared" si="34"/>
        <v>"C:\Program Files (x86)\AstroGrep\AstroGrep.exe" /e /r /s /spath="%USERPROFILE%\AppData\Local\Temp\OnboardLogs" /stypes="app*4044*20170614*" /stext=" 19:.+((SYSTEM_STATE.+slice.+state.+changed )|(ment ac)|(multiple cpu faults)|(system.+state.+changed )|(\[timeout)|(PRM\|1\|D)|(kpr)|(kdp)|(train st.+moving)|(\|lc)|(penalty))"</v>
      </c>
      <c r="AG84" s="209" t="str">
        <f t="shared" si="39"/>
        <v>EC</v>
      </c>
      <c r="AH84" s="78" t="str">
        <f t="shared" si="35"/>
        <v>"%USERPROFILE%\Documents\GitHub\eaglep3\Utilities\RefineRTDCRunTimes.py" --tripid 171-14 --locoid 4044 --swversion DE.1.0.9.0 --startMP 204:458 --initTime 2017-06-14T12:28:34 --startdatetime 2017-06-14T12:30:35 --delay 1 --endMP 204:233255 --enddatetime 2017-06-14T13:20:49 --enforcementcount 2 &gt;&gt;C:\Users\stu\Documents\GitHub\eaglep3-reporting\EC\2017-06-14-refined-times.txt</v>
      </c>
      <c r="AI84" s="96" t="str">
        <f t="shared" si="36"/>
        <v>echo {"issue":{"subject":"Delayed by passenger emergency","project_id":79,"tracker_id":40,"status_id":1,"priority_id":2,"assigned_to_id":23,"start_date":"2017-06-14","description":"","custom_fields":[{"id":1,"name":"Subdivision","value":"EC"},{"id":4,"name":"Milepost","value":"23.3255"},{"id":17,"name":"Train ID","value":"171-14"},{"id":16,"name":"Locomotive ID","value":"4044"},{"id":130,"name":"Impact","value":""},{"id":150,"name":"Time of Event (Mountain Time)","value":"13:20:49"},{"id":151,"name":"Denver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37"/>
        <v>start /low /b %USERPROFILE%\Documents\GitHub\eaglep3\Utilities\DownloadLogsFromS3.py --loco 4044 --day 2017-06-14</v>
      </c>
      <c r="AN84" s="151" t="str">
        <f t="shared" si="38"/>
        <v>echo {"issue":{"subject":"Delayed by passenger emergency","project_id":30,"tracker_id":4,"status_id":1,"priority_id":1,"assigned_to_id":10,"start_date":"2017-06-14","description":"","custom_fields":[{"id":30,"name":"Category","value":"Issue"},{"id":3,"name":"Functional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19:20:49"},{"id":29,"name":"Sharepoint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72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756</v>
      </c>
      <c r="B85" s="7">
        <v>4043</v>
      </c>
      <c r="C85" s="21" t="s">
        <v>202</v>
      </c>
      <c r="D85" s="21" t="s">
        <v>874</v>
      </c>
      <c r="E85" s="13">
        <v>42900.56050925926</v>
      </c>
      <c r="F85" s="13">
        <v>42900.561747685184</v>
      </c>
      <c r="G85" s="7">
        <v>0</v>
      </c>
      <c r="H85" s="21" t="s">
        <v>193</v>
      </c>
      <c r="I85" s="13">
        <v>42900.589074074072</v>
      </c>
      <c r="J85" s="7">
        <v>2</v>
      </c>
      <c r="K85" s="89" t="str">
        <f t="shared" si="24"/>
        <v>4043/4044</v>
      </c>
      <c r="L85" s="21" t="str">
        <f>VLOOKUP(A85,'Trips&amp;Operators'!$C$1:$G$99999,5,FALSE)</f>
        <v>DAVIS MICHAEL</v>
      </c>
      <c r="M85" s="6">
        <f t="shared" si="25"/>
        <v>2.73263888884685E-2</v>
      </c>
      <c r="N85" s="7">
        <f t="shared" si="22"/>
        <v>39.34999999939464</v>
      </c>
      <c r="O85" s="7"/>
      <c r="P85" s="7"/>
      <c r="Q85" s="22"/>
      <c r="R85" s="170"/>
      <c r="S85" s="215">
        <f t="shared" si="23"/>
        <v>1</v>
      </c>
      <c r="T85" s="195" t="str">
        <f t="shared" si="26"/>
        <v>Southbound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 t="shared" si="27"/>
        <v>https://d0f6bd738d7f1b3e5a7ca70fe4ff75f0.us-east-1.aws.found.io/app/kibana#/discover/Steve-Slow-Train-Analysis-(2080s-and-2083s)?_g=(refreshInterval:(display:Off,pause:!f,section:0,value:0),time:(from:'2017-06-14T12:27:08-0600',mode:absolute,to:'2017-06-14T15:08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5" s="197" t="str">
        <f>IF(AA85&lt;VLOOKUP(AG85,Variables!$AC$3:$AD$8,2,FALSE),"Y","N")</f>
        <v>N</v>
      </c>
      <c r="X85" s="197">
        <f t="shared" si="28"/>
        <v>1</v>
      </c>
      <c r="Y85" s="197">
        <f t="shared" si="29"/>
        <v>23.300699999999999</v>
      </c>
      <c r="Z85" s="197">
        <f t="shared" si="30"/>
        <v>1.52E-2</v>
      </c>
      <c r="AA85" s="197">
        <f t="shared" si="31"/>
        <v>23.285499999999999</v>
      </c>
      <c r="AB85" s="54" t="e">
        <f>VLOOKUP(A85,Enforcements!$C$7:$K$13,8,0)</f>
        <v>#N/A</v>
      </c>
      <c r="AC85" s="51" t="e">
        <f>VLOOKUP(A85,Enforcements!$C$7:$E$13,3,0)</f>
        <v>#N/A</v>
      </c>
      <c r="AD85" s="206">
        <f t="shared" si="32"/>
        <v>172</v>
      </c>
      <c r="AE85" s="77" t="str">
        <f t="shared" si="33"/>
        <v>aws s3 cp s3://rtdc.mdm.uploadarchive.raw/RTDC4043/ "%USERPROFILE%\AppData\Local\Temp\OnboardLogs"\RTDC4043\2017-06-14 --exclude "*" --recursive --include "*20170614*" &amp; "%USERPROFILE%\Documents\GitHub\mrs-test-scripts\Headless Mode &amp; Sideloading\WalkAndUnGZ.bat" "%USERPROFILE%\AppData\Local\Temp\OnboardLogs"\RTDC4043\2017-06-14 &amp; aws s3 cp s3://rtdc.mdm.uploadarchive.raw/RTDC4043/ "%USERPROFILE%\AppData\Local\Temp\OnboardLogs"\RTDC4043\2017-06-15 --exclude "*" --recursive --include "*20170615*" &amp; "%USERPROFILE%\Documents\GitHub\mrs-test-scripts\Headless Mode &amp; Sideloading\WalkAndUnGZ.bat" "%USERPROFILE%\AppData\Local\Temp\OnboardLogs"\RTDC4043\2017-06-15</v>
      </c>
      <c r="AF85" s="74" t="str">
        <f t="shared" si="34"/>
        <v>"C:\Program Files (x86)\AstroGrep\AstroGrep.exe" /e /r /s /spath="%USERPROFILE%\AppData\Local\Temp\OnboardLogs" /stypes="app*4043*20170614*" /stext=" 20:.+((SYSTEM_STATE.+slice.+state.+changed )|(ment ac)|(multiple cpu faults)|(system.+state.+changed )|(\[timeout)|(PRM\|1\|D)|(kpr)|(kdp)|(train st.+moving)|(\|lc)|(penalty))"</v>
      </c>
      <c r="AG85" s="209" t="str">
        <f t="shared" si="39"/>
        <v>EC</v>
      </c>
      <c r="AH85" s="78" t="str">
        <f t="shared" si="35"/>
        <v>"%USERPROFILE%\Documents\GitHub\eaglep3\Utilities\RefineRTDCRunTimes.py" --tripid 172-14 --locoid 4043 --swversion DE.1.0.9.0 --startMP 204:233007 --initTime 2017-06-14T13:27:08 --startdatetime 2017-06-14T13:28:55 --delay 0 --endMP 204:152 --enddatetime 2017-06-14T14:08:16 --enforcementcount 2 &gt;&gt;C:\Users\stu\Documents\GitHub\eaglep3-reporting\EC\2017-06-14-refined-times.txt</v>
      </c>
      <c r="AI85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{"issue":{"subject":"","project_id":79,"tracker_id":40,"status_id":1,"priority_id":2,"assigned_to_id":23,"start_date":"2017-06-14","description":"","custom_fields":[{"id":1,"name":"Subdivision","value":"EC"},{"id":4,"name":"Milepost","value":"0.0152"},{"id":17,"name":"Train ID","value":"172-14"},{"id":16,"name":"Locomotive ID","value":"4043"},{"id":130,"name":"Impact","value":""},{"id":150,"name":"Time of Event (Mountain Time)","value":"14:08:16"},{"id":151,"name":"Denver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37"/>
        <v>start /low /b %USERPROFILE%\Documents\GitHub\eaglep3\Utilities\DownloadLogsFromS3.py --loco 4043 --day 2017-06-14</v>
      </c>
      <c r="AN85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20:08:16"},{"id":29,"name":"Sharepoint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72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748</v>
      </c>
      <c r="B86" s="7">
        <v>4008</v>
      </c>
      <c r="C86" s="21" t="s">
        <v>202</v>
      </c>
      <c r="D86" s="21" t="s">
        <v>348</v>
      </c>
      <c r="E86" s="13">
        <v>42900.528634259259</v>
      </c>
      <c r="F86" s="13">
        <v>42900.533194444448</v>
      </c>
      <c r="G86" s="7">
        <v>1</v>
      </c>
      <c r="H86" s="21" t="s">
        <v>468</v>
      </c>
      <c r="I86" s="13">
        <v>42900.558634259258</v>
      </c>
      <c r="J86" s="7">
        <v>2</v>
      </c>
      <c r="K86" s="89" t="str">
        <f t="shared" si="24"/>
        <v>4007/4008</v>
      </c>
      <c r="L86" s="21" t="str">
        <f>VLOOKUP(A86,'Trips&amp;Operators'!$C$1:$G$99999,5,FALSE)</f>
        <v>HOLCOMB KAMDEN</v>
      </c>
      <c r="M86" s="6">
        <f t="shared" si="25"/>
        <v>2.5439814809942618E-2</v>
      </c>
      <c r="N86" s="7">
        <f t="shared" si="22"/>
        <v>36.63333332631737</v>
      </c>
      <c r="O86" s="7"/>
      <c r="P86" s="7"/>
      <c r="Q86" s="22"/>
      <c r="R86" s="170"/>
      <c r="S86" s="215">
        <f t="shared" si="23"/>
        <v>1</v>
      </c>
      <c r="T86" s="195" t="str">
        <f t="shared" si="26"/>
        <v>NorthBound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 t="shared" si="27"/>
        <v>https://d0f6bd738d7f1b3e5a7ca70fe4ff75f0.us-east-1.aws.found.io/app/kibana#/discover/Steve-Slow-Train-Analysis-(2080s-and-2083s)?_g=(refreshInterval:(display:Off,pause:!f,section:0,value:0),time:(from:'2017-06-14T11:41:14-0600',mode:absolute,to:'2017-06-14T14:24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6" s="197" t="str">
        <f>IF(AA86&lt;VLOOKUP(AG86,Variables!$AC$3:$AD$8,2,FALSE),"Y","N")</f>
        <v>N</v>
      </c>
      <c r="X86" s="197">
        <f t="shared" si="28"/>
        <v>1</v>
      </c>
      <c r="Y86" s="197">
        <f t="shared" si="29"/>
        <v>4.58E-2</v>
      </c>
      <c r="Z86" s="197">
        <f t="shared" si="30"/>
        <v>23.33</v>
      </c>
      <c r="AA86" s="197">
        <f t="shared" si="31"/>
        <v>23.284199999999998</v>
      </c>
      <c r="AB86" s="54" t="e">
        <f>VLOOKUP(A86,Enforcements!$C$7:$K$13,8,0)</f>
        <v>#N/A</v>
      </c>
      <c r="AC86" s="51" t="e">
        <f>VLOOKUP(A86,Enforcements!$C$7:$E$13,3,0)</f>
        <v>#N/A</v>
      </c>
      <c r="AD86" s="206">
        <f t="shared" si="32"/>
        <v>173</v>
      </c>
      <c r="AE86" s="77" t="str">
        <f t="shared" si="33"/>
        <v>aws s3 cp s3://rtdc.mdm.uploadarchive.raw/RTDC4008/ "%USERPROFILE%\AppData\Local\Temp\OnboardLogs"\RTDC4008\2017-06-14 --exclude "*" --recursive --include "*20170614*" &amp; "%USERPROFILE%\Documents\GitHub\mrs-test-scripts\Headless Mode &amp; Sideloading\WalkAndUnGZ.bat" "%USERPROFILE%\AppData\Local\Temp\OnboardLogs"\RTDC4008\2017-06-14 &amp; aws s3 cp s3://rtdc.mdm.uploadarchive.raw/RTDC4008/ "%USERPROFILE%\AppData\Local\Temp\OnboardLogs"\RTDC4008\2017-06-15 --exclude "*" --recursive --include "*20170615*" &amp; "%USERPROFILE%\Documents\GitHub\mrs-test-scripts\Headless Mode &amp; Sideloading\WalkAndUnGZ.bat" "%USERPROFILE%\AppData\Local\Temp\OnboardLogs"\RTDC4008\2017-06-15</v>
      </c>
      <c r="AF86" s="74" t="str">
        <f t="shared" si="34"/>
        <v>"C:\Program Files (x86)\AstroGrep\AstroGrep.exe" /e /r /s /spath="%USERPROFILE%\AppData\Local\Temp\OnboardLogs" /stypes="app*4008*20170614*" /stext=" 19:.+((SYSTEM_STATE.+slice.+state.+changed )|(ment ac)|(multiple cpu faults)|(system.+state.+changed )|(\[timeout)|(PRM\|1\|D)|(kpr)|(kdp)|(train st.+moving)|(\|lc)|(penalty))"</v>
      </c>
      <c r="AG86" s="209" t="str">
        <f t="shared" si="39"/>
        <v>EC</v>
      </c>
      <c r="AH86" s="78" t="str">
        <f t="shared" si="35"/>
        <v>"%USERPROFILE%\Documents\GitHub\eaglep3\Utilities\RefineRTDCRunTimes.py" --tripid 173-14 --locoid 4008 --swversion DE.1.0.9.0 --startMP 204:458 --initTime 2017-06-14T12:41:14 --startdatetime 2017-06-14T12:47:48 --delay 1 --endMP 204:233300 --enddatetime 2017-06-14T13:24:26 --enforcementcount 2 &gt;&gt;C:\Users\stu\Documents\GitHub\eaglep3-reporting\EC\2017-06-14-refined-times.txt</v>
      </c>
      <c r="AI86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{"issue":{"subject":"","project_id":79,"tracker_id":40,"status_id":1,"priority_id":2,"assigned_to_id":23,"start_date":"2017-06-14","description":"","custom_fields":[{"id":1,"name":"Subdivision","value":"EC"},{"id":4,"name":"Milepost","value":"23.33"},{"id":17,"name":"Train ID","value":"173-14"},{"id":16,"name":"Locomotive ID","value":"4008"},{"id":130,"name":"Impact","value":""},{"id":150,"name":"Time of Event (Mountain Time)","value":"13:24:26"},{"id":151,"name":"Denver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37"/>
        <v>start /low /b %USERPROFILE%\Documents\GitHub\eaglep3\Utilities\DownloadLogsFromS3.py --loco 4008 --day 2017-06-14</v>
      </c>
      <c r="AN86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19:24:26"},{"id":29,"name":"Sharepoint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72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757</v>
      </c>
      <c r="B87" s="7">
        <v>4007</v>
      </c>
      <c r="C87" s="21" t="s">
        <v>202</v>
      </c>
      <c r="D87" s="21" t="s">
        <v>482</v>
      </c>
      <c r="E87" s="13">
        <v>42900.568483796298</v>
      </c>
      <c r="F87" s="13">
        <v>42900.571018518516</v>
      </c>
      <c r="G87" s="7">
        <v>1</v>
      </c>
      <c r="H87" s="21" t="s">
        <v>421</v>
      </c>
      <c r="I87" s="13">
        <v>42900.597395833334</v>
      </c>
      <c r="J87" s="7">
        <v>2</v>
      </c>
      <c r="K87" s="89" t="str">
        <f t="shared" si="24"/>
        <v>4007/4008</v>
      </c>
      <c r="L87" s="21" t="str">
        <f>VLOOKUP(A87,'Trips&amp;Operators'!$C$1:$G$99999,5,FALSE)</f>
        <v>HOLCOMB KAMDEN</v>
      </c>
      <c r="M87" s="6">
        <f t="shared" si="25"/>
        <v>2.6377314818091691E-2</v>
      </c>
      <c r="N87" s="7">
        <f t="shared" si="22"/>
        <v>37.983333338052034</v>
      </c>
      <c r="O87" s="7"/>
      <c r="P87" s="7"/>
      <c r="Q87" s="22"/>
      <c r="R87" s="170"/>
      <c r="S87" s="215">
        <f t="shared" si="23"/>
        <v>1</v>
      </c>
      <c r="T87" s="195" t="str">
        <f t="shared" si="26"/>
        <v>Southbound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 t="shared" si="27"/>
        <v>https://d0f6bd738d7f1b3e5a7ca70fe4ff75f0.us-east-1.aws.found.io/app/kibana#/discover/Steve-Slow-Train-Analysis-(2080s-and-2083s)?_g=(refreshInterval:(display:Off,pause:!f,section:0,value:0),time:(from:'2017-06-14T12:38:37-0600',mode:absolute,to:'2017-06-14T15:20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7" s="197" t="str">
        <f>IF(AA87&lt;VLOOKUP(AG87,Variables!$AC$3:$AD$8,2,FALSE),"Y","N")</f>
        <v>N</v>
      </c>
      <c r="X87" s="197">
        <f t="shared" si="28"/>
        <v>1</v>
      </c>
      <c r="Y87" s="197">
        <f t="shared" si="29"/>
        <v>23.299099999999999</v>
      </c>
      <c r="Z87" s="197">
        <f t="shared" si="30"/>
        <v>1.4500000000000001E-2</v>
      </c>
      <c r="AA87" s="197">
        <f t="shared" si="31"/>
        <v>23.284599999999998</v>
      </c>
      <c r="AB87" s="54" t="e">
        <f>VLOOKUP(A87,Enforcements!$C$7:$K$13,8,0)</f>
        <v>#N/A</v>
      </c>
      <c r="AC87" s="51" t="e">
        <f>VLOOKUP(A87,Enforcements!$C$7:$E$13,3,0)</f>
        <v>#N/A</v>
      </c>
      <c r="AD87" s="206">
        <f t="shared" si="32"/>
        <v>174</v>
      </c>
      <c r="AE87" s="77" t="str">
        <f t="shared" si="33"/>
        <v>aws s3 cp s3://rtdc.mdm.uploadarchive.raw/RTDC4007/ "%USERPROFILE%\AppData\Local\Temp\OnboardLogs"\RTDC4007\2017-06-14 --exclude "*" --recursive --include "*20170614*" &amp; "%USERPROFILE%\Documents\GitHub\mrs-test-scripts\Headless Mode &amp; Sideloading\WalkAndUnGZ.bat" "%USERPROFILE%\AppData\Local\Temp\OnboardLogs"\RTDC4007\2017-06-14 &amp; aws s3 cp s3://rtdc.mdm.uploadarchive.raw/RTDC4007/ "%USERPROFILE%\AppData\Local\Temp\OnboardLogs"\RTDC4007\2017-06-15 --exclude "*" --recursive --include "*20170615*" &amp; "%USERPROFILE%\Documents\GitHub\mrs-test-scripts\Headless Mode &amp; Sideloading\WalkAndUnGZ.bat" "%USERPROFILE%\AppData\Local\Temp\OnboardLogs"\RTDC4007\2017-06-15</v>
      </c>
      <c r="AF87" s="74" t="str">
        <f t="shared" si="34"/>
        <v>"C:\Program Files (x86)\AstroGrep\AstroGrep.exe" /e /r /s /spath="%USERPROFILE%\AppData\Local\Temp\OnboardLogs" /stypes="app*4007*20170614*" /stext=" 20:.+((SYSTEM_STATE.+slice.+state.+changed )|(ment ac)|(multiple cpu faults)|(system.+state.+changed )|(\[timeout)|(PRM\|1\|D)|(kpr)|(kdp)|(train st.+moving)|(\|lc)|(penalty))"</v>
      </c>
      <c r="AG87" s="209" t="str">
        <f t="shared" si="39"/>
        <v>EC</v>
      </c>
      <c r="AH87" s="78" t="str">
        <f t="shared" si="35"/>
        <v>"%USERPROFILE%\Documents\GitHub\eaglep3\Utilities\RefineRTDCRunTimes.py" --tripid 174-14 --locoid 4007 --swversion DE.1.0.9.0 --startMP 204:232991 --initTime 2017-06-14T13:38:37 --startdatetime 2017-06-14T13:42:16 --delay 1 --endMP 204:145 --enddatetime 2017-06-14T14:20:15 --enforcementcount 2 &gt;&gt;C:\Users\stu\Documents\GitHub\eaglep3-reporting\EC\2017-06-14-refined-times.txt</v>
      </c>
      <c r="AI87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{"issue":{"subject":"","project_id":79,"tracker_id":40,"status_id":1,"priority_id":2,"assigned_to_id":23,"start_date":"2017-06-14","description":"","custom_fields":[{"id":1,"name":"Subdivision","value":"EC"},{"id":4,"name":"Milepost","value":"0.0145"},{"id":17,"name":"Train ID","value":"174-14"},{"id":16,"name":"Locomotive ID","value":"4007"},{"id":130,"name":"Impact","value":""},{"id":150,"name":"Time of Event (Mountain Time)","value":"14:20:15"},{"id":151,"name":"Denver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37"/>
        <v>start /low /b %USERPROFILE%\Documents\GitHub\eaglep3\Utilities\DownloadLogsFromS3.py --loco 4007 --day 2017-06-14</v>
      </c>
      <c r="AN87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20:20:15"},{"id":29,"name":"Sharepoint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72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751</v>
      </c>
      <c r="B88" s="7">
        <v>4016</v>
      </c>
      <c r="C88" s="21" t="s">
        <v>202</v>
      </c>
      <c r="D88" s="21" t="s">
        <v>392</v>
      </c>
      <c r="E88" s="13">
        <v>42900.538472222222</v>
      </c>
      <c r="F88" s="13">
        <v>42900.541898148149</v>
      </c>
      <c r="G88" s="7">
        <v>1</v>
      </c>
      <c r="H88" s="21" t="s">
        <v>470</v>
      </c>
      <c r="I88" s="13">
        <v>42900.566678240742</v>
      </c>
      <c r="J88" s="7">
        <v>2</v>
      </c>
      <c r="K88" s="89" t="str">
        <f t="shared" si="24"/>
        <v>4015/4016</v>
      </c>
      <c r="L88" s="21" t="str">
        <f>VLOOKUP(A88,'Trips&amp;Operators'!$C$1:$G$99999,5,FALSE)</f>
        <v>STEWART MICHAEL</v>
      </c>
      <c r="M88" s="6">
        <f t="shared" si="25"/>
        <v>2.4780092593573499E-2</v>
      </c>
      <c r="N88" s="7">
        <f t="shared" si="22"/>
        <v>35.683333334745839</v>
      </c>
      <c r="O88" s="7"/>
      <c r="P88" s="7"/>
      <c r="Q88" s="22"/>
      <c r="R88" s="170"/>
      <c r="S88" s="215">
        <f t="shared" si="23"/>
        <v>1</v>
      </c>
      <c r="T88" s="195" t="str">
        <f t="shared" si="26"/>
        <v>NorthBound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 t="shared" si="27"/>
        <v>https://d0f6bd738d7f1b3e5a7ca70fe4ff75f0.us-east-1.aws.found.io/app/kibana#/discover/Steve-Slow-Train-Analysis-(2080s-and-2083s)?_g=(refreshInterval:(display:Off,pause:!f,section:0,value:0),time:(from:'2017-06-14T11:55:24-0600',mode:absolute,to:'2017-06-14T14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8" s="197" t="str">
        <f>IF(AA88&lt;VLOOKUP(AG88,Variables!$AC$3:$AD$8,2,FALSE),"Y","N")</f>
        <v>N</v>
      </c>
      <c r="X88" s="197">
        <f t="shared" si="28"/>
        <v>1</v>
      </c>
      <c r="Y88" s="197">
        <f t="shared" si="29"/>
        <v>4.6199999999999998E-2</v>
      </c>
      <c r="Z88" s="197">
        <f t="shared" si="30"/>
        <v>23.329499999999999</v>
      </c>
      <c r="AA88" s="197">
        <f t="shared" si="31"/>
        <v>23.283300000000001</v>
      </c>
      <c r="AB88" s="54" t="e">
        <f>VLOOKUP(A88,Enforcements!$C$7:$K$13,8,0)</f>
        <v>#N/A</v>
      </c>
      <c r="AC88" s="51" t="e">
        <f>VLOOKUP(A88,Enforcements!$C$7:$E$13,3,0)</f>
        <v>#N/A</v>
      </c>
      <c r="AD88" s="206">
        <f t="shared" si="32"/>
        <v>175</v>
      </c>
      <c r="AE88" s="77" t="str">
        <f t="shared" si="33"/>
        <v>aws s3 cp s3://rtdc.mdm.uploadarchive.raw/RTDC4016/ "%USERPROFILE%\AppData\Local\Temp\OnboardLogs"\RTDC4016\2017-06-14 --exclude "*" --recursive --include "*20170614*" &amp; "%USERPROFILE%\Documents\GitHub\mrs-test-scripts\Headless Mode &amp; Sideloading\WalkAndUnGZ.bat" "%USERPROFILE%\AppData\Local\Temp\OnboardLogs"\RTDC4016\2017-06-14 &amp; aws s3 cp s3://rtdc.mdm.uploadarchive.raw/RTDC4016/ "%USERPROFILE%\AppData\Local\Temp\OnboardLogs"\RTDC4016\2017-06-15 --exclude "*" --recursive --include "*20170615*" &amp; "%USERPROFILE%\Documents\GitHub\mrs-test-scripts\Headless Mode &amp; Sideloading\WalkAndUnGZ.bat" "%USERPROFILE%\AppData\Local\Temp\OnboardLogs"\RTDC4016\2017-06-15</v>
      </c>
      <c r="AF88" s="74" t="str">
        <f t="shared" si="34"/>
        <v>"C:\Program Files (x86)\AstroGrep\AstroGrep.exe" /e /r /s /spath="%USERPROFILE%\AppData\Local\Temp\OnboardLogs" /stypes="app*4016*20170614*" /stext=" 19:.+((SYSTEM_STATE.+slice.+state.+changed )|(ment ac)|(multiple cpu faults)|(system.+state.+changed )|(\[timeout)|(PRM\|1\|D)|(kpr)|(kdp)|(train st.+moving)|(\|lc)|(penalty))"</v>
      </c>
      <c r="AG88" s="209" t="str">
        <f t="shared" si="39"/>
        <v>EC</v>
      </c>
      <c r="AH88" s="78" t="str">
        <f t="shared" si="35"/>
        <v>"%USERPROFILE%\Documents\GitHub\eaglep3\Utilities\RefineRTDCRunTimes.py" --tripid 175-14 --locoid 4016 --swversion DE.1.0.9.0 --startMP 204:462 --initTime 2017-06-14T12:55:24 --startdatetime 2017-06-14T13:00:20 --delay 1 --endMP 204:233295 --enddatetime 2017-06-14T13:36:01 --enforcementcount 2 &gt;&gt;C:\Users\stu\Documents\GitHub\eaglep3-reporting\EC\2017-06-14-refined-times.txt</v>
      </c>
      <c r="AI88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{"issue":{"subject":"","project_id":79,"tracker_id":40,"status_id":1,"priority_id":2,"assigned_to_id":23,"start_date":"2017-06-14","description":"","custom_fields":[{"id":1,"name":"Subdivision","value":"EC"},{"id":4,"name":"Milepost","value":"23.3295"},{"id":17,"name":"Train ID","value":"175-14"},{"id":16,"name":"Locomotive ID","value":"4016"},{"id":130,"name":"Impact","value":""},{"id":150,"name":"Time of Event (Mountain Time)","value":"13:36:01"},{"id":151,"name":"Denver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37"/>
        <v>start /low /b %USERPROFILE%\Documents\GitHub\eaglep3\Utilities\DownloadLogsFromS3.py --loco 4016 --day 2017-06-14</v>
      </c>
      <c r="AN88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19:36:01"},{"id":29,"name":"Sharepoint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72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760</v>
      </c>
      <c r="B89" s="7">
        <v>4015</v>
      </c>
      <c r="C89" s="21" t="s">
        <v>202</v>
      </c>
      <c r="D89" s="21" t="s">
        <v>458</v>
      </c>
      <c r="E89" s="13">
        <v>42900.576377314814</v>
      </c>
      <c r="F89" s="13">
        <v>42900.581446759257</v>
      </c>
      <c r="G89" s="7">
        <v>1</v>
      </c>
      <c r="H89" s="21" t="s">
        <v>396</v>
      </c>
      <c r="I89" s="13">
        <v>42900.608414351853</v>
      </c>
      <c r="J89" s="7">
        <v>2</v>
      </c>
      <c r="K89" s="89" t="str">
        <f t="shared" si="24"/>
        <v>4015/4016</v>
      </c>
      <c r="L89" s="21" t="str">
        <f>VLOOKUP(A89,'Trips&amp;Operators'!$C$1:$G$99999,5,FALSE)</f>
        <v>STEWART MICHAEL</v>
      </c>
      <c r="M89" s="6">
        <f t="shared" si="25"/>
        <v>2.6967592595610768E-2</v>
      </c>
      <c r="N89" s="7">
        <f t="shared" si="22"/>
        <v>38.833333337679505</v>
      </c>
      <c r="O89" s="7"/>
      <c r="P89" s="7"/>
      <c r="Q89" s="22"/>
      <c r="R89" s="170"/>
      <c r="S89" s="215">
        <f t="shared" si="23"/>
        <v>1</v>
      </c>
      <c r="T89" s="195" t="str">
        <f t="shared" si="26"/>
        <v>Southbound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 t="shared" si="27"/>
        <v>https://d0f6bd738d7f1b3e5a7ca70fe4ff75f0.us-east-1.aws.found.io/app/kibana#/discover/Steve-Slow-Train-Analysis-(2080s-and-2083s)?_g=(refreshInterval:(display:Off,pause:!f,section:0,value:0),time:(from:'2017-06-14T12:49:59-0600',mode:absolute,to:'2017-06-14T15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9" s="197" t="str">
        <f>IF(AA89&lt;VLOOKUP(AG89,Variables!$AC$3:$AD$8,2,FALSE),"Y","N")</f>
        <v>N</v>
      </c>
      <c r="X89" s="197">
        <f t="shared" si="28"/>
        <v>1</v>
      </c>
      <c r="Y89" s="197">
        <f t="shared" si="29"/>
        <v>23.2971</v>
      </c>
      <c r="Z89" s="197">
        <f t="shared" si="30"/>
        <v>1.54E-2</v>
      </c>
      <c r="AA89" s="197">
        <f t="shared" si="31"/>
        <v>23.281700000000001</v>
      </c>
      <c r="AB89" s="54" t="e">
        <f>VLOOKUP(A89,Enforcements!$C$7:$K$13,8,0)</f>
        <v>#N/A</v>
      </c>
      <c r="AC89" s="51" t="e">
        <f>VLOOKUP(A89,Enforcements!$C$7:$E$13,3,0)</f>
        <v>#N/A</v>
      </c>
      <c r="AD89" s="206">
        <f t="shared" si="32"/>
        <v>176</v>
      </c>
      <c r="AE89" s="77" t="str">
        <f t="shared" si="33"/>
        <v>aws s3 cp s3://rtdc.mdm.uploadarchive.raw/RTDC4015/ "%USERPROFILE%\AppData\Local\Temp\OnboardLogs"\RTDC4015\2017-06-14 --exclude "*" --recursive --include "*20170614*" &amp; "%USERPROFILE%\Documents\GitHub\mrs-test-scripts\Headless Mode &amp; Sideloading\WalkAndUnGZ.bat" "%USERPROFILE%\AppData\Local\Temp\OnboardLogs"\RTDC4015\2017-06-14 &amp; aws s3 cp s3://rtdc.mdm.uploadarchive.raw/RTDC4015/ "%USERPROFILE%\AppData\Local\Temp\OnboardLogs"\RTDC4015\2017-06-15 --exclude "*" --recursive --include "*20170615*" &amp; "%USERPROFILE%\Documents\GitHub\mrs-test-scripts\Headless Mode &amp; Sideloading\WalkAndUnGZ.bat" "%USERPROFILE%\AppData\Local\Temp\OnboardLogs"\RTDC4015\2017-06-15</v>
      </c>
      <c r="AF89" s="74" t="str">
        <f t="shared" si="34"/>
        <v>"C:\Program Files (x86)\AstroGrep\AstroGrep.exe" /e /r /s /spath="%USERPROFILE%\AppData\Local\Temp\OnboardLogs" /stypes="app*4015*20170614*" /stext=" 20:.+((SYSTEM_STATE.+slice.+state.+changed )|(ment ac)|(multiple cpu faults)|(system.+state.+changed )|(\[timeout)|(PRM\|1\|D)|(kpr)|(kdp)|(train st.+moving)|(\|lc)|(penalty))"</v>
      </c>
      <c r="AG89" s="209" t="str">
        <f t="shared" si="39"/>
        <v>EC</v>
      </c>
      <c r="AH89" s="78" t="str">
        <f t="shared" si="35"/>
        <v>"%USERPROFILE%\Documents\GitHub\eaglep3\Utilities\RefineRTDCRunTimes.py" --tripid 176-14 --locoid 4015 --swversion DE.1.0.9.0 --startMP 204:232971 --initTime 2017-06-14T13:49:59 --startdatetime 2017-06-14T13:57:17 --delay 1 --endMP 204:154 --enddatetime 2017-06-14T14:36:07 --enforcementcount 2 &gt;&gt;C:\Users\stu\Documents\GitHub\eaglep3-reporting\EC\2017-06-14-refined-times.txt</v>
      </c>
      <c r="AI89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{"issue":{"subject":"","project_id":79,"tracker_id":40,"status_id":1,"priority_id":2,"assigned_to_id":23,"start_date":"2017-06-14","description":"","custom_fields":[{"id":1,"name":"Subdivision","value":"EC"},{"id":4,"name":"Milepost","value":"0.0154"},{"id":17,"name":"Train ID","value":"176-14"},{"id":16,"name":"Locomotive ID","value":"4015"},{"id":130,"name":"Impact","value":""},{"id":150,"name":"Time of Event (Mountain Time)","value":"14:36:07"},{"id":151,"name":"Denver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37"/>
        <v>start /low /b %USERPROFILE%\Documents\GitHub\eaglep3\Utilities\DownloadLogsFromS3.py --loco 4015 --day 2017-06-14</v>
      </c>
      <c r="AN89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20:36:07"},{"id":29,"name":"Sharepoint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72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753</v>
      </c>
      <c r="B90" s="7">
        <v>4056</v>
      </c>
      <c r="C90" s="21" t="s">
        <v>202</v>
      </c>
      <c r="D90" s="21" t="s">
        <v>355</v>
      </c>
      <c r="E90" s="13">
        <v>42900.549363425926</v>
      </c>
      <c r="F90" s="13">
        <v>42900.552256944444</v>
      </c>
      <c r="G90" s="7">
        <v>1</v>
      </c>
      <c r="H90" s="21" t="s">
        <v>438</v>
      </c>
      <c r="I90" s="13">
        <v>42900.577511574076</v>
      </c>
      <c r="J90" s="7">
        <v>2</v>
      </c>
      <c r="K90" s="89" t="str">
        <f t="shared" si="24"/>
        <v>4055/4056</v>
      </c>
      <c r="L90" s="21" t="str">
        <f>VLOOKUP(A90,'Trips&amp;Operators'!$C$1:$G$99999,5,FALSE)</f>
        <v>ROBINSON KADDIBA</v>
      </c>
      <c r="M90" s="6">
        <f t="shared" si="25"/>
        <v>2.5254629632399883E-2</v>
      </c>
      <c r="N90" s="7">
        <f t="shared" si="22"/>
        <v>36.366666670655832</v>
      </c>
      <c r="O90" s="7"/>
      <c r="P90" s="7"/>
      <c r="Q90" s="22"/>
      <c r="R90" s="170"/>
      <c r="S90" s="215">
        <f t="shared" si="23"/>
        <v>1</v>
      </c>
      <c r="T90" s="195" t="str">
        <f t="shared" si="26"/>
        <v>NorthBound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 t="shared" si="27"/>
        <v>https://d0f6bd738d7f1b3e5a7ca70fe4ff75f0.us-east-1.aws.found.io/app/kibana#/discover/Steve-Slow-Train-Analysis-(2080s-and-2083s)?_g=(refreshInterval:(display:Off,pause:!f,section:0,value:0),time:(from:'2017-06-14T12:11:05-0600',mode:absolute,to:'2017-06-14T14:51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90" s="197" t="str">
        <f>IF(AA90&lt;VLOOKUP(AG90,Variables!$AC$3:$AD$8,2,FALSE),"Y","N")</f>
        <v>N</v>
      </c>
      <c r="X90" s="197">
        <f t="shared" si="28"/>
        <v>1</v>
      </c>
      <c r="Y90" s="197">
        <f t="shared" si="29"/>
        <v>4.53E-2</v>
      </c>
      <c r="Z90" s="197">
        <f t="shared" si="30"/>
        <v>23.329699999999999</v>
      </c>
      <c r="AA90" s="197">
        <f t="shared" si="31"/>
        <v>23.284399999999998</v>
      </c>
      <c r="AB90" s="54" t="e">
        <f>VLOOKUP(A90,Enforcements!$C$7:$K$13,8,0)</f>
        <v>#N/A</v>
      </c>
      <c r="AC90" s="51" t="e">
        <f>VLOOKUP(A90,Enforcements!$C$7:$E$13,3,0)</f>
        <v>#N/A</v>
      </c>
      <c r="AD90" s="206">
        <f t="shared" si="32"/>
        <v>177</v>
      </c>
      <c r="AE90" s="77" t="str">
        <f t="shared" si="33"/>
        <v>aws s3 cp s3://rtdc.mdm.uploadarchive.raw/RTDC4056/ "%USERPROFILE%\AppData\Local\Temp\OnboardLogs"\RTDC4056\2017-06-14 --exclude "*" --recursive --include "*20170614*" &amp; "%USERPROFILE%\Documents\GitHub\mrs-test-scripts\Headless Mode &amp; Sideloading\WalkAndUnGZ.bat" "%USERPROFILE%\AppData\Local\Temp\OnboardLogs"\RTDC4056\2017-06-14 &amp; aws s3 cp s3://rtdc.mdm.uploadarchive.raw/RTDC4056/ "%USERPROFILE%\AppData\Local\Temp\OnboardLogs"\RTDC4056\2017-06-15 --exclude "*" --recursive --include "*20170615*" &amp; "%USERPROFILE%\Documents\GitHub\mrs-test-scripts\Headless Mode &amp; Sideloading\WalkAndUnGZ.bat" "%USERPROFILE%\AppData\Local\Temp\OnboardLogs"\RTDC4056\2017-06-15</v>
      </c>
      <c r="AF90" s="74" t="str">
        <f t="shared" si="34"/>
        <v>"C:\Program Files (x86)\AstroGrep\AstroGrep.exe" /e /r /s /spath="%USERPROFILE%\AppData\Local\Temp\OnboardLogs" /stypes="app*4056*20170614*" /stext=" 19:.+((SYSTEM_STATE.+slice.+state.+changed )|(ment ac)|(multiple cpu faults)|(system.+state.+changed )|(\[timeout)|(PRM\|1\|D)|(kpr)|(kdp)|(train st.+moving)|(\|lc)|(penalty))"</v>
      </c>
      <c r="AG90" s="209" t="str">
        <f t="shared" si="39"/>
        <v>EC</v>
      </c>
      <c r="AH90" s="78" t="str">
        <f t="shared" si="35"/>
        <v>"%USERPROFILE%\Documents\GitHub\eaglep3\Utilities\RefineRTDCRunTimes.py" --tripid 177-14 --locoid 4056 --swversion DE.1.0.9.0 --startMP 204:453 --initTime 2017-06-14T13:11:05 --startdatetime 2017-06-14T13:15:15 --delay 1 --endMP 204:233297 --enddatetime 2017-06-14T13:51:37 --enforcementcount 2 &gt;&gt;C:\Users\stu\Documents\GitHub\eaglep3-reporting\EC\2017-06-14-refined-times.txt</v>
      </c>
      <c r="AI90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{"issue":{"subject":"","project_id":79,"tracker_id":40,"status_id":1,"priority_id":2,"assigned_to_id":23,"start_date":"2017-06-14","description":"","custom_fields":[{"id":1,"name":"Subdivision","value":"EC"},{"id":4,"name":"Milepost","value":"23.3297"},{"id":17,"name":"Train ID","value":"177-14"},{"id":16,"name":"Locomotive ID","value":"4056"},{"id":130,"name":"Impact","value":""},{"id":150,"name":"Time of Event (Mountain Time)","value":"13:51:37"},{"id":151,"name":"Denver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37"/>
        <v>start /low /b %USERPROFILE%\Documents\GitHub\eaglep3\Utilities\DownloadLogsFromS3.py --loco 4056 --day 2017-06-14</v>
      </c>
      <c r="AN90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19:51:37"},{"id":29,"name":"Sharepoint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72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2" t="s">
        <v>762</v>
      </c>
      <c r="B91" s="7">
        <v>4055</v>
      </c>
      <c r="C91" s="21" t="s">
        <v>202</v>
      </c>
      <c r="D91" s="21" t="s">
        <v>467</v>
      </c>
      <c r="E91" s="13">
        <v>42900.58834490741</v>
      </c>
      <c r="F91" s="13">
        <v>42900.591898148145</v>
      </c>
      <c r="G91" s="7">
        <v>1</v>
      </c>
      <c r="H91" s="21" t="s">
        <v>396</v>
      </c>
      <c r="I91" s="13">
        <v>42900.618564814817</v>
      </c>
      <c r="J91" s="7">
        <v>2</v>
      </c>
      <c r="K91" s="89" t="str">
        <f t="shared" si="24"/>
        <v>4055/4056</v>
      </c>
      <c r="L91" s="21" t="str">
        <f>VLOOKUP(A91,'Trips&amp;Operators'!$C$1:$G$99999,5,FALSE)</f>
        <v>HELVIE ADAM</v>
      </c>
      <c r="M91" s="6">
        <f t="shared" si="25"/>
        <v>2.6666666672099382E-2</v>
      </c>
      <c r="N91" s="7">
        <f t="shared" si="22"/>
        <v>38.40000000782311</v>
      </c>
      <c r="O91" s="7"/>
      <c r="P91" s="7"/>
      <c r="Q91" s="22"/>
      <c r="R91" s="170"/>
      <c r="S91" s="215">
        <f t="shared" si="23"/>
        <v>1</v>
      </c>
      <c r="T91" s="195" t="str">
        <f t="shared" si="26"/>
        <v>Southbound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 t="shared" si="27"/>
        <v>https://d0f6bd738d7f1b3e5a7ca70fe4ff75f0.us-east-1.aws.found.io/app/kibana#/discover/Steve-Slow-Train-Analysis-(2080s-and-2083s)?_g=(refreshInterval:(display:Off,pause:!f,section:0,value:0),time:(from:'2017-06-14T13:07:13-0600',mode:absolute,to:'2017-06-14T15:50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91" s="197" t="str">
        <f>IF(AA91&lt;VLOOKUP(AG91,Variables!$AC$3:$AD$8,2,FALSE),"Y","N")</f>
        <v>N</v>
      </c>
      <c r="X91" s="197">
        <f t="shared" si="28"/>
        <v>1</v>
      </c>
      <c r="Y91" s="197">
        <f t="shared" si="29"/>
        <v>23.298500000000001</v>
      </c>
      <c r="Z91" s="197">
        <f t="shared" si="30"/>
        <v>1.54E-2</v>
      </c>
      <c r="AA91" s="197">
        <f t="shared" si="31"/>
        <v>23.283100000000001</v>
      </c>
      <c r="AB91" s="54" t="e">
        <f>VLOOKUP(A91,Enforcements!$C$7:$K$13,8,0)</f>
        <v>#N/A</v>
      </c>
      <c r="AC91" s="51" t="e">
        <f>VLOOKUP(A91,Enforcements!$C$7:$E$13,3,0)</f>
        <v>#N/A</v>
      </c>
      <c r="AD91" s="206">
        <f t="shared" si="32"/>
        <v>178</v>
      </c>
      <c r="AE91" s="77" t="str">
        <f t="shared" si="33"/>
        <v>aws s3 cp s3://rtdc.mdm.uploadarchive.raw/RTDC4055/ "%USERPROFILE%\AppData\Local\Temp\OnboardLogs"\RTDC4055\2017-06-14 --exclude "*" --recursive --include "*20170614*" &amp; "%USERPROFILE%\Documents\GitHub\mrs-test-scripts\Headless Mode &amp; Sideloading\WalkAndUnGZ.bat" "%USERPROFILE%\AppData\Local\Temp\OnboardLogs"\RTDC4055\2017-06-14 &amp; aws s3 cp s3://rtdc.mdm.uploadarchive.raw/RTDC4055/ "%USERPROFILE%\AppData\Local\Temp\OnboardLogs"\RTDC4055\2017-06-15 --exclude "*" --recursive --include "*20170615*" &amp; "%USERPROFILE%\Documents\GitHub\mrs-test-scripts\Headless Mode &amp; Sideloading\WalkAndUnGZ.bat" "%USERPROFILE%\AppData\Local\Temp\OnboardLogs"\RTDC4055\2017-06-15</v>
      </c>
      <c r="AF91" s="74" t="str">
        <f t="shared" si="34"/>
        <v>"C:\Program Files (x86)\AstroGrep\AstroGrep.exe" /e /r /s /spath="%USERPROFILE%\AppData\Local\Temp\OnboardLogs" /stypes="app*4055*20170614*" /stext=" 20:.+((SYSTEM_STATE.+slice.+state.+changed )|(ment ac)|(multiple cpu faults)|(system.+state.+changed )|(\[timeout)|(PRM\|1\|D)|(kpr)|(kdp)|(train st.+moving)|(\|lc)|(penalty))"</v>
      </c>
      <c r="AG91" s="209" t="str">
        <f t="shared" si="39"/>
        <v>EC</v>
      </c>
      <c r="AH91" s="78" t="str">
        <f t="shared" si="35"/>
        <v>"%USERPROFILE%\Documents\GitHub\eaglep3\Utilities\RefineRTDCRunTimes.py" --tripid 178-14 --locoid 4055 --swversion DE.1.0.9.0 --startMP 204:232985 --initTime 2017-06-14T14:07:13 --startdatetime 2017-06-14T14:12:20 --delay 1 --endMP 204:154 --enddatetime 2017-06-14T14:50:44 --enforcementcount 2 &gt;&gt;C:\Users\stu\Documents\GitHub\eaglep3-reporting\EC\2017-06-14-refined-times.txt</v>
      </c>
      <c r="AI91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{"issue":{"subject":"","project_id":79,"tracker_id":40,"status_id":1,"priority_id":2,"assigned_to_id":23,"start_date":"2017-06-14","description":"","custom_fields":[{"id":1,"name":"Subdivision","value":"EC"},{"id":4,"name":"Milepost","value":"0.0154"},{"id":17,"name":"Train ID","value":"178-14"},{"id":16,"name":"Locomotive ID","value":"4055"},{"id":130,"name":"Impact","value":""},{"id":150,"name":"Time of Event (Mountain Time)","value":"14:50:44"},{"id":151,"name":"Denver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7"/>
      <c r="AL91" s="47"/>
      <c r="AM91" s="142" t="str">
        <f t="shared" si="37"/>
        <v>start /low /b %USERPROFILE%\Documents\GitHub\eaglep3\Utilities\DownloadLogsFromS3.py --loco 4055 --day 2017-06-14</v>
      </c>
      <c r="AN91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20:50:44"},{"id":29,"name":"Sharepoint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72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x14ac:dyDescent="0.25">
      <c r="A92" s="32" t="s">
        <v>755</v>
      </c>
      <c r="B92" s="7">
        <v>4040</v>
      </c>
      <c r="C92" s="21" t="s">
        <v>202</v>
      </c>
      <c r="D92" s="21" t="s">
        <v>441</v>
      </c>
      <c r="E92" s="13">
        <v>42900.557986111111</v>
      </c>
      <c r="F92" s="13">
        <v>42900.562743055554</v>
      </c>
      <c r="G92" s="7">
        <v>1</v>
      </c>
      <c r="H92" s="21" t="s">
        <v>875</v>
      </c>
      <c r="I92" s="13">
        <v>42900.586909722224</v>
      </c>
      <c r="J92" s="7">
        <v>2</v>
      </c>
      <c r="K92" s="89" t="str">
        <f t="shared" si="24"/>
        <v>4039/4040</v>
      </c>
      <c r="L92" s="21" t="str">
        <f>VLOOKUP(A92,'Trips&amp;Operators'!$C$1:$G$99999,5,FALSE)</f>
        <v>BRUDER RICHARD</v>
      </c>
      <c r="M92" s="6">
        <f t="shared" si="25"/>
        <v>2.4166666669771075E-2</v>
      </c>
      <c r="N92" s="7">
        <f t="shared" si="22"/>
        <v>34.800000004470348</v>
      </c>
      <c r="O92" s="7"/>
      <c r="P92" s="7"/>
      <c r="Q92" s="22"/>
      <c r="R92" s="170"/>
      <c r="S92" s="215">
        <f t="shared" si="23"/>
        <v>1</v>
      </c>
      <c r="T92" s="195" t="str">
        <f t="shared" si="26"/>
        <v>NorthBound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 t="shared" si="27"/>
        <v>https://d0f6bd738d7f1b3e5a7ca70fe4ff75f0.us-east-1.aws.found.io/app/kibana#/discover/Steve-Slow-Train-Analysis-(2080s-and-2083s)?_g=(refreshInterval:(display:Off,pause:!f,section:0,value:0),time:(from:'2017-06-14T12:23:30-0600',mode:absolute,to:'2017-06-14T15:05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2" s="197" t="str">
        <f>IF(AA92&lt;VLOOKUP(AG92,Variables!$AC$3:$AD$8,2,FALSE),"Y","N")</f>
        <v>N</v>
      </c>
      <c r="X92" s="197">
        <f t="shared" si="28"/>
        <v>1</v>
      </c>
      <c r="Y92" s="197">
        <f t="shared" si="29"/>
        <v>4.6699999999999998E-2</v>
      </c>
      <c r="Z92" s="197">
        <f t="shared" si="30"/>
        <v>23.327200000000001</v>
      </c>
      <c r="AA92" s="197">
        <f t="shared" si="31"/>
        <v>23.2805</v>
      </c>
      <c r="AB92" s="54" t="e">
        <f>VLOOKUP(A92,Enforcements!$C$7:$K$13,8,0)</f>
        <v>#N/A</v>
      </c>
      <c r="AC92" s="51" t="e">
        <f>VLOOKUP(A92,Enforcements!$C$7:$E$13,3,0)</f>
        <v>#N/A</v>
      </c>
      <c r="AD92" s="206">
        <f t="shared" si="32"/>
        <v>179</v>
      </c>
      <c r="AE92" s="77" t="str">
        <f t="shared" si="33"/>
        <v>aws s3 cp s3://rtdc.mdm.uploadarchive.raw/RTDC4040/ "%USERPROFILE%\AppData\Local\Temp\OnboardLogs"\RTDC4040\2017-06-14 --exclude "*" --recursive --include "*20170614*" &amp; "%USERPROFILE%\Documents\GitHub\mrs-test-scripts\Headless Mode &amp; Sideloading\WalkAndUnGZ.bat" "%USERPROFILE%\AppData\Local\Temp\OnboardLogs"\RTDC4040\2017-06-14 &amp; aws s3 cp s3://rtdc.mdm.uploadarchive.raw/RTDC4040/ "%USERPROFILE%\AppData\Local\Temp\OnboardLogs"\RTDC4040\2017-06-15 --exclude "*" --recursive --include "*20170615*" &amp; "%USERPROFILE%\Documents\GitHub\mrs-test-scripts\Headless Mode &amp; Sideloading\WalkAndUnGZ.bat" "%USERPROFILE%\AppData\Local\Temp\OnboardLogs"\RTDC4040\2017-06-15</v>
      </c>
      <c r="AF92" s="74" t="str">
        <f t="shared" si="34"/>
        <v>"C:\Program Files (x86)\AstroGrep\AstroGrep.exe" /e /r /s /spath="%USERPROFILE%\AppData\Local\Temp\OnboardLogs" /stypes="app*4040*20170614*" /stext=" 20:.+((SYSTEM_STATE.+slice.+state.+changed )|(ment ac)|(multiple cpu faults)|(system.+state.+changed )|(\[timeout)|(PRM\|1\|D)|(kpr)|(kdp)|(train st.+moving)|(\|lc)|(penalty))"</v>
      </c>
      <c r="AG92" s="209" t="str">
        <f t="shared" si="39"/>
        <v>EC</v>
      </c>
      <c r="AH92" s="78" t="str">
        <f t="shared" si="35"/>
        <v>"%USERPROFILE%\Documents\GitHub\eaglep3\Utilities\RefineRTDCRunTimes.py" --tripid 179-14 --locoid 4040 --swversion DE.1.0.9.0 --startMP 204:467 --initTime 2017-06-14T13:23:30 --startdatetime 2017-06-14T13:30:21 --delay 1 --endMP 204:233272 --enddatetime 2017-06-14T14:05:09 --enforcementcount 2 &gt;&gt;C:\Users\stu\Documents\GitHub\eaglep3-reporting\EC\2017-06-14-refined-times.txt</v>
      </c>
      <c r="AI92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{"issue":{"subject":"","project_id":79,"tracker_id":40,"status_id":1,"priority_id":2,"assigned_to_id":23,"start_date":"2017-06-14","description":"","custom_fields":[{"id":1,"name":"Subdivision","value":"EC"},{"id":4,"name":"Milepost","value":"23.3272"},{"id":17,"name":"Train ID","value":"179-14"},{"id":16,"name":"Locomotive ID","value":"4040"},{"id":130,"name":"Impact","value":""},{"id":150,"name":"Time of Event (Mountain Time)","value":"14:05:09"},{"id":151,"name":"Denver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37"/>
        <v>start /low /b %USERPROFILE%\Documents\GitHub\eaglep3\Utilities\DownloadLogsFromS3.py --loco 4040 --day 2017-06-14</v>
      </c>
      <c r="AN92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20:05:09"},{"id":29,"name":"Sharepoint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3" spans="1:91" s="20" customFormat="1" x14ac:dyDescent="0.25">
      <c r="A93" s="32" t="s">
        <v>764</v>
      </c>
      <c r="B93" s="7">
        <v>4039</v>
      </c>
      <c r="C93" s="21" t="s">
        <v>202</v>
      </c>
      <c r="D93" s="21" t="s">
        <v>514</v>
      </c>
      <c r="E93" s="13">
        <v>42900.597569444442</v>
      </c>
      <c r="F93" s="13">
        <v>42900.602268518516</v>
      </c>
      <c r="G93" s="7">
        <v>2</v>
      </c>
      <c r="H93" s="21" t="s">
        <v>351</v>
      </c>
      <c r="I93" s="13">
        <v>42900.628368055557</v>
      </c>
      <c r="J93" s="7">
        <v>2</v>
      </c>
      <c r="K93" s="89" t="str">
        <f t="shared" si="24"/>
        <v>4039/4040</v>
      </c>
      <c r="L93" s="21" t="str">
        <f>VLOOKUP(A93,'Trips&amp;Operators'!$C$1:$G$99999,5,FALSE)</f>
        <v>BRUDER RICHARD</v>
      </c>
      <c r="M93" s="6">
        <f t="shared" si="25"/>
        <v>2.6099537040863652E-2</v>
      </c>
      <c r="N93" s="7">
        <f t="shared" si="22"/>
        <v>37.583333338843659</v>
      </c>
      <c r="O93" s="7"/>
      <c r="P93" s="7"/>
      <c r="Q93" s="22"/>
      <c r="R93" s="170"/>
      <c r="S93" s="215">
        <f t="shared" si="23"/>
        <v>1</v>
      </c>
      <c r="T93" s="195" t="str">
        <f t="shared" si="26"/>
        <v>Southbound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 t="shared" si="27"/>
        <v>https://d0f6bd738d7f1b3e5a7ca70fe4ff75f0.us-east-1.aws.found.io/app/kibana#/discover/Steve-Slow-Train-Analysis-(2080s-and-2083s)?_g=(refreshInterval:(display:Off,pause:!f,section:0,value:0),time:(from:'2017-06-14T13:20:30-0600',mode:absolute,to:'2017-06-14T16:04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3" s="197" t="str">
        <f>IF(AA93&lt;VLOOKUP(AG93,Variables!$AC$3:$AD$8,2,FALSE),"Y","N")</f>
        <v>N</v>
      </c>
      <c r="X93" s="197">
        <f t="shared" si="28"/>
        <v>1</v>
      </c>
      <c r="Y93" s="197">
        <f t="shared" si="29"/>
        <v>23.298200000000001</v>
      </c>
      <c r="Z93" s="197">
        <f t="shared" si="30"/>
        <v>1.43E-2</v>
      </c>
      <c r="AA93" s="197">
        <f t="shared" si="31"/>
        <v>23.283900000000003</v>
      </c>
      <c r="AB93" s="54" t="e">
        <f>VLOOKUP(A93,Enforcements!$C$7:$K$13,8,0)</f>
        <v>#N/A</v>
      </c>
      <c r="AC93" s="51" t="e">
        <f>VLOOKUP(A93,Enforcements!$C$7:$E$13,3,0)</f>
        <v>#N/A</v>
      </c>
      <c r="AD93" s="206">
        <f t="shared" si="32"/>
        <v>180</v>
      </c>
      <c r="AE93" s="77" t="str">
        <f t="shared" si="33"/>
        <v>aws s3 cp s3://rtdc.mdm.uploadarchive.raw/RTDC4039/ "%USERPROFILE%\AppData\Local\Temp\OnboardLogs"\RTDC4039\2017-06-14 --exclude "*" --recursive --include "*20170614*" &amp; "%USERPROFILE%\Documents\GitHub\mrs-test-scripts\Headless Mode &amp; Sideloading\WalkAndUnGZ.bat" "%USERPROFILE%\AppData\Local\Temp\OnboardLogs"\RTDC4039\2017-06-14 &amp; aws s3 cp s3://rtdc.mdm.uploadarchive.raw/RTDC4039/ "%USERPROFILE%\AppData\Local\Temp\OnboardLogs"\RTDC4039\2017-06-15 --exclude "*" --recursive --include "*20170615*" &amp; "%USERPROFILE%\Documents\GitHub\mrs-test-scripts\Headless Mode &amp; Sideloading\WalkAndUnGZ.bat" "%USERPROFILE%\AppData\Local\Temp\OnboardLogs"\RTDC4039\2017-06-15</v>
      </c>
      <c r="AF93" s="74" t="str">
        <f t="shared" si="34"/>
        <v>"C:\Program Files (x86)\AstroGrep\AstroGrep.exe" /e /r /s /spath="%USERPROFILE%\AppData\Local\Temp\OnboardLogs" /stypes="app*4039*20170614*" /stext=" 21:.+((SYSTEM_STATE.+slice.+state.+changed )|(ment ac)|(multiple cpu faults)|(system.+state.+changed )|(\[timeout)|(PRM\|1\|D)|(kpr)|(kdp)|(train st.+moving)|(\|lc)|(penalty))"</v>
      </c>
      <c r="AG93" s="209" t="str">
        <f t="shared" si="39"/>
        <v>EC</v>
      </c>
      <c r="AH93" s="78" t="str">
        <f t="shared" si="35"/>
        <v>"%USERPROFILE%\Documents\GitHub\eaglep3\Utilities\RefineRTDCRunTimes.py" --tripid 180-14 --locoid 4039 --swversion DE.1.0.9.0 --startMP 204:232982 --initTime 2017-06-14T14:20:30 --startdatetime 2017-06-14T14:27:16 --delay 2 --endMP 204:143 --enddatetime 2017-06-14T15:04:51 --enforcementcount 2 &gt;&gt;C:\Users\stu\Documents\GitHub\eaglep3-reporting\EC\2017-06-14-refined-times.txt</v>
      </c>
      <c r="AI93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{"issue":{"subject":"","project_id":79,"tracker_id":40,"status_id":1,"priority_id":2,"assigned_to_id":23,"start_date":"2017-06-14","description":"","custom_fields":[{"id":1,"name":"Subdivision","value":"EC"},{"id":4,"name":"Milepost","value":"0.0143"},{"id":17,"name":"Train ID","value":"180-14"},{"id":16,"name":"Locomotive ID","value":"4039"},{"id":130,"name":"Impact","value":""},{"id":150,"name":"Time of Event (Mountain Time)","value":"15:04:51"},{"id":151,"name":"Denver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7"/>
      <c r="AL93" s="47"/>
      <c r="AM93" s="142" t="str">
        <f t="shared" si="37"/>
        <v>start /low /b %USERPROFILE%\Documents\GitHub\eaglep3\Utilities\DownloadLogsFromS3.py --loco 4039 --day 2017-06-14</v>
      </c>
      <c r="AN93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21:04:51"},{"id":29,"name":"Sharepoint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72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2" t="s">
        <v>758</v>
      </c>
      <c r="B94" s="7">
        <v>4010</v>
      </c>
      <c r="C94" s="21" t="s">
        <v>202</v>
      </c>
      <c r="D94" s="21" t="s">
        <v>450</v>
      </c>
      <c r="E94" s="13">
        <v>42900.570324074077</v>
      </c>
      <c r="F94" s="13">
        <v>42900.573113425926</v>
      </c>
      <c r="G94" s="7">
        <v>1</v>
      </c>
      <c r="H94" s="21" t="s">
        <v>876</v>
      </c>
      <c r="I94" s="13">
        <v>42900.598217592589</v>
      </c>
      <c r="J94" s="7">
        <v>2</v>
      </c>
      <c r="K94" s="89" t="str">
        <f t="shared" si="24"/>
        <v>4009/4010</v>
      </c>
      <c r="L94" s="21" t="str">
        <f>VLOOKUP(A94,'Trips&amp;Operators'!$C$1:$G$99999,5,FALSE)</f>
        <v>LEVIN SCOTT</v>
      </c>
      <c r="M94" s="6">
        <f t="shared" si="25"/>
        <v>2.5104166663368233E-2</v>
      </c>
      <c r="N94" s="7">
        <f t="shared" si="22"/>
        <v>36.149999995250255</v>
      </c>
      <c r="O94" s="7"/>
      <c r="P94" s="7"/>
      <c r="Q94" s="22"/>
      <c r="R94" s="170"/>
      <c r="S94" s="215">
        <f t="shared" si="23"/>
        <v>1</v>
      </c>
      <c r="T94" s="195" t="str">
        <f t="shared" si="26"/>
        <v>NorthBound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 t="shared" si="27"/>
        <v>https://d0f6bd738d7f1b3e5a7ca70fe4ff75f0.us-east-1.aws.found.io/app/kibana#/discover/Steve-Slow-Train-Analysis-(2080s-and-2083s)?_g=(refreshInterval:(display:Off,pause:!f,section:0,value:0),time:(from:'2017-06-14T12:41:16-0600',mode:absolute,to:'2017-06-14T15:21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4" s="197" t="str">
        <f>IF(AA94&lt;VLOOKUP(AG94,Variables!$AC$3:$AD$8,2,FALSE),"Y","N")</f>
        <v>N</v>
      </c>
      <c r="X94" s="197">
        <f t="shared" si="28"/>
        <v>1</v>
      </c>
      <c r="Y94" s="197">
        <f t="shared" si="29"/>
        <v>4.3700000000000003E-2</v>
      </c>
      <c r="Z94" s="197">
        <f t="shared" si="30"/>
        <v>23.340399999999999</v>
      </c>
      <c r="AA94" s="197">
        <f t="shared" si="31"/>
        <v>23.296699999999998</v>
      </c>
      <c r="AB94" s="54" t="e">
        <f>VLOOKUP(A94,Enforcements!$C$7:$K$13,8,0)</f>
        <v>#N/A</v>
      </c>
      <c r="AC94" s="51" t="e">
        <f>VLOOKUP(A94,Enforcements!$C$7:$E$13,3,0)</f>
        <v>#N/A</v>
      </c>
      <c r="AD94" s="206">
        <f t="shared" si="32"/>
        <v>181</v>
      </c>
      <c r="AE94" s="77" t="str">
        <f t="shared" si="33"/>
        <v>aws s3 cp s3://rtdc.mdm.uploadarchive.raw/RTDC4010/ "%USERPROFILE%\AppData\Local\Temp\OnboardLogs"\RTDC4010\2017-06-14 --exclude "*" --recursive --include "*20170614*" &amp; "%USERPROFILE%\Documents\GitHub\mrs-test-scripts\Headless Mode &amp; Sideloading\WalkAndUnGZ.bat" "%USERPROFILE%\AppData\Local\Temp\OnboardLogs"\RTDC4010\2017-06-14 &amp; 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</v>
      </c>
      <c r="AF94" s="74" t="str">
        <f t="shared" si="34"/>
        <v>"C:\Program Files (x86)\AstroGrep\AstroGrep.exe" /e /r /s /spath="%USERPROFILE%\AppData\Local\Temp\OnboardLogs" /stypes="app*4010*20170614*" /stext=" 20:.+((SYSTEM_STATE.+slice.+state.+changed )|(ment ac)|(multiple cpu faults)|(system.+state.+changed )|(\[timeout)|(PRM\|1\|D)|(kpr)|(kdp)|(train st.+moving)|(\|lc)|(penalty))"</v>
      </c>
      <c r="AG94" s="209" t="str">
        <f t="shared" si="39"/>
        <v>EC</v>
      </c>
      <c r="AH94" s="78" t="str">
        <f t="shared" si="35"/>
        <v>"%USERPROFILE%\Documents\GitHub\eaglep3\Utilities\RefineRTDCRunTimes.py" --tripid 181-14 --locoid 4010 --swversion DE.1.0.9.0 --startMP 204:437 --initTime 2017-06-14T13:41:16 --startdatetime 2017-06-14T13:45:17 --delay 1 --endMP 204:233404 --enddatetime 2017-06-14T14:21:26 --enforcementcount 2 &gt;&gt;C:\Users\stu\Documents\GitHub\eaglep3-reporting\EC\2017-06-14-refined-times.txt</v>
      </c>
      <c r="AI94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{"issue":{"subject":"","project_id":79,"tracker_id":40,"status_id":1,"priority_id":2,"assigned_to_id":23,"start_date":"2017-06-14","description":"","custom_fields":[{"id":1,"name":"Subdivision","value":"EC"},{"id":4,"name":"Milepost","value":"23.3404"},{"id":17,"name":"Train ID","value":"181-14"},{"id":16,"name":"Locomotive ID","value":"4010"},{"id":130,"name":"Impact","value":""},{"id":150,"name":"Time of Event (Mountain Time)","value":"14:21:26"},{"id":151,"name":"Denver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2" t="str">
        <f t="shared" si="37"/>
        <v>start /low /b %USERPROFILE%\Documents\GitHub\eaglep3\Utilities\DownloadLogsFromS3.py --loco 4010 --day 2017-06-14</v>
      </c>
      <c r="AN94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20:21:26"},{"id":29,"name":"Sharepoint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72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627</v>
      </c>
      <c r="B95" s="7">
        <v>4009</v>
      </c>
      <c r="C95" s="21" t="s">
        <v>202</v>
      </c>
      <c r="D95" s="21" t="s">
        <v>877</v>
      </c>
      <c r="E95" s="13">
        <v>42900.610381944447</v>
      </c>
      <c r="F95" s="13">
        <v>42900.612824074073</v>
      </c>
      <c r="G95" s="7">
        <v>1</v>
      </c>
      <c r="H95" s="21" t="s">
        <v>878</v>
      </c>
      <c r="I95" s="13">
        <v>42900.639791666668</v>
      </c>
      <c r="J95" s="7">
        <v>2</v>
      </c>
      <c r="K95" s="89" t="str">
        <f t="shared" si="24"/>
        <v>4009/4010</v>
      </c>
      <c r="L95" s="21" t="str">
        <f>VLOOKUP(A95,'Trips&amp;Operators'!$C$1:$G$99999,5,FALSE)</f>
        <v>LEVIN SCOTT</v>
      </c>
      <c r="M95" s="6">
        <f t="shared" si="25"/>
        <v>2.6967592595610768E-2</v>
      </c>
      <c r="N95" s="7">
        <f t="shared" si="22"/>
        <v>38.833333337679505</v>
      </c>
      <c r="O95" s="7"/>
      <c r="P95" s="7"/>
      <c r="Q95" s="22"/>
      <c r="R95" s="170"/>
      <c r="S95" s="215">
        <f t="shared" si="23"/>
        <v>1</v>
      </c>
      <c r="T95" s="195" t="str">
        <f t="shared" si="26"/>
        <v>Southbound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 t="shared" si="27"/>
        <v>https://d0f6bd738d7f1b3e5a7ca70fe4ff75f0.us-east-1.aws.found.io/app/kibana#/discover/Steve-Slow-Train-Analysis-(2080s-and-2083s)?_g=(refreshInterval:(display:Off,pause:!f,section:0,value:0),time:(from:'2017-06-14T13:38:57-0600',mode:absolute,to:'2017-06-14T16:21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5" s="197" t="str">
        <f>IF(AA95&lt;VLOOKUP(AG95,Variables!$AC$3:$AD$8,2,FALSE),"Y","N")</f>
        <v>N</v>
      </c>
      <c r="X95" s="197">
        <f t="shared" si="28"/>
        <v>1</v>
      </c>
      <c r="Y95" s="197">
        <f t="shared" si="29"/>
        <v>23.308900000000001</v>
      </c>
      <c r="Z95" s="197">
        <f t="shared" si="30"/>
        <v>1.2500000000000001E-2</v>
      </c>
      <c r="AA95" s="197">
        <f t="shared" si="31"/>
        <v>23.296400000000002</v>
      </c>
      <c r="AB95" s="54" t="str">
        <f>VLOOKUP(A95,Enforcements!$C$7:$K$13,8,0)</f>
        <v>Bulletin (2)</v>
      </c>
      <c r="AC95" s="51" t="str">
        <f>VLOOKUP(A95,Enforcements!$C$7:$E$13,3,0)</f>
        <v>GRADE CROSSING</v>
      </c>
      <c r="AD95" s="206">
        <f t="shared" si="32"/>
        <v>182</v>
      </c>
      <c r="AE95" s="77" t="str">
        <f t="shared" si="33"/>
        <v>aws s3 cp s3://rtdc.mdm.uploadarchive.raw/RTDC4009/ "%USERPROFILE%\AppData\Local\Temp\OnboardLogs"\RTDC4009\2017-06-14 --exclude "*" --recursive --include "*20170614*" &amp; "%USERPROFILE%\Documents\GitHub\mrs-test-scripts\Headless Mode &amp; Sideloading\WalkAndUnGZ.bat" "%USERPROFILE%\AppData\Local\Temp\OnboardLogs"\RTDC4009\2017-06-14 &amp; aws s3 cp s3://rtdc.mdm.uploadarchive.raw/RTDC4009/ "%USERPROFILE%\AppData\Local\Temp\OnboardLogs"\RTDC4009\2017-06-15 --exclude "*" --recursive --include "*20170615*" &amp; "%USERPROFILE%\Documents\GitHub\mrs-test-scripts\Headless Mode &amp; Sideloading\WalkAndUnGZ.bat" "%USERPROFILE%\AppData\Local\Temp\OnboardLogs"\RTDC4009\2017-06-15</v>
      </c>
      <c r="AF95" s="74" t="str">
        <f t="shared" si="34"/>
        <v>"C:\Program Files (x86)\AstroGrep\AstroGrep.exe" /e /r /s /spath="%USERPROFILE%\AppData\Local\Temp\OnboardLogs" /stypes="app*4009*20170614*" /stext=" 21:.+((SYSTEM_STATE.+slice.+state.+changed )|(ment ac)|(multiple cpu faults)|(system.+state.+changed )|(\[timeout)|(PRM\|1\|D)|(kpr)|(kdp)|(train st.+moving)|(\|lc)|(penalty))"</v>
      </c>
      <c r="AG95" s="209" t="str">
        <f t="shared" si="39"/>
        <v>EC</v>
      </c>
      <c r="AH95" s="78" t="str">
        <f t="shared" si="35"/>
        <v>"%USERPROFILE%\Documents\GitHub\eaglep3\Utilities\RefineRTDCRunTimes.py" --tripid 182-14 --locoid 4009 --swversion DE.1.0.9.0 --startMP 204:233089 --initTime 2017-06-14T14:38:57 --startdatetime 2017-06-14T14:42:28 --delay 1 --endMP 204:125 --enddatetime 2017-06-14T15:21:18 --enforcementcount 2 &gt;&gt;C:\Users\stu\Documents\GitHub\eaglep3-reporting\EC\2017-06-14-refined-times.txt</v>
      </c>
      <c r="AI95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{"issue":{"subject":"","project_id":79,"tracker_id":40,"status_id":1,"priority_id":2,"assigned_to_id":23,"start_date":"2017-06-14","description":"","custom_fields":[{"id":1,"name":"Subdivision","value":"EC"},{"id":4,"name":"Milepost","value":"0.0125"},{"id":17,"name":"Train ID","value":"182-14"},{"id":16,"name":"Locomotive ID","value":"4009"},{"id":130,"name":"Impact","value":""},{"id":150,"name":"Time of Event (Mountain Time)","value":"15:21:18"},{"id":151,"name":"Denver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2" t="str">
        <f t="shared" si="37"/>
        <v>start /low /b %USERPROFILE%\Documents\GitHub\eaglep3\Utilities\DownloadLogsFromS3.py --loco 4009 --day 2017-06-14</v>
      </c>
      <c r="AN95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21:21:18"},{"id":29,"name":"Sharepoint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72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761</v>
      </c>
      <c r="B96" s="7">
        <v>4004</v>
      </c>
      <c r="C96" s="21" t="s">
        <v>202</v>
      </c>
      <c r="D96" s="21" t="s">
        <v>343</v>
      </c>
      <c r="E96" s="13">
        <v>42900.579212962963</v>
      </c>
      <c r="F96" s="13">
        <v>42900.583506944444</v>
      </c>
      <c r="G96" s="7">
        <v>1</v>
      </c>
      <c r="H96" s="21" t="s">
        <v>879</v>
      </c>
      <c r="I96" s="13">
        <v>42900.607662037037</v>
      </c>
      <c r="J96" s="7">
        <v>2</v>
      </c>
      <c r="K96" s="89" t="str">
        <f t="shared" si="24"/>
        <v>4003/4004</v>
      </c>
      <c r="L96" s="21" t="str">
        <f>VLOOKUP(A96,'Trips&amp;Operators'!$C$1:$G$99999,5,FALSE)</f>
        <v>DELGADO DIANAH</v>
      </c>
      <c r="M96" s="6">
        <f t="shared" si="25"/>
        <v>2.4155092592991423E-2</v>
      </c>
      <c r="N96" s="7">
        <f t="shared" si="22"/>
        <v>34.783333333907649</v>
      </c>
      <c r="O96" s="7"/>
      <c r="P96" s="7"/>
      <c r="Q96" s="22"/>
      <c r="R96" s="170"/>
      <c r="S96" s="215">
        <f t="shared" si="23"/>
        <v>1</v>
      </c>
      <c r="T96" s="195" t="str">
        <f t="shared" si="26"/>
        <v>NorthBound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 t="shared" si="27"/>
        <v>https://d0f6bd738d7f1b3e5a7ca70fe4ff75f0.us-east-1.aws.found.io/app/kibana#/discover/Steve-Slow-Train-Analysis-(2080s-and-2083s)?_g=(refreshInterval:(display:Off,pause:!f,section:0,value:0),time:(from:'2017-06-14T12:54:04-0600',mode:absolute,to:'2017-06-14T15:35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6" s="197" t="str">
        <f>IF(AA96&lt;VLOOKUP(AG96,Variables!$AC$3:$AD$8,2,FALSE),"Y","N")</f>
        <v>N</v>
      </c>
      <c r="X96" s="197">
        <f t="shared" si="28"/>
        <v>1</v>
      </c>
      <c r="Y96" s="197">
        <f t="shared" si="29"/>
        <v>4.4900000000000002E-2</v>
      </c>
      <c r="Z96" s="197">
        <f t="shared" si="30"/>
        <v>23.338000000000001</v>
      </c>
      <c r="AA96" s="197">
        <f t="shared" si="31"/>
        <v>23.293100000000003</v>
      </c>
      <c r="AB96" s="54" t="e">
        <f>VLOOKUP(A96,Enforcements!$C$7:$K$13,8,0)</f>
        <v>#N/A</v>
      </c>
      <c r="AC96" s="51" t="e">
        <f>VLOOKUP(A96,Enforcements!$C$7:$E$13,3,0)</f>
        <v>#N/A</v>
      </c>
      <c r="AD96" s="206">
        <f t="shared" si="32"/>
        <v>183</v>
      </c>
      <c r="AE96" s="77" t="str">
        <f t="shared" si="33"/>
        <v>aws s3 cp s3://rtdc.mdm.uploadarchive.raw/RTDC4004/ "%USERPROFILE%\AppData\Local\Temp\OnboardLogs"\RTDC4004\2017-06-14 --exclude "*" --recursive --include "*20170614*" &amp; "%USERPROFILE%\Documents\GitHub\mrs-test-scripts\Headless Mode &amp; Sideloading\WalkAndUnGZ.bat" "%USERPROFILE%\AppData\Local\Temp\OnboardLogs"\RTDC4004\2017-06-14 &amp; aws s3 cp s3://rtdc.mdm.uploadarchive.raw/RTDC4004/ "%USERPROFILE%\AppData\Local\Temp\OnboardLogs"\RTDC4004\2017-06-15 --exclude "*" --recursive --include "*20170615*" &amp; "%USERPROFILE%\Documents\GitHub\mrs-test-scripts\Headless Mode &amp; Sideloading\WalkAndUnGZ.bat" "%USERPROFILE%\AppData\Local\Temp\OnboardLogs"\RTDC4004\2017-06-15</v>
      </c>
      <c r="AF96" s="74" t="str">
        <f t="shared" si="34"/>
        <v>"C:\Program Files (x86)\AstroGrep\AstroGrep.exe" /e /r /s /spath="%USERPROFILE%\AppData\Local\Temp\OnboardLogs" /stypes="app*4004*20170614*" /stext=" 20:.+((SYSTEM_STATE.+slice.+state.+changed )|(ment ac)|(multiple cpu faults)|(system.+state.+changed )|(\[timeout)|(PRM\|1\|D)|(kpr)|(kdp)|(train st.+moving)|(\|lc)|(penalty))"</v>
      </c>
      <c r="AG96" s="209" t="str">
        <f t="shared" si="39"/>
        <v>EC</v>
      </c>
      <c r="AH96" s="78" t="str">
        <f t="shared" si="35"/>
        <v>"%USERPROFILE%\Documents\GitHub\eaglep3\Utilities\RefineRTDCRunTimes.py" --tripid 183-14 --locoid 4004 --swversion DE.1.0.9.0 --startMP 204:449 --initTime 2017-06-14T13:54:04 --startdatetime 2017-06-14T14:00:15 --delay 1 --endMP 204:233380 --enddatetime 2017-06-14T14:35:02 --enforcementcount 2 &gt;&gt;C:\Users\stu\Documents\GitHub\eaglep3-reporting\EC\2017-06-14-refined-times.txt</v>
      </c>
      <c r="AI96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{"issue":{"subject":"","project_id":79,"tracker_id":40,"status_id":1,"priority_id":2,"assigned_to_id":23,"start_date":"2017-06-14","description":"","custom_fields":[{"id":1,"name":"Subdivision","value":"EC"},{"id":4,"name":"Milepost","value":"23.338"},{"id":17,"name":"Train ID","value":"183-14"},{"id":16,"name":"Locomotive ID","value":"4004"},{"id":130,"name":"Impact","value":""},{"id":150,"name":"Time of Event (Mountain Time)","value":"14:35:02"},{"id":151,"name":"Denver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2" t="str">
        <f t="shared" si="37"/>
        <v>start /low /b %USERPROFILE%\Documents\GitHub\eaglep3\Utilities\DownloadLogsFromS3.py --loco 4004 --day 2017-06-14</v>
      </c>
      <c r="AN96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20:35:02"},{"id":29,"name":"Sharepoint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72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766</v>
      </c>
      <c r="B97" s="7">
        <v>4003</v>
      </c>
      <c r="C97" s="21" t="s">
        <v>202</v>
      </c>
      <c r="D97" s="21" t="s">
        <v>577</v>
      </c>
      <c r="E97" s="13">
        <v>42900.610196759262</v>
      </c>
      <c r="F97" s="13">
        <v>42900.623078703706</v>
      </c>
      <c r="G97" s="7">
        <v>1</v>
      </c>
      <c r="H97" s="21" t="s">
        <v>360</v>
      </c>
      <c r="I97" s="13">
        <v>42900.648726851854</v>
      </c>
      <c r="J97" s="7">
        <v>2</v>
      </c>
      <c r="K97" s="89" t="str">
        <f t="shared" si="24"/>
        <v>4003/4004</v>
      </c>
      <c r="L97" s="21" t="str">
        <f>VLOOKUP(A97,'Trips&amp;Operators'!$C$1:$G$99999,5,FALSE)</f>
        <v>DELGADO DIANAH</v>
      </c>
      <c r="M97" s="6">
        <f t="shared" si="25"/>
        <v>2.5648148148320615E-2</v>
      </c>
      <c r="N97" s="7">
        <f t="shared" si="22"/>
        <v>36.933333333581686</v>
      </c>
      <c r="O97" s="7"/>
      <c r="P97" s="7"/>
      <c r="Q97" s="22"/>
      <c r="R97" s="170"/>
      <c r="S97" s="215">
        <f t="shared" si="23"/>
        <v>1</v>
      </c>
      <c r="T97" s="195" t="str">
        <f t="shared" si="26"/>
        <v>Southbound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 t="shared" si="27"/>
        <v>https://d0f6bd738d7f1b3e5a7ca70fe4ff75f0.us-east-1.aws.found.io/app/kibana#/discover/Steve-Slow-Train-Analysis-(2080s-and-2083s)?_g=(refreshInterval:(display:Off,pause:!f,section:0,value:0),time:(from:'2017-06-14T13:38:41-0600',mode:absolute,to:'2017-06-14T16:34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7" s="197" t="str">
        <f>IF(AA97&lt;VLOOKUP(AG97,Variables!$AC$3:$AD$8,2,FALSE),"Y","N")</f>
        <v>N</v>
      </c>
      <c r="X97" s="197">
        <f t="shared" si="28"/>
        <v>1</v>
      </c>
      <c r="Y97" s="197">
        <f t="shared" si="29"/>
        <v>23.3065</v>
      </c>
      <c r="Z97" s="197">
        <f t="shared" si="30"/>
        <v>1.47E-2</v>
      </c>
      <c r="AA97" s="197">
        <f t="shared" si="31"/>
        <v>23.291799999999999</v>
      </c>
      <c r="AB97" s="54" t="e">
        <f>VLOOKUP(A97,Enforcements!$C$7:$K$13,8,0)</f>
        <v>#N/A</v>
      </c>
      <c r="AC97" s="51" t="e">
        <f>VLOOKUP(A97,Enforcements!$C$7:$E$13,3,0)</f>
        <v>#N/A</v>
      </c>
      <c r="AD97" s="206">
        <f t="shared" si="32"/>
        <v>184</v>
      </c>
      <c r="AE97" s="77" t="str">
        <f t="shared" si="33"/>
        <v>aws s3 cp s3://rtdc.mdm.uploadarchive.raw/RTDC4003/ "%USERPROFILE%\AppData\Local\Temp\OnboardLogs"\RTDC4003\2017-06-14 --exclude "*" --recursive --include "*20170614*" &amp; "%USERPROFILE%\Documents\GitHub\mrs-test-scripts\Headless Mode &amp; Sideloading\WalkAndUnGZ.bat" "%USERPROFILE%\AppData\Local\Temp\OnboardLogs"\RTDC4003\2017-06-14 &amp; aws s3 cp s3://rtdc.mdm.uploadarchive.raw/RTDC4003/ "%USERPROFILE%\AppData\Local\Temp\OnboardLogs"\RTDC4003\2017-06-15 --exclude "*" --recursive --include "*20170615*" &amp; "%USERPROFILE%\Documents\GitHub\mrs-test-scripts\Headless Mode &amp; Sideloading\WalkAndUnGZ.bat" "%USERPROFILE%\AppData\Local\Temp\OnboardLogs"\RTDC4003\2017-06-15</v>
      </c>
      <c r="AF97" s="74" t="str">
        <f t="shared" si="34"/>
        <v>"C:\Program Files (x86)\AstroGrep\AstroGrep.exe" /e /r /s /spath="%USERPROFILE%\AppData\Local\Temp\OnboardLogs" /stypes="app*4003*20170614*" /stext=" 21:.+((SYSTEM_STATE.+slice.+state.+changed )|(ment ac)|(multiple cpu faults)|(system.+state.+changed )|(\[timeout)|(PRM\|1\|D)|(kpr)|(kdp)|(train st.+moving)|(\|lc)|(penalty))"</v>
      </c>
      <c r="AG97" s="209" t="str">
        <f t="shared" si="39"/>
        <v>EC</v>
      </c>
      <c r="AH97" s="78" t="str">
        <f t="shared" si="35"/>
        <v>"%USERPROFILE%\Documents\GitHub\eaglep3\Utilities\RefineRTDCRunTimes.py" --tripid 184-14 --locoid 4003 --swversion DE.1.0.9.0 --startMP 204:233065 --initTime 2017-06-14T14:38:41 --startdatetime 2017-06-14T14:57:14 --delay 1 --endMP 204:147 --enddatetime 2017-06-14T15:34:10 --enforcementcount 2 &gt;&gt;C:\Users\stu\Documents\GitHub\eaglep3-reporting\EC\2017-06-14-refined-times.txt</v>
      </c>
      <c r="AI97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{"issue":{"subject":"","project_id":79,"tracker_id":40,"status_id":1,"priority_id":2,"assigned_to_id":23,"start_date":"2017-06-14","description":"","custom_fields":[{"id":1,"name":"Subdivision","value":"EC"},{"id":4,"name":"Milepost","value":"0.0147"},{"id":17,"name":"Train ID","value":"184-14"},{"id":16,"name":"Locomotive ID","value":"4003"},{"id":130,"name":"Impact","value":""},{"id":150,"name":"Time of Event (Mountain Time)","value":"15:34:10"},{"id":151,"name":"Denver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2" t="str">
        <f t="shared" si="37"/>
        <v>start /low /b %USERPROFILE%\Documents\GitHub\eaglep3\Utilities\DownloadLogsFromS3.py --loco 4003 --day 2017-06-14</v>
      </c>
      <c r="AN97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21:34:10"},{"id":29,"name":"Sharepoint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72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2" t="s">
        <v>763</v>
      </c>
      <c r="B98" s="7">
        <v>4044</v>
      </c>
      <c r="C98" s="21" t="s">
        <v>202</v>
      </c>
      <c r="D98" s="21" t="s">
        <v>343</v>
      </c>
      <c r="E98" s="13">
        <v>42900.593171296299</v>
      </c>
      <c r="F98" s="13">
        <v>42900.59480324074</v>
      </c>
      <c r="G98" s="7">
        <v>1</v>
      </c>
      <c r="H98" s="21" t="s">
        <v>880</v>
      </c>
      <c r="I98" s="13">
        <v>42900.620312500003</v>
      </c>
      <c r="J98" s="7">
        <v>2</v>
      </c>
      <c r="K98" s="89" t="str">
        <f t="shared" si="24"/>
        <v>4043/4044</v>
      </c>
      <c r="L98" s="21" t="str">
        <f>VLOOKUP(A98,'Trips&amp;Operators'!$C$1:$G$99999,5,FALSE)</f>
        <v>DAVIS MICHAEL</v>
      </c>
      <c r="M98" s="6">
        <f t="shared" si="25"/>
        <v>2.5509259263344575E-2</v>
      </c>
      <c r="N98" s="7">
        <f t="shared" ref="N98:N129" si="40">24*60*SUM($M98:$M98)</f>
        <v>36.733333339216188</v>
      </c>
      <c r="O98" s="7"/>
      <c r="P98" s="7"/>
      <c r="Q98" s="22"/>
      <c r="R98" s="170"/>
      <c r="S98" s="215">
        <f t="shared" ref="S98:S129" si="41">SUM(U98:U98)/IF(AG98="EC",12,1)</f>
        <v>1</v>
      </c>
      <c r="T98" s="195" t="str">
        <f t="shared" si="26"/>
        <v>NorthBound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 t="shared" si="27"/>
        <v>https://d0f6bd738d7f1b3e5a7ca70fe4ff75f0.us-east-1.aws.found.io/app/kibana#/discover/Steve-Slow-Train-Analysis-(2080s-and-2083s)?_g=(refreshInterval:(display:Off,pause:!f,section:0,value:0),time:(from:'2017-06-14T13:14:10-0600',mode:absolute,to:'2017-06-14T15:53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8" s="197" t="str">
        <f>IF(AA98&lt;VLOOKUP(AG98,Variables!$AC$3:$AD$8,2,FALSE),"Y","N")</f>
        <v>N</v>
      </c>
      <c r="X98" s="197">
        <f t="shared" si="28"/>
        <v>1</v>
      </c>
      <c r="Y98" s="197">
        <f t="shared" si="29"/>
        <v>4.4900000000000002E-2</v>
      </c>
      <c r="Z98" s="197">
        <f t="shared" si="30"/>
        <v>23.332699999999999</v>
      </c>
      <c r="AA98" s="197">
        <f t="shared" si="31"/>
        <v>23.287800000000001</v>
      </c>
      <c r="AB98" s="54" t="e">
        <f>VLOOKUP(A98,Enforcements!$C$7:$K$13,8,0)</f>
        <v>#N/A</v>
      </c>
      <c r="AC98" s="51" t="e">
        <f>VLOOKUP(A98,Enforcements!$C$7:$E$13,3,0)</f>
        <v>#N/A</v>
      </c>
      <c r="AD98" s="206">
        <f t="shared" si="32"/>
        <v>185</v>
      </c>
      <c r="AE98" s="77" t="str">
        <f t="shared" si="33"/>
        <v>aws s3 cp s3://rtdc.mdm.uploadarchive.raw/RTDC4044/ "%USERPROFILE%\AppData\Local\Temp\OnboardLogs"\RTDC4044\2017-06-14 --exclude "*" --recursive --include "*20170614*" &amp; "%USERPROFILE%\Documents\GitHub\mrs-test-scripts\Headless Mode &amp; Sideloading\WalkAndUnGZ.bat" "%USERPROFILE%\AppData\Local\Temp\OnboardLogs"\RTDC4044\2017-06-14 &amp; aws s3 cp s3://rtdc.mdm.uploadarchive.raw/RTDC4044/ "%USERPROFILE%\AppData\Local\Temp\OnboardLogs"\RTDC4044\2017-06-15 --exclude "*" --recursive --include "*20170615*" &amp; "%USERPROFILE%\Documents\GitHub\mrs-test-scripts\Headless Mode &amp; Sideloading\WalkAndUnGZ.bat" "%USERPROFILE%\AppData\Local\Temp\OnboardLogs"\RTDC4044\2017-06-15</v>
      </c>
      <c r="AF98" s="74" t="str">
        <f t="shared" si="34"/>
        <v>"C:\Program Files (x86)\AstroGrep\AstroGrep.exe" /e /r /s /spath="%USERPROFILE%\AppData\Local\Temp\OnboardLogs" /stypes="app*4044*20170614*" /stext=" 20:.+((SYSTEM_STATE.+slice.+state.+changed )|(ment ac)|(multiple cpu faults)|(system.+state.+changed )|(\[timeout)|(PRM\|1\|D)|(kpr)|(kdp)|(train st.+moving)|(\|lc)|(penalty))"</v>
      </c>
      <c r="AG98" s="209" t="str">
        <f t="shared" si="39"/>
        <v>EC</v>
      </c>
      <c r="AH98" s="78" t="str">
        <f t="shared" si="35"/>
        <v>"%USERPROFILE%\Documents\GitHub\eaglep3\Utilities\RefineRTDCRunTimes.py" --tripid 185-14 --locoid 4044 --swversion DE.1.0.9.0 --startMP 204:449 --initTime 2017-06-14T14:14:10 --startdatetime 2017-06-14T14:16:31 --delay 1 --endMP 204:233327 --enddatetime 2017-06-14T14:53:15 --enforcementcount 2 &gt;&gt;C:\Users\stu\Documents\GitHub\eaglep3-reporting\EC\2017-06-14-refined-times.txt</v>
      </c>
      <c r="AI98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{"issue":{"subject":"","project_id":79,"tracker_id":40,"status_id":1,"priority_id":2,"assigned_to_id":23,"start_date":"2017-06-14","description":"","custom_fields":[{"id":1,"name":"Subdivision","value":"EC"},{"id":4,"name":"Milepost","value":"23.3327"},{"id":17,"name":"Train ID","value":"185-14"},{"id":16,"name":"Locomotive ID","value":"4044"},{"id":130,"name":"Impact","value":""},{"id":150,"name":"Time of Event (Mountain Time)","value":"14:53:15"},{"id":151,"name":"Denver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20"/>
      <c r="AK98" s="47"/>
      <c r="AL98" s="47"/>
      <c r="AM98" s="142" t="str">
        <f t="shared" si="37"/>
        <v>start /low /b %USERPROFILE%\Documents\GitHub\eaglep3\Utilities\DownloadLogsFromS3.py --loco 4044 --day 2017-06-14</v>
      </c>
      <c r="AN98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20:53:15"},{"id":29,"name":"Sharepoint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9" spans="1:91" s="20" customFormat="1" x14ac:dyDescent="0.25">
      <c r="A99" s="32" t="s">
        <v>628</v>
      </c>
      <c r="B99" s="7">
        <v>4043</v>
      </c>
      <c r="C99" s="21" t="s">
        <v>202</v>
      </c>
      <c r="D99" s="21" t="s">
        <v>881</v>
      </c>
      <c r="E99" s="13">
        <v>42900.630740740744</v>
      </c>
      <c r="F99" s="13">
        <v>42900.633194444446</v>
      </c>
      <c r="G99" s="7">
        <v>1</v>
      </c>
      <c r="H99" s="21" t="s">
        <v>442</v>
      </c>
      <c r="I99" s="13">
        <v>42900.662349537037</v>
      </c>
      <c r="J99" s="7">
        <v>2</v>
      </c>
      <c r="K99" s="89" t="str">
        <f t="shared" si="24"/>
        <v>4043/4044</v>
      </c>
      <c r="L99" s="21" t="str">
        <f>VLOOKUP(A99,'Trips&amp;Operators'!$C$1:$G$99999,5,FALSE)</f>
        <v>DAVIS MICHAEL</v>
      </c>
      <c r="M99" s="6">
        <f t="shared" si="25"/>
        <v>2.9155092590372078E-2</v>
      </c>
      <c r="N99" s="7">
        <f t="shared" si="40"/>
        <v>41.983333330135792</v>
      </c>
      <c r="O99" s="7"/>
      <c r="P99" s="7"/>
      <c r="Q99" s="22"/>
      <c r="R99" s="170"/>
      <c r="S99" s="215">
        <f t="shared" si="41"/>
        <v>1</v>
      </c>
      <c r="T99" s="195" t="str">
        <f t="shared" si="26"/>
        <v>Southbound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 t="shared" si="27"/>
        <v>https://d0f6bd738d7f1b3e5a7ca70fe4ff75f0.us-east-1.aws.found.io/app/kibana#/discover/Steve-Slow-Train-Analysis-(2080s-and-2083s)?_g=(refreshInterval:(display:Off,pause:!f,section:0,value:0),time:(from:'2017-06-14T14:08:16-0600',mode:absolute,to:'2017-06-14T16:53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9" s="197" t="str">
        <f>IF(AA99&lt;VLOOKUP(AG99,Variables!$AC$3:$AD$8,2,FALSE),"Y","N")</f>
        <v>N</v>
      </c>
      <c r="X99" s="197">
        <f t="shared" si="28"/>
        <v>1</v>
      </c>
      <c r="Y99" s="197">
        <f t="shared" si="29"/>
        <v>23.3</v>
      </c>
      <c r="Z99" s="197">
        <f t="shared" si="30"/>
        <v>1.5599999999999999E-2</v>
      </c>
      <c r="AA99" s="197">
        <f t="shared" si="31"/>
        <v>23.284400000000002</v>
      </c>
      <c r="AB99" s="54" t="e">
        <f>VLOOKUP(A99,Enforcements!$C$7:$K$13,8,0)</f>
        <v>#N/A</v>
      </c>
      <c r="AC99" s="51" t="e">
        <f>VLOOKUP(A99,Enforcements!$C$7:$E$13,3,0)</f>
        <v>#N/A</v>
      </c>
      <c r="AD99" s="206">
        <f t="shared" si="32"/>
        <v>186</v>
      </c>
      <c r="AE99" s="77" t="str">
        <f t="shared" si="33"/>
        <v>aws s3 cp s3://rtdc.mdm.uploadarchive.raw/RTDC4043/ "%USERPROFILE%\AppData\Local\Temp\OnboardLogs"\RTDC4043\2017-06-14 --exclude "*" --recursive --include "*20170614*" &amp; "%USERPROFILE%\Documents\GitHub\mrs-test-scripts\Headless Mode &amp; Sideloading\WalkAndUnGZ.bat" "%USERPROFILE%\AppData\Local\Temp\OnboardLogs"\RTDC4043\2017-06-14 &amp; aws s3 cp s3://rtdc.mdm.uploadarchive.raw/RTDC4043/ "%USERPROFILE%\AppData\Local\Temp\OnboardLogs"\RTDC4043\2017-06-15 --exclude "*" --recursive --include "*20170615*" &amp; "%USERPROFILE%\Documents\GitHub\mrs-test-scripts\Headless Mode &amp; Sideloading\WalkAndUnGZ.bat" "%USERPROFILE%\AppData\Local\Temp\OnboardLogs"\RTDC4043\2017-06-15</v>
      </c>
      <c r="AF99" s="74" t="str">
        <f t="shared" si="34"/>
        <v>"C:\Program Files (x86)\AstroGrep\AstroGrep.exe" /e /r /s /spath="%USERPROFILE%\AppData\Local\Temp\OnboardLogs" /stypes="app*4043*20170614*" /stext=" 21:.+((SYSTEM_STATE.+slice.+state.+changed )|(ment ac)|(multiple cpu faults)|(system.+state.+changed )|(\[timeout)|(PRM\|1\|D)|(kpr)|(kdp)|(train st.+moving)|(\|lc)|(penalty))"</v>
      </c>
      <c r="AG99" s="209" t="str">
        <f t="shared" si="39"/>
        <v>EC</v>
      </c>
      <c r="AH99" s="78" t="str">
        <f t="shared" si="35"/>
        <v>"%USERPROFILE%\Documents\GitHub\eaglep3\Utilities\RefineRTDCRunTimes.py" --tripid 186-14 --locoid 4043 --swversion DE.1.0.9.0 --startMP 204:233000 --initTime 2017-06-14T15:08:16 --startdatetime 2017-06-14T15:11:48 --delay 1 --endMP 204:156 --enddatetime 2017-06-14T15:53:47 --enforcementcount 2 &gt;&gt;C:\Users\stu\Documents\GitHub\eaglep3-reporting\EC\2017-06-14-refined-times.txt</v>
      </c>
      <c r="AI99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{"issue":{"subject":"","project_id":79,"tracker_id":40,"status_id":1,"priority_id":2,"assigned_to_id":23,"start_date":"2017-06-14","description":"","custom_fields":[{"id":1,"name":"Subdivision","value":"EC"},{"id":4,"name":"Milepost","value":"0.0156"},{"id":17,"name":"Train ID","value":"186-14"},{"id":16,"name":"Locomotive ID","value":"4043"},{"id":130,"name":"Impact","value":""},{"id":150,"name":"Time of Event (Mountain Time)","value":"15:53:47"},{"id":151,"name":"Denver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37"/>
        <v>start /low /b %USERPROFILE%\Documents\GitHub\eaglep3\Utilities\DownloadLogsFromS3.py --loco 4043 --day 2017-06-14</v>
      </c>
      <c r="AN99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21:53:47"},{"id":29,"name":"Sharepoint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72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765</v>
      </c>
      <c r="B100" s="7">
        <v>4008</v>
      </c>
      <c r="C100" s="21" t="s">
        <v>202</v>
      </c>
      <c r="D100" s="21" t="s">
        <v>355</v>
      </c>
      <c r="E100" s="13">
        <v>42900.600856481484</v>
      </c>
      <c r="F100" s="13">
        <v>42900.60434027778</v>
      </c>
      <c r="G100" s="7">
        <v>1</v>
      </c>
      <c r="H100" s="21" t="s">
        <v>520</v>
      </c>
      <c r="I100" s="13">
        <v>42900.630011574074</v>
      </c>
      <c r="J100" s="7">
        <v>2</v>
      </c>
      <c r="K100" s="89" t="str">
        <f t="shared" si="24"/>
        <v>4007/4008</v>
      </c>
      <c r="L100" s="21" t="str">
        <f>VLOOKUP(A100,'Trips&amp;Operators'!$C$1:$G$99999,5,FALSE)</f>
        <v>HOLCOMB KAMDEN</v>
      </c>
      <c r="M100" s="6">
        <f t="shared" si="25"/>
        <v>2.5671296294603962E-2</v>
      </c>
      <c r="N100" s="7">
        <f t="shared" si="40"/>
        <v>36.966666664229706</v>
      </c>
      <c r="O100" s="7"/>
      <c r="P100" s="7"/>
      <c r="Q100" s="22"/>
      <c r="R100" s="170"/>
      <c r="S100" s="215">
        <f t="shared" si="41"/>
        <v>1</v>
      </c>
      <c r="T100" s="195" t="str">
        <f t="shared" si="26"/>
        <v>NorthBound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 t="shared" si="27"/>
        <v>https://d0f6bd738d7f1b3e5a7ca70fe4ff75f0.us-east-1.aws.found.io/app/kibana#/discover/Steve-Slow-Train-Analysis-(2080s-and-2083s)?_g=(refreshInterval:(display:Off,pause:!f,section:0,value:0),time:(from:'2017-06-14T13:25:14-0600',mode:absolute,to:'2017-06-14T16:07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0" s="197" t="str">
        <f>IF(AA100&lt;VLOOKUP(AG100,Variables!$AC$3:$AD$8,2,FALSE),"Y","N")</f>
        <v>N</v>
      </c>
      <c r="X100" s="197">
        <f t="shared" si="28"/>
        <v>1</v>
      </c>
      <c r="Y100" s="197">
        <f t="shared" si="29"/>
        <v>4.53E-2</v>
      </c>
      <c r="Z100" s="197">
        <f t="shared" si="30"/>
        <v>23.328399999999998</v>
      </c>
      <c r="AA100" s="197">
        <f t="shared" si="31"/>
        <v>23.283099999999997</v>
      </c>
      <c r="AB100" s="54" t="e">
        <f>VLOOKUP(A100,Enforcements!$C$7:$K$13,8,0)</f>
        <v>#N/A</v>
      </c>
      <c r="AC100" s="51" t="e">
        <f>VLOOKUP(A100,Enforcements!$C$7:$E$13,3,0)</f>
        <v>#N/A</v>
      </c>
      <c r="AD100" s="206">
        <f t="shared" si="32"/>
        <v>187</v>
      </c>
      <c r="AE100" s="77" t="str">
        <f t="shared" si="33"/>
        <v>aws s3 cp s3://rtdc.mdm.uploadarchive.raw/RTDC4008/ "%USERPROFILE%\AppData\Local\Temp\OnboardLogs"\RTDC4008\2017-06-14 --exclude "*" --recursive --include "*20170614*" &amp; "%USERPROFILE%\Documents\GitHub\mrs-test-scripts\Headless Mode &amp; Sideloading\WalkAndUnGZ.bat" "%USERPROFILE%\AppData\Local\Temp\OnboardLogs"\RTDC4008\2017-06-14 &amp; aws s3 cp s3://rtdc.mdm.uploadarchive.raw/RTDC4008/ "%USERPROFILE%\AppData\Local\Temp\OnboardLogs"\RTDC4008\2017-06-15 --exclude "*" --recursive --include "*20170615*" &amp; "%USERPROFILE%\Documents\GitHub\mrs-test-scripts\Headless Mode &amp; Sideloading\WalkAndUnGZ.bat" "%USERPROFILE%\AppData\Local\Temp\OnboardLogs"\RTDC4008\2017-06-15</v>
      </c>
      <c r="AF100" s="74" t="str">
        <f t="shared" si="34"/>
        <v>"C:\Program Files (x86)\AstroGrep\AstroGrep.exe" /e /r /s /spath="%USERPROFILE%\AppData\Local\Temp\OnboardLogs" /stypes="app*4008*20170614*" /stext=" 21:.+((SYSTEM_STATE.+slice.+state.+changed )|(ment ac)|(multiple cpu faults)|(system.+state.+changed )|(\[timeout)|(PRM\|1\|D)|(kpr)|(kdp)|(train st.+moving)|(\|lc)|(penalty))"</v>
      </c>
      <c r="AG100" s="209" t="str">
        <f t="shared" si="39"/>
        <v>EC</v>
      </c>
      <c r="AH100" s="78" t="str">
        <f t="shared" si="35"/>
        <v>"%USERPROFILE%\Documents\GitHub\eaglep3\Utilities\RefineRTDCRunTimes.py" --tripid 187-14 --locoid 4008 --swversion DE.1.0.9.0 --startMP 204:453 --initTime 2017-06-14T14:25:14 --startdatetime 2017-06-14T14:30:15 --delay 1 --endMP 204:233284 --enddatetime 2017-06-14T15:07:13 --enforcementcount 2 &gt;&gt;C:\Users\stu\Documents\GitHub\eaglep3-reporting\EC\2017-06-14-refined-times.txt</v>
      </c>
      <c r="AI100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{"issue":{"subject":"","project_id":79,"tracker_id":40,"status_id":1,"priority_id":2,"assigned_to_id":23,"start_date":"2017-06-14","description":"","custom_fields":[{"id":1,"name":"Subdivision","value":"EC"},{"id":4,"name":"Milepost","value":"23.3284"},{"id":17,"name":"Train ID","value":"187-14"},{"id":16,"name":"Locomotive ID","value":"4008"},{"id":130,"name":"Impact","value":""},{"id":150,"name":"Time of Event (Mountain Time)","value":"15:07:13"},{"id":151,"name":"Denver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37"/>
        <v>start /low /b %USERPROFILE%\Documents\GitHub\eaglep3\Utilities\DownloadLogsFromS3.py --loco 4008 --day 2017-06-14</v>
      </c>
      <c r="AN100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21:07:13"},{"id":29,"name":"Sharepoint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72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774</v>
      </c>
      <c r="B101" s="7">
        <v>4007</v>
      </c>
      <c r="C101" s="21" t="s">
        <v>202</v>
      </c>
      <c r="D101" s="21" t="s">
        <v>513</v>
      </c>
      <c r="E101" s="13">
        <v>42900.640219907407</v>
      </c>
      <c r="F101" s="13">
        <v>42900.643935185188</v>
      </c>
      <c r="G101" s="7">
        <v>1</v>
      </c>
      <c r="H101" s="21" t="s">
        <v>459</v>
      </c>
      <c r="I101" s="13">
        <v>42900.67015046296</v>
      </c>
      <c r="J101" s="7">
        <v>2</v>
      </c>
      <c r="K101" s="89" t="str">
        <f t="shared" si="24"/>
        <v>4007/4008</v>
      </c>
      <c r="L101" s="21" t="str">
        <f>VLOOKUP(A101,'Trips&amp;Operators'!$C$1:$G$99999,5,FALSE)</f>
        <v>HOLCOMB KAMDEN</v>
      </c>
      <c r="M101" s="6">
        <f t="shared" si="25"/>
        <v>2.6215277772280388E-2</v>
      </c>
      <c r="N101" s="7">
        <f t="shared" si="40"/>
        <v>37.749999992083758</v>
      </c>
      <c r="O101" s="7"/>
      <c r="P101" s="7"/>
      <c r="Q101" s="22"/>
      <c r="R101" s="170"/>
      <c r="S101" s="215">
        <f t="shared" si="41"/>
        <v>1</v>
      </c>
      <c r="T101" s="195" t="str">
        <f t="shared" si="26"/>
        <v>Southbound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 t="shared" si="27"/>
        <v>https://d0f6bd738d7f1b3e5a7ca70fe4ff75f0.us-east-1.aws.found.io/app/kibana#/discover/Steve-Slow-Train-Analysis-(2080s-and-2083s)?_g=(refreshInterval:(display:Off,pause:!f,section:0,value:0),time:(from:'2017-06-14T14:21:55-0600',mode:absolute,to:'2017-06-14T17:05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1" s="197" t="str">
        <f>IF(AA101&lt;VLOOKUP(AG101,Variables!$AC$3:$AD$8,2,FALSE),"Y","N")</f>
        <v>N</v>
      </c>
      <c r="X101" s="197">
        <f t="shared" si="28"/>
        <v>1</v>
      </c>
      <c r="Y101" s="197">
        <f t="shared" si="29"/>
        <v>23.2959</v>
      </c>
      <c r="Z101" s="197">
        <f t="shared" si="30"/>
        <v>1.3599999999999999E-2</v>
      </c>
      <c r="AA101" s="197">
        <f t="shared" si="31"/>
        <v>23.282299999999999</v>
      </c>
      <c r="AB101" s="54" t="e">
        <f>VLOOKUP(A101,Enforcements!$C$7:$K$13,8,0)</f>
        <v>#N/A</v>
      </c>
      <c r="AC101" s="51" t="e">
        <f>VLOOKUP(A101,Enforcements!$C$7:$E$13,3,0)</f>
        <v>#N/A</v>
      </c>
      <c r="AD101" s="206">
        <f t="shared" si="32"/>
        <v>188</v>
      </c>
      <c r="AE101" s="77" t="str">
        <f t="shared" si="33"/>
        <v>aws s3 cp s3://rtdc.mdm.uploadarchive.raw/RTDC4007/ "%USERPROFILE%\AppData\Local\Temp\OnboardLogs"\RTDC4007\2017-06-14 --exclude "*" --recursive --include "*20170614*" &amp; "%USERPROFILE%\Documents\GitHub\mrs-test-scripts\Headless Mode &amp; Sideloading\WalkAndUnGZ.bat" "%USERPROFILE%\AppData\Local\Temp\OnboardLogs"\RTDC4007\2017-06-14 &amp; aws s3 cp s3://rtdc.mdm.uploadarchive.raw/RTDC4007/ "%USERPROFILE%\AppData\Local\Temp\OnboardLogs"\RTDC4007\2017-06-15 --exclude "*" --recursive --include "*20170615*" &amp; "%USERPROFILE%\Documents\GitHub\mrs-test-scripts\Headless Mode &amp; Sideloading\WalkAndUnGZ.bat" "%USERPROFILE%\AppData\Local\Temp\OnboardLogs"\RTDC4007\2017-06-15</v>
      </c>
      <c r="AF101" s="74" t="str">
        <f t="shared" si="34"/>
        <v>"C:\Program Files (x86)\AstroGrep\AstroGrep.exe" /e /r /s /spath="%USERPROFILE%\AppData\Local\Temp\OnboardLogs" /stypes="app*4007*20170614*" /stext=" 22:.+((SYSTEM_STATE.+slice.+state.+changed )|(ment ac)|(multiple cpu faults)|(system.+state.+changed )|(\[timeout)|(PRM\|1\|D)|(kpr)|(kdp)|(train st.+moving)|(\|lc)|(penalty))"</v>
      </c>
      <c r="AG101" s="209" t="str">
        <f t="shared" si="39"/>
        <v>EC</v>
      </c>
      <c r="AH101" s="78" t="str">
        <f t="shared" si="35"/>
        <v>"%USERPROFILE%\Documents\GitHub\eaglep3\Utilities\RefineRTDCRunTimes.py" --tripid 188-14 --locoid 4007 --swversion DE.1.0.9.0 --startMP 204:232959 --initTime 2017-06-14T15:21:55 --startdatetime 2017-06-14T15:27:16 --delay 1 --endMP 204:136 --enddatetime 2017-06-14T16:05:01 --enforcementcount 2 &gt;&gt;C:\Users\stu\Documents\GitHub\eaglep3-reporting\EC\2017-06-14-refined-times.txt</v>
      </c>
      <c r="AI101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{"issue":{"subject":"","project_id":79,"tracker_id":40,"status_id":1,"priority_id":2,"assigned_to_id":23,"start_date":"2017-06-14","description":"","custom_fields":[{"id":1,"name":"Subdivision","value":"EC"},{"id":4,"name":"Milepost","value":"0.0136"},{"id":17,"name":"Train ID","value":"188-14"},{"id":16,"name":"Locomotive ID","value":"4007"},{"id":130,"name":"Impact","value":""},{"id":150,"name":"Time of Event (Mountain Time)","value":"16:05:01"},{"id":151,"name":"Denver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37"/>
        <v>start /low /b %USERPROFILE%\Documents\GitHub\eaglep3\Utilities\DownloadLogsFromS3.py --loco 4007 --day 2017-06-14</v>
      </c>
      <c r="AN101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22:05:01"},{"id":29,"name":"Sharepoint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72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768</v>
      </c>
      <c r="B102" s="7">
        <v>4016</v>
      </c>
      <c r="C102" s="21" t="s">
        <v>202</v>
      </c>
      <c r="D102" s="21" t="s">
        <v>450</v>
      </c>
      <c r="E102" s="13">
        <v>42900.610914351855</v>
      </c>
      <c r="F102" s="13">
        <v>42900.614976851852</v>
      </c>
      <c r="G102" s="7">
        <v>1</v>
      </c>
      <c r="H102" s="21" t="s">
        <v>470</v>
      </c>
      <c r="I102" s="13">
        <v>42900.639699074076</v>
      </c>
      <c r="J102" s="7">
        <v>2</v>
      </c>
      <c r="K102" s="89" t="str">
        <f t="shared" si="24"/>
        <v>4015/4016</v>
      </c>
      <c r="L102" s="21" t="str">
        <f>VLOOKUP(A102,'Trips&amp;Operators'!$C$1:$G$99999,5,FALSE)</f>
        <v>STEWART MICHAEL</v>
      </c>
      <c r="M102" s="6">
        <f t="shared" si="25"/>
        <v>2.4722222224227153E-2</v>
      </c>
      <c r="N102" s="7">
        <f t="shared" si="40"/>
        <v>35.6000000028871</v>
      </c>
      <c r="O102" s="7"/>
      <c r="P102" s="7"/>
      <c r="Q102" s="22"/>
      <c r="R102" s="170"/>
      <c r="S102" s="215">
        <f t="shared" si="41"/>
        <v>1</v>
      </c>
      <c r="T102" s="195" t="str">
        <f t="shared" si="26"/>
        <v>NorthBound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 t="shared" si="27"/>
        <v>https://d0f6bd738d7f1b3e5a7ca70fe4ff75f0.us-east-1.aws.found.io/app/kibana#/discover/Steve-Slow-Train-Analysis-(2080s-and-2083s)?_g=(refreshInterval:(display:Off,pause:!f,section:0,value:0),time:(from:'2017-06-14T13:39:43-0600',mode:absolute,to:'2017-06-14T16:21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2" s="197" t="str">
        <f>IF(AA102&lt;VLOOKUP(AG102,Variables!$AC$3:$AD$8,2,FALSE),"Y","N")</f>
        <v>N</v>
      </c>
      <c r="X102" s="197">
        <f t="shared" si="28"/>
        <v>1</v>
      </c>
      <c r="Y102" s="197">
        <f t="shared" si="29"/>
        <v>4.3700000000000003E-2</v>
      </c>
      <c r="Z102" s="197">
        <f t="shared" si="30"/>
        <v>23.329499999999999</v>
      </c>
      <c r="AA102" s="197">
        <f t="shared" si="31"/>
        <v>23.285799999999998</v>
      </c>
      <c r="AB102" s="54" t="e">
        <f>VLOOKUP(A102,Enforcements!$C$7:$K$13,8,0)</f>
        <v>#N/A</v>
      </c>
      <c r="AC102" s="51" t="e">
        <f>VLOOKUP(A102,Enforcements!$C$7:$E$13,3,0)</f>
        <v>#N/A</v>
      </c>
      <c r="AD102" s="206">
        <f t="shared" si="32"/>
        <v>189</v>
      </c>
      <c r="AE102" s="77" t="str">
        <f t="shared" si="33"/>
        <v>aws s3 cp s3://rtdc.mdm.uploadarchive.raw/RTDC4016/ "%USERPROFILE%\AppData\Local\Temp\OnboardLogs"\RTDC4016\2017-06-14 --exclude "*" --recursive --include "*20170614*" &amp; "%USERPROFILE%\Documents\GitHub\mrs-test-scripts\Headless Mode &amp; Sideloading\WalkAndUnGZ.bat" "%USERPROFILE%\AppData\Local\Temp\OnboardLogs"\RTDC4016\2017-06-14 &amp; aws s3 cp s3://rtdc.mdm.uploadarchive.raw/RTDC4016/ "%USERPROFILE%\AppData\Local\Temp\OnboardLogs"\RTDC4016\2017-06-15 --exclude "*" --recursive --include "*20170615*" &amp; "%USERPROFILE%\Documents\GitHub\mrs-test-scripts\Headless Mode &amp; Sideloading\WalkAndUnGZ.bat" "%USERPROFILE%\AppData\Local\Temp\OnboardLogs"\RTDC4016\2017-06-15</v>
      </c>
      <c r="AF102" s="74" t="str">
        <f t="shared" si="34"/>
        <v>"C:\Program Files (x86)\AstroGrep\AstroGrep.exe" /e /r /s /spath="%USERPROFILE%\AppData\Local\Temp\OnboardLogs" /stypes="app*4016*20170614*" /stext=" 21:.+((SYSTEM_STATE.+slice.+state.+changed )|(ment ac)|(multiple cpu faults)|(system.+state.+changed )|(\[timeout)|(PRM\|1\|D)|(kpr)|(kdp)|(train st.+moving)|(\|lc)|(penalty))"</v>
      </c>
      <c r="AG102" s="209" t="str">
        <f t="shared" si="39"/>
        <v>EC</v>
      </c>
      <c r="AH102" s="78" t="str">
        <f t="shared" si="35"/>
        <v>"%USERPROFILE%\Documents\GitHub\eaglep3\Utilities\RefineRTDCRunTimes.py" --tripid 189-14 --locoid 4016 --swversion DE.1.0.9.0 --startMP 204:437 --initTime 2017-06-14T14:39:43 --startdatetime 2017-06-14T14:45:34 --delay 1 --endMP 204:233295 --enddatetime 2017-06-14T15:21:10 --enforcementcount 2 &gt;&gt;C:\Users\stu\Documents\GitHub\eaglep3-reporting\EC\2017-06-14-refined-times.txt</v>
      </c>
      <c r="AI102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{"issue":{"subject":"","project_id":79,"tracker_id":40,"status_id":1,"priority_id":2,"assigned_to_id":23,"start_date":"2017-06-14","description":"","custom_fields":[{"id":1,"name":"Subdivision","value":"EC"},{"id":4,"name":"Milepost","value":"23.3295"},{"id":17,"name":"Train ID","value":"189-14"},{"id":16,"name":"Locomotive ID","value":"4016"},{"id":130,"name":"Impact","value":""},{"id":150,"name":"Time of Event (Mountain Time)","value":"15:21:10"},{"id":151,"name":"Denver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37"/>
        <v>start /low /b %USERPROFILE%\Documents\GitHub\eaglep3\Utilities\DownloadLogsFromS3.py --loco 4016 --day 2017-06-14</v>
      </c>
      <c r="AN102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21:21:10"},{"id":29,"name":"Sharepoint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7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776</v>
      </c>
      <c r="B103" s="7">
        <v>4015</v>
      </c>
      <c r="C103" s="21" t="s">
        <v>202</v>
      </c>
      <c r="D103" s="21" t="s">
        <v>471</v>
      </c>
      <c r="E103" s="13">
        <v>42900.649386574078</v>
      </c>
      <c r="F103" s="13">
        <v>42900.654386574075</v>
      </c>
      <c r="G103" s="7">
        <v>2</v>
      </c>
      <c r="H103" s="21" t="s">
        <v>349</v>
      </c>
      <c r="I103" s="13">
        <v>42900.681064814817</v>
      </c>
      <c r="J103" s="7">
        <v>2</v>
      </c>
      <c r="K103" s="89" t="str">
        <f t="shared" si="24"/>
        <v>4015/4016</v>
      </c>
      <c r="L103" s="21" t="str">
        <f>VLOOKUP(A103,'Trips&amp;Operators'!$C$1:$G$99999,5,FALSE)</f>
        <v>STEWART MICHAEL</v>
      </c>
      <c r="M103" s="6">
        <f t="shared" si="25"/>
        <v>2.6678240741603076E-2</v>
      </c>
      <c r="N103" s="7">
        <f t="shared" si="40"/>
        <v>38.41666666790843</v>
      </c>
      <c r="O103" s="7"/>
      <c r="P103" s="7"/>
      <c r="Q103" s="22"/>
      <c r="R103" s="170"/>
      <c r="S103" s="215">
        <f t="shared" si="41"/>
        <v>1</v>
      </c>
      <c r="T103" s="195" t="str">
        <f t="shared" si="26"/>
        <v>Southbound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 t="shared" si="27"/>
        <v>https://d0f6bd738d7f1b3e5a7ca70fe4ff75f0.us-east-1.aws.found.io/app/kibana#/discover/Steve-Slow-Train-Analysis-(2080s-and-2083s)?_g=(refreshInterval:(display:Off,pause:!f,section:0,value:0),time:(from:'2017-06-14T14:35:07-0600',mode:absolute,to:'2017-06-14T17:20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3" s="197" t="str">
        <f>IF(AA103&lt;VLOOKUP(AG103,Variables!$AC$3:$AD$8,2,FALSE),"Y","N")</f>
        <v>N</v>
      </c>
      <c r="X103" s="197">
        <f t="shared" si="28"/>
        <v>1</v>
      </c>
      <c r="Y103" s="197">
        <f t="shared" si="29"/>
        <v>23.2987</v>
      </c>
      <c r="Z103" s="197">
        <f t="shared" si="30"/>
        <v>1.4999999999999999E-2</v>
      </c>
      <c r="AA103" s="197">
        <f t="shared" si="31"/>
        <v>23.2837</v>
      </c>
      <c r="AB103" s="54" t="e">
        <f>VLOOKUP(A103,Enforcements!$C$7:$K$13,8,0)</f>
        <v>#N/A</v>
      </c>
      <c r="AC103" s="51" t="e">
        <f>VLOOKUP(A103,Enforcements!$C$7:$E$13,3,0)</f>
        <v>#N/A</v>
      </c>
      <c r="AD103" s="206">
        <f t="shared" si="32"/>
        <v>190</v>
      </c>
      <c r="AE103" s="77" t="str">
        <f t="shared" si="33"/>
        <v>aws s3 cp s3://rtdc.mdm.uploadarchive.raw/RTDC4015/ "%USERPROFILE%\AppData\Local\Temp\OnboardLogs"\RTDC4015\2017-06-14 --exclude "*" --recursive --include "*20170614*" &amp; "%USERPROFILE%\Documents\GitHub\mrs-test-scripts\Headless Mode &amp; Sideloading\WalkAndUnGZ.bat" "%USERPROFILE%\AppData\Local\Temp\OnboardLogs"\RTDC4015\2017-06-14 &amp; aws s3 cp s3://rtdc.mdm.uploadarchive.raw/RTDC4015/ "%USERPROFILE%\AppData\Local\Temp\OnboardLogs"\RTDC4015\2017-06-15 --exclude "*" --recursive --include "*20170615*" &amp; "%USERPROFILE%\Documents\GitHub\mrs-test-scripts\Headless Mode &amp; Sideloading\WalkAndUnGZ.bat" "%USERPROFILE%\AppData\Local\Temp\OnboardLogs"\RTDC4015\2017-06-15</v>
      </c>
      <c r="AF103" s="74" t="str">
        <f t="shared" si="34"/>
        <v>"C:\Program Files (x86)\AstroGrep\AstroGrep.exe" /e /r /s /spath="%USERPROFILE%\AppData\Local\Temp\OnboardLogs" /stypes="app*4015*20170614*" /stext=" 22:.+((SYSTEM_STATE.+slice.+state.+changed )|(ment ac)|(multiple cpu faults)|(system.+state.+changed )|(\[timeout)|(PRM\|1\|D)|(kpr)|(kdp)|(train st.+moving)|(\|lc)|(penalty))"</v>
      </c>
      <c r="AG103" s="209" t="str">
        <f t="shared" si="39"/>
        <v>EC</v>
      </c>
      <c r="AH103" s="78" t="str">
        <f t="shared" si="35"/>
        <v>"%USERPROFILE%\Documents\GitHub\eaglep3\Utilities\RefineRTDCRunTimes.py" --tripid 190-14 --locoid 4015 --swversion DE.1.0.9.0 --startMP 204:232987 --initTime 2017-06-14T15:35:07 --startdatetime 2017-06-14T15:42:19 --delay 2 --endMP 204:150 --enddatetime 2017-06-14T16:20:44 --enforcementcount 2 &gt;&gt;C:\Users\stu\Documents\GitHub\eaglep3-reporting\EC\2017-06-14-refined-times.txt</v>
      </c>
      <c r="AI103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{"issue":{"subject":"","project_id":79,"tracker_id":40,"status_id":1,"priority_id":2,"assigned_to_id":23,"start_date":"2017-06-14","description":"","custom_fields":[{"id":1,"name":"Subdivision","value":"EC"},{"id":4,"name":"Milepost","value":"0.015"},{"id":17,"name":"Train ID","value":"190-14"},{"id":16,"name":"Locomotive ID","value":"4015"},{"id":130,"name":"Impact","value":""},{"id":150,"name":"Time of Event (Mountain Time)","value":"16:20:44"},{"id":151,"name":"Denver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37"/>
        <v>start /low /b %USERPROFILE%\Documents\GitHub\eaglep3\Utilities\DownloadLogsFromS3.py --loco 4015 --day 2017-06-14</v>
      </c>
      <c r="AN103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22:20:44"},{"id":29,"name":"Sharepoint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72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x14ac:dyDescent="0.25">
      <c r="A104" s="32" t="s">
        <v>769</v>
      </c>
      <c r="B104" s="7">
        <v>4056</v>
      </c>
      <c r="C104" s="21" t="s">
        <v>202</v>
      </c>
      <c r="D104" s="21" t="s">
        <v>485</v>
      </c>
      <c r="E104" s="13">
        <v>42900.622453703705</v>
      </c>
      <c r="F104" s="13">
        <v>42900.625613425924</v>
      </c>
      <c r="G104" s="7">
        <v>1</v>
      </c>
      <c r="H104" s="21" t="s">
        <v>447</v>
      </c>
      <c r="I104" s="13">
        <v>42900.650949074072</v>
      </c>
      <c r="J104" s="7">
        <v>2</v>
      </c>
      <c r="K104" s="89" t="str">
        <f t="shared" si="24"/>
        <v>4055/4056</v>
      </c>
      <c r="L104" s="21" t="str">
        <f>VLOOKUP(A104,'Trips&amp;Operators'!$C$1:$G$99999,5,FALSE)</f>
        <v>ROBINSON KADDIBA</v>
      </c>
      <c r="M104" s="6">
        <f t="shared" si="25"/>
        <v>2.5335648148029577E-2</v>
      </c>
      <c r="N104" s="7">
        <f t="shared" si="40"/>
        <v>36.483333333162591</v>
      </c>
      <c r="O104" s="7"/>
      <c r="P104" s="7"/>
      <c r="Q104" s="22"/>
      <c r="R104" s="170"/>
      <c r="S104" s="215">
        <f t="shared" si="41"/>
        <v>1</v>
      </c>
      <c r="T104" s="195" t="str">
        <f t="shared" si="26"/>
        <v>NorthBound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 t="shared" si="27"/>
        <v>https://d0f6bd738d7f1b3e5a7ca70fe4ff75f0.us-east-1.aws.found.io/app/kibana#/discover/Steve-Slow-Train-Analysis-(2080s-and-2083s)?_g=(refreshInterval:(display:Off,pause:!f,section:0,value:0),time:(from:'2017-06-14T13:56:20-0600',mode:absolute,to:'2017-06-14T16:37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04" s="197" t="str">
        <f>IF(AA104&lt;VLOOKUP(AG104,Variables!$AC$3:$AD$8,2,FALSE),"Y","N")</f>
        <v>N</v>
      </c>
      <c r="X104" s="197">
        <f t="shared" si="28"/>
        <v>1</v>
      </c>
      <c r="Y104" s="197">
        <f t="shared" si="29"/>
        <v>4.6899999999999997E-2</v>
      </c>
      <c r="Z104" s="197">
        <f t="shared" si="30"/>
        <v>23.328900000000001</v>
      </c>
      <c r="AA104" s="197">
        <f t="shared" si="31"/>
        <v>23.282</v>
      </c>
      <c r="AB104" s="54" t="e">
        <f>VLOOKUP(A104,Enforcements!$C$7:$K$13,8,0)</f>
        <v>#N/A</v>
      </c>
      <c r="AC104" s="51" t="e">
        <f>VLOOKUP(A104,Enforcements!$C$7:$E$13,3,0)</f>
        <v>#N/A</v>
      </c>
      <c r="AD104" s="206">
        <f t="shared" si="32"/>
        <v>191</v>
      </c>
      <c r="AE104" s="77" t="str">
        <f t="shared" si="33"/>
        <v>aws s3 cp s3://rtdc.mdm.uploadarchive.raw/RTDC4056/ "%USERPROFILE%\AppData\Local\Temp\OnboardLogs"\RTDC4056\2017-06-14 --exclude "*" --recursive --include "*20170614*" &amp; "%USERPROFILE%\Documents\GitHub\mrs-test-scripts\Headless Mode &amp; Sideloading\WalkAndUnGZ.bat" "%USERPROFILE%\AppData\Local\Temp\OnboardLogs"\RTDC4056\2017-06-14 &amp; aws s3 cp s3://rtdc.mdm.uploadarchive.raw/RTDC4056/ "%USERPROFILE%\AppData\Local\Temp\OnboardLogs"\RTDC4056\2017-06-15 --exclude "*" --recursive --include "*20170615*" &amp; "%USERPROFILE%\Documents\GitHub\mrs-test-scripts\Headless Mode &amp; Sideloading\WalkAndUnGZ.bat" "%USERPROFILE%\AppData\Local\Temp\OnboardLogs"\RTDC4056\2017-06-15</v>
      </c>
      <c r="AF104" s="74" t="str">
        <f t="shared" si="34"/>
        <v>"C:\Program Files (x86)\AstroGrep\AstroGrep.exe" /e /r /s /spath="%USERPROFILE%\AppData\Local\Temp\OnboardLogs" /stypes="app*4056*20170614*" /stext=" 21:.+((SYSTEM_STATE.+slice.+state.+changed )|(ment ac)|(multiple cpu faults)|(system.+state.+changed )|(\[timeout)|(PRM\|1\|D)|(kpr)|(kdp)|(train st.+moving)|(\|lc)|(penalty))"</v>
      </c>
      <c r="AG104" s="209" t="str">
        <f t="shared" si="39"/>
        <v>EC</v>
      </c>
      <c r="AH104" s="78" t="str">
        <f t="shared" si="35"/>
        <v>"%USERPROFILE%\Documents\GitHub\eaglep3\Utilities\RefineRTDCRunTimes.py" --tripid 191-14 --locoid 4056 --swversion DE.1.0.9.0 --startMP 204:469 --initTime 2017-06-14T14:56:20 --startdatetime 2017-06-14T15:00:53 --delay 1 --endMP 204:233289 --enddatetime 2017-06-14T15:37:22 --enforcementcount 2 &gt;&gt;C:\Users\stu\Documents\GitHub\eaglep3-reporting\EC\2017-06-14-refined-times.txt</v>
      </c>
      <c r="AI104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{"issue":{"subject":"","project_id":79,"tracker_id":40,"status_id":1,"priority_id":2,"assigned_to_id":23,"start_date":"2017-06-14","description":"","custom_fields":[{"id":1,"name":"Subdivision","value":"EC"},{"id":4,"name":"Milepost","value":"23.3289"},{"id":17,"name":"Train ID","value":"191-14"},{"id":16,"name":"Locomotive ID","value":"4056"},{"id":130,"name":"Impact","value":""},{"id":150,"name":"Time of Event (Mountain Time)","value":"15:37:22"},{"id":151,"name":"Denver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20"/>
      <c r="AK104" s="47"/>
      <c r="AL104" s="47"/>
      <c r="AM104" s="142" t="str">
        <f t="shared" si="37"/>
        <v>start /low /b %USERPROFILE%\Documents\GitHub\eaglep3\Utilities\DownloadLogsFromS3.py --loco 4056 --day 2017-06-14</v>
      </c>
      <c r="AN104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21:37:22"},{"id":29,"name":"Sharepoint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05" spans="1:91" s="20" customFormat="1" x14ac:dyDescent="0.25">
      <c r="A105" s="32" t="s">
        <v>779</v>
      </c>
      <c r="B105" s="7">
        <v>4055</v>
      </c>
      <c r="C105" s="21" t="s">
        <v>202</v>
      </c>
      <c r="D105" s="21" t="s">
        <v>521</v>
      </c>
      <c r="E105" s="13">
        <v>42900.65724537037</v>
      </c>
      <c r="F105" s="13">
        <v>42900.66474537037</v>
      </c>
      <c r="G105" s="7">
        <v>1</v>
      </c>
      <c r="H105" s="21" t="s">
        <v>466</v>
      </c>
      <c r="I105" s="13">
        <v>42900.691168981481</v>
      </c>
      <c r="J105" s="7">
        <v>2</v>
      </c>
      <c r="K105" s="89" t="str">
        <f t="shared" si="24"/>
        <v>4055/4056</v>
      </c>
      <c r="L105" s="21" t="str">
        <f>VLOOKUP(A105,'Trips&amp;Operators'!$C$1:$G$99999,5,FALSE)</f>
        <v>ROBINSON KADDIBA</v>
      </c>
      <c r="M105" s="6">
        <f t="shared" si="25"/>
        <v>2.6423611110658385E-2</v>
      </c>
      <c r="N105" s="7">
        <f t="shared" si="40"/>
        <v>38.049999999348074</v>
      </c>
      <c r="O105" s="7"/>
      <c r="P105" s="7"/>
      <c r="Q105" s="22"/>
      <c r="R105" s="170"/>
      <c r="S105" s="215">
        <f t="shared" si="41"/>
        <v>1</v>
      </c>
      <c r="T105" s="195" t="str">
        <f t="shared" si="26"/>
        <v>Southbound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 t="shared" si="27"/>
        <v>https://d0f6bd738d7f1b3e5a7ca70fe4ff75f0.us-east-1.aws.found.io/app/kibana#/discover/Steve-Slow-Train-Analysis-(2080s-and-2083s)?_g=(refreshInterval:(display:Off,pause:!f,section:0,value:0),time:(from:'2017-06-14T14:46:26-0600',mode:absolute,to:'2017-06-14T17:35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05" s="197" t="str">
        <f>IF(AA105&lt;VLOOKUP(AG105,Variables!$AC$3:$AD$8,2,FALSE),"Y","N")</f>
        <v>N</v>
      </c>
      <c r="X105" s="197">
        <f t="shared" si="28"/>
        <v>1</v>
      </c>
      <c r="Y105" s="197">
        <f t="shared" si="29"/>
        <v>23.297799999999999</v>
      </c>
      <c r="Z105" s="197">
        <f t="shared" si="30"/>
        <v>1.61E-2</v>
      </c>
      <c r="AA105" s="197">
        <f t="shared" si="31"/>
        <v>23.281699999999997</v>
      </c>
      <c r="AB105" s="54" t="e">
        <f>VLOOKUP(A105,Enforcements!$C$7:$K$13,8,0)</f>
        <v>#N/A</v>
      </c>
      <c r="AC105" s="51" t="e">
        <f>VLOOKUP(A105,Enforcements!$C$7:$E$13,3,0)</f>
        <v>#N/A</v>
      </c>
      <c r="AD105" s="206">
        <f t="shared" si="32"/>
        <v>192</v>
      </c>
      <c r="AE105" s="77" t="str">
        <f t="shared" si="33"/>
        <v>aws s3 cp s3://rtdc.mdm.uploadarchive.raw/RTDC4055/ "%USERPROFILE%\AppData\Local\Temp\OnboardLogs"\RTDC4055\2017-06-14 --exclude "*" --recursive --include "*20170614*" &amp; "%USERPROFILE%\Documents\GitHub\mrs-test-scripts\Headless Mode &amp; Sideloading\WalkAndUnGZ.bat" "%USERPROFILE%\AppData\Local\Temp\OnboardLogs"\RTDC4055\2017-06-14 &amp; aws s3 cp s3://rtdc.mdm.uploadarchive.raw/RTDC4055/ "%USERPROFILE%\AppData\Local\Temp\OnboardLogs"\RTDC4055\2017-06-15 --exclude "*" --recursive --include "*20170615*" &amp; "%USERPROFILE%\Documents\GitHub\mrs-test-scripts\Headless Mode &amp; Sideloading\WalkAndUnGZ.bat" "%USERPROFILE%\AppData\Local\Temp\OnboardLogs"\RTDC4055\2017-06-15</v>
      </c>
      <c r="AF105" s="74" t="str">
        <f t="shared" si="34"/>
        <v>"C:\Program Files (x86)\AstroGrep\AstroGrep.exe" /e /r /s /spath="%USERPROFILE%\AppData\Local\Temp\OnboardLogs" /stypes="app*4055*20170614*" /stext=" 22:.+((SYSTEM_STATE.+slice.+state.+changed )|(ment ac)|(multiple cpu faults)|(system.+state.+changed )|(\[timeout)|(PRM\|1\|D)|(kpr)|(kdp)|(train st.+moving)|(\|lc)|(penalty))"</v>
      </c>
      <c r="AG105" s="209" t="str">
        <f t="shared" si="39"/>
        <v>EC</v>
      </c>
      <c r="AH105" s="78" t="str">
        <f t="shared" si="35"/>
        <v>"%USERPROFILE%\Documents\GitHub\eaglep3\Utilities\RefineRTDCRunTimes.py" --tripid 192-14 --locoid 4055 --swversion DE.1.0.9.0 --startMP 204:232978 --initTime 2017-06-14T15:46:26 --startdatetime 2017-06-14T15:57:14 --delay 1 --endMP 204:161 --enddatetime 2017-06-14T16:35:17 --enforcementcount 2 &gt;&gt;C:\Users\stu\Documents\GitHub\eaglep3-reporting\EC\2017-06-14-refined-times.txt</v>
      </c>
      <c r="AI105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{"issue":{"subject":"","project_id":79,"tracker_id":40,"status_id":1,"priority_id":2,"assigned_to_id":23,"start_date":"2017-06-14","description":"","custom_fields":[{"id":1,"name":"Subdivision","value":"EC"},{"id":4,"name":"Milepost","value":"0.0161"},{"id":17,"name":"Train ID","value":"192-14"},{"id":16,"name":"Locomotive ID","value":"4055"},{"id":130,"name":"Impact","value":""},{"id":150,"name":"Time of Event (Mountain Time)","value":"16:35:17"},{"id":151,"name":"Denver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37"/>
        <v>start /low /b %USERPROFILE%\Documents\GitHub\eaglep3\Utilities\DownloadLogsFromS3.py --loco 4055 --day 2017-06-14</v>
      </c>
      <c r="AN105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22:35:17"},{"id":29,"name":"Sharepoint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72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770</v>
      </c>
      <c r="B106" s="7">
        <v>4040</v>
      </c>
      <c r="C106" s="21" t="s">
        <v>202</v>
      </c>
      <c r="D106" s="21" t="s">
        <v>862</v>
      </c>
      <c r="E106" s="13">
        <v>42900.63045138889</v>
      </c>
      <c r="F106" s="13">
        <v>42900.635613425926</v>
      </c>
      <c r="G106" s="7">
        <v>1</v>
      </c>
      <c r="H106" s="21" t="s">
        <v>882</v>
      </c>
      <c r="I106" s="13">
        <v>42900.660636574074</v>
      </c>
      <c r="J106" s="7">
        <v>2</v>
      </c>
      <c r="K106" s="89" t="str">
        <f t="shared" si="24"/>
        <v>4039/4040</v>
      </c>
      <c r="L106" s="21" t="str">
        <f>VLOOKUP(A106,'Trips&amp;Operators'!$C$1:$G$99999,5,FALSE)</f>
        <v>BRUDER RICHARD</v>
      </c>
      <c r="M106" s="6">
        <f t="shared" si="25"/>
        <v>2.5023148147738539E-2</v>
      </c>
      <c r="N106" s="7">
        <f t="shared" si="40"/>
        <v>36.033333332743496</v>
      </c>
      <c r="O106" s="7"/>
      <c r="P106" s="7"/>
      <c r="Q106" s="22"/>
      <c r="R106" s="170"/>
      <c r="S106" s="215">
        <f t="shared" si="41"/>
        <v>1</v>
      </c>
      <c r="T106" s="195" t="str">
        <f t="shared" si="26"/>
        <v>NorthBound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 t="shared" si="27"/>
        <v>https://d0f6bd738d7f1b3e5a7ca70fe4ff75f0.us-east-1.aws.found.io/app/kibana#/discover/Steve-Slow-Train-Analysis-(2080s-and-2083s)?_g=(refreshInterval:(display:Off,pause:!f,section:0,value:0),time:(from:'2017-06-14T14:07:51-0600',mode:absolute,to:'2017-06-14T16:51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6" s="197" t="str">
        <f>IF(AA106&lt;VLOOKUP(AG106,Variables!$AC$3:$AD$8,2,FALSE),"Y","N")</f>
        <v>N</v>
      </c>
      <c r="X106" s="197">
        <f t="shared" si="28"/>
        <v>1</v>
      </c>
      <c r="Y106" s="197">
        <f t="shared" si="29"/>
        <v>4.5499999999999999E-2</v>
      </c>
      <c r="Z106" s="197">
        <f t="shared" si="30"/>
        <v>23.331700000000001</v>
      </c>
      <c r="AA106" s="197">
        <f t="shared" si="31"/>
        <v>23.286200000000001</v>
      </c>
      <c r="AB106" s="54" t="e">
        <f>VLOOKUP(A106,Enforcements!$C$7:$K$13,8,0)</f>
        <v>#N/A</v>
      </c>
      <c r="AC106" s="51" t="e">
        <f>VLOOKUP(A106,Enforcements!$C$7:$E$13,3,0)</f>
        <v>#N/A</v>
      </c>
      <c r="AD106" s="206">
        <f t="shared" si="32"/>
        <v>193</v>
      </c>
      <c r="AE106" s="77" t="str">
        <f t="shared" si="33"/>
        <v>aws s3 cp s3://rtdc.mdm.uploadarchive.raw/RTDC4040/ "%USERPROFILE%\AppData\Local\Temp\OnboardLogs"\RTDC4040\2017-06-14 --exclude "*" --recursive --include "*20170614*" &amp; "%USERPROFILE%\Documents\GitHub\mrs-test-scripts\Headless Mode &amp; Sideloading\WalkAndUnGZ.bat" "%USERPROFILE%\AppData\Local\Temp\OnboardLogs"\RTDC4040\2017-06-14 &amp; aws s3 cp s3://rtdc.mdm.uploadarchive.raw/RTDC4040/ "%USERPROFILE%\AppData\Local\Temp\OnboardLogs"\RTDC4040\2017-06-15 --exclude "*" --recursive --include "*20170615*" &amp; "%USERPROFILE%\Documents\GitHub\mrs-test-scripts\Headless Mode &amp; Sideloading\WalkAndUnGZ.bat" "%USERPROFILE%\AppData\Local\Temp\OnboardLogs"\RTDC4040\2017-06-15</v>
      </c>
      <c r="AF106" s="74" t="str">
        <f t="shared" si="34"/>
        <v>"C:\Program Files (x86)\AstroGrep\AstroGrep.exe" /e /r /s /spath="%USERPROFILE%\AppData\Local\Temp\OnboardLogs" /stypes="app*4040*20170614*" /stext=" 21:.+((SYSTEM_STATE.+slice.+state.+changed )|(ment ac)|(multiple cpu faults)|(system.+state.+changed )|(\[timeout)|(PRM\|1\|D)|(kpr)|(kdp)|(train st.+moving)|(\|lc)|(penalty))"</v>
      </c>
      <c r="AG106" s="209" t="str">
        <f t="shared" si="39"/>
        <v>EC</v>
      </c>
      <c r="AH106" s="78" t="str">
        <f t="shared" si="35"/>
        <v>"%USERPROFILE%\Documents\GitHub\eaglep3\Utilities\RefineRTDCRunTimes.py" --tripid 193-14 --locoid 4040 --swversion DE.1.0.9.0 --startMP 204:455 --initTime 2017-06-14T15:07:51 --startdatetime 2017-06-14T15:15:17 --delay 1 --endMP 204:233317 --enddatetime 2017-06-14T15:51:19 --enforcementcount 2 &gt;&gt;C:\Users\stu\Documents\GitHub\eaglep3-reporting\EC\2017-06-14-refined-times.txt</v>
      </c>
      <c r="AI106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{"issue":{"subject":"","project_id":79,"tracker_id":40,"status_id":1,"priority_id":2,"assigned_to_id":23,"start_date":"2017-06-14","description":"","custom_fields":[{"id":1,"name":"Subdivision","value":"EC"},{"id":4,"name":"Milepost","value":"23.3317"},{"id":17,"name":"Train ID","value":"193-14"},{"id":16,"name":"Locomotive ID","value":"4040"},{"id":130,"name":"Impact","value":""},{"id":150,"name":"Time of Event (Mountain Time)","value":"15:51:19"},{"id":151,"name":"Denver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37"/>
        <v>start /low /b %USERPROFILE%\Documents\GitHub\eaglep3\Utilities\DownloadLogsFromS3.py --loco 4040 --day 2017-06-14</v>
      </c>
      <c r="AN106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21:51:19"},{"id":29,"name":"Sharepoint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72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781</v>
      </c>
      <c r="B107" s="7">
        <v>4039</v>
      </c>
      <c r="C107" s="21" t="s">
        <v>202</v>
      </c>
      <c r="D107" s="21" t="s">
        <v>881</v>
      </c>
      <c r="E107" s="13">
        <v>42900.668993055559</v>
      </c>
      <c r="F107" s="13">
        <v>42900.675196759257</v>
      </c>
      <c r="G107" s="7">
        <v>1</v>
      </c>
      <c r="H107" s="21" t="s">
        <v>421</v>
      </c>
      <c r="I107" s="13">
        <v>42900.701562499999</v>
      </c>
      <c r="J107" s="7">
        <v>2</v>
      </c>
      <c r="K107" s="89" t="str">
        <f t="shared" si="24"/>
        <v>4039/4040</v>
      </c>
      <c r="L107" s="21" t="str">
        <f>VLOOKUP(A107,'Trips&amp;Operators'!$C$1:$G$99999,5,FALSE)</f>
        <v>BRUDER RICHARD</v>
      </c>
      <c r="M107" s="6">
        <f t="shared" si="25"/>
        <v>2.6365740741312038E-2</v>
      </c>
      <c r="N107" s="7">
        <f t="shared" si="40"/>
        <v>37.966666667489335</v>
      </c>
      <c r="O107" s="7"/>
      <c r="P107" s="7"/>
      <c r="Q107" s="22"/>
      <c r="R107" s="170"/>
      <c r="S107" s="215">
        <f t="shared" si="41"/>
        <v>1</v>
      </c>
      <c r="T107" s="195" t="str">
        <f t="shared" si="26"/>
        <v>Southbound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 t="shared" si="27"/>
        <v>https://d0f6bd738d7f1b3e5a7ca70fe4ff75f0.us-east-1.aws.found.io/app/kibana#/discover/Steve-Slow-Train-Analysis-(2080s-and-2083s)?_g=(refreshInterval:(display:Off,pause:!f,section:0,value:0),time:(from:'2017-06-14T15:03:21-0600',mode:absolute,to:'2017-06-14T17:50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7" s="197" t="str">
        <f>IF(AA107&lt;VLOOKUP(AG107,Variables!$AC$3:$AD$8,2,FALSE),"Y","N")</f>
        <v>N</v>
      </c>
      <c r="X107" s="197">
        <f t="shared" si="28"/>
        <v>1</v>
      </c>
      <c r="Y107" s="197">
        <f t="shared" si="29"/>
        <v>23.3</v>
      </c>
      <c r="Z107" s="197">
        <f t="shared" si="30"/>
        <v>1.4500000000000001E-2</v>
      </c>
      <c r="AA107" s="197">
        <f t="shared" si="31"/>
        <v>23.285499999999999</v>
      </c>
      <c r="AB107" s="54" t="e">
        <f>VLOOKUP(A107,Enforcements!$C$7:$K$13,8,0)</f>
        <v>#N/A</v>
      </c>
      <c r="AC107" s="51" t="e">
        <f>VLOOKUP(A107,Enforcements!$C$7:$E$13,3,0)</f>
        <v>#N/A</v>
      </c>
      <c r="AD107" s="206">
        <f t="shared" si="32"/>
        <v>194</v>
      </c>
      <c r="AE107" s="77" t="str">
        <f t="shared" si="33"/>
        <v>aws s3 cp s3://rtdc.mdm.uploadarchive.raw/RTDC4039/ "%USERPROFILE%\AppData\Local\Temp\OnboardLogs"\RTDC4039\2017-06-14 --exclude "*" --recursive --include "*20170614*" &amp; "%USERPROFILE%\Documents\GitHub\mrs-test-scripts\Headless Mode &amp; Sideloading\WalkAndUnGZ.bat" "%USERPROFILE%\AppData\Local\Temp\OnboardLogs"\RTDC4039\2017-06-14 &amp; aws s3 cp s3://rtdc.mdm.uploadarchive.raw/RTDC4039/ "%USERPROFILE%\AppData\Local\Temp\OnboardLogs"\RTDC4039\2017-06-15 --exclude "*" --recursive --include "*20170615*" &amp; "%USERPROFILE%\Documents\GitHub\mrs-test-scripts\Headless Mode &amp; Sideloading\WalkAndUnGZ.bat" "%USERPROFILE%\AppData\Local\Temp\OnboardLogs"\RTDC4039\2017-06-15</v>
      </c>
      <c r="AF107" s="74" t="str">
        <f t="shared" si="34"/>
        <v>"C:\Program Files (x86)\AstroGrep\AstroGrep.exe" /e /r /s /spath="%USERPROFILE%\AppData\Local\Temp\OnboardLogs" /stypes="app*4039*20170614*" /stext=" 22:.+((SYSTEM_STATE.+slice.+state.+changed )|(ment ac)|(multiple cpu faults)|(system.+state.+changed )|(\[timeout)|(PRM\|1\|D)|(kpr)|(kdp)|(train st.+moving)|(\|lc)|(penalty))"</v>
      </c>
      <c r="AG107" s="209" t="str">
        <f t="shared" si="39"/>
        <v>EC</v>
      </c>
      <c r="AH107" s="78" t="str">
        <f t="shared" si="35"/>
        <v>"%USERPROFILE%\Documents\GitHub\eaglep3\Utilities\RefineRTDCRunTimes.py" --tripid 194-14 --locoid 4039 --swversion DE.1.0.9.0 --startMP 204:233000 --initTime 2017-06-14T16:03:21 --startdatetime 2017-06-14T16:12:17 --delay 1 --endMP 204:145 --enddatetime 2017-06-14T16:50:15 --enforcementcount 2 &gt;&gt;C:\Users\stu\Documents\GitHub\eaglep3-reporting\EC\2017-06-14-refined-times.txt</v>
      </c>
      <c r="AI107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{"issue":{"subject":"","project_id":79,"tracker_id":40,"status_id":1,"priority_id":2,"assigned_to_id":23,"start_date":"2017-06-14","description":"","custom_fields":[{"id":1,"name":"Subdivision","value":"EC"},{"id":4,"name":"Milepost","value":"0.0145"},{"id":17,"name":"Train ID","value":"194-14"},{"id":16,"name":"Locomotive ID","value":"4039"},{"id":130,"name":"Impact","value":""},{"id":150,"name":"Time of Event (Mountain Time)","value":"16:50:15"},{"id":151,"name":"Denver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37"/>
        <v>start /low /b %USERPROFILE%\Documents\GitHub\eaglep3\Utilities\DownloadLogsFromS3.py --loco 4039 --day 2017-06-14</v>
      </c>
      <c r="AN107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22:50:15"},{"id":29,"name":"Sharepoint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72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629</v>
      </c>
      <c r="B108" s="7">
        <v>4010</v>
      </c>
      <c r="C108" s="21" t="s">
        <v>202</v>
      </c>
      <c r="D108" s="21" t="s">
        <v>570</v>
      </c>
      <c r="E108" s="13">
        <v>42900.643287037034</v>
      </c>
      <c r="F108" s="13">
        <v>42900.64607638889</v>
      </c>
      <c r="G108" s="7">
        <v>1</v>
      </c>
      <c r="H108" s="21" t="s">
        <v>496</v>
      </c>
      <c r="I108" s="13">
        <v>42900.671354166669</v>
      </c>
      <c r="J108" s="7">
        <v>2</v>
      </c>
      <c r="K108" s="89" t="str">
        <f t="shared" si="24"/>
        <v>4009/4010</v>
      </c>
      <c r="L108" s="21" t="str">
        <f>VLOOKUP(A108,'Trips&amp;Operators'!$C$1:$G$99999,5,FALSE)</f>
        <v>LEVIN SCOTT</v>
      </c>
      <c r="M108" s="6">
        <f t="shared" si="25"/>
        <v>2.527777777868323E-2</v>
      </c>
      <c r="N108" s="7">
        <f t="shared" si="40"/>
        <v>36.400000001303852</v>
      </c>
      <c r="O108" s="7"/>
      <c r="P108" s="7"/>
      <c r="Q108" s="22"/>
      <c r="R108" s="170"/>
      <c r="S108" s="215">
        <f t="shared" si="41"/>
        <v>1</v>
      </c>
      <c r="T108" s="195" t="str">
        <f t="shared" si="26"/>
        <v>NorthBound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 t="shared" si="27"/>
        <v>https://d0f6bd738d7f1b3e5a7ca70fe4ff75f0.us-east-1.aws.found.io/app/kibana#/discover/Steve-Slow-Train-Analysis-(2080s-and-2083s)?_g=(refreshInterval:(display:Off,pause:!f,section:0,value:0),time:(from:'2017-06-14T14:26:20-0600',mode:absolute,to:'2017-06-14T17:06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8" s="197" t="str">
        <f>IF(AA108&lt;VLOOKUP(AG108,Variables!$AC$3:$AD$8,2,FALSE),"Y","N")</f>
        <v>N</v>
      </c>
      <c r="X108" s="197">
        <f t="shared" si="28"/>
        <v>1</v>
      </c>
      <c r="Y108" s="197">
        <f t="shared" si="29"/>
        <v>4.3799999999999999E-2</v>
      </c>
      <c r="Z108" s="197">
        <f t="shared" si="30"/>
        <v>23.3337</v>
      </c>
      <c r="AA108" s="197">
        <f t="shared" si="31"/>
        <v>23.289899999999999</v>
      </c>
      <c r="AB108" s="54" t="e">
        <f>VLOOKUP(A108,Enforcements!$C$7:$K$13,8,0)</f>
        <v>#N/A</v>
      </c>
      <c r="AC108" s="51" t="e">
        <f>VLOOKUP(A108,Enforcements!$C$7:$E$13,3,0)</f>
        <v>#N/A</v>
      </c>
      <c r="AD108" s="206">
        <f t="shared" si="32"/>
        <v>195</v>
      </c>
      <c r="AE108" s="77" t="str">
        <f t="shared" si="33"/>
        <v>aws s3 cp s3://rtdc.mdm.uploadarchive.raw/RTDC4010/ "%USERPROFILE%\AppData\Local\Temp\OnboardLogs"\RTDC4010\2017-06-14 --exclude "*" --recursive --include "*20170614*" &amp; "%USERPROFILE%\Documents\GitHub\mrs-test-scripts\Headless Mode &amp; Sideloading\WalkAndUnGZ.bat" "%USERPROFILE%\AppData\Local\Temp\OnboardLogs"\RTDC4010\2017-06-14 &amp; 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</v>
      </c>
      <c r="AF108" s="74" t="str">
        <f t="shared" si="34"/>
        <v>"C:\Program Files (x86)\AstroGrep\AstroGrep.exe" /e /r /s /spath="%USERPROFILE%\AppData\Local\Temp\OnboardLogs" /stypes="app*4010*20170614*" /stext=" 22:.+((SYSTEM_STATE.+slice.+state.+changed )|(ment ac)|(multiple cpu faults)|(system.+state.+changed )|(\[timeout)|(PRM\|1\|D)|(kpr)|(kdp)|(train st.+moving)|(\|lc)|(penalty))"</v>
      </c>
      <c r="AG108" s="209" t="str">
        <f t="shared" si="39"/>
        <v>EC</v>
      </c>
      <c r="AH108" s="78" t="str">
        <f t="shared" si="35"/>
        <v>"%USERPROFILE%\Documents\GitHub\eaglep3\Utilities\RefineRTDCRunTimes.py" --tripid 195-14 --locoid 4010 --swversion DE.1.0.9.0 --startMP 204:438 --initTime 2017-06-14T15:26:20 --startdatetime 2017-06-14T15:30:21 --delay 1 --endMP 204:233337 --enddatetime 2017-06-14T16:06:45 --enforcementcount 2 &gt;&gt;C:\Users\stu\Documents\GitHub\eaglep3-reporting\EC\2017-06-14-refined-times.txt</v>
      </c>
      <c r="AI108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{"issue":{"subject":"","project_id":79,"tracker_id":40,"status_id":1,"priority_id":2,"assigned_to_id":23,"start_date":"2017-06-14","description":"","custom_fields":[{"id":1,"name":"Subdivision","value":"EC"},{"id":4,"name":"Milepost","value":"23.3337"},{"id":17,"name":"Train ID","value":"195-14"},{"id":16,"name":"Locomotive ID","value":"4010"},{"id":130,"name":"Impact","value":""},{"id":150,"name":"Time of Event (Mountain Time)","value":"16:06:45"},{"id":151,"name":"Denver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37"/>
        <v>start /low /b %USERPROFILE%\Documents\GitHub\eaglep3\Utilities\DownloadLogsFromS3.py --loco 4010 --day 2017-06-14</v>
      </c>
      <c r="AN108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22:06:45"},{"id":29,"name":"Sharepoint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72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631</v>
      </c>
      <c r="B109" s="7">
        <v>4009</v>
      </c>
      <c r="C109" s="21" t="s">
        <v>202</v>
      </c>
      <c r="D109" s="21" t="s">
        <v>565</v>
      </c>
      <c r="E109" s="13">
        <v>42900.680428240739</v>
      </c>
      <c r="F109" s="13">
        <v>42900.685601851852</v>
      </c>
      <c r="G109" s="7">
        <v>1</v>
      </c>
      <c r="H109" s="21" t="s">
        <v>883</v>
      </c>
      <c r="I109" s="13">
        <v>42900.712037037039</v>
      </c>
      <c r="J109" s="7">
        <v>2</v>
      </c>
      <c r="K109" s="89" t="str">
        <f t="shared" si="24"/>
        <v>4009/4010</v>
      </c>
      <c r="L109" s="21" t="str">
        <f>VLOOKUP(A109,'Trips&amp;Operators'!$C$1:$G$99999,5,FALSE)</f>
        <v>LEVIN SCOTT</v>
      </c>
      <c r="M109" s="6">
        <f t="shared" si="25"/>
        <v>2.6435185187438037E-2</v>
      </c>
      <c r="N109" s="7">
        <f t="shared" si="40"/>
        <v>38.066666669910774</v>
      </c>
      <c r="O109" s="7"/>
      <c r="P109" s="7"/>
      <c r="Q109" s="22"/>
      <c r="R109" s="170"/>
      <c r="S109" s="215">
        <f t="shared" si="41"/>
        <v>1</v>
      </c>
      <c r="T109" s="195" t="str">
        <f t="shared" si="26"/>
        <v>Southbound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 t="shared" si="27"/>
        <v>https://d0f6bd738d7f1b3e5a7ca70fe4ff75f0.us-east-1.aws.found.io/app/kibana#/discover/Steve-Slow-Train-Analysis-(2080s-and-2083s)?_g=(refreshInterval:(display:Off,pause:!f,section:0,value:0),time:(from:'2017-06-14T15:19:49-0600',mode:absolute,to:'2017-06-14T18:05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9" s="197" t="str">
        <f>IF(AA109&lt;VLOOKUP(AG109,Variables!$AC$3:$AD$8,2,FALSE),"Y","N")</f>
        <v>N</v>
      </c>
      <c r="X109" s="197">
        <f t="shared" si="28"/>
        <v>1</v>
      </c>
      <c r="Y109" s="197">
        <f t="shared" ref="Y109:Y140" si="42">RIGHT(D109,LEN(D109)-4)/10000</f>
        <v>23.3005</v>
      </c>
      <c r="Z109" s="197">
        <f t="shared" ref="Z109:Z140" si="43">RIGHT(H109,LEN(H109)-4)/10000</f>
        <v>1.2699999999999999E-2</v>
      </c>
      <c r="AA109" s="197">
        <f t="shared" si="31"/>
        <v>23.287800000000001</v>
      </c>
      <c r="AB109" s="54" t="str">
        <f>VLOOKUP(A109,Enforcements!$C$7:$K$13,8,0)</f>
        <v>Bulletin (2)</v>
      </c>
      <c r="AC109" s="51" t="str">
        <f>VLOOKUP(A109,Enforcements!$C$7:$E$13,3,0)</f>
        <v>GRADE CROSSING</v>
      </c>
      <c r="AD109" s="206">
        <f t="shared" si="32"/>
        <v>196</v>
      </c>
      <c r="AE109" s="77" t="str">
        <f t="shared" si="33"/>
        <v>aws s3 cp s3://rtdc.mdm.uploadarchive.raw/RTDC4009/ "%USERPROFILE%\AppData\Local\Temp\OnboardLogs"\RTDC4009\2017-06-14 --exclude "*" --recursive --include "*20170614*" &amp; "%USERPROFILE%\Documents\GitHub\mrs-test-scripts\Headless Mode &amp; Sideloading\WalkAndUnGZ.bat" "%USERPROFILE%\AppData\Local\Temp\OnboardLogs"\RTDC4009\2017-06-14 &amp; aws s3 cp s3://rtdc.mdm.uploadarchive.raw/RTDC4009/ "%USERPROFILE%\AppData\Local\Temp\OnboardLogs"\RTDC4009\2017-06-15 --exclude "*" --recursive --include "*20170615*" &amp; "%USERPROFILE%\Documents\GitHub\mrs-test-scripts\Headless Mode &amp; Sideloading\WalkAndUnGZ.bat" "%USERPROFILE%\AppData\Local\Temp\OnboardLogs"\RTDC4009\2017-06-15</v>
      </c>
      <c r="AF109" s="74" t="str">
        <f t="shared" si="34"/>
        <v>"C:\Program Files (x86)\AstroGrep\AstroGrep.exe" /e /r /s /spath="%USERPROFILE%\AppData\Local\Temp\OnboardLogs" /stypes="app*4009*20170614*" /stext=" 23:.+((SYSTEM_STATE.+slice.+state.+changed )|(ment ac)|(multiple cpu faults)|(system.+state.+changed )|(\[timeout)|(PRM\|1\|D)|(kpr)|(kdp)|(train st.+moving)|(\|lc)|(penalty))"</v>
      </c>
      <c r="AG109" s="209" t="str">
        <f t="shared" si="39"/>
        <v>EC</v>
      </c>
      <c r="AH109" s="78" t="str">
        <f t="shared" si="35"/>
        <v>"%USERPROFILE%\Documents\GitHub\eaglep3\Utilities\RefineRTDCRunTimes.py" --tripid 196-14 --locoid 4009 --swversion DE.1.0.9.0 --startMP 204:233005 --initTime 2017-06-14T16:19:49 --startdatetime 2017-06-14T16:27:16 --delay 1 --endMP 204:127 --enddatetime 2017-06-14T17:05:20 --enforcementcount 2 &gt;&gt;C:\Users\stu\Documents\GitHub\eaglep3-reporting\EC\2017-06-14-refined-times.txt</v>
      </c>
      <c r="AI109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{"issue":{"subject":"","project_id":79,"tracker_id":40,"status_id":1,"priority_id":2,"assigned_to_id":23,"start_date":"2017-06-14","description":"","custom_fields":[{"id":1,"name":"Subdivision","value":"EC"},{"id":4,"name":"Milepost","value":"0.0127"},{"id":17,"name":"Train ID","value":"196-14"},{"id":16,"name":"Locomotive ID","value":"4009"},{"id":130,"name":"Impact","value":""},{"id":150,"name":"Time of Event (Mountain Time)","value":"17:05:20"},{"id":151,"name":"Denver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37"/>
        <v>start /low /b %USERPROFILE%\Documents\GitHub\eaglep3\Utilities\DownloadLogsFromS3.py --loco 4009 --day 2017-06-14</v>
      </c>
      <c r="AN109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23:05:20"},{"id":29,"name":"Sharepoint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72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778</v>
      </c>
      <c r="B110" s="7">
        <v>4004</v>
      </c>
      <c r="C110" s="21" t="s">
        <v>202</v>
      </c>
      <c r="D110" s="21" t="s">
        <v>884</v>
      </c>
      <c r="E110" s="13">
        <v>42900.652557870373</v>
      </c>
      <c r="F110" s="13">
        <v>42900.656400462962</v>
      </c>
      <c r="G110" s="7">
        <v>1</v>
      </c>
      <c r="H110" s="21" t="s">
        <v>885</v>
      </c>
      <c r="I110" s="13">
        <v>42900.680949074071</v>
      </c>
      <c r="J110" s="7">
        <v>2</v>
      </c>
      <c r="K110" s="89" t="str">
        <f t="shared" si="24"/>
        <v>4003/4004</v>
      </c>
      <c r="L110" s="21" t="str">
        <f>VLOOKUP(A110,'Trips&amp;Operators'!$C$1:$G$99999,5,FALSE)</f>
        <v>DELGADO DIANAH</v>
      </c>
      <c r="M110" s="6">
        <f t="shared" si="25"/>
        <v>2.4548611108912155E-2</v>
      </c>
      <c r="N110" s="7">
        <f t="shared" si="40"/>
        <v>35.349999996833503</v>
      </c>
      <c r="O110" s="7"/>
      <c r="P110" s="7"/>
      <c r="Q110" s="22"/>
      <c r="R110" s="170"/>
      <c r="S110" s="215">
        <f t="shared" si="41"/>
        <v>1</v>
      </c>
      <c r="T110" s="195" t="str">
        <f t="shared" si="26"/>
        <v>NorthBound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 t="shared" si="27"/>
        <v>https://d0f6bd738d7f1b3e5a7ca70fe4ff75f0.us-east-1.aws.found.io/app/kibana#/discover/Steve-Slow-Train-Analysis-(2080s-and-2083s)?_g=(refreshInterval:(display:Off,pause:!f,section:0,value:0),time:(from:'2017-06-14T14:39:41-0600',mode:absolute,to:'2017-06-14T17:20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0" s="197" t="str">
        <f>IF(AA110&lt;VLOOKUP(AG110,Variables!$AC$3:$AD$8,2,FALSE),"Y","N")</f>
        <v>N</v>
      </c>
      <c r="X110" s="197">
        <f t="shared" si="28"/>
        <v>1</v>
      </c>
      <c r="Y110" s="197">
        <f t="shared" si="42"/>
        <v>4.8000000000000001E-2</v>
      </c>
      <c r="Z110" s="197">
        <f t="shared" si="43"/>
        <v>23.334900000000001</v>
      </c>
      <c r="AA110" s="197">
        <f t="shared" si="31"/>
        <v>23.286900000000003</v>
      </c>
      <c r="AB110" s="54" t="e">
        <f>VLOOKUP(A110,Enforcements!$C$7:$K$13,8,0)</f>
        <v>#N/A</v>
      </c>
      <c r="AC110" s="51" t="e">
        <f>VLOOKUP(A110,Enforcements!$C$7:$E$13,3,0)</f>
        <v>#N/A</v>
      </c>
      <c r="AD110" s="206">
        <f t="shared" si="32"/>
        <v>197</v>
      </c>
      <c r="AE110" s="77" t="str">
        <f t="shared" si="33"/>
        <v>aws s3 cp s3://rtdc.mdm.uploadarchive.raw/RTDC4004/ "%USERPROFILE%\AppData\Local\Temp\OnboardLogs"\RTDC4004\2017-06-14 --exclude "*" --recursive --include "*20170614*" &amp; "%USERPROFILE%\Documents\GitHub\mrs-test-scripts\Headless Mode &amp; Sideloading\WalkAndUnGZ.bat" "%USERPROFILE%\AppData\Local\Temp\OnboardLogs"\RTDC4004\2017-06-14 &amp; aws s3 cp s3://rtdc.mdm.uploadarchive.raw/RTDC4004/ "%USERPROFILE%\AppData\Local\Temp\OnboardLogs"\RTDC4004\2017-06-15 --exclude "*" --recursive --include "*20170615*" &amp; "%USERPROFILE%\Documents\GitHub\mrs-test-scripts\Headless Mode &amp; Sideloading\WalkAndUnGZ.bat" "%USERPROFILE%\AppData\Local\Temp\OnboardLogs"\RTDC4004\2017-06-15</v>
      </c>
      <c r="AF110" s="74" t="str">
        <f t="shared" si="34"/>
        <v>"C:\Program Files (x86)\AstroGrep\AstroGrep.exe" /e /r /s /spath="%USERPROFILE%\AppData\Local\Temp\OnboardLogs" /stypes="app*4004*20170614*" /stext=" 22:.+((SYSTEM_STATE.+slice.+state.+changed )|(ment ac)|(multiple cpu faults)|(system.+state.+changed )|(\[timeout)|(PRM\|1\|D)|(kpr)|(kdp)|(train st.+moving)|(\|lc)|(penalty))"</v>
      </c>
      <c r="AG110" s="209" t="str">
        <f t="shared" si="39"/>
        <v>EC</v>
      </c>
      <c r="AH110" s="78" t="str">
        <f t="shared" si="35"/>
        <v>"%USERPROFILE%\Documents\GitHub\eaglep3\Utilities\RefineRTDCRunTimes.py" --tripid 197-14 --locoid 4004 --swversion DE.1.0.9.0 --startMP 204:480 --initTime 2017-06-14T15:39:41 --startdatetime 2017-06-14T15:45:13 --delay 1 --endMP 204:233349 --enddatetime 2017-06-14T16:20:34 --enforcementcount 2 &gt;&gt;C:\Users\stu\Documents\GitHub\eaglep3-reporting\EC\2017-06-14-refined-times.txt</v>
      </c>
      <c r="AI110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{"issue":{"subject":"","project_id":79,"tracker_id":40,"status_id":1,"priority_id":2,"assigned_to_id":23,"start_date":"2017-06-14","description":"","custom_fields":[{"id":1,"name":"Subdivision","value":"EC"},{"id":4,"name":"Milepost","value":"23.3349"},{"id":17,"name":"Train ID","value":"197-14"},{"id":16,"name":"Locomotive ID","value":"4004"},{"id":130,"name":"Impact","value":""},{"id":150,"name":"Time of Event (Mountain Time)","value":"16:20:34"},{"id":151,"name":"Denver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37"/>
        <v>start /low /b %USERPROFILE%\Documents\GitHub\eaglep3\Utilities\DownloadLogsFromS3.py --loco 4004 --day 2017-06-14</v>
      </c>
      <c r="AN110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22:20:34"},{"id":29,"name":"Sharepoint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72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632</v>
      </c>
      <c r="B111" s="7">
        <v>4003</v>
      </c>
      <c r="C111" s="21" t="s">
        <v>202</v>
      </c>
      <c r="D111" s="21" t="s">
        <v>480</v>
      </c>
      <c r="E111" s="13">
        <v>42900.688634259262</v>
      </c>
      <c r="F111" s="13">
        <v>42900.69599537037</v>
      </c>
      <c r="G111" s="7">
        <v>1</v>
      </c>
      <c r="H111" s="21" t="s">
        <v>360</v>
      </c>
      <c r="I111" s="13">
        <v>42900.723738425928</v>
      </c>
      <c r="J111" s="7">
        <v>2</v>
      </c>
      <c r="K111" s="89" t="str">
        <f t="shared" si="24"/>
        <v>4003/4004</v>
      </c>
      <c r="L111" s="21" t="str">
        <f>VLOOKUP(A111,'Trips&amp;Operators'!$C$1:$G$99999,5,FALSE)</f>
        <v>DELGADO DIANAH</v>
      </c>
      <c r="M111" s="6">
        <f t="shared" si="25"/>
        <v>2.7743055557948537E-2</v>
      </c>
      <c r="N111" s="7">
        <f t="shared" si="40"/>
        <v>39.950000003445894</v>
      </c>
      <c r="O111" s="7"/>
      <c r="P111" s="7"/>
      <c r="Q111" s="22"/>
      <c r="R111" s="170"/>
      <c r="S111" s="215">
        <f t="shared" si="41"/>
        <v>1</v>
      </c>
      <c r="T111" s="195" t="str">
        <f t="shared" si="26"/>
        <v>Southbound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 t="shared" si="27"/>
        <v>https://d0f6bd738d7f1b3e5a7ca70fe4ff75f0.us-east-1.aws.found.io/app/kibana#/discover/Steve-Slow-Train-Analysis-(2080s-and-2083s)?_g=(refreshInterval:(display:Off,pause:!f,section:0,value:0),time:(from:'2017-06-14T15:31:38-0600',mode:absolute,to:'2017-06-14T18:22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1" s="197" t="str">
        <f>IF(AA111&lt;VLOOKUP(AG111,Variables!$AC$3:$AD$8,2,FALSE),"Y","N")</f>
        <v>N</v>
      </c>
      <c r="X111" s="197">
        <f t="shared" si="28"/>
        <v>1</v>
      </c>
      <c r="Y111" s="197">
        <f t="shared" si="42"/>
        <v>23.3019</v>
      </c>
      <c r="Z111" s="197">
        <f t="shared" si="43"/>
        <v>1.47E-2</v>
      </c>
      <c r="AA111" s="197">
        <f t="shared" si="31"/>
        <v>23.287199999999999</v>
      </c>
      <c r="AB111" s="54" t="e">
        <f>VLOOKUP(A111,Enforcements!$C$7:$K$13,8,0)</f>
        <v>#N/A</v>
      </c>
      <c r="AC111" s="51" t="e">
        <f>VLOOKUP(A111,Enforcements!$C$7:$E$13,3,0)</f>
        <v>#N/A</v>
      </c>
      <c r="AD111" s="206">
        <f t="shared" si="32"/>
        <v>198</v>
      </c>
      <c r="AE111" s="77" t="str">
        <f t="shared" si="33"/>
        <v>aws s3 cp s3://rtdc.mdm.uploadarchive.raw/RTDC4003/ "%USERPROFILE%\AppData\Local\Temp\OnboardLogs"\RTDC4003\2017-06-14 --exclude "*" --recursive --include "*20170614*" &amp; "%USERPROFILE%\Documents\GitHub\mrs-test-scripts\Headless Mode &amp; Sideloading\WalkAndUnGZ.bat" "%USERPROFILE%\AppData\Local\Temp\OnboardLogs"\RTDC4003\2017-06-14 &amp; aws s3 cp s3://rtdc.mdm.uploadarchive.raw/RTDC4003/ "%USERPROFILE%\AppData\Local\Temp\OnboardLogs"\RTDC4003\2017-06-15 --exclude "*" --recursive --include "*20170615*" &amp; "%USERPROFILE%\Documents\GitHub\mrs-test-scripts\Headless Mode &amp; Sideloading\WalkAndUnGZ.bat" "%USERPROFILE%\AppData\Local\Temp\OnboardLogs"\RTDC4003\2017-06-15</v>
      </c>
      <c r="AF111" s="74" t="str">
        <f t="shared" si="34"/>
        <v>"C:\Program Files (x86)\AstroGrep\AstroGrep.exe" /e /r /s /spath="%USERPROFILE%\AppData\Local\Temp\OnboardLogs" /stypes="app*4003*20170614*" /stext=" 23:.+((SYSTEM_STATE.+slice.+state.+changed )|(ment ac)|(multiple cpu faults)|(system.+state.+changed )|(\[timeout)|(PRM\|1\|D)|(kpr)|(kdp)|(train st.+moving)|(\|lc)|(penalty))"</v>
      </c>
      <c r="AG111" s="209" t="str">
        <f t="shared" si="39"/>
        <v>EC</v>
      </c>
      <c r="AH111" s="78" t="str">
        <f t="shared" si="35"/>
        <v>"%USERPROFILE%\Documents\GitHub\eaglep3\Utilities\RefineRTDCRunTimes.py" --tripid 198-14 --locoid 4003 --swversion DE.1.0.9.0 --startMP 204:233019 --initTime 2017-06-14T16:31:38 --startdatetime 2017-06-14T16:42:14 --delay 1 --endMP 204:147 --enddatetime 2017-06-14T17:22:11 --enforcementcount 2 &gt;&gt;C:\Users\stu\Documents\GitHub\eaglep3-reporting\EC\2017-06-14-refined-times.txt</v>
      </c>
      <c r="AI111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{"issue":{"subject":"","project_id":79,"tracker_id":40,"status_id":1,"priority_id":2,"assigned_to_id":23,"start_date":"2017-06-14","description":"","custom_fields":[{"id":1,"name":"Subdivision","value":"EC"},{"id":4,"name":"Milepost","value":"0.0147"},{"id":17,"name":"Train ID","value":"198-14"},{"id":16,"name":"Locomotive ID","value":"4003"},{"id":130,"name":"Impact","value":""},{"id":150,"name":"Time of Event (Mountain Time)","value":"17:22:11"},{"id":151,"name":"Denver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37"/>
        <v>start /low /b %USERPROFILE%\Documents\GitHub\eaglep3\Utilities\DownloadLogsFromS3.py --loco 4003 --day 2017-06-14</v>
      </c>
      <c r="AN111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23:22:11"},{"id":29,"name":"Sharepoint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72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780</v>
      </c>
      <c r="B112" s="7">
        <v>4044</v>
      </c>
      <c r="C112" s="21" t="s">
        <v>202</v>
      </c>
      <c r="D112" s="21" t="s">
        <v>356</v>
      </c>
      <c r="E112" s="13">
        <v>42900.664780092593</v>
      </c>
      <c r="F112" s="13">
        <v>42900.666921296295</v>
      </c>
      <c r="G112" s="7">
        <v>1</v>
      </c>
      <c r="H112" s="21" t="s">
        <v>520</v>
      </c>
      <c r="I112" s="13">
        <v>42900.693912037037</v>
      </c>
      <c r="J112" s="7">
        <v>2</v>
      </c>
      <c r="K112" s="89" t="str">
        <f t="shared" si="24"/>
        <v>4043/4044</v>
      </c>
      <c r="L112" s="21" t="str">
        <f>VLOOKUP(A112,'Trips&amp;Operators'!$C$1:$G$99999,5,FALSE)</f>
        <v>DAVIS MICHAEL</v>
      </c>
      <c r="M112" s="6">
        <f t="shared" si="25"/>
        <v>2.6990740741894115E-2</v>
      </c>
      <c r="N112" s="7">
        <f t="shared" si="40"/>
        <v>38.866666668327525</v>
      </c>
      <c r="O112" s="7"/>
      <c r="P112" s="7"/>
      <c r="Q112" s="22"/>
      <c r="R112" s="170"/>
      <c r="S112" s="215">
        <f t="shared" si="41"/>
        <v>1</v>
      </c>
      <c r="T112" s="195" t="str">
        <f t="shared" si="26"/>
        <v>NorthBound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 t="shared" si="27"/>
        <v>https://d0f6bd738d7f1b3e5a7ca70fe4ff75f0.us-east-1.aws.found.io/app/kibana#/discover/Steve-Slow-Train-Analysis-(2080s-and-2083s)?_g=(refreshInterval:(display:Off,pause:!f,section:0,value:0),time:(from:'2017-06-14T14:57:17-0600',mode:absolute,to:'2017-06-14T17:39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2" s="197" t="str">
        <f>IF(AA112&lt;VLOOKUP(AG112,Variables!$AC$3:$AD$8,2,FALSE),"Y","N")</f>
        <v>N</v>
      </c>
      <c r="X112" s="197">
        <f t="shared" si="28"/>
        <v>1</v>
      </c>
      <c r="Y112" s="197">
        <f t="shared" si="42"/>
        <v>4.4699999999999997E-2</v>
      </c>
      <c r="Z112" s="197">
        <f t="shared" si="43"/>
        <v>23.328399999999998</v>
      </c>
      <c r="AA112" s="197">
        <f t="shared" si="31"/>
        <v>23.2837</v>
      </c>
      <c r="AB112" s="54" t="e">
        <f>VLOOKUP(A112,Enforcements!$C$7:$K$13,8,0)</f>
        <v>#N/A</v>
      </c>
      <c r="AC112" s="51" t="e">
        <f>VLOOKUP(A112,Enforcements!$C$7:$E$13,3,0)</f>
        <v>#N/A</v>
      </c>
      <c r="AD112" s="206">
        <f t="shared" si="32"/>
        <v>199</v>
      </c>
      <c r="AE112" s="77" t="str">
        <f t="shared" si="33"/>
        <v>aws s3 cp s3://rtdc.mdm.uploadarchive.raw/RTDC4044/ "%USERPROFILE%\AppData\Local\Temp\OnboardLogs"\RTDC4044\2017-06-14 --exclude "*" --recursive --include "*20170614*" &amp; "%USERPROFILE%\Documents\GitHub\mrs-test-scripts\Headless Mode &amp; Sideloading\WalkAndUnGZ.bat" "%USERPROFILE%\AppData\Local\Temp\OnboardLogs"\RTDC4044\2017-06-14 &amp; aws s3 cp s3://rtdc.mdm.uploadarchive.raw/RTDC4044/ "%USERPROFILE%\AppData\Local\Temp\OnboardLogs"\RTDC4044\2017-06-15 --exclude "*" --recursive --include "*20170615*" &amp; "%USERPROFILE%\Documents\GitHub\mrs-test-scripts\Headless Mode &amp; Sideloading\WalkAndUnGZ.bat" "%USERPROFILE%\AppData\Local\Temp\OnboardLogs"\RTDC4044\2017-06-15</v>
      </c>
      <c r="AF112" s="74" t="str">
        <f t="shared" si="34"/>
        <v>"C:\Program Files (x86)\AstroGrep\AstroGrep.exe" /e /r /s /spath="%USERPROFILE%\AppData\Local\Temp\OnboardLogs" /stypes="app*4044*20170614*" /stext=" 22:.+((SYSTEM_STATE.+slice.+state.+changed )|(ment ac)|(multiple cpu faults)|(system.+state.+changed )|(\[timeout)|(PRM\|1\|D)|(kpr)|(kdp)|(train st.+moving)|(\|lc)|(penalty))"</v>
      </c>
      <c r="AG112" s="209" t="str">
        <f t="shared" si="39"/>
        <v>EC</v>
      </c>
      <c r="AH112" s="78" t="str">
        <f t="shared" si="35"/>
        <v>"%USERPROFILE%\Documents\GitHub\eaglep3\Utilities\RefineRTDCRunTimes.py" --tripid 199-14 --locoid 4044 --swversion DE.1.0.9.0 --startMP 204:447 --initTime 2017-06-14T15:57:17 --startdatetime 2017-06-14T16:00:22 --delay 1 --endMP 204:233284 --enddatetime 2017-06-14T16:39:14 --enforcementcount 2 &gt;&gt;C:\Users\stu\Documents\GitHub\eaglep3-reporting\EC\2017-06-14-refined-times.txt</v>
      </c>
      <c r="AI112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{"issue":{"subject":"","project_id":79,"tracker_id":40,"status_id":1,"priority_id":2,"assigned_to_id":23,"start_date":"2017-06-14","description":"","custom_fields":[{"id":1,"name":"Subdivision","value":"EC"},{"id":4,"name":"Milepost","value":"23.3284"},{"id":17,"name":"Train ID","value":"199-14"},{"id":16,"name":"Locomotive ID","value":"4044"},{"id":130,"name":"Impact","value":""},{"id":150,"name":"Time of Event (Mountain Time)","value":"16:39:14"},{"id":151,"name":"Denver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37"/>
        <v>start /low /b %USERPROFILE%\Documents\GitHub\eaglep3\Utilities\DownloadLogsFromS3.py --loco 4044 --day 2017-06-14</v>
      </c>
      <c r="AN112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22:39:14"},{"id":29,"name":"Sharepoint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7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788</v>
      </c>
      <c r="B113" s="7">
        <v>4043</v>
      </c>
      <c r="C113" s="21" t="s">
        <v>202</v>
      </c>
      <c r="D113" s="21" t="s">
        <v>861</v>
      </c>
      <c r="E113" s="13">
        <v>42900.705567129633</v>
      </c>
      <c r="F113" s="13">
        <v>42900.706967592596</v>
      </c>
      <c r="G113" s="7">
        <v>1</v>
      </c>
      <c r="H113" s="21" t="s">
        <v>442</v>
      </c>
      <c r="I113" s="13">
        <v>42900.734884259262</v>
      </c>
      <c r="J113" s="7">
        <v>2</v>
      </c>
      <c r="K113" s="89" t="str">
        <f t="shared" si="24"/>
        <v>4043/4044</v>
      </c>
      <c r="L113" s="21" t="str">
        <f>VLOOKUP(A113,'Trips&amp;Operators'!$C$1:$G$99999,5,FALSE)</f>
        <v>DAVIS MICHAEL</v>
      </c>
      <c r="M113" s="6">
        <f t="shared" si="25"/>
        <v>2.7916666665987577E-2</v>
      </c>
      <c r="N113" s="7">
        <f t="shared" si="40"/>
        <v>40.199999999022111</v>
      </c>
      <c r="O113" s="7"/>
      <c r="P113" s="7"/>
      <c r="Q113" s="22"/>
      <c r="R113" s="170"/>
      <c r="S113" s="215">
        <f t="shared" si="41"/>
        <v>1</v>
      </c>
      <c r="T113" s="195" t="str">
        <f t="shared" si="26"/>
        <v>Southbound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 t="shared" si="27"/>
        <v>https://d0f6bd738d7f1b3e5a7ca70fe4ff75f0.us-east-1.aws.found.io/app/kibana#/discover/Steve-Slow-Train-Analysis-(2080s-and-2083s)?_g=(refreshInterval:(display:Off,pause:!f,section:0,value:0),time:(from:'2017-06-14T15:56:01-0600',mode:absolute,to:'2017-06-14T18:38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3" s="197" t="str">
        <f>IF(AA113&lt;VLOOKUP(AG113,Variables!$AC$3:$AD$8,2,FALSE),"Y","N")</f>
        <v>N</v>
      </c>
      <c r="X113" s="197">
        <f t="shared" si="28"/>
        <v>1</v>
      </c>
      <c r="Y113" s="197">
        <f t="shared" si="42"/>
        <v>23.299800000000001</v>
      </c>
      <c r="Z113" s="197">
        <f t="shared" si="43"/>
        <v>1.5599999999999999E-2</v>
      </c>
      <c r="AA113" s="197">
        <f t="shared" si="31"/>
        <v>23.284200000000002</v>
      </c>
      <c r="AB113" s="54" t="e">
        <f>VLOOKUP(A113,Enforcements!$C$7:$K$13,8,0)</f>
        <v>#N/A</v>
      </c>
      <c r="AC113" s="51" t="e">
        <f>VLOOKUP(A113,Enforcements!$C$7:$E$13,3,0)</f>
        <v>#N/A</v>
      </c>
      <c r="AD113" s="206">
        <f t="shared" si="32"/>
        <v>200</v>
      </c>
      <c r="AE113" s="77" t="str">
        <f t="shared" si="33"/>
        <v>aws s3 cp s3://rtdc.mdm.uploadarchive.raw/RTDC4043/ "%USERPROFILE%\AppData\Local\Temp\OnboardLogs"\RTDC4043\2017-06-14 --exclude "*" --recursive --include "*20170614*" &amp; "%USERPROFILE%\Documents\GitHub\mrs-test-scripts\Headless Mode &amp; Sideloading\WalkAndUnGZ.bat" "%USERPROFILE%\AppData\Local\Temp\OnboardLogs"\RTDC4043\2017-06-14 &amp; aws s3 cp s3://rtdc.mdm.uploadarchive.raw/RTDC4043/ "%USERPROFILE%\AppData\Local\Temp\OnboardLogs"\RTDC4043\2017-06-15 --exclude "*" --recursive --include "*20170615*" &amp; "%USERPROFILE%\Documents\GitHub\mrs-test-scripts\Headless Mode &amp; Sideloading\WalkAndUnGZ.bat" "%USERPROFILE%\AppData\Local\Temp\OnboardLogs"\RTDC4043\2017-06-15</v>
      </c>
      <c r="AF113" s="74" t="str">
        <f t="shared" si="34"/>
        <v>"C:\Program Files (x86)\AstroGrep\AstroGrep.exe" /e /r /s /spath="%USERPROFILE%\AppData\Local\Temp\OnboardLogs" /stypes="app*4043*20170614*" /stext=" 23:.+((SYSTEM_STATE.+slice.+state.+changed )|(ment ac)|(multiple cpu faults)|(system.+state.+changed )|(\[timeout)|(PRM\|1\|D)|(kpr)|(kdp)|(train st.+moving)|(\|lc)|(penalty))"</v>
      </c>
      <c r="AG113" s="209" t="str">
        <f t="shared" si="39"/>
        <v>EC</v>
      </c>
      <c r="AH113" s="78" t="str">
        <f t="shared" si="35"/>
        <v>"%USERPROFILE%\Documents\GitHub\eaglep3\Utilities\RefineRTDCRunTimes.py" --tripid 200-14 --locoid 4043 --swversion DE.1.0.9.0 --startMP 204:232998 --initTime 2017-06-14T16:56:01 --startdatetime 2017-06-14T16:58:02 --delay 1 --endMP 204:156 --enddatetime 2017-06-14T17:38:14 --enforcementcount 2 &gt;&gt;C:\Users\stu\Documents\GitHub\eaglep3-reporting\EC\2017-06-14-refined-times.txt</v>
      </c>
      <c r="AI113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{"issue":{"subject":"","project_id":79,"tracker_id":40,"status_id":1,"priority_id":2,"assigned_to_id":23,"start_date":"2017-06-14","description":"","custom_fields":[{"id":1,"name":"Subdivision","value":"EC"},{"id":4,"name":"Milepost","value":"0.0156"},{"id":17,"name":"Train ID","value":"200-14"},{"id":16,"name":"Locomotive ID","value":"4043"},{"id":130,"name":"Impact","value":""},{"id":150,"name":"Time of Event (Mountain Time)","value":"17:38:14"},{"id":151,"name":"Denver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37"/>
        <v>start /low /b %USERPROFILE%\Documents\GitHub\eaglep3\Utilities\DownloadLogsFromS3.py --loco 4043 --day 2017-06-14</v>
      </c>
      <c r="AN113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23:38:14"},{"id":29,"name":"Sharepoint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72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782</v>
      </c>
      <c r="B114" s="7">
        <v>4008</v>
      </c>
      <c r="C114" s="21" t="s">
        <v>202</v>
      </c>
      <c r="D114" s="21" t="s">
        <v>198</v>
      </c>
      <c r="E114" s="13">
        <v>42900.674398148149</v>
      </c>
      <c r="F114" s="13">
        <v>42900.677303240744</v>
      </c>
      <c r="G114" s="7">
        <v>1</v>
      </c>
      <c r="H114" s="21" t="s">
        <v>567</v>
      </c>
      <c r="I114" s="13">
        <v>42900.702337962961</v>
      </c>
      <c r="J114" s="7">
        <v>2</v>
      </c>
      <c r="K114" s="89" t="str">
        <f t="shared" si="24"/>
        <v>4007/4008</v>
      </c>
      <c r="L114" s="21" t="str">
        <f>VLOOKUP(A114,'Trips&amp;Operators'!$C$1:$G$99999,5,FALSE)</f>
        <v>HOLCOMB KAMDEN</v>
      </c>
      <c r="M114" s="6">
        <f t="shared" si="25"/>
        <v>2.5034722217242233E-2</v>
      </c>
      <c r="N114" s="7">
        <f t="shared" si="40"/>
        <v>36.049999992828816</v>
      </c>
      <c r="O114" s="7"/>
      <c r="P114" s="7"/>
      <c r="Q114" s="22"/>
      <c r="R114" s="170"/>
      <c r="S114" s="215">
        <f t="shared" si="41"/>
        <v>1</v>
      </c>
      <c r="T114" s="195" t="str">
        <f t="shared" si="26"/>
        <v>NorthBound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 t="shared" si="27"/>
        <v>https://d0f6bd738d7f1b3e5a7ca70fe4ff75f0.us-east-1.aws.found.io/app/kibana#/discover/Steve-Slow-Train-Analysis-(2080s-and-2083s)?_g=(refreshInterval:(display:Off,pause:!f,section:0,value:0),time:(from:'2017-06-14T15:11:08-0600',mode:absolute,to:'2017-06-14T17:51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4" s="197" t="str">
        <f>IF(AA114&lt;VLOOKUP(AG114,Variables!$AC$3:$AD$8,2,FALSE),"Y","N")</f>
        <v>N</v>
      </c>
      <c r="X114" s="197">
        <f t="shared" si="28"/>
        <v>1</v>
      </c>
      <c r="Y114" s="197">
        <f t="shared" si="42"/>
        <v>4.5699999999999998E-2</v>
      </c>
      <c r="Z114" s="197">
        <f t="shared" si="43"/>
        <v>23.330400000000001</v>
      </c>
      <c r="AA114" s="197">
        <f t="shared" si="31"/>
        <v>23.284700000000001</v>
      </c>
      <c r="AB114" s="54" t="e">
        <f>VLOOKUP(A114,Enforcements!$C$7:$K$13,8,0)</f>
        <v>#N/A</v>
      </c>
      <c r="AC114" s="51" t="e">
        <f>VLOOKUP(A114,Enforcements!$C$7:$E$13,3,0)</f>
        <v>#N/A</v>
      </c>
      <c r="AD114" s="206">
        <f t="shared" si="32"/>
        <v>201</v>
      </c>
      <c r="AE114" s="77" t="str">
        <f t="shared" si="33"/>
        <v>aws s3 cp s3://rtdc.mdm.uploadarchive.raw/RTDC4008/ "%USERPROFILE%\AppData\Local\Temp\OnboardLogs"\RTDC4008\2017-06-14 --exclude "*" --recursive --include "*20170614*" &amp; "%USERPROFILE%\Documents\GitHub\mrs-test-scripts\Headless Mode &amp; Sideloading\WalkAndUnGZ.bat" "%USERPROFILE%\AppData\Local\Temp\OnboardLogs"\RTDC4008\2017-06-14 &amp; aws s3 cp s3://rtdc.mdm.uploadarchive.raw/RTDC4008/ "%USERPROFILE%\AppData\Local\Temp\OnboardLogs"\RTDC4008\2017-06-15 --exclude "*" --recursive --include "*20170615*" &amp; "%USERPROFILE%\Documents\GitHub\mrs-test-scripts\Headless Mode &amp; Sideloading\WalkAndUnGZ.bat" "%USERPROFILE%\AppData\Local\Temp\OnboardLogs"\RTDC4008\2017-06-15</v>
      </c>
      <c r="AF114" s="74" t="str">
        <f t="shared" si="34"/>
        <v>"C:\Program Files (x86)\AstroGrep\AstroGrep.exe" /e /r /s /spath="%USERPROFILE%\AppData\Local\Temp\OnboardLogs" /stypes="app*4008*20170614*" /stext=" 22:.+((SYSTEM_STATE.+slice.+state.+changed )|(ment ac)|(multiple cpu faults)|(system.+state.+changed )|(\[timeout)|(PRM\|1\|D)|(kpr)|(kdp)|(train st.+moving)|(\|lc)|(penalty))"</v>
      </c>
      <c r="AG114" s="209" t="str">
        <f t="shared" si="39"/>
        <v>EC</v>
      </c>
      <c r="AH114" s="78" t="str">
        <f t="shared" si="35"/>
        <v>"%USERPROFILE%\Documents\GitHub\eaglep3\Utilities\RefineRTDCRunTimes.py" --tripid 201-14 --locoid 4008 --swversion DE.1.0.9.0 --startMP 204:457 --initTime 2017-06-14T16:11:08 --startdatetime 2017-06-14T16:15:19 --delay 1 --endMP 204:233304 --enddatetime 2017-06-14T16:51:22 --enforcementcount 2 &gt;&gt;C:\Users\stu\Documents\GitHub\eaglep3-reporting\EC\2017-06-14-refined-times.txt</v>
      </c>
      <c r="AI114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{"issue":{"subject":"","project_id":79,"tracker_id":40,"status_id":1,"priority_id":2,"assigned_to_id":23,"start_date":"2017-06-14","description":"","custom_fields":[{"id":1,"name":"Subdivision","value":"EC"},{"id":4,"name":"Milepost","value":"23.3304"},{"id":17,"name":"Train ID","value":"201-14"},{"id":16,"name":"Locomotive ID","value":"4008"},{"id":130,"name":"Impact","value":""},{"id":150,"name":"Time of Event (Mountain Time)","value":"16:51:22"},{"id":151,"name":"Denver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37"/>
        <v>start /low /b %USERPROFILE%\Documents\GitHub\eaglep3\Utilities\DownloadLogsFromS3.py --loco 4008 --day 2017-06-14</v>
      </c>
      <c r="AN114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22:51:22"},{"id":29,"name":"Sharepoint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72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791</v>
      </c>
      <c r="B115" s="7">
        <v>4007</v>
      </c>
      <c r="C115" s="21" t="s">
        <v>202</v>
      </c>
      <c r="D115" s="21" t="s">
        <v>482</v>
      </c>
      <c r="E115" s="13">
        <v>42900.713796296295</v>
      </c>
      <c r="F115" s="13">
        <v>42900.716840277775</v>
      </c>
      <c r="G115" s="7">
        <v>1</v>
      </c>
      <c r="H115" s="21" t="s">
        <v>421</v>
      </c>
      <c r="I115" s="13">
        <v>42900.743449074071</v>
      </c>
      <c r="J115" s="7">
        <v>2</v>
      </c>
      <c r="K115" s="89" t="str">
        <f t="shared" si="24"/>
        <v>4007/4008</v>
      </c>
      <c r="L115" s="21" t="str">
        <f>VLOOKUP(A115,'Trips&amp;Operators'!$C$1:$G$99999,5,FALSE)</f>
        <v>HOLCOMB KAMDEN</v>
      </c>
      <c r="M115" s="6">
        <f t="shared" si="25"/>
        <v>2.6608796295477077E-2</v>
      </c>
      <c r="N115" s="7">
        <f t="shared" si="40"/>
        <v>38.316666665486991</v>
      </c>
      <c r="O115" s="7"/>
      <c r="P115" s="7"/>
      <c r="Q115" s="22"/>
      <c r="R115" s="170"/>
      <c r="S115" s="215">
        <f t="shared" si="41"/>
        <v>1</v>
      </c>
      <c r="T115" s="195" t="str">
        <f t="shared" si="26"/>
        <v>Southbound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 t="shared" si="27"/>
        <v>https://d0f6bd738d7f1b3e5a7ca70fe4ff75f0.us-east-1.aws.found.io/app/kibana#/discover/Steve-Slow-Train-Analysis-(2080s-and-2083s)?_g=(refreshInterval:(display:Off,pause:!f,section:0,value:0),time:(from:'2017-06-14T16:07:52-0600',mode:absolute,to:'2017-06-14T18:50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5" s="197" t="str">
        <f>IF(AA115&lt;VLOOKUP(AG115,Variables!$AC$3:$AD$8,2,FALSE),"Y","N")</f>
        <v>N</v>
      </c>
      <c r="X115" s="197">
        <f t="shared" si="28"/>
        <v>1</v>
      </c>
      <c r="Y115" s="197">
        <f t="shared" si="42"/>
        <v>23.299099999999999</v>
      </c>
      <c r="Z115" s="197">
        <f t="shared" si="43"/>
        <v>1.4500000000000001E-2</v>
      </c>
      <c r="AA115" s="197">
        <f t="shared" si="31"/>
        <v>23.284599999999998</v>
      </c>
      <c r="AB115" s="54" t="e">
        <f>VLOOKUP(A115,Enforcements!$C$7:$K$13,8,0)</f>
        <v>#N/A</v>
      </c>
      <c r="AC115" s="51" t="e">
        <f>VLOOKUP(A115,Enforcements!$C$7:$E$13,3,0)</f>
        <v>#N/A</v>
      </c>
      <c r="AD115" s="206">
        <f t="shared" si="32"/>
        <v>202</v>
      </c>
      <c r="AE115" s="77" t="str">
        <f t="shared" si="33"/>
        <v>aws s3 cp s3://rtdc.mdm.uploadarchive.raw/RTDC4007/ "%USERPROFILE%\AppData\Local\Temp\OnboardLogs"\RTDC4007\2017-06-14 --exclude "*" --recursive --include "*20170614*" &amp; "%USERPROFILE%\Documents\GitHub\mrs-test-scripts\Headless Mode &amp; Sideloading\WalkAndUnGZ.bat" "%USERPROFILE%\AppData\Local\Temp\OnboardLogs"\RTDC4007\2017-06-14 &amp; aws s3 cp s3://rtdc.mdm.uploadarchive.raw/RTDC4007/ "%USERPROFILE%\AppData\Local\Temp\OnboardLogs"\RTDC4007\2017-06-15 --exclude "*" --recursive --include "*20170615*" &amp; "%USERPROFILE%\Documents\GitHub\mrs-test-scripts\Headless Mode &amp; Sideloading\WalkAndUnGZ.bat" "%USERPROFILE%\AppData\Local\Temp\OnboardLogs"\RTDC4007\2017-06-15</v>
      </c>
      <c r="AF115" s="74" t="str">
        <f t="shared" si="34"/>
        <v>"C:\Program Files (x86)\AstroGrep\AstroGrep.exe" /e /r /s /spath="%USERPROFILE%\AppData\Local\Temp\OnboardLogs" /stypes="app*4007*20170614*" /stext=" 23:.+((SYSTEM_STATE.+slice.+state.+changed )|(ment ac)|(multiple cpu faults)|(system.+state.+changed )|(\[timeout)|(PRM\|1\|D)|(kpr)|(kdp)|(train st.+moving)|(\|lc)|(penalty))"</v>
      </c>
      <c r="AG115" s="209" t="str">
        <f t="shared" si="39"/>
        <v>EC</v>
      </c>
      <c r="AH115" s="78" t="str">
        <f t="shared" si="35"/>
        <v>"%USERPROFILE%\Documents\GitHub\eaglep3\Utilities\RefineRTDCRunTimes.py" --tripid 202-14 --locoid 4007 --swversion DE.1.0.9.0 --startMP 204:232991 --initTime 2017-06-14T17:07:52 --startdatetime 2017-06-14T17:12:15 --delay 1 --endMP 204:145 --enddatetime 2017-06-14T17:50:34 --enforcementcount 2 &gt;&gt;C:\Users\stu\Documents\GitHub\eaglep3-reporting\EC\2017-06-14-refined-times.txt</v>
      </c>
      <c r="AI115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{"issue":{"subject":"","project_id":79,"tracker_id":40,"status_id":1,"priority_id":2,"assigned_to_id":23,"start_date":"2017-06-14","description":"","custom_fields":[{"id":1,"name":"Subdivision","value":"EC"},{"id":4,"name":"Milepost","value":"0.0145"},{"id":17,"name":"Train ID","value":"202-14"},{"id":16,"name":"Locomotive ID","value":"4007"},{"id":130,"name":"Impact","value":""},{"id":150,"name":"Time of Event (Mountain Time)","value":"17:50:34"},{"id":151,"name":"Denver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37"/>
        <v>start /low /b %USERPROFILE%\Documents\GitHub\eaglep3\Utilities\DownloadLogsFromS3.py --loco 4007 --day 2017-06-14</v>
      </c>
      <c r="AN115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23:50:34"},{"id":29,"name":"Sharepoint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72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784</v>
      </c>
      <c r="B116" s="7">
        <v>4016</v>
      </c>
      <c r="C116" s="21" t="s">
        <v>202</v>
      </c>
      <c r="D116" s="21" t="s">
        <v>579</v>
      </c>
      <c r="E116" s="13">
        <v>42900.683263888888</v>
      </c>
      <c r="F116" s="13">
        <v>42900.687696759262</v>
      </c>
      <c r="G116" s="7">
        <v>1</v>
      </c>
      <c r="H116" s="21" t="s">
        <v>562</v>
      </c>
      <c r="I116" s="13">
        <v>42900.713043981479</v>
      </c>
      <c r="J116" s="7">
        <v>2</v>
      </c>
      <c r="K116" s="89" t="str">
        <f t="shared" si="24"/>
        <v>4015/4016</v>
      </c>
      <c r="L116" s="21" t="str">
        <f>VLOOKUP(A116,'Trips&amp;Operators'!$C$1:$G$99999,5,FALSE)</f>
        <v>STEWART MICHAEL</v>
      </c>
      <c r="M116" s="6">
        <f t="shared" si="25"/>
        <v>2.5347222217533272E-2</v>
      </c>
      <c r="N116" s="7">
        <f t="shared" si="40"/>
        <v>36.499999993247911</v>
      </c>
      <c r="O116" s="7"/>
      <c r="P116" s="7"/>
      <c r="Q116" s="22"/>
      <c r="R116" s="170"/>
      <c r="S116" s="215">
        <f t="shared" si="41"/>
        <v>1</v>
      </c>
      <c r="T116" s="195" t="str">
        <f t="shared" si="26"/>
        <v>NorthBound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 t="shared" si="27"/>
        <v>https://d0f6bd738d7f1b3e5a7ca70fe4ff75f0.us-east-1.aws.found.io/app/kibana#/discover/Steve-Slow-Train-Analysis-(2080s-and-2083s)?_g=(refreshInterval:(display:Off,pause:!f,section:0,value:0),time:(from:'2017-06-14T15:23:54-0600',mode:absolute,to:'2017-06-14T18:06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6" s="197" t="str">
        <f>IF(AA116&lt;VLOOKUP(AG116,Variables!$AC$3:$AD$8,2,FALSE),"Y","N")</f>
        <v>N</v>
      </c>
      <c r="X116" s="197">
        <f t="shared" si="28"/>
        <v>1</v>
      </c>
      <c r="Y116" s="197">
        <f t="shared" si="42"/>
        <v>4.7699999999999999E-2</v>
      </c>
      <c r="Z116" s="197">
        <f t="shared" si="43"/>
        <v>23.327999999999999</v>
      </c>
      <c r="AA116" s="197">
        <f t="shared" si="31"/>
        <v>23.2803</v>
      </c>
      <c r="AB116" s="54" t="e">
        <f>VLOOKUP(A116,Enforcements!$C$7:$K$13,8,0)</f>
        <v>#N/A</v>
      </c>
      <c r="AC116" s="51" t="e">
        <f>VLOOKUP(A116,Enforcements!$C$7:$E$13,3,0)</f>
        <v>#N/A</v>
      </c>
      <c r="AD116" s="206">
        <f t="shared" si="32"/>
        <v>203</v>
      </c>
      <c r="AE116" s="77" t="str">
        <f t="shared" si="33"/>
        <v>aws s3 cp s3://rtdc.mdm.uploadarchive.raw/RTDC4016/ "%USERPROFILE%\AppData\Local\Temp\OnboardLogs"\RTDC4016\2017-06-14 --exclude "*" --recursive --include "*20170614*" &amp; "%USERPROFILE%\Documents\GitHub\mrs-test-scripts\Headless Mode &amp; Sideloading\WalkAndUnGZ.bat" "%USERPROFILE%\AppData\Local\Temp\OnboardLogs"\RTDC4016\2017-06-14 &amp; aws s3 cp s3://rtdc.mdm.uploadarchive.raw/RTDC4016/ "%USERPROFILE%\AppData\Local\Temp\OnboardLogs"\RTDC4016\2017-06-15 --exclude "*" --recursive --include "*20170615*" &amp; "%USERPROFILE%\Documents\GitHub\mrs-test-scripts\Headless Mode &amp; Sideloading\WalkAndUnGZ.bat" "%USERPROFILE%\AppData\Local\Temp\OnboardLogs"\RTDC4016\2017-06-15</v>
      </c>
      <c r="AF116" s="74" t="str">
        <f t="shared" si="34"/>
        <v>"C:\Program Files (x86)\AstroGrep\AstroGrep.exe" /e /r /s /spath="%USERPROFILE%\AppData\Local\Temp\OnboardLogs" /stypes="app*4016*20170614*" /stext=" 23:.+((SYSTEM_STATE.+slice.+state.+changed )|(ment ac)|(multiple cpu faults)|(system.+state.+changed )|(\[timeout)|(PRM\|1\|D)|(kpr)|(kdp)|(train st.+moving)|(\|lc)|(penalty))"</v>
      </c>
      <c r="AG116" s="209" t="str">
        <f t="shared" si="39"/>
        <v>EC</v>
      </c>
      <c r="AH116" s="78" t="str">
        <f t="shared" si="35"/>
        <v>"%USERPROFILE%\Documents\GitHub\eaglep3\Utilities\RefineRTDCRunTimes.py" --tripid 203-14 --locoid 4016 --swversion DE.1.0.9.0 --startMP 204:477 --initTime 2017-06-14T16:23:54 --startdatetime 2017-06-14T16:30:17 --delay 1 --endMP 204:233280 --enddatetime 2017-06-14T17:06:47 --enforcementcount 2 &gt;&gt;C:\Users\stu\Documents\GitHub\eaglep3-reporting\EC\2017-06-14-refined-times.txt</v>
      </c>
      <c r="AI116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{"issue":{"subject":"","project_id":79,"tracker_id":40,"status_id":1,"priority_id":2,"assigned_to_id":23,"start_date":"2017-06-14","description":"","custom_fields":[{"id":1,"name":"Subdivision","value":"EC"},{"id":4,"name":"Milepost","value":"23.328"},{"id":17,"name":"Train ID","value":"203-14"},{"id":16,"name":"Locomotive ID","value":"4016"},{"id":130,"name":"Impact","value":""},{"id":150,"name":"Time of Event (Mountain Time)","value":"17:06:47"},{"id":151,"name":"Denver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37"/>
        <v>start /low /b %USERPROFILE%\Documents\GitHub\eaglep3\Utilities\DownloadLogsFromS3.py --loco 4016 --day 2017-06-14</v>
      </c>
      <c r="AN116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23:06:47"},{"id":29,"name":"Sharepoint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72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793</v>
      </c>
      <c r="B117" s="7">
        <v>4015</v>
      </c>
      <c r="C117" s="21" t="s">
        <v>202</v>
      </c>
      <c r="D117" s="21" t="s">
        <v>563</v>
      </c>
      <c r="E117" s="13">
        <v>42900.72351851852</v>
      </c>
      <c r="F117" s="13">
        <v>42900.727395833332</v>
      </c>
      <c r="G117" s="7">
        <v>1</v>
      </c>
      <c r="H117" s="21" t="s">
        <v>360</v>
      </c>
      <c r="I117" s="13">
        <v>42900.75409722222</v>
      </c>
      <c r="J117" s="7">
        <v>2</v>
      </c>
      <c r="K117" s="89" t="str">
        <f t="shared" si="24"/>
        <v>4015/4016</v>
      </c>
      <c r="L117" s="21" t="str">
        <f>VLOOKUP(A117,'Trips&amp;Operators'!$C$1:$G$99999,5,FALSE)</f>
        <v>STEWART MICHAEL</v>
      </c>
      <c r="M117" s="6">
        <f t="shared" si="25"/>
        <v>2.6701388887886424E-2</v>
      </c>
      <c r="N117" s="7">
        <f t="shared" si="40"/>
        <v>38.44999999855645</v>
      </c>
      <c r="O117" s="7"/>
      <c r="P117" s="7"/>
      <c r="Q117" s="22"/>
      <c r="R117" s="170"/>
      <c r="S117" s="215">
        <f t="shared" si="41"/>
        <v>1</v>
      </c>
      <c r="T117" s="195" t="str">
        <f t="shared" si="26"/>
        <v>Southbound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 t="shared" si="27"/>
        <v>https://d0f6bd738d7f1b3e5a7ca70fe4ff75f0.us-east-1.aws.found.io/app/kibana#/discover/Steve-Slow-Train-Analysis-(2080s-and-2083s)?_g=(refreshInterval:(display:Off,pause:!f,section:0,value:0),time:(from:'2017-06-14T16:21:52-0600',mode:absolute,to:'2017-06-14T19:05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7" s="197" t="str">
        <f>IF(AA117&lt;VLOOKUP(AG117,Variables!$AC$3:$AD$8,2,FALSE),"Y","N")</f>
        <v>N</v>
      </c>
      <c r="X117" s="197">
        <f t="shared" si="28"/>
        <v>1</v>
      </c>
      <c r="Y117" s="197">
        <f t="shared" si="42"/>
        <v>23.297999999999998</v>
      </c>
      <c r="Z117" s="197">
        <f t="shared" si="43"/>
        <v>1.47E-2</v>
      </c>
      <c r="AA117" s="197">
        <f t="shared" si="31"/>
        <v>23.283299999999997</v>
      </c>
      <c r="AB117" s="54" t="e">
        <f>VLOOKUP(A117,Enforcements!$C$7:$K$13,8,0)</f>
        <v>#N/A</v>
      </c>
      <c r="AC117" s="51" t="e">
        <f>VLOOKUP(A117,Enforcements!$C$7:$E$13,3,0)</f>
        <v>#N/A</v>
      </c>
      <c r="AD117" s="206">
        <f t="shared" si="32"/>
        <v>204</v>
      </c>
      <c r="AE117" s="77" t="str">
        <f t="shared" si="33"/>
        <v>aws s3 cp s3://rtdc.mdm.uploadarchive.raw/RTDC4015/ "%USERPROFILE%\AppData\Local\Temp\OnboardLogs"\RTDC4015\2017-06-14 --exclude "*" --recursive --include "*20170614*" &amp; "%USERPROFILE%\Documents\GitHub\mrs-test-scripts\Headless Mode &amp; Sideloading\WalkAndUnGZ.bat" "%USERPROFILE%\AppData\Local\Temp\OnboardLogs"\RTDC4015\2017-06-14 &amp; aws s3 cp s3://rtdc.mdm.uploadarchive.raw/RTDC4015/ "%USERPROFILE%\AppData\Local\Temp\OnboardLogs"\RTDC4015\2017-06-15 --exclude "*" --recursive --include "*20170615*" &amp; "%USERPROFILE%\Documents\GitHub\mrs-test-scripts\Headless Mode &amp; Sideloading\WalkAndUnGZ.bat" "%USERPROFILE%\AppData\Local\Temp\OnboardLogs"\RTDC4015\2017-06-15</v>
      </c>
      <c r="AF117" s="74" t="str">
        <f t="shared" si="34"/>
        <v>"C:\Program Files (x86)\AstroGrep\AstroGrep.exe" /e /r /s /spath="%USERPROFILE%\AppData\Local\Temp\OnboardLogs" /stypes="app*4015*20170615*" /stext=" 00:.+((SYSTEM_STATE.+slice.+state.+changed )|(ment ac)|(multiple cpu faults)|(system.+state.+changed )|(\[timeout)|(PRM\|1\|D)|(kpr)|(kdp)|(train st.+moving)|(\|lc)|(penalty))"</v>
      </c>
      <c r="AG117" s="209" t="str">
        <f t="shared" si="39"/>
        <v>EC</v>
      </c>
      <c r="AH117" s="78" t="str">
        <f t="shared" si="35"/>
        <v>"%USERPROFILE%\Documents\GitHub\eaglep3\Utilities\RefineRTDCRunTimes.py" --tripid 204-14 --locoid 4015 --swversion DE.1.0.9.0 --startMP 204:232980 --initTime 2017-06-14T17:21:52 --startdatetime 2017-06-14T17:27:27 --delay 1 --endMP 204:147 --enddatetime 2017-06-14T18:05:54 --enforcementcount 2 &gt;&gt;C:\Users\stu\Documents\GitHub\eaglep3-reporting\EC\2017-06-14-refined-times.txt</v>
      </c>
      <c r="AI117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{"issue":{"subject":"","project_id":79,"tracker_id":40,"status_id":1,"priority_id":2,"assigned_to_id":23,"start_date":"2017-06-14","description":"","custom_fields":[{"id":1,"name":"Subdivision","value":"EC"},{"id":4,"name":"Milepost","value":"0.0147"},{"id":17,"name":"Train ID","value":"204-14"},{"id":16,"name":"Locomotive ID","value":"4015"},{"id":130,"name":"Impact","value":""},{"id":150,"name":"Time of Event (Mountain Time)","value":"18:05:54"},{"id":151,"name":"Denver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37"/>
        <v>start /low /b %USERPROFILE%\Documents\GitHub\eaglep3\Utilities\DownloadLogsFromS3.py --loco 4015 --day 2017-06-14</v>
      </c>
      <c r="AN117" s="151" t="str">
        <f t="shared" si="38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00:05:54"},{"id":29,"name":"Sharepoint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72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785</v>
      </c>
      <c r="B118" s="7">
        <v>4056</v>
      </c>
      <c r="C118" s="21" t="s">
        <v>202</v>
      </c>
      <c r="D118" s="21" t="s">
        <v>392</v>
      </c>
      <c r="E118" s="13">
        <v>42900.695567129631</v>
      </c>
      <c r="F118" s="13">
        <v>42900.698078703703</v>
      </c>
      <c r="G118" s="7">
        <v>1</v>
      </c>
      <c r="H118" s="21" t="s">
        <v>519</v>
      </c>
      <c r="I118" s="13">
        <v>42900.723321759258</v>
      </c>
      <c r="J118" s="7">
        <v>2</v>
      </c>
      <c r="K118" s="89" t="str">
        <f t="shared" si="24"/>
        <v>4055/4056</v>
      </c>
      <c r="L118" s="21" t="str">
        <f>VLOOKUP(A118,'Trips&amp;Operators'!$C$1:$G$99999,5,FALSE)</f>
        <v>ROBINSON KADDIBA</v>
      </c>
      <c r="M118" s="6">
        <f t="shared" si="25"/>
        <v>2.5243055555620231E-2</v>
      </c>
      <c r="N118" s="7">
        <f t="shared" si="40"/>
        <v>36.350000000093132</v>
      </c>
      <c r="O118" s="7"/>
      <c r="P118" s="7"/>
      <c r="Q118" s="22"/>
      <c r="R118" s="170"/>
      <c r="S118" s="215">
        <f t="shared" si="41"/>
        <v>1</v>
      </c>
      <c r="T118" s="195" t="str">
        <f t="shared" si="26"/>
        <v>NorthBound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 t="shared" si="27"/>
        <v>https://d0f6bd738d7f1b3e5a7ca70fe4ff75f0.us-east-1.aws.found.io/app/kibana#/discover/Steve-Slow-Train-Analysis-(2080s-and-2083s)?_g=(refreshInterval:(display:Off,pause:!f,section:0,value:0),time:(from:'2017-06-14T15:41:37-0600',mode:absolute,to:'2017-06-14T18:21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18" s="197" t="str">
        <f>IF(AA118&lt;VLOOKUP(AG118,Variables!$AC$3:$AD$8,2,FALSE),"Y","N")</f>
        <v>N</v>
      </c>
      <c r="X118" s="197">
        <f t="shared" si="28"/>
        <v>1</v>
      </c>
      <c r="Y118" s="197">
        <f t="shared" si="42"/>
        <v>4.6199999999999998E-2</v>
      </c>
      <c r="Z118" s="197">
        <f t="shared" si="43"/>
        <v>23.331900000000001</v>
      </c>
      <c r="AA118" s="197">
        <f t="shared" si="31"/>
        <v>23.285700000000002</v>
      </c>
      <c r="AB118" s="54" t="e">
        <f>VLOOKUP(A118,Enforcements!$C$7:$K$13,8,0)</f>
        <v>#N/A</v>
      </c>
      <c r="AC118" s="51" t="e">
        <f>VLOOKUP(A118,Enforcements!$C$7:$E$13,3,0)</f>
        <v>#N/A</v>
      </c>
      <c r="AD118" s="206">
        <f t="shared" si="32"/>
        <v>205</v>
      </c>
      <c r="AE118" s="77" t="str">
        <f t="shared" si="33"/>
        <v>aws s3 cp s3://rtdc.mdm.uploadarchive.raw/RTDC4056/ "%USERPROFILE%\AppData\Local\Temp\OnboardLogs"\RTDC4056\2017-06-14 --exclude "*" --recursive --include "*20170614*" &amp; "%USERPROFILE%\Documents\GitHub\mrs-test-scripts\Headless Mode &amp; Sideloading\WalkAndUnGZ.bat" "%USERPROFILE%\AppData\Local\Temp\OnboardLogs"\RTDC4056\2017-06-14 &amp; aws s3 cp s3://rtdc.mdm.uploadarchive.raw/RTDC4056/ "%USERPROFILE%\AppData\Local\Temp\OnboardLogs"\RTDC4056\2017-06-15 --exclude "*" --recursive --include "*20170615*" &amp; "%USERPROFILE%\Documents\GitHub\mrs-test-scripts\Headless Mode &amp; Sideloading\WalkAndUnGZ.bat" "%USERPROFILE%\AppData\Local\Temp\OnboardLogs"\RTDC4056\2017-06-15</v>
      </c>
      <c r="AF118" s="74" t="str">
        <f t="shared" si="34"/>
        <v>"C:\Program Files (x86)\AstroGrep\AstroGrep.exe" /e /r /s /spath="%USERPROFILE%\AppData\Local\Temp\OnboardLogs" /stypes="app*4056*20170614*" /stext=" 23:.+((SYSTEM_STATE.+slice.+state.+changed )|(ment ac)|(multiple cpu faults)|(system.+state.+changed )|(\[timeout)|(PRM\|1\|D)|(kpr)|(kdp)|(train st.+moving)|(\|lc)|(penalty))"</v>
      </c>
      <c r="AG118" s="209" t="str">
        <f t="shared" si="39"/>
        <v>EC</v>
      </c>
      <c r="AH118" s="78" t="str">
        <f t="shared" si="35"/>
        <v>"%USERPROFILE%\Documents\GitHub\eaglep3\Utilities\RefineRTDCRunTimes.py" --tripid 205-14 --locoid 4056 --swversion DE.1.0.9.0 --startMP 204:462 --initTime 2017-06-14T16:41:37 --startdatetime 2017-06-14T16:45:14 --delay 1 --endMP 204:233319 --enddatetime 2017-06-14T17:21:35 --enforcementcount 2 &gt;&gt;C:\Users\stu\Documents\GitHub\eaglep3-reporting\EC\2017-06-14-refined-times.txt</v>
      </c>
      <c r="AI118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{"issue":{"subject":"","project_id":79,"tracker_id":40,"status_id":1,"priority_id":2,"assigned_to_id":23,"start_date":"2017-06-14","description":"","custom_fields":[{"id":1,"name":"Subdivision","value":"EC"},{"id":4,"name":"Milepost","value":"23.3319"},{"id":17,"name":"Train ID","value":"205-14"},{"id":16,"name":"Locomotive ID","value":"4056"},{"id":130,"name":"Impact","value":""},{"id":150,"name":"Time of Event (Mountain Time)","value":"17:21:35"},{"id":151,"name":"Denver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37"/>
        <v>start /low /b %USERPROFILE%\Documents\GitHub\eaglep3\Utilities\DownloadLogsFromS3.py --loco 4056 --day 2017-06-14</v>
      </c>
      <c r="AN118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23:21:35"},{"id":29,"name":"Sharepoint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72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799</v>
      </c>
      <c r="B119" s="7">
        <v>4055</v>
      </c>
      <c r="C119" s="21" t="s">
        <v>202</v>
      </c>
      <c r="D119" s="21" t="s">
        <v>881</v>
      </c>
      <c r="E119" s="13">
        <v>42900.735995370371</v>
      </c>
      <c r="F119" s="13">
        <v>42900.737719907411</v>
      </c>
      <c r="G119" s="7">
        <v>1</v>
      </c>
      <c r="H119" s="21" t="s">
        <v>193</v>
      </c>
      <c r="I119" s="13">
        <v>42900.765381944446</v>
      </c>
      <c r="J119" s="7">
        <v>2</v>
      </c>
      <c r="K119" s="89" t="str">
        <f t="shared" si="24"/>
        <v>4055/4056</v>
      </c>
      <c r="L119" s="21" t="str">
        <f>VLOOKUP(A119,'Trips&amp;Operators'!$C$1:$G$99999,5,FALSE)</f>
        <v>ROBINSON KADDIBA</v>
      </c>
      <c r="M119" s="6">
        <f t="shared" si="25"/>
        <v>2.7662037035042886E-2</v>
      </c>
      <c r="N119" s="7">
        <f t="shared" si="40"/>
        <v>39.833333330461755</v>
      </c>
      <c r="O119" s="7"/>
      <c r="P119" s="7"/>
      <c r="Q119" s="22"/>
      <c r="R119" s="170"/>
      <c r="S119" s="215">
        <f t="shared" si="41"/>
        <v>1</v>
      </c>
      <c r="T119" s="195" t="str">
        <f t="shared" si="26"/>
        <v>Southbound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 t="shared" si="27"/>
        <v>https://d0f6bd738d7f1b3e5a7ca70fe4ff75f0.us-east-1.aws.found.io/app/kibana#/discover/Steve-Slow-Train-Analysis-(2080s-and-2083s)?_g=(refreshInterval:(display:Off,pause:!f,section:0,value:0),time:(from:'2017-06-14T16:39:50-0600',mode:absolute,to:'2017-06-14T19:22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19" s="197" t="str">
        <f>IF(AA119&lt;VLOOKUP(AG119,Variables!$AC$3:$AD$8,2,FALSE),"Y","N")</f>
        <v>N</v>
      </c>
      <c r="X119" s="197">
        <f t="shared" si="28"/>
        <v>1</v>
      </c>
      <c r="Y119" s="197">
        <f t="shared" si="42"/>
        <v>23.3</v>
      </c>
      <c r="Z119" s="197">
        <f t="shared" si="43"/>
        <v>1.52E-2</v>
      </c>
      <c r="AA119" s="197">
        <f t="shared" si="31"/>
        <v>23.284800000000001</v>
      </c>
      <c r="AB119" s="54" t="e">
        <f>VLOOKUP(A119,Enforcements!$C$7:$K$13,8,0)</f>
        <v>#N/A</v>
      </c>
      <c r="AC119" s="51" t="e">
        <f>VLOOKUP(A119,Enforcements!$C$7:$E$13,3,0)</f>
        <v>#N/A</v>
      </c>
      <c r="AD119" s="206">
        <f t="shared" si="32"/>
        <v>206</v>
      </c>
      <c r="AE119" s="77" t="str">
        <f t="shared" si="33"/>
        <v>aws s3 cp s3://rtdc.mdm.uploadarchive.raw/RTDC4055/ "%USERPROFILE%\AppData\Local\Temp\OnboardLogs"\RTDC4055\2017-06-14 --exclude "*" --recursive --include "*20170614*" &amp; "%USERPROFILE%\Documents\GitHub\mrs-test-scripts\Headless Mode &amp; Sideloading\WalkAndUnGZ.bat" "%USERPROFILE%\AppData\Local\Temp\OnboardLogs"\RTDC4055\2017-06-14 &amp; aws s3 cp s3://rtdc.mdm.uploadarchive.raw/RTDC4055/ "%USERPROFILE%\AppData\Local\Temp\OnboardLogs"\RTDC4055\2017-06-15 --exclude "*" --recursive --include "*20170615*" &amp; "%USERPROFILE%\Documents\GitHub\mrs-test-scripts\Headless Mode &amp; Sideloading\WalkAndUnGZ.bat" "%USERPROFILE%\AppData\Local\Temp\OnboardLogs"\RTDC4055\2017-06-15</v>
      </c>
      <c r="AF119" s="74" t="str">
        <f t="shared" si="34"/>
        <v>"C:\Program Files (x86)\AstroGrep\AstroGrep.exe" /e /r /s /spath="%USERPROFILE%\AppData\Local\Temp\OnboardLogs" /stypes="app*4055*20170615*" /stext=" 00:.+((SYSTEM_STATE.+slice.+state.+changed )|(ment ac)|(multiple cpu faults)|(system.+state.+changed )|(\[timeout)|(PRM\|1\|D)|(kpr)|(kdp)|(train st.+moving)|(\|lc)|(penalty))"</v>
      </c>
      <c r="AG119" s="209" t="str">
        <f t="shared" si="39"/>
        <v>EC</v>
      </c>
      <c r="AH119" s="78" t="str">
        <f t="shared" si="35"/>
        <v>"%USERPROFILE%\Documents\GitHub\eaglep3\Utilities\RefineRTDCRunTimes.py" --tripid 206-14 --locoid 4055 --swversion DE.1.0.9.0 --startMP 204:233000 --initTime 2017-06-14T17:39:50 --startdatetime 2017-06-14T17:42:19 --delay 1 --endMP 204:152 --enddatetime 2017-06-14T18:22:09 --enforcementcount 2 &gt;&gt;C:\Users\stu\Documents\GitHub\eaglep3-reporting\EC\2017-06-14-refined-times.txt</v>
      </c>
      <c r="AI119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{"issue":{"subject":"","project_id":79,"tracker_id":40,"status_id":1,"priority_id":2,"assigned_to_id":23,"start_date":"2017-06-14","description":"","custom_fields":[{"id":1,"name":"Subdivision","value":"EC"},{"id":4,"name":"Milepost","value":"0.0152"},{"id":17,"name":"Train ID","value":"206-14"},{"id":16,"name":"Locomotive ID","value":"4055"},{"id":130,"name":"Impact","value":""},{"id":150,"name":"Time of Event (Mountain Time)","value":"18:22:09"},{"id":151,"name":"Denver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37"/>
        <v>start /low /b %USERPROFILE%\Documents\GitHub\eaglep3\Utilities\DownloadLogsFromS3.py --loco 4055 --day 2017-06-14</v>
      </c>
      <c r="AN119" s="151" t="str">
        <f t="shared" si="38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00:22:09"},{"id":29,"name":"Sharepoint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72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787</v>
      </c>
      <c r="B120" s="7">
        <v>4040</v>
      </c>
      <c r="C120" s="21" t="s">
        <v>202</v>
      </c>
      <c r="D120" s="21" t="s">
        <v>862</v>
      </c>
      <c r="E120" s="13">
        <v>42900.703518518516</v>
      </c>
      <c r="F120" s="13">
        <v>42900.708715277775</v>
      </c>
      <c r="G120" s="7">
        <v>1</v>
      </c>
      <c r="H120" s="21" t="s">
        <v>886</v>
      </c>
      <c r="I120" s="13">
        <v>42900.734317129631</v>
      </c>
      <c r="J120" s="7">
        <v>2</v>
      </c>
      <c r="K120" s="89" t="str">
        <f t="shared" si="24"/>
        <v>4039/4040</v>
      </c>
      <c r="L120" s="21" t="str">
        <f>VLOOKUP(A120,'Trips&amp;Operators'!$C$1:$G$99999,5,FALSE)</f>
        <v>BRUDER RICHARD</v>
      </c>
      <c r="M120" s="6">
        <f t="shared" si="25"/>
        <v>2.5601851855753921E-2</v>
      </c>
      <c r="N120" s="7">
        <f t="shared" si="40"/>
        <v>36.866666672285646</v>
      </c>
      <c r="O120" s="7"/>
      <c r="P120" s="7"/>
      <c r="Q120" s="22"/>
      <c r="R120" s="170"/>
      <c r="S120" s="215">
        <f t="shared" si="41"/>
        <v>1</v>
      </c>
      <c r="T120" s="195" t="str">
        <f t="shared" si="26"/>
        <v>NorthBound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 t="shared" si="27"/>
        <v>https://d0f6bd738d7f1b3e5a7ca70fe4ff75f0.us-east-1.aws.found.io/app/kibana#/discover/Steve-Slow-Train-Analysis-(2080s-and-2083s)?_g=(refreshInterval:(display:Off,pause:!f,section:0,value:0),time:(from:'2017-06-14T15:53:04-0600',mode:absolute,to:'2017-06-14T18:37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0" s="197" t="str">
        <f>IF(AA120&lt;VLOOKUP(AG120,Variables!$AC$3:$AD$8,2,FALSE),"Y","N")</f>
        <v>N</v>
      </c>
      <c r="X120" s="197">
        <f t="shared" si="28"/>
        <v>1</v>
      </c>
      <c r="Y120" s="197">
        <f t="shared" si="42"/>
        <v>4.5499999999999999E-2</v>
      </c>
      <c r="Z120" s="197">
        <f t="shared" si="43"/>
        <v>23.331800000000001</v>
      </c>
      <c r="AA120" s="197">
        <f t="shared" si="31"/>
        <v>23.286300000000001</v>
      </c>
      <c r="AB120" s="54" t="e">
        <f>VLOOKUP(A120,Enforcements!$C$7:$K$13,8,0)</f>
        <v>#N/A</v>
      </c>
      <c r="AC120" s="51" t="e">
        <f>VLOOKUP(A120,Enforcements!$C$7:$E$13,3,0)</f>
        <v>#N/A</v>
      </c>
      <c r="AD120" s="206">
        <f t="shared" si="32"/>
        <v>207</v>
      </c>
      <c r="AE120" s="77" t="str">
        <f t="shared" si="33"/>
        <v>aws s3 cp s3://rtdc.mdm.uploadarchive.raw/RTDC4040/ "%USERPROFILE%\AppData\Local\Temp\OnboardLogs"\RTDC4040\2017-06-14 --exclude "*" --recursive --include "*20170614*" &amp; "%USERPROFILE%\Documents\GitHub\mrs-test-scripts\Headless Mode &amp; Sideloading\WalkAndUnGZ.bat" "%USERPROFILE%\AppData\Local\Temp\OnboardLogs"\RTDC4040\2017-06-14 &amp; aws s3 cp s3://rtdc.mdm.uploadarchive.raw/RTDC4040/ "%USERPROFILE%\AppData\Local\Temp\OnboardLogs"\RTDC4040\2017-06-15 --exclude "*" --recursive --include "*20170615*" &amp; "%USERPROFILE%\Documents\GitHub\mrs-test-scripts\Headless Mode &amp; Sideloading\WalkAndUnGZ.bat" "%USERPROFILE%\AppData\Local\Temp\OnboardLogs"\RTDC4040\2017-06-15</v>
      </c>
      <c r="AF120" s="74" t="str">
        <f t="shared" si="34"/>
        <v>"C:\Program Files (x86)\AstroGrep\AstroGrep.exe" /e /r /s /spath="%USERPROFILE%\AppData\Local\Temp\OnboardLogs" /stypes="app*4040*20170614*" /stext=" 23:.+((SYSTEM_STATE.+slice.+state.+changed )|(ment ac)|(multiple cpu faults)|(system.+state.+changed )|(\[timeout)|(PRM\|1\|D)|(kpr)|(kdp)|(train st.+moving)|(\|lc)|(penalty))"</v>
      </c>
      <c r="AG120" s="209" t="str">
        <f t="shared" si="39"/>
        <v>EC</v>
      </c>
      <c r="AH120" s="78" t="str">
        <f t="shared" si="35"/>
        <v>"%USERPROFILE%\Documents\GitHub\eaglep3\Utilities\RefineRTDCRunTimes.py" --tripid 207-14 --locoid 4040 --swversion DE.1.0.9.0 --startMP 204:455 --initTime 2017-06-14T16:53:04 --startdatetime 2017-06-14T17:00:33 --delay 1 --endMP 204:233318 --enddatetime 2017-06-14T17:37:25 --enforcementcount 2 &gt;&gt;C:\Users\stu\Documents\GitHub\eaglep3-reporting\EC\2017-06-14-refined-times.txt</v>
      </c>
      <c r="AI120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{"issue":{"subject":"","project_id":79,"tracker_id":40,"status_id":1,"priority_id":2,"assigned_to_id":23,"start_date":"2017-06-14","description":"","custom_fields":[{"id":1,"name":"Subdivision","value":"EC"},{"id":4,"name":"Milepost","value":"23.3318"},{"id":17,"name":"Train ID","value":"207-14"},{"id":16,"name":"Locomotive ID","value":"4040"},{"id":130,"name":"Impact","value":""},{"id":150,"name":"Time of Event (Mountain Time)","value":"17:37:25"},{"id":151,"name":"Denver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37"/>
        <v>start /low /b %USERPROFILE%\Documents\GitHub\eaglep3\Utilities\DownloadLogsFromS3.py --loco 4040 --day 2017-06-14</v>
      </c>
      <c r="AN120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23:37:25"},{"id":29,"name":"Sharepoint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72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637</v>
      </c>
      <c r="B121" s="7">
        <v>4039</v>
      </c>
      <c r="C121" s="21" t="s">
        <v>202</v>
      </c>
      <c r="D121" s="21" t="s">
        <v>462</v>
      </c>
      <c r="E121" s="13">
        <v>42900.742685185185</v>
      </c>
      <c r="F121" s="13">
        <v>42900.748090277775</v>
      </c>
      <c r="G121" s="7">
        <v>1</v>
      </c>
      <c r="H121" s="21" t="s">
        <v>193</v>
      </c>
      <c r="I121" s="13">
        <v>42900.775821759256</v>
      </c>
      <c r="J121" s="7">
        <v>2</v>
      </c>
      <c r="K121" s="89" t="str">
        <f t="shared" si="24"/>
        <v>4039/4040</v>
      </c>
      <c r="L121" s="21" t="str">
        <f>VLOOKUP(A121,'Trips&amp;Operators'!$C$1:$G$99999,5,FALSE)</f>
        <v>BRUDER RICHARD</v>
      </c>
      <c r="M121" s="6">
        <f t="shared" si="25"/>
        <v>2.7731481481168885E-2</v>
      </c>
      <c r="N121" s="7">
        <f t="shared" si="40"/>
        <v>39.933333332883194</v>
      </c>
      <c r="O121" s="7"/>
      <c r="P121" s="7"/>
      <c r="Q121" s="22"/>
      <c r="R121" s="170"/>
      <c r="S121" s="215">
        <f t="shared" si="41"/>
        <v>1</v>
      </c>
      <c r="T121" s="195" t="str">
        <f t="shared" si="26"/>
        <v>Southbound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 t="shared" si="27"/>
        <v>https://d0f6bd738d7f1b3e5a7ca70fe4ff75f0.us-east-1.aws.found.io/app/kibana#/discover/Steve-Slow-Train-Analysis-(2080s-and-2083s)?_g=(refreshInterval:(display:Off,pause:!f,section:0,value:0),time:(from:'2017-06-14T16:49:28-0600',mode:absolute,to:'2017-06-14T19:37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1" s="197" t="str">
        <f>IF(AA121&lt;VLOOKUP(AG121,Variables!$AC$3:$AD$8,2,FALSE),"Y","N")</f>
        <v>N</v>
      </c>
      <c r="X121" s="197">
        <f t="shared" si="28"/>
        <v>1</v>
      </c>
      <c r="Y121" s="197">
        <f t="shared" si="42"/>
        <v>23.299399999999999</v>
      </c>
      <c r="Z121" s="197">
        <f t="shared" si="43"/>
        <v>1.52E-2</v>
      </c>
      <c r="AA121" s="197">
        <f t="shared" si="31"/>
        <v>23.284199999999998</v>
      </c>
      <c r="AB121" s="54" t="e">
        <f>VLOOKUP(A121,Enforcements!$C$7:$K$13,8,0)</f>
        <v>#N/A</v>
      </c>
      <c r="AC121" s="51" t="e">
        <f>VLOOKUP(A121,Enforcements!$C$7:$E$13,3,0)</f>
        <v>#N/A</v>
      </c>
      <c r="AD121" s="206">
        <f t="shared" si="32"/>
        <v>208</v>
      </c>
      <c r="AE121" s="77" t="str">
        <f t="shared" si="33"/>
        <v>aws s3 cp s3://rtdc.mdm.uploadarchive.raw/RTDC4039/ "%USERPROFILE%\AppData\Local\Temp\OnboardLogs"\RTDC4039\2017-06-14 --exclude "*" --recursive --include "*20170614*" &amp; "%USERPROFILE%\Documents\GitHub\mrs-test-scripts\Headless Mode &amp; Sideloading\WalkAndUnGZ.bat" "%USERPROFILE%\AppData\Local\Temp\OnboardLogs"\RTDC4039\2017-06-14 &amp; aws s3 cp s3://rtdc.mdm.uploadarchive.raw/RTDC4039/ "%USERPROFILE%\AppData\Local\Temp\OnboardLogs"\RTDC4039\2017-06-15 --exclude "*" --recursive --include "*20170615*" &amp; "%USERPROFILE%\Documents\GitHub\mrs-test-scripts\Headless Mode &amp; Sideloading\WalkAndUnGZ.bat" "%USERPROFILE%\AppData\Local\Temp\OnboardLogs"\RTDC4039\2017-06-15</v>
      </c>
      <c r="AF121" s="74" t="str">
        <f t="shared" si="34"/>
        <v>"C:\Program Files (x86)\AstroGrep\AstroGrep.exe" /e /r /s /spath="%USERPROFILE%\AppData\Local\Temp\OnboardLogs" /stypes="app*4039*20170615*" /stext=" 00:.+((SYSTEM_STATE.+slice.+state.+changed )|(ment ac)|(multiple cpu faults)|(system.+state.+changed )|(\[timeout)|(PRM\|1\|D)|(kpr)|(kdp)|(train st.+moving)|(\|lc)|(penalty))"</v>
      </c>
      <c r="AG121" s="209" t="str">
        <f t="shared" si="39"/>
        <v>EC</v>
      </c>
      <c r="AH121" s="78" t="str">
        <f t="shared" si="35"/>
        <v>"%USERPROFILE%\Documents\GitHub\eaglep3\Utilities\RefineRTDCRunTimes.py" --tripid 208-14 --locoid 4039 --swversion DE.1.0.9.0 --startMP 204:232994 --initTime 2017-06-14T17:49:28 --startdatetime 2017-06-14T17:57:15 --delay 1 --endMP 204:152 --enddatetime 2017-06-14T18:37:11 --enforcementcount 2 &gt;&gt;C:\Users\stu\Documents\GitHub\eaglep3-reporting\EC\2017-06-14-refined-times.txt</v>
      </c>
      <c r="AI121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{"issue":{"subject":"","project_id":79,"tracker_id":40,"status_id":1,"priority_id":2,"assigned_to_id":23,"start_date":"2017-06-14","description":"","custom_fields":[{"id":1,"name":"Subdivision","value":"EC"},{"id":4,"name":"Milepost","value":"0.0152"},{"id":17,"name":"Train ID","value":"208-14"},{"id":16,"name":"Locomotive ID","value":"4039"},{"id":130,"name":"Impact","value":""},{"id":150,"name":"Time of Event (Mountain Time)","value":"18:37:11"},{"id":151,"name":"Denver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37"/>
        <v>start /low /b %USERPROFILE%\Documents\GitHub\eaglep3\Utilities\DownloadLogsFromS3.py --loco 4039 --day 2017-06-14</v>
      </c>
      <c r="AN121" s="151" t="str">
        <f t="shared" si="38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00:37:11"},{"id":29,"name":"Sharepoint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72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635</v>
      </c>
      <c r="B122" s="7">
        <v>4010</v>
      </c>
      <c r="C122" s="21" t="s">
        <v>202</v>
      </c>
      <c r="D122" s="21" t="s">
        <v>481</v>
      </c>
      <c r="E122" s="13">
        <v>42900.714930555558</v>
      </c>
      <c r="F122" s="13">
        <v>42900.71912037037</v>
      </c>
      <c r="G122" s="7">
        <v>1</v>
      </c>
      <c r="H122" s="21" t="s">
        <v>571</v>
      </c>
      <c r="I122" s="13">
        <v>42900.744004629632</v>
      </c>
      <c r="J122" s="7">
        <v>2</v>
      </c>
      <c r="K122" s="89" t="str">
        <f t="shared" si="24"/>
        <v>4009/4010</v>
      </c>
      <c r="L122" s="21" t="str">
        <f>VLOOKUP(A122,'Trips&amp;Operators'!$C$1:$G$99999,5,FALSE)</f>
        <v>LEVIN SCOTT</v>
      </c>
      <c r="M122" s="6">
        <f t="shared" si="25"/>
        <v>2.4884259262762498E-2</v>
      </c>
      <c r="N122" s="7">
        <f t="shared" si="40"/>
        <v>35.833333338377997</v>
      </c>
      <c r="O122" s="7"/>
      <c r="P122" s="7"/>
      <c r="Q122" s="22"/>
      <c r="R122" s="170"/>
      <c r="S122" s="215">
        <f t="shared" si="41"/>
        <v>1</v>
      </c>
      <c r="T122" s="195" t="str">
        <f t="shared" si="26"/>
        <v>NorthBound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 t="shared" si="27"/>
        <v>https://d0f6bd738d7f1b3e5a7ca70fe4ff75f0.us-east-1.aws.found.io/app/kibana#/discover/Steve-Slow-Train-Analysis-(2080s-and-2083s)?_g=(refreshInterval:(display:Off,pause:!f,section:0,value:0),time:(from:'2017-06-14T16:09:30-0600',mode:absolute,to:'2017-06-14T18:51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2" s="197" t="str">
        <f>IF(AA122&lt;VLOOKUP(AG122,Variables!$AC$3:$AD$8,2,FALSE),"Y","N")</f>
        <v>N</v>
      </c>
      <c r="X122" s="197">
        <f t="shared" si="28"/>
        <v>1</v>
      </c>
      <c r="Y122" s="197">
        <f t="shared" si="42"/>
        <v>4.3999999999999997E-2</v>
      </c>
      <c r="Z122" s="197">
        <f t="shared" si="43"/>
        <v>23.329799999999999</v>
      </c>
      <c r="AA122" s="197">
        <f t="shared" si="31"/>
        <v>23.285799999999998</v>
      </c>
      <c r="AB122" s="54" t="e">
        <f>VLOOKUP(A122,Enforcements!$C$7:$K$13,8,0)</f>
        <v>#N/A</v>
      </c>
      <c r="AC122" s="51" t="e">
        <f>VLOOKUP(A122,Enforcements!$C$7:$E$13,3,0)</f>
        <v>#N/A</v>
      </c>
      <c r="AD122" s="206">
        <f t="shared" si="32"/>
        <v>209</v>
      </c>
      <c r="AE122" s="77" t="str">
        <f t="shared" si="33"/>
        <v>aws s3 cp s3://rtdc.mdm.uploadarchive.raw/RTDC4010/ "%USERPROFILE%\AppData\Local\Temp\OnboardLogs"\RTDC4010\2017-06-14 --exclude "*" --recursive --include "*20170614*" &amp; "%USERPROFILE%\Documents\GitHub\mrs-test-scripts\Headless Mode &amp; Sideloading\WalkAndUnGZ.bat" "%USERPROFILE%\AppData\Local\Temp\OnboardLogs"\RTDC4010\2017-06-14 &amp; 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</v>
      </c>
      <c r="AF122" s="74" t="str">
        <f t="shared" si="34"/>
        <v>"C:\Program Files (x86)\AstroGrep\AstroGrep.exe" /e /r /s /spath="%USERPROFILE%\AppData\Local\Temp\OnboardLogs" /stypes="app*4010*20170614*" /stext=" 23:.+((SYSTEM_STATE.+slice.+state.+changed )|(ment ac)|(multiple cpu faults)|(system.+state.+changed )|(\[timeout)|(PRM\|1\|D)|(kpr)|(kdp)|(train st.+moving)|(\|lc)|(penalty))"</v>
      </c>
      <c r="AG122" s="209" t="str">
        <f t="shared" si="39"/>
        <v>EC</v>
      </c>
      <c r="AH122" s="78" t="str">
        <f t="shared" si="35"/>
        <v>"%USERPROFILE%\Documents\GitHub\eaglep3\Utilities\RefineRTDCRunTimes.py" --tripid 209-14 --locoid 4010 --swversion DE.1.0.9.0 --startMP 204:440 --initTime 2017-06-14T17:09:30 --startdatetime 2017-06-14T17:15:32 --delay 1 --endMP 204:233298 --enddatetime 2017-06-14T17:51:22 --enforcementcount 2 &gt;&gt;C:\Users\stu\Documents\GitHub\eaglep3-reporting\EC\2017-06-14-refined-times.txt</v>
      </c>
      <c r="AI122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{"issue":{"subject":"","project_id":79,"tracker_id":40,"status_id":1,"priority_id":2,"assigned_to_id":23,"start_date":"2017-06-14","description":"","custom_fields":[{"id":1,"name":"Subdivision","value":"EC"},{"id":4,"name":"Milepost","value":"23.3298"},{"id":17,"name":"Train ID","value":"209-14"},{"id":16,"name":"Locomotive ID","value":"4010"},{"id":130,"name":"Impact","value":""},{"id":150,"name":"Time of Event (Mountain Time)","value":"17:51:22"},{"id":151,"name":"Denver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37"/>
        <v>start /low /b %USERPROFILE%\Documents\GitHub\eaglep3\Utilities\DownloadLogsFromS3.py --loco 4010 --day 2017-06-14</v>
      </c>
      <c r="AN122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23:51:22"},{"id":29,"name":"Sharepoint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7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803</v>
      </c>
      <c r="B123" s="7">
        <v>4009</v>
      </c>
      <c r="C123" s="21" t="s">
        <v>202</v>
      </c>
      <c r="D123" s="21" t="s">
        <v>515</v>
      </c>
      <c r="E123" s="13">
        <v>42900.754687499997</v>
      </c>
      <c r="F123" s="13">
        <v>42900.758622685185</v>
      </c>
      <c r="G123" s="7">
        <v>1</v>
      </c>
      <c r="H123" s="21" t="s">
        <v>871</v>
      </c>
      <c r="I123" s="13">
        <v>42900.784594907411</v>
      </c>
      <c r="J123" s="7">
        <v>2</v>
      </c>
      <c r="K123" s="89" t="str">
        <f t="shared" si="24"/>
        <v>4009/4010</v>
      </c>
      <c r="L123" s="21" t="str">
        <f>VLOOKUP(A123,'Trips&amp;Operators'!$C$1:$G$99999,5,FALSE)</f>
        <v>LEVIN SCOTT</v>
      </c>
      <c r="M123" s="6">
        <f t="shared" si="25"/>
        <v>2.5972222225391306E-2</v>
      </c>
      <c r="N123" s="7">
        <f t="shared" si="40"/>
        <v>37.400000004563481</v>
      </c>
      <c r="O123" s="7"/>
      <c r="P123" s="7"/>
      <c r="Q123" s="22"/>
      <c r="R123" s="170"/>
      <c r="S123" s="215">
        <f t="shared" si="41"/>
        <v>1</v>
      </c>
      <c r="T123" s="195" t="str">
        <f t="shared" si="26"/>
        <v>Southbound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 t="shared" si="27"/>
        <v>https://d0f6bd738d7f1b3e5a7ca70fe4ff75f0.us-east-1.aws.found.io/app/kibana#/discover/Steve-Slow-Train-Analysis-(2080s-and-2083s)?_g=(refreshInterval:(display:Off,pause:!f,section:0,value:0),time:(from:'2017-06-14T17:06:45-0600',mode:absolute,to:'2017-06-14T19:49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3" s="197" t="str">
        <f>IF(AA123&lt;VLOOKUP(AG123,Variables!$AC$3:$AD$8,2,FALSE),"Y","N")</f>
        <v>N</v>
      </c>
      <c r="X123" s="197">
        <f t="shared" si="28"/>
        <v>1</v>
      </c>
      <c r="Y123" s="197">
        <f t="shared" si="42"/>
        <v>23.298100000000002</v>
      </c>
      <c r="Z123" s="197">
        <f t="shared" si="43"/>
        <v>1.34E-2</v>
      </c>
      <c r="AA123" s="197">
        <f t="shared" si="31"/>
        <v>23.284700000000001</v>
      </c>
      <c r="AB123" s="54" t="e">
        <f>VLOOKUP(A123,Enforcements!$C$7:$K$13,8,0)</f>
        <v>#N/A</v>
      </c>
      <c r="AC123" s="51" t="e">
        <f>VLOOKUP(A123,Enforcements!$C$7:$E$13,3,0)</f>
        <v>#N/A</v>
      </c>
      <c r="AD123" s="206">
        <f t="shared" si="32"/>
        <v>210</v>
      </c>
      <c r="AE123" s="77" t="str">
        <f t="shared" si="33"/>
        <v>aws s3 cp s3://rtdc.mdm.uploadarchive.raw/RTDC4009/ "%USERPROFILE%\AppData\Local\Temp\OnboardLogs"\RTDC4009\2017-06-14 --exclude "*" --recursive --include "*20170614*" &amp; "%USERPROFILE%\Documents\GitHub\mrs-test-scripts\Headless Mode &amp; Sideloading\WalkAndUnGZ.bat" "%USERPROFILE%\AppData\Local\Temp\OnboardLogs"\RTDC4009\2017-06-14 &amp; aws s3 cp s3://rtdc.mdm.uploadarchive.raw/RTDC4009/ "%USERPROFILE%\AppData\Local\Temp\OnboardLogs"\RTDC4009\2017-06-15 --exclude "*" --recursive --include "*20170615*" &amp; "%USERPROFILE%\Documents\GitHub\mrs-test-scripts\Headless Mode &amp; Sideloading\WalkAndUnGZ.bat" "%USERPROFILE%\AppData\Local\Temp\OnboardLogs"\RTDC4009\2017-06-15</v>
      </c>
      <c r="AF123" s="74" t="str">
        <f t="shared" si="34"/>
        <v>"C:\Program Files (x86)\AstroGrep\AstroGrep.exe" /e /r /s /spath="%USERPROFILE%\AppData\Local\Temp\OnboardLogs" /stypes="app*4009*20170615*" /stext=" 00:.+((SYSTEM_STATE.+slice.+state.+changed )|(ment ac)|(multiple cpu faults)|(system.+state.+changed )|(\[timeout)|(PRM\|1\|D)|(kpr)|(kdp)|(train st.+moving)|(\|lc)|(penalty))"</v>
      </c>
      <c r="AG123" s="209" t="str">
        <f t="shared" si="39"/>
        <v>EC</v>
      </c>
      <c r="AH123" s="78" t="str">
        <f t="shared" si="35"/>
        <v>"%USERPROFILE%\Documents\GitHub\eaglep3\Utilities\RefineRTDCRunTimes.py" --tripid 210-14 --locoid 4009 --swversion DE.1.0.9.0 --startMP 204:232981 --initTime 2017-06-14T18:06:45 --startdatetime 2017-06-14T18:12:25 --delay 1 --endMP 204:134 --enddatetime 2017-06-14T18:49:49 --enforcementcount 2 &gt;&gt;C:\Users\stu\Documents\GitHub\eaglep3-reporting\EC\2017-06-14-refined-times.txt</v>
      </c>
      <c r="AI123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{"issue":{"subject":"","project_id":79,"tracker_id":40,"status_id":1,"priority_id":2,"assigned_to_id":23,"start_date":"2017-06-14","description":"","custom_fields":[{"id":1,"name":"Subdivision","value":"EC"},{"id":4,"name":"Milepost","value":"0.0134"},{"id":17,"name":"Train ID","value":"210-14"},{"id":16,"name":"Locomotive ID","value":"4009"},{"id":130,"name":"Impact","value":""},{"id":150,"name":"Time of Event (Mountain Time)","value":"18:49:49"},{"id":151,"name":"Denver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37"/>
        <v>start /low /b %USERPROFILE%\Documents\GitHub\eaglep3\Utilities\DownloadLogsFromS3.py --loco 4009 --day 2017-06-14</v>
      </c>
      <c r="AN123" s="151" t="str">
        <f t="shared" si="38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00:49:49"},{"id":29,"name":"Sharepoint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72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794</v>
      </c>
      <c r="B124" s="7">
        <v>4004</v>
      </c>
      <c r="C124" s="21" t="s">
        <v>202</v>
      </c>
      <c r="D124" s="21" t="s">
        <v>356</v>
      </c>
      <c r="E124" s="13">
        <v>42900.730497685188</v>
      </c>
      <c r="F124" s="13">
        <v>42900.733032407406</v>
      </c>
      <c r="G124" s="7">
        <v>2</v>
      </c>
      <c r="H124" s="21" t="s">
        <v>887</v>
      </c>
      <c r="I124" s="13">
        <v>42900.757349537038</v>
      </c>
      <c r="J124" s="7">
        <v>2</v>
      </c>
      <c r="K124" s="89" t="str">
        <f t="shared" si="24"/>
        <v>4003/4004</v>
      </c>
      <c r="L124" s="21" t="str">
        <f>VLOOKUP(A124,'Trips&amp;Operators'!$C$1:$G$99999,5,FALSE)</f>
        <v>DELGADO DIANAH</v>
      </c>
      <c r="M124" s="6">
        <f t="shared" si="25"/>
        <v>2.4317129631526768E-2</v>
      </c>
      <c r="N124" s="7">
        <f t="shared" si="40"/>
        <v>35.016666669398546</v>
      </c>
      <c r="O124" s="7"/>
      <c r="P124" s="7"/>
      <c r="Q124" s="22"/>
      <c r="R124" s="170" t="s">
        <v>1005</v>
      </c>
      <c r="S124" s="215">
        <f t="shared" si="41"/>
        <v>1</v>
      </c>
      <c r="T124" s="195" t="str">
        <f t="shared" si="26"/>
        <v>NorthBound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 t="shared" si="27"/>
        <v>https://d0f6bd738d7f1b3e5a7ca70fe4ff75f0.us-east-1.aws.found.io/app/kibana#/discover/Steve-Slow-Train-Analysis-(2080s-and-2083s)?_g=(refreshInterval:(display:Off,pause:!f,section:0,value:0),time:(from:'2017-06-14T16:31:55-0600',mode:absolute,to:'2017-06-14T19:10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4" s="197" t="str">
        <f>IF(AA124&lt;VLOOKUP(AG124,Variables!$AC$3:$AD$8,2,FALSE),"Y","N")</f>
        <v>N</v>
      </c>
      <c r="X124" s="197">
        <f t="shared" si="28"/>
        <v>1</v>
      </c>
      <c r="Y124" s="197">
        <f t="shared" si="42"/>
        <v>4.4699999999999997E-2</v>
      </c>
      <c r="Z124" s="197">
        <f t="shared" si="43"/>
        <v>23.328800000000001</v>
      </c>
      <c r="AA124" s="197">
        <f t="shared" si="31"/>
        <v>23.284100000000002</v>
      </c>
      <c r="AB124" s="54" t="e">
        <f>VLOOKUP(A124,Enforcements!$C$7:$K$13,8,0)</f>
        <v>#N/A</v>
      </c>
      <c r="AC124" s="51" t="e">
        <f>VLOOKUP(A124,Enforcements!$C$7:$E$13,3,0)</f>
        <v>#N/A</v>
      </c>
      <c r="AD124" s="206">
        <f t="shared" si="32"/>
        <v>211</v>
      </c>
      <c r="AE124" s="77" t="str">
        <f t="shared" si="33"/>
        <v>aws s3 cp s3://rtdc.mdm.uploadarchive.raw/RTDC4004/ "%USERPROFILE%\AppData\Local\Temp\OnboardLogs"\RTDC4004\2017-06-14 --exclude "*" --recursive --include "*20170614*" &amp; "%USERPROFILE%\Documents\GitHub\mrs-test-scripts\Headless Mode &amp; Sideloading\WalkAndUnGZ.bat" "%USERPROFILE%\AppData\Local\Temp\OnboardLogs"\RTDC4004\2017-06-14 &amp; aws s3 cp s3://rtdc.mdm.uploadarchive.raw/RTDC4004/ "%USERPROFILE%\AppData\Local\Temp\OnboardLogs"\RTDC4004\2017-06-15 --exclude "*" --recursive --include "*20170615*" &amp; "%USERPROFILE%\Documents\GitHub\mrs-test-scripts\Headless Mode &amp; Sideloading\WalkAndUnGZ.bat" "%USERPROFILE%\AppData\Local\Temp\OnboardLogs"\RTDC4004\2017-06-15</v>
      </c>
      <c r="AF124" s="74" t="str">
        <f t="shared" si="34"/>
        <v>"C:\Program Files (x86)\AstroGrep\AstroGrep.exe" /e /r /s /spath="%USERPROFILE%\AppData\Local\Temp\OnboardLogs" /stypes="app*4004*20170615*" /stext=" 00:.+((SYSTEM_STATE.+slice.+state.+changed )|(ment ac)|(multiple cpu faults)|(system.+state.+changed )|(\[timeout)|(PRM\|1\|D)|(kpr)|(kdp)|(train st.+moving)|(\|lc)|(penalty))"</v>
      </c>
      <c r="AG124" s="209" t="str">
        <f t="shared" si="39"/>
        <v>EC</v>
      </c>
      <c r="AH124" s="78" t="str">
        <f t="shared" si="35"/>
        <v>"%USERPROFILE%\Documents\GitHub\eaglep3\Utilities\RefineRTDCRunTimes.py" --tripid 211-14 --locoid 4004 --swversion DE.1.0.9.0 --startMP 204:447 --initTime 2017-06-14T17:31:55 --startdatetime 2017-06-14T17:35:34 --delay 2 --endMP 204:233288 --enddatetime 2017-06-14T18:10:35 --enforcementcount 2 &gt;&gt;C:\Users\stu\Documents\GitHub\eaglep3-reporting\EC\2017-06-14-refined-times.txt</v>
      </c>
      <c r="AI124" s="96" t="str">
        <f t="shared" si="36"/>
        <v>echo {"issue":{"subject":"Reported consist-related delays, but all consist info looks normal. Did not perform departure test after a reboot.","project_id":79,"tracker_id":40,"status_id":1,"priority_id":2,"assigned_to_id":23,"start_date":"2017-06-14","description":"","custom_fields":[{"id":1,"name":"Subdivision","value":"EC"},{"id":4,"name":"Milepost","value":"23.3288"},{"id":17,"name":"Train ID","value":"211-14"},{"id":16,"name":"Locomotive ID","value":"4004"},{"id":130,"name":"Impact","value":""},{"id":150,"name":"Time of Event (Mountain Time)","value":"18:10:35"},{"id":151,"name":"Denver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37"/>
        <v>start /low /b %USERPROFILE%\Documents\GitHub\eaglep3\Utilities\DownloadLogsFromS3.py --loco 4004 --day 2017-06-14</v>
      </c>
      <c r="AN124" s="151" t="str">
        <f t="shared" si="38"/>
        <v>echo {"issue":{"subject":"Reported consist-related delays, but all consist info looks normal. Did not perform departure test after a reboot.","project_id":30,"tracker_id":4,"status_id":1,"priority_id":1,"assigned_to_id":10,"start_date":"2017-06-15","description":"","custom_fields":[{"id":30,"name":"Category","value":"Issue"},{"id":3,"name":"Functional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00:10:35"},{"id":29,"name":"Sharepoint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72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640</v>
      </c>
      <c r="B125" s="7">
        <v>4003</v>
      </c>
      <c r="C125" s="21" t="s">
        <v>202</v>
      </c>
      <c r="D125" s="21" t="s">
        <v>514</v>
      </c>
      <c r="E125" s="13">
        <v>42900.762557870374</v>
      </c>
      <c r="F125" s="13">
        <v>42900.768923611111</v>
      </c>
      <c r="G125" s="7">
        <v>3</v>
      </c>
      <c r="H125" s="21" t="s">
        <v>442</v>
      </c>
      <c r="I125" s="13">
        <v>42900.795011574075</v>
      </c>
      <c r="J125" s="7">
        <v>2</v>
      </c>
      <c r="K125" s="89" t="str">
        <f t="shared" si="24"/>
        <v>4003/4004</v>
      </c>
      <c r="L125" s="21" t="str">
        <f>VLOOKUP(A125,'Trips&amp;Operators'!$C$1:$G$99999,5,FALSE)</f>
        <v>DELGADO DIANAH</v>
      </c>
      <c r="M125" s="6">
        <f t="shared" si="25"/>
        <v>2.6087962964083999E-2</v>
      </c>
      <c r="N125" s="7">
        <f t="shared" si="40"/>
        <v>37.566666668280959</v>
      </c>
      <c r="O125" s="7"/>
      <c r="P125" s="7"/>
      <c r="Q125" s="22"/>
      <c r="R125" s="170"/>
      <c r="S125" s="215">
        <f t="shared" si="41"/>
        <v>1</v>
      </c>
      <c r="T125" s="195" t="str">
        <f t="shared" si="26"/>
        <v>Southbound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 t="shared" si="27"/>
        <v>https://d0f6bd738d7f1b3e5a7ca70fe4ff75f0.us-east-1.aws.found.io/app/kibana#/discover/Steve-Slow-Train-Analysis-(2080s-and-2083s)?_g=(refreshInterval:(display:Off,pause:!f,section:0,value:0),time:(from:'2017-06-14T17:18:05-0600',mode:absolute,to:'2017-06-14T20:04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5" s="197" t="str">
        <f>IF(AA125&lt;VLOOKUP(AG125,Variables!$AC$3:$AD$8,2,FALSE),"Y","N")</f>
        <v>N</v>
      </c>
      <c r="X125" s="197">
        <f t="shared" si="28"/>
        <v>1</v>
      </c>
      <c r="Y125" s="197">
        <f t="shared" si="42"/>
        <v>23.298200000000001</v>
      </c>
      <c r="Z125" s="197">
        <f t="shared" si="43"/>
        <v>1.5599999999999999E-2</v>
      </c>
      <c r="AA125" s="197">
        <f t="shared" si="31"/>
        <v>23.282600000000002</v>
      </c>
      <c r="AB125" s="54" t="str">
        <f>VLOOKUP(A125,Enforcements!$C$7:$K$13,8,0)</f>
        <v>Bulletin (2)</v>
      </c>
      <c r="AC125" s="51" t="str">
        <f>VLOOKUP(A125,Enforcements!$C$7:$E$13,3,0)</f>
        <v>GRADE CROSSING</v>
      </c>
      <c r="AD125" s="206">
        <f t="shared" si="32"/>
        <v>212</v>
      </c>
      <c r="AE125" s="77" t="str">
        <f t="shared" si="33"/>
        <v>aws s3 cp s3://rtdc.mdm.uploadarchive.raw/RTDC4003/ "%USERPROFILE%\AppData\Local\Temp\OnboardLogs"\RTDC4003\2017-06-14 --exclude "*" --recursive --include "*20170614*" &amp; "%USERPROFILE%\Documents\GitHub\mrs-test-scripts\Headless Mode &amp; Sideloading\WalkAndUnGZ.bat" "%USERPROFILE%\AppData\Local\Temp\OnboardLogs"\RTDC4003\2017-06-14 &amp; aws s3 cp s3://rtdc.mdm.uploadarchive.raw/RTDC4003/ "%USERPROFILE%\AppData\Local\Temp\OnboardLogs"\RTDC4003\2017-06-15 --exclude "*" --recursive --include "*20170615*" &amp; "%USERPROFILE%\Documents\GitHub\mrs-test-scripts\Headless Mode &amp; Sideloading\WalkAndUnGZ.bat" "%USERPROFILE%\AppData\Local\Temp\OnboardLogs"\RTDC4003\2017-06-15</v>
      </c>
      <c r="AF125" s="74" t="str">
        <f t="shared" si="34"/>
        <v>"C:\Program Files (x86)\AstroGrep\AstroGrep.exe" /e /r /s /spath="%USERPROFILE%\AppData\Local\Temp\OnboardLogs" /stypes="app*4003*20170615*" /stext=" 01:.+((SYSTEM_STATE.+slice.+state.+changed )|(ment ac)|(multiple cpu faults)|(system.+state.+changed )|(\[timeout)|(PRM\|1\|D)|(kpr)|(kdp)|(train st.+moving)|(\|lc)|(penalty))"</v>
      </c>
      <c r="AG125" s="209" t="str">
        <f t="shared" si="39"/>
        <v>EC</v>
      </c>
      <c r="AH125" s="78" t="str">
        <f t="shared" si="35"/>
        <v>"%USERPROFILE%\Documents\GitHub\eaglep3\Utilities\RefineRTDCRunTimes.py" --tripid 212-14 --locoid 4003 --swversion DE.1.0.9.0 --startMP 204:232982 --initTime 2017-06-14T18:18:05 --startdatetime 2017-06-14T18:27:15 --delay 3 --endMP 204:156 --enddatetime 2017-06-14T19:04:49 --enforcementcount 2 &gt;&gt;C:\Users\stu\Documents\GitHub\eaglep3-reporting\EC\2017-06-14-refined-times.txt</v>
      </c>
      <c r="AI125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{"issue":{"subject":"","project_id":79,"tracker_id":40,"status_id":1,"priority_id":2,"assigned_to_id":23,"start_date":"2017-06-14","description":"","custom_fields":[{"id":1,"name":"Subdivision","value":"EC"},{"id":4,"name":"Milepost","value":"0.0156"},{"id":17,"name":"Train ID","value":"212-14"},{"id":16,"name":"Locomotive ID","value":"4003"},{"id":130,"name":"Impact","value":""},{"id":150,"name":"Time of Event (Mountain Time)","value":"19:04:49"},{"id":151,"name":"Denver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37"/>
        <v>start /low /b %USERPROFILE%\Documents\GitHub\eaglep3\Utilities\DownloadLogsFromS3.py --loco 4003 --day 2017-06-14</v>
      </c>
      <c r="AN125" s="151" t="str">
        <f t="shared" si="38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01:04:49"},{"id":29,"name":"Sharepoint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72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800</v>
      </c>
      <c r="B126" s="7">
        <v>4044</v>
      </c>
      <c r="C126" s="21" t="s">
        <v>202</v>
      </c>
      <c r="D126" s="21" t="s">
        <v>858</v>
      </c>
      <c r="E126" s="13">
        <v>42900.736550925925</v>
      </c>
      <c r="F126" s="13">
        <v>42900.739803240744</v>
      </c>
      <c r="G126" s="7">
        <v>1</v>
      </c>
      <c r="H126" s="21" t="s">
        <v>438</v>
      </c>
      <c r="I126" s="13">
        <v>42900.764953703707</v>
      </c>
      <c r="J126" s="7">
        <v>2</v>
      </c>
      <c r="K126" s="89" t="str">
        <f t="shared" si="24"/>
        <v>4043/4044</v>
      </c>
      <c r="L126" s="21" t="str">
        <f>VLOOKUP(A126,'Trips&amp;Operators'!$C$1:$G$99999,5,FALSE)</f>
        <v>HAITHCOX MICHAEL</v>
      </c>
      <c r="M126" s="6">
        <f t="shared" si="25"/>
        <v>2.5150462963210884E-2</v>
      </c>
      <c r="N126" s="7">
        <f t="shared" si="40"/>
        <v>36.216666667023674</v>
      </c>
      <c r="O126" s="7"/>
      <c r="P126" s="7"/>
      <c r="Q126" s="22"/>
      <c r="R126" s="170"/>
      <c r="S126" s="215">
        <f t="shared" si="41"/>
        <v>1</v>
      </c>
      <c r="T126" s="195" t="str">
        <f t="shared" si="26"/>
        <v>NorthBound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 t="shared" si="27"/>
        <v>https://d0f6bd738d7f1b3e5a7ca70fe4ff75f0.us-east-1.aws.found.io/app/kibana#/discover/Steve-Slow-Train-Analysis-(2080s-and-2083s)?_g=(refreshInterval:(display:Off,pause:!f,section:0,value:0),time:(from:'2017-06-14T16:40:38-0600',mode:absolute,to:'2017-06-14T19:21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6" s="197" t="str">
        <f>IF(AA126&lt;VLOOKUP(AG126,Variables!$AC$3:$AD$8,2,FALSE),"Y","N")</f>
        <v>N</v>
      </c>
      <c r="X126" s="197">
        <f t="shared" si="28"/>
        <v>1</v>
      </c>
      <c r="Y126" s="197">
        <f t="shared" si="42"/>
        <v>4.3099999999999999E-2</v>
      </c>
      <c r="Z126" s="197">
        <f t="shared" si="43"/>
        <v>23.329699999999999</v>
      </c>
      <c r="AA126" s="197">
        <f t="shared" si="31"/>
        <v>23.2866</v>
      </c>
      <c r="AB126" s="54" t="e">
        <f>VLOOKUP(A126,Enforcements!$C$7:$K$13,8,0)</f>
        <v>#N/A</v>
      </c>
      <c r="AC126" s="51" t="e">
        <f>VLOOKUP(A126,Enforcements!$C$7:$E$13,3,0)</f>
        <v>#N/A</v>
      </c>
      <c r="AD126" s="206">
        <f t="shared" si="32"/>
        <v>213</v>
      </c>
      <c r="AE126" s="77" t="str">
        <f t="shared" si="33"/>
        <v>aws s3 cp s3://rtdc.mdm.uploadarchive.raw/RTDC4044/ "%USERPROFILE%\AppData\Local\Temp\OnboardLogs"\RTDC4044\2017-06-14 --exclude "*" --recursive --include "*20170614*" &amp; "%USERPROFILE%\Documents\GitHub\mrs-test-scripts\Headless Mode &amp; Sideloading\WalkAndUnGZ.bat" "%USERPROFILE%\AppData\Local\Temp\OnboardLogs"\RTDC4044\2017-06-14 &amp; aws s3 cp s3://rtdc.mdm.uploadarchive.raw/RTDC4044/ "%USERPROFILE%\AppData\Local\Temp\OnboardLogs"\RTDC4044\2017-06-15 --exclude "*" --recursive --include "*20170615*" &amp; "%USERPROFILE%\Documents\GitHub\mrs-test-scripts\Headless Mode &amp; Sideloading\WalkAndUnGZ.bat" "%USERPROFILE%\AppData\Local\Temp\OnboardLogs"\RTDC4044\2017-06-15</v>
      </c>
      <c r="AF126" s="74" t="str">
        <f t="shared" si="34"/>
        <v>"C:\Program Files (x86)\AstroGrep\AstroGrep.exe" /e /r /s /spath="%USERPROFILE%\AppData\Local\Temp\OnboardLogs" /stypes="app*4044*20170615*" /stext=" 00:.+((SYSTEM_STATE.+slice.+state.+changed )|(ment ac)|(multiple cpu faults)|(system.+state.+changed )|(\[timeout)|(PRM\|1\|D)|(kpr)|(kdp)|(train st.+moving)|(\|lc)|(penalty))"</v>
      </c>
      <c r="AG126" s="209" t="str">
        <f t="shared" si="39"/>
        <v>EC</v>
      </c>
      <c r="AH126" s="78" t="str">
        <f t="shared" si="35"/>
        <v>"%USERPROFILE%\Documents\GitHub\eaglep3\Utilities\RefineRTDCRunTimes.py" --tripid 213-14 --locoid 4044 --swversion DE.1.0.9.0 --startMP 204:431 --initTime 2017-06-14T17:40:38 --startdatetime 2017-06-14T17:45:19 --delay 1 --endMP 204:233297 --enddatetime 2017-06-14T18:21:32 --enforcementcount 2 &gt;&gt;C:\Users\stu\Documents\GitHub\eaglep3-reporting\EC\2017-06-14-refined-times.txt</v>
      </c>
      <c r="AI126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{"issue":{"subject":"","project_id":79,"tracker_id":40,"status_id":1,"priority_id":2,"assigned_to_id":23,"start_date":"2017-06-14","description":"","custom_fields":[{"id":1,"name":"Subdivision","value":"EC"},{"id":4,"name":"Milepost","value":"23.3297"},{"id":17,"name":"Train ID","value":"213-14"},{"id":16,"name":"Locomotive ID","value":"4044"},{"id":130,"name":"Impact","value":""},{"id":150,"name":"Time of Event (Mountain Time)","value":"18:21:32"},{"id":151,"name":"Denver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37"/>
        <v>start /low /b %USERPROFILE%\Documents\GitHub\eaglep3\Utilities\DownloadLogsFromS3.py --loco 4044 --day 2017-06-14</v>
      </c>
      <c r="AN126" s="151" t="str">
        <f t="shared" si="38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00:21:32"},{"id":29,"name":"Sharepoint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72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639</v>
      </c>
      <c r="B127" s="7">
        <v>4043</v>
      </c>
      <c r="C127" s="21" t="s">
        <v>202</v>
      </c>
      <c r="D127" s="21" t="s">
        <v>861</v>
      </c>
      <c r="E127" s="13">
        <v>42900.77412037037</v>
      </c>
      <c r="F127" s="13">
        <v>42900.779386574075</v>
      </c>
      <c r="G127" s="7">
        <v>1</v>
      </c>
      <c r="H127" s="21" t="s">
        <v>349</v>
      </c>
      <c r="I127" s="13">
        <v>42900.808946759258</v>
      </c>
      <c r="J127" s="7">
        <v>2</v>
      </c>
      <c r="K127" s="89" t="str">
        <f t="shared" si="24"/>
        <v>4043/4044</v>
      </c>
      <c r="L127" s="21" t="str">
        <f>VLOOKUP(A127,'Trips&amp;Operators'!$C$1:$G$99999,5,FALSE)</f>
        <v>HAITHCOX MICHAEL</v>
      </c>
      <c r="M127" s="6">
        <f t="shared" si="25"/>
        <v>2.9560185183072463E-2</v>
      </c>
      <c r="N127" s="7">
        <f t="shared" si="40"/>
        <v>42.566666663624346</v>
      </c>
      <c r="O127" s="7"/>
      <c r="P127" s="7"/>
      <c r="Q127" s="22"/>
      <c r="R127" s="170"/>
      <c r="S127" s="215">
        <f t="shared" si="41"/>
        <v>1</v>
      </c>
      <c r="T127" s="195" t="str">
        <f t="shared" si="26"/>
        <v>Southbound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 t="shared" si="27"/>
        <v>https://d0f6bd738d7f1b3e5a7ca70fe4ff75f0.us-east-1.aws.found.io/app/kibana#/discover/Steve-Slow-Train-Analysis-(2080s-and-2083s)?_g=(refreshInterval:(display:Off,pause:!f,section:0,value:0),time:(from:'2017-06-14T17:34:44-0600',mode:absolute,to:'2017-06-14T20:24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7" s="197" t="str">
        <f>IF(AA127&lt;VLOOKUP(AG127,Variables!$AC$3:$AD$8,2,FALSE),"Y","N")</f>
        <v>N</v>
      </c>
      <c r="X127" s="197">
        <f t="shared" si="28"/>
        <v>1</v>
      </c>
      <c r="Y127" s="197">
        <f t="shared" si="42"/>
        <v>23.299800000000001</v>
      </c>
      <c r="Z127" s="197">
        <f t="shared" si="43"/>
        <v>1.4999999999999999E-2</v>
      </c>
      <c r="AA127" s="197">
        <f t="shared" si="31"/>
        <v>23.284800000000001</v>
      </c>
      <c r="AB127" s="54" t="e">
        <f>VLOOKUP(A127,Enforcements!$C$7:$K$13,8,0)</f>
        <v>#N/A</v>
      </c>
      <c r="AC127" s="51" t="e">
        <f>VLOOKUP(A127,Enforcements!$C$7:$E$13,3,0)</f>
        <v>#N/A</v>
      </c>
      <c r="AD127" s="206">
        <f t="shared" si="32"/>
        <v>214</v>
      </c>
      <c r="AE127" s="77" t="str">
        <f t="shared" si="33"/>
        <v>aws s3 cp s3://rtdc.mdm.uploadarchive.raw/RTDC4043/ "%USERPROFILE%\AppData\Local\Temp\OnboardLogs"\RTDC4043\2017-06-14 --exclude "*" --recursive --include "*20170614*" &amp; "%USERPROFILE%\Documents\GitHub\mrs-test-scripts\Headless Mode &amp; Sideloading\WalkAndUnGZ.bat" "%USERPROFILE%\AppData\Local\Temp\OnboardLogs"\RTDC4043\2017-06-14 &amp; aws s3 cp s3://rtdc.mdm.uploadarchive.raw/RTDC4043/ "%USERPROFILE%\AppData\Local\Temp\OnboardLogs"\RTDC4043\2017-06-15 --exclude "*" --recursive --include "*20170615*" &amp; "%USERPROFILE%\Documents\GitHub\mrs-test-scripts\Headless Mode &amp; Sideloading\WalkAndUnGZ.bat" "%USERPROFILE%\AppData\Local\Temp\OnboardLogs"\RTDC4043\2017-06-15</v>
      </c>
      <c r="AF127" s="74" t="str">
        <f t="shared" si="34"/>
        <v>"C:\Program Files (x86)\AstroGrep\AstroGrep.exe" /e /r /s /spath="%USERPROFILE%\AppData\Local\Temp\OnboardLogs" /stypes="app*4043*20170615*" /stext=" 01:.+((SYSTEM_STATE.+slice.+state.+changed )|(ment ac)|(multiple cpu faults)|(system.+state.+changed )|(\[timeout)|(PRM\|1\|D)|(kpr)|(kdp)|(train st.+moving)|(\|lc)|(penalty))"</v>
      </c>
      <c r="AG127" s="209" t="str">
        <f t="shared" si="39"/>
        <v>EC</v>
      </c>
      <c r="AH127" s="78" t="str">
        <f t="shared" si="35"/>
        <v>"%USERPROFILE%\Documents\GitHub\eaglep3\Utilities\RefineRTDCRunTimes.py" --tripid 214-14 --locoid 4043 --swversion DE.1.0.9.0 --startMP 204:232998 --initTime 2017-06-14T18:34:44 --startdatetime 2017-06-14T18:42:19 --delay 1 --endMP 204:150 --enddatetime 2017-06-14T19:24:53 --enforcementcount 2 &gt;&gt;C:\Users\stu\Documents\GitHub\eaglep3-reporting\EC\2017-06-14-refined-times.txt</v>
      </c>
      <c r="AI127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{"issue":{"subject":"","project_id":79,"tracker_id":40,"status_id":1,"priority_id":2,"assigned_to_id":23,"start_date":"2017-06-14","description":"","custom_fields":[{"id":1,"name":"Subdivision","value":"EC"},{"id":4,"name":"Milepost","value":"0.015"},{"id":17,"name":"Train ID","value":"214-14"},{"id":16,"name":"Locomotive ID","value":"4043"},{"id":130,"name":"Impact","value":""},{"id":150,"name":"Time of Event (Mountain Time)","value":"19:24:53"},{"id":151,"name":"Denver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37"/>
        <v>start /low /b %USERPROFILE%\Documents\GitHub\eaglep3\Utilities\DownloadLogsFromS3.py --loco 4043 --day 2017-06-14</v>
      </c>
      <c r="AN127" s="151" t="str">
        <f t="shared" si="38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01:24:53"},{"id":29,"name":"Sharepoint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72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802</v>
      </c>
      <c r="B128" s="7">
        <v>4008</v>
      </c>
      <c r="C128" s="21" t="s">
        <v>202</v>
      </c>
      <c r="D128" s="21" t="s">
        <v>356</v>
      </c>
      <c r="E128" s="13">
        <v>42900.747627314813</v>
      </c>
      <c r="F128" s="13">
        <v>42900.750497685185</v>
      </c>
      <c r="G128" s="7">
        <v>2</v>
      </c>
      <c r="H128" s="21" t="s">
        <v>438</v>
      </c>
      <c r="I128" s="13">
        <v>42900.775787037041</v>
      </c>
      <c r="J128" s="7">
        <v>2</v>
      </c>
      <c r="K128" s="89" t="str">
        <f t="shared" si="24"/>
        <v>4007/4008</v>
      </c>
      <c r="L128" s="21" t="str">
        <f>VLOOKUP(A128,'Trips&amp;Operators'!$C$1:$G$99999,5,FALSE)</f>
        <v>HOLCOMB KAMDEN</v>
      </c>
      <c r="M128" s="6">
        <f t="shared" si="25"/>
        <v>2.5289351855462883E-2</v>
      </c>
      <c r="N128" s="7">
        <f t="shared" si="40"/>
        <v>36.416666671866551</v>
      </c>
      <c r="O128" s="7"/>
      <c r="P128" s="7"/>
      <c r="Q128" s="22"/>
      <c r="R128" s="170"/>
      <c r="S128" s="215">
        <f t="shared" si="41"/>
        <v>1</v>
      </c>
      <c r="T128" s="195" t="str">
        <f t="shared" si="26"/>
        <v>NorthBound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 t="shared" si="27"/>
        <v>https://d0f6bd738d7f1b3e5a7ca70fe4ff75f0.us-east-1.aws.found.io/app/kibana#/discover/Steve-Slow-Train-Analysis-(2080s-and-2083s)?_g=(refreshInterval:(display:Off,pause:!f,section:0,value:0),time:(from:'2017-06-14T16:56:35-0600',mode:absolute,to:'2017-06-14T19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8" s="197" t="str">
        <f>IF(AA128&lt;VLOOKUP(AG128,Variables!$AC$3:$AD$8,2,FALSE),"Y","N")</f>
        <v>N</v>
      </c>
      <c r="X128" s="197">
        <f t="shared" si="28"/>
        <v>1</v>
      </c>
      <c r="Y128" s="197">
        <f t="shared" si="42"/>
        <v>4.4699999999999997E-2</v>
      </c>
      <c r="Z128" s="197">
        <f t="shared" si="43"/>
        <v>23.329699999999999</v>
      </c>
      <c r="AA128" s="197">
        <f t="shared" si="31"/>
        <v>23.285</v>
      </c>
      <c r="AB128" s="54" t="e">
        <f>VLOOKUP(A128,Enforcements!$C$7:$K$13,8,0)</f>
        <v>#N/A</v>
      </c>
      <c r="AC128" s="51" t="e">
        <f>VLOOKUP(A128,Enforcements!$C$7:$E$13,3,0)</f>
        <v>#N/A</v>
      </c>
      <c r="AD128" s="206">
        <f t="shared" si="32"/>
        <v>215</v>
      </c>
      <c r="AE128" s="77" t="str">
        <f t="shared" si="33"/>
        <v>aws s3 cp s3://rtdc.mdm.uploadarchive.raw/RTDC4008/ "%USERPROFILE%\AppData\Local\Temp\OnboardLogs"\RTDC4008\2017-06-14 --exclude "*" --recursive --include "*20170614*" &amp; "%USERPROFILE%\Documents\GitHub\mrs-test-scripts\Headless Mode &amp; Sideloading\WalkAndUnGZ.bat" "%USERPROFILE%\AppData\Local\Temp\OnboardLogs"\RTDC4008\2017-06-14 &amp; aws s3 cp s3://rtdc.mdm.uploadarchive.raw/RTDC4008/ "%USERPROFILE%\AppData\Local\Temp\OnboardLogs"\RTDC4008\2017-06-15 --exclude "*" --recursive --include "*20170615*" &amp; "%USERPROFILE%\Documents\GitHub\mrs-test-scripts\Headless Mode &amp; Sideloading\WalkAndUnGZ.bat" "%USERPROFILE%\AppData\Local\Temp\OnboardLogs"\RTDC4008\2017-06-15</v>
      </c>
      <c r="AF128" s="74" t="str">
        <f t="shared" si="34"/>
        <v>"C:\Program Files (x86)\AstroGrep\AstroGrep.exe" /e /r /s /spath="%USERPROFILE%\AppData\Local\Temp\OnboardLogs" /stypes="app*4008*20170615*" /stext=" 00:.+((SYSTEM_STATE.+slice.+state.+changed )|(ment ac)|(multiple cpu faults)|(system.+state.+changed )|(\[timeout)|(PRM\|1\|D)|(kpr)|(kdp)|(train st.+moving)|(\|lc)|(penalty))"</v>
      </c>
      <c r="AG128" s="209" t="str">
        <f t="shared" si="39"/>
        <v>EC</v>
      </c>
      <c r="AH128" s="78" t="str">
        <f t="shared" si="35"/>
        <v>"%USERPROFILE%\Documents\GitHub\eaglep3\Utilities\RefineRTDCRunTimes.py" --tripid 215-14 --locoid 4008 --swversion DE.1.0.9.0 --startMP 204:447 --initTime 2017-06-14T17:56:35 --startdatetime 2017-06-14T18:00:43 --delay 2 --endMP 204:233297 --enddatetime 2017-06-14T18:37:08 --enforcementcount 2 &gt;&gt;C:\Users\stu\Documents\GitHub\eaglep3-reporting\EC\2017-06-14-refined-times.txt</v>
      </c>
      <c r="AI128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{"issue":{"subject":"","project_id":79,"tracker_id":40,"status_id":1,"priority_id":2,"assigned_to_id":23,"start_date":"2017-06-14","description":"","custom_fields":[{"id":1,"name":"Subdivision","value":"EC"},{"id":4,"name":"Milepost","value":"23.3297"},{"id":17,"name":"Train ID","value":"215-14"},{"id":16,"name":"Locomotive ID","value":"4008"},{"id":130,"name":"Impact","value":""},{"id":150,"name":"Time of Event (Mountain Time)","value":"18:37:08"},{"id":151,"name":"Denver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37"/>
        <v>start /low /b %USERPROFILE%\Documents\GitHub\eaglep3\Utilities\DownloadLogsFromS3.py --loco 4008 --day 2017-06-14</v>
      </c>
      <c r="AN128" s="151" t="str">
        <f t="shared" si="38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00:37:08"},{"id":29,"name":"Sharepoint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72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810</v>
      </c>
      <c r="B129" s="7">
        <v>4007</v>
      </c>
      <c r="C129" s="21" t="s">
        <v>202</v>
      </c>
      <c r="D129" s="21" t="s">
        <v>458</v>
      </c>
      <c r="E129" s="13">
        <v>42900.787268518521</v>
      </c>
      <c r="F129" s="13">
        <v>42900.78979166667</v>
      </c>
      <c r="G129" s="7">
        <v>1</v>
      </c>
      <c r="H129" s="21" t="s">
        <v>349</v>
      </c>
      <c r="I129" s="13">
        <v>42900.815983796296</v>
      </c>
      <c r="J129" s="7">
        <v>2</v>
      </c>
      <c r="K129" s="89" t="str">
        <f t="shared" si="24"/>
        <v>4007/4008</v>
      </c>
      <c r="L129" s="21" t="str">
        <f>VLOOKUP(A129,'Trips&amp;Operators'!$C$1:$G$99999,5,FALSE)</f>
        <v>HOLCOMB KAMDEN</v>
      </c>
      <c r="M129" s="6">
        <f t="shared" si="25"/>
        <v>2.619212962599704E-2</v>
      </c>
      <c r="N129" s="7">
        <f t="shared" si="40"/>
        <v>37.716666661435738</v>
      </c>
      <c r="O129" s="7"/>
      <c r="P129" s="7"/>
      <c r="Q129" s="22"/>
      <c r="R129" s="170"/>
      <c r="S129" s="215">
        <f t="shared" si="41"/>
        <v>1</v>
      </c>
      <c r="T129" s="195" t="str">
        <f t="shared" si="26"/>
        <v>Southbound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 t="shared" si="27"/>
        <v>https://d0f6bd738d7f1b3e5a7ca70fe4ff75f0.us-east-1.aws.found.io/app/kibana#/discover/Steve-Slow-Train-Analysis-(2080s-and-2083s)?_g=(refreshInterval:(display:Off,pause:!f,section:0,value:0),time:(from:'2017-06-14T17:53:40-0600',mode:absolute,to:'2017-06-14T20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9" s="197" t="str">
        <f>IF(AA129&lt;VLOOKUP(AG129,Variables!$AC$3:$AD$8,2,FALSE),"Y","N")</f>
        <v>N</v>
      </c>
      <c r="X129" s="197">
        <f t="shared" si="28"/>
        <v>1</v>
      </c>
      <c r="Y129" s="197">
        <f t="shared" si="42"/>
        <v>23.2971</v>
      </c>
      <c r="Z129" s="197">
        <f t="shared" si="43"/>
        <v>1.4999999999999999E-2</v>
      </c>
      <c r="AA129" s="197">
        <f t="shared" si="31"/>
        <v>23.2821</v>
      </c>
      <c r="AB129" s="54" t="e">
        <f>VLOOKUP(A129,Enforcements!$C$7:$K$13,8,0)</f>
        <v>#N/A</v>
      </c>
      <c r="AC129" s="51" t="e">
        <f>VLOOKUP(A129,Enforcements!$C$7:$E$13,3,0)</f>
        <v>#N/A</v>
      </c>
      <c r="AD129" s="206">
        <f t="shared" si="32"/>
        <v>216</v>
      </c>
      <c r="AE129" s="77" t="str">
        <f t="shared" si="33"/>
        <v>aws s3 cp s3://rtdc.mdm.uploadarchive.raw/RTDC4007/ "%USERPROFILE%\AppData\Local\Temp\OnboardLogs"\RTDC4007\2017-06-14 --exclude "*" --recursive --include "*20170614*" &amp; "%USERPROFILE%\Documents\GitHub\mrs-test-scripts\Headless Mode &amp; Sideloading\WalkAndUnGZ.bat" "%USERPROFILE%\AppData\Local\Temp\OnboardLogs"\RTDC4007\2017-06-14 &amp; aws s3 cp s3://rtdc.mdm.uploadarchive.raw/RTDC4007/ "%USERPROFILE%\AppData\Local\Temp\OnboardLogs"\RTDC4007\2017-06-15 --exclude "*" --recursive --include "*20170615*" &amp; "%USERPROFILE%\Documents\GitHub\mrs-test-scripts\Headless Mode &amp; Sideloading\WalkAndUnGZ.bat" "%USERPROFILE%\AppData\Local\Temp\OnboardLogs"\RTDC4007\2017-06-15</v>
      </c>
      <c r="AF129" s="74" t="str">
        <f t="shared" si="34"/>
        <v>"C:\Program Files (x86)\AstroGrep\AstroGrep.exe" /e /r /s /spath="%USERPROFILE%\AppData\Local\Temp\OnboardLogs" /stypes="app*4007*20170615*" /stext=" 01:.+((SYSTEM_STATE.+slice.+state.+changed )|(ment ac)|(multiple cpu faults)|(system.+state.+changed )|(\[timeout)|(PRM\|1\|D)|(kpr)|(kdp)|(train st.+moving)|(\|lc)|(penalty))"</v>
      </c>
      <c r="AG129" s="209" t="str">
        <f t="shared" si="39"/>
        <v>EC</v>
      </c>
      <c r="AH129" s="78" t="str">
        <f t="shared" si="35"/>
        <v>"%USERPROFILE%\Documents\GitHub\eaglep3\Utilities\RefineRTDCRunTimes.py" --tripid 216-14 --locoid 4007 --swversion DE.1.0.9.0 --startMP 204:232971 --initTime 2017-06-14T18:53:40 --startdatetime 2017-06-14T18:57:18 --delay 1 --endMP 204:150 --enddatetime 2017-06-14T19:35:01 --enforcementcount 2 &gt;&gt;C:\Users\stu\Documents\GitHub\eaglep3-reporting\EC\2017-06-14-refined-times.txt</v>
      </c>
      <c r="AI129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{"issue":{"subject":"","project_id":79,"tracker_id":40,"status_id":1,"priority_id":2,"assigned_to_id":23,"start_date":"2017-06-14","description":"","custom_fields":[{"id":1,"name":"Subdivision","value":"EC"},{"id":4,"name":"Milepost","value":"0.015"},{"id":17,"name":"Train ID","value":"216-14"},{"id":16,"name":"Locomotive ID","value":"4007"},{"id":130,"name":"Impact","value":""},{"id":150,"name":"Time of Event (Mountain Time)","value":"19:35:01"},{"id":151,"name":"Denver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37"/>
        <v>start /low /b %USERPROFILE%\Documents\GitHub\eaglep3\Utilities\DownloadLogsFromS3.py --loco 4007 --day 2017-06-14</v>
      </c>
      <c r="AN129" s="151" t="str">
        <f t="shared" si="38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01:35:01"},{"id":29,"name":"Sharepoint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72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638</v>
      </c>
      <c r="B130" s="7">
        <v>4016</v>
      </c>
      <c r="C130" s="21" t="s">
        <v>202</v>
      </c>
      <c r="D130" s="21" t="s">
        <v>347</v>
      </c>
      <c r="E130" s="13">
        <v>42900.758275462962</v>
      </c>
      <c r="F130" s="13">
        <v>42900.760787037034</v>
      </c>
      <c r="G130" s="7">
        <v>2</v>
      </c>
      <c r="H130" s="21" t="s">
        <v>468</v>
      </c>
      <c r="I130" s="13">
        <v>42900.788530092592</v>
      </c>
      <c r="J130" s="7">
        <v>2</v>
      </c>
      <c r="K130" s="89" t="str">
        <f t="shared" si="24"/>
        <v>4015/4016</v>
      </c>
      <c r="L130" s="21" t="str">
        <f>VLOOKUP(A130,'Trips&amp;Operators'!$C$1:$G$99999,5,FALSE)</f>
        <v>SMITH MICHAEL</v>
      </c>
      <c r="M130" s="6">
        <f t="shared" si="25"/>
        <v>2.7743055557948537E-2</v>
      </c>
      <c r="N130" s="7">
        <f t="shared" ref="N130:N140" si="44">24*60*SUM($M130:$M130)</f>
        <v>39.950000003445894</v>
      </c>
      <c r="O130" s="7"/>
      <c r="P130" s="7"/>
      <c r="Q130" s="22"/>
      <c r="R130" s="170"/>
      <c r="S130" s="215">
        <f t="shared" ref="S130:S140" si="45">SUM(U130:U130)/IF(AG130="EC",12,1)</f>
        <v>1</v>
      </c>
      <c r="T130" s="195" t="str">
        <f t="shared" si="26"/>
        <v>NorthBound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 t="shared" si="27"/>
        <v>https://d0f6bd738d7f1b3e5a7ca70fe4ff75f0.us-east-1.aws.found.io/app/kibana#/discover/Steve-Slow-Train-Analysis-(2080s-and-2083s)?_g=(refreshInterval:(display:Off,pause:!f,section:0,value:0),time:(from:'2017-06-14T17:11:55-0600',mode:absolute,to:'2017-06-14T19:55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0" s="197" t="str">
        <f>IF(AA130&lt;VLOOKUP(AG130,Variables!$AC$3:$AD$8,2,FALSE),"Y","N")</f>
        <v>N</v>
      </c>
      <c r="X130" s="197">
        <f t="shared" si="28"/>
        <v>1</v>
      </c>
      <c r="Y130" s="197">
        <f t="shared" si="42"/>
        <v>4.4600000000000001E-2</v>
      </c>
      <c r="Z130" s="197">
        <f t="shared" si="43"/>
        <v>23.33</v>
      </c>
      <c r="AA130" s="197">
        <f t="shared" si="31"/>
        <v>23.285399999999999</v>
      </c>
      <c r="AB130" s="54" t="e">
        <f>VLOOKUP(A130,Enforcements!$C$7:$K$13,8,0)</f>
        <v>#N/A</v>
      </c>
      <c r="AC130" s="51" t="e">
        <f>VLOOKUP(A130,Enforcements!$C$7:$E$13,3,0)</f>
        <v>#N/A</v>
      </c>
      <c r="AD130" s="206">
        <f t="shared" si="32"/>
        <v>217</v>
      </c>
      <c r="AE130" s="77" t="str">
        <f t="shared" si="33"/>
        <v>aws s3 cp s3://rtdc.mdm.uploadarchive.raw/RTDC4016/ "%USERPROFILE%\AppData\Local\Temp\OnboardLogs"\RTDC4016\2017-06-14 --exclude "*" --recursive --include "*20170614*" &amp; "%USERPROFILE%\Documents\GitHub\mrs-test-scripts\Headless Mode &amp; Sideloading\WalkAndUnGZ.bat" "%USERPROFILE%\AppData\Local\Temp\OnboardLogs"\RTDC4016\2017-06-14 &amp; aws s3 cp s3://rtdc.mdm.uploadarchive.raw/RTDC4016/ "%USERPROFILE%\AppData\Local\Temp\OnboardLogs"\RTDC4016\2017-06-15 --exclude "*" --recursive --include "*20170615*" &amp; "%USERPROFILE%\Documents\GitHub\mrs-test-scripts\Headless Mode &amp; Sideloading\WalkAndUnGZ.bat" "%USERPROFILE%\AppData\Local\Temp\OnboardLogs"\RTDC4016\2017-06-15</v>
      </c>
      <c r="AF130" s="74" t="str">
        <f t="shared" si="34"/>
        <v>"C:\Program Files (x86)\AstroGrep\AstroGrep.exe" /e /r /s /spath="%USERPROFILE%\AppData\Local\Temp\OnboardLogs" /stypes="app*4016*20170615*" /stext=" 00:.+((SYSTEM_STATE.+slice.+state.+changed )|(ment ac)|(multiple cpu faults)|(system.+state.+changed )|(\[timeout)|(PRM\|1\|D)|(kpr)|(kdp)|(train st.+moving)|(\|lc)|(penalty))"</v>
      </c>
      <c r="AG130" s="209" t="str">
        <f t="shared" si="39"/>
        <v>EC</v>
      </c>
      <c r="AH130" s="78" t="str">
        <f t="shared" si="35"/>
        <v>"%USERPROFILE%\Documents\GitHub\eaglep3\Utilities\RefineRTDCRunTimes.py" --tripid 217-14 --locoid 4016 --swversion DE.1.0.9.0 --startMP 204:446 --initTime 2017-06-14T18:11:55 --startdatetime 2017-06-14T18:15:32 --delay 2 --endMP 204:233300 --enddatetime 2017-06-14T18:55:29 --enforcementcount 2 &gt;&gt;C:\Users\stu\Documents\GitHub\eaglep3-reporting\EC\2017-06-14-refined-times.txt</v>
      </c>
      <c r="AI130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{"issue":{"subject":"","project_id":79,"tracker_id":40,"status_id":1,"priority_id":2,"assigned_to_id":23,"start_date":"2017-06-14","description":"","custom_fields":[{"id":1,"name":"Subdivision","value":"EC"},{"id":4,"name":"Milepost","value":"23.33"},{"id":17,"name":"Train ID","value":"217-14"},{"id":16,"name":"Locomotive ID","value":"4016"},{"id":130,"name":"Impact","value":""},{"id":150,"name":"Time of Event (Mountain Time)","value":"18:55:29"},{"id":151,"name":"Denver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37"/>
        <v>start /low /b %USERPROFILE%\Documents\GitHub\eaglep3\Utilities\DownloadLogsFromS3.py --loco 4016 --day 2017-06-14</v>
      </c>
      <c r="AN130" s="151" t="str">
        <f t="shared" si="38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00:55:29"},{"id":29,"name":"Sharepoint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72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643</v>
      </c>
      <c r="B131" s="7">
        <v>4015</v>
      </c>
      <c r="C131" s="21" t="s">
        <v>202</v>
      </c>
      <c r="D131" s="21" t="s">
        <v>888</v>
      </c>
      <c r="E131" s="13">
        <v>42900.790960648148</v>
      </c>
      <c r="F131" s="13">
        <v>42900.80023148148</v>
      </c>
      <c r="G131" s="7">
        <v>1</v>
      </c>
      <c r="H131" s="21" t="s">
        <v>350</v>
      </c>
      <c r="I131" s="13">
        <v>42900.827453703707</v>
      </c>
      <c r="J131" s="7">
        <v>2</v>
      </c>
      <c r="K131" s="89" t="str">
        <f t="shared" si="24"/>
        <v>4015/4016</v>
      </c>
      <c r="L131" s="21" t="str">
        <f>VLOOKUP(A131,'Trips&amp;Operators'!$C$1:$G$99999,5,FALSE)</f>
        <v>SMITH MICHAEL</v>
      </c>
      <c r="M131" s="6">
        <f t="shared" si="25"/>
        <v>2.7222222226555459E-2</v>
      </c>
      <c r="N131" s="7">
        <f t="shared" si="44"/>
        <v>39.200000006239861</v>
      </c>
      <c r="O131" s="7"/>
      <c r="P131" s="7"/>
      <c r="Q131" s="22"/>
      <c r="R131" s="170"/>
      <c r="S131" s="215">
        <f t="shared" si="45"/>
        <v>1</v>
      </c>
      <c r="T131" s="195" t="str">
        <f t="shared" si="26"/>
        <v>Southbound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 t="shared" si="27"/>
        <v>https://d0f6bd738d7f1b3e5a7ca70fe4ff75f0.us-east-1.aws.found.io/app/kibana#/discover/Steve-Slow-Train-Analysis-(2080s-and-2083s)?_g=(refreshInterval:(display:Off,pause:!f,section:0,value:0),time:(from:'2017-06-14T17:58:59-0600',mode:absolute,to:'2017-06-14T20:51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1" s="197" t="str">
        <f>IF(AA131&lt;VLOOKUP(AG131,Variables!$AC$3:$AD$8,2,FALSE),"Y","N")</f>
        <v>N</v>
      </c>
      <c r="X131" s="197">
        <f t="shared" si="28"/>
        <v>1</v>
      </c>
      <c r="Y131" s="197">
        <f t="shared" si="42"/>
        <v>23.298300000000001</v>
      </c>
      <c r="Z131" s="197">
        <f t="shared" si="43"/>
        <v>1.49E-2</v>
      </c>
      <c r="AA131" s="197">
        <f t="shared" si="31"/>
        <v>23.2834</v>
      </c>
      <c r="AB131" s="54" t="e">
        <f>VLOOKUP(A131,Enforcements!$C$7:$K$13,8,0)</f>
        <v>#N/A</v>
      </c>
      <c r="AC131" s="51" t="e">
        <f>VLOOKUP(A131,Enforcements!$C$7:$E$13,3,0)</f>
        <v>#N/A</v>
      </c>
      <c r="AD131" s="206">
        <f t="shared" si="32"/>
        <v>218</v>
      </c>
      <c r="AE131" s="77" t="str">
        <f t="shared" si="33"/>
        <v>aws s3 cp s3://rtdc.mdm.uploadarchive.raw/RTDC4015/ "%USERPROFILE%\AppData\Local\Temp\OnboardLogs"\RTDC4015\2017-06-14 --exclude "*" --recursive --include "*20170614*" &amp; "%USERPROFILE%\Documents\GitHub\mrs-test-scripts\Headless Mode &amp; Sideloading\WalkAndUnGZ.bat" "%USERPROFILE%\AppData\Local\Temp\OnboardLogs"\RTDC4015\2017-06-14 &amp; aws s3 cp s3://rtdc.mdm.uploadarchive.raw/RTDC4015/ "%USERPROFILE%\AppData\Local\Temp\OnboardLogs"\RTDC4015\2017-06-15 --exclude "*" --recursive --include "*20170615*" &amp; "%USERPROFILE%\Documents\GitHub\mrs-test-scripts\Headless Mode &amp; Sideloading\WalkAndUnGZ.bat" "%USERPROFILE%\AppData\Local\Temp\OnboardLogs"\RTDC4015\2017-06-15</v>
      </c>
      <c r="AF131" s="74" t="str">
        <f t="shared" si="34"/>
        <v>"C:\Program Files (x86)\AstroGrep\AstroGrep.exe" /e /r /s /spath="%USERPROFILE%\AppData\Local\Temp\OnboardLogs" /stypes="app*4015*20170615*" /stext=" 01:.+((SYSTEM_STATE.+slice.+state.+changed )|(ment ac)|(multiple cpu faults)|(system.+state.+changed )|(\[timeout)|(PRM\|1\|D)|(kpr)|(kdp)|(train st.+moving)|(\|lc)|(penalty))"</v>
      </c>
      <c r="AG131" s="209" t="str">
        <f t="shared" si="39"/>
        <v>EC</v>
      </c>
      <c r="AH131" s="78" t="str">
        <f t="shared" si="35"/>
        <v>"%USERPROFILE%\Documents\GitHub\eaglep3\Utilities\RefineRTDCRunTimes.py" --tripid 218-14 --locoid 4015 --swversion DE.1.0.9.0 --startMP 204:232983 --initTime 2017-06-14T18:58:59 --startdatetime 2017-06-14T19:12:20 --delay 1 --endMP 204:149 --enddatetime 2017-06-14T19:51:32 --enforcementcount 2 &gt;&gt;C:\Users\stu\Documents\GitHub\eaglep3-reporting\EC\2017-06-14-refined-times.txt</v>
      </c>
      <c r="AI131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{"issue":{"subject":"","project_id":79,"tracker_id":40,"status_id":1,"priority_id":2,"assigned_to_id":23,"start_date":"2017-06-14","description":"","custom_fields":[{"id":1,"name":"Subdivision","value":"EC"},{"id":4,"name":"Milepost","value":"0.0149"},{"id":17,"name":"Train ID","value":"218-14"},{"id":16,"name":"Locomotive ID","value":"4015"},{"id":130,"name":"Impact","value":""},{"id":150,"name":"Time of Event (Mountain Time)","value":"19:51:32"},{"id":151,"name":"Denver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37"/>
        <v>start /low /b %USERPROFILE%\Documents\GitHub\eaglep3\Utilities\DownloadLogsFromS3.py --loco 4015 --day 2017-06-14</v>
      </c>
      <c r="AN131" s="151" t="str">
        <f t="shared" si="38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01:51:32"},{"id":29,"name":"Sharepoint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72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806</v>
      </c>
      <c r="B132" s="7">
        <v>4056</v>
      </c>
      <c r="C132" s="21" t="s">
        <v>202</v>
      </c>
      <c r="D132" s="21" t="s">
        <v>854</v>
      </c>
      <c r="E132" s="13">
        <v>42900.768935185188</v>
      </c>
      <c r="F132" s="13">
        <v>42900.771296296298</v>
      </c>
      <c r="G132" s="7">
        <v>1</v>
      </c>
      <c r="H132" s="21" t="s">
        <v>470</v>
      </c>
      <c r="I132" s="13">
        <v>42900.796909722223</v>
      </c>
      <c r="J132" s="7">
        <v>2</v>
      </c>
      <c r="K132" s="89" t="str">
        <f t="shared" si="24"/>
        <v>4055/4056</v>
      </c>
      <c r="L132" s="21" t="str">
        <f>VLOOKUP(A132,'Trips&amp;Operators'!$C$1:$G$99999,5,FALSE)</f>
        <v>LAMAR NEKESHA</v>
      </c>
      <c r="M132" s="6">
        <f t="shared" si="25"/>
        <v>2.5613425925257616E-2</v>
      </c>
      <c r="N132" s="7">
        <f t="shared" si="44"/>
        <v>36.883333332370967</v>
      </c>
      <c r="O132" s="7"/>
      <c r="P132" s="7"/>
      <c r="Q132" s="22"/>
      <c r="R132" s="170"/>
      <c r="S132" s="215">
        <f t="shared" si="45"/>
        <v>1</v>
      </c>
      <c r="T132" s="195" t="str">
        <f t="shared" si="26"/>
        <v>NorthBound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 t="shared" si="27"/>
        <v>https://d0f6bd738d7f1b3e5a7ca70fe4ff75f0.us-east-1.aws.found.io/app/kibana#/discover/Steve-Slow-Train-Analysis-(2080s-and-2083s)?_g=(refreshInterval:(display:Off,pause:!f,section:0,value:0),time:(from:'2017-06-14T17:27:16-0600',mode:absolute,to:'2017-06-14T20:07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32" s="197" t="str">
        <f>IF(AA132&lt;VLOOKUP(AG132,Variables!$AC$3:$AD$8,2,FALSE),"Y","N")</f>
        <v>N</v>
      </c>
      <c r="X132" s="197">
        <f t="shared" si="28"/>
        <v>1</v>
      </c>
      <c r="Y132" s="197">
        <f t="shared" si="42"/>
        <v>4.7500000000000001E-2</v>
      </c>
      <c r="Z132" s="197">
        <f t="shared" si="43"/>
        <v>23.329499999999999</v>
      </c>
      <c r="AA132" s="197">
        <f t="shared" si="31"/>
        <v>23.282</v>
      </c>
      <c r="AB132" s="54" t="e">
        <f>VLOOKUP(A132,Enforcements!$C$7:$K$13,8,0)</f>
        <v>#N/A</v>
      </c>
      <c r="AC132" s="51" t="e">
        <f>VLOOKUP(A132,Enforcements!$C$7:$E$13,3,0)</f>
        <v>#N/A</v>
      </c>
      <c r="AD132" s="206">
        <f t="shared" si="32"/>
        <v>219</v>
      </c>
      <c r="AE132" s="77" t="str">
        <f t="shared" si="33"/>
        <v>aws s3 cp s3://rtdc.mdm.uploadarchive.raw/RTDC4056/ "%USERPROFILE%\AppData\Local\Temp\OnboardLogs"\RTDC4056\2017-06-14 --exclude "*" --recursive --include "*20170614*" &amp; "%USERPROFILE%\Documents\GitHub\mrs-test-scripts\Headless Mode &amp; Sideloading\WalkAndUnGZ.bat" "%USERPROFILE%\AppData\Local\Temp\OnboardLogs"\RTDC4056\2017-06-14 &amp; aws s3 cp s3://rtdc.mdm.uploadarchive.raw/RTDC4056/ "%USERPROFILE%\AppData\Local\Temp\OnboardLogs"\RTDC4056\2017-06-15 --exclude "*" --recursive --include "*20170615*" &amp; "%USERPROFILE%\Documents\GitHub\mrs-test-scripts\Headless Mode &amp; Sideloading\WalkAndUnGZ.bat" "%USERPROFILE%\AppData\Local\Temp\OnboardLogs"\RTDC4056\2017-06-15</v>
      </c>
      <c r="AF132" s="74" t="str">
        <f t="shared" si="34"/>
        <v>"C:\Program Files (x86)\AstroGrep\AstroGrep.exe" /e /r /s /spath="%USERPROFILE%\AppData\Local\Temp\OnboardLogs" /stypes="app*4056*20170615*" /stext=" 01:.+((SYSTEM_STATE.+slice.+state.+changed )|(ment ac)|(multiple cpu faults)|(system.+state.+changed )|(\[timeout)|(PRM\|1\|D)|(kpr)|(kdp)|(train st.+moving)|(\|lc)|(penalty))"</v>
      </c>
      <c r="AG132" s="209" t="str">
        <f t="shared" si="39"/>
        <v>EC</v>
      </c>
      <c r="AH132" s="78" t="str">
        <f t="shared" si="35"/>
        <v>"%USERPROFILE%\Documents\GitHub\eaglep3\Utilities\RefineRTDCRunTimes.py" --tripid 219-14 --locoid 4056 --swversion DE.1.0.9.0 --startMP 204:475 --initTime 2017-06-14T18:27:16 --startdatetime 2017-06-14T18:30:40 --delay 1 --endMP 204:233295 --enddatetime 2017-06-14T19:07:33 --enforcementcount 2 &gt;&gt;C:\Users\stu\Documents\GitHub\eaglep3-reporting\EC\2017-06-14-refined-times.txt</v>
      </c>
      <c r="AI132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{"issue":{"subject":"","project_id":79,"tracker_id":40,"status_id":1,"priority_id":2,"assigned_to_id":23,"start_date":"2017-06-14","description":"","custom_fields":[{"id":1,"name":"Subdivision","value":"EC"},{"id":4,"name":"Milepost","value":"23.3295"},{"id":17,"name":"Train ID","value":"219-14"},{"id":16,"name":"Locomotive ID","value":"4056"},{"id":130,"name":"Impact","value":""},{"id":150,"name":"Time of Event (Mountain Time)","value":"19:07:33"},{"id":151,"name":"Denver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37"/>
        <v>start /low /b %USERPROFILE%\Documents\GitHub\eaglep3\Utilities\DownloadLogsFromS3.py --loco 4056 --day 2017-06-14</v>
      </c>
      <c r="AN132" s="151" t="str">
        <f t="shared" si="38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01:07:33"},{"id":29,"name":"Sharepoint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7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642</v>
      </c>
      <c r="B133" s="7">
        <v>4055</v>
      </c>
      <c r="C133" s="21" t="s">
        <v>202</v>
      </c>
      <c r="D133" s="21" t="s">
        <v>889</v>
      </c>
      <c r="E133" s="13">
        <v>42900.808275462965</v>
      </c>
      <c r="F133" s="13">
        <v>42900.811412037037</v>
      </c>
      <c r="G133" s="7">
        <v>2</v>
      </c>
      <c r="H133" s="21" t="s">
        <v>349</v>
      </c>
      <c r="I133" s="13">
        <v>42900.838703703703</v>
      </c>
      <c r="J133" s="7">
        <v>2</v>
      </c>
      <c r="K133" s="89" t="str">
        <f t="shared" si="24"/>
        <v>4055/4056</v>
      </c>
      <c r="L133" s="21" t="str">
        <f>VLOOKUP(A133,'Trips&amp;Operators'!$C$1:$G$99999,5,FALSE)</f>
        <v>LAMAR NEKESHA</v>
      </c>
      <c r="M133" s="6">
        <f t="shared" si="25"/>
        <v>2.7291666665405501E-2</v>
      </c>
      <c r="N133" s="7">
        <f t="shared" si="44"/>
        <v>39.299999998183921</v>
      </c>
      <c r="O133" s="7"/>
      <c r="P133" s="7"/>
      <c r="Q133" s="22"/>
      <c r="R133" s="170"/>
      <c r="S133" s="215">
        <f t="shared" si="45"/>
        <v>1</v>
      </c>
      <c r="T133" s="195" t="str">
        <f t="shared" si="26"/>
        <v>Southbound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 t="shared" si="27"/>
        <v>https://d0f6bd738d7f1b3e5a7ca70fe4ff75f0.us-east-1.aws.found.io/app/kibana#/discover/Steve-Slow-Train-Analysis-(2080s-and-2083s)?_g=(refreshInterval:(display:Off,pause:!f,section:0,value:0),time:(from:'2017-06-14T18:23:55-0600',mode:absolute,to:'2017-06-14T21:07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33" s="197" t="str">
        <f>IF(AA133&lt;VLOOKUP(AG133,Variables!$AC$3:$AD$8,2,FALSE),"Y","N")</f>
        <v>N</v>
      </c>
      <c r="X133" s="197">
        <f t="shared" si="28"/>
        <v>1</v>
      </c>
      <c r="Y133" s="197">
        <f t="shared" si="42"/>
        <v>23.295000000000002</v>
      </c>
      <c r="Z133" s="197">
        <f t="shared" si="43"/>
        <v>1.4999999999999999E-2</v>
      </c>
      <c r="AA133" s="197">
        <f t="shared" si="31"/>
        <v>23.28</v>
      </c>
      <c r="AB133" s="54" t="e">
        <f>VLOOKUP(A133,Enforcements!$C$7:$K$13,8,0)</f>
        <v>#N/A</v>
      </c>
      <c r="AC133" s="51" t="e">
        <f>VLOOKUP(A133,Enforcements!$C$7:$E$13,3,0)</f>
        <v>#N/A</v>
      </c>
      <c r="AD133" s="206">
        <f t="shared" si="32"/>
        <v>220</v>
      </c>
      <c r="AE133" s="77" t="str">
        <f t="shared" si="33"/>
        <v>aws s3 cp s3://rtdc.mdm.uploadarchive.raw/RTDC4055/ "%USERPROFILE%\AppData\Local\Temp\OnboardLogs"\RTDC4055\2017-06-14 --exclude "*" --recursive --include "*20170614*" &amp; "%USERPROFILE%\Documents\GitHub\mrs-test-scripts\Headless Mode &amp; Sideloading\WalkAndUnGZ.bat" "%USERPROFILE%\AppData\Local\Temp\OnboardLogs"\RTDC4055\2017-06-14 &amp; aws s3 cp s3://rtdc.mdm.uploadarchive.raw/RTDC4055/ "%USERPROFILE%\AppData\Local\Temp\OnboardLogs"\RTDC4055\2017-06-15 --exclude "*" --recursive --include "*20170615*" &amp; "%USERPROFILE%\Documents\GitHub\mrs-test-scripts\Headless Mode &amp; Sideloading\WalkAndUnGZ.bat" "%USERPROFILE%\AppData\Local\Temp\OnboardLogs"\RTDC4055\2017-06-15</v>
      </c>
      <c r="AF133" s="74" t="str">
        <f t="shared" si="34"/>
        <v>"C:\Program Files (x86)\AstroGrep\AstroGrep.exe" /e /r /s /spath="%USERPROFILE%\AppData\Local\Temp\OnboardLogs" /stypes="app*4055*20170615*" /stext=" 02:.+((SYSTEM_STATE.+slice.+state.+changed )|(ment ac)|(multiple cpu faults)|(system.+state.+changed )|(\[timeout)|(PRM\|1\|D)|(kpr)|(kdp)|(train st.+moving)|(\|lc)|(penalty))"</v>
      </c>
      <c r="AG133" s="209" t="str">
        <f t="shared" si="39"/>
        <v>EC</v>
      </c>
      <c r="AH133" s="78" t="str">
        <f t="shared" si="35"/>
        <v>"%USERPROFILE%\Documents\GitHub\eaglep3\Utilities\RefineRTDCRunTimes.py" --tripid 220-14 --locoid 4055 --swversion DE.1.0.9.0 --startMP 204:232950 --initTime 2017-06-14T19:23:55 --startdatetime 2017-06-14T19:28:26 --delay 2 --endMP 204:150 --enddatetime 2017-06-14T20:07:44 --enforcementcount 2 &gt;&gt;C:\Users\stu\Documents\GitHub\eaglep3-reporting\EC\2017-06-14-refined-times.txt</v>
      </c>
      <c r="AI133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{"issue":{"subject":"","project_id":79,"tracker_id":40,"status_id":1,"priority_id":2,"assigned_to_id":23,"start_date":"2017-06-14","description":"","custom_fields":[{"id":1,"name":"Subdivision","value":"EC"},{"id":4,"name":"Milepost","value":"0.015"},{"id":17,"name":"Train ID","value":"220-14"},{"id":16,"name":"Locomotive ID","value":"4055"},{"id":130,"name":"Impact","value":""},{"id":150,"name":"Time of Event (Mountain Time)","value":"20:07:44"},{"id":151,"name":"Denver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37"/>
        <v>start /low /b %USERPROFILE%\Documents\GitHub\eaglep3\Utilities\DownloadLogsFromS3.py --loco 4055 --day 2017-06-14</v>
      </c>
      <c r="AN133" s="151" t="str">
        <f t="shared" si="38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02:07:44"},{"id":29,"name":"Sharepoint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72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641</v>
      </c>
      <c r="B134" s="7">
        <v>4010</v>
      </c>
      <c r="C134" s="21" t="s">
        <v>202</v>
      </c>
      <c r="D134" s="21" t="s">
        <v>448</v>
      </c>
      <c r="E134" s="13">
        <v>42900.786620370367</v>
      </c>
      <c r="F134" s="13">
        <v>42900.791863425926</v>
      </c>
      <c r="G134" s="7">
        <v>1</v>
      </c>
      <c r="H134" s="21" t="s">
        <v>457</v>
      </c>
      <c r="I134" s="13">
        <v>42900.818668981483</v>
      </c>
      <c r="J134" s="7">
        <v>2</v>
      </c>
      <c r="K134" s="89" t="str">
        <f t="shared" si="24"/>
        <v>4009/4010</v>
      </c>
      <c r="L134" s="21" t="str">
        <f>VLOOKUP(A134,'Trips&amp;Operators'!$C$1:$G$99999,5,FALSE)</f>
        <v>FORTUNATO FRANK</v>
      </c>
      <c r="M134" s="6">
        <f t="shared" si="25"/>
        <v>2.6805555557075422E-2</v>
      </c>
      <c r="N134" s="7">
        <f t="shared" si="44"/>
        <v>38.600000002188608</v>
      </c>
      <c r="O134" s="7"/>
      <c r="P134" s="7"/>
      <c r="Q134" s="22"/>
      <c r="R134" s="170"/>
      <c r="S134" s="215">
        <f t="shared" si="45"/>
        <v>1</v>
      </c>
      <c r="T134" s="195" t="str">
        <f t="shared" si="26"/>
        <v>NorthBound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 t="shared" si="27"/>
        <v>https://d0f6bd738d7f1b3e5a7ca70fe4ff75f0.us-east-1.aws.found.io/app/kibana#/discover/Steve-Slow-Train-Analysis-(2080s-and-2083s)?_g=(refreshInterval:(display:Off,pause:!f,section:0,value:0),time:(from:'2017-06-14T17:52:44-0600',mode:absolute,to:'2017-06-14T20:38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4" s="197" t="str">
        <f>IF(AA134&lt;VLOOKUP(AG134,Variables!$AC$3:$AD$8,2,FALSE),"Y","N")</f>
        <v>N</v>
      </c>
      <c r="X134" s="197">
        <f t="shared" si="28"/>
        <v>1</v>
      </c>
      <c r="Y134" s="197">
        <f t="shared" si="42"/>
        <v>4.4400000000000002E-2</v>
      </c>
      <c r="Z134" s="197">
        <f t="shared" si="43"/>
        <v>23.330300000000001</v>
      </c>
      <c r="AA134" s="197">
        <f t="shared" si="31"/>
        <v>23.285900000000002</v>
      </c>
      <c r="AB134" s="54" t="e">
        <f>VLOOKUP(A134,Enforcements!$C$7:$K$13,8,0)</f>
        <v>#N/A</v>
      </c>
      <c r="AC134" s="51" t="e">
        <f>VLOOKUP(A134,Enforcements!$C$7:$E$13,3,0)</f>
        <v>#N/A</v>
      </c>
      <c r="AD134" s="206">
        <f t="shared" si="32"/>
        <v>221</v>
      </c>
      <c r="AE134" s="77" t="str">
        <f t="shared" si="33"/>
        <v>aws s3 cp s3://rtdc.mdm.uploadarchive.raw/RTDC4010/ "%USERPROFILE%\AppData\Local\Temp\OnboardLogs"\RTDC4010\2017-06-14 --exclude "*" --recursive --include "*20170614*" &amp; "%USERPROFILE%\Documents\GitHub\mrs-test-scripts\Headless Mode &amp; Sideloading\WalkAndUnGZ.bat" "%USERPROFILE%\AppData\Local\Temp\OnboardLogs"\RTDC4010\2017-06-14 &amp; 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</v>
      </c>
      <c r="AF134" s="74" t="str">
        <f t="shared" si="34"/>
        <v>"C:\Program Files (x86)\AstroGrep\AstroGrep.exe" /e /r /s /spath="%USERPROFILE%\AppData\Local\Temp\OnboardLogs" /stypes="app*4010*20170615*" /stext=" 01:.+((SYSTEM_STATE.+slice.+state.+changed )|(ment ac)|(multiple cpu faults)|(system.+state.+changed )|(\[timeout)|(PRM\|1\|D)|(kpr)|(kdp)|(train st.+moving)|(\|lc)|(penalty))"</v>
      </c>
      <c r="AG134" s="209" t="str">
        <f t="shared" si="39"/>
        <v>EC</v>
      </c>
      <c r="AH134" s="78" t="str">
        <f t="shared" si="35"/>
        <v>"%USERPROFILE%\Documents\GitHub\eaglep3\Utilities\RefineRTDCRunTimes.py" --tripid 221-14 --locoid 4010 --swversion DE.1.0.9.0 --startMP 204:444 --initTime 2017-06-14T18:52:44 --startdatetime 2017-06-14T19:00:17 --delay 1 --endMP 204:233303 --enddatetime 2017-06-14T19:38:53 --enforcementcount 2 &gt;&gt;C:\Users\stu\Documents\GitHub\eaglep3-reporting\EC\2017-06-14-refined-times.txt</v>
      </c>
      <c r="AI134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{"issue":{"subject":"","project_id":79,"tracker_id":40,"status_id":1,"priority_id":2,"assigned_to_id":23,"start_date":"2017-06-14","description":"","custom_fields":[{"id":1,"name":"Subdivision","value":"EC"},{"id":4,"name":"Milepost","value":"23.3303"},{"id":17,"name":"Train ID","value":"221-14"},{"id":16,"name":"Locomotive ID","value":"4010"},{"id":130,"name":"Impact","value":""},{"id":150,"name":"Time of Event (Mountain Time)","value":"19:38:53"},{"id":151,"name":"Denver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37"/>
        <v>start /low /b %USERPROFILE%\Documents\GitHub\eaglep3\Utilities\DownloadLogsFromS3.py --loco 4010 --day 2017-06-14</v>
      </c>
      <c r="AN134" s="151" t="str">
        <f t="shared" si="38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01:38:53"},{"id":29,"name":"Sharepoint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72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817</v>
      </c>
      <c r="B135" s="7">
        <v>4009</v>
      </c>
      <c r="C135" s="21" t="s">
        <v>202</v>
      </c>
      <c r="D135" s="21" t="s">
        <v>890</v>
      </c>
      <c r="E135" s="13">
        <v>42900.830208333333</v>
      </c>
      <c r="F135" s="13">
        <v>42900.831550925926</v>
      </c>
      <c r="G135" s="7">
        <v>1</v>
      </c>
      <c r="H135" s="21" t="s">
        <v>360</v>
      </c>
      <c r="I135" s="13">
        <v>42900.858055555553</v>
      </c>
      <c r="J135" s="7">
        <v>2</v>
      </c>
      <c r="K135" s="89" t="str">
        <f t="shared" si="24"/>
        <v>4009/4010</v>
      </c>
      <c r="L135" s="21" t="str">
        <f>VLOOKUP(A135,'Trips&amp;Operators'!$C$1:$G$99999,5,FALSE)</f>
        <v>FORTUNATO FRANK</v>
      </c>
      <c r="M135" s="6">
        <f t="shared" si="25"/>
        <v>2.6504629626288079E-2</v>
      </c>
      <c r="N135" s="7">
        <f t="shared" si="44"/>
        <v>38.166666661854833</v>
      </c>
      <c r="O135" s="7"/>
      <c r="P135" s="7"/>
      <c r="Q135" s="22"/>
      <c r="R135" s="170"/>
      <c r="S135" s="215">
        <f t="shared" si="45"/>
        <v>1</v>
      </c>
      <c r="T135" s="195" t="str">
        <f t="shared" si="26"/>
        <v>Southbound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 t="shared" si="27"/>
        <v>https://d0f6bd738d7f1b3e5a7ca70fe4ff75f0.us-east-1.aws.found.io/app/kibana#/discover/Steve-Slow-Train-Analysis-(2080s-and-2083s)?_g=(refreshInterval:(display:Off,pause:!f,section:0,value:0),time:(from:'2017-06-14T18:55:30-0600',mode:absolute,to:'2017-06-14T21:35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5" s="197" t="str">
        <f>IF(AA135&lt;VLOOKUP(AG135,Variables!$AC$3:$AD$8,2,FALSE),"Y","N")</f>
        <v>N</v>
      </c>
      <c r="X135" s="197">
        <f t="shared" si="28"/>
        <v>1</v>
      </c>
      <c r="Y135" s="197">
        <f t="shared" si="42"/>
        <v>23.3001</v>
      </c>
      <c r="Z135" s="197">
        <f t="shared" si="43"/>
        <v>1.47E-2</v>
      </c>
      <c r="AA135" s="197">
        <f t="shared" si="31"/>
        <v>23.285399999999999</v>
      </c>
      <c r="AB135" s="54" t="e">
        <f>VLOOKUP(A135,Enforcements!$C$7:$K$13,8,0)</f>
        <v>#N/A</v>
      </c>
      <c r="AC135" s="51" t="e">
        <f>VLOOKUP(A135,Enforcements!$C$7:$E$13,3,0)</f>
        <v>#N/A</v>
      </c>
      <c r="AD135" s="206">
        <f t="shared" si="32"/>
        <v>222</v>
      </c>
      <c r="AE135" s="77" t="str">
        <f t="shared" si="33"/>
        <v>aws s3 cp s3://rtdc.mdm.uploadarchive.raw/RTDC4009/ "%USERPROFILE%\AppData\Local\Temp\OnboardLogs"\RTDC4009\2017-06-14 --exclude "*" --recursive --include "*20170614*" &amp; "%USERPROFILE%\Documents\GitHub\mrs-test-scripts\Headless Mode &amp; Sideloading\WalkAndUnGZ.bat" "%USERPROFILE%\AppData\Local\Temp\OnboardLogs"\RTDC4009\2017-06-14 &amp; aws s3 cp s3://rtdc.mdm.uploadarchive.raw/RTDC4009/ "%USERPROFILE%\AppData\Local\Temp\OnboardLogs"\RTDC4009\2017-06-15 --exclude "*" --recursive --include "*20170615*" &amp; "%USERPROFILE%\Documents\GitHub\mrs-test-scripts\Headless Mode &amp; Sideloading\WalkAndUnGZ.bat" "%USERPROFILE%\AppData\Local\Temp\OnboardLogs"\RTDC4009\2017-06-15</v>
      </c>
      <c r="AF135" s="74" t="str">
        <f t="shared" si="34"/>
        <v>"C:\Program Files (x86)\AstroGrep\AstroGrep.exe" /e /r /s /spath="%USERPROFILE%\AppData\Local\Temp\OnboardLogs" /stypes="app*4009*20170615*" /stext=" 02:.+((SYSTEM_STATE.+slice.+state.+changed )|(ment ac)|(multiple cpu faults)|(system.+state.+changed )|(\[timeout)|(PRM\|1\|D)|(kpr)|(kdp)|(train st.+moving)|(\|lc)|(penalty))"</v>
      </c>
      <c r="AG135" s="209" t="str">
        <f t="shared" si="39"/>
        <v>EC</v>
      </c>
      <c r="AH135" s="78" t="str">
        <f t="shared" si="35"/>
        <v>"%USERPROFILE%\Documents\GitHub\eaglep3\Utilities\RefineRTDCRunTimes.py" --tripid 222-14 --locoid 4009 --swversion DE.1.0.9.0 --startMP 204:233001 --initTime 2017-06-14T19:55:30 --startdatetime 2017-06-14T19:57:26 --delay 1 --endMP 204:147 --enddatetime 2017-06-14T20:35:36 --enforcementcount 2 &gt;&gt;C:\Users\stu\Documents\GitHub\eaglep3-reporting\EC\2017-06-14-refined-times.txt</v>
      </c>
      <c r="AI135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{"issue":{"subject":"","project_id":79,"tracker_id":40,"status_id":1,"priority_id":2,"assigned_to_id":23,"start_date":"2017-06-14","description":"","custom_fields":[{"id":1,"name":"Subdivision","value":"EC"},{"id":4,"name":"Milepost","value":"0.0147"},{"id":17,"name":"Train ID","value":"222-14"},{"id":16,"name":"Locomotive ID","value":"4009"},{"id":130,"name":"Impact","value":""},{"id":150,"name":"Time of Event (Mountain Time)","value":"20:35:36"},{"id":151,"name":"Denver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37"/>
        <v>start /low /b %USERPROFILE%\Documents\GitHub\eaglep3\Utilities\DownloadLogsFromS3.py --loco 4009 --day 2017-06-14</v>
      </c>
      <c r="AN135" s="151" t="str">
        <f t="shared" si="38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02:35:36"},{"id":29,"name":"Sharepoint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72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814</v>
      </c>
      <c r="B136" s="7">
        <v>4044</v>
      </c>
      <c r="C136" s="21" t="s">
        <v>202</v>
      </c>
      <c r="D136" s="21" t="s">
        <v>579</v>
      </c>
      <c r="E136" s="13">
        <v>42900.810127314813</v>
      </c>
      <c r="F136" s="13">
        <v>42900.812708333331</v>
      </c>
      <c r="G136" s="7">
        <v>1</v>
      </c>
      <c r="H136" s="21" t="s">
        <v>561</v>
      </c>
      <c r="I136" s="13">
        <v>42900.838518518518</v>
      </c>
      <c r="J136" s="7">
        <v>2</v>
      </c>
      <c r="K136" s="89" t="str">
        <f t="shared" si="24"/>
        <v>4043/4044</v>
      </c>
      <c r="L136" s="21" t="str">
        <f>VLOOKUP(A136,'Trips&amp;Operators'!$C$1:$G$99999,5,FALSE)</f>
        <v>HAITHCOX MICHAEL</v>
      </c>
      <c r="M136" s="6">
        <f t="shared" si="25"/>
        <v>2.5810185186855961E-2</v>
      </c>
      <c r="N136" s="7">
        <f t="shared" si="44"/>
        <v>37.166666669072583</v>
      </c>
      <c r="O136" s="7"/>
      <c r="P136" s="7"/>
      <c r="Q136" s="22"/>
      <c r="R136" s="170"/>
      <c r="S136" s="215">
        <f t="shared" si="45"/>
        <v>1</v>
      </c>
      <c r="T136" s="195" t="str">
        <f t="shared" si="26"/>
        <v>NorthBound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 t="shared" si="27"/>
        <v>https://d0f6bd738d7f1b3e5a7ca70fe4ff75f0.us-east-1.aws.found.io/app/kibana#/discover/Steve-Slow-Train-Analysis-(2080s-and-2083s)?_g=(refreshInterval:(display:Off,pause:!f,section:0,value:0),time:(from:'2017-06-14T18:26:35-0600',mode:absolute,to:'2017-06-14T21:07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6" s="197" t="str">
        <f>IF(AA136&lt;VLOOKUP(AG136,Variables!$AC$3:$AD$8,2,FALSE),"Y","N")</f>
        <v>N</v>
      </c>
      <c r="X136" s="197">
        <f t="shared" si="28"/>
        <v>1</v>
      </c>
      <c r="Y136" s="197">
        <f t="shared" si="42"/>
        <v>4.7699999999999999E-2</v>
      </c>
      <c r="Z136" s="197">
        <f t="shared" si="43"/>
        <v>23.331399999999999</v>
      </c>
      <c r="AA136" s="197">
        <f t="shared" si="31"/>
        <v>23.2837</v>
      </c>
      <c r="AB136" s="54" t="e">
        <f>VLOOKUP(A136,Enforcements!$C$7:$K$13,8,0)</f>
        <v>#N/A</v>
      </c>
      <c r="AC136" s="51" t="e">
        <f>VLOOKUP(A136,Enforcements!$C$7:$E$13,3,0)</f>
        <v>#N/A</v>
      </c>
      <c r="AD136" s="206">
        <f t="shared" si="32"/>
        <v>223</v>
      </c>
      <c r="AE136" s="77" t="str">
        <f t="shared" si="33"/>
        <v>aws s3 cp s3://rtdc.mdm.uploadarchive.raw/RTDC4044/ "%USERPROFILE%\AppData\Local\Temp\OnboardLogs"\RTDC4044\2017-06-14 --exclude "*" --recursive --include "*20170614*" &amp; "%USERPROFILE%\Documents\GitHub\mrs-test-scripts\Headless Mode &amp; Sideloading\WalkAndUnGZ.bat" "%USERPROFILE%\AppData\Local\Temp\OnboardLogs"\RTDC4044\2017-06-14 &amp; aws s3 cp s3://rtdc.mdm.uploadarchive.raw/RTDC4044/ "%USERPROFILE%\AppData\Local\Temp\OnboardLogs"\RTDC4044\2017-06-15 --exclude "*" --recursive --include "*20170615*" &amp; "%USERPROFILE%\Documents\GitHub\mrs-test-scripts\Headless Mode &amp; Sideloading\WalkAndUnGZ.bat" "%USERPROFILE%\AppData\Local\Temp\OnboardLogs"\RTDC4044\2017-06-15</v>
      </c>
      <c r="AF136" s="74" t="str">
        <f t="shared" si="34"/>
        <v>"C:\Program Files (x86)\AstroGrep\AstroGrep.exe" /e /r /s /spath="%USERPROFILE%\AppData\Local\Temp\OnboardLogs" /stypes="app*4044*20170615*" /stext=" 02:.+((SYSTEM_STATE.+slice.+state.+changed )|(ment ac)|(multiple cpu faults)|(system.+state.+changed )|(\[timeout)|(PRM\|1\|D)|(kpr)|(kdp)|(train st.+moving)|(\|lc)|(penalty))"</v>
      </c>
      <c r="AG136" s="209" t="str">
        <f t="shared" si="39"/>
        <v>EC</v>
      </c>
      <c r="AH136" s="78" t="str">
        <f t="shared" si="35"/>
        <v>"%USERPROFILE%\Documents\GitHub\eaglep3\Utilities\RefineRTDCRunTimes.py" --tripid 223-14 --locoid 4044 --swversion DE.1.0.9.0 --startMP 204:477 --initTime 2017-06-14T19:26:35 --startdatetime 2017-06-14T19:30:18 --delay 1 --endMP 204:233314 --enddatetime 2017-06-14T20:07:28 --enforcementcount 2 &gt;&gt;C:\Users\stu\Documents\GitHub\eaglep3-reporting\EC\2017-06-14-refined-times.txt</v>
      </c>
      <c r="AI136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{"issue":{"subject":"","project_id":79,"tracker_id":40,"status_id":1,"priority_id":2,"assigned_to_id":23,"start_date":"2017-06-14","description":"","custom_fields":[{"id":1,"name":"Subdivision","value":"EC"},{"id":4,"name":"Milepost","value":"23.3314"},{"id":17,"name":"Train ID","value":"223-14"},{"id":16,"name":"Locomotive ID","value":"4044"},{"id":130,"name":"Impact","value":""},{"id":150,"name":"Time of Event (Mountain Time)","value":"20:07:28"},{"id":151,"name":"Denver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37"/>
        <v>start /low /b %USERPROFILE%\Documents\GitHub\eaglep3\Utilities\DownloadLogsFromS3.py --loco 4044 --day 2017-06-14</v>
      </c>
      <c r="AN136" s="151" t="str">
        <f t="shared" si="38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02:07:28"},{"id":29,"name":"Sharepoint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72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646</v>
      </c>
      <c r="B137" s="7">
        <v>4043</v>
      </c>
      <c r="C137" s="21" t="s">
        <v>202</v>
      </c>
      <c r="D137" s="21" t="s">
        <v>460</v>
      </c>
      <c r="E137" s="13">
        <v>42900.840358796297</v>
      </c>
      <c r="F137" s="13">
        <v>42900.852233796293</v>
      </c>
      <c r="G137" s="7">
        <v>1</v>
      </c>
      <c r="H137" s="21" t="s">
        <v>871</v>
      </c>
      <c r="I137" s="13">
        <v>42900.88082175926</v>
      </c>
      <c r="J137" s="7">
        <v>2</v>
      </c>
      <c r="K137" s="89" t="str">
        <f t="shared" si="24"/>
        <v>4043/4044</v>
      </c>
      <c r="L137" s="21" t="str">
        <f>VLOOKUP(A137,'Trips&amp;Operators'!$C$1:$G$99999,5,FALSE)</f>
        <v>HAITHCOX MICHAEL</v>
      </c>
      <c r="M137" s="6">
        <f t="shared" si="25"/>
        <v>2.8587962966412306E-2</v>
      </c>
      <c r="N137" s="7">
        <f t="shared" si="44"/>
        <v>41.16666667163372</v>
      </c>
      <c r="O137" s="7"/>
      <c r="P137" s="7"/>
      <c r="Q137" s="22"/>
      <c r="R137" s="170"/>
      <c r="S137" s="215">
        <f t="shared" si="45"/>
        <v>1</v>
      </c>
      <c r="T137" s="195" t="str">
        <f t="shared" si="26"/>
        <v>Southbound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 t="shared" si="27"/>
        <v>https://d0f6bd738d7f1b3e5a7ca70fe4ff75f0.us-east-1.aws.found.io/app/kibana#/discover/Steve-Slow-Train-Analysis-(2080s-and-2083s)?_g=(refreshInterval:(display:Off,pause:!f,section:0,value:0),time:(from:'2017-06-14T19:10:07-0600',mode:absolute,to:'2017-06-14T22:08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7" s="197" t="str">
        <f>IF(AA137&lt;VLOOKUP(AG137,Variables!$AC$3:$AD$8,2,FALSE),"Y","N")</f>
        <v>N</v>
      </c>
      <c r="X137" s="197">
        <f t="shared" si="28"/>
        <v>1</v>
      </c>
      <c r="Y137" s="197">
        <f t="shared" si="42"/>
        <v>23.299600000000002</v>
      </c>
      <c r="Z137" s="197">
        <f t="shared" si="43"/>
        <v>1.34E-2</v>
      </c>
      <c r="AA137" s="197">
        <f t="shared" si="31"/>
        <v>23.286200000000001</v>
      </c>
      <c r="AB137" s="54" t="e">
        <f>VLOOKUP(A137,Enforcements!$C$7:$K$13,8,0)</f>
        <v>#N/A</v>
      </c>
      <c r="AC137" s="51" t="e">
        <f>VLOOKUP(A137,Enforcements!$C$7:$E$13,3,0)</f>
        <v>#N/A</v>
      </c>
      <c r="AD137" s="206">
        <f t="shared" si="32"/>
        <v>224</v>
      </c>
      <c r="AE137" s="77" t="str">
        <f t="shared" si="33"/>
        <v>aws s3 cp s3://rtdc.mdm.uploadarchive.raw/RTDC4043/ "%USERPROFILE%\AppData\Local\Temp\OnboardLogs"\RTDC4043\2017-06-14 --exclude "*" --recursive --include "*20170614*" &amp; "%USERPROFILE%\Documents\GitHub\mrs-test-scripts\Headless Mode &amp; Sideloading\WalkAndUnGZ.bat" "%USERPROFILE%\AppData\Local\Temp\OnboardLogs"\RTDC4043\2017-06-14 &amp; aws s3 cp s3://rtdc.mdm.uploadarchive.raw/RTDC4043/ "%USERPROFILE%\AppData\Local\Temp\OnboardLogs"\RTDC4043\2017-06-15 --exclude "*" --recursive --include "*20170615*" &amp; "%USERPROFILE%\Documents\GitHub\mrs-test-scripts\Headless Mode &amp; Sideloading\WalkAndUnGZ.bat" "%USERPROFILE%\AppData\Local\Temp\OnboardLogs"\RTDC4043\2017-06-15</v>
      </c>
      <c r="AF137" s="74" t="str">
        <f t="shared" si="34"/>
        <v>"C:\Program Files (x86)\AstroGrep\AstroGrep.exe" /e /r /s /spath="%USERPROFILE%\AppData\Local\Temp\OnboardLogs" /stypes="app*4043*20170615*" /stext=" 03:.+((SYSTEM_STATE.+slice.+state.+changed )|(ment ac)|(multiple cpu faults)|(system.+state.+changed )|(\[timeout)|(PRM\|1\|D)|(kpr)|(kdp)|(train st.+moving)|(\|lc)|(penalty))"</v>
      </c>
      <c r="AG137" s="209" t="str">
        <f t="shared" si="39"/>
        <v>EC</v>
      </c>
      <c r="AH137" s="78" t="str">
        <f t="shared" si="35"/>
        <v>"%USERPROFILE%\Documents\GitHub\eaglep3\Utilities\RefineRTDCRunTimes.py" --tripid 224-14 --locoid 4043 --swversion DE.1.0.9.0 --startMP 204:232996 --initTime 2017-06-14T20:10:07 --startdatetime 2017-06-14T20:27:13 --delay 1 --endMP 204:134 --enddatetime 2017-06-14T21:08:23 --enforcementcount 2 &gt;&gt;C:\Users\stu\Documents\GitHub\eaglep3-reporting\EC\2017-06-14-refined-times.txt</v>
      </c>
      <c r="AI137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{"issue":{"subject":"","project_id":79,"tracker_id":40,"status_id":1,"priority_id":2,"assigned_to_id":23,"start_date":"2017-06-14","description":"","custom_fields":[{"id":1,"name":"Subdivision","value":"EC"},{"id":4,"name":"Milepost","value":"0.0134"},{"id":17,"name":"Train ID","value":"224-14"},{"id":16,"name":"Locomotive ID","value":"4043"},{"id":130,"name":"Impact","value":""},{"id":150,"name":"Time of Event (Mountain Time)","value":"21:08:23"},{"id":151,"name":"Denver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37"/>
        <v>start /low /b %USERPROFILE%\Documents\GitHub\eaglep3\Utilities\DownloadLogsFromS3.py --loco 4043 --day 2017-06-14</v>
      </c>
      <c r="AN137" s="151" t="str">
        <f t="shared" si="38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03:08:23"},{"id":29,"name":"Sharepoint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72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816</v>
      </c>
      <c r="B138" s="7">
        <v>4016</v>
      </c>
      <c r="C138" s="21" t="s">
        <v>202</v>
      </c>
      <c r="D138" s="21" t="s">
        <v>348</v>
      </c>
      <c r="E138" s="13">
        <v>42900.82917824074</v>
      </c>
      <c r="F138" s="13">
        <v>42900.833831018521</v>
      </c>
      <c r="G138" s="7">
        <v>1</v>
      </c>
      <c r="H138" s="21" t="s">
        <v>562</v>
      </c>
      <c r="I138" s="13">
        <v>42900.859305555554</v>
      </c>
      <c r="J138" s="7">
        <v>2</v>
      </c>
      <c r="K138" s="89" t="str">
        <f t="shared" si="24"/>
        <v>4015/4016</v>
      </c>
      <c r="L138" s="21" t="str">
        <f>VLOOKUP(A138,'Trips&amp;Operators'!$C$1:$G$99999,5,FALSE)</f>
        <v>SMITH MICHAEL</v>
      </c>
      <c r="M138" s="6">
        <f t="shared" si="25"/>
        <v>2.5474537033005618E-2</v>
      </c>
      <c r="N138" s="7">
        <f t="shared" si="44"/>
        <v>36.683333327528089</v>
      </c>
      <c r="O138" s="7"/>
      <c r="P138" s="7"/>
      <c r="Q138" s="22"/>
      <c r="R138" s="170"/>
      <c r="S138" s="215">
        <f t="shared" si="45"/>
        <v>1</v>
      </c>
      <c r="T138" s="195" t="str">
        <f t="shared" si="26"/>
        <v>NorthBound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 t="shared" si="27"/>
        <v>https://d0f6bd738d7f1b3e5a7ca70fe4ff75f0.us-east-1.aws.found.io/app/kibana#/discover/Steve-Slow-Train-Analysis-(2080s-and-2083s)?_g=(refreshInterval:(display:Off,pause:!f,section:0,value:0),time:(from:'2017-06-14T18:54:01-0600',mode:absolute,to:'2017-06-14T21:37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8" s="197" t="str">
        <f>IF(AA138&lt;VLOOKUP(AG138,Variables!$AC$3:$AD$8,2,FALSE),"Y","N")</f>
        <v>N</v>
      </c>
      <c r="X138" s="197">
        <f t="shared" si="28"/>
        <v>1</v>
      </c>
      <c r="Y138" s="197">
        <f t="shared" si="42"/>
        <v>4.58E-2</v>
      </c>
      <c r="Z138" s="197">
        <f t="shared" si="43"/>
        <v>23.327999999999999</v>
      </c>
      <c r="AA138" s="197">
        <f t="shared" si="31"/>
        <v>23.2822</v>
      </c>
      <c r="AB138" s="54" t="e">
        <f>VLOOKUP(A138,Enforcements!$C$7:$K$13,8,0)</f>
        <v>#N/A</v>
      </c>
      <c r="AC138" s="51" t="e">
        <f>VLOOKUP(A138,Enforcements!$C$7:$E$13,3,0)</f>
        <v>#N/A</v>
      </c>
      <c r="AD138" s="206">
        <f t="shared" si="32"/>
        <v>225</v>
      </c>
      <c r="AE138" s="77" t="str">
        <f t="shared" si="33"/>
        <v>aws s3 cp s3://rtdc.mdm.uploadarchive.raw/RTDC4016/ "%USERPROFILE%\AppData\Local\Temp\OnboardLogs"\RTDC4016\2017-06-14 --exclude "*" --recursive --include "*20170614*" &amp; "%USERPROFILE%\Documents\GitHub\mrs-test-scripts\Headless Mode &amp; Sideloading\WalkAndUnGZ.bat" "%USERPROFILE%\AppData\Local\Temp\OnboardLogs"\RTDC4016\2017-06-14 &amp; aws s3 cp s3://rtdc.mdm.uploadarchive.raw/RTDC4016/ "%USERPROFILE%\AppData\Local\Temp\OnboardLogs"\RTDC4016\2017-06-15 --exclude "*" --recursive --include "*20170615*" &amp; "%USERPROFILE%\Documents\GitHub\mrs-test-scripts\Headless Mode &amp; Sideloading\WalkAndUnGZ.bat" "%USERPROFILE%\AppData\Local\Temp\OnboardLogs"\RTDC4016\2017-06-15</v>
      </c>
      <c r="AF138" s="74" t="str">
        <f t="shared" si="34"/>
        <v>"C:\Program Files (x86)\AstroGrep\AstroGrep.exe" /e /r /s /spath="%USERPROFILE%\AppData\Local\Temp\OnboardLogs" /stypes="app*4016*20170615*" /stext=" 02:.+((SYSTEM_STATE.+slice.+state.+changed )|(ment ac)|(multiple cpu faults)|(system.+state.+changed )|(\[timeout)|(PRM\|1\|D)|(kpr)|(kdp)|(train st.+moving)|(\|lc)|(penalty))"</v>
      </c>
      <c r="AG138" s="209" t="str">
        <f t="shared" si="39"/>
        <v>EC</v>
      </c>
      <c r="AH138" s="78" t="str">
        <f t="shared" si="35"/>
        <v>"%USERPROFILE%\Documents\GitHub\eaglep3\Utilities\RefineRTDCRunTimes.py" --tripid 225-14 --locoid 4016 --swversion DE.1.0.9.0 --startMP 204:458 --initTime 2017-06-14T19:54:01 --startdatetime 2017-06-14T20:00:43 --delay 1 --endMP 204:233280 --enddatetime 2017-06-14T20:37:24 --enforcementcount 2 &gt;&gt;C:\Users\stu\Documents\GitHub\eaglep3-reporting\EC\2017-06-14-refined-times.txt</v>
      </c>
      <c r="AI138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{"issue":{"subject":"","project_id":79,"tracker_id":40,"status_id":1,"priority_id":2,"assigned_to_id":23,"start_date":"2017-06-14","description":"","custom_fields":[{"id":1,"name":"Subdivision","value":"EC"},{"id":4,"name":"Milepost","value":"23.328"},{"id":17,"name":"Train ID","value":"225-14"},{"id":16,"name":"Locomotive ID","value":"4016"},{"id":130,"name":"Impact","value":""},{"id":150,"name":"Time of Event (Mountain Time)","value":"20:37:24"},{"id":151,"name":"Denver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37"/>
        <v>start /low /b %USERPROFILE%\Documents\GitHub\eaglep3\Utilities\DownloadLogsFromS3.py --loco 4016 --day 2017-06-14</v>
      </c>
      <c r="AN138" s="151" t="str">
        <f t="shared" si="38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02:37:24"},{"id":29,"name":"Sharepoint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72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821</v>
      </c>
      <c r="B139" s="7">
        <v>4015</v>
      </c>
      <c r="C139" s="21" t="s">
        <v>202</v>
      </c>
      <c r="D139" s="21" t="s">
        <v>465</v>
      </c>
      <c r="E139" s="13">
        <v>42900.864733796298</v>
      </c>
      <c r="F139" s="13">
        <v>42900.873356481483</v>
      </c>
      <c r="G139" s="7">
        <v>1</v>
      </c>
      <c r="H139" s="21" t="s">
        <v>466</v>
      </c>
      <c r="I139" s="13">
        <v>42900.90116898148</v>
      </c>
      <c r="J139" s="7">
        <v>2</v>
      </c>
      <c r="K139" s="89" t="str">
        <f t="shared" si="24"/>
        <v>4015/4016</v>
      </c>
      <c r="L139" s="21" t="str">
        <f>VLOOKUP(A139,'Trips&amp;Operators'!$C$1:$G$99999,5,FALSE)</f>
        <v>SMITH MICHAEL</v>
      </c>
      <c r="M139" s="6">
        <f t="shared" si="25"/>
        <v>2.7812499996798579E-2</v>
      </c>
      <c r="N139" s="7">
        <f t="shared" si="44"/>
        <v>40.049999995389953</v>
      </c>
      <c r="O139" s="7"/>
      <c r="P139" s="7"/>
      <c r="Q139" s="22"/>
      <c r="R139" s="170"/>
      <c r="S139" s="215">
        <f t="shared" si="45"/>
        <v>1</v>
      </c>
      <c r="T139" s="195" t="str">
        <f t="shared" si="26"/>
        <v>Southbound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 t="shared" si="27"/>
        <v>https://d0f6bd738d7f1b3e5a7ca70fe4ff75f0.us-east-1.aws.found.io/app/kibana#/discover/Steve-Slow-Train-Analysis-(2080s-and-2083s)?_g=(refreshInterval:(display:Off,pause:!f,section:0,value:0),time:(from:'2017-06-14T19:45:13-0600',mode:absolute,to:'2017-06-14T22:37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9" s="197" t="str">
        <f>IF(AA139&lt;VLOOKUP(AG139,Variables!$AC$3:$AD$8,2,FALSE),"Y","N")</f>
        <v>N</v>
      </c>
      <c r="X139" s="197">
        <f t="shared" si="28"/>
        <v>1</v>
      </c>
      <c r="Y139" s="197">
        <f t="shared" si="42"/>
        <v>23.296900000000001</v>
      </c>
      <c r="Z139" s="197">
        <f t="shared" si="43"/>
        <v>1.61E-2</v>
      </c>
      <c r="AA139" s="197">
        <f t="shared" si="31"/>
        <v>23.280799999999999</v>
      </c>
      <c r="AB139" s="54" t="e">
        <f>VLOOKUP(A139,Enforcements!$C$7:$K$13,8,0)</f>
        <v>#N/A</v>
      </c>
      <c r="AC139" s="51" t="e">
        <f>VLOOKUP(A139,Enforcements!$C$7:$E$13,3,0)</f>
        <v>#N/A</v>
      </c>
      <c r="AD139" s="206">
        <f t="shared" si="32"/>
        <v>226</v>
      </c>
      <c r="AE139" s="77" t="str">
        <f t="shared" si="33"/>
        <v>aws s3 cp s3://rtdc.mdm.uploadarchive.raw/RTDC4015/ "%USERPROFILE%\AppData\Local\Temp\OnboardLogs"\RTDC4015\2017-06-14 --exclude "*" --recursive --include "*20170614*" &amp; "%USERPROFILE%\Documents\GitHub\mrs-test-scripts\Headless Mode &amp; Sideloading\WalkAndUnGZ.bat" "%USERPROFILE%\AppData\Local\Temp\OnboardLogs"\RTDC4015\2017-06-14 &amp; aws s3 cp s3://rtdc.mdm.uploadarchive.raw/RTDC4015/ "%USERPROFILE%\AppData\Local\Temp\OnboardLogs"\RTDC4015\2017-06-15 --exclude "*" --recursive --include "*20170615*" &amp; "%USERPROFILE%\Documents\GitHub\mrs-test-scripts\Headless Mode &amp; Sideloading\WalkAndUnGZ.bat" "%USERPROFILE%\AppData\Local\Temp\OnboardLogs"\RTDC4015\2017-06-15</v>
      </c>
      <c r="AF139" s="74" t="str">
        <f t="shared" si="34"/>
        <v>"C:\Program Files (x86)\AstroGrep\AstroGrep.exe" /e /r /s /spath="%USERPROFILE%\AppData\Local\Temp\OnboardLogs" /stypes="app*4015*20170615*" /stext=" 03:.+((SYSTEM_STATE.+slice.+state.+changed )|(ment ac)|(multiple cpu faults)|(system.+state.+changed )|(\[timeout)|(PRM\|1\|D)|(kpr)|(kdp)|(train st.+moving)|(\|lc)|(penalty))"</v>
      </c>
      <c r="AG139" s="209" t="str">
        <f t="shared" si="39"/>
        <v>EC</v>
      </c>
      <c r="AH139" s="78" t="str">
        <f t="shared" si="35"/>
        <v>"%USERPROFILE%\Documents\GitHub\eaglep3\Utilities\RefineRTDCRunTimes.py" --tripid 226-14 --locoid 4015 --swversion DE.1.0.9.0 --startMP 204:232969 --initTime 2017-06-14T20:45:13 --startdatetime 2017-06-14T20:57:38 --delay 1 --endMP 204:161 --enddatetime 2017-06-14T21:37:41 --enforcementcount 2 &gt;&gt;C:\Users\stu\Documents\GitHub\eaglep3-reporting\EC\2017-06-14-refined-times.txt</v>
      </c>
      <c r="AI139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{"issue":{"subject":"","project_id":79,"tracker_id":40,"status_id":1,"priority_id":2,"assigned_to_id":23,"start_date":"2017-06-14","description":"","custom_fields":[{"id":1,"name":"Subdivision","value":"EC"},{"id":4,"name":"Milepost","value":"0.0161"},{"id":17,"name":"Train ID","value":"226-14"},{"id":16,"name":"Locomotive ID","value":"4015"},{"id":130,"name":"Impact","value":""},{"id":150,"name":"Time of Event (Mountain Time)","value":"21:37:41"},{"id":151,"name":"Denver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37"/>
        <v>start /low /b %USERPROFILE%\Documents\GitHub\eaglep3\Utilities\DownloadLogsFromS3.py --loco 4015 --day 2017-06-14</v>
      </c>
      <c r="AN139" s="151" t="str">
        <f t="shared" si="38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03:37:41"},{"id":29,"name":"Sharepoint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72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818</v>
      </c>
      <c r="B140" s="7">
        <v>4056</v>
      </c>
      <c r="C140" s="21" t="s">
        <v>202</v>
      </c>
      <c r="D140" s="21" t="s">
        <v>199</v>
      </c>
      <c r="E140" s="13">
        <v>42900.84952546296</v>
      </c>
      <c r="F140" s="13">
        <v>42900.854375000003</v>
      </c>
      <c r="G140" s="7">
        <v>1</v>
      </c>
      <c r="H140" s="21" t="s">
        <v>578</v>
      </c>
      <c r="I140" s="13">
        <v>42900.881516203706</v>
      </c>
      <c r="J140" s="7">
        <v>2</v>
      </c>
      <c r="K140" s="89" t="str">
        <f t="shared" si="24"/>
        <v>4055/4056</v>
      </c>
      <c r="L140" s="21" t="str">
        <f>VLOOKUP(A140,'Trips&amp;Operators'!$C$1:$G$99999,5,FALSE)</f>
        <v>LAMAR NEKESHA</v>
      </c>
      <c r="M140" s="6">
        <f t="shared" si="25"/>
        <v>2.7141203703649808E-2</v>
      </c>
      <c r="N140" s="7">
        <f t="shared" si="44"/>
        <v>39.083333333255723</v>
      </c>
      <c r="O140" s="7"/>
      <c r="P140" s="7"/>
      <c r="Q140" s="22"/>
      <c r="R140" s="170"/>
      <c r="S140" s="215">
        <f t="shared" si="45"/>
        <v>1</v>
      </c>
      <c r="T140" s="195" t="str">
        <f t="shared" si="26"/>
        <v>NorthBound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 t="shared" si="27"/>
        <v>https://d0f6bd738d7f1b3e5a7ca70fe4ff75f0.us-east-1.aws.found.io/app/kibana#/discover/Steve-Slow-Train-Analysis-(2080s-and-2083s)?_g=(refreshInterval:(display:Off,pause:!f,section:0,value:0),time:(from:'2017-06-14T19:23:19-0600',mode:absolute,to:'2017-06-14T22:09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40" s="197" t="str">
        <f>IF(AA140&lt;VLOOKUP(AG140,Variables!$AC$3:$AD$8,2,FALSE),"Y","N")</f>
        <v>N</v>
      </c>
      <c r="X140" s="197">
        <f t="shared" si="28"/>
        <v>1</v>
      </c>
      <c r="Y140" s="197">
        <f t="shared" si="42"/>
        <v>4.5999999999999999E-2</v>
      </c>
      <c r="Z140" s="197">
        <f t="shared" si="43"/>
        <v>23.332000000000001</v>
      </c>
      <c r="AA140" s="197">
        <f t="shared" si="31"/>
        <v>23.286000000000001</v>
      </c>
      <c r="AB140" s="54" t="e">
        <f>VLOOKUP(A140,Enforcements!$C$7:$K$13,8,0)</f>
        <v>#N/A</v>
      </c>
      <c r="AC140" s="51" t="e">
        <f>VLOOKUP(A140,Enforcements!$C$7:$E$13,3,0)</f>
        <v>#N/A</v>
      </c>
      <c r="AD140" s="206">
        <f t="shared" si="32"/>
        <v>227</v>
      </c>
      <c r="AE140" s="77" t="str">
        <f t="shared" si="33"/>
        <v>aws s3 cp s3://rtdc.mdm.uploadarchive.raw/RTDC4056/ "%USERPROFILE%\AppData\Local\Temp\OnboardLogs"\RTDC4056\2017-06-14 --exclude "*" --recursive --include "*20170614*" &amp; "%USERPROFILE%\Documents\GitHub\mrs-test-scripts\Headless Mode &amp; Sideloading\WalkAndUnGZ.bat" "%USERPROFILE%\AppData\Local\Temp\OnboardLogs"\RTDC4056\2017-06-14 &amp; aws s3 cp s3://rtdc.mdm.uploadarchive.raw/RTDC4056/ "%USERPROFILE%\AppData\Local\Temp\OnboardLogs"\RTDC4056\2017-06-15 --exclude "*" --recursive --include "*20170615*" &amp; "%USERPROFILE%\Documents\GitHub\mrs-test-scripts\Headless Mode &amp; Sideloading\WalkAndUnGZ.bat" "%USERPROFILE%\AppData\Local\Temp\OnboardLogs"\RTDC4056\2017-06-15</v>
      </c>
      <c r="AF140" s="74" t="str">
        <f t="shared" si="34"/>
        <v>"C:\Program Files (x86)\AstroGrep\AstroGrep.exe" /e /r /s /spath="%USERPROFILE%\AppData\Local\Temp\OnboardLogs" /stypes="app*4056*20170615*" /stext=" 03:.+((SYSTEM_STATE.+slice.+state.+changed )|(ment ac)|(multiple cpu faults)|(system.+state.+changed )|(\[timeout)|(PRM\|1\|D)|(kpr)|(kdp)|(train st.+moving)|(\|lc)|(penalty))"</v>
      </c>
      <c r="AG140" s="209" t="str">
        <f t="shared" si="39"/>
        <v>EC</v>
      </c>
      <c r="AH140" s="78" t="str">
        <f t="shared" si="35"/>
        <v>"%USERPROFILE%\Documents\GitHub\eaglep3\Utilities\RefineRTDCRunTimes.py" --tripid 227-14 --locoid 4056 --swversion DE.1.0.9.0 --startMP 204:460 --initTime 2017-06-14T20:23:19 --startdatetime 2017-06-14T20:30:18 --delay 1 --endMP 204:233320 --enddatetime 2017-06-14T21:09:23 --enforcementcount 2 &gt;&gt;C:\Users\stu\Documents\GitHub\eaglep3-reporting\EC\2017-06-14-refined-times.txt</v>
      </c>
      <c r="AI140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{"issue":{"subject":"","project_id":79,"tracker_id":40,"status_id":1,"priority_id":2,"assigned_to_id":23,"start_date":"2017-06-14","description":"","custom_fields":[{"id":1,"name":"Subdivision","value":"EC"},{"id":4,"name":"Milepost","value":"23.332"},{"id":17,"name":"Train ID","value":"227-14"},{"id":16,"name":"Locomotive ID","value":"4056"},{"id":130,"name":"Impact","value":""},{"id":150,"name":"Time of Event (Mountain Time)","value":"21:09:23"},{"id":151,"name":"Denver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37"/>
        <v>start /low /b %USERPROFILE%\Documents\GitHub\eaglep3\Utilities\DownloadLogsFromS3.py --loco 4056 --day 2017-06-14</v>
      </c>
      <c r="AN140" s="151" t="str">
        <f t="shared" si="38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03:09:23"},{"id":29,"name":"Sharepoint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72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823</v>
      </c>
      <c r="B141" s="7">
        <v>4055</v>
      </c>
      <c r="C141" s="21" t="s">
        <v>202</v>
      </c>
      <c r="D141" s="21" t="s">
        <v>452</v>
      </c>
      <c r="E141" s="13">
        <v>42900.890335648146</v>
      </c>
      <c r="F141" s="13">
        <v>42900.891192129631</v>
      </c>
      <c r="G141" s="7">
        <v>1</v>
      </c>
      <c r="H141" s="21" t="s">
        <v>891</v>
      </c>
      <c r="I141" s="13">
        <v>42900.912245370368</v>
      </c>
      <c r="J141" s="7">
        <v>0</v>
      </c>
      <c r="K141" s="89" t="str">
        <f t="shared" ref="K141:K204" si="46">IF(ISEVEN(B141),(B141-1)&amp;"/"&amp;B141,B141&amp;"/"&amp;(B141+1))</f>
        <v>4055/4056</v>
      </c>
      <c r="L141" s="21" t="str">
        <f>VLOOKUP(A141,'Trips&amp;Operators'!$C$1:$G$99999,5,FALSE)</f>
        <v>LAMAR NEKESHA</v>
      </c>
      <c r="M141" s="6">
        <f t="shared" ref="M141:M204" si="47">I141-F141</f>
        <v>2.1053240736364387E-2</v>
      </c>
      <c r="N141" s="7"/>
      <c r="O141" s="7"/>
      <c r="P141" s="7">
        <f>24*60*SUM($M141:$M142)</f>
        <v>42.083333332557231</v>
      </c>
      <c r="Q141" s="22"/>
      <c r="R141" s="170" t="s">
        <v>996</v>
      </c>
      <c r="S141" s="215">
        <f>SUM(U141:U142)/IF(AG141="EC",12,1)</f>
        <v>0.58333333333333337</v>
      </c>
      <c r="T141" s="195" t="str">
        <f t="shared" ref="T141:T204" si="48">IF(ISEVEN(LEFT(AD141,4)),"Southbound","NorthBound")</f>
        <v>Southbound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4</v>
      </c>
      <c r="V141" s="196" t="str">
        <f t="shared" ref="V141:V204" si="49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-06-14T20:22:05-0600',mode:absolute,to:'2017-06-14T22:53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41" s="197" t="str">
        <f>IF(AA141&lt;VLOOKUP(AG141,Variables!$AC$3:$AD$8,2,FALSE),"Y","N")</f>
        <v>Y</v>
      </c>
      <c r="X141" s="197">
        <f t="shared" ref="X141:X204" si="50">VALUE(LEFT(AD141,4))-VALUE(LEFT(AD140,4))</f>
        <v>1</v>
      </c>
      <c r="Y141" s="197">
        <f t="shared" ref="Y141:Y172" si="51">RIGHT(D141,LEN(D141)-4)/10000</f>
        <v>23.2986</v>
      </c>
      <c r="Z141" s="197">
        <f t="shared" ref="Z141:Z158" si="52">RIGHT(H141,LEN(H141)-4)/10000</f>
        <v>6.1429999999999998</v>
      </c>
      <c r="AA141" s="197">
        <f t="shared" ref="AA141:AA204" si="53">ABS(Z141-Y141)</f>
        <v>17.1556</v>
      </c>
      <c r="AB141" s="54" t="e">
        <f>VLOOKUP(A141,Enforcements!$C$7:$K$13,8,0)</f>
        <v>#N/A</v>
      </c>
      <c r="AC141" s="51" t="e">
        <f>VLOOKUP(A141,Enforcements!$C$7:$E$13,3,0)</f>
        <v>#N/A</v>
      </c>
      <c r="AD141" s="206">
        <f t="shared" ref="AD141:AD204" si="54">VALUE(LEFT(A141,LEN(A141)-3))</f>
        <v>228</v>
      </c>
      <c r="AE141" s="77" t="str">
        <f t="shared" ref="AE141:AE204" si="55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s3://rtdc.mdm.uploadarchive.raw/RTDC4055/ "%USERPROFILE%\AppData\Local\Temp\OnboardLogs"\RTDC4055\2017-06-14 --exclude "*" --recursive --include "*20170614*" &amp; "%USERPROFILE%\Documents\GitHub\mrs-test-scripts\Headless Mode &amp; Sideloading\WalkAndUnGZ.bat" "%USERPROFILE%\AppData\Local\Temp\OnboardLogs"\RTDC4055\2017-06-14 &amp; aws s3 cp s3://rtdc.mdm.uploadarchive.raw/RTDC4055/ "%USERPROFILE%\AppData\Local\Temp\OnboardLogs"\RTDC4055\2017-06-15 --exclude "*" --recursive --include "*20170615*" &amp; "%USERPROFILE%\Documents\GitHub\mrs-test-scripts\Headless Mode &amp; Sideloading\WalkAndUnGZ.bat" "%USERPROFILE%\AppData\Local\Temp\OnboardLogs"\RTDC4055\2017-06-15</v>
      </c>
      <c r="AF141" s="74" t="str">
        <f t="shared" ref="AF141:AF204" si="56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/stypes="app*4055*20170615*" /stext=" 03:.+((SYSTEM_STATE.+slice.+state.+changed )|(ment ac)|(multiple cpu faults)|(system.+state.+changed )|(\[timeout)|(PRM\|1\|D)|(kpr)|(kdp)|(train st.+moving)|(\|lc)|(penalty))"</v>
      </c>
      <c r="AG141" s="209" t="str">
        <f t="shared" si="39"/>
        <v>EC</v>
      </c>
      <c r="AH141" s="78" t="str">
        <f t="shared" ref="AH141:AH204" si="57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228-14 --locoid 4055 --swversion DE.1.0.9.0 --startMP 204:232986 --initTime 2017-06-14T21:22:05 --startdatetime 2017-06-14T21:23:19 --delay 1 --endMP 204:61430 --enddatetime 2017-06-14T21:53:38 --enforcementcount 0 &gt;&gt;C:\Users\stu\Documents\GitHub\eaglep3-reporting\EC\2017-06-14-refined-times.txt</v>
      </c>
      <c r="AI141" s="96" t="str">
        <f t="shared" ref="AI141:AI204" si="58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{"issue":{"subject":"Minor onboard in-route failure caused comm outage","project_id":79,"tracker_id":40,"status_id":1,"priority_id":2,"assigned_to_id":23,"start_date":"2017-06-14","description":"","custom_fields":[{"id":1,"name":"Subdivision","value":"EC"},{"id":4,"name":"Milepost","value":"6.143"},{"id":17,"name":"Train ID","value":"228-14"},{"id":16,"name":"Locomotive ID","value":"4055"},{"id":130,"name":"Impact","value":""},{"id":150,"name":"Time of Event (Mountain Time)","value":"21:53:38"},{"id":151,"name":"Denver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ref="AM141:AM204" si="59">"start /low /b "&amp;dls3logs&amp;" --loco "&amp;B141&amp;" --day "&amp;TEXT(F141,"YYYY-MM-DD")</f>
        <v>start /low /b %USERPROFILE%\Documents\GitHub\eaglep3\Utilities\DownloadLogsFromS3.py --loco 4055 --day 2017-06-14</v>
      </c>
      <c r="AN141" s="151" t="str">
        <f t="shared" ref="AN141:AN204" si="60">"echo {""issue"":{""subject"":"""&amp;R141&amp;""",""project_id"":30,""tracker_id"":4,""status_id"":"&amp;redmine_status_wcr&amp;",""priority_id"":"&amp;redmine_priority_wcr&amp;",""assigned_to_id"":"&amp;redmine_assignee_wcr&amp;",""start_date"":"""&amp;TEXT(I141-utc_offset/24,"YYYY-mm-dd")&amp;""",""description"":"""&amp;AJ141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{"issue":{"subject":"Minor onboard in-route failure caused comm outage","project_id":30,"tracker_id":4,"status_id":1,"priority_id":1,"assigned_to_id":10,"start_date":"2017-06-15","description":"","custom_fields":[{"id":30,"name":"Category","value":"Issue"},{"id":3,"name":"Functional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03:53:38"},{"id":29,"name":"Sharepoint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72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823</v>
      </c>
      <c r="B142" s="7">
        <v>4055</v>
      </c>
      <c r="C142" s="21" t="s">
        <v>202</v>
      </c>
      <c r="D142" s="21" t="s">
        <v>892</v>
      </c>
      <c r="E142" s="13">
        <v>42900.916041666664</v>
      </c>
      <c r="F142" s="13">
        <v>42900.917013888888</v>
      </c>
      <c r="G142" s="7">
        <v>1</v>
      </c>
      <c r="H142" s="21" t="s">
        <v>350</v>
      </c>
      <c r="I142" s="13">
        <v>42900.925185185188</v>
      </c>
      <c r="J142" s="7">
        <v>0</v>
      </c>
      <c r="K142" s="89" t="str">
        <f t="shared" si="46"/>
        <v>4055/4056</v>
      </c>
      <c r="L142" s="21" t="str">
        <f>VLOOKUP(A142,'Trips&amp;Operators'!$C$1:$G$99999,5,FALSE)</f>
        <v>LAMAR NEKESHA</v>
      </c>
      <c r="M142" s="6">
        <f t="shared" si="47"/>
        <v>8.1712963001336902E-3</v>
      </c>
      <c r="N142" s="7"/>
      <c r="O142" s="7"/>
      <c r="P142" s="7"/>
      <c r="Q142" s="22"/>
      <c r="R142" s="170"/>
      <c r="S142" s="215"/>
      <c r="T142" s="195" t="str">
        <f t="shared" si="48"/>
        <v>Southbound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3</v>
      </c>
      <c r="V142" s="196" t="str">
        <f t="shared" si="49"/>
        <v>https://d0f6bd738d7f1b3e5a7ca70fe4ff75f0.us-east-1.aws.found.io/app/kibana#/discover/Steve-Slow-Train-Analysis-(2080s-and-2083s)?_g=(refreshInterval:(display:Off,pause:!f,section:0,value:0),time:(from:'2017-06-14T20:59:06-0600',mode:absolute,to:'2017-06-14T23:12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42" s="197" t="str">
        <f>IF(AA142&lt;VLOOKUP(AG142,Variables!$AC$3:$AD$8,2,FALSE),"Y","N")</f>
        <v>Y</v>
      </c>
      <c r="X142" s="197">
        <f t="shared" si="50"/>
        <v>0</v>
      </c>
      <c r="Y142" s="197">
        <f t="shared" si="51"/>
        <v>3.6787999999999998</v>
      </c>
      <c r="Z142" s="197">
        <f t="shared" si="52"/>
        <v>1.49E-2</v>
      </c>
      <c r="AA142" s="197">
        <f t="shared" si="53"/>
        <v>3.6638999999999999</v>
      </c>
      <c r="AB142" s="54" t="e">
        <f>VLOOKUP(A142,Enforcements!$C$7:$K$13,8,0)</f>
        <v>#N/A</v>
      </c>
      <c r="AC142" s="51" t="e">
        <f>VLOOKUP(A142,Enforcements!$C$7:$E$13,3,0)</f>
        <v>#N/A</v>
      </c>
      <c r="AD142" s="206">
        <f t="shared" si="54"/>
        <v>228</v>
      </c>
      <c r="AE142" s="77" t="str">
        <f t="shared" si="55"/>
        <v>aws s3 cp s3://rtdc.mdm.uploadarchive.raw/RTDC4055/ "%USERPROFILE%\AppData\Local\Temp\OnboardLogs"\RTDC4055\2017-06-14 --exclude "*" --recursive --include "*20170614*" &amp; "%USERPROFILE%\Documents\GitHub\mrs-test-scripts\Headless Mode &amp; Sideloading\WalkAndUnGZ.bat" "%USERPROFILE%\AppData\Local\Temp\OnboardLogs"\RTDC4055\2017-06-14 &amp; aws s3 cp s3://rtdc.mdm.uploadarchive.raw/RTDC4055/ "%USERPROFILE%\AppData\Local\Temp\OnboardLogs"\RTDC4055\2017-06-15 --exclude "*" --recursive --include "*20170615*" &amp; "%USERPROFILE%\Documents\GitHub\mrs-test-scripts\Headless Mode &amp; Sideloading\WalkAndUnGZ.bat" "%USERPROFILE%\AppData\Local\Temp\OnboardLogs"\RTDC4055\2017-06-15</v>
      </c>
      <c r="AF142" s="74" t="str">
        <f t="shared" si="56"/>
        <v>"C:\Program Files (x86)\AstroGrep\AstroGrep.exe" /e /r /s /spath="%USERPROFILE%\AppData\Local\Temp\OnboardLogs" /stypes="app*4055*20170615*" /stext=" 04:.+((SYSTEM_STATE.+slice.+state.+changed )|(ment ac)|(multiple cpu faults)|(system.+state.+changed )|(\[timeout)|(PRM\|1\|D)|(kpr)|(kdp)|(train st.+moving)|(\|lc)|(penalty))"</v>
      </c>
      <c r="AG142" s="209" t="str">
        <f t="shared" ref="AG142:AG205" si="61">DetSubdiv(A142)</f>
        <v>EC</v>
      </c>
      <c r="AH142" s="78" t="str">
        <f t="shared" si="57"/>
        <v>"%USERPROFILE%\Documents\GitHub\eaglep3\Utilities\RefineRTDCRunTimes.py" --tripid 228-14 --locoid 4055 --swversion DE.1.0.9.0 --startMP 204:36788 --initTime 2017-06-14T21:59:06 --startdatetime 2017-06-14T22:00:30 --delay 1 --endMP 204:149 --enddatetime 2017-06-14T22:12:16 --enforcementcount 0 &gt;&gt;C:\Users\stu\Documents\GitHub\eaglep3-reporting\EC\2017-06-14-refined-times.txt</v>
      </c>
      <c r="AI142" s="96" t="str">
        <f t="shared" si="58"/>
        <v>echo {"issue":{"subject":"","project_id":79,"tracker_id":40,"status_id":1,"priority_id":2,"assigned_to_id":23,"start_date":"2017-06-14","description":"","custom_fields":[{"id":1,"name":"Subdivision","value":"EC"},{"id":4,"name":"Milepost","value":"0.0149"},{"id":17,"name":"Train ID","value":"228-14"},{"id":16,"name":"Locomotive ID","value":"4055"},{"id":130,"name":"Impact","value":""},{"id":150,"name":"Time of Event (Mountain Time)","value":"22:12:16"},{"id":151,"name":"Denver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59"/>
        <v>start /low /b %USERPROFILE%\Documents\GitHub\eaglep3\Utilities\DownloadLogsFromS3.py --loco 4055 --day 2017-06-14</v>
      </c>
      <c r="AN142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04:12:16"},{"id":29,"name":"Sharepoint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7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820</v>
      </c>
      <c r="B143" s="7">
        <v>4010</v>
      </c>
      <c r="C143" s="21" t="s">
        <v>202</v>
      </c>
      <c r="D143" s="21" t="s">
        <v>481</v>
      </c>
      <c r="E143" s="13">
        <v>42900.862870370373</v>
      </c>
      <c r="F143" s="13">
        <v>42900.875150462962</v>
      </c>
      <c r="G143" s="7">
        <v>1</v>
      </c>
      <c r="H143" s="21" t="s">
        <v>893</v>
      </c>
      <c r="I143" s="13">
        <v>42900.901250000003</v>
      </c>
      <c r="J143" s="7">
        <v>2</v>
      </c>
      <c r="K143" s="89" t="str">
        <f t="shared" si="46"/>
        <v>4009/4010</v>
      </c>
      <c r="L143" s="21" t="str">
        <f>VLOOKUP(A143,'Trips&amp;Operators'!$C$1:$G$99999,5,FALSE)</f>
        <v>FORTUNATO FRANK</v>
      </c>
      <c r="M143" s="6">
        <f t="shared" si="47"/>
        <v>2.6099537040863652E-2</v>
      </c>
      <c r="N143" s="7">
        <f t="shared" ref="N143:N183" si="62">24*60*SUM($M143:$M143)</f>
        <v>37.583333338843659</v>
      </c>
      <c r="O143" s="7"/>
      <c r="P143" s="7"/>
      <c r="Q143" s="22"/>
      <c r="R143" s="170"/>
      <c r="S143" s="215">
        <f t="shared" ref="S143:S174" si="63">SUM(U143:U143)/IF(AG143="EC",12,1)</f>
        <v>1</v>
      </c>
      <c r="T143" s="195" t="str">
        <f t="shared" si="48"/>
        <v>NorthBound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 t="shared" si="49"/>
        <v>https://d0f6bd738d7f1b3e5a7ca70fe4ff75f0.us-east-1.aws.found.io/app/kibana#/discover/Steve-Slow-Train-Analysis-(2080s-and-2083s)?_g=(refreshInterval:(display:Off,pause:!f,section:0,value:0),time:(from:'2017-06-14T19:42:32-0600',mode:absolute,to:'2017-06-14T22:37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3" s="197" t="str">
        <f>IF(AA143&lt;VLOOKUP(AG143,Variables!$AC$3:$AD$8,2,FALSE),"Y","N")</f>
        <v>N</v>
      </c>
      <c r="X143" s="197">
        <f t="shared" si="50"/>
        <v>1</v>
      </c>
      <c r="Y143" s="197">
        <f t="shared" si="51"/>
        <v>4.3999999999999997E-2</v>
      </c>
      <c r="Z143" s="197">
        <f t="shared" si="52"/>
        <v>23.340699999999998</v>
      </c>
      <c r="AA143" s="197">
        <f t="shared" si="53"/>
        <v>23.296699999999998</v>
      </c>
      <c r="AB143" s="54" t="e">
        <f>VLOOKUP(A143,Enforcements!$C$7:$K$13,8,0)</f>
        <v>#N/A</v>
      </c>
      <c r="AC143" s="51" t="e">
        <f>VLOOKUP(A143,Enforcements!$C$7:$E$13,3,0)</f>
        <v>#N/A</v>
      </c>
      <c r="AD143" s="206">
        <f t="shared" si="54"/>
        <v>229</v>
      </c>
      <c r="AE143" s="77" t="str">
        <f t="shared" si="55"/>
        <v>aws s3 cp s3://rtdc.mdm.uploadarchive.raw/RTDC4010/ "%USERPROFILE%\AppData\Local\Temp\OnboardLogs"\RTDC4010\2017-06-14 --exclude "*" --recursive --include "*20170614*" &amp; "%USERPROFILE%\Documents\GitHub\mrs-test-scripts\Headless Mode &amp; Sideloading\WalkAndUnGZ.bat" "%USERPROFILE%\AppData\Local\Temp\OnboardLogs"\RTDC4010\2017-06-14 &amp; 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</v>
      </c>
      <c r="AF143" s="74" t="str">
        <f t="shared" si="56"/>
        <v>"C:\Program Files (x86)\AstroGrep\AstroGrep.exe" /e /r /s /spath="%USERPROFILE%\AppData\Local\Temp\OnboardLogs" /stypes="app*4010*20170615*" /stext=" 03:.+((SYSTEM_STATE.+slice.+state.+changed )|(ment ac)|(multiple cpu faults)|(system.+state.+changed )|(\[timeout)|(PRM\|1\|D)|(kpr)|(kdp)|(train st.+moving)|(\|lc)|(penalty))"</v>
      </c>
      <c r="AG143" s="209" t="str">
        <f t="shared" si="61"/>
        <v>EC</v>
      </c>
      <c r="AH143" s="78" t="str">
        <f t="shared" si="57"/>
        <v>"%USERPROFILE%\Documents\GitHub\eaglep3\Utilities\RefineRTDCRunTimes.py" --tripid 229-14 --locoid 4010 --swversion DE.1.0.9.0 --startMP 204:440 --initTime 2017-06-14T20:42:32 --startdatetime 2017-06-14T21:00:13 --delay 1 --endMP 204:233407 --enddatetime 2017-06-14T21:37:48 --enforcementcount 2 &gt;&gt;C:\Users\stu\Documents\GitHub\eaglep3-reporting\EC\2017-06-14-refined-times.txt</v>
      </c>
      <c r="AI143" s="96" t="str">
        <f t="shared" si="58"/>
        <v>echo {"issue":{"subject":"","project_id":79,"tracker_id":40,"status_id":1,"priority_id":2,"assigned_to_id":23,"start_date":"2017-06-14","description":"","custom_fields":[{"id":1,"name":"Subdivision","value":"EC"},{"id":4,"name":"Milepost","value":"23.3407"},{"id":17,"name":"Train ID","value":"229-14"},{"id":16,"name":"Locomotive ID","value":"4010"},{"id":130,"name":"Impact","value":""},{"id":150,"name":"Time of Event (Mountain Time)","value":"21:37:48"},{"id":151,"name":"Denver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59"/>
        <v>start /low /b %USERPROFILE%\Documents\GitHub\eaglep3\Utilities\DownloadLogsFromS3.py --loco 4010 --day 2017-06-14</v>
      </c>
      <c r="AN143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03:37:48"},{"id":29,"name":"Sharepoint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72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826</v>
      </c>
      <c r="B144" s="7">
        <v>4009</v>
      </c>
      <c r="C144" s="21" t="s">
        <v>202</v>
      </c>
      <c r="D144" s="21" t="s">
        <v>490</v>
      </c>
      <c r="E144" s="13">
        <v>42900.911712962959</v>
      </c>
      <c r="F144" s="13">
        <v>42900.915069444447</v>
      </c>
      <c r="G144" s="7">
        <v>1</v>
      </c>
      <c r="H144" s="21" t="s">
        <v>421</v>
      </c>
      <c r="I144" s="13">
        <v>42900.942858796298</v>
      </c>
      <c r="J144" s="7">
        <v>2</v>
      </c>
      <c r="K144" s="89" t="str">
        <f t="shared" si="46"/>
        <v>4009/4010</v>
      </c>
      <c r="L144" s="21" t="str">
        <f>VLOOKUP(A144,'Trips&amp;Operators'!$C$1:$G$99999,5,FALSE)</f>
        <v>FORTUNATO FRANK</v>
      </c>
      <c r="M144" s="6">
        <f t="shared" si="47"/>
        <v>2.7789351850515231E-2</v>
      </c>
      <c r="N144" s="7">
        <f t="shared" si="62"/>
        <v>40.016666664741933</v>
      </c>
      <c r="O144" s="7"/>
      <c r="P144" s="7"/>
      <c r="Q144" s="22"/>
      <c r="R144" s="170"/>
      <c r="S144" s="215">
        <f t="shared" si="63"/>
        <v>1</v>
      </c>
      <c r="T144" s="195" t="str">
        <f t="shared" si="48"/>
        <v>Southbound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 t="shared" si="49"/>
        <v>https://d0f6bd738d7f1b3e5a7ca70fe4ff75f0.us-east-1.aws.found.io/app/kibana#/discover/Steve-Slow-Train-Analysis-(2080s-and-2083s)?_g=(refreshInterval:(display:Off,pause:!f,section:0,value:0),time:(from:'2017-06-14T20:52:52-0600',mode:absolute,to:'2017-06-14T23:37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4" s="197" t="str">
        <f>IF(AA144&lt;VLOOKUP(AG144,Variables!$AC$3:$AD$8,2,FALSE),"Y","N")</f>
        <v>N</v>
      </c>
      <c r="X144" s="197">
        <f t="shared" si="50"/>
        <v>1</v>
      </c>
      <c r="Y144" s="197">
        <f t="shared" si="51"/>
        <v>23.297499999999999</v>
      </c>
      <c r="Z144" s="197">
        <f t="shared" si="52"/>
        <v>1.4500000000000001E-2</v>
      </c>
      <c r="AA144" s="197">
        <f t="shared" si="53"/>
        <v>23.282999999999998</v>
      </c>
      <c r="AB144" s="54" t="e">
        <f>VLOOKUP(A144,Enforcements!$C$7:$K$13,8,0)</f>
        <v>#N/A</v>
      </c>
      <c r="AC144" s="51" t="e">
        <f>VLOOKUP(A144,Enforcements!$C$7:$E$13,3,0)</f>
        <v>#N/A</v>
      </c>
      <c r="AD144" s="206">
        <f t="shared" si="54"/>
        <v>230</v>
      </c>
      <c r="AE144" s="77" t="str">
        <f t="shared" si="55"/>
        <v>aws s3 cp s3://rtdc.mdm.uploadarchive.raw/RTDC4009/ "%USERPROFILE%\AppData\Local\Temp\OnboardLogs"\RTDC4009\2017-06-14 --exclude "*" --recursive --include "*20170614*" &amp; "%USERPROFILE%\Documents\GitHub\mrs-test-scripts\Headless Mode &amp; Sideloading\WalkAndUnGZ.bat" "%USERPROFILE%\AppData\Local\Temp\OnboardLogs"\RTDC4009\2017-06-14 &amp; aws s3 cp s3://rtdc.mdm.uploadarchive.raw/RTDC4009/ "%USERPROFILE%\AppData\Local\Temp\OnboardLogs"\RTDC4009\2017-06-15 --exclude "*" --recursive --include "*20170615*" &amp; "%USERPROFILE%\Documents\GitHub\mrs-test-scripts\Headless Mode &amp; Sideloading\WalkAndUnGZ.bat" "%USERPROFILE%\AppData\Local\Temp\OnboardLogs"\RTDC4009\2017-06-15</v>
      </c>
      <c r="AF144" s="74" t="str">
        <f t="shared" si="56"/>
        <v>"C:\Program Files (x86)\AstroGrep\AstroGrep.exe" /e /r /s /spath="%USERPROFILE%\AppData\Local\Temp\OnboardLogs" /stypes="app*4009*20170615*" /stext=" 04:.+((SYSTEM_STATE.+slice.+state.+changed )|(ment ac)|(multiple cpu faults)|(system.+state.+changed )|(\[timeout)|(PRM\|1\|D)|(kpr)|(kdp)|(train st.+moving)|(\|lc)|(penalty))"</v>
      </c>
      <c r="AG144" s="209" t="str">
        <f t="shared" si="61"/>
        <v>EC</v>
      </c>
      <c r="AH144" s="78" t="str">
        <f t="shared" si="57"/>
        <v>"%USERPROFILE%\Documents\GitHub\eaglep3\Utilities\RefineRTDCRunTimes.py" --tripid 230-14 --locoid 4009 --swversion DE.1.0.9.0 --startMP 204:232975 --initTime 2017-06-14T21:52:52 --startdatetime 2017-06-14T21:57:42 --delay 1 --endMP 204:145 --enddatetime 2017-06-14T22:37:43 --enforcementcount 2 &gt;&gt;C:\Users\stu\Documents\GitHub\eaglep3-reporting\EC\2017-06-14-refined-times.txt</v>
      </c>
      <c r="AI144" s="96" t="str">
        <f t="shared" si="58"/>
        <v>echo {"issue":{"subject":"","project_id":79,"tracker_id":40,"status_id":1,"priority_id":2,"assigned_to_id":23,"start_date":"2017-06-14","description":"","custom_fields":[{"id":1,"name":"Subdivision","value":"EC"},{"id":4,"name":"Milepost","value":"0.0145"},{"id":17,"name":"Train ID","value":"230-14"},{"id":16,"name":"Locomotive ID","value":"4009"},{"id":130,"name":"Impact","value":""},{"id":150,"name":"Time of Event (Mountain Time)","value":"22:37:43"},{"id":151,"name":"Denver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59"/>
        <v>start /low /b %USERPROFILE%\Documents\GitHub\eaglep3\Utilities\DownloadLogsFromS3.py --loco 4009 --day 2017-06-14</v>
      </c>
      <c r="AN144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04:37:43"},{"id":29,"name":"Sharepoint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72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824</v>
      </c>
      <c r="B145" s="7">
        <v>4044</v>
      </c>
      <c r="C145" s="21" t="s">
        <v>202</v>
      </c>
      <c r="D145" s="21" t="s">
        <v>481</v>
      </c>
      <c r="E145" s="13">
        <v>42900.892777777779</v>
      </c>
      <c r="F145" s="13">
        <v>42900.896111111113</v>
      </c>
      <c r="G145" s="7">
        <v>1</v>
      </c>
      <c r="H145" s="21" t="s">
        <v>860</v>
      </c>
      <c r="I145" s="13">
        <v>42900.92260416667</v>
      </c>
      <c r="J145" s="7">
        <v>2</v>
      </c>
      <c r="K145" s="89" t="str">
        <f t="shared" si="46"/>
        <v>4043/4044</v>
      </c>
      <c r="L145" s="21" t="str">
        <f>VLOOKUP(A145,'Trips&amp;Operators'!$C$1:$G$99999,5,FALSE)</f>
        <v>HAITHCOX MICHAEL</v>
      </c>
      <c r="M145" s="6">
        <f t="shared" si="47"/>
        <v>2.6493055556784384E-2</v>
      </c>
      <c r="N145" s="7">
        <f t="shared" si="62"/>
        <v>38.150000001769513</v>
      </c>
      <c r="O145" s="7"/>
      <c r="P145" s="7"/>
      <c r="Q145" s="22"/>
      <c r="R145" s="170"/>
      <c r="S145" s="215">
        <f t="shared" si="63"/>
        <v>1</v>
      </c>
      <c r="T145" s="195" t="str">
        <f t="shared" si="48"/>
        <v>NorthBound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 t="shared" si="49"/>
        <v>https://d0f6bd738d7f1b3e5a7ca70fe4ff75f0.us-east-1.aws.found.io/app/kibana#/discover/Steve-Slow-Train-Analysis-(2080s-and-2083s)?_g=(refreshInterval:(display:Off,pause:!f,section:0,value:0),time:(from:'2017-06-14T20:25:36-0600',mode:absolute,to:'2017-06-14T23:08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5" s="197" t="str">
        <f>IF(AA145&lt;VLOOKUP(AG145,Variables!$AC$3:$AD$8,2,FALSE),"Y","N")</f>
        <v>N</v>
      </c>
      <c r="X145" s="197">
        <f t="shared" si="50"/>
        <v>1</v>
      </c>
      <c r="Y145" s="197">
        <f t="shared" si="51"/>
        <v>4.3999999999999997E-2</v>
      </c>
      <c r="Z145" s="197">
        <f t="shared" si="52"/>
        <v>23.3276</v>
      </c>
      <c r="AA145" s="197">
        <f t="shared" si="53"/>
        <v>23.2836</v>
      </c>
      <c r="AB145" s="54" t="e">
        <f>VLOOKUP(A145,Enforcements!$C$7:$K$13,8,0)</f>
        <v>#N/A</v>
      </c>
      <c r="AC145" s="51" t="e">
        <f>VLOOKUP(A145,Enforcements!$C$7:$E$13,3,0)</f>
        <v>#N/A</v>
      </c>
      <c r="AD145" s="206">
        <f t="shared" si="54"/>
        <v>231</v>
      </c>
      <c r="AE145" s="77" t="str">
        <f t="shared" si="55"/>
        <v>aws s3 cp s3://rtdc.mdm.uploadarchive.raw/RTDC4044/ "%USERPROFILE%\AppData\Local\Temp\OnboardLogs"\RTDC4044\2017-06-14 --exclude "*" --recursive --include "*20170614*" &amp; "%USERPROFILE%\Documents\GitHub\mrs-test-scripts\Headless Mode &amp; Sideloading\WalkAndUnGZ.bat" "%USERPROFILE%\AppData\Local\Temp\OnboardLogs"\RTDC4044\2017-06-14 &amp; aws s3 cp s3://rtdc.mdm.uploadarchive.raw/RTDC4044/ "%USERPROFILE%\AppData\Local\Temp\OnboardLogs"\RTDC4044\2017-06-15 --exclude "*" --recursive --include "*20170615*" &amp; "%USERPROFILE%\Documents\GitHub\mrs-test-scripts\Headless Mode &amp; Sideloading\WalkAndUnGZ.bat" "%USERPROFILE%\AppData\Local\Temp\OnboardLogs"\RTDC4044\2017-06-15</v>
      </c>
      <c r="AF145" s="74" t="str">
        <f t="shared" si="56"/>
        <v>"C:\Program Files (x86)\AstroGrep\AstroGrep.exe" /e /r /s /spath="%USERPROFILE%\AppData\Local\Temp\OnboardLogs" /stypes="app*4044*20170615*" /stext=" 04:.+((SYSTEM_STATE.+slice.+state.+changed )|(ment ac)|(multiple cpu faults)|(system.+state.+changed )|(\[timeout)|(PRM\|1\|D)|(kpr)|(kdp)|(train st.+moving)|(\|lc)|(penalty))"</v>
      </c>
      <c r="AG145" s="209" t="str">
        <f t="shared" si="61"/>
        <v>EC</v>
      </c>
      <c r="AH145" s="78" t="str">
        <f t="shared" si="57"/>
        <v>"%USERPROFILE%\Documents\GitHub\eaglep3\Utilities\RefineRTDCRunTimes.py" --tripid 231-14 --locoid 4044 --swversion DE.1.0.9.0 --startMP 204:440 --initTime 2017-06-14T21:25:36 --startdatetime 2017-06-14T21:30:24 --delay 1 --endMP 204:233276 --enddatetime 2017-06-14T22:08:33 --enforcementcount 2 &gt;&gt;C:\Users\stu\Documents\GitHub\eaglep3-reporting\EC\2017-06-14-refined-times.txt</v>
      </c>
      <c r="AI145" s="96" t="str">
        <f t="shared" si="58"/>
        <v>echo {"issue":{"subject":"","project_id":79,"tracker_id":40,"status_id":1,"priority_id":2,"assigned_to_id":23,"start_date":"2017-06-14","description":"","custom_fields":[{"id":1,"name":"Subdivision","value":"EC"},{"id":4,"name":"Milepost","value":"23.3276"},{"id":17,"name":"Train ID","value":"231-14"},{"id":16,"name":"Locomotive ID","value":"4044"},{"id":130,"name":"Impact","value":""},{"id":150,"name":"Time of Event (Mountain Time)","value":"22:08:33"},{"id":151,"name":"Denver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59"/>
        <v>start /low /b %USERPROFILE%\Documents\GitHub\eaglep3\Utilities\DownloadLogsFromS3.py --loco 4044 --day 2017-06-14</v>
      </c>
      <c r="AN145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04:08:33"},{"id":29,"name":"Sharepoint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72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827</v>
      </c>
      <c r="B146" s="7">
        <v>4043</v>
      </c>
      <c r="C146" s="21" t="s">
        <v>202</v>
      </c>
      <c r="D146" s="21" t="s">
        <v>894</v>
      </c>
      <c r="E146" s="13">
        <v>42900.932222222225</v>
      </c>
      <c r="F146" s="13">
        <v>42900.935729166667</v>
      </c>
      <c r="G146" s="7">
        <v>1</v>
      </c>
      <c r="H146" s="21" t="s">
        <v>351</v>
      </c>
      <c r="I146" s="13">
        <v>42900.96402777778</v>
      </c>
      <c r="J146" s="7">
        <v>2</v>
      </c>
      <c r="K146" s="89" t="str">
        <f t="shared" si="46"/>
        <v>4043/4044</v>
      </c>
      <c r="L146" s="21" t="str">
        <f>VLOOKUP(A146,'Trips&amp;Operators'!$C$1:$G$99999,5,FALSE)</f>
        <v>HAITHCOX MICHAEL</v>
      </c>
      <c r="M146" s="6">
        <f t="shared" si="47"/>
        <v>2.8298611112404615E-2</v>
      </c>
      <c r="N146" s="7">
        <f t="shared" si="62"/>
        <v>40.750000001862645</v>
      </c>
      <c r="O146" s="7"/>
      <c r="P146" s="7"/>
      <c r="Q146" s="22"/>
      <c r="R146" s="170"/>
      <c r="S146" s="215">
        <f t="shared" si="63"/>
        <v>1</v>
      </c>
      <c r="T146" s="195" t="str">
        <f t="shared" si="48"/>
        <v>Southbound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 t="shared" si="49"/>
        <v>https://d0f6bd738d7f1b3e5a7ca70fe4ff75f0.us-east-1.aws.found.io/app/kibana#/discover/Steve-Slow-Train-Analysis-(2080s-and-2083s)?_g=(refreshInterval:(display:Off,pause:!f,section:0,value:0),time:(from:'2017-06-14T21:22:24-0600',mode:absolute,to:'2017-06-15T00:08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6" s="197" t="str">
        <f>IF(AA146&lt;VLOOKUP(AG146,Variables!$AC$3:$AD$8,2,FALSE),"Y","N")</f>
        <v>N</v>
      </c>
      <c r="X146" s="197">
        <f t="shared" si="50"/>
        <v>1</v>
      </c>
      <c r="Y146" s="197">
        <f t="shared" si="51"/>
        <v>23.2957</v>
      </c>
      <c r="Z146" s="197">
        <f t="shared" si="52"/>
        <v>1.43E-2</v>
      </c>
      <c r="AA146" s="197">
        <f t="shared" si="53"/>
        <v>23.281400000000001</v>
      </c>
      <c r="AB146" s="54" t="e">
        <f>VLOOKUP(A146,Enforcements!$C$7:$K$13,8,0)</f>
        <v>#N/A</v>
      </c>
      <c r="AC146" s="51" t="e">
        <f>VLOOKUP(A146,Enforcements!$C$7:$E$13,3,0)</f>
        <v>#N/A</v>
      </c>
      <c r="AD146" s="206">
        <f t="shared" si="54"/>
        <v>232</v>
      </c>
      <c r="AE146" s="77" t="str">
        <f t="shared" si="55"/>
        <v>aws s3 cp s3://rtdc.mdm.uploadarchive.raw/RTDC4043/ "%USERPROFILE%\AppData\Local\Temp\OnboardLogs"\RTDC4043\2017-06-14 --exclude "*" --recursive --include "*20170614*" &amp; "%USERPROFILE%\Documents\GitHub\mrs-test-scripts\Headless Mode &amp; Sideloading\WalkAndUnGZ.bat" "%USERPROFILE%\AppData\Local\Temp\OnboardLogs"\RTDC4043\2017-06-14 &amp; aws s3 cp s3://rtdc.mdm.uploadarchive.raw/RTDC4043/ "%USERPROFILE%\AppData\Local\Temp\OnboardLogs"\RTDC4043\2017-06-15 --exclude "*" --recursive --include "*20170615*" &amp; "%USERPROFILE%\Documents\GitHub\mrs-test-scripts\Headless Mode &amp; Sideloading\WalkAndUnGZ.bat" "%USERPROFILE%\AppData\Local\Temp\OnboardLogs"\RTDC4043\2017-06-15</v>
      </c>
      <c r="AF146" s="74" t="str">
        <f t="shared" si="56"/>
        <v>"C:\Program Files (x86)\AstroGrep\AstroGrep.exe" /e /r /s /spath="%USERPROFILE%\AppData\Local\Temp\OnboardLogs" /stypes="app*4043*20170615*" /stext=" 05:.+((SYSTEM_STATE.+slice.+state.+changed )|(ment ac)|(multiple cpu faults)|(system.+state.+changed )|(\[timeout)|(PRM\|1\|D)|(kpr)|(kdp)|(train st.+moving)|(\|lc)|(penalty))"</v>
      </c>
      <c r="AG146" s="209" t="str">
        <f t="shared" si="61"/>
        <v>EC</v>
      </c>
      <c r="AH146" s="78" t="str">
        <f t="shared" si="57"/>
        <v>"%USERPROFILE%\Documents\GitHub\eaglep3\Utilities\RefineRTDCRunTimes.py" --tripid 232-14 --locoid 4043 --swversion DE.1.0.9.0 --startMP 204:232957 --initTime 2017-06-14T22:22:24 --startdatetime 2017-06-14T22:27:27 --delay 1 --endMP 204:143 --enddatetime 2017-06-14T23:08:12 --enforcementcount 2 &gt;&gt;C:\Users\stu\Documents\GitHub\eaglep3-reporting\EC\2017-06-14-refined-times.txt</v>
      </c>
      <c r="AI146" s="96" t="str">
        <f t="shared" si="58"/>
        <v>echo {"issue":{"subject":"","project_id":79,"tracker_id":40,"status_id":1,"priority_id":2,"assigned_to_id":23,"start_date":"2017-06-14","description":"","custom_fields":[{"id":1,"name":"Subdivision","value":"EC"},{"id":4,"name":"Milepost","value":"0.0143"},{"id":17,"name":"Train ID","value":"232-14"},{"id":16,"name":"Locomotive ID","value":"4043"},{"id":130,"name":"Impact","value":""},{"id":150,"name":"Time of Event (Mountain Time)","value":"23:08:12"},{"id":151,"name":"Denver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59"/>
        <v>start /low /b %USERPROFILE%\Documents\GitHub\eaglep3\Utilities\DownloadLogsFromS3.py --loco 4043 --day 2017-06-14</v>
      </c>
      <c r="AN146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05:08:12"},{"id":29,"name":"Sharepoint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72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825</v>
      </c>
      <c r="B147" s="7">
        <v>4016</v>
      </c>
      <c r="C147" s="21" t="s">
        <v>202</v>
      </c>
      <c r="D147" s="21" t="s">
        <v>485</v>
      </c>
      <c r="E147" s="13">
        <v>42900.909074074072</v>
      </c>
      <c r="F147" s="13">
        <v>42900.916956018518</v>
      </c>
      <c r="G147" s="7">
        <v>3</v>
      </c>
      <c r="H147" s="21" t="s">
        <v>468</v>
      </c>
      <c r="I147" s="13">
        <v>42900.942303240743</v>
      </c>
      <c r="J147" s="7">
        <v>2</v>
      </c>
      <c r="K147" s="89" t="str">
        <f t="shared" si="46"/>
        <v>4015/4016</v>
      </c>
      <c r="L147" s="21" t="str">
        <f>VLOOKUP(A147,'Trips&amp;Operators'!$C$1:$G$99999,5,FALSE)</f>
        <v>SMITH MICHAEL</v>
      </c>
      <c r="M147" s="6">
        <f t="shared" si="47"/>
        <v>2.5347222224809229E-2</v>
      </c>
      <c r="N147" s="7">
        <f t="shared" si="62"/>
        <v>36.50000000372529</v>
      </c>
      <c r="O147" s="7"/>
      <c r="P147" s="7"/>
      <c r="Q147" s="22"/>
      <c r="R147" s="170"/>
      <c r="S147" s="215">
        <f t="shared" si="63"/>
        <v>1</v>
      </c>
      <c r="T147" s="195" t="str">
        <f t="shared" si="48"/>
        <v>NorthBound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 t="shared" si="49"/>
        <v>https://d0f6bd738d7f1b3e5a7ca70fe4ff75f0.us-east-1.aws.found.io/app/kibana#/discover/Steve-Slow-Train-Analysis-(2080s-and-2083s)?_g=(refreshInterval:(display:Off,pause:!f,section:0,value:0),time:(from:'2017-06-14T20:49:04-0600',mode:absolute,to:'2017-06-14T23:36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7" s="197" t="str">
        <f>IF(AA147&lt;VLOOKUP(AG147,Variables!$AC$3:$AD$8,2,FALSE),"Y","N")</f>
        <v>N</v>
      </c>
      <c r="X147" s="197">
        <f t="shared" si="50"/>
        <v>1</v>
      </c>
      <c r="Y147" s="197">
        <f t="shared" si="51"/>
        <v>4.6899999999999997E-2</v>
      </c>
      <c r="Z147" s="197">
        <f t="shared" si="52"/>
        <v>23.33</v>
      </c>
      <c r="AA147" s="197">
        <f t="shared" si="53"/>
        <v>23.283099999999997</v>
      </c>
      <c r="AB147" s="54" t="e">
        <f>VLOOKUP(A147,Enforcements!$C$7:$K$13,8,0)</f>
        <v>#N/A</v>
      </c>
      <c r="AC147" s="51" t="e">
        <f>VLOOKUP(A147,Enforcements!$C$7:$E$13,3,0)</f>
        <v>#N/A</v>
      </c>
      <c r="AD147" s="206">
        <f t="shared" si="54"/>
        <v>233</v>
      </c>
      <c r="AE147" s="77" t="str">
        <f t="shared" si="55"/>
        <v>aws s3 cp s3://rtdc.mdm.uploadarchive.raw/RTDC4016/ "%USERPROFILE%\AppData\Local\Temp\OnboardLogs"\RTDC4016\2017-06-14 --exclude "*" --recursive --include "*20170614*" &amp; "%USERPROFILE%\Documents\GitHub\mrs-test-scripts\Headless Mode &amp; Sideloading\WalkAndUnGZ.bat" "%USERPROFILE%\AppData\Local\Temp\OnboardLogs"\RTDC4016\2017-06-14 &amp; aws s3 cp s3://rtdc.mdm.uploadarchive.raw/RTDC4016/ "%USERPROFILE%\AppData\Local\Temp\OnboardLogs"\RTDC4016\2017-06-15 --exclude "*" --recursive --include "*20170615*" &amp; "%USERPROFILE%\Documents\GitHub\mrs-test-scripts\Headless Mode &amp; Sideloading\WalkAndUnGZ.bat" "%USERPROFILE%\AppData\Local\Temp\OnboardLogs"\RTDC4016\2017-06-15</v>
      </c>
      <c r="AF147" s="74" t="str">
        <f t="shared" si="56"/>
        <v>"C:\Program Files (x86)\AstroGrep\AstroGrep.exe" /e /r /s /spath="%USERPROFILE%\AppData\Local\Temp\OnboardLogs" /stypes="app*4016*20170615*" /stext=" 04:.+((SYSTEM_STATE.+slice.+state.+changed )|(ment ac)|(multiple cpu faults)|(system.+state.+changed )|(\[timeout)|(PRM\|1\|D)|(kpr)|(kdp)|(train st.+moving)|(\|lc)|(penalty))"</v>
      </c>
      <c r="AG147" s="209" t="str">
        <f t="shared" si="61"/>
        <v>EC</v>
      </c>
      <c r="AH147" s="78" t="str">
        <f t="shared" si="57"/>
        <v>"%USERPROFILE%\Documents\GitHub\eaglep3\Utilities\RefineRTDCRunTimes.py" --tripid 233-14 --locoid 4016 --swversion DE.1.0.9.0 --startMP 204:469 --initTime 2017-06-14T21:49:04 --startdatetime 2017-06-14T22:00:25 --delay 3 --endMP 204:233300 --enddatetime 2017-06-14T22:36:55 --enforcementcount 2 &gt;&gt;C:\Users\stu\Documents\GitHub\eaglep3-reporting\EC\2017-06-14-refined-times.txt</v>
      </c>
      <c r="AI147" s="96" t="str">
        <f t="shared" si="58"/>
        <v>echo {"issue":{"subject":"","project_id":79,"tracker_id":40,"status_id":1,"priority_id":2,"assigned_to_id":23,"start_date":"2017-06-14","description":"","custom_fields":[{"id":1,"name":"Subdivision","value":"EC"},{"id":4,"name":"Milepost","value":"23.33"},{"id":17,"name":"Train ID","value":"233-14"},{"id":16,"name":"Locomotive ID","value":"4016"},{"id":130,"name":"Impact","value":""},{"id":150,"name":"Time of Event (Mountain Time)","value":"22:36:55"},{"id":151,"name":"Denver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59"/>
        <v>start /low /b %USERPROFILE%\Documents\GitHub\eaglep3\Utilities\DownloadLogsFromS3.py --loco 4016 --day 2017-06-14</v>
      </c>
      <c r="AN147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04:36:55"},{"id":29,"name":"Sharepoint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72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833</v>
      </c>
      <c r="B148" s="7">
        <v>4015</v>
      </c>
      <c r="C148" s="21" t="s">
        <v>202</v>
      </c>
      <c r="D148" s="21" t="s">
        <v>568</v>
      </c>
      <c r="E148" s="13">
        <v>42900.949108796296</v>
      </c>
      <c r="F148" s="13">
        <v>42900.956585648149</v>
      </c>
      <c r="G148" s="7">
        <v>1</v>
      </c>
      <c r="H148" s="21" t="s">
        <v>459</v>
      </c>
      <c r="I148" s="13">
        <v>42900.984467592592</v>
      </c>
      <c r="J148" s="7">
        <v>2</v>
      </c>
      <c r="K148" s="89" t="str">
        <f t="shared" si="46"/>
        <v>4015/4016</v>
      </c>
      <c r="L148" s="21" t="str">
        <f>VLOOKUP(A148,'Trips&amp;Operators'!$C$1:$G$99999,5,FALSE)</f>
        <v>SMITH MICHAEL</v>
      </c>
      <c r="M148" s="6">
        <f t="shared" si="47"/>
        <v>2.7881944442924578E-2</v>
      </c>
      <c r="N148" s="7">
        <f t="shared" si="62"/>
        <v>40.149999997811392</v>
      </c>
      <c r="O148" s="7"/>
      <c r="P148" s="7"/>
      <c r="Q148" s="22"/>
      <c r="R148" s="170"/>
      <c r="S148" s="215">
        <f t="shared" si="63"/>
        <v>1</v>
      </c>
      <c r="T148" s="195" t="str">
        <f t="shared" si="48"/>
        <v>Southbound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 t="shared" si="49"/>
        <v>https://d0f6bd738d7f1b3e5a7ca70fe4ff75f0.us-east-1.aws.found.io/app/kibana#/discover/Steve-Slow-Train-Analysis-(2080s-and-2083s)?_g=(refreshInterval:(display:Off,pause:!f,section:0,value:0),time:(from:'2017-06-14T21:46:43-0600',mode:absolute,to:'2017-06-15T00:37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8" s="197" t="str">
        <f>IF(AA148&lt;VLOOKUP(AG148,Variables!$AC$3:$AD$8,2,FALSE),"Y","N")</f>
        <v>N</v>
      </c>
      <c r="X148" s="197">
        <f t="shared" si="50"/>
        <v>1</v>
      </c>
      <c r="Y148" s="197">
        <f t="shared" si="51"/>
        <v>23.2989</v>
      </c>
      <c r="Z148" s="197">
        <f t="shared" si="52"/>
        <v>1.3599999999999999E-2</v>
      </c>
      <c r="AA148" s="197">
        <f t="shared" si="53"/>
        <v>23.285299999999999</v>
      </c>
      <c r="AB148" s="54" t="e">
        <f>VLOOKUP(A148,Enforcements!$C$7:$K$13,8,0)</f>
        <v>#N/A</v>
      </c>
      <c r="AC148" s="51" t="e">
        <f>VLOOKUP(A148,Enforcements!$C$7:$E$13,3,0)</f>
        <v>#N/A</v>
      </c>
      <c r="AD148" s="206">
        <f t="shared" si="54"/>
        <v>234</v>
      </c>
      <c r="AE148" s="77" t="str">
        <f t="shared" si="55"/>
        <v>aws s3 cp s3://rtdc.mdm.uploadarchive.raw/RTDC4015/ "%USERPROFILE%\AppData\Local\Temp\OnboardLogs"\RTDC4015\2017-06-14 --exclude "*" --recursive --include "*20170614*" &amp; "%USERPROFILE%\Documents\GitHub\mrs-test-scripts\Headless Mode &amp; Sideloading\WalkAndUnGZ.bat" "%USERPROFILE%\AppData\Local\Temp\OnboardLogs"\RTDC4015\2017-06-14 &amp; aws s3 cp s3://rtdc.mdm.uploadarchive.raw/RTDC4015/ "%USERPROFILE%\AppData\Local\Temp\OnboardLogs"\RTDC4015\2017-06-15 --exclude "*" --recursive --include "*20170615*" &amp; "%USERPROFILE%\Documents\GitHub\mrs-test-scripts\Headless Mode &amp; Sideloading\WalkAndUnGZ.bat" "%USERPROFILE%\AppData\Local\Temp\OnboardLogs"\RTDC4015\2017-06-15</v>
      </c>
      <c r="AF148" s="74" t="str">
        <f t="shared" si="56"/>
        <v>"C:\Program Files (x86)\AstroGrep\AstroGrep.exe" /e /r /s /spath="%USERPROFILE%\AppData\Local\Temp\OnboardLogs" /stypes="app*4015*20170615*" /stext=" 05:.+((SYSTEM_STATE.+slice.+state.+changed )|(ment ac)|(multiple cpu faults)|(system.+state.+changed )|(\[timeout)|(PRM\|1\|D)|(kpr)|(kdp)|(train st.+moving)|(\|lc)|(penalty))"</v>
      </c>
      <c r="AG148" s="209" t="str">
        <f t="shared" si="61"/>
        <v>EC</v>
      </c>
      <c r="AH148" s="78" t="str">
        <f t="shared" si="57"/>
        <v>"%USERPROFILE%\Documents\GitHub\eaglep3\Utilities\RefineRTDCRunTimes.py" --tripid 234-14 --locoid 4015 --swversion DE.1.0.9.0 --startMP 204:232989 --initTime 2017-06-14T22:46:43 --startdatetime 2017-06-14T22:57:29 --delay 1 --endMP 204:136 --enddatetime 2017-06-14T23:37:38 --enforcementcount 2 &gt;&gt;C:\Users\stu\Documents\GitHub\eaglep3-reporting\EC\2017-06-14-refined-times.txt</v>
      </c>
      <c r="AI148" s="96" t="str">
        <f t="shared" si="58"/>
        <v>echo {"issue":{"subject":"","project_id":79,"tracker_id":40,"status_id":1,"priority_id":2,"assigned_to_id":23,"start_date":"2017-06-14","description":"","custom_fields":[{"id":1,"name":"Subdivision","value":"EC"},{"id":4,"name":"Milepost","value":"0.0136"},{"id":17,"name":"Train ID","value":"234-14"},{"id":16,"name":"Locomotive ID","value":"4015"},{"id":130,"name":"Impact","value":""},{"id":150,"name":"Time of Event (Mountain Time)","value":"23:37:38"},{"id":151,"name":"Denver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59"/>
        <v>start /low /b %USERPROFILE%\Documents\GitHub\eaglep3\Utilities\DownloadLogsFromS3.py --loco 4015 --day 2017-06-14</v>
      </c>
      <c r="AN148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05:37:38"},{"id":29,"name":"Sharepoint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72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828</v>
      </c>
      <c r="B149" s="7">
        <v>4056</v>
      </c>
      <c r="C149" s="21" t="s">
        <v>202</v>
      </c>
      <c r="D149" s="21" t="s">
        <v>347</v>
      </c>
      <c r="E149" s="13">
        <v>42900.934490740743</v>
      </c>
      <c r="F149" s="13">
        <v>42900.938344907408</v>
      </c>
      <c r="G149" s="7">
        <v>1</v>
      </c>
      <c r="H149" s="21" t="s">
        <v>880</v>
      </c>
      <c r="I149" s="13">
        <v>42900.964791666665</v>
      </c>
      <c r="J149" s="7">
        <v>2</v>
      </c>
      <c r="K149" s="89" t="str">
        <f t="shared" si="46"/>
        <v>4055/4056</v>
      </c>
      <c r="L149" s="21" t="str">
        <f>VLOOKUP(A149,'Trips&amp;Operators'!$C$1:$G$99999,5,FALSE)</f>
        <v>JACKSON WILLIAM</v>
      </c>
      <c r="M149" s="6">
        <f t="shared" si="47"/>
        <v>2.6446759256941732E-2</v>
      </c>
      <c r="N149" s="7">
        <f t="shared" si="62"/>
        <v>38.083333329996094</v>
      </c>
      <c r="O149" s="7"/>
      <c r="P149" s="7"/>
      <c r="Q149" s="22"/>
      <c r="R149" s="170"/>
      <c r="S149" s="215">
        <f t="shared" si="63"/>
        <v>1</v>
      </c>
      <c r="T149" s="195" t="str">
        <f t="shared" si="48"/>
        <v>NorthBound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 t="shared" si="49"/>
        <v>https://d0f6bd738d7f1b3e5a7ca70fe4ff75f0.us-east-1.aws.found.io/app/kibana#/discover/Steve-Slow-Train-Analysis-(2080s-and-2083s)?_g=(refreshInterval:(display:Off,pause:!f,section:0,value:0),time:(from:'2017-06-14T21:25:40-0600',mode:absolute,to:'2017-06-15T00:09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49" s="197" t="str">
        <f>IF(AA149&lt;VLOOKUP(AG149,Variables!$AC$3:$AD$8,2,FALSE),"Y","N")</f>
        <v>N</v>
      </c>
      <c r="X149" s="197">
        <f t="shared" si="50"/>
        <v>1</v>
      </c>
      <c r="Y149" s="197">
        <f t="shared" si="51"/>
        <v>4.4600000000000001E-2</v>
      </c>
      <c r="Z149" s="197">
        <f t="shared" si="52"/>
        <v>23.332699999999999</v>
      </c>
      <c r="AA149" s="197">
        <f t="shared" si="53"/>
        <v>23.2881</v>
      </c>
      <c r="AB149" s="54" t="e">
        <f>VLOOKUP(A149,Enforcements!$C$7:$K$13,8,0)</f>
        <v>#N/A</v>
      </c>
      <c r="AC149" s="51" t="e">
        <f>VLOOKUP(A149,Enforcements!$C$7:$E$13,3,0)</f>
        <v>#N/A</v>
      </c>
      <c r="AD149" s="206">
        <f t="shared" si="54"/>
        <v>235</v>
      </c>
      <c r="AE149" s="77" t="str">
        <f t="shared" si="55"/>
        <v>aws s3 cp s3://rtdc.mdm.uploadarchive.raw/RTDC4056/ "%USERPROFILE%\AppData\Local\Temp\OnboardLogs"\RTDC4056\2017-06-14 --exclude "*" --recursive --include "*20170614*" &amp; "%USERPROFILE%\Documents\GitHub\mrs-test-scripts\Headless Mode &amp; Sideloading\WalkAndUnGZ.bat" "%USERPROFILE%\AppData\Local\Temp\OnboardLogs"\RTDC4056\2017-06-14 &amp; aws s3 cp s3://rtdc.mdm.uploadarchive.raw/RTDC4056/ "%USERPROFILE%\AppData\Local\Temp\OnboardLogs"\RTDC4056\2017-06-15 --exclude "*" --recursive --include "*20170615*" &amp; "%USERPROFILE%\Documents\GitHub\mrs-test-scripts\Headless Mode &amp; Sideloading\WalkAndUnGZ.bat" "%USERPROFILE%\AppData\Local\Temp\OnboardLogs"\RTDC4056\2017-06-15</v>
      </c>
      <c r="AF149" s="74" t="str">
        <f t="shared" si="56"/>
        <v>"C:\Program Files (x86)\AstroGrep\AstroGrep.exe" /e /r /s /spath="%USERPROFILE%\AppData\Local\Temp\OnboardLogs" /stypes="app*4056*20170615*" /stext=" 05:.+((SYSTEM_STATE.+slice.+state.+changed )|(ment ac)|(multiple cpu faults)|(system.+state.+changed )|(\[timeout)|(PRM\|1\|D)|(kpr)|(kdp)|(train st.+moving)|(\|lc)|(penalty))"</v>
      </c>
      <c r="AG149" s="209" t="str">
        <f t="shared" si="61"/>
        <v>EC</v>
      </c>
      <c r="AH149" s="78" t="str">
        <f t="shared" si="57"/>
        <v>"%USERPROFILE%\Documents\GitHub\eaglep3\Utilities\RefineRTDCRunTimes.py" --tripid 235-14 --locoid 4056 --swversion DE.1.0.9.0 --startMP 204:446 --initTime 2017-06-14T22:25:40 --startdatetime 2017-06-14T22:31:13 --delay 1 --endMP 204:233327 --enddatetime 2017-06-14T23:09:18 --enforcementcount 2 &gt;&gt;C:\Users\stu\Documents\GitHub\eaglep3-reporting\EC\2017-06-14-refined-times.txt</v>
      </c>
      <c r="AI149" s="96" t="str">
        <f t="shared" si="58"/>
        <v>echo {"issue":{"subject":"","project_id":79,"tracker_id":40,"status_id":1,"priority_id":2,"assigned_to_id":23,"start_date":"2017-06-14","description":"","custom_fields":[{"id":1,"name":"Subdivision","value":"EC"},{"id":4,"name":"Milepost","value":"23.3327"},{"id":17,"name":"Train ID","value":"235-14"},{"id":16,"name":"Locomotive ID","value":"4056"},{"id":130,"name":"Impact","value":""},{"id":150,"name":"Time of Event (Mountain Time)","value":"23:09:18"},{"id":151,"name":"Denver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59"/>
        <v>start /low /b %USERPROFILE%\Documents\GitHub\eaglep3\Utilities\DownloadLogsFromS3.py --loco 4056 --day 2017-06-14</v>
      </c>
      <c r="AN149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05:09:18"},{"id":29,"name":"Sharepoint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72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835</v>
      </c>
      <c r="B150" s="7">
        <v>4055</v>
      </c>
      <c r="C150" s="21" t="s">
        <v>202</v>
      </c>
      <c r="D150" s="21" t="s">
        <v>851</v>
      </c>
      <c r="E150" s="13">
        <v>42900.972939814812</v>
      </c>
      <c r="F150" s="13">
        <v>42900.977349537039</v>
      </c>
      <c r="G150" s="7">
        <v>2</v>
      </c>
      <c r="H150" s="21" t="s">
        <v>194</v>
      </c>
      <c r="I150" s="13">
        <v>42901.004976851851</v>
      </c>
      <c r="J150" s="7">
        <v>2</v>
      </c>
      <c r="K150" s="89" t="str">
        <f t="shared" si="46"/>
        <v>4055/4056</v>
      </c>
      <c r="L150" s="21" t="str">
        <f>VLOOKUP(A150,'Trips&amp;Operators'!$C$1:$G$99999,5,FALSE)</f>
        <v>JACKSON WILLIAM</v>
      </c>
      <c r="M150" s="6">
        <f t="shared" si="47"/>
        <v>2.7627314811979886E-2</v>
      </c>
      <c r="N150" s="7">
        <f t="shared" si="62"/>
        <v>39.783333329251036</v>
      </c>
      <c r="O150" s="7"/>
      <c r="P150" s="7"/>
      <c r="Q150" s="22"/>
      <c r="R150" s="170"/>
      <c r="S150" s="215">
        <f t="shared" si="63"/>
        <v>1</v>
      </c>
      <c r="T150" s="195" t="str">
        <f t="shared" si="48"/>
        <v>Southbound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 t="shared" si="49"/>
        <v>https://d0f6bd738d7f1b3e5a7ca70fe4ff75f0.us-east-1.aws.found.io/app/kibana#/discover/Steve-Slow-Train-Analysis-(2080s-and-2083s)?_g=(refreshInterval:(display:Off,pause:!f,section:0,value:0),time:(from:'2017-06-14T22:21:02-0600',mode:absolute,to:'2017-06-15T01:07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50" s="197" t="str">
        <f>IF(AA150&lt;VLOOKUP(AG150,Variables!$AC$3:$AD$8,2,FALSE),"Y","N")</f>
        <v>N</v>
      </c>
      <c r="X150" s="197">
        <f t="shared" si="50"/>
        <v>1</v>
      </c>
      <c r="Y150" s="197">
        <f t="shared" si="51"/>
        <v>23.300599999999999</v>
      </c>
      <c r="Z150" s="197">
        <f t="shared" si="52"/>
        <v>1.5800000000000002E-2</v>
      </c>
      <c r="AA150" s="197">
        <f t="shared" si="53"/>
        <v>23.284800000000001</v>
      </c>
      <c r="AB150" s="54" t="e">
        <f>VLOOKUP(A150,Enforcements!$C$7:$K$13,8,0)</f>
        <v>#N/A</v>
      </c>
      <c r="AC150" s="51" t="e">
        <f>VLOOKUP(A150,Enforcements!$C$7:$E$13,3,0)</f>
        <v>#N/A</v>
      </c>
      <c r="AD150" s="206">
        <f t="shared" si="54"/>
        <v>236</v>
      </c>
      <c r="AE150" s="77" t="str">
        <f t="shared" si="55"/>
        <v>aws s3 cp s3://rtdc.mdm.uploadarchive.raw/RTDC4055/ "%USERPROFILE%\AppData\Local\Temp\OnboardLogs"\RTDC4055\2017-06-14 --exclude "*" --recursive --include "*20170614*" &amp; "%USERPROFILE%\Documents\GitHub\mrs-test-scripts\Headless Mode &amp; Sideloading\WalkAndUnGZ.bat" "%USERPROFILE%\AppData\Local\Temp\OnboardLogs"\RTDC4055\2017-06-14 &amp; aws s3 cp s3://rtdc.mdm.uploadarchive.raw/RTDC4055/ "%USERPROFILE%\AppData\Local\Temp\OnboardLogs"\RTDC4055\2017-06-15 --exclude "*" --recursive --include "*20170615*" &amp; "%USERPROFILE%\Documents\GitHub\mrs-test-scripts\Headless Mode &amp; Sideloading\WalkAndUnGZ.bat" "%USERPROFILE%\AppData\Local\Temp\OnboardLogs"\RTDC4055\2017-06-15</v>
      </c>
      <c r="AF150" s="74" t="str">
        <f t="shared" si="56"/>
        <v>"C:\Program Files (x86)\AstroGrep\AstroGrep.exe" /e /r /s /spath="%USERPROFILE%\AppData\Local\Temp\OnboardLogs" /stypes="app*4055*20170615*" /stext=" 06:.+((SYSTEM_STATE.+slice.+state.+changed )|(ment ac)|(multiple cpu faults)|(system.+state.+changed )|(\[timeout)|(PRM\|1\|D)|(kpr)|(kdp)|(train st.+moving)|(\|lc)|(penalty))"</v>
      </c>
      <c r="AG150" s="209" t="str">
        <f t="shared" si="61"/>
        <v>EC</v>
      </c>
      <c r="AH150" s="78" t="str">
        <f t="shared" si="57"/>
        <v>"%USERPROFILE%\Documents\GitHub\eaglep3\Utilities\RefineRTDCRunTimes.py" --tripid 236-14 --locoid 4055 --swversion DE.1.0.9.0 --startMP 204:233006 --initTime 2017-06-14T23:21:02 --startdatetime 2017-06-14T23:27:23 --delay 2 --endMP 204:158 --enddatetime 2017-06-15T00:07:10 --enforcementcount 2 &gt;&gt;C:\Users\stu\Documents\GitHub\eaglep3-reporting\EC\2017-06-14-refined-times.txt</v>
      </c>
      <c r="AI150" s="96" t="str">
        <f t="shared" si="58"/>
        <v>echo {"issue":{"subject":"","project_id":79,"tracker_id":40,"status_id":1,"priority_id":2,"assigned_to_id":23,"start_date":"2017-06-15","description":"","custom_fields":[{"id":1,"name":"Subdivision","value":"EC"},{"id":4,"name":"Milepost","value":"0.0158"},{"id":17,"name":"Train ID","value":"236-14"},{"id":16,"name":"Locomotive ID","value":"4055"},{"id":130,"name":"Impact","value":""},{"id":150,"name":"Time of Event (Mountain Time)","value":"00:07:10"},{"id":151,"name":"Denver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59"/>
        <v>start /low /b %USERPROFILE%\Documents\GitHub\eaglep3\Utilities\DownloadLogsFromS3.py --loco 4055 --day 2017-06-14</v>
      </c>
      <c r="AN150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06:07:10"},{"id":29,"name":"Sharepoint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72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832</v>
      </c>
      <c r="B151" s="7">
        <v>4010</v>
      </c>
      <c r="C151" s="21" t="s">
        <v>202</v>
      </c>
      <c r="D151" s="21" t="s">
        <v>441</v>
      </c>
      <c r="E151" s="13">
        <v>42900.944976851853</v>
      </c>
      <c r="F151" s="13">
        <v>42900.958657407406</v>
      </c>
      <c r="G151" s="7">
        <v>1</v>
      </c>
      <c r="H151" s="21" t="s">
        <v>882</v>
      </c>
      <c r="I151" s="13">
        <v>42900.984085648146</v>
      </c>
      <c r="J151" s="7">
        <v>2</v>
      </c>
      <c r="K151" s="89" t="str">
        <f t="shared" si="46"/>
        <v>4009/4010</v>
      </c>
      <c r="L151" s="21" t="str">
        <f>VLOOKUP(A151,'Trips&amp;Operators'!$C$1:$G$99999,5,FALSE)</f>
        <v>FORTUNATO FRANK</v>
      </c>
      <c r="M151" s="6">
        <f t="shared" si="47"/>
        <v>2.5428240740438923E-2</v>
      </c>
      <c r="N151" s="7">
        <f t="shared" si="62"/>
        <v>36.616666666232049</v>
      </c>
      <c r="O151" s="7"/>
      <c r="P151" s="7"/>
      <c r="Q151" s="22"/>
      <c r="R151" s="170"/>
      <c r="S151" s="215">
        <f t="shared" si="63"/>
        <v>1</v>
      </c>
      <c r="T151" s="195" t="str">
        <f t="shared" si="48"/>
        <v>NorthBound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 t="shared" si="49"/>
        <v>https://d0f6bd738d7f1b3e5a7ca70fe4ff75f0.us-east-1.aws.found.io/app/kibana#/discover/Steve-Slow-Train-Analysis-(2080s-and-2083s)?_g=(refreshInterval:(display:Off,pause:!f,section:0,value:0),time:(from:'2017-06-14T21:40:46-0600',mode:absolute,to:'2017-06-15T00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1" s="197" t="str">
        <f>IF(AA151&lt;VLOOKUP(AG151,Variables!$AC$3:$AD$8,2,FALSE),"Y","N")</f>
        <v>N</v>
      </c>
      <c r="X151" s="197">
        <f t="shared" si="50"/>
        <v>1</v>
      </c>
      <c r="Y151" s="197">
        <f t="shared" si="51"/>
        <v>4.6699999999999998E-2</v>
      </c>
      <c r="Z151" s="197">
        <f t="shared" si="52"/>
        <v>23.331700000000001</v>
      </c>
      <c r="AA151" s="197">
        <f t="shared" si="53"/>
        <v>23.285</v>
      </c>
      <c r="AB151" s="54" t="e">
        <f>VLOOKUP(A151,Enforcements!$C$7:$K$13,8,0)</f>
        <v>#N/A</v>
      </c>
      <c r="AC151" s="51" t="e">
        <f>VLOOKUP(A151,Enforcements!$C$7:$E$13,3,0)</f>
        <v>#N/A</v>
      </c>
      <c r="AD151" s="206">
        <f t="shared" si="54"/>
        <v>237</v>
      </c>
      <c r="AE151" s="77" t="str">
        <f t="shared" si="55"/>
        <v>aws s3 cp s3://rtdc.mdm.uploadarchive.raw/RTDC4010/ "%USERPROFILE%\AppData\Local\Temp\OnboardLogs"\RTDC4010\2017-06-14 --exclude "*" --recursive --include "*20170614*" &amp; "%USERPROFILE%\Documents\GitHub\mrs-test-scripts\Headless Mode &amp; Sideloading\WalkAndUnGZ.bat" "%USERPROFILE%\AppData\Local\Temp\OnboardLogs"\RTDC4010\2017-06-14 &amp; 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</v>
      </c>
      <c r="AF151" s="74" t="str">
        <f t="shared" si="56"/>
        <v>"C:\Program Files (x86)\AstroGrep\AstroGrep.exe" /e /r /s /spath="%USERPROFILE%\AppData\Local\Temp\OnboardLogs" /stypes="app*4010*20170615*" /stext=" 05:.+((SYSTEM_STATE.+slice.+state.+changed )|(ment ac)|(multiple cpu faults)|(system.+state.+changed )|(\[timeout)|(PRM\|1\|D)|(kpr)|(kdp)|(train st.+moving)|(\|lc)|(penalty))"</v>
      </c>
      <c r="AG151" s="209" t="str">
        <f t="shared" si="61"/>
        <v>EC</v>
      </c>
      <c r="AH151" s="78" t="str">
        <f t="shared" si="57"/>
        <v>"%USERPROFILE%\Documents\GitHub\eaglep3\Utilities\RefineRTDCRunTimes.py" --tripid 237-14 --locoid 4010 --swversion DE.1.0.9.0 --startMP 204:467 --initTime 2017-06-14T22:40:46 --startdatetime 2017-06-14T23:00:28 --delay 1 --endMP 204:233317 --enddatetime 2017-06-14T23:37:05 --enforcementcount 2 &gt;&gt;C:\Users\stu\Documents\GitHub\eaglep3-reporting\EC\2017-06-14-refined-times.txt</v>
      </c>
      <c r="AI151" s="96" t="str">
        <f t="shared" si="58"/>
        <v>echo {"issue":{"subject":"","project_id":79,"tracker_id":40,"status_id":1,"priority_id":2,"assigned_to_id":23,"start_date":"2017-06-14","description":"","custom_fields":[{"id":1,"name":"Subdivision","value":"EC"},{"id":4,"name":"Milepost","value":"23.3317"},{"id":17,"name":"Train ID","value":"237-14"},{"id":16,"name":"Locomotive ID","value":"4010"},{"id":130,"name":"Impact","value":""},{"id":150,"name":"Time of Event (Mountain Time)","value":"23:37:05"},{"id":151,"name":"Denver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59"/>
        <v>start /low /b %USERPROFILE%\Documents\GitHub\eaglep3\Utilities\DownloadLogsFromS3.py --loco 4010 --day 2017-06-14</v>
      </c>
      <c r="AN151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05:37:05"},{"id":29,"name":"Sharepoint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72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836</v>
      </c>
      <c r="B152" s="7">
        <v>4009</v>
      </c>
      <c r="C152" s="21" t="s">
        <v>202</v>
      </c>
      <c r="D152" s="21" t="s">
        <v>479</v>
      </c>
      <c r="E152" s="13">
        <v>42900.98646990741</v>
      </c>
      <c r="F152" s="13">
        <v>42900.998078703706</v>
      </c>
      <c r="G152" s="7">
        <v>1</v>
      </c>
      <c r="H152" s="21" t="s">
        <v>396</v>
      </c>
      <c r="I152" s="13">
        <v>42901.024652777778</v>
      </c>
      <c r="J152" s="7">
        <v>2</v>
      </c>
      <c r="K152" s="89" t="str">
        <f t="shared" si="46"/>
        <v>4009/4010</v>
      </c>
      <c r="L152" s="21" t="str">
        <f>VLOOKUP(A152,'Trips&amp;Operators'!$C$1:$G$99999,5,FALSE)</f>
        <v>FORTUNATO FRANK</v>
      </c>
      <c r="M152" s="6">
        <f t="shared" si="47"/>
        <v>2.6574074072414078E-2</v>
      </c>
      <c r="N152" s="7">
        <f t="shared" si="62"/>
        <v>38.266666664276272</v>
      </c>
      <c r="O152" s="7"/>
      <c r="P152" s="7"/>
      <c r="Q152" s="22"/>
      <c r="R152" s="170"/>
      <c r="S152" s="215">
        <f t="shared" si="63"/>
        <v>1</v>
      </c>
      <c r="T152" s="195" t="str">
        <f t="shared" si="48"/>
        <v>Southbound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 t="shared" si="49"/>
        <v>https://d0f6bd738d7f1b3e5a7ca70fe4ff75f0.us-east-1.aws.found.io/app/kibana#/discover/Steve-Slow-Train-Analysis-(2080s-and-2083s)?_g=(refreshInterval:(display:Off,pause:!f,section:0,value:0),time:(from:'2017-06-14T22:40:31-0600',mode:absolute,to:'2017-06-15T01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2" s="197" t="str">
        <f>IF(AA152&lt;VLOOKUP(AG152,Variables!$AC$3:$AD$8,2,FALSE),"Y","N")</f>
        <v>N</v>
      </c>
      <c r="X152" s="197">
        <f t="shared" si="50"/>
        <v>1</v>
      </c>
      <c r="Y152" s="197">
        <f t="shared" si="51"/>
        <v>23.299299999999999</v>
      </c>
      <c r="Z152" s="197">
        <f t="shared" si="52"/>
        <v>1.54E-2</v>
      </c>
      <c r="AA152" s="197">
        <f t="shared" si="53"/>
        <v>23.283899999999999</v>
      </c>
      <c r="AB152" s="54" t="e">
        <f>VLOOKUP(A152,Enforcements!$C$7:$K$13,8,0)</f>
        <v>#N/A</v>
      </c>
      <c r="AC152" s="51" t="e">
        <f>VLOOKUP(A152,Enforcements!$C$7:$E$13,3,0)</f>
        <v>#N/A</v>
      </c>
      <c r="AD152" s="206">
        <f t="shared" si="54"/>
        <v>238</v>
      </c>
      <c r="AE152" s="77" t="str">
        <f t="shared" si="55"/>
        <v>aws s3 cp s3://rtdc.mdm.uploadarchive.raw/RTDC4009/ "%USERPROFILE%\AppData\Local\Temp\OnboardLogs"\RTDC4009\2017-06-14 --exclude "*" --recursive --include "*20170614*" &amp; "%USERPROFILE%\Documents\GitHub\mrs-test-scripts\Headless Mode &amp; Sideloading\WalkAndUnGZ.bat" "%USERPROFILE%\AppData\Local\Temp\OnboardLogs"\RTDC4009\2017-06-14 &amp; aws s3 cp s3://rtdc.mdm.uploadarchive.raw/RTDC4009/ "%USERPROFILE%\AppData\Local\Temp\OnboardLogs"\RTDC4009\2017-06-15 --exclude "*" --recursive --include "*20170615*" &amp; "%USERPROFILE%\Documents\GitHub\mrs-test-scripts\Headless Mode &amp; Sideloading\WalkAndUnGZ.bat" "%USERPROFILE%\AppData\Local\Temp\OnboardLogs"\RTDC4009\2017-06-15</v>
      </c>
      <c r="AF152" s="74" t="str">
        <f t="shared" si="56"/>
        <v>"C:\Program Files (x86)\AstroGrep\AstroGrep.exe" /e /r /s /spath="%USERPROFILE%\AppData\Local\Temp\OnboardLogs" /stypes="app*4009*20170615*" /stext=" 06:.+((SYSTEM_STATE.+slice.+state.+changed )|(ment ac)|(multiple cpu faults)|(system.+state.+changed )|(\[timeout)|(PRM\|1\|D)|(kpr)|(kdp)|(train st.+moving)|(\|lc)|(penalty))"</v>
      </c>
      <c r="AG152" s="209" t="str">
        <f t="shared" si="61"/>
        <v>EC</v>
      </c>
      <c r="AH152" s="78" t="str">
        <f t="shared" si="57"/>
        <v>"%USERPROFILE%\Documents\GitHub\eaglep3\Utilities\RefineRTDCRunTimes.py" --tripid 238-14 --locoid 4009 --swversion DE.1.0.9.0 --startMP 204:232993 --initTime 2017-06-14T23:40:31 --startdatetime 2017-06-14T23:57:14 --delay 1 --endMP 204:154 --enddatetime 2017-06-15T00:35:30 --enforcementcount 2 &gt;&gt;C:\Users\stu\Documents\GitHub\eaglep3-reporting\EC\2017-06-14-refined-times.txt</v>
      </c>
      <c r="AI152" s="96" t="str">
        <f t="shared" si="58"/>
        <v>echo {"issue":{"subject":"","project_id":79,"tracker_id":40,"status_id":1,"priority_id":2,"assigned_to_id":23,"start_date":"2017-06-15","description":"","custom_fields":[{"id":1,"name":"Subdivision","value":"EC"},{"id":4,"name":"Milepost","value":"0.0154"},{"id":17,"name":"Train ID","value":"238-14"},{"id":16,"name":"Locomotive ID","value":"4009"},{"id":130,"name":"Impact","value":""},{"id":150,"name":"Time of Event (Mountain Time)","value":"00:35:30"},{"id":151,"name":"Denver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59"/>
        <v>start /low /b %USERPROFILE%\Documents\GitHub\eaglep3\Utilities\DownloadLogsFromS3.py --loco 4009 --day 2017-06-14</v>
      </c>
      <c r="AN152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06:35:30"},{"id":29,"name":"Sharepoint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7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x14ac:dyDescent="0.25">
      <c r="A153" s="32" t="s">
        <v>834</v>
      </c>
      <c r="B153" s="7">
        <v>4044</v>
      </c>
      <c r="C153" s="21" t="s">
        <v>202</v>
      </c>
      <c r="D153" s="21" t="s">
        <v>353</v>
      </c>
      <c r="E153" s="13">
        <v>42900.970011574071</v>
      </c>
      <c r="F153" s="13">
        <v>42900.979398148149</v>
      </c>
      <c r="G153" s="7">
        <v>1</v>
      </c>
      <c r="H153" s="21" t="s">
        <v>895</v>
      </c>
      <c r="I153" s="13">
        <v>42901.005057870374</v>
      </c>
      <c r="J153" s="7">
        <v>2</v>
      </c>
      <c r="K153" s="89" t="str">
        <f t="shared" si="46"/>
        <v>4043/4044</v>
      </c>
      <c r="L153" s="21" t="str">
        <f>VLOOKUP(A153,'Trips&amp;Operators'!$C$1:$G$99999,5,FALSE)</f>
        <v>HAITHCOX MICHAEL</v>
      </c>
      <c r="M153" s="6">
        <f t="shared" si="47"/>
        <v>2.5659722225100268E-2</v>
      </c>
      <c r="N153" s="7">
        <f t="shared" si="62"/>
        <v>36.950000004144385</v>
      </c>
      <c r="O153" s="7"/>
      <c r="P153" s="7"/>
      <c r="Q153" s="22"/>
      <c r="R153" s="170"/>
      <c r="S153" s="215">
        <f t="shared" si="63"/>
        <v>1</v>
      </c>
      <c r="T153" s="195" t="str">
        <f t="shared" si="48"/>
        <v>NorthBound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 t="shared" si="49"/>
        <v>https://d0f6bd738d7f1b3e5a7ca70fe4ff75f0.us-east-1.aws.found.io/app/kibana#/discover/Steve-Slow-Train-Analysis-(2080s-and-2083s)?_g=(refreshInterval:(display:Off,pause:!f,section:0,value:0),time:(from:'2017-06-14T22:16:49-0600',mode:absolute,to:'2017-06-15T01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3" s="197" t="str">
        <f>IF(AA153&lt;VLOOKUP(AG153,Variables!$AC$3:$AD$8,2,FALSE),"Y","N")</f>
        <v>N</v>
      </c>
      <c r="X153" s="197">
        <f t="shared" si="50"/>
        <v>1</v>
      </c>
      <c r="Y153" s="197">
        <f t="shared" si="51"/>
        <v>4.5100000000000001E-2</v>
      </c>
      <c r="Z153" s="197">
        <f t="shared" si="52"/>
        <v>23.336099999999998</v>
      </c>
      <c r="AA153" s="197">
        <f t="shared" si="53"/>
        <v>23.290999999999997</v>
      </c>
      <c r="AB153" s="54" t="e">
        <f>VLOOKUP(A153,Enforcements!$C$7:$K$13,8,0)</f>
        <v>#N/A</v>
      </c>
      <c r="AC153" s="51" t="e">
        <f>VLOOKUP(A153,Enforcements!$C$7:$E$13,3,0)</f>
        <v>#N/A</v>
      </c>
      <c r="AD153" s="206">
        <f t="shared" si="54"/>
        <v>239</v>
      </c>
      <c r="AE153" s="77" t="str">
        <f t="shared" si="55"/>
        <v>aws s3 cp s3://rtdc.mdm.uploadarchive.raw/RTDC4044/ "%USERPROFILE%\AppData\Local\Temp\OnboardLogs"\RTDC4044\2017-06-14 --exclude "*" --recursive --include "*20170614*" &amp; "%USERPROFILE%\Documents\GitHub\mrs-test-scripts\Headless Mode &amp; Sideloading\WalkAndUnGZ.bat" "%USERPROFILE%\AppData\Local\Temp\OnboardLogs"\RTDC4044\2017-06-14 &amp; aws s3 cp s3://rtdc.mdm.uploadarchive.raw/RTDC4044/ "%USERPROFILE%\AppData\Local\Temp\OnboardLogs"\RTDC4044\2017-06-15 --exclude "*" --recursive --include "*20170615*" &amp; "%USERPROFILE%\Documents\GitHub\mrs-test-scripts\Headless Mode &amp; Sideloading\WalkAndUnGZ.bat" "%USERPROFILE%\AppData\Local\Temp\OnboardLogs"\RTDC4044\2017-06-15</v>
      </c>
      <c r="AF153" s="74" t="str">
        <f t="shared" si="56"/>
        <v>"C:\Program Files (x86)\AstroGrep\AstroGrep.exe" /e /r /s /spath="%USERPROFILE%\AppData\Local\Temp\OnboardLogs" /stypes="app*4044*20170615*" /stext=" 06:.+((SYSTEM_STATE.+slice.+state.+changed )|(ment ac)|(multiple cpu faults)|(system.+state.+changed )|(\[timeout)|(PRM\|1\|D)|(kpr)|(kdp)|(train st.+moving)|(\|lc)|(penalty))"</v>
      </c>
      <c r="AG153" s="209" t="str">
        <f t="shared" si="61"/>
        <v>EC</v>
      </c>
      <c r="AH153" s="78" t="str">
        <f t="shared" si="57"/>
        <v>"%USERPROFILE%\Documents\GitHub\eaglep3\Utilities\RefineRTDCRunTimes.py" --tripid 239-14 --locoid 4044 --swversion DE.1.0.9.0 --startMP 204:451 --initTime 2017-06-14T23:16:49 --startdatetime 2017-06-14T23:30:20 --delay 1 --endMP 204:233361 --enddatetime 2017-06-15T00:07:17 --enforcementcount 2 &gt;&gt;C:\Users\stu\Documents\GitHub\eaglep3-reporting\EC\2017-06-14-refined-times.txt</v>
      </c>
      <c r="AI153" s="96" t="str">
        <f t="shared" si="58"/>
        <v>echo {"issue":{"subject":"","project_id":79,"tracker_id":40,"status_id":1,"priority_id":2,"assigned_to_id":23,"start_date":"2017-06-15","description":"","custom_fields":[{"id":1,"name":"Subdivision","value":"EC"},{"id":4,"name":"Milepost","value":"23.3361"},{"id":17,"name":"Train ID","value":"239-14"},{"id":16,"name":"Locomotive ID","value":"4044"},{"id":130,"name":"Impact","value":""},{"id":150,"name":"Time of Event (Mountain Time)","value":"00:07:17"},{"id":151,"name":"Denver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20"/>
      <c r="AK153" s="47"/>
      <c r="AL153" s="47"/>
      <c r="AM153" s="142" t="str">
        <f t="shared" si="59"/>
        <v>start /low /b %USERPROFILE%\Documents\GitHub\eaglep3\Utilities\DownloadLogsFromS3.py --loco 4044 --day 2017-06-14</v>
      </c>
      <c r="AN153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06:07:17"},{"id":29,"name":"Sharepoint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4" spans="1:91" s="20" customFormat="1" x14ac:dyDescent="0.25">
      <c r="A154" s="32" t="s">
        <v>838</v>
      </c>
      <c r="B154" s="7">
        <v>4043</v>
      </c>
      <c r="C154" s="21" t="s">
        <v>202</v>
      </c>
      <c r="D154" s="21" t="s">
        <v>896</v>
      </c>
      <c r="E154" s="13">
        <v>42901.010335648149</v>
      </c>
      <c r="F154" s="13">
        <v>42901.019189814811</v>
      </c>
      <c r="G154" s="7">
        <v>0</v>
      </c>
      <c r="H154" s="21" t="s">
        <v>518</v>
      </c>
      <c r="I154" s="13">
        <v>42901.046168981484</v>
      </c>
      <c r="J154" s="7">
        <v>2</v>
      </c>
      <c r="K154" s="89" t="str">
        <f t="shared" si="46"/>
        <v>4043/4044</v>
      </c>
      <c r="L154" s="21" t="str">
        <f>VLOOKUP(A154,'Trips&amp;Operators'!$C$1:$G$99999,5,FALSE)</f>
        <v>HAITHCOX MICHAEL</v>
      </c>
      <c r="M154" s="6">
        <f t="shared" si="47"/>
        <v>2.697916667239042E-2</v>
      </c>
      <c r="N154" s="7">
        <f t="shared" si="62"/>
        <v>38.850000008242205</v>
      </c>
      <c r="O154" s="7"/>
      <c r="P154" s="7"/>
      <c r="Q154" s="22"/>
      <c r="R154" s="170"/>
      <c r="S154" s="215">
        <f t="shared" si="63"/>
        <v>1</v>
      </c>
      <c r="T154" s="195" t="str">
        <f t="shared" si="48"/>
        <v>Southbound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 t="shared" si="49"/>
        <v>https://d0f6bd738d7f1b3e5a7ca70fe4ff75f0.us-east-1.aws.found.io/app/kibana#/discover/Steve-Slow-Train-Analysis-(2080s-and-2083s)?_g=(refreshInterval:(display:Off,pause:!f,section:0,value:0),time:(from:'2017-06-14T23:14:53-0600',mode:absolute,to:'2017-06-15T02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4" s="197" t="str">
        <f>IF(AA154&lt;VLOOKUP(AG154,Variables!$AC$3:$AD$8,2,FALSE),"Y","N")</f>
        <v>N</v>
      </c>
      <c r="X154" s="197">
        <f t="shared" si="50"/>
        <v>1</v>
      </c>
      <c r="Y154" s="197">
        <f t="shared" si="51"/>
        <v>23.302299999999999</v>
      </c>
      <c r="Z154" s="197">
        <f t="shared" si="52"/>
        <v>1.6E-2</v>
      </c>
      <c r="AA154" s="197">
        <f t="shared" si="53"/>
        <v>23.286300000000001</v>
      </c>
      <c r="AB154" s="54" t="e">
        <f>VLOOKUP(A154,Enforcements!$C$7:$K$13,8,0)</f>
        <v>#N/A</v>
      </c>
      <c r="AC154" s="51" t="e">
        <f>VLOOKUP(A154,Enforcements!$C$7:$E$13,3,0)</f>
        <v>#N/A</v>
      </c>
      <c r="AD154" s="206">
        <f t="shared" si="54"/>
        <v>240</v>
      </c>
      <c r="AE154" s="77" t="str">
        <f t="shared" si="55"/>
        <v>aws s3 cp s3://rtdc.mdm.uploadarchive.raw/RTDC4043/ "%USERPROFILE%\AppData\Local\Temp\OnboardLogs"\RTDC4043\2017-06-15 --exclude "*" --recursive --include "*20170615*" &amp; "%USERPROFILE%\Documents\GitHub\mrs-test-scripts\Headless Mode &amp; Sideloading\WalkAndUnGZ.bat" "%USERPROFILE%\AppData\Local\Temp\OnboardLogs"\RTDC4043\2017-06-15 &amp; aws s3 cp s3://rtdc.mdm.uploadarchive.raw/RTDC4043/ "%USERPROFILE%\AppData\Local\Temp\OnboardLogs"\RTDC4043\2017-06-16 --exclude "*" --recursive --include "*20170616*" &amp; "%USERPROFILE%\Documents\GitHub\mrs-test-scripts\Headless Mode &amp; Sideloading\WalkAndUnGZ.bat" "%USERPROFILE%\AppData\Local\Temp\OnboardLogs"\RTDC4043\2017-06-16</v>
      </c>
      <c r="AF154" s="74" t="str">
        <f t="shared" si="56"/>
        <v>"C:\Program Files (x86)\AstroGrep\AstroGrep.exe" /e /r /s /spath="%USERPROFILE%\AppData\Local\Temp\OnboardLogs" /stypes="app*4043*20170615*" /stext=" 07:.+((SYSTEM_STATE.+slice.+state.+changed )|(ment ac)|(multiple cpu faults)|(system.+state.+changed )|(\[timeout)|(PRM\|1\|D)|(kpr)|(kdp)|(train st.+moving)|(\|lc)|(penalty))"</v>
      </c>
      <c r="AG154" s="209" t="str">
        <f t="shared" si="61"/>
        <v>EC</v>
      </c>
      <c r="AH154" s="78" t="str">
        <f t="shared" si="57"/>
        <v>"%USERPROFILE%\Documents\GitHub\eaglep3\Utilities\RefineRTDCRunTimes.py" --tripid 240-14 --locoid 4043 --swversion DE.1.0.9.0 --startMP 204:233023 --initTime 2017-06-15T00:14:53 --startdatetime 2017-06-15T00:27:38 --delay 0 --endMP 204:160 --enddatetime 2017-06-15T01:06:29 --enforcementcount 2 &gt;&gt;C:\Users\stu\Documents\GitHub\eaglep3-reporting\EC\2017-06-14-refined-times.txt</v>
      </c>
      <c r="AI154" s="96" t="str">
        <f t="shared" si="58"/>
        <v>echo {"issue":{"subject":"","project_id":79,"tracker_id":40,"status_id":1,"priority_id":2,"assigned_to_id":23,"start_date":"2017-06-15","description":"","custom_fields":[{"id":1,"name":"Subdivision","value":"EC"},{"id":4,"name":"Milepost","value":"0.016"},{"id":17,"name":"Train ID","value":"240-14"},{"id":16,"name":"Locomotive ID","value":"4043"},{"id":130,"name":"Impact","value":""},{"id":150,"name":"Time of Event (Mountain Time)","value":"01:06:29"},{"id":151,"name":"Denver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59"/>
        <v>start /low /b %USERPROFILE%\Documents\GitHub\eaglep3\Utilities\DownloadLogsFromS3.py --loco 4043 --day 2017-06-15</v>
      </c>
      <c r="AN154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07:06:29"},{"id":29,"name":"Sharepoint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72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x14ac:dyDescent="0.25">
      <c r="A155" s="32" t="s">
        <v>837</v>
      </c>
      <c r="B155" s="7">
        <v>4016</v>
      </c>
      <c r="C155" s="21" t="s">
        <v>202</v>
      </c>
      <c r="D155" s="21" t="s">
        <v>353</v>
      </c>
      <c r="E155" s="13">
        <v>42900.990289351852</v>
      </c>
      <c r="F155" s="13">
        <v>42901.000196759262</v>
      </c>
      <c r="G155" s="7">
        <v>1</v>
      </c>
      <c r="H155" s="21" t="s">
        <v>562</v>
      </c>
      <c r="I155" s="13">
        <v>42901.02611111111</v>
      </c>
      <c r="J155" s="7">
        <v>2</v>
      </c>
      <c r="K155" s="89" t="str">
        <f t="shared" si="46"/>
        <v>4015/4016</v>
      </c>
      <c r="L155" s="21" t="str">
        <f>VLOOKUP(A155,'Trips&amp;Operators'!$C$1:$G$99999,5,FALSE)</f>
        <v>SMITH MICHAEL</v>
      </c>
      <c r="M155" s="6">
        <f t="shared" si="47"/>
        <v>2.5914351848769002E-2</v>
      </c>
      <c r="N155" s="7">
        <f t="shared" si="62"/>
        <v>37.316666662227362</v>
      </c>
      <c r="O155" s="7"/>
      <c r="P155" s="7"/>
      <c r="Q155" s="22"/>
      <c r="R155" s="170"/>
      <c r="S155" s="215">
        <f t="shared" si="63"/>
        <v>1</v>
      </c>
      <c r="T155" s="195" t="str">
        <f t="shared" si="48"/>
        <v>NorthBound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 t="shared" si="49"/>
        <v>https://d0f6bd738d7f1b3e5a7ca70fe4ff75f0.us-east-1.aws.found.io/app/kibana#/discover/Steve-Slow-Train-Analysis-(2080s-and-2083s)?_g=(refreshInterval:(display:Off,pause:!f,section:0,value:0),time:(from:'2017-06-14T22:46:01-0600',mode:absolute,to:'2017-06-15T01:37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5" s="197" t="str">
        <f>IF(AA155&lt;VLOOKUP(AG155,Variables!$AC$3:$AD$8,2,FALSE),"Y","N")</f>
        <v>N</v>
      </c>
      <c r="X155" s="197">
        <f t="shared" si="50"/>
        <v>1</v>
      </c>
      <c r="Y155" s="197">
        <f t="shared" si="51"/>
        <v>4.5100000000000001E-2</v>
      </c>
      <c r="Z155" s="197">
        <f t="shared" si="52"/>
        <v>23.327999999999999</v>
      </c>
      <c r="AA155" s="197">
        <f t="shared" si="53"/>
        <v>23.282899999999998</v>
      </c>
      <c r="AB155" s="54" t="e">
        <f>VLOOKUP(A155,Enforcements!$C$7:$K$13,8,0)</f>
        <v>#N/A</v>
      </c>
      <c r="AC155" s="51" t="e">
        <f>VLOOKUP(A155,Enforcements!$C$7:$E$13,3,0)</f>
        <v>#N/A</v>
      </c>
      <c r="AD155" s="206">
        <f t="shared" si="54"/>
        <v>241</v>
      </c>
      <c r="AE155" s="77" t="str">
        <f t="shared" si="55"/>
        <v>aws s3 cp s3://rtdc.mdm.uploadarchive.raw/RTDC4016/ "%USERPROFILE%\AppData\Local\Temp\OnboardLogs"\RTDC4016\2017-06-15 --exclude "*" --recursive --include "*20170615*" &amp; "%USERPROFILE%\Documents\GitHub\mrs-test-scripts\Headless Mode &amp; Sideloading\WalkAndUnGZ.bat" "%USERPROFILE%\AppData\Local\Temp\OnboardLogs"\RTDC4016\2017-06-15 &amp; aws s3 cp s3://rtdc.mdm.uploadarchive.raw/RTDC4016/ "%USERPROFILE%\AppData\Local\Temp\OnboardLogs"\RTDC4016\2017-06-16 --exclude "*" --recursive --include "*20170616*" &amp; "%USERPROFILE%\Documents\GitHub\mrs-test-scripts\Headless Mode &amp; Sideloading\WalkAndUnGZ.bat" "%USERPROFILE%\AppData\Local\Temp\OnboardLogs"\RTDC4016\2017-06-16</v>
      </c>
      <c r="AF155" s="74" t="str">
        <f t="shared" si="56"/>
        <v>"C:\Program Files (x86)\AstroGrep\AstroGrep.exe" /e /r /s /spath="%USERPROFILE%\AppData\Local\Temp\OnboardLogs" /stypes="app*4016*20170615*" /stext=" 06:.+((SYSTEM_STATE.+slice.+state.+changed )|(ment ac)|(multiple cpu faults)|(system.+state.+changed )|(\[timeout)|(PRM\|1\|D)|(kpr)|(kdp)|(train st.+moving)|(\|lc)|(penalty))"</v>
      </c>
      <c r="AG155" s="209" t="str">
        <f t="shared" si="61"/>
        <v>EC</v>
      </c>
      <c r="AH155" s="78" t="str">
        <f t="shared" si="57"/>
        <v>"%USERPROFILE%\Documents\GitHub\eaglep3\Utilities\RefineRTDCRunTimes.py" --tripid 241-14 --locoid 4016 --swversion DE.1.0.9.0 --startMP 204:451 --initTime 2017-06-14T23:46:01 --startdatetime 2017-06-15T00:00:17 --delay 1 --endMP 204:233280 --enddatetime 2017-06-15T00:37:36 --enforcementcount 2 &gt;&gt;C:\Users\stu\Documents\GitHub\eaglep3-reporting\EC\2017-06-14-refined-times.txt</v>
      </c>
      <c r="AI155" s="96" t="str">
        <f t="shared" si="58"/>
        <v>echo {"issue":{"subject":"","project_id":79,"tracker_id":40,"status_id":1,"priority_id":2,"assigned_to_id":23,"start_date":"2017-06-15","description":"","custom_fields":[{"id":1,"name":"Subdivision","value":"EC"},{"id":4,"name":"Milepost","value":"23.328"},{"id":17,"name":"Train ID","value":"241-14"},{"id":16,"name":"Locomotive ID","value":"4016"},{"id":130,"name":"Impact","value":""},{"id":150,"name":"Time of Event (Mountain Time)","value":"00:37:36"},{"id":151,"name":"Denver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20"/>
      <c r="AK155" s="47"/>
      <c r="AL155" s="47"/>
      <c r="AM155" s="142" t="str">
        <f t="shared" si="59"/>
        <v>start /low /b %USERPROFILE%\Documents\GitHub\eaglep3\Utilities\DownloadLogsFromS3.py --loco 4016 --day 2017-06-15</v>
      </c>
      <c r="AN155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06:37:36"},{"id":29,"name":"Sharepoint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6" spans="1:91" x14ac:dyDescent="0.25">
      <c r="A156" s="32" t="s">
        <v>841</v>
      </c>
      <c r="B156" s="7">
        <v>4015</v>
      </c>
      <c r="C156" s="21" t="s">
        <v>202</v>
      </c>
      <c r="D156" s="21" t="s">
        <v>525</v>
      </c>
      <c r="E156" s="13">
        <v>42901.031076388892</v>
      </c>
      <c r="F156" s="13">
        <v>42901.039768518516</v>
      </c>
      <c r="G156" s="7">
        <v>1</v>
      </c>
      <c r="H156" s="21" t="s">
        <v>569</v>
      </c>
      <c r="I156" s="13">
        <v>42901.066932870373</v>
      </c>
      <c r="J156" s="7">
        <v>2</v>
      </c>
      <c r="K156" s="89" t="str">
        <f t="shared" si="46"/>
        <v>4015/4016</v>
      </c>
      <c r="L156" s="21" t="str">
        <f>VLOOKUP(A156,'Trips&amp;Operators'!$C$1:$G$99999,5,FALSE)</f>
        <v>SMITH MICHAEL</v>
      </c>
      <c r="M156" s="6">
        <f t="shared" si="47"/>
        <v>2.7164351857209112E-2</v>
      </c>
      <c r="N156" s="7">
        <f t="shared" si="62"/>
        <v>39.116666674381122</v>
      </c>
      <c r="O156" s="7"/>
      <c r="P156" s="7"/>
      <c r="Q156" s="22"/>
      <c r="R156" s="170"/>
      <c r="S156" s="215">
        <f t="shared" si="63"/>
        <v>1</v>
      </c>
      <c r="T156" s="195" t="str">
        <f t="shared" si="48"/>
        <v>Southbound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 t="shared" si="49"/>
        <v>https://d0f6bd738d7f1b3e5a7ca70fe4ff75f0.us-east-1.aws.found.io/app/kibana#/discover/Steve-Slow-Train-Analysis-(2080s-and-2083s)?_g=(refreshInterval:(display:Off,pause:!f,section:0,value:0),time:(from:'2017-06-14T23:44:45-0600',mode:absolute,to:'2017-06-15T02:36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6" s="197" t="str">
        <f>IF(AA156&lt;VLOOKUP(AG156,Variables!$AC$3:$AD$8,2,FALSE),"Y","N")</f>
        <v>N</v>
      </c>
      <c r="X156" s="197">
        <f t="shared" si="50"/>
        <v>1</v>
      </c>
      <c r="Y156" s="197">
        <f t="shared" si="51"/>
        <v>23.2974</v>
      </c>
      <c r="Z156" s="197">
        <f t="shared" si="52"/>
        <v>1.6299999999999999E-2</v>
      </c>
      <c r="AA156" s="197">
        <f t="shared" si="53"/>
        <v>23.281099999999999</v>
      </c>
      <c r="AB156" s="54" t="e">
        <f>VLOOKUP(A156,Enforcements!$C$7:$K$13,8,0)</f>
        <v>#N/A</v>
      </c>
      <c r="AC156" s="51" t="e">
        <f>VLOOKUP(A156,Enforcements!$C$7:$E$13,3,0)</f>
        <v>#N/A</v>
      </c>
      <c r="AD156" s="206">
        <f t="shared" si="54"/>
        <v>242</v>
      </c>
      <c r="AE156" s="77" t="str">
        <f t="shared" si="55"/>
        <v>aws s3 cp s3://rtdc.mdm.uploadarchive.raw/RTDC4015/ "%USERPROFILE%\AppData\Local\Temp\OnboardLogs"\RTDC4015\2017-06-15 --exclude "*" --recursive --include "*20170615*" &amp; "%USERPROFILE%\Documents\GitHub\mrs-test-scripts\Headless Mode &amp; Sideloading\WalkAndUnGZ.bat" "%USERPROFILE%\AppData\Local\Temp\OnboardLogs"\RTDC4015\2017-06-15 &amp; aws s3 cp s3://rtdc.mdm.uploadarchive.raw/RTDC4015/ "%USERPROFILE%\AppData\Local\Temp\OnboardLogs"\RTDC4015\2017-06-16 --exclude "*" --recursive --include "*20170616*" &amp; "%USERPROFILE%\Documents\GitHub\mrs-test-scripts\Headless Mode &amp; Sideloading\WalkAndUnGZ.bat" "%USERPROFILE%\AppData\Local\Temp\OnboardLogs"\RTDC4015\2017-06-16</v>
      </c>
      <c r="AF156" s="74" t="str">
        <f t="shared" si="56"/>
        <v>"C:\Program Files (x86)\AstroGrep\AstroGrep.exe" /e /r /s /spath="%USERPROFILE%\AppData\Local\Temp\OnboardLogs" /stypes="app*4015*20170615*" /stext=" 07:.+((SYSTEM_STATE.+slice.+state.+changed )|(ment ac)|(multiple cpu faults)|(system.+state.+changed )|(\[timeout)|(PRM\|1\|D)|(kpr)|(kdp)|(train st.+moving)|(\|lc)|(penalty))"</v>
      </c>
      <c r="AG156" s="209" t="str">
        <f t="shared" si="61"/>
        <v>EC</v>
      </c>
      <c r="AH156" s="78" t="str">
        <f t="shared" si="57"/>
        <v>"%USERPROFILE%\Documents\GitHub\eaglep3\Utilities\RefineRTDCRunTimes.py" --tripid 242-14 --locoid 4015 --swversion DE.1.0.9.0 --startMP 204:232974 --initTime 2017-06-15T00:44:45 --startdatetime 2017-06-15T00:57:16 --delay 1 --endMP 204:163 --enddatetime 2017-06-15T01:36:23 --enforcementcount 2 &gt;&gt;C:\Users\stu\Documents\GitHub\eaglep3-reporting\EC\2017-06-14-refined-times.txt</v>
      </c>
      <c r="AI156" s="96" t="str">
        <f t="shared" si="58"/>
        <v>echo {"issue":{"subject":"","project_id":79,"tracker_id":40,"status_id":1,"priority_id":2,"assigned_to_id":23,"start_date":"2017-06-15","description":"","custom_fields":[{"id":1,"name":"Subdivision","value":"EC"},{"id":4,"name":"Milepost","value":"0.0163"},{"id":17,"name":"Train ID","value":"242-14"},{"id":16,"name":"Locomotive ID","value":"4015"},{"id":130,"name":"Impact","value":""},{"id":150,"name":"Time of Event (Mountain Time)","value":"01:36:23"},{"id":151,"name":"Denver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7"/>
      <c r="AL156" s="47"/>
      <c r="AM156" s="142" t="str">
        <f t="shared" si="59"/>
        <v>start /low /b %USERPROFILE%\Documents\GitHub\eaglep3\Utilities\DownloadLogsFromS3.py --loco 4015 --day 2017-06-15</v>
      </c>
      <c r="AN156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07:36:23"},{"id":29,"name":"Sharepoint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7" spans="1:91" s="20" customFormat="1" x14ac:dyDescent="0.25">
      <c r="A157" s="32" t="s">
        <v>839</v>
      </c>
      <c r="B157" s="7">
        <v>4056</v>
      </c>
      <c r="C157" s="21" t="s">
        <v>202</v>
      </c>
      <c r="D157" s="21" t="s">
        <v>356</v>
      </c>
      <c r="E157" s="13">
        <v>42901.011631944442</v>
      </c>
      <c r="F157" s="13">
        <v>42901.02107638889</v>
      </c>
      <c r="G157" s="7">
        <v>10</v>
      </c>
      <c r="H157" s="21" t="s">
        <v>897</v>
      </c>
      <c r="I157" s="13">
        <v>42901.046342592592</v>
      </c>
      <c r="J157" s="7">
        <v>2</v>
      </c>
      <c r="K157" s="89" t="str">
        <f t="shared" si="46"/>
        <v>4055/4056</v>
      </c>
      <c r="L157" s="21" t="str">
        <f>VLOOKUP(A157,'Trips&amp;Operators'!$C$1:$G$99999,5,FALSE)</f>
        <v>JACKSON WILLIAM</v>
      </c>
      <c r="M157" s="6">
        <f t="shared" si="47"/>
        <v>2.5266203701903578E-2</v>
      </c>
      <c r="N157" s="7">
        <f t="shared" si="62"/>
        <v>36.383333330741152</v>
      </c>
      <c r="O157" s="7"/>
      <c r="P157" s="7"/>
      <c r="Q157" s="22"/>
      <c r="R157" s="170"/>
      <c r="S157" s="215">
        <f t="shared" si="63"/>
        <v>1</v>
      </c>
      <c r="T157" s="195" t="str">
        <f t="shared" si="48"/>
        <v>NorthBound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6" t="str">
        <f t="shared" si="49"/>
        <v>https://d0f6bd738d7f1b3e5a7ca70fe4ff75f0.us-east-1.aws.found.io/app/kibana#/discover/Steve-Slow-Train-Analysis-(2080s-and-2083s)?_g=(refreshInterval:(display:Off,pause:!f,section:0,value:0),time:(from:'2017-06-14T23:16:45-0600',mode:absolute,to:'2017-06-15T02:06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57" s="197" t="str">
        <f>IF(AA157&lt;VLOOKUP(AG157,Variables!$AC$3:$AD$8,2,FALSE),"Y","N")</f>
        <v>N</v>
      </c>
      <c r="X157" s="197">
        <f t="shared" si="50"/>
        <v>1</v>
      </c>
      <c r="Y157" s="197">
        <f t="shared" si="51"/>
        <v>4.4699999999999997E-2</v>
      </c>
      <c r="Z157" s="197">
        <f t="shared" si="52"/>
        <v>23.3322</v>
      </c>
      <c r="AA157" s="197">
        <f t="shared" si="53"/>
        <v>23.287500000000001</v>
      </c>
      <c r="AB157" s="54" t="e">
        <f>VLOOKUP(A157,Enforcements!$C$7:$K$13,8,0)</f>
        <v>#N/A</v>
      </c>
      <c r="AC157" s="51" t="e">
        <f>VLOOKUP(A157,Enforcements!$C$7:$E$13,3,0)</f>
        <v>#N/A</v>
      </c>
      <c r="AD157" s="206">
        <f t="shared" si="54"/>
        <v>243</v>
      </c>
      <c r="AE157" s="77" t="str">
        <f t="shared" si="55"/>
        <v>aws s3 cp s3://rtdc.mdm.uploadarchive.raw/RTDC4056/ "%USERPROFILE%\AppData\Local\Temp\OnboardLogs"\RTDC4056\2017-06-15 --exclude "*" --recursive --include "*20170615*" &amp; "%USERPROFILE%\Documents\GitHub\mrs-test-scripts\Headless Mode &amp; Sideloading\WalkAndUnGZ.bat" "%USERPROFILE%\AppData\Local\Temp\OnboardLogs"\RTDC4056\2017-06-15 &amp; aws s3 cp s3://rtdc.mdm.uploadarchive.raw/RTDC4056/ "%USERPROFILE%\AppData\Local\Temp\OnboardLogs"\RTDC4056\2017-06-16 --exclude "*" --recursive --include "*20170616*" &amp; "%USERPROFILE%\Documents\GitHub\mrs-test-scripts\Headless Mode &amp; Sideloading\WalkAndUnGZ.bat" "%USERPROFILE%\AppData\Local\Temp\OnboardLogs"\RTDC4056\2017-06-16</v>
      </c>
      <c r="AF157" s="74" t="str">
        <f t="shared" si="56"/>
        <v>"C:\Program Files (x86)\AstroGrep\AstroGrep.exe" /e /r /s /spath="%USERPROFILE%\AppData\Local\Temp\OnboardLogs" /stypes="app*4056*20170615*" /stext=" 07:.+((SYSTEM_STATE.+slice.+state.+changed )|(ment ac)|(multiple cpu faults)|(system.+state.+changed )|(\[timeout)|(PRM\|1\|D)|(kpr)|(kdp)|(train st.+moving)|(\|lc)|(penalty))"</v>
      </c>
      <c r="AG157" s="209" t="str">
        <f t="shared" si="61"/>
        <v>EC</v>
      </c>
      <c r="AH157" s="78" t="str">
        <f t="shared" si="57"/>
        <v>"%USERPROFILE%\Documents\GitHub\eaglep3\Utilities\RefineRTDCRunTimes.py" --tripid 243-14 --locoid 4056 --swversion DE.1.0.9.0 --startMP 204:447 --initTime 2017-06-15T00:16:45 --startdatetime 2017-06-15T00:30:21 --delay 10 --endMP 204:233322 --enddatetime 2017-06-15T01:06:44 --enforcementcount 2 &gt;&gt;C:\Users\stu\Documents\GitHub\eaglep3-reporting\EC\2017-06-14-refined-times.txt</v>
      </c>
      <c r="AI157" s="96" t="str">
        <f t="shared" si="58"/>
        <v>echo {"issue":{"subject":"","project_id":79,"tracker_id":40,"status_id":1,"priority_id":2,"assigned_to_id":23,"start_date":"2017-06-15","description":"","custom_fields":[{"id":1,"name":"Subdivision","value":"EC"},{"id":4,"name":"Milepost","value":"23.3322"},{"id":17,"name":"Train ID","value":"243-14"},{"id":16,"name":"Locomotive ID","value":"4056"},{"id":130,"name":"Impact","value":""},{"id":150,"name":"Time of Event (Mountain Time)","value":"01:06:44"},{"id":151,"name":"Denver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59"/>
        <v>start /low /b %USERPROFILE%\Documents\GitHub\eaglep3\Utilities\DownloadLogsFromS3.py --loco 4056 --day 2017-06-15</v>
      </c>
      <c r="AN157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07:06:44"},{"id":29,"name":"Sharepoint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72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x14ac:dyDescent="0.25">
      <c r="A158" s="32" t="s">
        <v>649</v>
      </c>
      <c r="B158" s="7">
        <v>4055</v>
      </c>
      <c r="C158" s="21" t="s">
        <v>202</v>
      </c>
      <c r="D158" s="21" t="s">
        <v>480</v>
      </c>
      <c r="E158" s="13">
        <v>42901.054340277777</v>
      </c>
      <c r="F158" s="13">
        <v>42901.060752314814</v>
      </c>
      <c r="G158" s="7">
        <v>1</v>
      </c>
      <c r="H158" s="21" t="s">
        <v>193</v>
      </c>
      <c r="I158" s="13">
        <v>42901.088148148148</v>
      </c>
      <c r="J158" s="7">
        <v>2</v>
      </c>
      <c r="K158" s="89" t="str">
        <f t="shared" si="46"/>
        <v>4055/4056</v>
      </c>
      <c r="L158" s="21" t="str">
        <f>VLOOKUP(A158,'Trips&amp;Operators'!$C$1:$G$99999,5,FALSE)</f>
        <v>JACKSON WILLIAM</v>
      </c>
      <c r="M158" s="6">
        <f t="shared" si="47"/>
        <v>2.7395833334594499E-2</v>
      </c>
      <c r="N158" s="7">
        <f t="shared" si="62"/>
        <v>39.450000001816079</v>
      </c>
      <c r="O158" s="7"/>
      <c r="P158" s="7"/>
      <c r="Q158" s="22"/>
      <c r="R158" s="170"/>
      <c r="S158" s="215">
        <f t="shared" si="63"/>
        <v>1</v>
      </c>
      <c r="T158" s="195" t="str">
        <f t="shared" si="48"/>
        <v>Southbound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6" t="str">
        <f t="shared" si="49"/>
        <v>https://d0f6bd738d7f1b3e5a7ca70fe4ff75f0.us-east-1.aws.found.io/app/kibana#/discover/Steve-Slow-Train-Analysis-(2080s-and-2083s)?_g=(refreshInterval:(display:Off,pause:!f,section:0,value:0),time:(from:'2017-06-15T00:18:15-0600',mode:absolute,to:'2017-06-15T03:06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58" s="197" t="str">
        <f>IF(AA158&lt;VLOOKUP(AG158,Variables!$AC$3:$AD$8,2,FALSE),"Y","N")</f>
        <v>N</v>
      </c>
      <c r="X158" s="197">
        <f t="shared" si="50"/>
        <v>1</v>
      </c>
      <c r="Y158" s="197">
        <f t="shared" si="51"/>
        <v>23.3019</v>
      </c>
      <c r="Z158" s="197">
        <f t="shared" si="52"/>
        <v>1.52E-2</v>
      </c>
      <c r="AA158" s="197">
        <f t="shared" si="53"/>
        <v>23.2867</v>
      </c>
      <c r="AB158" s="54" t="e">
        <f>VLOOKUP(A158,Enforcements!$C$7:$K$13,8,0)</f>
        <v>#N/A</v>
      </c>
      <c r="AC158" s="51" t="e">
        <f>VLOOKUP(A158,Enforcements!$C$7:$E$13,3,0)</f>
        <v>#N/A</v>
      </c>
      <c r="AD158" s="206">
        <f t="shared" si="54"/>
        <v>244</v>
      </c>
      <c r="AE158" s="77" t="str">
        <f t="shared" si="55"/>
        <v>aws s3 cp s3://rtdc.mdm.uploadarchive.raw/RTDC4055/ "%USERPROFILE%\AppData\Local\Temp\OnboardLogs"\RTDC4055\2017-06-15 --exclude "*" --recursive --include "*20170615*" &amp; "%USERPROFILE%\Documents\GitHub\mrs-test-scripts\Headless Mode &amp; Sideloading\WalkAndUnGZ.bat" "%USERPROFILE%\AppData\Local\Temp\OnboardLogs"\RTDC4055\2017-06-15 &amp; aws s3 cp s3://rtdc.mdm.uploadarchive.raw/RTDC4055/ "%USERPROFILE%\AppData\Local\Temp\OnboardLogs"\RTDC4055\2017-06-16 --exclude "*" --recursive --include "*20170616*" &amp; "%USERPROFILE%\Documents\GitHub\mrs-test-scripts\Headless Mode &amp; Sideloading\WalkAndUnGZ.bat" "%USERPROFILE%\AppData\Local\Temp\OnboardLogs"\RTDC4055\2017-06-16</v>
      </c>
      <c r="AF158" s="74" t="str">
        <f t="shared" si="56"/>
        <v>"C:\Program Files (x86)\AstroGrep\AstroGrep.exe" /e /r /s /spath="%USERPROFILE%\AppData\Local\Temp\OnboardLogs" /stypes="app*4055*20170615*" /stext=" 08:.+((SYSTEM_STATE.+slice.+state.+changed )|(ment ac)|(multiple cpu faults)|(system.+state.+changed )|(\[timeout)|(PRM\|1\|D)|(kpr)|(kdp)|(train st.+moving)|(\|lc)|(penalty))"</v>
      </c>
      <c r="AG158" s="209" t="str">
        <f t="shared" si="61"/>
        <v>EC</v>
      </c>
      <c r="AH158" s="78" t="str">
        <f t="shared" si="57"/>
        <v>"%USERPROFILE%\Documents\GitHub\eaglep3\Utilities\RefineRTDCRunTimes.py" --tripid 244-14 --locoid 4055 --swversion DE.1.0.9.0 --startMP 204:233019 --initTime 2017-06-15T01:18:15 --startdatetime 2017-06-15T01:27:29 --delay 1 --endMP 204:152 --enddatetime 2017-06-15T02:06:56 --enforcementcount 2 &gt;&gt;C:\Users\stu\Documents\GitHub\eaglep3-reporting\EC\2017-06-14-refined-times.txt</v>
      </c>
      <c r="AI158" s="96" t="str">
        <f t="shared" si="58"/>
        <v>echo {"issue":{"subject":"","project_id":79,"tracker_id":40,"status_id":1,"priority_id":2,"assigned_to_id":23,"start_date":"2017-06-15","description":"","custom_fields":[{"id":1,"name":"Subdivision","value":"EC"},{"id":4,"name":"Milepost","value":"0.0152"},{"id":17,"name":"Train ID","value":"244-14"},{"id":16,"name":"Locomotive ID","value":"4055"},{"id":130,"name":"Impact","value":""},{"id":150,"name":"Time of Event (Mountain Time)","value":"02:06:56"},{"id":151,"name":"Denver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7"/>
      <c r="AL158" s="47"/>
      <c r="AM158" s="142" t="str">
        <f t="shared" si="59"/>
        <v>start /low /b %USERPROFILE%\Documents\GitHub\eaglep3\Utilities\DownloadLogsFromS3.py --loco 4055 --day 2017-06-15</v>
      </c>
      <c r="AN158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08:06:56"},{"id":29,"name":"Sharepoint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9" spans="1:91" s="20" customFormat="1" x14ac:dyDescent="0.25">
      <c r="A159" s="32" t="s">
        <v>602</v>
      </c>
      <c r="B159" s="7">
        <v>4011</v>
      </c>
      <c r="C159" s="21" t="s">
        <v>202</v>
      </c>
      <c r="D159" s="21" t="s">
        <v>589</v>
      </c>
      <c r="E159" s="13">
        <v>42900.216527777775</v>
      </c>
      <c r="F159" s="13">
        <v>42900.217962962961</v>
      </c>
      <c r="G159" s="7">
        <v>1</v>
      </c>
      <c r="H159" s="21" t="s">
        <v>922</v>
      </c>
      <c r="I159" s="13">
        <v>42900.228043981479</v>
      </c>
      <c r="J159" s="7">
        <v>2</v>
      </c>
      <c r="K159" s="89" t="str">
        <f t="shared" si="46"/>
        <v>4011/4012</v>
      </c>
      <c r="L159" s="21" t="str">
        <f>VLOOKUP(A159,'Trips&amp;Operators'!$C$1:$G$99999,5,FALSE)</f>
        <v>MACDONALD THOMAS</v>
      </c>
      <c r="M159" s="6">
        <f t="shared" si="47"/>
        <v>1.0081018517666962E-2</v>
      </c>
      <c r="N159" s="7">
        <f t="shared" si="62"/>
        <v>14.516666665440425</v>
      </c>
      <c r="O159" s="7"/>
      <c r="P159" s="7"/>
      <c r="Q159" s="22"/>
      <c r="R159" s="170"/>
      <c r="S159" s="215">
        <f t="shared" si="63"/>
        <v>1</v>
      </c>
      <c r="T159" s="195" t="str">
        <f t="shared" si="48"/>
        <v>Southbound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6" t="str">
        <f t="shared" si="49"/>
        <v>https://d0f6bd738d7f1b3e5a7ca70fe4ff75f0.us-east-1.aws.found.io/app/kibana#/discover/Steve-Slow-Train-Analysis-(2080s-and-2083s)?_g=(refreshInterval:(display:Off,pause:!f,section:0,value:0),time:(from:'2017-06-14T04:11:48-0600',mode:absolute,to:'2017-06-14T06:28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9" s="197" t="str">
        <f>IF(AA159&lt;VLOOKUP(AG159,Variables!$AC$3:$AD$8,2,FALSE),"Y","N")</f>
        <v>N</v>
      </c>
      <c r="X159" s="197">
        <f t="shared" si="50"/>
        <v>556</v>
      </c>
      <c r="Y159" s="197">
        <f t="shared" si="51"/>
        <v>5.8630000000000004</v>
      </c>
      <c r="Z159" s="197">
        <v>7.0000000000000007E-2</v>
      </c>
      <c r="AA159" s="197">
        <f t="shared" si="53"/>
        <v>5.7930000000000001</v>
      </c>
      <c r="AB159" s="54" t="e">
        <f>VLOOKUP(A159,Enforcements!$C$7:$K$13,8,0)</f>
        <v>#N/A</v>
      </c>
      <c r="AC159" s="51" t="e">
        <f>VLOOKUP(A159,Enforcements!$C$7:$E$13,3,0)</f>
        <v>#N/A</v>
      </c>
      <c r="AD159" s="206">
        <f t="shared" si="54"/>
        <v>800</v>
      </c>
      <c r="AE159" s="77" t="str">
        <f t="shared" si="55"/>
        <v>aws s3 cp s3://rtdc.mdm.uploadarchive.raw/RTDC4011/ "%USERPROFILE%\AppData\Local\Temp\OnboardLogs"\RTDC4011\2017-06-14 --exclude "*" --recursive --include "*20170614*" &amp; "%USERPROFILE%\Documents\GitHub\mrs-test-scripts\Headless Mode &amp; Sideloading\WalkAndUnGZ.bat" "%USERPROFILE%\AppData\Local\Temp\OnboardLogs"\RTDC4011\2017-06-14 &amp; aws s3 cp s3://rtdc.mdm.uploadarchive.raw/RTDC4011/ "%USERPROFILE%\AppData\Local\Temp\OnboardLogs"\RTDC4011\2017-06-15 --exclude "*" --recursive --include "*20170615*" &amp; "%USERPROFILE%\Documents\GitHub\mrs-test-scripts\Headless Mode &amp; Sideloading\WalkAndUnGZ.bat" "%USERPROFILE%\AppData\Local\Temp\OnboardLogs"\RTDC4011\2017-06-15</v>
      </c>
      <c r="AF159" s="74" t="str">
        <f t="shared" si="56"/>
        <v>"C:\Program Files (x86)\AstroGrep\AstroGrep.exe" /e /r /s /spath="%USERPROFILE%\AppData\Local\Temp\OnboardLogs" /stypes="app*4011*20170614*" /stext=" 11:.+((SYSTEM_STATE.+slice.+state.+changed )|(ment ac)|(multiple cpu faults)|(system.+state.+changed )|(\[timeout)|(PRM\|1\|D)|(kpr)|(kdp)|(train st.+moving)|(\|lc)|(penalty))"</v>
      </c>
      <c r="AG159" s="209" t="str">
        <f t="shared" si="61"/>
        <v>NW</v>
      </c>
      <c r="AH159" s="78" t="str">
        <f t="shared" si="57"/>
        <v>"%USERPROFILE%\Documents\GitHub\eaglep3\Utilities\RefineRTDCRunTimes.py" --tripid 800-14 --locoid 4011 --swversion DE.1.0.9.0 --startMP 300:58630 --initTime 2017-06-14T05:11:48 --startdatetime 2017-06-14T05:13:52 --delay 1 --endMP 300:56642 --enddatetime 2017-06-14T05:28:23 --enforcementcount 2 &gt;&gt;C:\Users\stu\Documents\GitHub\eaglep3-reporting\EC\2017-06-14-refined-times.txt</v>
      </c>
      <c r="AI159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{"issue":{"subject":"","project_id":79,"tracker_id":40,"status_id":1,"priority_id":2,"assigned_to_id":23,"start_date":"2017-06-14","description":"","custom_fields":[{"id":1,"name":"Subdivision","value":"NW"},{"id":4,"name":"Milepost","value":"0.07"},{"id":17,"name":"Train ID","value":"800-14"},{"id":16,"name":"Locomotive ID","value":"4011"},{"id":130,"name":"Impact","value":""},{"id":150,"name":"Time of Event (Mountain Time)","value":"05:28:23"},{"id":151,"name":"Denver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59"/>
        <v>start /low /b %USERPROFILE%\Documents\GitHub\eaglep3\Utilities\DownloadLogsFromS3.py --loco 4011 --day 2017-06-14</v>
      </c>
      <c r="AN159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11:28:23"},{"id":29,"name":"Sharepoint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72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x14ac:dyDescent="0.25">
      <c r="A160" s="32" t="s">
        <v>674</v>
      </c>
      <c r="B160" s="7">
        <v>4012</v>
      </c>
      <c r="C160" s="21" t="s">
        <v>202</v>
      </c>
      <c r="D160" s="21" t="s">
        <v>587</v>
      </c>
      <c r="E160" s="13">
        <v>42900.229108796295</v>
      </c>
      <c r="F160" s="13">
        <v>42900.244039351855</v>
      </c>
      <c r="G160" s="7">
        <v>1</v>
      </c>
      <c r="H160" s="21" t="s">
        <v>923</v>
      </c>
      <c r="I160" s="13">
        <v>42900.253379629627</v>
      </c>
      <c r="J160" s="7">
        <v>2</v>
      </c>
      <c r="K160" s="89" t="str">
        <f t="shared" si="46"/>
        <v>4011/4012</v>
      </c>
      <c r="L160" s="21" t="str">
        <f>VLOOKUP(A160,'Trips&amp;Operators'!$C$1:$G$99999,5,FALSE)</f>
        <v>MACDONALD THOMAS</v>
      </c>
      <c r="M160" s="6">
        <f t="shared" si="47"/>
        <v>9.3402777711162344E-3</v>
      </c>
      <c r="N160" s="7">
        <f t="shared" si="62"/>
        <v>13.449999990407377</v>
      </c>
      <c r="O160" s="7"/>
      <c r="P160" s="7"/>
      <c r="Q160" s="22"/>
      <c r="R160" s="170"/>
      <c r="S160" s="215">
        <f t="shared" si="63"/>
        <v>1</v>
      </c>
      <c r="T160" s="195" t="str">
        <f t="shared" si="48"/>
        <v>NorthBound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6" t="str">
        <f t="shared" si="49"/>
        <v>https://d0f6bd738d7f1b3e5a7ca70fe4ff75f0.us-east-1.aws.found.io/app/kibana#/discover/Steve-Slow-Train-Analysis-(2080s-and-2083s)?_g=(refreshInterval:(display:Off,pause:!f,section:0,value:0),time:(from:'2017-06-14T04:29:55-0600',mode:absolute,to:'2017-06-14T07:04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0" s="197" t="str">
        <f>IF(AA160&lt;VLOOKUP(AG160,Variables!$AC$3:$AD$8,2,FALSE),"Y","N")</f>
        <v>N</v>
      </c>
      <c r="X160" s="197">
        <f t="shared" si="50"/>
        <v>1</v>
      </c>
      <c r="Y160" s="197">
        <f t="shared" si="51"/>
        <v>0.1028</v>
      </c>
      <c r="Z160" s="197">
        <f t="shared" ref="Z160:Z182" si="64">RIGHT(H160,LEN(H160)-4)/10000</f>
        <v>5.8068</v>
      </c>
      <c r="AA160" s="197">
        <f t="shared" si="53"/>
        <v>5.7039999999999997</v>
      </c>
      <c r="AB160" s="54" t="e">
        <f>VLOOKUP(A160,Enforcements!$C$7:$K$13,8,0)</f>
        <v>#N/A</v>
      </c>
      <c r="AC160" s="51" t="e">
        <f>VLOOKUP(A160,Enforcements!$C$7:$E$13,3,0)</f>
        <v>#N/A</v>
      </c>
      <c r="AD160" s="206">
        <f t="shared" si="54"/>
        <v>801</v>
      </c>
      <c r="AE160" s="77" t="str">
        <f t="shared" si="55"/>
        <v>aws s3 cp s3://rtdc.mdm.uploadarchive.raw/RTDC4012/ "%USERPROFILE%\AppData\Local\Temp\OnboardLogs"\RTDC4012\2017-06-14 --exclude "*" --recursive --include "*20170614*" &amp; "%USERPROFILE%\Documents\GitHub\mrs-test-scripts\Headless Mode &amp; Sideloading\WalkAndUnGZ.bat" "%USERPROFILE%\AppData\Local\Temp\OnboardLogs"\RTDC4012\2017-06-14 &amp; aws s3 cp s3://rtdc.mdm.uploadarchive.raw/RTDC4012/ "%USERPROFILE%\AppData\Local\Temp\OnboardLogs"\RTDC4012\2017-06-15 --exclude "*" --recursive --include "*20170615*" &amp; "%USERPROFILE%\Documents\GitHub\mrs-test-scripts\Headless Mode &amp; Sideloading\WalkAndUnGZ.bat" "%USERPROFILE%\AppData\Local\Temp\OnboardLogs"\RTDC4012\2017-06-15</v>
      </c>
      <c r="AF160" s="74" t="str">
        <f t="shared" si="56"/>
        <v>"C:\Program Files (x86)\AstroGrep\AstroGrep.exe" /e /r /s /spath="%USERPROFILE%\AppData\Local\Temp\OnboardLogs" /stypes="app*4012*20170614*" /stext=" 12:.+((SYSTEM_STATE.+slice.+state.+changed )|(ment ac)|(multiple cpu faults)|(system.+state.+changed )|(\[timeout)|(PRM\|1\|D)|(kpr)|(kdp)|(train st.+moving)|(\|lc)|(penalty))"</v>
      </c>
      <c r="AG160" s="209" t="str">
        <f t="shared" si="61"/>
        <v>NW</v>
      </c>
      <c r="AH160" s="78" t="str">
        <f t="shared" si="57"/>
        <v>"%USERPROFILE%\Documents\GitHub\eaglep3\Utilities\RefineRTDCRunTimes.py" --tripid 801-14 --locoid 4012 --swversion DE.1.0.9.0 --startMP 204:1028 --initTime 2017-06-14T05:29:55 --startdatetime 2017-06-14T05:51:25 --delay 1 --endMP 300:58068 --enddatetime 2017-06-14T06:04:52 --enforcementcount 2 &gt;&gt;C:\Users\stu\Documents\GitHub\eaglep3-reporting\EC\2017-06-14-refined-times.txt</v>
      </c>
      <c r="AI160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{"issue":{"subject":"","project_id":79,"tracker_id":40,"status_id":1,"priority_id":2,"assigned_to_id":23,"start_date":"2017-06-14","description":"","custom_fields":[{"id":1,"name":"Subdivision","value":"NW"},{"id":4,"name":"Milepost","value":"5.8068"},{"id":17,"name":"Train ID","value":"801-14"},{"id":16,"name":"Locomotive ID","value":"4012"},{"id":130,"name":"Impact","value":""},{"id":150,"name":"Time of Event (Mountain Time)","value":"06:04:52"},{"id":151,"name":"Denver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7"/>
      <c r="AL160" s="47"/>
      <c r="AM160" s="142" t="str">
        <f t="shared" si="59"/>
        <v>start /low /b %USERPROFILE%\Documents\GitHub\eaglep3\Utilities\DownloadLogsFromS3.py --loco 4012 --day 2017-06-14</v>
      </c>
      <c r="AN160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12:04:52"},{"id":29,"name":"Sharepoint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1" spans="1:91" s="20" customFormat="1" x14ac:dyDescent="0.25">
      <c r="A161" s="32" t="s">
        <v>681</v>
      </c>
      <c r="B161" s="7">
        <v>4011</v>
      </c>
      <c r="C161" s="21" t="s">
        <v>202</v>
      </c>
      <c r="D161" s="21" t="s">
        <v>526</v>
      </c>
      <c r="E161" s="13">
        <v>42900.254351851851</v>
      </c>
      <c r="F161" s="13">
        <v>42900.255532407406</v>
      </c>
      <c r="G161" s="7">
        <v>1</v>
      </c>
      <c r="H161" s="21" t="s">
        <v>590</v>
      </c>
      <c r="I161" s="13">
        <v>42900.267708333333</v>
      </c>
      <c r="J161" s="7">
        <v>2</v>
      </c>
      <c r="K161" s="89" t="str">
        <f t="shared" si="46"/>
        <v>4011/4012</v>
      </c>
      <c r="L161" s="21" t="str">
        <f>VLOOKUP(A161,'Trips&amp;Operators'!$C$1:$G$99999,5,FALSE)</f>
        <v>MACDONALD THOMAS</v>
      </c>
      <c r="M161" s="6">
        <f t="shared" si="47"/>
        <v>1.2175925927294884E-2</v>
      </c>
      <c r="N161" s="7">
        <f t="shared" si="62"/>
        <v>17.533333335304633</v>
      </c>
      <c r="O161" s="7"/>
      <c r="P161" s="7"/>
      <c r="Q161" s="22"/>
      <c r="R161" s="170"/>
      <c r="S161" s="215">
        <f t="shared" si="63"/>
        <v>1</v>
      </c>
      <c r="T161" s="195" t="str">
        <f t="shared" si="48"/>
        <v>Southbound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6" t="str">
        <f t="shared" si="49"/>
        <v>https://d0f6bd738d7f1b3e5a7ca70fe4ff75f0.us-east-1.aws.found.io/app/kibana#/discover/Steve-Slow-Train-Analysis-(2080s-and-2083s)?_g=(refreshInterval:(display:Off,pause:!f,section:0,value:0),time:(from:'2017-06-14T05:06:16-0600',mode:absolute,to:'2017-06-14T07:25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1" s="197" t="str">
        <f>IF(AA161&lt;VLOOKUP(AG161,Variables!$AC$3:$AD$8,2,FALSE),"Y","N")</f>
        <v>N</v>
      </c>
      <c r="X161" s="197">
        <f t="shared" si="50"/>
        <v>1</v>
      </c>
      <c r="Y161" s="197">
        <f t="shared" si="51"/>
        <v>5.86</v>
      </c>
      <c r="Z161" s="197">
        <f t="shared" si="64"/>
        <v>7.2400000000000006E-2</v>
      </c>
      <c r="AA161" s="197">
        <f t="shared" si="53"/>
        <v>5.7876000000000003</v>
      </c>
      <c r="AB161" s="54" t="e">
        <f>VLOOKUP(A161,Enforcements!$C$7:$K$13,8,0)</f>
        <v>#N/A</v>
      </c>
      <c r="AC161" s="51" t="e">
        <f>VLOOKUP(A161,Enforcements!$C$7:$E$13,3,0)</f>
        <v>#N/A</v>
      </c>
      <c r="AD161" s="206">
        <f t="shared" si="54"/>
        <v>802</v>
      </c>
      <c r="AE161" s="77" t="str">
        <f t="shared" si="55"/>
        <v>aws s3 cp s3://rtdc.mdm.uploadarchive.raw/RTDC4011/ "%USERPROFILE%\AppData\Local\Temp\OnboardLogs"\RTDC4011\2017-06-14 --exclude "*" --recursive --include "*20170614*" &amp; "%USERPROFILE%\Documents\GitHub\mrs-test-scripts\Headless Mode &amp; Sideloading\WalkAndUnGZ.bat" "%USERPROFILE%\AppData\Local\Temp\OnboardLogs"\RTDC4011\2017-06-14 &amp; aws s3 cp s3://rtdc.mdm.uploadarchive.raw/RTDC4011/ "%USERPROFILE%\AppData\Local\Temp\OnboardLogs"\RTDC4011\2017-06-15 --exclude "*" --recursive --include "*20170615*" &amp; "%USERPROFILE%\Documents\GitHub\mrs-test-scripts\Headless Mode &amp; Sideloading\WalkAndUnGZ.bat" "%USERPROFILE%\AppData\Local\Temp\OnboardLogs"\RTDC4011\2017-06-15</v>
      </c>
      <c r="AF161" s="74" t="str">
        <f t="shared" si="56"/>
        <v>"C:\Program Files (x86)\AstroGrep\AstroGrep.exe" /e /r /s /spath="%USERPROFILE%\AppData\Local\Temp\OnboardLogs" /stypes="app*4011*20170614*" /stext=" 12:.+((SYSTEM_STATE.+slice.+state.+changed )|(ment ac)|(multiple cpu faults)|(system.+state.+changed )|(\[timeout)|(PRM\|1\|D)|(kpr)|(kdp)|(train st.+moving)|(\|lc)|(penalty))"</v>
      </c>
      <c r="AG161" s="209" t="str">
        <f t="shared" si="61"/>
        <v>NW</v>
      </c>
      <c r="AH161" s="78" t="str">
        <f t="shared" si="57"/>
        <v>"%USERPROFILE%\Documents\GitHub\eaglep3\Utilities\RefineRTDCRunTimes.py" --tripid 802-14 --locoid 4011 --swversion DE.1.0.9.0 --startMP 300:58600 --initTime 2017-06-14T06:06:16 --startdatetime 2017-06-14T06:07:58 --delay 1 --endMP 204:724 --enddatetime 2017-06-14T06:25:30 --enforcementcount 2 &gt;&gt;C:\Users\stu\Documents\GitHub\eaglep3-reporting\EC\2017-06-14-refined-times.txt</v>
      </c>
      <c r="AI161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{"issue":{"subject":"","project_id":79,"tracker_id":40,"status_id":1,"priority_id":2,"assigned_to_id":23,"start_date":"2017-06-14","description":"","custom_fields":[{"id":1,"name":"Subdivision","value":"NW"},{"id":4,"name":"Milepost","value":"0.0724"},{"id":17,"name":"Train ID","value":"802-14"},{"id":16,"name":"Locomotive ID","value":"4011"},{"id":130,"name":"Impact","value":""},{"id":150,"name":"Time of Event (Mountain Time)","value":"06:25:30"},{"id":151,"name":"Denver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59"/>
        <v>start /low /b %USERPROFILE%\Documents\GitHub\eaglep3\Utilities\DownloadLogsFromS3.py --loco 4011 --day 2017-06-14</v>
      </c>
      <c r="AN161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12:25:30"},{"id":29,"name":"Sharepoint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72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2" t="s">
        <v>606</v>
      </c>
      <c r="B162" s="7">
        <v>4020</v>
      </c>
      <c r="C162" s="21" t="s">
        <v>202</v>
      </c>
      <c r="D162" s="21" t="s">
        <v>588</v>
      </c>
      <c r="E162" s="13">
        <v>42900.255173611113</v>
      </c>
      <c r="F162" s="13">
        <v>42900.264768518522</v>
      </c>
      <c r="G162" s="7">
        <v>1</v>
      </c>
      <c r="H162" s="21" t="s">
        <v>924</v>
      </c>
      <c r="I162" s="13">
        <v>42900.273518518516</v>
      </c>
      <c r="J162" s="7">
        <v>2</v>
      </c>
      <c r="K162" s="89" t="str">
        <f t="shared" si="46"/>
        <v>4019/4020</v>
      </c>
      <c r="L162" s="21" t="str">
        <f>VLOOKUP(A162,'Trips&amp;Operators'!$C$1:$G$99999,5,FALSE)</f>
        <v>GEBRETEKLE DAGNEW</v>
      </c>
      <c r="M162" s="6">
        <f t="shared" si="47"/>
        <v>8.7499999935971573E-3</v>
      </c>
      <c r="N162" s="7">
        <f t="shared" si="62"/>
        <v>12.599999990779907</v>
      </c>
      <c r="O162" s="7"/>
      <c r="P162" s="7"/>
      <c r="Q162" s="22"/>
      <c r="R162" s="170"/>
      <c r="S162" s="215">
        <f t="shared" si="63"/>
        <v>1</v>
      </c>
      <c r="T162" s="195" t="str">
        <f t="shared" si="48"/>
        <v>NorthBound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6" t="str">
        <f t="shared" si="49"/>
        <v>https://d0f6bd738d7f1b3e5a7ca70fe4ff75f0.us-east-1.aws.found.io/app/kibana#/discover/Steve-Slow-Train-Analysis-(2080s-and-2083s)?_g=(refreshInterval:(display:Off,pause:!f,section:0,value:0),time:(from:'2017-06-14T05:07:27-0600',mode:absolute,to:'2017-06-14T07:33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2" s="197" t="str">
        <f>IF(AA162&lt;VLOOKUP(AG162,Variables!$AC$3:$AD$8,2,FALSE),"Y","N")</f>
        <v>N</v>
      </c>
      <c r="X162" s="197">
        <f t="shared" si="50"/>
        <v>1</v>
      </c>
      <c r="Y162" s="197">
        <f t="shared" si="51"/>
        <v>0.1009</v>
      </c>
      <c r="Z162" s="197">
        <f t="shared" si="64"/>
        <v>5.8983999999999996</v>
      </c>
      <c r="AA162" s="197">
        <f t="shared" si="53"/>
        <v>5.7974999999999994</v>
      </c>
      <c r="AB162" s="54" t="e">
        <f>VLOOKUP(A162,Enforcements!$C$7:$K$13,8,0)</f>
        <v>#N/A</v>
      </c>
      <c r="AC162" s="51" t="e">
        <f>VLOOKUP(A162,Enforcements!$C$7:$E$13,3,0)</f>
        <v>#N/A</v>
      </c>
      <c r="AD162" s="206">
        <f t="shared" si="54"/>
        <v>803</v>
      </c>
      <c r="AE162" s="77" t="str">
        <f t="shared" si="55"/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AF162" s="74" t="str">
        <f t="shared" si="56"/>
        <v>"C:\Program Files (x86)\AstroGrep\AstroGrep.exe" /e /r /s /spath="%USERPROFILE%\AppData\Local\Temp\OnboardLogs" /stypes="app*4020*20170614*" /stext=" 12:.+((SYSTEM_STATE.+slice.+state.+changed )|(ment ac)|(multiple cpu faults)|(system.+state.+changed )|(\[timeout)|(PRM\|1\|D)|(kpr)|(kdp)|(train st.+moving)|(\|lc)|(penalty))"</v>
      </c>
      <c r="AG162" s="209" t="str">
        <f t="shared" si="61"/>
        <v>NW</v>
      </c>
      <c r="AH162" s="78" t="str">
        <f t="shared" si="57"/>
        <v>"%USERPROFILE%\Documents\GitHub\eaglep3\Utilities\RefineRTDCRunTimes.py" --tripid 803-14 --locoid 4020 --swversion DE.1.0.9.0 --startMP 204:1009 --initTime 2017-06-14T06:07:27 --startdatetime 2017-06-14T06:21:16 --delay 1 --endMP 300:58984 --enddatetime 2017-06-14T06:33:52 --enforcementcount 2 &gt;&gt;C:\Users\stu\Documents\GitHub\eaglep3-reporting\EC\2017-06-14-refined-times.txt</v>
      </c>
      <c r="AI162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{"issue":{"subject":"","project_id":79,"tracker_id":40,"status_id":1,"priority_id":2,"assigned_to_id":23,"start_date":"2017-06-14","description":"","custom_fields":[{"id":1,"name":"Subdivision","value":"NW"},{"id":4,"name":"Milepost","value":"5.8984"},{"id":17,"name":"Train ID","value":"803-14"},{"id":16,"name":"Locomotive ID","value":"4020"},{"id":130,"name":"Impact","value":""},{"id":150,"name":"Time of Event (Mountain Time)","value":"06:33:52"},{"id":151,"name":"Denver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7"/>
      <c r="AL162" s="47"/>
      <c r="AM162" s="142" t="str">
        <f t="shared" si="59"/>
        <v>start /low /b %USERPROFILE%\Documents\GitHub\eaglep3\Utilities\DownloadLogsFromS3.py --loco 4020 --day 2017-06-14</v>
      </c>
      <c r="AN162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12:33:52"},{"id":29,"name":"Sharepoint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3" spans="1:91" s="20" customFormat="1" x14ac:dyDescent="0.25">
      <c r="A163" s="32" t="s">
        <v>686</v>
      </c>
      <c r="B163" s="7">
        <v>4019</v>
      </c>
      <c r="C163" s="21" t="s">
        <v>202</v>
      </c>
      <c r="D163" s="21" t="s">
        <v>925</v>
      </c>
      <c r="E163" s="13">
        <v>42900.275057870371</v>
      </c>
      <c r="F163" s="13">
        <v>42900.277175925927</v>
      </c>
      <c r="G163" s="7">
        <v>1</v>
      </c>
      <c r="H163" s="21" t="s">
        <v>926</v>
      </c>
      <c r="I163" s="13">
        <v>42900.288402777776</v>
      </c>
      <c r="J163" s="7">
        <v>2</v>
      </c>
      <c r="K163" s="89" t="str">
        <f t="shared" si="46"/>
        <v>4019/4020</v>
      </c>
      <c r="L163" s="21" t="str">
        <f>VLOOKUP(A163,'Trips&amp;Operators'!$C$1:$G$99999,5,FALSE)</f>
        <v>GEBRETEKLE DAGNEW</v>
      </c>
      <c r="M163" s="6">
        <f t="shared" si="47"/>
        <v>1.1226851849642117E-2</v>
      </c>
      <c r="N163" s="7">
        <f t="shared" si="62"/>
        <v>16.166666663484648</v>
      </c>
      <c r="O163" s="7"/>
      <c r="P163" s="7"/>
      <c r="Q163" s="22"/>
      <c r="R163" s="170"/>
      <c r="S163" s="215">
        <f t="shared" si="63"/>
        <v>1</v>
      </c>
      <c r="T163" s="195" t="str">
        <f t="shared" si="48"/>
        <v>Southbound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 t="shared" si="49"/>
        <v>https://d0f6bd738d7f1b3e5a7ca70fe4ff75f0.us-east-1.aws.found.io/app/kibana#/discover/Steve-Slow-Train-Analysis-(2080s-and-2083s)?_g=(refreshInterval:(display:Off,pause:!f,section:0,value:0),time:(from:'2017-06-14T05:36:05-0600',mode:absolute,to:'2017-06-14T07:55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3" s="197" t="str">
        <f>IF(AA163&lt;VLOOKUP(AG163,Variables!$AC$3:$AD$8,2,FALSE),"Y","N")</f>
        <v>N</v>
      </c>
      <c r="X163" s="197">
        <f t="shared" si="50"/>
        <v>1</v>
      </c>
      <c r="Y163" s="197">
        <f t="shared" si="51"/>
        <v>5.8672000000000004</v>
      </c>
      <c r="Z163" s="197">
        <f t="shared" si="64"/>
        <v>7.1199999999999999E-2</v>
      </c>
      <c r="AA163" s="197">
        <f t="shared" si="53"/>
        <v>5.7960000000000003</v>
      </c>
      <c r="AB163" s="54" t="e">
        <f>VLOOKUP(A163,Enforcements!$C$7:$K$13,8,0)</f>
        <v>#N/A</v>
      </c>
      <c r="AC163" s="51" t="e">
        <f>VLOOKUP(A163,Enforcements!$C$7:$E$13,3,0)</f>
        <v>#N/A</v>
      </c>
      <c r="AD163" s="206">
        <f t="shared" si="54"/>
        <v>804</v>
      </c>
      <c r="AE163" s="77" t="str">
        <f t="shared" si="55"/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AF163" s="74" t="str">
        <f t="shared" si="56"/>
        <v>"C:\Program Files (x86)\AstroGrep\AstroGrep.exe" /e /r /s /spath="%USERPROFILE%\AppData\Local\Temp\OnboardLogs" /stypes="app*4019*20170614*" /stext=" 12:.+((SYSTEM_STATE.+slice.+state.+changed )|(ment ac)|(multiple cpu faults)|(system.+state.+changed )|(\[timeout)|(PRM\|1\|D)|(kpr)|(kdp)|(train st.+moving)|(\|lc)|(penalty))"</v>
      </c>
      <c r="AG163" s="209" t="str">
        <f t="shared" si="61"/>
        <v>NW</v>
      </c>
      <c r="AH163" s="78" t="str">
        <f t="shared" si="57"/>
        <v>"%USERPROFILE%\Documents\GitHub\eaglep3\Utilities\RefineRTDCRunTimes.py" --tripid 804-14 --locoid 4019 --swversion DE.1.0.9.0 --startMP 300:58672 --initTime 2017-06-14T06:36:05 --startdatetime 2017-06-14T06:39:08 --delay 1 --endMP 204:712 --enddatetime 2017-06-14T06:55:18 --enforcementcount 2 &gt;&gt;C:\Users\stu\Documents\GitHub\eaglep3-reporting\EC\2017-06-14-refined-times.txt</v>
      </c>
      <c r="AI163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{"issue":{"subject":"","project_id":79,"tracker_id":40,"status_id":1,"priority_id":2,"assigned_to_id":23,"start_date":"2017-06-14","description":"","custom_fields":[{"id":1,"name":"Subdivision","value":"NW"},{"id":4,"name":"Milepost","value":"0.0712"},{"id":17,"name":"Train ID","value":"804-14"},{"id":16,"name":"Locomotive ID","value":"4019"},{"id":130,"name":"Impact","value":""},{"id":150,"name":"Time of Event (Mountain Time)","value":"06:55:18"},{"id":151,"name":"Denver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59"/>
        <v>start /low /b %USERPROFILE%\Documents\GitHub\eaglep3\Utilities\DownloadLogsFromS3.py --loco 4019 --day 2017-06-14</v>
      </c>
      <c r="AN163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12:55:18"},{"id":29,"name":"Sharepoint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72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685</v>
      </c>
      <c r="B164" s="7">
        <v>4012</v>
      </c>
      <c r="C164" s="21" t="s">
        <v>202</v>
      </c>
      <c r="D164" s="21" t="s">
        <v>588</v>
      </c>
      <c r="E164" s="13">
        <v>42900.268831018519</v>
      </c>
      <c r="F164" s="13">
        <v>42900.285949074074</v>
      </c>
      <c r="G164" s="7">
        <v>1</v>
      </c>
      <c r="H164" s="21" t="s">
        <v>584</v>
      </c>
      <c r="I164" s="13">
        <v>42900.294861111113</v>
      </c>
      <c r="J164" s="7">
        <v>2</v>
      </c>
      <c r="K164" s="89" t="str">
        <f t="shared" si="46"/>
        <v>4011/4012</v>
      </c>
      <c r="L164" s="21" t="str">
        <f>VLOOKUP(A164,'Trips&amp;Operators'!$C$1:$G$99999,5,FALSE)</f>
        <v>MACDONALD THOMAS</v>
      </c>
      <c r="M164" s="6">
        <f t="shared" si="47"/>
        <v>8.9120370394084603E-3</v>
      </c>
      <c r="N164" s="7">
        <f t="shared" si="62"/>
        <v>12.833333336748183</v>
      </c>
      <c r="O164" s="7"/>
      <c r="P164" s="7"/>
      <c r="Q164" s="22"/>
      <c r="R164" s="170"/>
      <c r="S164" s="215">
        <f t="shared" si="63"/>
        <v>1</v>
      </c>
      <c r="T164" s="195" t="str">
        <f t="shared" si="48"/>
        <v>NorthBound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 t="shared" si="49"/>
        <v>https://d0f6bd738d7f1b3e5a7ca70fe4ff75f0.us-east-1.aws.found.io/app/kibana#/discover/Steve-Slow-Train-Analysis-(2080s-and-2083s)?_g=(refreshInterval:(display:Off,pause:!f,section:0,value:0),time:(from:'2017-06-14T05:27:07-0600',mode:absolute,to:'2017-06-14T08:04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4" s="197" t="str">
        <f>IF(AA164&lt;VLOOKUP(AG164,Variables!$AC$3:$AD$8,2,FALSE),"Y","N")</f>
        <v>N</v>
      </c>
      <c r="X164" s="197">
        <f t="shared" si="50"/>
        <v>1</v>
      </c>
      <c r="Y164" s="197">
        <f t="shared" si="51"/>
        <v>0.1009</v>
      </c>
      <c r="Z164" s="197">
        <f t="shared" si="64"/>
        <v>5.8939000000000004</v>
      </c>
      <c r="AA164" s="197">
        <f t="shared" si="53"/>
        <v>5.7930000000000001</v>
      </c>
      <c r="AB164" s="54" t="e">
        <f>VLOOKUP(A164,Enforcements!$C$7:$K$13,8,0)</f>
        <v>#N/A</v>
      </c>
      <c r="AC164" s="51" t="e">
        <f>VLOOKUP(A164,Enforcements!$C$7:$E$13,3,0)</f>
        <v>#N/A</v>
      </c>
      <c r="AD164" s="206">
        <f t="shared" si="54"/>
        <v>805</v>
      </c>
      <c r="AE164" s="77" t="str">
        <f t="shared" si="55"/>
        <v>aws s3 cp s3://rtdc.mdm.uploadarchive.raw/RTDC4012/ "%USERPROFILE%\AppData\Local\Temp\OnboardLogs"\RTDC4012\2017-06-14 --exclude "*" --recursive --include "*20170614*" &amp; "%USERPROFILE%\Documents\GitHub\mrs-test-scripts\Headless Mode &amp; Sideloading\WalkAndUnGZ.bat" "%USERPROFILE%\AppData\Local\Temp\OnboardLogs"\RTDC4012\2017-06-14 &amp; aws s3 cp s3://rtdc.mdm.uploadarchive.raw/RTDC4012/ "%USERPROFILE%\AppData\Local\Temp\OnboardLogs"\RTDC4012\2017-06-15 --exclude "*" --recursive --include "*20170615*" &amp; "%USERPROFILE%\Documents\GitHub\mrs-test-scripts\Headless Mode &amp; Sideloading\WalkAndUnGZ.bat" "%USERPROFILE%\AppData\Local\Temp\OnboardLogs"\RTDC4012\2017-06-15</v>
      </c>
      <c r="AF164" s="74" t="str">
        <f t="shared" si="56"/>
        <v>"C:\Program Files (x86)\AstroGrep\AstroGrep.exe" /e /r /s /spath="%USERPROFILE%\AppData\Local\Temp\OnboardLogs" /stypes="app*4012*20170614*" /stext=" 13:.+((SYSTEM_STATE.+slice.+state.+changed )|(ment ac)|(multiple cpu faults)|(system.+state.+changed )|(\[timeout)|(PRM\|1\|D)|(kpr)|(kdp)|(train st.+moving)|(\|lc)|(penalty))"</v>
      </c>
      <c r="AG164" s="209" t="str">
        <f t="shared" si="61"/>
        <v>NW</v>
      </c>
      <c r="AH164" s="78" t="str">
        <f t="shared" si="57"/>
        <v>"%USERPROFILE%\Documents\GitHub\eaglep3\Utilities\RefineRTDCRunTimes.py" --tripid 805-14 --locoid 4012 --swversion DE.1.0.9.0 --startMP 204:1009 --initTime 2017-06-14T06:27:07 --startdatetime 2017-06-14T06:51:46 --delay 1 --endMP 300:58939 --enddatetime 2017-06-14T07:04:36 --enforcementcount 2 &gt;&gt;C:\Users\stu\Documents\GitHub\eaglep3-reporting\EC\2017-06-14-refined-times.txt</v>
      </c>
      <c r="AI164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{"issue":{"subject":"","project_id":79,"tracker_id":40,"status_id":1,"priority_id":2,"assigned_to_id":23,"start_date":"2017-06-14","description":"","custom_fields":[{"id":1,"name":"Subdivision","value":"NW"},{"id":4,"name":"Milepost","value":"5.8939"},{"id":17,"name":"Train ID","value":"805-14"},{"id":16,"name":"Locomotive ID","value":"4012"},{"id":130,"name":"Impact","value":""},{"id":150,"name":"Time of Event (Mountain Time)","value":"07:04:36"},{"id":151,"name":"Denver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59"/>
        <v>start /low /b %USERPROFILE%\Documents\GitHub\eaglep3\Utilities\DownloadLogsFromS3.py --loco 4012 --day 2017-06-14</v>
      </c>
      <c r="AN164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13:04:36"},{"id":29,"name":"Sharepoint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72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610</v>
      </c>
      <c r="B165" s="7">
        <v>4011</v>
      </c>
      <c r="C165" s="21" t="s">
        <v>202</v>
      </c>
      <c r="D165" s="21" t="s">
        <v>927</v>
      </c>
      <c r="E165" s="13">
        <v>42900.295636574076</v>
      </c>
      <c r="F165" s="13">
        <v>42900.296712962961</v>
      </c>
      <c r="G165" s="7">
        <v>1</v>
      </c>
      <c r="H165" s="21" t="s">
        <v>928</v>
      </c>
      <c r="I165" s="13">
        <v>42900.309803240743</v>
      </c>
      <c r="J165" s="7">
        <v>2</v>
      </c>
      <c r="K165" s="89" t="str">
        <f t="shared" si="46"/>
        <v>4011/4012</v>
      </c>
      <c r="L165" s="21" t="str">
        <f>VLOOKUP(A165,'Trips&amp;Operators'!$C$1:$G$99999,5,FALSE)</f>
        <v>MACDONALD THOMAS</v>
      </c>
      <c r="M165" s="6">
        <f t="shared" si="47"/>
        <v>1.3090277781884652E-2</v>
      </c>
      <c r="N165" s="7">
        <f t="shared" si="62"/>
        <v>18.850000005913898</v>
      </c>
      <c r="O165" s="7"/>
      <c r="P165" s="7"/>
      <c r="Q165" s="22"/>
      <c r="R165" s="170"/>
      <c r="S165" s="215">
        <f t="shared" si="63"/>
        <v>1</v>
      </c>
      <c r="T165" s="195" t="str">
        <f t="shared" si="48"/>
        <v>Southbound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 t="shared" si="49"/>
        <v>https://d0f6bd738d7f1b3e5a7ca70fe4ff75f0.us-east-1.aws.found.io/app/kibana#/discover/Steve-Slow-Train-Analysis-(2080s-and-2083s)?_g=(refreshInterval:(display:Off,pause:!f,section:0,value:0),time:(from:'2017-06-14T06:05:43-0600',mode:absolute,to:'2017-06-14T08:26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5" s="197" t="str">
        <f>IF(AA165&lt;VLOOKUP(AG165,Variables!$AC$3:$AD$8,2,FALSE),"Y","N")</f>
        <v>N</v>
      </c>
      <c r="X165" s="197">
        <f t="shared" si="50"/>
        <v>1</v>
      </c>
      <c r="Y165" s="197">
        <f t="shared" si="51"/>
        <v>5.8615000000000004</v>
      </c>
      <c r="Z165" s="197">
        <f t="shared" si="64"/>
        <v>7.5700000000000003E-2</v>
      </c>
      <c r="AA165" s="197">
        <f t="shared" si="53"/>
        <v>5.7858000000000001</v>
      </c>
      <c r="AB165" s="54" t="e">
        <f>VLOOKUP(A165,Enforcements!$C$7:$K$13,8,0)</f>
        <v>#N/A</v>
      </c>
      <c r="AC165" s="51" t="e">
        <f>VLOOKUP(A165,Enforcements!$C$7:$E$13,3,0)</f>
        <v>#N/A</v>
      </c>
      <c r="AD165" s="206">
        <f t="shared" si="54"/>
        <v>806</v>
      </c>
      <c r="AE165" s="77" t="str">
        <f t="shared" si="55"/>
        <v>aws s3 cp s3://rtdc.mdm.uploadarchive.raw/RTDC4011/ "%USERPROFILE%\AppData\Local\Temp\OnboardLogs"\RTDC4011\2017-06-14 --exclude "*" --recursive --include "*20170614*" &amp; "%USERPROFILE%\Documents\GitHub\mrs-test-scripts\Headless Mode &amp; Sideloading\WalkAndUnGZ.bat" "%USERPROFILE%\AppData\Local\Temp\OnboardLogs"\RTDC4011\2017-06-14 &amp; aws s3 cp s3://rtdc.mdm.uploadarchive.raw/RTDC4011/ "%USERPROFILE%\AppData\Local\Temp\OnboardLogs"\RTDC4011\2017-06-15 --exclude "*" --recursive --include "*20170615*" &amp; "%USERPROFILE%\Documents\GitHub\mrs-test-scripts\Headless Mode &amp; Sideloading\WalkAndUnGZ.bat" "%USERPROFILE%\AppData\Local\Temp\OnboardLogs"\RTDC4011\2017-06-15</v>
      </c>
      <c r="AF165" s="74" t="str">
        <f t="shared" si="56"/>
        <v>"C:\Program Files (x86)\AstroGrep\AstroGrep.exe" /e /r /s /spath="%USERPROFILE%\AppData\Local\Temp\OnboardLogs" /stypes="app*4011*20170614*" /stext=" 13:.+((SYSTEM_STATE.+slice.+state.+changed )|(ment ac)|(multiple cpu faults)|(system.+state.+changed )|(\[timeout)|(PRM\|1\|D)|(kpr)|(kdp)|(train st.+moving)|(\|lc)|(penalty))"</v>
      </c>
      <c r="AG165" s="209" t="str">
        <f t="shared" si="61"/>
        <v>NW</v>
      </c>
      <c r="AH165" s="78" t="str">
        <f t="shared" si="57"/>
        <v>"%USERPROFILE%\Documents\GitHub\eaglep3\Utilities\RefineRTDCRunTimes.py" --tripid 806-14 --locoid 4011 --swversion DE.1.0.9.0 --startMP 300:58615 --initTime 2017-06-14T07:05:43 --startdatetime 2017-06-14T07:07:16 --delay 1 --endMP 204:757 --enddatetime 2017-06-14T07:26:07 --enforcementcount 2 &gt;&gt;C:\Users\stu\Documents\GitHub\eaglep3-reporting\EC\2017-06-14-refined-times.txt</v>
      </c>
      <c r="AI165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{"issue":{"subject":"","project_id":79,"tracker_id":40,"status_id":1,"priority_id":2,"assigned_to_id":23,"start_date":"2017-06-14","description":"","custom_fields":[{"id":1,"name":"Subdivision","value":"NW"},{"id":4,"name":"Milepost","value":"0.0757"},{"id":17,"name":"Train ID","value":"806-14"},{"id":16,"name":"Locomotive ID","value":"4011"},{"id":130,"name":"Impact","value":""},{"id":150,"name":"Time of Event (Mountain Time)","value":"07:26:07"},{"id":151,"name":"Denver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59"/>
        <v>start /low /b %USERPROFILE%\Documents\GitHub\eaglep3\Utilities\DownloadLogsFromS3.py --loco 4011 --day 2017-06-14</v>
      </c>
      <c r="AN165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13:26:07"},{"id":29,"name":"Sharepoint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72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611</v>
      </c>
      <c r="B166" s="7">
        <v>4020</v>
      </c>
      <c r="C166" s="21" t="s">
        <v>202</v>
      </c>
      <c r="D166" s="21" t="s">
        <v>494</v>
      </c>
      <c r="E166" s="13">
        <v>42900.289525462962</v>
      </c>
      <c r="F166" s="13">
        <v>42900.306435185186</v>
      </c>
      <c r="G166" s="7">
        <v>1</v>
      </c>
      <c r="H166" s="21" t="s">
        <v>924</v>
      </c>
      <c r="I166" s="13">
        <v>42900.315532407411</v>
      </c>
      <c r="J166" s="7">
        <v>2</v>
      </c>
      <c r="K166" s="89" t="str">
        <f t="shared" si="46"/>
        <v>4019/4020</v>
      </c>
      <c r="L166" s="21" t="str">
        <f>VLOOKUP(A166,'Trips&amp;Operators'!$C$1:$G$99999,5,FALSE)</f>
        <v>GEBRETEKLE DAGNEW</v>
      </c>
      <c r="M166" s="6">
        <f t="shared" si="47"/>
        <v>9.0972222242271528E-3</v>
      </c>
      <c r="N166" s="7">
        <f t="shared" si="62"/>
        <v>13.1000000028871</v>
      </c>
      <c r="O166" s="7"/>
      <c r="P166" s="7"/>
      <c r="Q166" s="22"/>
      <c r="R166" s="170"/>
      <c r="S166" s="215">
        <f t="shared" si="63"/>
        <v>1</v>
      </c>
      <c r="T166" s="195" t="str">
        <f t="shared" si="48"/>
        <v>NorthBound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 t="shared" si="49"/>
        <v>https://d0f6bd738d7f1b3e5a7ca70fe4ff75f0.us-east-1.aws.found.io/app/kibana#/discover/Steve-Slow-Train-Analysis-(2080s-and-2083s)?_g=(refreshInterval:(display:Off,pause:!f,section:0,value:0),time:(from:'2017-06-14T05:56:55-0600',mode:absolute,to:'2017-06-14T08:34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6" s="197" t="str">
        <f>IF(AA166&lt;VLOOKUP(AG166,Variables!$AC$3:$AD$8,2,FALSE),"Y","N")</f>
        <v>N</v>
      </c>
      <c r="X166" s="197">
        <f t="shared" si="50"/>
        <v>1</v>
      </c>
      <c r="Y166" s="197">
        <f t="shared" si="51"/>
        <v>0.1004</v>
      </c>
      <c r="Z166" s="197">
        <f t="shared" si="64"/>
        <v>5.8983999999999996</v>
      </c>
      <c r="AA166" s="197">
        <f t="shared" si="53"/>
        <v>5.798</v>
      </c>
      <c r="AB166" s="54" t="e">
        <f>VLOOKUP(A166,Enforcements!$C$7:$K$13,8,0)</f>
        <v>#N/A</v>
      </c>
      <c r="AC166" s="51" t="e">
        <f>VLOOKUP(A166,Enforcements!$C$7:$E$13,3,0)</f>
        <v>#N/A</v>
      </c>
      <c r="AD166" s="206">
        <f t="shared" si="54"/>
        <v>807</v>
      </c>
      <c r="AE166" s="77" t="str">
        <f t="shared" si="55"/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AF166" s="74" t="str">
        <f t="shared" si="56"/>
        <v>"C:\Program Files (x86)\AstroGrep\AstroGrep.exe" /e /r /s /spath="%USERPROFILE%\AppData\Local\Temp\OnboardLogs" /stypes="app*4020*20170614*" /stext=" 13:.+((SYSTEM_STATE.+slice.+state.+changed )|(ment ac)|(multiple cpu faults)|(system.+state.+changed )|(\[timeout)|(PRM\|1\|D)|(kpr)|(kdp)|(train st.+moving)|(\|lc)|(penalty))"</v>
      </c>
      <c r="AG166" s="209" t="str">
        <f t="shared" si="61"/>
        <v>NW</v>
      </c>
      <c r="AH166" s="78" t="str">
        <f t="shared" si="57"/>
        <v>"%USERPROFILE%\Documents\GitHub\eaglep3\Utilities\RefineRTDCRunTimes.py" --tripid 807-14 --locoid 4020 --swversion DE.1.0.9.0 --startMP 204:1004 --initTime 2017-06-14T06:56:55 --startdatetime 2017-06-14T07:21:16 --delay 1 --endMP 300:58984 --enddatetime 2017-06-14T07:34:22 --enforcementcount 2 &gt;&gt;C:\Users\stu\Documents\GitHub\eaglep3-reporting\EC\2017-06-14-refined-times.txt</v>
      </c>
      <c r="AI166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{"issue":{"subject":"","project_id":79,"tracker_id":40,"status_id":1,"priority_id":2,"assigned_to_id":23,"start_date":"2017-06-14","description":"","custom_fields":[{"id":1,"name":"Subdivision","value":"NW"},{"id":4,"name":"Milepost","value":"5.8984"},{"id":17,"name":"Train ID","value":"807-14"},{"id":16,"name":"Locomotive ID","value":"4020"},{"id":130,"name":"Impact","value":""},{"id":150,"name":"Time of Event (Mountain Time)","value":"07:34:22"},{"id":151,"name":"Denver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59"/>
        <v>start /low /b %USERPROFILE%\Documents\GitHub\eaglep3\Utilities\DownloadLogsFromS3.py --loco 4020 --day 2017-06-14</v>
      </c>
      <c r="AN166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13:34:22"},{"id":29,"name":"Sharepoint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72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695</v>
      </c>
      <c r="B167" s="7">
        <v>4019</v>
      </c>
      <c r="C167" s="21" t="s">
        <v>202</v>
      </c>
      <c r="D167" s="21" t="s">
        <v>929</v>
      </c>
      <c r="E167" s="13">
        <v>42900.317326388889</v>
      </c>
      <c r="F167" s="13">
        <v>42900.319120370368</v>
      </c>
      <c r="G167" s="7">
        <v>1</v>
      </c>
      <c r="H167" s="21" t="s">
        <v>930</v>
      </c>
      <c r="I167" s="13">
        <v>42900.330358796295</v>
      </c>
      <c r="J167" s="7">
        <v>2</v>
      </c>
      <c r="K167" s="89" t="str">
        <f t="shared" si="46"/>
        <v>4019/4020</v>
      </c>
      <c r="L167" s="21" t="str">
        <f>VLOOKUP(A167,'Trips&amp;Operators'!$C$1:$G$99999,5,FALSE)</f>
        <v>GEBRETEKLE DAGNEW</v>
      </c>
      <c r="M167" s="6">
        <f t="shared" si="47"/>
        <v>1.1238425926421769E-2</v>
      </c>
      <c r="N167" s="7">
        <f t="shared" si="62"/>
        <v>16.183333334047347</v>
      </c>
      <c r="O167" s="7"/>
      <c r="P167" s="7"/>
      <c r="Q167" s="22"/>
      <c r="R167" s="170"/>
      <c r="S167" s="215">
        <f t="shared" si="63"/>
        <v>1</v>
      </c>
      <c r="T167" s="195" t="str">
        <f t="shared" si="48"/>
        <v>Southbound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 t="shared" si="49"/>
        <v>https://d0f6bd738d7f1b3e5a7ca70fe4ff75f0.us-east-1.aws.found.io/app/kibana#/discover/Steve-Slow-Train-Analysis-(2080s-and-2083s)?_g=(refreshInterval:(display:Off,pause:!f,section:0,value:0),time:(from:'2017-06-14T06:36:57-0600',mode:absolute,to:'2017-06-14T08:55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7" s="197" t="str">
        <f>IF(AA167&lt;VLOOKUP(AG167,Variables!$AC$3:$AD$8,2,FALSE),"Y","N")</f>
        <v>N</v>
      </c>
      <c r="X167" s="197">
        <f t="shared" si="50"/>
        <v>1</v>
      </c>
      <c r="Y167" s="197">
        <f t="shared" si="51"/>
        <v>5.8678999999999997</v>
      </c>
      <c r="Z167" s="197">
        <f t="shared" si="64"/>
        <v>6.8400000000000002E-2</v>
      </c>
      <c r="AA167" s="197">
        <f t="shared" si="53"/>
        <v>5.7995000000000001</v>
      </c>
      <c r="AB167" s="54" t="e">
        <f>VLOOKUP(A167,Enforcements!$C$7:$K$13,8,0)</f>
        <v>#N/A</v>
      </c>
      <c r="AC167" s="51" t="e">
        <f>VLOOKUP(A167,Enforcements!$C$7:$E$13,3,0)</f>
        <v>#N/A</v>
      </c>
      <c r="AD167" s="206">
        <f t="shared" si="54"/>
        <v>808</v>
      </c>
      <c r="AE167" s="77" t="str">
        <f t="shared" si="55"/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AF167" s="74" t="str">
        <f t="shared" si="56"/>
        <v>"C:\Program Files (x86)\AstroGrep\AstroGrep.exe" /e /r /s /spath="%USERPROFILE%\AppData\Local\Temp\OnboardLogs" /stypes="app*4019*20170614*" /stext=" 13:.+((SYSTEM_STATE.+slice.+state.+changed )|(ment ac)|(multiple cpu faults)|(system.+state.+changed )|(\[timeout)|(PRM\|1\|D)|(kpr)|(kdp)|(train st.+moving)|(\|lc)|(penalty))"</v>
      </c>
      <c r="AG167" s="209" t="str">
        <f t="shared" si="61"/>
        <v>NW</v>
      </c>
      <c r="AH167" s="78" t="str">
        <f t="shared" si="57"/>
        <v>"%USERPROFILE%\Documents\GitHub\eaglep3\Utilities\RefineRTDCRunTimes.py" --tripid 808-14 --locoid 4019 --swversion DE.1.0.9.0 --startMP 300:58679 --initTime 2017-06-14T07:36:57 --startdatetime 2017-06-14T07:39:32 --delay 1 --endMP 204:684 --enddatetime 2017-06-14T07:55:43 --enforcementcount 2 &gt;&gt;C:\Users\stu\Documents\GitHub\eaglep3-reporting\EC\2017-06-14-refined-times.txt</v>
      </c>
      <c r="AI167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{"issue":{"subject":"","project_id":79,"tracker_id":40,"status_id":1,"priority_id":2,"assigned_to_id":23,"start_date":"2017-06-14","description":"","custom_fields":[{"id":1,"name":"Subdivision","value":"NW"},{"id":4,"name":"Milepost","value":"0.0684"},{"id":17,"name":"Train ID","value":"808-14"},{"id":16,"name":"Locomotive ID","value":"4019"},{"id":130,"name":"Impact","value":""},{"id":150,"name":"Time of Event (Mountain Time)","value":"07:55:43"},{"id":151,"name":"Denver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59"/>
        <v>start /low /b %USERPROFILE%\Documents\GitHub\eaglep3\Utilities\DownloadLogsFromS3.py --loco 4019 --day 2017-06-14</v>
      </c>
      <c r="AN167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13:55:43"},{"id":29,"name":"Sharepoint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72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694</v>
      </c>
      <c r="B168" s="7">
        <v>4012</v>
      </c>
      <c r="C168" s="21" t="s">
        <v>202</v>
      </c>
      <c r="D168" s="21" t="s">
        <v>586</v>
      </c>
      <c r="E168" s="13">
        <v>42900.310636574075</v>
      </c>
      <c r="F168" s="13">
        <v>42900.327476851853</v>
      </c>
      <c r="G168" s="7">
        <v>1</v>
      </c>
      <c r="H168" s="21" t="s">
        <v>492</v>
      </c>
      <c r="I168" s="13">
        <v>42900.336782407408</v>
      </c>
      <c r="J168" s="7">
        <v>2</v>
      </c>
      <c r="K168" s="89" t="str">
        <f t="shared" si="46"/>
        <v>4011/4012</v>
      </c>
      <c r="L168" s="21" t="str">
        <f>VLOOKUP(A168,'Trips&amp;Operators'!$C$1:$G$99999,5,FALSE)</f>
        <v>MACDONALD THOMAS</v>
      </c>
      <c r="M168" s="6">
        <f t="shared" si="47"/>
        <v>9.3055555553291924E-3</v>
      </c>
      <c r="N168" s="7">
        <f t="shared" si="62"/>
        <v>13.399999999674037</v>
      </c>
      <c r="O168" s="7"/>
      <c r="P168" s="7"/>
      <c r="Q168" s="22"/>
      <c r="R168" s="170"/>
      <c r="S168" s="215">
        <f t="shared" si="63"/>
        <v>1</v>
      </c>
      <c r="T168" s="195" t="str">
        <f t="shared" si="48"/>
        <v>NorthBound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 t="shared" si="49"/>
        <v>https://d0f6bd738d7f1b3e5a7ca70fe4ff75f0.us-east-1.aws.found.io/app/kibana#/discover/Steve-Slow-Train-Analysis-(2080s-and-2083s)?_g=(refreshInterval:(display:Off,pause:!f,section:0,value:0),time:(from:'2017-06-14T06:27:19-0600',mode:absolute,to:'2017-06-14T09:04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8" s="197" t="str">
        <f>IF(AA168&lt;VLOOKUP(AG168,Variables!$AC$3:$AD$8,2,FALSE),"Y","N")</f>
        <v>N</v>
      </c>
      <c r="X168" s="197">
        <f t="shared" si="50"/>
        <v>1</v>
      </c>
      <c r="Y168" s="197">
        <f t="shared" si="51"/>
        <v>0.10349999999999999</v>
      </c>
      <c r="Z168" s="197">
        <f t="shared" si="64"/>
        <v>5.8943000000000003</v>
      </c>
      <c r="AA168" s="197">
        <f t="shared" si="53"/>
        <v>5.7907999999999999</v>
      </c>
      <c r="AB168" s="54" t="e">
        <f>VLOOKUP(A168,Enforcements!$C$7:$K$13,8,0)</f>
        <v>#N/A</v>
      </c>
      <c r="AC168" s="51" t="e">
        <f>VLOOKUP(A168,Enforcements!$C$7:$E$13,3,0)</f>
        <v>#N/A</v>
      </c>
      <c r="AD168" s="206">
        <f t="shared" si="54"/>
        <v>809</v>
      </c>
      <c r="AE168" s="77" t="str">
        <f t="shared" si="55"/>
        <v>aws s3 cp s3://rtdc.mdm.uploadarchive.raw/RTDC4012/ "%USERPROFILE%\AppData\Local\Temp\OnboardLogs"\RTDC4012\2017-06-14 --exclude "*" --recursive --include "*20170614*" &amp; "%USERPROFILE%\Documents\GitHub\mrs-test-scripts\Headless Mode &amp; Sideloading\WalkAndUnGZ.bat" "%USERPROFILE%\AppData\Local\Temp\OnboardLogs"\RTDC4012\2017-06-14 &amp; aws s3 cp s3://rtdc.mdm.uploadarchive.raw/RTDC4012/ "%USERPROFILE%\AppData\Local\Temp\OnboardLogs"\RTDC4012\2017-06-15 --exclude "*" --recursive --include "*20170615*" &amp; "%USERPROFILE%\Documents\GitHub\mrs-test-scripts\Headless Mode &amp; Sideloading\WalkAndUnGZ.bat" "%USERPROFILE%\AppData\Local\Temp\OnboardLogs"\RTDC4012\2017-06-15</v>
      </c>
      <c r="AF168" s="74" t="str">
        <f t="shared" si="56"/>
        <v>"C:\Program Files (x86)\AstroGrep\AstroGrep.exe" /e /r /s /spath="%USERPROFILE%\AppData\Local\Temp\OnboardLogs" /stypes="app*4012*20170614*" /stext=" 14:.+((SYSTEM_STATE.+slice.+state.+changed )|(ment ac)|(multiple cpu faults)|(system.+state.+changed )|(\[timeout)|(PRM\|1\|D)|(kpr)|(kdp)|(train st.+moving)|(\|lc)|(penalty))"</v>
      </c>
      <c r="AG168" s="209" t="str">
        <f t="shared" si="61"/>
        <v>NW</v>
      </c>
      <c r="AH168" s="78" t="str">
        <f t="shared" si="57"/>
        <v>"%USERPROFILE%\Documents\GitHub\eaglep3\Utilities\RefineRTDCRunTimes.py" --tripid 809-14 --locoid 4012 --swversion DE.1.0.9.0 --startMP 204:1035 --initTime 2017-06-14T07:27:19 --startdatetime 2017-06-14T07:51:34 --delay 1 --endMP 300:58943 --enddatetime 2017-06-14T08:04:58 --enforcementcount 2 &gt;&gt;C:\Users\stu\Documents\GitHub\eaglep3-reporting\EC\2017-06-14-refined-times.txt</v>
      </c>
      <c r="AI168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{"issue":{"subject":"","project_id":79,"tracker_id":40,"status_id":1,"priority_id":2,"assigned_to_id":23,"start_date":"2017-06-14","description":"","custom_fields":[{"id":1,"name":"Subdivision","value":"NW"},{"id":4,"name":"Milepost","value":"5.8943"},{"id":17,"name":"Train ID","value":"809-14"},{"id":16,"name":"Locomotive ID","value":"4012"},{"id":130,"name":"Impact","value":""},{"id":150,"name":"Time of Event (Mountain Time)","value":"08:04:58"},{"id":151,"name":"Denver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59"/>
        <v>start /low /b %USERPROFILE%\Documents\GitHub\eaglep3\Utilities\DownloadLogsFromS3.py --loco 4012 --day 2017-06-14</v>
      </c>
      <c r="AN168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14:04:58"},{"id":29,"name":"Sharepoint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72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701</v>
      </c>
      <c r="B169" s="7">
        <v>4011</v>
      </c>
      <c r="C169" s="21" t="s">
        <v>202</v>
      </c>
      <c r="D169" s="21" t="s">
        <v>595</v>
      </c>
      <c r="E169" s="13">
        <v>42900.337719907409</v>
      </c>
      <c r="F169" s="13">
        <v>42900.338969907411</v>
      </c>
      <c r="G169" s="7">
        <v>1</v>
      </c>
      <c r="H169" s="21" t="s">
        <v>931</v>
      </c>
      <c r="I169" s="13">
        <v>42900.351064814815</v>
      </c>
      <c r="J169" s="7">
        <v>2</v>
      </c>
      <c r="K169" s="89" t="str">
        <f t="shared" si="46"/>
        <v>4011/4012</v>
      </c>
      <c r="L169" s="21" t="str">
        <f>VLOOKUP(A169,'Trips&amp;Operators'!$C$1:$G$99999,5,FALSE)</f>
        <v>MACDONALD THOMAS</v>
      </c>
      <c r="M169" s="6">
        <f t="shared" si="47"/>
        <v>1.2094907404389232E-2</v>
      </c>
      <c r="N169" s="7">
        <f t="shared" si="62"/>
        <v>17.416666662320495</v>
      </c>
      <c r="O169" s="7"/>
      <c r="P169" s="7"/>
      <c r="Q169" s="22"/>
      <c r="R169" s="170"/>
      <c r="S169" s="215">
        <f t="shared" si="63"/>
        <v>1</v>
      </c>
      <c r="T169" s="195" t="str">
        <f t="shared" si="48"/>
        <v>Southbound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 t="shared" si="49"/>
        <v>https://d0f6bd738d7f1b3e5a7ca70fe4ff75f0.us-east-1.aws.found.io/app/kibana#/discover/Steve-Slow-Train-Analysis-(2080s-and-2083s)?_g=(refreshInterval:(display:Off,pause:!f,section:0,value:0),time:(from:'2017-06-14T07:06:19-0600',mode:absolute,to:'2017-06-14T09:25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9" s="197" t="str">
        <f>IF(AA169&lt;VLOOKUP(AG169,Variables!$AC$3:$AD$8,2,FALSE),"Y","N")</f>
        <v>N</v>
      </c>
      <c r="X169" s="197">
        <f t="shared" si="50"/>
        <v>1</v>
      </c>
      <c r="Y169" s="197">
        <f t="shared" si="51"/>
        <v>5.8623000000000003</v>
      </c>
      <c r="Z169" s="197">
        <f t="shared" si="64"/>
        <v>6.8199999999999997E-2</v>
      </c>
      <c r="AA169" s="197">
        <f t="shared" si="53"/>
        <v>5.7941000000000003</v>
      </c>
      <c r="AB169" s="54" t="e">
        <f>VLOOKUP(A169,Enforcements!$C$7:$K$13,8,0)</f>
        <v>#N/A</v>
      </c>
      <c r="AC169" s="51" t="e">
        <f>VLOOKUP(A169,Enforcements!$C$7:$E$13,3,0)</f>
        <v>#N/A</v>
      </c>
      <c r="AD169" s="206">
        <f t="shared" si="54"/>
        <v>810</v>
      </c>
      <c r="AE169" s="77" t="str">
        <f t="shared" si="55"/>
        <v>aws s3 cp s3://rtdc.mdm.uploadarchive.raw/RTDC4011/ "%USERPROFILE%\AppData\Local\Temp\OnboardLogs"\RTDC4011\2017-06-14 --exclude "*" --recursive --include "*20170614*" &amp; "%USERPROFILE%\Documents\GitHub\mrs-test-scripts\Headless Mode &amp; Sideloading\WalkAndUnGZ.bat" "%USERPROFILE%\AppData\Local\Temp\OnboardLogs"\RTDC4011\2017-06-14 &amp; aws s3 cp s3://rtdc.mdm.uploadarchive.raw/RTDC4011/ "%USERPROFILE%\AppData\Local\Temp\OnboardLogs"\RTDC4011\2017-06-15 --exclude "*" --recursive --include "*20170615*" &amp; "%USERPROFILE%\Documents\GitHub\mrs-test-scripts\Headless Mode &amp; Sideloading\WalkAndUnGZ.bat" "%USERPROFILE%\AppData\Local\Temp\OnboardLogs"\RTDC4011\2017-06-15</v>
      </c>
      <c r="AF169" s="74" t="str">
        <f t="shared" si="56"/>
        <v>"C:\Program Files (x86)\AstroGrep\AstroGrep.exe" /e /r /s /spath="%USERPROFILE%\AppData\Local\Temp\OnboardLogs" /stypes="app*4011*20170614*" /stext=" 14:.+((SYSTEM_STATE.+slice.+state.+changed )|(ment ac)|(multiple cpu faults)|(system.+state.+changed )|(\[timeout)|(PRM\|1\|D)|(kpr)|(kdp)|(train st.+moving)|(\|lc)|(penalty))"</v>
      </c>
      <c r="AG169" s="209" t="str">
        <f t="shared" si="61"/>
        <v>NW</v>
      </c>
      <c r="AH169" s="78" t="str">
        <f t="shared" si="57"/>
        <v>"%USERPROFILE%\Documents\GitHub\eaglep3\Utilities\RefineRTDCRunTimes.py" --tripid 810-14 --locoid 4011 --swversion DE.1.0.9.0 --startMP 300:58623 --initTime 2017-06-14T08:06:19 --startdatetime 2017-06-14T08:08:07 --delay 1 --endMP 204:682 --enddatetime 2017-06-14T08:25:32 --enforcementcount 2 &gt;&gt;C:\Users\stu\Documents\GitHub\eaglep3-reporting\EC\2017-06-14-refined-times.txt</v>
      </c>
      <c r="AI169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{"issue":{"subject":"","project_id":79,"tracker_id":40,"status_id":1,"priority_id":2,"assigned_to_id":23,"start_date":"2017-06-14","description":"","custom_fields":[{"id":1,"name":"Subdivision","value":"NW"},{"id":4,"name":"Milepost","value":"0.0682"},{"id":17,"name":"Train ID","value":"810-14"},{"id":16,"name":"Locomotive ID","value":"4011"},{"id":130,"name":"Impact","value":""},{"id":150,"name":"Time of Event (Mountain Time)","value":"08:25:32"},{"id":151,"name":"Denver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59"/>
        <v>start /low /b %USERPROFILE%\Documents\GitHub\eaglep3\Utilities\DownloadLogsFromS3.py --loco 4011 --day 2017-06-14</v>
      </c>
      <c r="AN169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14:25:32"},{"id":29,"name":"Sharepoint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72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2" t="s">
        <v>612</v>
      </c>
      <c r="B170" s="7">
        <v>4020</v>
      </c>
      <c r="C170" s="21" t="s">
        <v>202</v>
      </c>
      <c r="D170" s="21" t="s">
        <v>932</v>
      </c>
      <c r="E170" s="13">
        <v>42900.331666666665</v>
      </c>
      <c r="F170" s="13">
        <v>42900.348275462966</v>
      </c>
      <c r="G170" s="7">
        <v>1</v>
      </c>
      <c r="H170" s="21" t="s">
        <v>933</v>
      </c>
      <c r="I170" s="13">
        <v>42900.357847222222</v>
      </c>
      <c r="J170" s="7">
        <v>2</v>
      </c>
      <c r="K170" s="89" t="str">
        <f t="shared" si="46"/>
        <v>4019/4020</v>
      </c>
      <c r="L170" s="21" t="str">
        <f>VLOOKUP(A170,'Trips&amp;Operators'!$C$1:$G$99999,5,FALSE)</f>
        <v>GEBRETEKLE DAGNEW</v>
      </c>
      <c r="M170" s="6">
        <f t="shared" si="47"/>
        <v>9.5717592557775788E-3</v>
      </c>
      <c r="N170" s="7">
        <f t="shared" si="62"/>
        <v>13.783333328319713</v>
      </c>
      <c r="O170" s="7"/>
      <c r="P170" s="7"/>
      <c r="Q170" s="22"/>
      <c r="R170" s="170"/>
      <c r="S170" s="215">
        <f t="shared" si="63"/>
        <v>1</v>
      </c>
      <c r="T170" s="195" t="str">
        <f t="shared" si="48"/>
        <v>NorthBound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 t="shared" si="49"/>
        <v>https://d0f6bd738d7f1b3e5a7ca70fe4ff75f0.us-east-1.aws.found.io/app/kibana#/discover/Steve-Slow-Train-Analysis-(2080s-and-2083s)?_g=(refreshInterval:(display:Off,pause:!f,section:0,value:0),time:(from:'2017-06-14T06:57:36-0600',mode:absolute,to:'2017-06-14T09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0" s="197" t="str">
        <f>IF(AA170&lt;VLOOKUP(AG170,Variables!$AC$3:$AD$8,2,FALSE),"Y","N")</f>
        <v>N</v>
      </c>
      <c r="X170" s="197">
        <f t="shared" si="50"/>
        <v>1</v>
      </c>
      <c r="Y170" s="197">
        <f t="shared" si="51"/>
        <v>9.9299999999999999E-2</v>
      </c>
      <c r="Z170" s="197">
        <f t="shared" si="64"/>
        <v>5.8997000000000002</v>
      </c>
      <c r="AA170" s="197">
        <f t="shared" si="53"/>
        <v>5.8003999999999998</v>
      </c>
      <c r="AB170" s="54" t="e">
        <f>VLOOKUP(A170,Enforcements!$C$7:$K$13,8,0)</f>
        <v>#N/A</v>
      </c>
      <c r="AC170" s="51" t="e">
        <f>VLOOKUP(A170,Enforcements!$C$7:$E$13,3,0)</f>
        <v>#N/A</v>
      </c>
      <c r="AD170" s="206">
        <f t="shared" si="54"/>
        <v>811</v>
      </c>
      <c r="AE170" s="77" t="str">
        <f t="shared" si="55"/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AF170" s="74" t="str">
        <f t="shared" si="56"/>
        <v>"C:\Program Files (x86)\AstroGrep\AstroGrep.exe" /e /r /s /spath="%USERPROFILE%\AppData\Local\Temp\OnboardLogs" /stypes="app*4020*20170614*" /stext=" 14:.+((SYSTEM_STATE.+slice.+state.+changed )|(ment ac)|(multiple cpu faults)|(system.+state.+changed )|(\[timeout)|(PRM\|1\|D)|(kpr)|(kdp)|(train st.+moving)|(\|lc)|(penalty))"</v>
      </c>
      <c r="AG170" s="209" t="str">
        <f t="shared" si="61"/>
        <v>NW</v>
      </c>
      <c r="AH170" s="78" t="str">
        <f t="shared" si="57"/>
        <v>"%USERPROFILE%\Documents\GitHub\eaglep3\Utilities\RefineRTDCRunTimes.py" --tripid 811-14 --locoid 4020 --swversion DE.1.0.9.0 --startMP 204:993 --initTime 2017-06-14T07:57:36 --startdatetime 2017-06-14T08:21:31 --delay 1 --endMP 300:58997 --enddatetime 2017-06-14T08:35:18 --enforcementcount 2 &gt;&gt;C:\Users\stu\Documents\GitHub\eaglep3-reporting\EC\2017-06-14-refined-times.txt</v>
      </c>
      <c r="AI170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{"issue":{"subject":"","project_id":79,"tracker_id":40,"status_id":1,"priority_id":2,"assigned_to_id":23,"start_date":"2017-06-14","description":"","custom_fields":[{"id":1,"name":"Subdivision","value":"NW"},{"id":4,"name":"Milepost","value":"5.8997"},{"id":17,"name":"Train ID","value":"811-14"},{"id":16,"name":"Locomotive ID","value":"4020"},{"id":130,"name":"Impact","value":""},{"id":150,"name":"Time of Event (Mountain Time)","value":"08:35:18"},{"id":151,"name":"Denver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2" t="str">
        <f t="shared" si="59"/>
        <v>start /low /b %USERPROFILE%\Documents\GitHub\eaglep3\Utilities\DownloadLogsFromS3.py --loco 4020 --day 2017-06-14</v>
      </c>
      <c r="AN170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14:35:18"},{"id":29,"name":"Sharepoint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1" spans="1:91" x14ac:dyDescent="0.25">
      <c r="A171" s="32" t="s">
        <v>705</v>
      </c>
      <c r="B171" s="7">
        <v>4019</v>
      </c>
      <c r="C171" s="21" t="s">
        <v>202</v>
      </c>
      <c r="D171" s="21" t="s">
        <v>934</v>
      </c>
      <c r="E171" s="13">
        <v>42900.358900462961</v>
      </c>
      <c r="F171" s="13">
        <v>42900.360474537039</v>
      </c>
      <c r="G171" s="7">
        <v>1</v>
      </c>
      <c r="H171" s="21" t="s">
        <v>935</v>
      </c>
      <c r="I171" s="13">
        <v>42900.371064814812</v>
      </c>
      <c r="J171" s="7">
        <v>2</v>
      </c>
      <c r="K171" s="89" t="str">
        <f t="shared" si="46"/>
        <v>4019/4020</v>
      </c>
      <c r="L171" s="21" t="str">
        <f>VLOOKUP(A171,'Trips&amp;Operators'!$C$1:$G$99999,5,FALSE)</f>
        <v>GEBRETEKLE DAGNEW</v>
      </c>
      <c r="M171" s="6">
        <f t="shared" si="47"/>
        <v>1.0590277772280388E-2</v>
      </c>
      <c r="N171" s="7">
        <f t="shared" si="62"/>
        <v>15.249999992083758</v>
      </c>
      <c r="O171" s="7"/>
      <c r="P171" s="7"/>
      <c r="Q171" s="22"/>
      <c r="R171" s="170"/>
      <c r="S171" s="215">
        <f t="shared" si="63"/>
        <v>1</v>
      </c>
      <c r="T171" s="195" t="str">
        <f t="shared" si="48"/>
        <v>Southbound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 t="shared" si="49"/>
        <v>https://d0f6bd738d7f1b3e5a7ca70fe4ff75f0.us-east-1.aws.found.io/app/kibana#/discover/Steve-Slow-Train-Analysis-(2080s-and-2083s)?_g=(refreshInterval:(display:Off,pause:!f,section:0,value:0),time:(from:'2017-06-14T07:36:49-0600',mode:absolute,to:'2017-06-14T09:54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1" s="197" t="str">
        <f>IF(AA171&lt;VLOOKUP(AG171,Variables!$AC$3:$AD$8,2,FALSE),"Y","N")</f>
        <v>N</v>
      </c>
      <c r="X171" s="197">
        <f t="shared" si="50"/>
        <v>1</v>
      </c>
      <c r="Y171" s="197">
        <f t="shared" si="51"/>
        <v>5.8666</v>
      </c>
      <c r="Z171" s="197">
        <f t="shared" si="64"/>
        <v>6.9900000000000004E-2</v>
      </c>
      <c r="AA171" s="197">
        <f t="shared" si="53"/>
        <v>5.7967000000000004</v>
      </c>
      <c r="AB171" s="54" t="e">
        <f>VLOOKUP(A171,Enforcements!$C$7:$K$13,8,0)</f>
        <v>#N/A</v>
      </c>
      <c r="AC171" s="51" t="e">
        <f>VLOOKUP(A171,Enforcements!$C$7:$E$13,3,0)</f>
        <v>#N/A</v>
      </c>
      <c r="AD171" s="206">
        <f t="shared" si="54"/>
        <v>812</v>
      </c>
      <c r="AE171" s="77" t="str">
        <f t="shared" si="55"/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AF171" s="74" t="str">
        <f t="shared" si="56"/>
        <v>"C:\Program Files (x86)\AstroGrep\AstroGrep.exe" /e /r /s /spath="%USERPROFILE%\AppData\Local\Temp\OnboardLogs" /stypes="app*4019*20170614*" /stext=" 14:.+((SYSTEM_STATE.+slice.+state.+changed )|(ment ac)|(multiple cpu faults)|(system.+state.+changed )|(\[timeout)|(PRM\|1\|D)|(kpr)|(kdp)|(train st.+moving)|(\|lc)|(penalty))"</v>
      </c>
      <c r="AG171" s="209" t="str">
        <f t="shared" si="61"/>
        <v>NW</v>
      </c>
      <c r="AH171" s="78" t="str">
        <f t="shared" si="57"/>
        <v>"%USERPROFILE%\Documents\GitHub\eaglep3\Utilities\RefineRTDCRunTimes.py" --tripid 812-14 --locoid 4019 --swversion DE.1.0.9.0 --startMP 300:58666 --initTime 2017-06-14T08:36:49 --startdatetime 2017-06-14T08:39:05 --delay 1 --endMP 204:699 --enddatetime 2017-06-14T08:54:20 --enforcementcount 2 &gt;&gt;C:\Users\stu\Documents\GitHub\eaglep3-reporting\EC\2017-06-14-refined-times.txt</v>
      </c>
      <c r="AI171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{"issue":{"subject":"","project_id":79,"tracker_id":40,"status_id":1,"priority_id":2,"assigned_to_id":23,"start_date":"2017-06-14","description":"","custom_fields":[{"id":1,"name":"Subdivision","value":"NW"},{"id":4,"name":"Milepost","value":"0.0699"},{"id":17,"name":"Train ID","value":"812-14"},{"id":16,"name":"Locomotive ID","value":"4019"},{"id":130,"name":"Impact","value":""},{"id":150,"name":"Time of Event (Mountain Time)","value":"08:54:20"},{"id":151,"name":"Denver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2" t="str">
        <f t="shared" si="59"/>
        <v>start /low /b %USERPROFILE%\Documents\GitHub\eaglep3\Utilities\DownloadLogsFromS3.py --loco 4019 --day 2017-06-14</v>
      </c>
      <c r="AN171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14:54:20"},{"id":29,"name":"Sharepoint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2" spans="1:91" x14ac:dyDescent="0.25">
      <c r="A172" s="32" t="s">
        <v>616</v>
      </c>
      <c r="B172" s="7">
        <v>4020</v>
      </c>
      <c r="C172" s="21" t="s">
        <v>202</v>
      </c>
      <c r="D172" s="21" t="s">
        <v>936</v>
      </c>
      <c r="E172" s="13">
        <v>42900.372361111113</v>
      </c>
      <c r="F172" s="13">
        <v>42900.389768518522</v>
      </c>
      <c r="G172" s="7">
        <v>1</v>
      </c>
      <c r="H172" s="21" t="s">
        <v>495</v>
      </c>
      <c r="I172" s="13">
        <v>42900.399629629632</v>
      </c>
      <c r="J172" s="7">
        <v>2</v>
      </c>
      <c r="K172" s="89" t="str">
        <f t="shared" si="46"/>
        <v>4019/4020</v>
      </c>
      <c r="L172" s="21" t="str">
        <f>VLOOKUP(A172,'Trips&amp;Operators'!$C$1:$G$99999,5,FALSE)</f>
        <v>GEBRETEKLE DAGNEW</v>
      </c>
      <c r="M172" s="6">
        <f t="shared" si="47"/>
        <v>9.8611111097852699E-3</v>
      </c>
      <c r="N172" s="7">
        <f t="shared" si="62"/>
        <v>14.199999998090789</v>
      </c>
      <c r="O172" s="7"/>
      <c r="P172" s="7"/>
      <c r="Q172" s="22"/>
      <c r="R172" s="170"/>
      <c r="S172" s="215">
        <f t="shared" si="63"/>
        <v>1</v>
      </c>
      <c r="T172" s="195" t="str">
        <f t="shared" si="48"/>
        <v>NorthBound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 t="shared" si="49"/>
        <v>https://d0f6bd738d7f1b3e5a7ca70fe4ff75f0.us-east-1.aws.found.io/app/kibana#/discover/Steve-Slow-Train-Analysis-(2080s-and-2083s)?_g=(refreshInterval:(display:Off,pause:!f,section:0,value:0),time:(from:'2017-06-14T07:56:12-0600',mode:absolute,to:'2017-06-14T10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2" s="197" t="str">
        <f>IF(AA172&lt;VLOOKUP(AG172,Variables!$AC$3:$AD$8,2,FALSE),"Y","N")</f>
        <v>N</v>
      </c>
      <c r="X172" s="197">
        <f t="shared" si="50"/>
        <v>1</v>
      </c>
      <c r="Y172" s="197">
        <f t="shared" si="51"/>
        <v>9.7799999999999998E-2</v>
      </c>
      <c r="Z172" s="197">
        <f t="shared" si="64"/>
        <v>5.8975999999999997</v>
      </c>
      <c r="AA172" s="197">
        <f t="shared" si="53"/>
        <v>5.7997999999999994</v>
      </c>
      <c r="AB172" s="54" t="e">
        <f>VLOOKUP(A172,Enforcements!$C$7:$K$13,8,0)</f>
        <v>#N/A</v>
      </c>
      <c r="AC172" s="51" t="e">
        <f>VLOOKUP(A172,Enforcements!$C$7:$E$13,3,0)</f>
        <v>#N/A</v>
      </c>
      <c r="AD172" s="206">
        <f t="shared" si="54"/>
        <v>813</v>
      </c>
      <c r="AE172" s="77" t="str">
        <f t="shared" si="55"/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AF172" s="74" t="str">
        <f t="shared" si="56"/>
        <v>"C:\Program Files (x86)\AstroGrep\AstroGrep.exe" /e /r /s /spath="%USERPROFILE%\AppData\Local\Temp\OnboardLogs" /stypes="app*4020*20170614*" /stext=" 15:.+((SYSTEM_STATE.+slice.+state.+changed )|(ment ac)|(multiple cpu faults)|(system.+state.+changed )|(\[timeout)|(PRM\|1\|D)|(kpr)|(kdp)|(train st.+moving)|(\|lc)|(penalty))"</v>
      </c>
      <c r="AG172" s="209" t="str">
        <f t="shared" si="61"/>
        <v>NW</v>
      </c>
      <c r="AH172" s="78" t="str">
        <f t="shared" si="57"/>
        <v>"%USERPROFILE%\Documents\GitHub\eaglep3\Utilities\RefineRTDCRunTimes.py" --tripid 813-14 --locoid 4020 --swversion DE.1.0.9.0 --startMP 204:978 --initTime 2017-06-14T08:56:12 --startdatetime 2017-06-14T09:21:16 --delay 1 --endMP 300:58976 --enddatetime 2017-06-14T09:35:28 --enforcementcount 2 &gt;&gt;C:\Users\stu\Documents\GitHub\eaglep3-reporting\EC\2017-06-14-refined-times.txt</v>
      </c>
      <c r="AI172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{"issue":{"subject":"","project_id":79,"tracker_id":40,"status_id":1,"priority_id":2,"assigned_to_id":23,"start_date":"2017-06-14","description":"","custom_fields":[{"id":1,"name":"Subdivision","value":"NW"},{"id":4,"name":"Milepost","value":"5.8976"},{"id":17,"name":"Train ID","value":"813-14"},{"id":16,"name":"Locomotive ID","value":"4020"},{"id":130,"name":"Impact","value":""},{"id":150,"name":"Time of Event (Mountain Time)","value":"09:35:28"},{"id":151,"name":"Denver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2" t="str">
        <f t="shared" si="59"/>
        <v>start /low /b %USERPROFILE%\Documents\GitHub\eaglep3\Utilities\DownloadLogsFromS3.py --loco 4020 --day 2017-06-14</v>
      </c>
      <c r="AN172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15:35:28"},{"id":29,"name":"Sharepoint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3" spans="1:91" x14ac:dyDescent="0.25">
      <c r="A173" s="32" t="s">
        <v>716</v>
      </c>
      <c r="B173" s="7">
        <v>4019</v>
      </c>
      <c r="C173" s="21" t="s">
        <v>202</v>
      </c>
      <c r="D173" s="21" t="s">
        <v>937</v>
      </c>
      <c r="E173" s="13">
        <v>42900.400810185187</v>
      </c>
      <c r="F173" s="13">
        <v>42900.402280092596</v>
      </c>
      <c r="G173" s="7">
        <v>1</v>
      </c>
      <c r="H173" s="21" t="s">
        <v>938</v>
      </c>
      <c r="I173" s="13">
        <v>42900.413460648146</v>
      </c>
      <c r="J173" s="7">
        <v>2</v>
      </c>
      <c r="K173" s="89" t="str">
        <f t="shared" si="46"/>
        <v>4019/4020</v>
      </c>
      <c r="L173" s="21" t="str">
        <f>VLOOKUP(A173,'Trips&amp;Operators'!$C$1:$G$99999,5,FALSE)</f>
        <v>GEBRETEKLE DAGNEW</v>
      </c>
      <c r="M173" s="6">
        <f t="shared" si="47"/>
        <v>1.1180555549799465E-2</v>
      </c>
      <c r="N173" s="7">
        <f t="shared" si="62"/>
        <v>16.099999991711229</v>
      </c>
      <c r="O173" s="7"/>
      <c r="P173" s="7"/>
      <c r="Q173" s="22"/>
      <c r="R173" s="170"/>
      <c r="S173" s="215">
        <f t="shared" si="63"/>
        <v>1</v>
      </c>
      <c r="T173" s="195" t="str">
        <f t="shared" si="48"/>
        <v>Southbound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 t="shared" si="49"/>
        <v>https://d0f6bd738d7f1b3e5a7ca70fe4ff75f0.us-east-1.aws.found.io/app/kibana#/discover/Steve-Slow-Train-Analysis-(2080s-and-2083s)?_g=(refreshInterval:(display:Off,pause:!f,section:0,value:0),time:(from:'2017-06-14T08:37:10-0600',mode:absolute,to:'2017-06-14T10:55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3" s="197" t="str">
        <f>IF(AA173&lt;VLOOKUP(AG173,Variables!$AC$3:$AD$8,2,FALSE),"Y","N")</f>
        <v>N</v>
      </c>
      <c r="X173" s="197">
        <f t="shared" si="50"/>
        <v>1</v>
      </c>
      <c r="Y173" s="197">
        <f t="shared" ref="Y173:Y182" si="65">RIGHT(D173,LEN(D173)-4)/10000</f>
        <v>5.867</v>
      </c>
      <c r="Z173" s="197">
        <f t="shared" si="64"/>
        <v>6.9099999999999995E-2</v>
      </c>
      <c r="AA173" s="197">
        <f t="shared" si="53"/>
        <v>5.7979000000000003</v>
      </c>
      <c r="AB173" s="54" t="e">
        <f>VLOOKUP(A173,Enforcements!$C$7:$K$13,8,0)</f>
        <v>#N/A</v>
      </c>
      <c r="AC173" s="51" t="e">
        <f>VLOOKUP(A173,Enforcements!$C$7:$E$13,3,0)</f>
        <v>#N/A</v>
      </c>
      <c r="AD173" s="206">
        <f t="shared" si="54"/>
        <v>814</v>
      </c>
      <c r="AE173" s="77" t="str">
        <f t="shared" si="55"/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AF173" s="74" t="str">
        <f t="shared" si="56"/>
        <v>"C:\Program Files (x86)\AstroGrep\AstroGrep.exe" /e /r /s /spath="%USERPROFILE%\AppData\Local\Temp\OnboardLogs" /stypes="app*4019*20170614*" /stext=" 15:.+((SYSTEM_STATE.+slice.+state.+changed )|(ment ac)|(multiple cpu faults)|(system.+state.+changed )|(\[timeout)|(PRM\|1\|D)|(kpr)|(kdp)|(train st.+moving)|(\|lc)|(penalty))"</v>
      </c>
      <c r="AG173" s="209" t="str">
        <f t="shared" si="61"/>
        <v>NW</v>
      </c>
      <c r="AH173" s="78" t="str">
        <f t="shared" si="57"/>
        <v>"%USERPROFILE%\Documents\GitHub\eaglep3\Utilities\RefineRTDCRunTimes.py" --tripid 814-14 --locoid 4019 --swversion DE.1.0.9.0 --startMP 300:58670 --initTime 2017-06-14T09:37:10 --startdatetime 2017-06-14T09:39:17 --delay 1 --endMP 204:691 --enddatetime 2017-06-14T09:55:23 --enforcementcount 2 &gt;&gt;C:\Users\stu\Documents\GitHub\eaglep3-reporting\EC\2017-06-14-refined-times.txt</v>
      </c>
      <c r="AI173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{"issue":{"subject":"","project_id":79,"tracker_id":40,"status_id":1,"priority_id":2,"assigned_to_id":23,"start_date":"2017-06-14","description":"","custom_fields":[{"id":1,"name":"Subdivision","value":"NW"},{"id":4,"name":"Milepost","value":"0.0691"},{"id":17,"name":"Train ID","value":"814-14"},{"id":16,"name":"Locomotive ID","value":"4019"},{"id":130,"name":"Impact","value":""},{"id":150,"name":"Time of Event (Mountain Time)","value":"09:55:23"},{"id":151,"name":"Denver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2" t="str">
        <f t="shared" si="59"/>
        <v>start /low /b %USERPROFILE%\Documents\GitHub\eaglep3\Utilities\DownloadLogsFromS3.py --loco 4019 --day 2017-06-14</v>
      </c>
      <c r="AN173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15:55:23"},{"id":29,"name":"Sharepoint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4" spans="1:91" x14ac:dyDescent="0.25">
      <c r="A174" s="32" t="s">
        <v>722</v>
      </c>
      <c r="B174" s="7">
        <v>4020</v>
      </c>
      <c r="C174" s="21" t="s">
        <v>202</v>
      </c>
      <c r="D174" s="21" t="s">
        <v>939</v>
      </c>
      <c r="E174" s="13">
        <v>42900.430937500001</v>
      </c>
      <c r="F174" s="13">
        <v>42900.43209490741</v>
      </c>
      <c r="G174" s="7">
        <v>1</v>
      </c>
      <c r="H174" s="21" t="s">
        <v>940</v>
      </c>
      <c r="I174" s="13">
        <v>42900.441458333335</v>
      </c>
      <c r="J174" s="7">
        <v>2</v>
      </c>
      <c r="K174" s="89" t="str">
        <f t="shared" si="46"/>
        <v>4019/4020</v>
      </c>
      <c r="L174" s="21" t="str">
        <f>VLOOKUP(A174,'Trips&amp;Operators'!$C$1:$G$99999,5,FALSE)</f>
        <v>GEBRETEKLE DAGNEW</v>
      </c>
      <c r="M174" s="6">
        <f t="shared" si="47"/>
        <v>9.3634259246755391E-3</v>
      </c>
      <c r="N174" s="7">
        <f t="shared" si="62"/>
        <v>13.483333331532776</v>
      </c>
      <c r="O174" s="7"/>
      <c r="P174" s="7"/>
      <c r="Q174" s="22"/>
      <c r="R174" s="170"/>
      <c r="S174" s="215">
        <f t="shared" si="63"/>
        <v>1</v>
      </c>
      <c r="T174" s="195" t="str">
        <f t="shared" si="48"/>
        <v>NorthBound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 t="shared" si="49"/>
        <v>https://d0f6bd738d7f1b3e5a7ca70fe4ff75f0.us-east-1.aws.found.io/app/kibana#/discover/Steve-Slow-Train-Analysis-(2080s-and-2083s)?_g=(refreshInterval:(display:Off,pause:!f,section:0,value:0),time:(from:'2017-06-14T09:20:33-0600',mode:absolute,to:'2017-06-14T11:35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4" s="197" t="str">
        <f>IF(AA174&lt;VLOOKUP(AG174,Variables!$AC$3:$AD$8,2,FALSE),"Y","N")</f>
        <v>N</v>
      </c>
      <c r="X174" s="197">
        <f t="shared" si="50"/>
        <v>1</v>
      </c>
      <c r="Y174" s="197">
        <f t="shared" si="65"/>
        <v>9.7900000000000001E-2</v>
      </c>
      <c r="Z174" s="197">
        <f t="shared" si="64"/>
        <v>5.8987999999999996</v>
      </c>
      <c r="AA174" s="197">
        <f t="shared" si="53"/>
        <v>5.8008999999999995</v>
      </c>
      <c r="AB174" s="54" t="e">
        <f>VLOOKUP(A174,Enforcements!$C$7:$K$13,8,0)</f>
        <v>#N/A</v>
      </c>
      <c r="AC174" s="51" t="e">
        <f>VLOOKUP(A174,Enforcements!$C$7:$E$13,3,0)</f>
        <v>#N/A</v>
      </c>
      <c r="AD174" s="206">
        <f t="shared" si="54"/>
        <v>815</v>
      </c>
      <c r="AE174" s="77" t="str">
        <f t="shared" si="55"/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AF174" s="74" t="str">
        <f t="shared" si="56"/>
        <v>"C:\Program Files (x86)\AstroGrep\AstroGrep.exe" /e /r /s /spath="%USERPROFILE%\AppData\Local\Temp\OnboardLogs" /stypes="app*4020*20170614*" /stext=" 16:.+((SYSTEM_STATE.+slice.+state.+changed )|(ment ac)|(multiple cpu faults)|(system.+state.+changed )|(\[timeout)|(PRM\|1\|D)|(kpr)|(kdp)|(train st.+moving)|(\|lc)|(penalty))"</v>
      </c>
      <c r="AG174" s="209" t="str">
        <f t="shared" si="61"/>
        <v>NW</v>
      </c>
      <c r="AH174" s="78" t="str">
        <f t="shared" si="57"/>
        <v>"%USERPROFILE%\Documents\GitHub\eaglep3\Utilities\RefineRTDCRunTimes.py" --tripid 815-14 --locoid 4020 --swversion DE.1.0.9.0 --startMP 204:979 --initTime 2017-06-14T10:20:33 --startdatetime 2017-06-14T10:22:13 --delay 1 --endMP 300:58988 --enddatetime 2017-06-14T10:35:42 --enforcementcount 2 &gt;&gt;C:\Users\stu\Documents\GitHub\eaglep3-reporting\EC\2017-06-14-refined-times.txt</v>
      </c>
      <c r="AI174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{"issue":{"subject":"","project_id":79,"tracker_id":40,"status_id":1,"priority_id":2,"assigned_to_id":23,"start_date":"2017-06-14","description":"","custom_fields":[{"id":1,"name":"Subdivision","value":"NW"},{"id":4,"name":"Milepost","value":"5.8988"},{"id":17,"name":"Train ID","value":"815-14"},{"id":16,"name":"Locomotive ID","value":"4020"},{"id":130,"name":"Impact","value":""},{"id":150,"name":"Time of Event (Mountain Time)","value":"10:35:42"},{"id":151,"name":"Denver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2" t="str">
        <f t="shared" si="59"/>
        <v>start /low /b %USERPROFILE%\Documents\GitHub\eaglep3\Utilities\DownloadLogsFromS3.py --loco 4020 --day 2017-06-14</v>
      </c>
      <c r="AN174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16:35:42"},{"id":29,"name":"Sharepoint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5" spans="1:91" x14ac:dyDescent="0.25">
      <c r="A175" s="32" t="s">
        <v>724</v>
      </c>
      <c r="B175" s="7">
        <v>4019</v>
      </c>
      <c r="C175" s="21" t="s">
        <v>202</v>
      </c>
      <c r="D175" s="21" t="s">
        <v>941</v>
      </c>
      <c r="E175" s="13">
        <v>42900.442361111112</v>
      </c>
      <c r="F175" s="13">
        <v>42900.444166666668</v>
      </c>
      <c r="G175" s="7">
        <v>1</v>
      </c>
      <c r="H175" s="21" t="s">
        <v>935</v>
      </c>
      <c r="I175" s="13">
        <v>42900.454432870371</v>
      </c>
      <c r="J175" s="7">
        <v>2</v>
      </c>
      <c r="K175" s="89" t="str">
        <f t="shared" si="46"/>
        <v>4019/4020</v>
      </c>
      <c r="L175" s="21" t="str">
        <f>VLOOKUP(A175,'Trips&amp;Operators'!$C$1:$G$99999,5,FALSE)</f>
        <v>GEBRETEKLE DAGNEW</v>
      </c>
      <c r="M175" s="6">
        <f t="shared" si="47"/>
        <v>1.0266203702485655E-2</v>
      </c>
      <c r="N175" s="7">
        <f t="shared" si="62"/>
        <v>14.783333331579342</v>
      </c>
      <c r="O175" s="7"/>
      <c r="P175" s="7"/>
      <c r="Q175" s="22"/>
      <c r="R175" s="170"/>
      <c r="S175" s="215">
        <f t="shared" ref="S175:S206" si="66">SUM(U175:U175)/IF(AG175="EC",12,1)</f>
        <v>1</v>
      </c>
      <c r="T175" s="195" t="str">
        <f t="shared" si="48"/>
        <v>Southbound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 t="shared" si="49"/>
        <v>https://d0f6bd738d7f1b3e5a7ca70fe4ff75f0.us-east-1.aws.found.io/app/kibana#/discover/Steve-Slow-Train-Analysis-(2080s-and-2083s)?_g=(refreshInterval:(display:Off,pause:!f,section:0,value:0),time:(from:'2017-06-14T09:37:00-0600',mode:absolute,to:'2017-06-14T11:54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5" s="197" t="str">
        <f>IF(AA175&lt;VLOOKUP(AG175,Variables!$AC$3:$AD$8,2,FALSE),"Y","N")</f>
        <v>N</v>
      </c>
      <c r="X175" s="197">
        <f t="shared" si="50"/>
        <v>1</v>
      </c>
      <c r="Y175" s="197">
        <f t="shared" si="65"/>
        <v>5.8673000000000002</v>
      </c>
      <c r="Z175" s="197">
        <f t="shared" si="64"/>
        <v>6.9900000000000004E-2</v>
      </c>
      <c r="AA175" s="197">
        <f t="shared" si="53"/>
        <v>5.7974000000000006</v>
      </c>
      <c r="AB175" s="54" t="e">
        <f>VLOOKUP(A175,Enforcements!$C$7:$K$13,8,0)</f>
        <v>#N/A</v>
      </c>
      <c r="AC175" s="51" t="e">
        <f>VLOOKUP(A175,Enforcements!$C$7:$E$13,3,0)</f>
        <v>#N/A</v>
      </c>
      <c r="AD175" s="206">
        <f t="shared" si="54"/>
        <v>816</v>
      </c>
      <c r="AE175" s="77" t="str">
        <f t="shared" si="55"/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AF175" s="74" t="str">
        <f t="shared" si="56"/>
        <v>"C:\Program Files (x86)\AstroGrep\AstroGrep.exe" /e /r /s /spath="%USERPROFILE%\AppData\Local\Temp\OnboardLogs" /stypes="app*4019*20170614*" /stext=" 16:.+((SYSTEM_STATE.+slice.+state.+changed )|(ment ac)|(multiple cpu faults)|(system.+state.+changed )|(\[timeout)|(PRM\|1\|D)|(kpr)|(kdp)|(train st.+moving)|(\|lc)|(penalty))"</v>
      </c>
      <c r="AG175" s="209" t="str">
        <f t="shared" si="61"/>
        <v>NW</v>
      </c>
      <c r="AH175" s="78" t="str">
        <f t="shared" si="57"/>
        <v>"%USERPROFILE%\Documents\GitHub\eaglep3\Utilities\RefineRTDCRunTimes.py" --tripid 816-14 --locoid 4019 --swversion DE.1.0.9.0 --startMP 300:58673 --initTime 2017-06-14T10:37:00 --startdatetime 2017-06-14T10:39:36 --delay 1 --endMP 204:699 --enddatetime 2017-06-14T10:54:23 --enforcementcount 2 &gt;&gt;C:\Users\stu\Documents\GitHub\eaglep3-reporting\EC\2017-06-14-refined-times.txt</v>
      </c>
      <c r="AI175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{"issue":{"subject":"","project_id":79,"tracker_id":40,"status_id":1,"priority_id":2,"assigned_to_id":23,"start_date":"2017-06-14","description":"","custom_fields":[{"id":1,"name":"Subdivision","value":"NW"},{"id":4,"name":"Milepost","value":"0.0699"},{"id":17,"name":"Train ID","value":"816-14"},{"id":16,"name":"Locomotive ID","value":"4019"},{"id":130,"name":"Impact","value":""},{"id":150,"name":"Time of Event (Mountain Time)","value":"10:54:23"},{"id":151,"name":"Denver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2" t="str">
        <f t="shared" si="59"/>
        <v>start /low /b %USERPROFILE%\Documents\GitHub\eaglep3\Utilities\DownloadLogsFromS3.py --loco 4019 --day 2017-06-14</v>
      </c>
      <c r="AN175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16:54:23"},{"id":29,"name":"Sharepoint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6" spans="1:91" x14ac:dyDescent="0.25">
      <c r="A176" s="32" t="s">
        <v>622</v>
      </c>
      <c r="B176" s="7">
        <v>4020</v>
      </c>
      <c r="C176" s="21" t="s">
        <v>202</v>
      </c>
      <c r="D176" s="21" t="s">
        <v>593</v>
      </c>
      <c r="E176" s="13">
        <v>42900.456087962964</v>
      </c>
      <c r="F176" s="13">
        <v>42900.473344907405</v>
      </c>
      <c r="G176" s="7">
        <v>0</v>
      </c>
      <c r="H176" s="21" t="s">
        <v>473</v>
      </c>
      <c r="I176" s="13">
        <v>42900.483784722222</v>
      </c>
      <c r="J176" s="7">
        <v>2</v>
      </c>
      <c r="K176" s="89" t="str">
        <f t="shared" si="46"/>
        <v>4019/4020</v>
      </c>
      <c r="L176" s="21" t="str">
        <f>VLOOKUP(A176,'Trips&amp;Operators'!$C$1:$G$99999,5,FALSE)</f>
        <v>GEBRETEKLE DAGNEW</v>
      </c>
      <c r="M176" s="6">
        <f t="shared" si="47"/>
        <v>1.0439814817800652E-2</v>
      </c>
      <c r="N176" s="7">
        <f t="shared" si="62"/>
        <v>15.033333337632939</v>
      </c>
      <c r="O176" s="7"/>
      <c r="P176" s="7"/>
      <c r="Q176" s="22"/>
      <c r="R176" s="170"/>
      <c r="S176" s="215">
        <f t="shared" si="66"/>
        <v>1</v>
      </c>
      <c r="T176" s="195" t="str">
        <f t="shared" si="48"/>
        <v>NorthBound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 t="shared" si="49"/>
        <v>https://d0f6bd738d7f1b3e5a7ca70fe4ff75f0.us-east-1.aws.found.io/app/kibana#/discover/Steve-Slow-Train-Analysis-(2080s-and-2083s)?_g=(refreshInterval:(display:Off,pause:!f,section:0,value:0),time:(from:'2017-06-14T09:56:46-0600',mode:absolute,to:'2017-06-14T12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6" s="197" t="str">
        <f>IF(AA176&lt;VLOOKUP(AG176,Variables!$AC$3:$AD$8,2,FALSE),"Y","N")</f>
        <v>N</v>
      </c>
      <c r="X176" s="197">
        <f t="shared" si="50"/>
        <v>1</v>
      </c>
      <c r="Y176" s="197">
        <f t="shared" si="65"/>
        <v>9.8100000000000007E-2</v>
      </c>
      <c r="Z176" s="197">
        <f t="shared" si="64"/>
        <v>5.8949999999999996</v>
      </c>
      <c r="AA176" s="197">
        <f t="shared" si="53"/>
        <v>5.7968999999999999</v>
      </c>
      <c r="AB176" s="54" t="e">
        <f>VLOOKUP(A176,Enforcements!$C$7:$K$13,8,0)</f>
        <v>#N/A</v>
      </c>
      <c r="AC176" s="51" t="e">
        <f>VLOOKUP(A176,Enforcements!$C$7:$E$13,3,0)</f>
        <v>#N/A</v>
      </c>
      <c r="AD176" s="206">
        <f t="shared" si="54"/>
        <v>817</v>
      </c>
      <c r="AE176" s="77" t="str">
        <f t="shared" si="55"/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AF176" s="74" t="str">
        <f t="shared" si="56"/>
        <v>"C:\Program Files (x86)\AstroGrep\AstroGrep.exe" /e /r /s /spath="%USERPROFILE%\AppData\Local\Temp\OnboardLogs" /stypes="app*4020*20170614*" /stext=" 17:.+((SYSTEM_STATE.+slice.+state.+changed )|(ment ac)|(multiple cpu faults)|(system.+state.+changed )|(\[timeout)|(PRM\|1\|D)|(kpr)|(kdp)|(train st.+moving)|(\|lc)|(penalty))"</v>
      </c>
      <c r="AG176" s="209" t="str">
        <f t="shared" si="61"/>
        <v>NW</v>
      </c>
      <c r="AH176" s="78" t="str">
        <f t="shared" si="57"/>
        <v>"%USERPROFILE%\Documents\GitHub\eaglep3\Utilities\RefineRTDCRunTimes.py" --tripid 817-14 --locoid 4020 --swversion DE.1.0.9.0 --startMP 204:981 --initTime 2017-06-14T10:56:46 --startdatetime 2017-06-14T11:21:37 --delay 0 --endMP 300:58950 --enddatetime 2017-06-14T11:36:39 --enforcementcount 2 &gt;&gt;C:\Users\stu\Documents\GitHub\eaglep3-reporting\EC\2017-06-14-refined-times.txt</v>
      </c>
      <c r="AI176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{"issue":{"subject":"","project_id":79,"tracker_id":40,"status_id":1,"priority_id":2,"assigned_to_id":23,"start_date":"2017-06-14","description":"","custom_fields":[{"id":1,"name":"Subdivision","value":"NW"},{"id":4,"name":"Milepost","value":"5.895"},{"id":17,"name":"Train ID","value":"817-14"},{"id":16,"name":"Locomotive ID","value":"4020"},{"id":130,"name":"Impact","value":""},{"id":150,"name":"Time of Event (Mountain Time)","value":"11:36:39"},{"id":151,"name":"Denver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2" t="str">
        <f t="shared" si="59"/>
        <v>start /low /b %USERPROFILE%\Documents\GitHub\eaglep3\Utilities\DownloadLogsFromS3.py --loco 4020 --day 2017-06-14</v>
      </c>
      <c r="AN176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17:36:39"},{"id":29,"name":"Sharepoint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7" spans="1:91" x14ac:dyDescent="0.25">
      <c r="A177" s="32" t="s">
        <v>735</v>
      </c>
      <c r="B177" s="7">
        <v>4019</v>
      </c>
      <c r="C177" s="21" t="s">
        <v>202</v>
      </c>
      <c r="D177" s="21" t="s">
        <v>585</v>
      </c>
      <c r="E177" s="13">
        <v>42900.485000000001</v>
      </c>
      <c r="F177" s="13">
        <v>42900.486574074072</v>
      </c>
      <c r="G177" s="7">
        <v>0</v>
      </c>
      <c r="H177" s="21" t="s">
        <v>942</v>
      </c>
      <c r="I177" s="13">
        <v>42900.496979166666</v>
      </c>
      <c r="J177" s="7">
        <v>2</v>
      </c>
      <c r="K177" s="89" t="str">
        <f t="shared" si="46"/>
        <v>4019/4020</v>
      </c>
      <c r="L177" s="21" t="str">
        <f>VLOOKUP(A177,'Trips&amp;Operators'!$C$1:$G$99999,5,FALSE)</f>
        <v>GEBRETEKLE DAGNEW</v>
      </c>
      <c r="M177" s="6">
        <f t="shared" si="47"/>
        <v>1.0405092594737653E-2</v>
      </c>
      <c r="N177" s="7">
        <f t="shared" si="62"/>
        <v>14.98333333642222</v>
      </c>
      <c r="O177" s="7"/>
      <c r="P177" s="7"/>
      <c r="Q177" s="22"/>
      <c r="R177" s="170"/>
      <c r="S177" s="215">
        <f t="shared" si="66"/>
        <v>1</v>
      </c>
      <c r="T177" s="195" t="str">
        <f t="shared" si="48"/>
        <v>Southbound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 t="shared" si="49"/>
        <v>https://d0f6bd738d7f1b3e5a7ca70fe4ff75f0.us-east-1.aws.found.io/app/kibana#/discover/Steve-Slow-Train-Analysis-(2080s-and-2083s)?_g=(refreshInterval:(display:Off,pause:!f,section:0,value:0),time:(from:'2017-06-14T10:38:24-0600',mode:absolute,to:'2017-06-14T12:55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7" s="197" t="str">
        <f>IF(AA177&lt;VLOOKUP(AG177,Variables!$AC$3:$AD$8,2,FALSE),"Y","N")</f>
        <v>N</v>
      </c>
      <c r="X177" s="197">
        <f t="shared" si="50"/>
        <v>1</v>
      </c>
      <c r="Y177" s="197">
        <f t="shared" si="65"/>
        <v>5.8625999999999996</v>
      </c>
      <c r="Z177" s="197">
        <f t="shared" si="64"/>
        <v>7.0099999999999996E-2</v>
      </c>
      <c r="AA177" s="197">
        <f t="shared" si="53"/>
        <v>5.7924999999999995</v>
      </c>
      <c r="AB177" s="54" t="e">
        <f>VLOOKUP(A177,Enforcements!$C$7:$K$13,8,0)</f>
        <v>#N/A</v>
      </c>
      <c r="AC177" s="51" t="e">
        <f>VLOOKUP(A177,Enforcements!$C$7:$E$13,3,0)</f>
        <v>#N/A</v>
      </c>
      <c r="AD177" s="206">
        <f t="shared" si="54"/>
        <v>818</v>
      </c>
      <c r="AE177" s="77" t="str">
        <f t="shared" si="55"/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AF177" s="74" t="str">
        <f t="shared" si="56"/>
        <v>"C:\Program Files (x86)\AstroGrep\AstroGrep.exe" /e /r /s /spath="%USERPROFILE%\AppData\Local\Temp\OnboardLogs" /stypes="app*4019*20170614*" /stext=" 17:.+((SYSTEM_STATE.+slice.+state.+changed )|(ment ac)|(multiple cpu faults)|(system.+state.+changed )|(\[timeout)|(PRM\|1\|D)|(kpr)|(kdp)|(train st.+moving)|(\|lc)|(penalty))"</v>
      </c>
      <c r="AG177" s="209" t="str">
        <f t="shared" si="61"/>
        <v>NW</v>
      </c>
      <c r="AH177" s="78" t="str">
        <f t="shared" si="57"/>
        <v>"%USERPROFILE%\Documents\GitHub\eaglep3\Utilities\RefineRTDCRunTimes.py" --tripid 818-14 --locoid 4019 --swversion DE.1.0.9.0 --startMP 300:58626 --initTime 2017-06-14T11:38:24 --startdatetime 2017-06-14T11:40:40 --delay 0 --endMP 204:701 --enddatetime 2017-06-14T11:55:39 --enforcementcount 2 &gt;&gt;C:\Users\stu\Documents\GitHub\eaglep3-reporting\EC\2017-06-14-refined-times.txt</v>
      </c>
      <c r="AI177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{"issue":{"subject":"","project_id":79,"tracker_id":40,"status_id":1,"priority_id":2,"assigned_to_id":23,"start_date":"2017-06-14","description":"","custom_fields":[{"id":1,"name":"Subdivision","value":"NW"},{"id":4,"name":"Milepost","value":"0.0701"},{"id":17,"name":"Train ID","value":"818-14"},{"id":16,"name":"Locomotive ID","value":"4019"},{"id":130,"name":"Impact","value":""},{"id":150,"name":"Time of Event (Mountain Time)","value":"11:55:39"},{"id":151,"name":"Denver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2" t="str">
        <f t="shared" si="59"/>
        <v>start /low /b %USERPROFILE%\Documents\GitHub\eaglep3\Utilities\DownloadLogsFromS3.py --loco 4019 --day 2017-06-14</v>
      </c>
      <c r="AN177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17:55:39"},{"id":29,"name":"Sharepoint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8" spans="1:91" s="20" customFormat="1" x14ac:dyDescent="0.25">
      <c r="A178" s="32" t="s">
        <v>739</v>
      </c>
      <c r="B178" s="7">
        <v>4020</v>
      </c>
      <c r="C178" s="21" t="s">
        <v>202</v>
      </c>
      <c r="D178" s="21" t="s">
        <v>936</v>
      </c>
      <c r="E178" s="13">
        <v>42900.498379629629</v>
      </c>
      <c r="F178" s="13">
        <v>42900.514918981484</v>
      </c>
      <c r="G178" s="7">
        <v>1</v>
      </c>
      <c r="H178" s="21" t="s">
        <v>940</v>
      </c>
      <c r="I178" s="13">
        <v>42900.524988425925</v>
      </c>
      <c r="J178" s="7">
        <v>2</v>
      </c>
      <c r="K178" s="89" t="str">
        <f t="shared" si="46"/>
        <v>4019/4020</v>
      </c>
      <c r="L178" s="21" t="str">
        <f>VLOOKUP(A178,'Trips&amp;Operators'!$C$1:$G$99999,5,FALSE)</f>
        <v>GEBRETEKLE DAGNEW</v>
      </c>
      <c r="M178" s="6">
        <f t="shared" si="47"/>
        <v>1.006944444088731E-2</v>
      </c>
      <c r="N178" s="7">
        <f t="shared" si="62"/>
        <v>14.499999994877726</v>
      </c>
      <c r="O178" s="7"/>
      <c r="P178" s="7"/>
      <c r="Q178" s="22"/>
      <c r="R178" s="170"/>
      <c r="S178" s="215">
        <f t="shared" si="66"/>
        <v>1</v>
      </c>
      <c r="T178" s="195" t="str">
        <f t="shared" si="48"/>
        <v>NorthBound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 t="shared" si="49"/>
        <v>https://d0f6bd738d7f1b3e5a7ca70fe4ff75f0.us-east-1.aws.found.io/app/kibana#/discover/Steve-Slow-Train-Analysis-(2080s-and-2083s)?_g=(refreshInterval:(display:Off,pause:!f,section:0,value:0),time:(from:'2017-06-14T10:57:40-0600',mode:absolute,to:'2017-06-14T13:35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8" s="197" t="str">
        <f>IF(AA178&lt;VLOOKUP(AG178,Variables!$AC$3:$AD$8,2,FALSE),"Y","N")</f>
        <v>N</v>
      </c>
      <c r="X178" s="197">
        <f t="shared" si="50"/>
        <v>1</v>
      </c>
      <c r="Y178" s="197">
        <f t="shared" si="65"/>
        <v>9.7799999999999998E-2</v>
      </c>
      <c r="Z178" s="197">
        <f t="shared" si="64"/>
        <v>5.8987999999999996</v>
      </c>
      <c r="AA178" s="197">
        <f t="shared" si="53"/>
        <v>5.8009999999999993</v>
      </c>
      <c r="AB178" s="54" t="e">
        <f>VLOOKUP(A178,Enforcements!$C$7:$K$13,8,0)</f>
        <v>#N/A</v>
      </c>
      <c r="AC178" s="51" t="e">
        <f>VLOOKUP(A178,Enforcements!$C$7:$E$13,3,0)</f>
        <v>#N/A</v>
      </c>
      <c r="AD178" s="206">
        <f t="shared" si="54"/>
        <v>819</v>
      </c>
      <c r="AE178" s="77" t="str">
        <f t="shared" si="55"/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AF178" s="74" t="str">
        <f t="shared" si="56"/>
        <v>"C:\Program Files (x86)\AstroGrep\AstroGrep.exe" /e /r /s /spath="%USERPROFILE%\AppData\Local\Temp\OnboardLogs" /stypes="app*4020*20170614*" /stext=" 18:.+((SYSTEM_STATE.+slice.+state.+changed )|(ment ac)|(multiple cpu faults)|(system.+state.+changed )|(\[timeout)|(PRM\|1\|D)|(kpr)|(kdp)|(train st.+moving)|(\|lc)|(penalty))"</v>
      </c>
      <c r="AG178" s="209" t="str">
        <f t="shared" si="61"/>
        <v>NW</v>
      </c>
      <c r="AH178" s="78" t="str">
        <f t="shared" si="57"/>
        <v>"%USERPROFILE%\Documents\GitHub\eaglep3\Utilities\RefineRTDCRunTimes.py" --tripid 819-14 --locoid 4020 --swversion DE.1.0.9.0 --startMP 204:978 --initTime 2017-06-14T11:57:40 --startdatetime 2017-06-14T12:21:29 --delay 1 --endMP 300:58988 --enddatetime 2017-06-14T12:35:59 --enforcementcount 2 &gt;&gt;C:\Users\stu\Documents\GitHub\eaglep3-reporting\EC\2017-06-14-refined-times.txt</v>
      </c>
      <c r="AI178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{"issue":{"subject":"","project_id":79,"tracker_id":40,"status_id":1,"priority_id":2,"assigned_to_id":23,"start_date":"2017-06-14","description":"","custom_fields":[{"id":1,"name":"Subdivision","value":"NW"},{"id":4,"name":"Milepost","value":"5.8988"},{"id":17,"name":"Train ID","value":"819-14"},{"id":16,"name":"Locomotive ID","value":"4020"},{"id":130,"name":"Impact","value":""},{"id":150,"name":"Time of Event (Mountain Time)","value":"12:35:59"},{"id":151,"name":"Denver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8" s="47"/>
      <c r="AL178" s="47"/>
      <c r="AM178" s="142" t="str">
        <f t="shared" si="59"/>
        <v>start /low /b %USERPROFILE%\Documents\GitHub\eaglep3\Utilities\DownloadLogsFromS3.py --loco 4020 --day 2017-06-14</v>
      </c>
      <c r="AN178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18:35:59"},{"id":29,"name":"Sharepoint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72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2" t="s">
        <v>747</v>
      </c>
      <c r="B179" s="7">
        <v>4019</v>
      </c>
      <c r="C179" s="21" t="s">
        <v>202</v>
      </c>
      <c r="D179" s="21" t="s">
        <v>943</v>
      </c>
      <c r="E179" s="13">
        <v>42900.526250000003</v>
      </c>
      <c r="F179" s="13">
        <v>42900.544166666667</v>
      </c>
      <c r="G179" s="7">
        <v>0</v>
      </c>
      <c r="H179" s="21" t="s">
        <v>938</v>
      </c>
      <c r="I179" s="13">
        <v>42900.552858796298</v>
      </c>
      <c r="J179" s="7">
        <v>2</v>
      </c>
      <c r="K179" s="89" t="str">
        <f t="shared" si="46"/>
        <v>4019/4020</v>
      </c>
      <c r="L179" s="21" t="str">
        <f>VLOOKUP(A179,'Trips&amp;Operators'!$C$1:$G$99999,5,FALSE)</f>
        <v>GEBRETEKLE DAGNEW</v>
      </c>
      <c r="M179" s="6">
        <f t="shared" si="47"/>
        <v>8.6921296315267682E-3</v>
      </c>
      <c r="N179" s="7">
        <f t="shared" si="62"/>
        <v>12.516666669398546</v>
      </c>
      <c r="O179" s="7"/>
      <c r="P179" s="7"/>
      <c r="Q179" s="22"/>
      <c r="R179" s="170"/>
      <c r="S179" s="215">
        <f t="shared" si="66"/>
        <v>1</v>
      </c>
      <c r="T179" s="195" t="str">
        <f t="shared" si="48"/>
        <v>Southbound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 t="shared" si="49"/>
        <v>https://d0f6bd738d7f1b3e5a7ca70fe4ff75f0.us-east-1.aws.found.io/app/kibana#/discover/Steve-Slow-Train-Analysis-(2080s-and-2083s)?_g=(refreshInterval:(display:Off,pause:!f,section:0,value:0),time:(from:'2017-06-14T11:37:48-0600',mode:absolute,to:'2017-06-14T14:16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9" s="197" t="str">
        <f>IF(AA179&lt;VLOOKUP(AG179,Variables!$AC$3:$AD$8,2,FALSE),"Y","N")</f>
        <v>N</v>
      </c>
      <c r="X179" s="197">
        <f t="shared" si="50"/>
        <v>1</v>
      </c>
      <c r="Y179" s="197">
        <f t="shared" si="65"/>
        <v>5.8663999999999996</v>
      </c>
      <c r="Z179" s="197">
        <f t="shared" si="64"/>
        <v>6.9099999999999995E-2</v>
      </c>
      <c r="AA179" s="197">
        <f t="shared" si="53"/>
        <v>5.7972999999999999</v>
      </c>
      <c r="AB179" s="54" t="e">
        <f>VLOOKUP(A179,Enforcements!$C$7:$K$13,8,0)</f>
        <v>#N/A</v>
      </c>
      <c r="AC179" s="51" t="e">
        <f>VLOOKUP(A179,Enforcements!$C$7:$E$13,3,0)</f>
        <v>#N/A</v>
      </c>
      <c r="AD179" s="206">
        <f t="shared" si="54"/>
        <v>820</v>
      </c>
      <c r="AE179" s="77" t="str">
        <f t="shared" si="55"/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AF179" s="74" t="str">
        <f t="shared" si="56"/>
        <v>"C:\Program Files (x86)\AstroGrep\AstroGrep.exe" /e /r /s /spath="%USERPROFILE%\AppData\Local\Temp\OnboardLogs" /stypes="app*4019*20170614*" /stext=" 19:.+((SYSTEM_STATE.+slice.+state.+changed )|(ment ac)|(multiple cpu faults)|(system.+state.+changed )|(\[timeout)|(PRM\|1\|D)|(kpr)|(kdp)|(train st.+moving)|(\|lc)|(penalty))"</v>
      </c>
      <c r="AG179" s="209" t="str">
        <f t="shared" si="61"/>
        <v>NW</v>
      </c>
      <c r="AH179" s="78" t="str">
        <f t="shared" si="57"/>
        <v>"%USERPROFILE%\Documents\GitHub\eaglep3\Utilities\RefineRTDCRunTimes.py" --tripid 820-14 --locoid 4019 --swversion DE.1.0.9.0 --startMP 300:58664 --initTime 2017-06-14T12:37:48 --startdatetime 2017-06-14T13:03:36 --delay 0 --endMP 204:691 --enddatetime 2017-06-14T13:16:07 --enforcementcount 2 &gt;&gt;C:\Users\stu\Documents\GitHub\eaglep3-reporting\EC\2017-06-14-refined-times.txt</v>
      </c>
      <c r="AI179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{"issue":{"subject":"","project_id":79,"tracker_id":40,"status_id":1,"priority_id":2,"assigned_to_id":23,"start_date":"2017-06-14","description":"","custom_fields":[{"id":1,"name":"Subdivision","value":"NW"},{"id":4,"name":"Milepost","value":"0.0691"},{"id":17,"name":"Train ID","value":"820-14"},{"id":16,"name":"Locomotive ID","value":"4019"},{"id":130,"name":"Impact","value":""},{"id":150,"name":"Time of Event (Mountain Time)","value":"13:16:07"},{"id":151,"name":"Denver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9" s="47"/>
      <c r="AL179" s="47"/>
      <c r="AM179" s="142" t="str">
        <f t="shared" si="59"/>
        <v>start /low /b %USERPROFILE%\Documents\GitHub\eaglep3\Utilities\DownloadLogsFromS3.py --loco 4019 --day 2017-06-14</v>
      </c>
      <c r="AN179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19:16:07"},{"id":29,"name":"Sharepoint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72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32" t="s">
        <v>754</v>
      </c>
      <c r="B180" s="7">
        <v>4020</v>
      </c>
      <c r="C180" s="21" t="s">
        <v>202</v>
      </c>
      <c r="D180" s="21" t="s">
        <v>944</v>
      </c>
      <c r="E180" s="13">
        <v>42900.558125000003</v>
      </c>
      <c r="F180" s="13">
        <v>42900.557916666665</v>
      </c>
      <c r="G180" s="7">
        <v>0</v>
      </c>
      <c r="H180" s="21" t="s">
        <v>527</v>
      </c>
      <c r="I180" s="13">
        <v>42900.571215277778</v>
      </c>
      <c r="J180" s="7">
        <v>2</v>
      </c>
      <c r="K180" s="89" t="str">
        <f t="shared" si="46"/>
        <v>4019/4020</v>
      </c>
      <c r="L180" s="21" t="str">
        <f>VLOOKUP(A180,'Trips&amp;Operators'!$C$1:$G$99999,5,FALSE)</f>
        <v>NELSON ARIANE</v>
      </c>
      <c r="M180" s="6">
        <f t="shared" si="47"/>
        <v>1.3298611112986691E-2</v>
      </c>
      <c r="N180" s="7">
        <f t="shared" si="62"/>
        <v>19.150000002700835</v>
      </c>
      <c r="O180" s="7"/>
      <c r="P180" s="7"/>
      <c r="Q180" s="22"/>
      <c r="R180" s="170" t="s">
        <v>1007</v>
      </c>
      <c r="S180" s="215">
        <f t="shared" si="66"/>
        <v>1</v>
      </c>
      <c r="T180" s="195" t="str">
        <f t="shared" si="48"/>
        <v>NorthBound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 t="shared" si="49"/>
        <v>https://d0f6bd738d7f1b3e5a7ca70fe4ff75f0.us-east-1.aws.found.io/app/kibana#/discover/Steve-Slow-Train-Analysis-(2080s-and-2083s)?_g=(refreshInterval:(display:Off,pause:!f,section:0,value:0),time:(from:'2017-06-14T12:23:42-0600',mode:absolute,to:'2017-06-14T14:42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0" s="197" t="str">
        <f>IF(AA180&lt;VLOOKUP(AG180,Variables!$AC$3:$AD$8,2,FALSE),"Y","N")</f>
        <v>N</v>
      </c>
      <c r="X180" s="197">
        <f t="shared" si="50"/>
        <v>1</v>
      </c>
      <c r="Y180" s="197">
        <f t="shared" si="65"/>
        <v>0.13170000000000001</v>
      </c>
      <c r="Z180" s="197">
        <f t="shared" si="64"/>
        <v>5.8952</v>
      </c>
      <c r="AA180" s="197">
        <f t="shared" si="53"/>
        <v>5.7634999999999996</v>
      </c>
      <c r="AB180" s="54" t="e">
        <f>VLOOKUP(A180,Enforcements!$C$7:$K$13,8,0)</f>
        <v>#N/A</v>
      </c>
      <c r="AC180" s="51" t="e">
        <f>VLOOKUP(A180,Enforcements!$C$7:$E$13,3,0)</f>
        <v>#N/A</v>
      </c>
      <c r="AD180" s="206">
        <f t="shared" si="54"/>
        <v>821</v>
      </c>
      <c r="AE180" s="77" t="str">
        <f t="shared" si="55"/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AF180" s="74" t="str">
        <f t="shared" si="56"/>
        <v>"C:\Program Files (x86)\AstroGrep\AstroGrep.exe" /e /r /s /spath="%USERPROFILE%\AppData\Local\Temp\OnboardLogs" /stypes="app*4020*20170614*" /stext=" 19:.+((SYSTEM_STATE.+slice.+state.+changed )|(ment ac)|(multiple cpu faults)|(system.+state.+changed )|(\[timeout)|(PRM\|1\|D)|(kpr)|(kdp)|(train st.+moving)|(\|lc)|(penalty))"</v>
      </c>
      <c r="AG180" s="209" t="str">
        <f t="shared" si="61"/>
        <v>NW</v>
      </c>
      <c r="AH180" s="78" t="str">
        <f t="shared" si="57"/>
        <v>"%USERPROFILE%\Documents\GitHub\eaglep3\Utilities\RefineRTDCRunTimes.py" --tripid 821-14 --locoid 4020 --swversion DE.1.0.9.0 --startMP 204:1317 --initTime 2017-06-14T13:23:42 --startdatetime 2017-06-14T13:23:24 --delay 0 --endMP 300:58952 --enddatetime 2017-06-14T13:42:33 --enforcementcount 2 &gt;&gt;C:\Users\stu\Documents\GitHub\eaglep3-reporting\EC\2017-06-14-refined-times.txt</v>
      </c>
      <c r="AI180" s="96" t="str">
        <f t="shared" si="58"/>
        <v>echo {"issue":{"subject":"Delayed by poor GPS at DUS","project_id":79,"tracker_id":40,"status_id":1,"priority_id":2,"assigned_to_id":23,"start_date":"2017-06-14","description":"","custom_fields":[{"id":1,"name":"Subdivision","value":"NW"},{"id":4,"name":"Milepost","value":"5.8952"},{"id":17,"name":"Train ID","value":"821-14"},{"id":16,"name":"Locomotive ID","value":"4020"},{"id":130,"name":"Impact","value":""},{"id":150,"name":"Time of Event (Mountain Time)","value":"13:42:33"},{"id":151,"name":"Denver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0" s="47"/>
      <c r="AL180" s="47"/>
      <c r="AM180" s="142" t="str">
        <f t="shared" si="59"/>
        <v>start /low /b %USERPROFILE%\Documents\GitHub\eaglep3\Utilities\DownloadLogsFromS3.py --loco 4020 --day 2017-06-14</v>
      </c>
      <c r="AN180" s="151" t="str">
        <f t="shared" si="60"/>
        <v>echo {"issue":{"subject":"Delayed by poor GPS at DUS","project_id":30,"tracker_id":4,"status_id":1,"priority_id":1,"assigned_to_id":10,"start_date":"2017-06-14","description":"","custom_fields":[{"id":30,"name":"Category","value":"Issue"},{"id":3,"name":"Functional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19:42:33"},{"id":29,"name":"Sharepoint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72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2" t="s">
        <v>759</v>
      </c>
      <c r="B181" s="7">
        <v>4019</v>
      </c>
      <c r="C181" s="21" t="s">
        <v>202</v>
      </c>
      <c r="D181" s="21" t="s">
        <v>484</v>
      </c>
      <c r="E181" s="13">
        <v>42900.572638888887</v>
      </c>
      <c r="F181" s="13">
        <v>42900.57408564815</v>
      </c>
      <c r="G181" s="7">
        <v>1</v>
      </c>
      <c r="H181" s="21" t="s">
        <v>938</v>
      </c>
      <c r="I181" s="13">
        <v>42900.585219907407</v>
      </c>
      <c r="J181" s="7">
        <v>2</v>
      </c>
      <c r="K181" s="89" t="str">
        <f t="shared" si="46"/>
        <v>4019/4020</v>
      </c>
      <c r="L181" s="21" t="str">
        <f>VLOOKUP(A181,'Trips&amp;Operators'!$C$1:$G$99999,5,FALSE)</f>
        <v>NELSON ARIANE</v>
      </c>
      <c r="M181" s="6">
        <f t="shared" si="47"/>
        <v>1.113425925723277E-2</v>
      </c>
      <c r="N181" s="7">
        <f t="shared" si="62"/>
        <v>16.033333330415189</v>
      </c>
      <c r="O181" s="7"/>
      <c r="P181" s="7"/>
      <c r="Q181" s="22"/>
      <c r="R181" s="170"/>
      <c r="S181" s="215">
        <f t="shared" si="66"/>
        <v>1</v>
      </c>
      <c r="T181" s="195" t="str">
        <f t="shared" si="48"/>
        <v>Southbound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 t="shared" si="49"/>
        <v>https://d0f6bd738d7f1b3e5a7ca70fe4ff75f0.us-east-1.aws.found.io/app/kibana#/discover/Steve-Slow-Train-Analysis-(2080s-and-2083s)?_g=(refreshInterval:(display:Off,pause:!f,section:0,value:0),time:(from:'2017-06-14T12:44:36-0600',mode:absolute,to:'2017-06-14T15:02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1" s="197" t="str">
        <f>IF(AA181&lt;VLOOKUP(AG181,Variables!$AC$3:$AD$8,2,FALSE),"Y","N")</f>
        <v>N</v>
      </c>
      <c r="X181" s="197">
        <f t="shared" si="50"/>
        <v>1</v>
      </c>
      <c r="Y181" s="197">
        <f t="shared" si="65"/>
        <v>5.8635999999999999</v>
      </c>
      <c r="Z181" s="197">
        <f t="shared" si="64"/>
        <v>6.9099999999999995E-2</v>
      </c>
      <c r="AA181" s="197">
        <f t="shared" si="53"/>
        <v>5.7945000000000002</v>
      </c>
      <c r="AB181" s="54" t="e">
        <f>VLOOKUP(A181,Enforcements!$C$7:$K$13,8,0)</f>
        <v>#N/A</v>
      </c>
      <c r="AC181" s="51" t="e">
        <f>VLOOKUP(A181,Enforcements!$C$7:$E$13,3,0)</f>
        <v>#N/A</v>
      </c>
      <c r="AD181" s="206">
        <f t="shared" si="54"/>
        <v>822</v>
      </c>
      <c r="AE181" s="77" t="str">
        <f t="shared" si="55"/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AF181" s="74" t="str">
        <f t="shared" si="56"/>
        <v>"C:\Program Files (x86)\AstroGrep\AstroGrep.exe" /e /r /s /spath="%USERPROFILE%\AppData\Local\Temp\OnboardLogs" /stypes="app*4019*20170614*" /stext=" 20:.+((SYSTEM_STATE.+slice.+state.+changed )|(ment ac)|(multiple cpu faults)|(system.+state.+changed )|(\[timeout)|(PRM\|1\|D)|(kpr)|(kdp)|(train st.+moving)|(\|lc)|(penalty))"</v>
      </c>
      <c r="AG181" s="209" t="str">
        <f t="shared" si="61"/>
        <v>NW</v>
      </c>
      <c r="AH181" s="78" t="str">
        <f t="shared" si="57"/>
        <v>"%USERPROFILE%\Documents\GitHub\eaglep3\Utilities\RefineRTDCRunTimes.py" --tripid 822-14 --locoid 4019 --swversion DE.1.0.9.0 --startMP 300:58636 --initTime 2017-06-14T13:44:36 --startdatetime 2017-06-14T13:46:41 --delay 1 --endMP 204:691 --enddatetime 2017-06-14T14:02:43 --enforcementcount 2 &gt;&gt;C:\Users\stu\Documents\GitHub\eaglep3-reporting\EC\2017-06-14-refined-times.txt</v>
      </c>
      <c r="AI181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{"issue":{"subject":"","project_id":79,"tracker_id":40,"status_id":1,"priority_id":2,"assigned_to_id":23,"start_date":"2017-06-14","description":"","custom_fields":[{"id":1,"name":"Subdivision","value":"NW"},{"id":4,"name":"Milepost","value":"0.0691"},{"id":17,"name":"Train ID","value":"822-14"},{"id":16,"name":"Locomotive ID","value":"4019"},{"id":130,"name":"Impact","value":""},{"id":150,"name":"Time of Event (Mountain Time)","value":"14:02:43"},{"id":151,"name":"Denver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2" t="str">
        <f t="shared" si="59"/>
        <v>start /low /b %USERPROFILE%\Documents\GitHub\eaglep3\Utilities\DownloadLogsFromS3.py --loco 4019 --day 2017-06-14</v>
      </c>
      <c r="AN181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20:02:43"},{"id":29,"name":"Sharepoint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x14ac:dyDescent="0.25">
      <c r="A182" s="32" t="s">
        <v>626</v>
      </c>
      <c r="B182" s="7">
        <v>4020</v>
      </c>
      <c r="C182" s="21" t="s">
        <v>202</v>
      </c>
      <c r="D182" s="21" t="s">
        <v>936</v>
      </c>
      <c r="E182" s="13">
        <v>42900.593113425923</v>
      </c>
      <c r="F182" s="13">
        <v>42900.598252314812</v>
      </c>
      <c r="G182" s="7">
        <v>1</v>
      </c>
      <c r="H182" s="21" t="s">
        <v>945</v>
      </c>
      <c r="I182" s="13">
        <v>42900.608749999999</v>
      </c>
      <c r="J182" s="7">
        <v>2</v>
      </c>
      <c r="K182" s="89" t="str">
        <f t="shared" si="46"/>
        <v>4019/4020</v>
      </c>
      <c r="L182" s="21" t="str">
        <f>VLOOKUP(A182,'Trips&amp;Operators'!$C$1:$G$99999,5,FALSE)</f>
        <v>NELSON ARIANE</v>
      </c>
      <c r="M182" s="6">
        <f t="shared" si="47"/>
        <v>1.0497685187146999E-2</v>
      </c>
      <c r="N182" s="7">
        <f t="shared" si="62"/>
        <v>15.116666669491678</v>
      </c>
      <c r="O182" s="7"/>
      <c r="P182" s="7"/>
      <c r="Q182" s="22"/>
      <c r="R182" s="170"/>
      <c r="S182" s="215">
        <f t="shared" si="66"/>
        <v>1</v>
      </c>
      <c r="T182" s="195" t="str">
        <f t="shared" si="48"/>
        <v>NorthBound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 t="shared" si="49"/>
        <v>https://d0f6bd738d7f1b3e5a7ca70fe4ff75f0.us-east-1.aws.found.io/app/kibana#/discover/Steve-Slow-Train-Analysis-(2080s-and-2083s)?_g=(refreshInterval:(display:Off,pause:!f,section:0,value:0),time:(from:'2017-06-14T13:14:05-0600',mode:absolute,to:'2017-06-14T15:36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2" s="197" t="str">
        <f>IF(AA182&lt;VLOOKUP(AG182,Variables!$AC$3:$AD$8,2,FALSE),"Y","N")</f>
        <v>N</v>
      </c>
      <c r="X182" s="197">
        <f t="shared" si="50"/>
        <v>1</v>
      </c>
      <c r="Y182" s="197">
        <f t="shared" si="65"/>
        <v>9.7799999999999998E-2</v>
      </c>
      <c r="Z182" s="197">
        <f t="shared" si="64"/>
        <v>5.8954000000000004</v>
      </c>
      <c r="AA182" s="197">
        <f t="shared" si="53"/>
        <v>5.7976000000000001</v>
      </c>
      <c r="AB182" s="54" t="e">
        <f>VLOOKUP(A182,Enforcements!$C$7:$K$13,8,0)</f>
        <v>#N/A</v>
      </c>
      <c r="AC182" s="51" t="e">
        <f>VLOOKUP(A182,Enforcements!$C$7:$E$13,3,0)</f>
        <v>#N/A</v>
      </c>
      <c r="AD182" s="206">
        <f t="shared" si="54"/>
        <v>823</v>
      </c>
      <c r="AE182" s="77" t="str">
        <f t="shared" si="55"/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AF182" s="74" t="str">
        <f t="shared" si="56"/>
        <v>"C:\Program Files (x86)\AstroGrep\AstroGrep.exe" /e /r /s /spath="%USERPROFILE%\AppData\Local\Temp\OnboardLogs" /stypes="app*4020*20170614*" /stext=" 20:.+((SYSTEM_STATE.+slice.+state.+changed )|(ment ac)|(multiple cpu faults)|(system.+state.+changed )|(\[timeout)|(PRM\|1\|D)|(kpr)|(kdp)|(train st.+moving)|(\|lc)|(penalty))"</v>
      </c>
      <c r="AG182" s="209" t="str">
        <f t="shared" si="61"/>
        <v>NW</v>
      </c>
      <c r="AH182" s="78" t="str">
        <f t="shared" si="57"/>
        <v>"%USERPROFILE%\Documents\GitHub\eaglep3\Utilities\RefineRTDCRunTimes.py" --tripid 823-14 --locoid 4020 --swversion DE.1.0.9.0 --startMP 204:978 --initTime 2017-06-14T14:14:05 --startdatetime 2017-06-14T14:21:29 --delay 1 --endMP 300:58954 --enddatetime 2017-06-14T14:36:36 --enforcementcount 2 &gt;&gt;C:\Users\stu\Documents\GitHub\eaglep3-reporting\EC\2017-06-14-refined-times.txt</v>
      </c>
      <c r="AI182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{"issue":{"subject":"","project_id":79,"tracker_id":40,"status_id":1,"priority_id":2,"assigned_to_id":23,"start_date":"2017-06-14","description":"","custom_fields":[{"id":1,"name":"Subdivision","value":"NW"},{"id":4,"name":"Milepost","value":"5.8954"},{"id":17,"name":"Train ID","value":"823-14"},{"id":16,"name":"Locomotive ID","value":"4020"},{"id":130,"name":"Impact","value":""},{"id":150,"name":"Time of Event (Mountain Time)","value":"14:36:36"},{"id":151,"name":"Denver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2" t="str">
        <f t="shared" si="59"/>
        <v>start /low /b %USERPROFILE%\Documents\GitHub\eaglep3\Utilities\DownloadLogsFromS3.py --loco 4020 --day 2017-06-14</v>
      </c>
      <c r="AN182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20:36:36"},{"id":29,"name":"Sharepoint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s="20" customFormat="1" x14ac:dyDescent="0.25">
      <c r="A183" s="32" t="s">
        <v>767</v>
      </c>
      <c r="B183" s="7">
        <v>4019</v>
      </c>
      <c r="C183" s="21" t="s">
        <v>202</v>
      </c>
      <c r="D183" s="21" t="s">
        <v>936</v>
      </c>
      <c r="E183" s="13">
        <v>42900.593113425923</v>
      </c>
      <c r="F183" s="13">
        <v>42900.612974537034</v>
      </c>
      <c r="G183" s="7">
        <v>1</v>
      </c>
      <c r="H183" s="21" t="s">
        <v>945</v>
      </c>
      <c r="I183" s="13">
        <v>42900.625069444446</v>
      </c>
      <c r="J183" s="7">
        <v>2</v>
      </c>
      <c r="K183" s="89" t="str">
        <f t="shared" si="46"/>
        <v>4019/4020</v>
      </c>
      <c r="L183" s="21" t="str">
        <f>VLOOKUP(A183,'Trips&amp;Operators'!$C$1:$G$99999,5,FALSE)</f>
        <v>NELSON ARIANE</v>
      </c>
      <c r="M183" s="6">
        <f t="shared" si="47"/>
        <v>1.209490741166519E-2</v>
      </c>
      <c r="N183" s="7">
        <f t="shared" si="62"/>
        <v>17.416666672797874</v>
      </c>
      <c r="O183" s="7"/>
      <c r="P183" s="7"/>
      <c r="Q183" s="22"/>
      <c r="R183" s="170" t="s">
        <v>1000</v>
      </c>
      <c r="S183" s="215">
        <f t="shared" si="66"/>
        <v>1</v>
      </c>
      <c r="T183" s="195" t="str">
        <f t="shared" si="48"/>
        <v>Southbound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 t="shared" si="49"/>
        <v>https://d0f6bd738d7f1b3e5a7ca70fe4ff75f0.us-east-1.aws.found.io/app/kibana#/discover/Steve-Slow-Train-Analysis-(2080s-and-2083s)?_g=(refreshInterval:(display:Off,pause:!f,section:0,value:0),time:(from:'2017-06-14T13:14:05-0600',mode:absolute,to:'2017-06-14T16:00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3" s="197" t="str">
        <f>IF(AA183&lt;VLOOKUP(AG183,Variables!$AC$3:$AD$8,2,FALSE),"Y","N")</f>
        <v>N</v>
      </c>
      <c r="X183" s="197">
        <f t="shared" si="50"/>
        <v>1</v>
      </c>
      <c r="Y183" s="197">
        <v>5.8635999999999999</v>
      </c>
      <c r="Z183" s="197">
        <v>6.9099999999999995E-2</v>
      </c>
      <c r="AA183" s="197">
        <f t="shared" si="53"/>
        <v>5.7945000000000002</v>
      </c>
      <c r="AB183" s="54" t="e">
        <f>VLOOKUP(A183,Enforcements!$C$7:$K$13,8,0)</f>
        <v>#N/A</v>
      </c>
      <c r="AC183" s="51" t="e">
        <f>VLOOKUP(A183,Enforcements!$C$7:$E$13,3,0)</f>
        <v>#N/A</v>
      </c>
      <c r="AD183" s="206">
        <f t="shared" si="54"/>
        <v>824</v>
      </c>
      <c r="AE183" s="77" t="str">
        <f t="shared" si="55"/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AF183" s="74" t="str">
        <f t="shared" si="56"/>
        <v>"C:\Program Files (x86)\AstroGrep\AstroGrep.exe" /e /r /s /spath="%USERPROFILE%\AppData\Local\Temp\OnboardLogs" /stypes="app*4019*20170614*" /stext=" 21:.+((SYSTEM_STATE.+slice.+state.+changed )|(ment ac)|(multiple cpu faults)|(system.+state.+changed )|(\[timeout)|(PRM\|1\|D)|(kpr)|(kdp)|(train st.+moving)|(\|lc)|(penalty))"</v>
      </c>
      <c r="AG183" s="209" t="str">
        <f t="shared" si="61"/>
        <v>NW</v>
      </c>
      <c r="AH183" s="78" t="str">
        <f t="shared" si="57"/>
        <v>"%USERPROFILE%\Documents\GitHub\eaglep3\Utilities\RefineRTDCRunTimes.py" --tripid 824-14 --locoid 4019 --swversion DE.1.0.9.0 --startMP 204:978 --initTime 2017-06-14T14:14:05 --startdatetime 2017-06-14T14:42:41 --delay 1 --endMP 300:58954 --enddatetime 2017-06-14T15:00:06 --enforcementcount 2 &gt;&gt;C:\Users\stu\Documents\GitHub\eaglep3-reporting\EC\2017-06-14-refined-times.txt</v>
      </c>
      <c r="AI183" s="96" t="str">
        <f t="shared" si="58"/>
        <v>echo {"issue":{"subject":"Consist spam reported (Lundeen is fixing)","project_id":79,"tracker_id":40,"status_id":1,"priority_id":2,"assigned_to_id":23,"start_date":"2017-06-14","description":"","custom_fields":[{"id":1,"name":"Subdivision","value":"NW"},{"id":4,"name":"Milepost","value":"0.0691"},{"id":17,"name":"Train ID","value":"824-14"},{"id":16,"name":"Locomotive ID","value":"4019"},{"id":130,"name":"Impact","value":""},{"id":150,"name":"Time of Event (Mountain Time)","value":"15:00:06"},{"id":151,"name":"Denver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3" s="47"/>
      <c r="AL183" s="47"/>
      <c r="AM183" s="142" t="str">
        <f t="shared" si="59"/>
        <v>start /low /b %USERPROFILE%\Documents\GitHub\eaglep3\Utilities\DownloadLogsFromS3.py --loco 4019 --day 2017-06-14</v>
      </c>
      <c r="AN183" s="151" t="str">
        <f t="shared" si="60"/>
        <v>echo {"issue":{"subject":"Consist spam reported (Lundeen is fixing)","project_id":30,"tracker_id":4,"status_id":1,"priority_id":1,"assigned_to_id":10,"start_date":"2017-06-14","description":"","custom_fields":[{"id":30,"name":"Category","value":"Issue"},{"id":3,"name":"Functional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21:00:06"},{"id":29,"name":"Sharepoint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72"/>
    </row>
    <row r="184" spans="1:91" s="20" customFormat="1" x14ac:dyDescent="0.25">
      <c r="A184" s="32" t="s">
        <v>773</v>
      </c>
      <c r="B184" s="7">
        <v>4020</v>
      </c>
      <c r="C184" s="21" t="s">
        <v>202</v>
      </c>
      <c r="D184" s="21" t="s">
        <v>936</v>
      </c>
      <c r="E184" s="13">
        <v>42900.593113425923</v>
      </c>
      <c r="F184" s="13">
        <v>42900.636134259257</v>
      </c>
      <c r="G184" s="7">
        <v>1</v>
      </c>
      <c r="H184" s="21" t="s">
        <v>945</v>
      </c>
      <c r="I184" s="13">
        <v>42900.638888888891</v>
      </c>
      <c r="J184" s="7">
        <v>2</v>
      </c>
      <c r="K184" s="89" t="str">
        <f t="shared" si="46"/>
        <v>4019/4020</v>
      </c>
      <c r="L184" s="21" t="str">
        <f>VLOOKUP(A184,'Trips&amp;Operators'!$C$1:$G$99999,5,FALSE)</f>
        <v>NELSON ARIANE</v>
      </c>
      <c r="M184" s="6">
        <f t="shared" si="47"/>
        <v>2.754629633272998E-3</v>
      </c>
      <c r="N184" s="7"/>
      <c r="O184" s="7"/>
      <c r="P184" s="7">
        <f>24*60*SUM($M184:$M184)</f>
        <v>3.9666666719131172</v>
      </c>
      <c r="Q184" s="22"/>
      <c r="R184" s="170" t="s">
        <v>999</v>
      </c>
      <c r="S184" s="215">
        <f t="shared" si="66"/>
        <v>0</v>
      </c>
      <c r="T184" s="195" t="str">
        <f t="shared" si="48"/>
        <v>NorthBound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0</v>
      </c>
      <c r="V184" s="196" t="str">
        <f t="shared" si="49"/>
        <v>https://d0f6bd738d7f1b3e5a7ca70fe4ff75f0.us-east-1.aws.found.io/app/kibana#/discover/Steve-Slow-Train-Analysis-(2080s-and-2083s)?_g=(refreshInterval:(display:Off,pause:!f,section:0,value:0),time:(from:'2017-06-14T13:14:05-0600',mode:absolute,to:'2017-06-14T16:20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4" s="197" t="str">
        <f>IF(AA184&lt;VLOOKUP(AG184,Variables!$AC$3:$AD$8,2,FALSE),"Y","N")</f>
        <v>Y</v>
      </c>
      <c r="X184" s="197">
        <f t="shared" si="50"/>
        <v>1</v>
      </c>
      <c r="Y184" s="197">
        <v>0</v>
      </c>
      <c r="Z184" s="197">
        <v>0</v>
      </c>
      <c r="AA184" s="197">
        <f t="shared" si="53"/>
        <v>0</v>
      </c>
      <c r="AB184" s="54" t="e">
        <f>VLOOKUP(A184,Enforcements!$C$7:$K$13,8,0)</f>
        <v>#N/A</v>
      </c>
      <c r="AC184" s="51" t="e">
        <f>VLOOKUP(A184,Enforcements!$C$7:$E$13,3,0)</f>
        <v>#N/A</v>
      </c>
      <c r="AD184" s="206">
        <f t="shared" si="54"/>
        <v>825</v>
      </c>
      <c r="AE184" s="77" t="str">
        <f t="shared" si="55"/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AF184" s="74" t="str">
        <f t="shared" si="56"/>
        <v>"C:\Program Files (x86)\AstroGrep\AstroGrep.exe" /e /r /s /spath="%USERPROFILE%\AppData\Local\Temp\OnboardLogs" /stypes="app*4020*20170614*" /stext=" 21:.+((SYSTEM_STATE.+slice.+state.+changed )|(ment ac)|(multiple cpu faults)|(system.+state.+changed )|(\[timeout)|(PRM\|1\|D)|(kpr)|(kdp)|(train st.+moving)|(\|lc)|(penalty))"</v>
      </c>
      <c r="AG184" s="209" t="str">
        <f t="shared" si="61"/>
        <v>NW</v>
      </c>
      <c r="AH184" s="78" t="str">
        <f t="shared" si="57"/>
        <v>"%USERPROFILE%\Documents\GitHub\eaglep3\Utilities\RefineRTDCRunTimes.py" --tripid 825-14 --locoid 4020 --swversion DE.1.0.9.0 --startMP 204:978 --initTime 2017-06-14T14:14:05 --startdatetime 2017-06-14T15:16:02 --delay 1 --endMP 300:58954 --enddatetime 2017-06-14T15:20:00 --enforcementcount 2 &gt;&gt;C:\Users\stu\Documents\GitHub\eaglep3-reporting\EC\2017-06-14-refined-times.txt</v>
      </c>
      <c r="AI184" s="96" t="str">
        <f t="shared" si="58"/>
        <v>echo {"issue":{"subject":"Powercycled due to 824-14 issues, did not perform depart test","project_id":79,"tracker_id":40,"status_id":1,"priority_id":2,"assigned_to_id":23,"start_date":"2017-06-14","description":"","custom_fields":[{"id":1,"name":"Subdivision","value":"NW"},{"id":4,"name":"Milepost","value":"0"},{"id":17,"name":"Train ID","value":"825-14"},{"id":16,"name":"Locomotive ID","value":"4020"},{"id":130,"name":"Impact","value":""},{"id":150,"name":"Time of Event (Mountain Time)","value":"15:20:00"},{"id":151,"name":"Denver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4" s="47"/>
      <c r="AL184" s="47"/>
      <c r="AM184" s="142" t="str">
        <f t="shared" si="59"/>
        <v>start /low /b %USERPROFILE%\Documents\GitHub\eaglep3\Utilities\DownloadLogsFromS3.py --loco 4020 --day 2017-06-14</v>
      </c>
      <c r="AN184" s="151" t="str">
        <f t="shared" si="60"/>
        <v>echo {"issue":{"subject":"Powercycled due to 824-14 issues, did not perform depart test","project_id":30,"tracker_id":4,"status_id":1,"priority_id":1,"assigned_to_id":10,"start_date":"2017-06-14","description":"","custom_fields":[{"id":30,"name":"Category","value":"Issue"},{"id":3,"name":"Functional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21:20:00"},{"id":29,"name":"Sharepoint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72"/>
    </row>
    <row r="185" spans="1:91" s="20" customFormat="1" x14ac:dyDescent="0.25">
      <c r="A185" s="32" t="s">
        <v>777</v>
      </c>
      <c r="B185" s="7">
        <v>4019</v>
      </c>
      <c r="C185" s="21" t="s">
        <v>202</v>
      </c>
      <c r="D185" s="21" t="s">
        <v>936</v>
      </c>
      <c r="E185" s="13">
        <v>42900.593113425923</v>
      </c>
      <c r="F185" s="13">
        <v>42900.652106481481</v>
      </c>
      <c r="G185" s="7">
        <v>1</v>
      </c>
      <c r="H185" s="21" t="s">
        <v>945</v>
      </c>
      <c r="I185" s="13">
        <v>42900.652777777781</v>
      </c>
      <c r="J185" s="7">
        <v>2</v>
      </c>
      <c r="K185" s="89" t="str">
        <f t="shared" si="46"/>
        <v>4019/4020</v>
      </c>
      <c r="L185" s="21" t="str">
        <f>VLOOKUP(A185,'Trips&amp;Operators'!$C$1:$G$99999,5,FALSE)</f>
        <v>NELSON ARIANE</v>
      </c>
      <c r="M185" s="6">
        <f t="shared" si="47"/>
        <v>6.7129630042472854E-4</v>
      </c>
      <c r="N185" s="7"/>
      <c r="O185" s="7"/>
      <c r="P185" s="7">
        <f>24*60*SUM($M185:$M185)</f>
        <v>0.9666666726116091</v>
      </c>
      <c r="Q185" s="22"/>
      <c r="R185" s="170" t="s">
        <v>999</v>
      </c>
      <c r="S185" s="215">
        <f t="shared" si="66"/>
        <v>0</v>
      </c>
      <c r="T185" s="195" t="str">
        <f t="shared" si="48"/>
        <v>Southbound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0</v>
      </c>
      <c r="V185" s="196" t="str">
        <f t="shared" si="49"/>
        <v>https://d0f6bd738d7f1b3e5a7ca70fe4ff75f0.us-east-1.aws.found.io/app/kibana#/discover/Steve-Slow-Train-Analysis-(2080s-and-2083s)?_g=(refreshInterval:(display:Off,pause:!f,section:0,value:0),time:(from:'2017-06-14T13:14:05-0600',mode:absolute,to:'2017-06-14T16:40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5" s="197" t="str">
        <f>IF(AA185&lt;VLOOKUP(AG185,Variables!$AC$3:$AD$8,2,FALSE),"Y","N")</f>
        <v>Y</v>
      </c>
      <c r="X185" s="197">
        <f t="shared" si="50"/>
        <v>1</v>
      </c>
      <c r="Y185" s="197">
        <v>0</v>
      </c>
      <c r="Z185" s="197">
        <v>0</v>
      </c>
      <c r="AA185" s="197">
        <f t="shared" si="53"/>
        <v>0</v>
      </c>
      <c r="AB185" s="54" t="e">
        <f>VLOOKUP(A185,Enforcements!$C$7:$K$13,8,0)</f>
        <v>#N/A</v>
      </c>
      <c r="AC185" s="51" t="e">
        <f>VLOOKUP(A185,Enforcements!$C$7:$E$13,3,0)</f>
        <v>#N/A</v>
      </c>
      <c r="AD185" s="206">
        <f t="shared" si="54"/>
        <v>826</v>
      </c>
      <c r="AE185" s="77" t="str">
        <f t="shared" si="55"/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AF185" s="74" t="str">
        <f t="shared" si="56"/>
        <v>"C:\Program Files (x86)\AstroGrep\AstroGrep.exe" /e /r /s /spath="%USERPROFILE%\AppData\Local\Temp\OnboardLogs" /stypes="app*4019*20170614*" /stext=" 21:.+((SYSTEM_STATE.+slice.+state.+changed )|(ment ac)|(multiple cpu faults)|(system.+state.+changed )|(\[timeout)|(PRM\|1\|D)|(kpr)|(kdp)|(train st.+moving)|(\|lc)|(penalty))"</v>
      </c>
      <c r="AG185" s="209" t="str">
        <f t="shared" si="61"/>
        <v>NW</v>
      </c>
      <c r="AH185" s="78" t="str">
        <f t="shared" si="57"/>
        <v>"%USERPROFILE%\Documents\GitHub\eaglep3\Utilities\RefineRTDCRunTimes.py" --tripid 826-14 --locoid 4019 --swversion DE.1.0.9.0 --startMP 204:978 --initTime 2017-06-14T14:14:05 --startdatetime 2017-06-14T15:39:02 --delay 1 --endMP 300:58954 --enddatetime 2017-06-14T15:40:00 --enforcementcount 2 &gt;&gt;C:\Users\stu\Documents\GitHub\eaglep3-reporting\EC\2017-06-14-refined-times.txt</v>
      </c>
      <c r="AI185" s="96" t="str">
        <f t="shared" si="58"/>
        <v>echo {"issue":{"subject":"Powercycled due to 824-14 issues, did not perform depart test","project_id":79,"tracker_id":40,"status_id":1,"priority_id":2,"assigned_to_id":23,"start_date":"2017-06-14","description":"","custom_fields":[{"id":1,"name":"Subdivision","value":"NW"},{"id":4,"name":"Milepost","value":"0"},{"id":17,"name":"Train ID","value":"826-14"},{"id":16,"name":"Locomotive ID","value":"4019"},{"id":130,"name":"Impact","value":""},{"id":150,"name":"Time of Event (Mountain Time)","value":"15:40:00"},{"id":151,"name":"Denver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5" s="47"/>
      <c r="AL185" s="47"/>
      <c r="AM185" s="142" t="str">
        <f t="shared" si="59"/>
        <v>start /low /b %USERPROFILE%\Documents\GitHub\eaglep3\Utilities\DownloadLogsFromS3.py --loco 4019 --day 2017-06-14</v>
      </c>
      <c r="AN185" s="151" t="str">
        <f t="shared" si="60"/>
        <v>echo {"issue":{"subject":"Powercycled due to 824-14 issues, did not perform depart test","project_id":30,"tracker_id":4,"status_id":1,"priority_id":1,"assigned_to_id":10,"start_date":"2017-06-14","description":"","custom_fields":[{"id":30,"name":"Category","value":"Issue"},{"id":3,"name":"Functional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21:40:00"},{"id":29,"name":"Sharepoint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72"/>
    </row>
    <row r="186" spans="1:91" x14ac:dyDescent="0.25">
      <c r="A186" s="32" t="s">
        <v>775</v>
      </c>
      <c r="B186" s="7">
        <v>4012</v>
      </c>
      <c r="C186" s="21" t="s">
        <v>202</v>
      </c>
      <c r="D186" s="21" t="s">
        <v>946</v>
      </c>
      <c r="E186" s="13">
        <v>42900.645358796297</v>
      </c>
      <c r="F186" s="13">
        <v>42900.660856481481</v>
      </c>
      <c r="G186" s="7">
        <v>2</v>
      </c>
      <c r="H186" s="21" t="s">
        <v>947</v>
      </c>
      <c r="I186" s="13">
        <v>42900.670428240737</v>
      </c>
      <c r="J186" s="7">
        <v>2</v>
      </c>
      <c r="K186" s="89" t="str">
        <f t="shared" si="46"/>
        <v>4011/4012</v>
      </c>
      <c r="L186" s="21" t="str">
        <f>VLOOKUP(A186,'Trips&amp;Operators'!$C$1:$G$99999,5,FALSE)</f>
        <v>STAMBAUGH JAMES</v>
      </c>
      <c r="M186" s="6">
        <f t="shared" si="47"/>
        <v>9.5717592557775788E-3</v>
      </c>
      <c r="N186" s="7">
        <f t="shared" ref="N186:N233" si="67">24*60*SUM($M186:$M186)</f>
        <v>13.783333328319713</v>
      </c>
      <c r="O186" s="7"/>
      <c r="P186" s="7"/>
      <c r="Q186" s="22"/>
      <c r="R186" s="170"/>
      <c r="S186" s="215">
        <f t="shared" si="66"/>
        <v>1</v>
      </c>
      <c r="T186" s="195" t="str">
        <f t="shared" si="48"/>
        <v>NorthBound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 t="shared" si="49"/>
        <v>https://d0f6bd738d7f1b3e5a7ca70fe4ff75f0.us-east-1.aws.found.io/app/kibana#/discover/Steve-Slow-Train-Analysis-(2080s-and-2083s)?_g=(refreshInterval:(display:Off,pause:!f,section:0,value:0),time:(from:'2017-06-14T14:29:19-0600',mode:absolute,to:'2017-06-14T17:05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6" s="197" t="str">
        <f>IF(AA186&lt;VLOOKUP(AG186,Variables!$AC$3:$AD$8,2,FALSE),"Y","N")</f>
        <v>N</v>
      </c>
      <c r="X186" s="197">
        <f t="shared" si="50"/>
        <v>1</v>
      </c>
      <c r="Y186" s="197">
        <f t="shared" ref="Y186:Y233" si="68">RIGHT(D186,LEN(D186)-4)/10000</f>
        <v>8.9700000000000002E-2</v>
      </c>
      <c r="Z186" s="197">
        <f t="shared" ref="Z186:Z233" si="69">RIGHT(H186,LEN(H186)-4)/10000</f>
        <v>5.8948</v>
      </c>
      <c r="AA186" s="197">
        <f t="shared" si="53"/>
        <v>5.8051000000000004</v>
      </c>
      <c r="AB186" s="54" t="e">
        <f>VLOOKUP(A186,Enforcements!$C$7:$K$13,8,0)</f>
        <v>#N/A</v>
      </c>
      <c r="AC186" s="51" t="e">
        <f>VLOOKUP(A186,Enforcements!$C$7:$E$13,3,0)</f>
        <v>#N/A</v>
      </c>
      <c r="AD186" s="206">
        <f t="shared" si="54"/>
        <v>827</v>
      </c>
      <c r="AE186" s="77" t="str">
        <f t="shared" si="55"/>
        <v>aws s3 cp s3://rtdc.mdm.uploadarchive.raw/RTDC4012/ "%USERPROFILE%\AppData\Local\Temp\OnboardLogs"\RTDC4012\2017-06-14 --exclude "*" --recursive --include "*20170614*" &amp; "%USERPROFILE%\Documents\GitHub\mrs-test-scripts\Headless Mode &amp; Sideloading\WalkAndUnGZ.bat" "%USERPROFILE%\AppData\Local\Temp\OnboardLogs"\RTDC4012\2017-06-14 &amp; aws s3 cp s3://rtdc.mdm.uploadarchive.raw/RTDC4012/ "%USERPROFILE%\AppData\Local\Temp\OnboardLogs"\RTDC4012\2017-06-15 --exclude "*" --recursive --include "*20170615*" &amp; "%USERPROFILE%\Documents\GitHub\mrs-test-scripts\Headless Mode &amp; Sideloading\WalkAndUnGZ.bat" "%USERPROFILE%\AppData\Local\Temp\OnboardLogs"\RTDC4012\2017-06-15</v>
      </c>
      <c r="AF186" s="74" t="str">
        <f t="shared" si="56"/>
        <v>"C:\Program Files (x86)\AstroGrep\AstroGrep.exe" /e /r /s /spath="%USERPROFILE%\AppData\Local\Temp\OnboardLogs" /stypes="app*4012*20170614*" /stext=" 22:.+((SYSTEM_STATE.+slice.+state.+changed )|(ment ac)|(multiple cpu faults)|(system.+state.+changed )|(\[timeout)|(PRM\|1\|D)|(kpr)|(kdp)|(train st.+moving)|(\|lc)|(penalty))"</v>
      </c>
      <c r="AG186" s="209" t="str">
        <f t="shared" si="61"/>
        <v>NW</v>
      </c>
      <c r="AH186" s="78" t="str">
        <f t="shared" si="57"/>
        <v>"%USERPROFILE%\Documents\GitHub\eaglep3\Utilities\RefineRTDCRunTimes.py" --tripid 827-14 --locoid 4012 --swversion DE.1.0.9.0 --startMP 204:897 --initTime 2017-06-14T15:29:19 --startdatetime 2017-06-14T15:51:38 --delay 2 --endMP 300:58948 --enddatetime 2017-06-14T16:05:25 --enforcementcount 2 &gt;&gt;C:\Users\stu\Documents\GitHub\eaglep3-reporting\EC\2017-06-14-refined-times.txt</v>
      </c>
      <c r="AI186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{"issue":{"subject":"","project_id":79,"tracker_id":40,"status_id":1,"priority_id":2,"assigned_to_id":23,"start_date":"2017-06-14","description":"","custom_fields":[{"id":1,"name":"Subdivision","value":"NW"},{"id":4,"name":"Milepost","value":"5.8948"},{"id":17,"name":"Train ID","value":"827-14"},{"id":16,"name":"Locomotive ID","value":"4012"},{"id":130,"name":"Impact","value":""},{"id":150,"name":"Time of Event (Mountain Time)","value":"16:05:25"},{"id":151,"name":"Denver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2" t="str">
        <f t="shared" si="59"/>
        <v>start /low /b %USERPROFILE%\Documents\GitHub\eaglep3\Utilities\DownloadLogsFromS3.py --loco 4012 --day 2017-06-14</v>
      </c>
      <c r="AN186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22:05:25"},{"id":29,"name":"Sharepoint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x14ac:dyDescent="0.25">
      <c r="A187" s="32" t="s">
        <v>630</v>
      </c>
      <c r="B187" s="7">
        <v>4011</v>
      </c>
      <c r="C187" s="21" t="s">
        <v>202</v>
      </c>
      <c r="D187" s="21" t="s">
        <v>589</v>
      </c>
      <c r="E187" s="13">
        <v>42900.671759259261</v>
      </c>
      <c r="F187" s="13">
        <v>42900.675706018519</v>
      </c>
      <c r="G187" s="7">
        <v>5</v>
      </c>
      <c r="H187" s="21" t="s">
        <v>938</v>
      </c>
      <c r="I187" s="13">
        <v>42900.685532407406</v>
      </c>
      <c r="J187" s="7">
        <v>2</v>
      </c>
      <c r="K187" s="89" t="str">
        <f t="shared" si="46"/>
        <v>4011/4012</v>
      </c>
      <c r="L187" s="21" t="str">
        <f>VLOOKUP(A187,'Trips&amp;Operators'!$C$1:$G$99999,5,FALSE)</f>
        <v>STAMBAUGH JAMES</v>
      </c>
      <c r="M187" s="6">
        <f t="shared" si="47"/>
        <v>9.8263888867222704E-3</v>
      </c>
      <c r="N187" s="7">
        <f t="shared" si="67"/>
        <v>14.149999996880069</v>
      </c>
      <c r="O187" s="7"/>
      <c r="P187" s="7"/>
      <c r="Q187" s="22"/>
      <c r="R187" s="170"/>
      <c r="S187" s="215">
        <f t="shared" si="66"/>
        <v>1</v>
      </c>
      <c r="T187" s="195" t="str">
        <f t="shared" si="48"/>
        <v>Southbound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 t="shared" si="49"/>
        <v>https://d0f6bd738d7f1b3e5a7ca70fe4ff75f0.us-east-1.aws.found.io/app/kibana#/discover/Steve-Slow-Train-Analysis-(2080s-and-2083s)?_g=(refreshInterval:(display:Off,pause:!f,section:0,value:0),time:(from:'2017-06-14T15:07:20-0600',mode:absolute,to:'2017-06-14T17:27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7" s="197" t="str">
        <f>IF(AA187&lt;VLOOKUP(AG187,Variables!$AC$3:$AD$8,2,FALSE),"Y","N")</f>
        <v>N</v>
      </c>
      <c r="X187" s="197">
        <f t="shared" si="50"/>
        <v>1</v>
      </c>
      <c r="Y187" s="197">
        <f t="shared" si="68"/>
        <v>5.8630000000000004</v>
      </c>
      <c r="Z187" s="197">
        <f t="shared" si="69"/>
        <v>6.9099999999999995E-2</v>
      </c>
      <c r="AA187" s="197">
        <f t="shared" si="53"/>
        <v>5.7939000000000007</v>
      </c>
      <c r="AB187" s="54" t="e">
        <f>VLOOKUP(A187,Enforcements!$C$7:$K$13,8,0)</f>
        <v>#N/A</v>
      </c>
      <c r="AC187" s="51" t="e">
        <f>VLOOKUP(A187,Enforcements!$C$7:$E$13,3,0)</f>
        <v>#N/A</v>
      </c>
      <c r="AD187" s="206">
        <f t="shared" si="54"/>
        <v>828</v>
      </c>
      <c r="AE187" s="77" t="str">
        <f t="shared" si="55"/>
        <v>aws s3 cp s3://rtdc.mdm.uploadarchive.raw/RTDC4011/ "%USERPROFILE%\AppData\Local\Temp\OnboardLogs"\RTDC4011\2017-06-14 --exclude "*" --recursive --include "*20170614*" &amp; "%USERPROFILE%\Documents\GitHub\mrs-test-scripts\Headless Mode &amp; Sideloading\WalkAndUnGZ.bat" "%USERPROFILE%\AppData\Local\Temp\OnboardLogs"\RTDC4011\2017-06-14 &amp; aws s3 cp s3://rtdc.mdm.uploadarchive.raw/RTDC4011/ "%USERPROFILE%\AppData\Local\Temp\OnboardLogs"\RTDC4011\2017-06-15 --exclude "*" --recursive --include "*20170615*" &amp; "%USERPROFILE%\Documents\GitHub\mrs-test-scripts\Headless Mode &amp; Sideloading\WalkAndUnGZ.bat" "%USERPROFILE%\AppData\Local\Temp\OnboardLogs"\RTDC4011\2017-06-15</v>
      </c>
      <c r="AF187" s="74" t="str">
        <f t="shared" si="56"/>
        <v>"C:\Program Files (x86)\AstroGrep\AstroGrep.exe" /e /r /s /spath="%USERPROFILE%\AppData\Local\Temp\OnboardLogs" /stypes="app*4011*20170614*" /stext=" 22:.+((SYSTEM_STATE.+slice.+state.+changed )|(ment ac)|(multiple cpu faults)|(system.+state.+changed )|(\[timeout)|(PRM\|1\|D)|(kpr)|(kdp)|(train st.+moving)|(\|lc)|(penalty))"</v>
      </c>
      <c r="AG187" s="209" t="str">
        <f t="shared" si="61"/>
        <v>NW</v>
      </c>
      <c r="AH187" s="78" t="str">
        <f t="shared" si="57"/>
        <v>"%USERPROFILE%\Documents\GitHub\eaglep3\Utilities\RefineRTDCRunTimes.py" --tripid 828-14 --locoid 4011 --swversion DE.1.0.9.0 --startMP 300:58630 --initTime 2017-06-14T16:07:20 --startdatetime 2017-06-14T16:13:01 --delay 5 --endMP 204:691 --enddatetime 2017-06-14T16:27:10 --enforcementcount 2 &gt;&gt;C:\Users\stu\Documents\GitHub\eaglep3-reporting\EC\2017-06-14-refined-times.txt</v>
      </c>
      <c r="AI187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{"issue":{"subject":"","project_id":79,"tracker_id":40,"status_id":1,"priority_id":2,"assigned_to_id":23,"start_date":"2017-06-14","description":"","custom_fields":[{"id":1,"name":"Subdivision","value":"NW"},{"id":4,"name":"Milepost","value":"0.0691"},{"id":17,"name":"Train ID","value":"828-14"},{"id":16,"name":"Locomotive ID","value":"4011"},{"id":130,"name":"Impact","value":""},{"id":150,"name":"Time of Event (Mountain Time)","value":"16:27:10"},{"id":151,"name":"Denver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2" t="str">
        <f t="shared" si="59"/>
        <v>start /low /b %USERPROFILE%\Documents\GitHub\eaglep3\Utilities\DownloadLogsFromS3.py --loco 4011 --day 2017-06-14</v>
      </c>
      <c r="AN187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22:27:10"},{"id":29,"name":"Sharepoint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x14ac:dyDescent="0.25">
      <c r="A188" s="32" t="s">
        <v>783</v>
      </c>
      <c r="B188" s="7">
        <v>4020</v>
      </c>
      <c r="C188" s="21" t="s">
        <v>202</v>
      </c>
      <c r="D188" s="21" t="s">
        <v>494</v>
      </c>
      <c r="E188" s="13">
        <v>42900.679837962962</v>
      </c>
      <c r="F188" s="13">
        <v>42900.682511574072</v>
      </c>
      <c r="G188" s="7">
        <v>3</v>
      </c>
      <c r="H188" s="21" t="s">
        <v>591</v>
      </c>
      <c r="I188" s="13">
        <v>42900.693784722222</v>
      </c>
      <c r="J188" s="7">
        <v>2</v>
      </c>
      <c r="K188" s="89" t="str">
        <f t="shared" si="46"/>
        <v>4019/4020</v>
      </c>
      <c r="L188" s="21" t="str">
        <f>VLOOKUP(A188,'Trips&amp;Operators'!$C$1:$G$99999,5,FALSE)</f>
        <v>NELSON ARIANE</v>
      </c>
      <c r="M188" s="6">
        <f t="shared" si="47"/>
        <v>1.1273148149484769E-2</v>
      </c>
      <c r="N188" s="7">
        <f t="shared" si="67"/>
        <v>16.233333335258067</v>
      </c>
      <c r="O188" s="7"/>
      <c r="P188" s="7"/>
      <c r="Q188" s="22"/>
      <c r="R188" s="170"/>
      <c r="S188" s="215">
        <f t="shared" si="66"/>
        <v>1</v>
      </c>
      <c r="T188" s="195" t="str">
        <f t="shared" si="48"/>
        <v>NorthBound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 t="shared" si="49"/>
        <v>https://d0f6bd738d7f1b3e5a7ca70fe4ff75f0.us-east-1.aws.found.io/app/kibana#/discover/Steve-Slow-Train-Analysis-(2080s-and-2083s)?_g=(refreshInterval:(display:Off,pause:!f,section:0,value:0),time:(from:'2017-06-14T15:18:58-0600',mode:absolute,to:'2017-06-14T17:39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8" s="197" t="str">
        <f>IF(AA188&lt;VLOOKUP(AG188,Variables!$AC$3:$AD$8,2,FALSE),"Y","N")</f>
        <v>N</v>
      </c>
      <c r="X188" s="197">
        <f t="shared" si="50"/>
        <v>1</v>
      </c>
      <c r="Y188" s="197">
        <f t="shared" si="68"/>
        <v>0.1004</v>
      </c>
      <c r="Z188" s="197">
        <f t="shared" si="69"/>
        <v>5.8945999999999996</v>
      </c>
      <c r="AA188" s="197">
        <f t="shared" si="53"/>
        <v>5.7942</v>
      </c>
      <c r="AB188" s="54" t="e">
        <f>VLOOKUP(A188,Enforcements!$C$7:$K$13,8,0)</f>
        <v>#N/A</v>
      </c>
      <c r="AC188" s="51" t="e">
        <f>VLOOKUP(A188,Enforcements!$C$7:$E$13,3,0)</f>
        <v>#N/A</v>
      </c>
      <c r="AD188" s="206">
        <f t="shared" si="54"/>
        <v>829</v>
      </c>
      <c r="AE188" s="77" t="str">
        <f t="shared" si="55"/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AF188" s="74" t="str">
        <f t="shared" si="56"/>
        <v>"C:\Program Files (x86)\AstroGrep\AstroGrep.exe" /e /r /s /spath="%USERPROFILE%\AppData\Local\Temp\OnboardLogs" /stypes="app*4020*20170614*" /stext=" 22:.+((SYSTEM_STATE.+slice.+state.+changed )|(ment ac)|(multiple cpu faults)|(system.+state.+changed )|(\[timeout)|(PRM\|1\|D)|(kpr)|(kdp)|(train st.+moving)|(\|lc)|(penalty))"</v>
      </c>
      <c r="AG188" s="209" t="str">
        <f t="shared" si="61"/>
        <v>NW</v>
      </c>
      <c r="AH188" s="78" t="str">
        <f t="shared" si="57"/>
        <v>"%USERPROFILE%\Documents\GitHub\eaglep3\Utilities\RefineRTDCRunTimes.py" --tripid 829-14 --locoid 4020 --swversion DE.1.0.9.0 --startMP 204:1004 --initTime 2017-06-14T16:18:58 --startdatetime 2017-06-14T16:22:49 --delay 3 --endMP 300:58946 --enddatetime 2017-06-14T16:39:03 --enforcementcount 2 &gt;&gt;C:\Users\stu\Documents\GitHub\eaglep3-reporting\EC\2017-06-14-refined-times.txt</v>
      </c>
      <c r="AI188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{"issue":{"subject":"","project_id":79,"tracker_id":40,"status_id":1,"priority_id":2,"assigned_to_id":23,"start_date":"2017-06-14","description":"","custom_fields":[{"id":1,"name":"Subdivision","value":"NW"},{"id":4,"name":"Milepost","value":"5.8946"},{"id":17,"name":"Train ID","value":"829-14"},{"id":16,"name":"Locomotive ID","value":"4020"},{"id":130,"name":"Impact","value":""},{"id":150,"name":"Time of Event (Mountain Time)","value":"16:39:03"},{"id":151,"name":"Denver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2" t="str">
        <f t="shared" si="59"/>
        <v>start /low /b %USERPROFILE%\Documents\GitHub\eaglep3\Utilities\DownloadLogsFromS3.py --loco 4020 --day 2017-06-14</v>
      </c>
      <c r="AN188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22:39:03"},{"id":29,"name":"Sharepoint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2" t="s">
        <v>786</v>
      </c>
      <c r="B189" s="7">
        <v>4019</v>
      </c>
      <c r="C189" s="21" t="s">
        <v>202</v>
      </c>
      <c r="D189" s="21" t="s">
        <v>483</v>
      </c>
      <c r="E189" s="13">
        <v>42900.695810185185</v>
      </c>
      <c r="F189" s="13">
        <v>42900.697731481479</v>
      </c>
      <c r="G189" s="7">
        <v>2</v>
      </c>
      <c r="H189" s="21" t="s">
        <v>938</v>
      </c>
      <c r="I189" s="13">
        <v>42900.707858796297</v>
      </c>
      <c r="J189" s="7">
        <v>2</v>
      </c>
      <c r="K189" s="89" t="str">
        <f t="shared" si="46"/>
        <v>4019/4020</v>
      </c>
      <c r="L189" s="21" t="str">
        <f>VLOOKUP(A189,'Trips&amp;Operators'!$C$1:$G$99999,5,FALSE)</f>
        <v>NELSON ARIANE</v>
      </c>
      <c r="M189" s="6">
        <f t="shared" si="47"/>
        <v>1.0127314817509614E-2</v>
      </c>
      <c r="N189" s="7">
        <f t="shared" si="67"/>
        <v>14.583333337213844</v>
      </c>
      <c r="O189" s="7"/>
      <c r="P189" s="7"/>
      <c r="Q189" s="22"/>
      <c r="R189" s="170"/>
      <c r="S189" s="215">
        <f t="shared" si="66"/>
        <v>1</v>
      </c>
      <c r="T189" s="195" t="str">
        <f t="shared" si="48"/>
        <v>Southbound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 t="shared" si="49"/>
        <v>https://d0f6bd738d7f1b3e5a7ca70fe4ff75f0.us-east-1.aws.found.io/app/kibana#/discover/Steve-Slow-Train-Analysis-(2080s-and-2083s)?_g=(refreshInterval:(display:Off,pause:!f,section:0,value:0),time:(from:'2017-06-14T15:41:58-0600',mode:absolute,to:'2017-06-14T17:59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9" s="197" t="str">
        <f>IF(AA189&lt;VLOOKUP(AG189,Variables!$AC$3:$AD$8,2,FALSE),"Y","N")</f>
        <v>N</v>
      </c>
      <c r="X189" s="197">
        <f t="shared" si="50"/>
        <v>1</v>
      </c>
      <c r="Y189" s="197">
        <f t="shared" si="68"/>
        <v>5.8624000000000001</v>
      </c>
      <c r="Z189" s="197">
        <f t="shared" si="69"/>
        <v>6.9099999999999995E-2</v>
      </c>
      <c r="AA189" s="197">
        <f t="shared" si="53"/>
        <v>5.7933000000000003</v>
      </c>
      <c r="AB189" s="54" t="e">
        <f>VLOOKUP(A189,Enforcements!$C$7:$K$13,8,0)</f>
        <v>#N/A</v>
      </c>
      <c r="AC189" s="51" t="e">
        <f>VLOOKUP(A189,Enforcements!$C$7:$E$13,3,0)</f>
        <v>#N/A</v>
      </c>
      <c r="AD189" s="206">
        <f t="shared" si="54"/>
        <v>830</v>
      </c>
      <c r="AE189" s="77" t="str">
        <f t="shared" si="55"/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AF189" s="74" t="str">
        <f t="shared" si="56"/>
        <v>"C:\Program Files (x86)\AstroGrep\AstroGrep.exe" /e /r /s /spath="%USERPROFILE%\AppData\Local\Temp\OnboardLogs" /stypes="app*4019*20170614*" /stext=" 22:.+((SYSTEM_STATE.+slice.+state.+changed )|(ment ac)|(multiple cpu faults)|(system.+state.+changed )|(\[timeout)|(PRM\|1\|D)|(kpr)|(kdp)|(train st.+moving)|(\|lc)|(penalty))"</v>
      </c>
      <c r="AG189" s="209" t="str">
        <f t="shared" si="61"/>
        <v>NW</v>
      </c>
      <c r="AH189" s="78" t="str">
        <f t="shared" si="57"/>
        <v>"%USERPROFILE%\Documents\GitHub\eaglep3\Utilities\RefineRTDCRunTimes.py" --tripid 830-14 --locoid 4019 --swversion DE.1.0.9.0 --startMP 300:58624 --initTime 2017-06-14T16:41:58 --startdatetime 2017-06-14T16:44:44 --delay 2 --endMP 204:691 --enddatetime 2017-06-14T16:59:19 --enforcementcount 2 &gt;&gt;C:\Users\stu\Documents\GitHub\eaglep3-reporting\EC\2017-06-14-refined-times.txt</v>
      </c>
      <c r="AI189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{"issue":{"subject":"","project_id":79,"tracker_id":40,"status_id":1,"priority_id":2,"assigned_to_id":23,"start_date":"2017-06-14","description":"","custom_fields":[{"id":1,"name":"Subdivision","value":"NW"},{"id":4,"name":"Milepost","value":"0.0691"},{"id":17,"name":"Train ID","value":"830-14"},{"id":16,"name":"Locomotive ID","value":"4019"},{"id":130,"name":"Impact","value":""},{"id":150,"name":"Time of Event (Mountain Time)","value":"16:59:19"},{"id":151,"name":"Denver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59"/>
        <v>start /low /b %USERPROFILE%\Documents\GitHub\eaglep3\Utilities\DownloadLogsFromS3.py --loco 4019 --day 2017-06-14</v>
      </c>
      <c r="AN189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22:59:19"},{"id":29,"name":"Sharepoint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2" t="s">
        <v>634</v>
      </c>
      <c r="B190" s="7">
        <v>4012</v>
      </c>
      <c r="C190" s="21" t="s">
        <v>202</v>
      </c>
      <c r="D190" s="21" t="s">
        <v>948</v>
      </c>
      <c r="E190" s="13">
        <v>42900.698923611111</v>
      </c>
      <c r="F190" s="13">
        <v>42900.702777777777</v>
      </c>
      <c r="G190" s="7">
        <v>1</v>
      </c>
      <c r="H190" s="21" t="s">
        <v>594</v>
      </c>
      <c r="I190" s="13">
        <v>42900.711759259262</v>
      </c>
      <c r="J190" s="7">
        <v>2</v>
      </c>
      <c r="K190" s="89" t="str">
        <f t="shared" si="46"/>
        <v>4011/4012</v>
      </c>
      <c r="L190" s="21" t="str">
        <f>VLOOKUP(A190,'Trips&amp;Operators'!$C$1:$G$99999,5,FALSE)</f>
        <v>STAMBAUGH JAMES</v>
      </c>
      <c r="M190" s="6">
        <f t="shared" si="47"/>
        <v>8.9814814855344594E-3</v>
      </c>
      <c r="N190" s="7">
        <f t="shared" si="67"/>
        <v>12.933333339169621</v>
      </c>
      <c r="O190" s="7"/>
      <c r="P190" s="7"/>
      <c r="Q190" s="22"/>
      <c r="R190" s="170"/>
      <c r="S190" s="215">
        <f t="shared" si="66"/>
        <v>1</v>
      </c>
      <c r="T190" s="195" t="str">
        <f t="shared" si="48"/>
        <v>NorthBound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 t="shared" si="49"/>
        <v>https://d0f6bd738d7f1b3e5a7ca70fe4ff75f0.us-east-1.aws.found.io/app/kibana#/discover/Steve-Slow-Train-Analysis-(2080s-and-2083s)?_g=(refreshInterval:(display:Off,pause:!f,section:0,value:0),time:(from:'2017-06-14T15:46:27-0600',mode:absolute,to:'2017-06-14T18:04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0" s="197" t="str">
        <f>IF(AA190&lt;VLOOKUP(AG190,Variables!$AC$3:$AD$8,2,FALSE),"Y","N")</f>
        <v>N</v>
      </c>
      <c r="X190" s="197">
        <f t="shared" si="50"/>
        <v>1</v>
      </c>
      <c r="Y190" s="197">
        <f t="shared" si="68"/>
        <v>9.6699999999999994E-2</v>
      </c>
      <c r="Z190" s="197">
        <f t="shared" si="69"/>
        <v>5.8929</v>
      </c>
      <c r="AA190" s="197">
        <f t="shared" si="53"/>
        <v>5.7961999999999998</v>
      </c>
      <c r="AB190" s="54" t="e">
        <f>VLOOKUP(A190,Enforcements!$C$7:$K$13,8,0)</f>
        <v>#N/A</v>
      </c>
      <c r="AC190" s="51" t="e">
        <f>VLOOKUP(A190,Enforcements!$C$7:$E$13,3,0)</f>
        <v>#N/A</v>
      </c>
      <c r="AD190" s="206">
        <f t="shared" si="54"/>
        <v>831</v>
      </c>
      <c r="AE190" s="77" t="str">
        <f t="shared" si="55"/>
        <v>aws s3 cp s3://rtdc.mdm.uploadarchive.raw/RTDC4012/ "%USERPROFILE%\AppData\Local\Temp\OnboardLogs"\RTDC4012\2017-06-14 --exclude "*" --recursive --include "*20170614*" &amp; "%USERPROFILE%\Documents\GitHub\mrs-test-scripts\Headless Mode &amp; Sideloading\WalkAndUnGZ.bat" "%USERPROFILE%\AppData\Local\Temp\OnboardLogs"\RTDC4012\2017-06-14 &amp; aws s3 cp s3://rtdc.mdm.uploadarchive.raw/RTDC4012/ "%USERPROFILE%\AppData\Local\Temp\OnboardLogs"\RTDC4012\2017-06-15 --exclude "*" --recursive --include "*20170615*" &amp; "%USERPROFILE%\Documents\GitHub\mrs-test-scripts\Headless Mode &amp; Sideloading\WalkAndUnGZ.bat" "%USERPROFILE%\AppData\Local\Temp\OnboardLogs"\RTDC4012\2017-06-15</v>
      </c>
      <c r="AF190" s="74" t="str">
        <f t="shared" si="56"/>
        <v>"C:\Program Files (x86)\AstroGrep\AstroGrep.exe" /e /r /s /spath="%USERPROFILE%\AppData\Local\Temp\OnboardLogs" /stypes="app*4012*20170614*" /stext=" 23:.+((SYSTEM_STATE.+slice.+state.+changed )|(ment ac)|(multiple cpu faults)|(system.+state.+changed )|(\[timeout)|(PRM\|1\|D)|(kpr)|(kdp)|(train st.+moving)|(\|lc)|(penalty))"</v>
      </c>
      <c r="AG190" s="209" t="str">
        <f t="shared" si="61"/>
        <v>NW</v>
      </c>
      <c r="AH190" s="78" t="str">
        <f t="shared" si="57"/>
        <v>"%USERPROFILE%\Documents\GitHub\eaglep3\Utilities\RefineRTDCRunTimes.py" --tripid 831-14 --locoid 4012 --swversion DE.1.0.9.0 --startMP 204:967 --initTime 2017-06-14T16:46:27 --startdatetime 2017-06-14T16:52:00 --delay 1 --endMP 300:58929 --enddatetime 2017-06-14T17:04:56 --enforcementcount 2 &gt;&gt;C:\Users\stu\Documents\GitHub\eaglep3-reporting\EC\2017-06-14-refined-times.txt</v>
      </c>
      <c r="AI190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{"issue":{"subject":"","project_id":79,"tracker_id":40,"status_id":1,"priority_id":2,"assigned_to_id":23,"start_date":"2017-06-14","description":"","custom_fields":[{"id":1,"name":"Subdivision","value":"NW"},{"id":4,"name":"Milepost","value":"5.8929"},{"id":17,"name":"Train ID","value":"831-14"},{"id":16,"name":"Locomotive ID","value":"4012"},{"id":130,"name":"Impact","value":""},{"id":150,"name":"Time of Event (Mountain Time)","value":"17:04:56"},{"id":151,"name":"Denver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59"/>
        <v>start /low /b %USERPROFILE%\Documents\GitHub\eaglep3\Utilities\DownloadLogsFromS3.py --loco 4012 --day 2017-06-14</v>
      </c>
      <c r="AN190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23:04:56"},{"id":29,"name":"Sharepoint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2" t="s">
        <v>790</v>
      </c>
      <c r="B191" s="7">
        <v>4011</v>
      </c>
      <c r="C191" s="21" t="s">
        <v>202</v>
      </c>
      <c r="D191" s="21" t="s">
        <v>595</v>
      </c>
      <c r="E191" s="13">
        <v>42900.712800925925</v>
      </c>
      <c r="F191" s="13">
        <v>42900.714328703703</v>
      </c>
      <c r="G191" s="7">
        <v>1</v>
      </c>
      <c r="H191" s="21" t="s">
        <v>949</v>
      </c>
      <c r="I191" s="13">
        <v>42900.725937499999</v>
      </c>
      <c r="J191" s="7">
        <v>2</v>
      </c>
      <c r="K191" s="89" t="str">
        <f t="shared" si="46"/>
        <v>4011/4012</v>
      </c>
      <c r="L191" s="21" t="str">
        <f>VLOOKUP(A191,'Trips&amp;Operators'!$C$1:$G$99999,5,FALSE)</f>
        <v>STAMBAUGH JAMES</v>
      </c>
      <c r="M191" s="6">
        <f t="shared" si="47"/>
        <v>1.1608796296059154E-2</v>
      </c>
      <c r="N191" s="7">
        <f t="shared" si="67"/>
        <v>16.716666666325182</v>
      </c>
      <c r="O191" s="7"/>
      <c r="P191" s="7"/>
      <c r="Q191" s="22"/>
      <c r="R191" s="170"/>
      <c r="S191" s="215">
        <f t="shared" si="66"/>
        <v>1</v>
      </c>
      <c r="T191" s="195" t="str">
        <f t="shared" si="48"/>
        <v>Southbound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 t="shared" si="49"/>
        <v>https://d0f6bd738d7f1b3e5a7ca70fe4ff75f0.us-east-1.aws.found.io/app/kibana#/discover/Steve-Slow-Train-Analysis-(2080s-and-2083s)?_g=(refreshInterval:(display:Off,pause:!f,section:0,value:0),time:(from:'2017-06-14T16:06:26-0600',mode:absolute,to:'2017-06-14T18:25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1" s="197" t="str">
        <f>IF(AA191&lt;VLOOKUP(AG191,Variables!$AC$3:$AD$8,2,FALSE),"Y","N")</f>
        <v>N</v>
      </c>
      <c r="X191" s="197">
        <f t="shared" si="50"/>
        <v>1</v>
      </c>
      <c r="Y191" s="197">
        <f t="shared" si="68"/>
        <v>5.8623000000000003</v>
      </c>
      <c r="Z191" s="197">
        <f t="shared" si="69"/>
        <v>6.5199999999999994E-2</v>
      </c>
      <c r="AA191" s="197">
        <f t="shared" si="53"/>
        <v>5.7971000000000004</v>
      </c>
      <c r="AB191" s="54" t="e">
        <f>VLOOKUP(A191,Enforcements!$C$7:$K$13,8,0)</f>
        <v>#N/A</v>
      </c>
      <c r="AC191" s="51" t="e">
        <f>VLOOKUP(A191,Enforcements!$C$7:$E$13,3,0)</f>
        <v>#N/A</v>
      </c>
      <c r="AD191" s="206">
        <f t="shared" si="54"/>
        <v>832</v>
      </c>
      <c r="AE191" s="77" t="str">
        <f t="shared" si="55"/>
        <v>aws s3 cp s3://rtdc.mdm.uploadarchive.raw/RTDC4011/ "%USERPROFILE%\AppData\Local\Temp\OnboardLogs"\RTDC4011\2017-06-14 --exclude "*" --recursive --include "*20170614*" &amp; "%USERPROFILE%\Documents\GitHub\mrs-test-scripts\Headless Mode &amp; Sideloading\WalkAndUnGZ.bat" "%USERPROFILE%\AppData\Local\Temp\OnboardLogs"\RTDC4011\2017-06-14 &amp; aws s3 cp s3://rtdc.mdm.uploadarchive.raw/RTDC4011/ "%USERPROFILE%\AppData\Local\Temp\OnboardLogs"\RTDC4011\2017-06-15 --exclude "*" --recursive --include "*20170615*" &amp; "%USERPROFILE%\Documents\GitHub\mrs-test-scripts\Headless Mode &amp; Sideloading\WalkAndUnGZ.bat" "%USERPROFILE%\AppData\Local\Temp\OnboardLogs"\RTDC4011\2017-06-15</v>
      </c>
      <c r="AF191" s="74" t="str">
        <f t="shared" si="56"/>
        <v>"C:\Program Files (x86)\AstroGrep\AstroGrep.exe" /e /r /s /spath="%USERPROFILE%\AppData\Local\Temp\OnboardLogs" /stypes="app*4011*20170614*" /stext=" 23:.+((SYSTEM_STATE.+slice.+state.+changed )|(ment ac)|(multiple cpu faults)|(system.+state.+changed )|(\[timeout)|(PRM\|1\|D)|(kpr)|(kdp)|(train st.+moving)|(\|lc)|(penalty))"</v>
      </c>
      <c r="AG191" s="209" t="str">
        <f t="shared" si="61"/>
        <v>NW</v>
      </c>
      <c r="AH191" s="78" t="str">
        <f t="shared" si="57"/>
        <v>"%USERPROFILE%\Documents\GitHub\eaglep3\Utilities\RefineRTDCRunTimes.py" --tripid 832-14 --locoid 4011 --swversion DE.1.0.9.0 --startMP 300:58623 --initTime 2017-06-14T17:06:26 --startdatetime 2017-06-14T17:08:38 --delay 1 --endMP 204:652 --enddatetime 2017-06-14T17:25:21 --enforcementcount 2 &gt;&gt;C:\Users\stu\Documents\GitHub\eaglep3-reporting\EC\2017-06-14-refined-times.txt</v>
      </c>
      <c r="AI191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{"issue":{"subject":"","project_id":79,"tracker_id":40,"status_id":1,"priority_id":2,"assigned_to_id":23,"start_date":"2017-06-14","description":"","custom_fields":[{"id":1,"name":"Subdivision","value":"NW"},{"id":4,"name":"Milepost","value":"0.0652"},{"id":17,"name":"Train ID","value":"832-14"},{"id":16,"name":"Locomotive ID","value":"4011"},{"id":130,"name":"Impact","value":""},{"id":150,"name":"Time of Event (Mountain Time)","value":"17:25:21"},{"id":151,"name":"Denver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59"/>
        <v>start /low /b %USERPROFILE%\Documents\GitHub\eaglep3\Utilities\DownloadLogsFromS3.py --loco 4011 --day 2017-06-14</v>
      </c>
      <c r="AN191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23:25:21"},{"id":29,"name":"Sharepoint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s="20" customFormat="1" x14ac:dyDescent="0.25">
      <c r="A192" s="32" t="s">
        <v>792</v>
      </c>
      <c r="B192" s="7">
        <v>4020</v>
      </c>
      <c r="C192" s="21" t="s">
        <v>202</v>
      </c>
      <c r="D192" s="21" t="s">
        <v>950</v>
      </c>
      <c r="E192" s="13">
        <v>42900.718738425923</v>
      </c>
      <c r="F192" s="13">
        <v>42900.723194444443</v>
      </c>
      <c r="G192" s="7">
        <v>1</v>
      </c>
      <c r="H192" s="21" t="s">
        <v>947</v>
      </c>
      <c r="I192" s="13">
        <v>42900.734050925923</v>
      </c>
      <c r="J192" s="7">
        <v>2</v>
      </c>
      <c r="K192" s="89" t="str">
        <f t="shared" si="46"/>
        <v>4019/4020</v>
      </c>
      <c r="L192" s="21" t="str">
        <f>VLOOKUP(A192,'Trips&amp;Operators'!$C$1:$G$99999,5,FALSE)</f>
        <v>NELSON ARIANE</v>
      </c>
      <c r="M192" s="6">
        <f t="shared" si="47"/>
        <v>1.0856481480004732E-2</v>
      </c>
      <c r="N192" s="7">
        <f t="shared" si="67"/>
        <v>15.633333331206813</v>
      </c>
      <c r="O192" s="7"/>
      <c r="P192" s="7"/>
      <c r="Q192" s="22"/>
      <c r="R192" s="170"/>
      <c r="S192" s="215">
        <f t="shared" si="66"/>
        <v>1</v>
      </c>
      <c r="T192" s="195" t="str">
        <f t="shared" si="48"/>
        <v>NorthBound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 t="shared" si="49"/>
        <v>https://d0f6bd738d7f1b3e5a7ca70fe4ff75f0.us-east-1.aws.found.io/app/kibana#/discover/Steve-Slow-Train-Analysis-(2080s-and-2083s)?_g=(refreshInterval:(display:Off,pause:!f,section:0,value:0),time:(from:'2017-06-14T16:14:59-0600',mode:absolute,to:'2017-06-14T18:37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2" s="197" t="str">
        <f>IF(AA192&lt;VLOOKUP(AG192,Variables!$AC$3:$AD$8,2,FALSE),"Y","N")</f>
        <v>N</v>
      </c>
      <c r="X192" s="197">
        <f t="shared" si="50"/>
        <v>1</v>
      </c>
      <c r="Y192" s="197">
        <f t="shared" si="68"/>
        <v>9.7600000000000006E-2</v>
      </c>
      <c r="Z192" s="197">
        <f t="shared" si="69"/>
        <v>5.8948</v>
      </c>
      <c r="AA192" s="197">
        <f t="shared" si="53"/>
        <v>5.7972000000000001</v>
      </c>
      <c r="AB192" s="54" t="e">
        <f>VLOOKUP(A192,Enforcements!$C$7:$K$13,8,0)</f>
        <v>#N/A</v>
      </c>
      <c r="AC192" s="51" t="e">
        <f>VLOOKUP(A192,Enforcements!$C$7:$E$13,3,0)</f>
        <v>#N/A</v>
      </c>
      <c r="AD192" s="206">
        <f t="shared" si="54"/>
        <v>833</v>
      </c>
      <c r="AE192" s="77" t="str">
        <f t="shared" si="55"/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AF192" s="74" t="str">
        <f t="shared" si="56"/>
        <v>"C:\Program Files (x86)\AstroGrep\AstroGrep.exe" /e /r /s /spath="%USERPROFILE%\AppData\Local\Temp\OnboardLogs" /stypes="app*4020*20170614*" /stext=" 23:.+((SYSTEM_STATE.+slice.+state.+changed )|(ment ac)|(multiple cpu faults)|(system.+state.+changed )|(\[timeout)|(PRM\|1\|D)|(kpr)|(kdp)|(train st.+moving)|(\|lc)|(penalty))"</v>
      </c>
      <c r="AG192" s="209" t="str">
        <f t="shared" si="61"/>
        <v>NW</v>
      </c>
      <c r="AH192" s="78" t="str">
        <f t="shared" si="57"/>
        <v>"%USERPROFILE%\Documents\GitHub\eaglep3\Utilities\RefineRTDCRunTimes.py" --tripid 833-14 --locoid 4020 --swversion DE.1.0.9.0 --startMP 204:976 --initTime 2017-06-14T17:14:59 --startdatetime 2017-06-14T17:21:24 --delay 1 --endMP 300:58948 --enddatetime 2017-06-14T17:37:02 --enforcementcount 2 &gt;&gt;C:\Users\stu\Documents\GitHub\eaglep3-reporting\EC\2017-06-14-refined-times.txt</v>
      </c>
      <c r="AI192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{"issue":{"subject":"","project_id":79,"tracker_id":40,"status_id":1,"priority_id":2,"assigned_to_id":23,"start_date":"2017-06-14","description":"","custom_fields":[{"id":1,"name":"Subdivision","value":"NW"},{"id":4,"name":"Milepost","value":"5.8948"},{"id":17,"name":"Train ID","value":"833-14"},{"id":16,"name":"Locomotive ID","value":"4020"},{"id":130,"name":"Impact","value":""},{"id":150,"name":"Time of Event (Mountain Time)","value":"17:37:02"},{"id":151,"name":"Denver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2" s="47"/>
      <c r="AL192" s="47"/>
      <c r="AM192" s="142" t="str">
        <f t="shared" si="59"/>
        <v>start /low /b %USERPROFILE%\Documents\GitHub\eaglep3\Utilities\DownloadLogsFromS3.py --loco 4020 --day 2017-06-14</v>
      </c>
      <c r="AN192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23:37:02"},{"id":29,"name":"Sharepoint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7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x14ac:dyDescent="0.25">
      <c r="A193" s="32" t="s">
        <v>798</v>
      </c>
      <c r="B193" s="7">
        <v>4019</v>
      </c>
      <c r="C193" s="21" t="s">
        <v>202</v>
      </c>
      <c r="D193" s="21" t="s">
        <v>483</v>
      </c>
      <c r="E193" s="13">
        <v>42900.735439814816</v>
      </c>
      <c r="F193" s="13">
        <v>42900.737013888887</v>
      </c>
      <c r="G193" s="7">
        <v>1</v>
      </c>
      <c r="H193" s="21" t="s">
        <v>592</v>
      </c>
      <c r="I193" s="13">
        <v>42900.752546296295</v>
      </c>
      <c r="J193" s="7">
        <v>2</v>
      </c>
      <c r="K193" s="89" t="str">
        <f t="shared" si="46"/>
        <v>4019/4020</v>
      </c>
      <c r="L193" s="21" t="str">
        <f>VLOOKUP(A193,'Trips&amp;Operators'!$C$1:$G$99999,5,FALSE)</f>
        <v>NELSON ARIANE</v>
      </c>
      <c r="M193" s="6">
        <f t="shared" si="47"/>
        <v>1.5532407407590654E-2</v>
      </c>
      <c r="N193" s="7">
        <f t="shared" si="67"/>
        <v>22.366666666930541</v>
      </c>
      <c r="O193" s="7"/>
      <c r="P193" s="7"/>
      <c r="Q193" s="22"/>
      <c r="R193" s="170"/>
      <c r="S193" s="215">
        <f t="shared" si="66"/>
        <v>1</v>
      </c>
      <c r="T193" s="195" t="str">
        <f t="shared" si="48"/>
        <v>Southbound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 t="shared" si="49"/>
        <v>https://d0f6bd738d7f1b3e5a7ca70fe4ff75f0.us-east-1.aws.found.io/app/kibana#/discover/Steve-Slow-Train-Analysis-(2080s-and-2083s)?_g=(refreshInterval:(display:Off,pause:!f,section:0,value:0),time:(from:'2017-06-14T16:39:02-0600',mode:absolute,to:'2017-06-14T19:03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3" s="197" t="str">
        <f>IF(AA193&lt;VLOOKUP(AG193,Variables!$AC$3:$AD$8,2,FALSE),"Y","N")</f>
        <v>N</v>
      </c>
      <c r="X193" s="197">
        <f t="shared" si="50"/>
        <v>1</v>
      </c>
      <c r="Y193" s="197">
        <f t="shared" si="68"/>
        <v>5.8624000000000001</v>
      </c>
      <c r="Z193" s="197">
        <f t="shared" si="69"/>
        <v>6.9199999999999998E-2</v>
      </c>
      <c r="AA193" s="197">
        <f t="shared" si="53"/>
        <v>5.7931999999999997</v>
      </c>
      <c r="AB193" s="54" t="e">
        <f>VLOOKUP(A193,Enforcements!$C$7:$K$13,8,0)</f>
        <v>#N/A</v>
      </c>
      <c r="AC193" s="51" t="e">
        <f>VLOOKUP(A193,Enforcements!$C$7:$E$13,3,0)</f>
        <v>#N/A</v>
      </c>
      <c r="AD193" s="206">
        <f t="shared" si="54"/>
        <v>834</v>
      </c>
      <c r="AE193" s="77" t="str">
        <f t="shared" si="55"/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AF193" s="74" t="str">
        <f t="shared" si="56"/>
        <v>"C:\Program Files (x86)\AstroGrep\AstroGrep.exe" /e /r /s /spath="%USERPROFILE%\AppData\Local\Temp\OnboardLogs" /stypes="app*4019*20170615*" /stext=" 00:.+((SYSTEM_STATE.+slice.+state.+changed )|(ment ac)|(multiple cpu faults)|(system.+state.+changed )|(\[timeout)|(PRM\|1\|D)|(kpr)|(kdp)|(train st.+moving)|(\|lc)|(penalty))"</v>
      </c>
      <c r="AG193" s="209" t="str">
        <f t="shared" si="61"/>
        <v>NW</v>
      </c>
      <c r="AH193" s="78" t="str">
        <f t="shared" si="57"/>
        <v>"%USERPROFILE%\Documents\GitHub\eaglep3\Utilities\RefineRTDCRunTimes.py" --tripid 834-14 --locoid 4019 --swversion DE.1.0.9.0 --startMP 300:58624 --initTime 2017-06-14T17:39:02 --startdatetime 2017-06-14T17:41:18 --delay 1 --endMP 204:692 --enddatetime 2017-06-14T18:03:40 --enforcementcount 2 &gt;&gt;C:\Users\stu\Documents\GitHub\eaglep3-reporting\EC\2017-06-14-refined-times.txt</v>
      </c>
      <c r="AI193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{"issue":{"subject":"","project_id":79,"tracker_id":40,"status_id":1,"priority_id":2,"assigned_to_id":23,"start_date":"2017-06-14","description":"","custom_fields":[{"id":1,"name":"Subdivision","value":"NW"},{"id":4,"name":"Milepost","value":"0.0692"},{"id":17,"name":"Train ID","value":"834-14"},{"id":16,"name":"Locomotive ID","value":"4019"},{"id":130,"name":"Impact","value":""},{"id":150,"name":"Time of Event (Mountain Time)","value":"18:03:40"},{"id":151,"name":"Denver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59"/>
        <v>start /low /b %USERPROFILE%\Documents\GitHub\eaglep3\Utilities\DownloadLogsFromS3.py --loco 4019 --day 2017-06-14</v>
      </c>
      <c r="AN193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00:03:40"},{"id":29,"name":"Sharepoint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91" x14ac:dyDescent="0.25">
      <c r="A194" s="32" t="s">
        <v>801</v>
      </c>
      <c r="B194" s="7">
        <v>4012</v>
      </c>
      <c r="C194" s="21" t="s">
        <v>202</v>
      </c>
      <c r="D194" s="21" t="s">
        <v>951</v>
      </c>
      <c r="E194" s="13">
        <v>42900.739236111112</v>
      </c>
      <c r="F194" s="13">
        <v>42900.744143518517</v>
      </c>
      <c r="G194" s="7">
        <v>1</v>
      </c>
      <c r="H194" s="21" t="s">
        <v>947</v>
      </c>
      <c r="I194" s="13">
        <v>42900.755543981482</v>
      </c>
      <c r="J194" s="7">
        <v>2</v>
      </c>
      <c r="K194" s="89" t="str">
        <f t="shared" si="46"/>
        <v>4011/4012</v>
      </c>
      <c r="L194" s="21" t="str">
        <f>VLOOKUP(A194,'Trips&amp;Operators'!$C$1:$G$99999,5,FALSE)</f>
        <v>STAMBAUGH JAMES</v>
      </c>
      <c r="M194" s="6">
        <f t="shared" si="47"/>
        <v>1.1400462964957114E-2</v>
      </c>
      <c r="N194" s="7">
        <f t="shared" si="67"/>
        <v>16.416666669538245</v>
      </c>
      <c r="O194" s="7"/>
      <c r="P194" s="7"/>
      <c r="Q194" s="22"/>
      <c r="R194" s="170"/>
      <c r="S194" s="215">
        <f t="shared" si="66"/>
        <v>1</v>
      </c>
      <c r="T194" s="195" t="str">
        <f t="shared" si="48"/>
        <v>NorthBound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 t="shared" si="49"/>
        <v>https://d0f6bd738d7f1b3e5a7ca70fe4ff75f0.us-east-1.aws.found.io/app/kibana#/discover/Steve-Slow-Train-Analysis-(2080s-and-2083s)?_g=(refreshInterval:(display:Off,pause:!f,section:0,value:0),time:(from:'2017-06-14T16:44:30-0600',mode:absolute,to:'2017-06-14T19:07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4" s="197" t="str">
        <f>IF(AA194&lt;VLOOKUP(AG194,Variables!$AC$3:$AD$8,2,FALSE),"Y","N")</f>
        <v>N</v>
      </c>
      <c r="X194" s="197">
        <f t="shared" si="50"/>
        <v>1</v>
      </c>
      <c r="Y194" s="197">
        <f t="shared" si="68"/>
        <v>9.3700000000000006E-2</v>
      </c>
      <c r="Z194" s="197">
        <f t="shared" si="69"/>
        <v>5.8948</v>
      </c>
      <c r="AA194" s="197">
        <f t="shared" si="53"/>
        <v>5.8010999999999999</v>
      </c>
      <c r="AB194" s="54" t="e">
        <f>VLOOKUP(A194,Enforcements!$C$7:$K$13,8,0)</f>
        <v>#N/A</v>
      </c>
      <c r="AC194" s="51" t="e">
        <f>VLOOKUP(A194,Enforcements!$C$7:$E$13,3,0)</f>
        <v>#N/A</v>
      </c>
      <c r="AD194" s="206">
        <f t="shared" si="54"/>
        <v>835</v>
      </c>
      <c r="AE194" s="77" t="str">
        <f t="shared" si="55"/>
        <v>aws s3 cp s3://rtdc.mdm.uploadarchive.raw/RTDC4012/ "%USERPROFILE%\AppData\Local\Temp\OnboardLogs"\RTDC4012\2017-06-14 --exclude "*" --recursive --include "*20170614*" &amp; "%USERPROFILE%\Documents\GitHub\mrs-test-scripts\Headless Mode &amp; Sideloading\WalkAndUnGZ.bat" "%USERPROFILE%\AppData\Local\Temp\OnboardLogs"\RTDC4012\2017-06-14 &amp; aws s3 cp s3://rtdc.mdm.uploadarchive.raw/RTDC4012/ "%USERPROFILE%\AppData\Local\Temp\OnboardLogs"\RTDC4012\2017-06-15 --exclude "*" --recursive --include "*20170615*" &amp; "%USERPROFILE%\Documents\GitHub\mrs-test-scripts\Headless Mode &amp; Sideloading\WalkAndUnGZ.bat" "%USERPROFILE%\AppData\Local\Temp\OnboardLogs"\RTDC4012\2017-06-15</v>
      </c>
      <c r="AF194" s="74" t="str">
        <f t="shared" si="56"/>
        <v>"C:\Program Files (x86)\AstroGrep\AstroGrep.exe" /e /r /s /spath="%USERPROFILE%\AppData\Local\Temp\OnboardLogs" /stypes="app*4012*20170615*" /stext=" 00:.+((SYSTEM_STATE.+slice.+state.+changed )|(ment ac)|(multiple cpu faults)|(system.+state.+changed )|(\[timeout)|(PRM\|1\|D)|(kpr)|(kdp)|(train st.+moving)|(\|lc)|(penalty))"</v>
      </c>
      <c r="AG194" s="209" t="str">
        <f t="shared" si="61"/>
        <v>NW</v>
      </c>
      <c r="AH194" s="78" t="str">
        <f t="shared" si="57"/>
        <v>"%USERPROFILE%\Documents\GitHub\eaglep3\Utilities\RefineRTDCRunTimes.py" --tripid 835-14 --locoid 4012 --swversion DE.1.0.9.0 --startMP 204:937 --initTime 2017-06-14T17:44:30 --startdatetime 2017-06-14T17:51:34 --delay 1 --endMP 300:58948 --enddatetime 2017-06-14T18:07:59 --enforcementcount 2 &gt;&gt;C:\Users\stu\Documents\GitHub\eaglep3-reporting\EC\2017-06-14-refined-times.txt</v>
      </c>
      <c r="AI194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{"issue":{"subject":"","project_id":79,"tracker_id":40,"status_id":1,"priority_id":2,"assigned_to_id":23,"start_date":"2017-06-14","description":"","custom_fields":[{"id":1,"name":"Subdivision","value":"NW"},{"id":4,"name":"Milepost","value":"5.8948"},{"id":17,"name":"Train ID","value":"835-14"},{"id":16,"name":"Locomotive ID","value":"4012"},{"id":130,"name":"Impact","value":""},{"id":150,"name":"Time of Event (Mountain Time)","value":"18:07:59"},{"id":151,"name":"Denver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59"/>
        <v>start /low /b %USERPROFILE%\Documents\GitHub\eaglep3\Utilities\DownloadLogsFromS3.py --loco 4012 --day 2017-06-14</v>
      </c>
      <c r="AN194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00:07:59"},{"id":29,"name":"Sharepoint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91" x14ac:dyDescent="0.25">
      <c r="A195" s="32" t="s">
        <v>636</v>
      </c>
      <c r="B195" s="7">
        <v>4011</v>
      </c>
      <c r="C195" s="21" t="s">
        <v>202</v>
      </c>
      <c r="D195" s="21" t="s">
        <v>491</v>
      </c>
      <c r="E195" s="13">
        <v>42900.756585648145</v>
      </c>
      <c r="F195" s="13">
        <v>42900.758611111109</v>
      </c>
      <c r="G195" s="7">
        <v>1</v>
      </c>
      <c r="H195" s="21" t="s">
        <v>952</v>
      </c>
      <c r="I195" s="13">
        <v>42900.766979166663</v>
      </c>
      <c r="J195" s="7">
        <v>2</v>
      </c>
      <c r="K195" s="89" t="str">
        <f t="shared" si="46"/>
        <v>4011/4012</v>
      </c>
      <c r="L195" s="21" t="str">
        <f>VLOOKUP(A195,'Trips&amp;Operators'!$C$1:$G$99999,5,FALSE)</f>
        <v>STAMBAUGH JAMES</v>
      </c>
      <c r="M195" s="6">
        <f t="shared" si="47"/>
        <v>8.3680555544560775E-3</v>
      </c>
      <c r="N195" s="7">
        <f t="shared" si="67"/>
        <v>12.049999998416752</v>
      </c>
      <c r="O195" s="7"/>
      <c r="P195" s="7"/>
      <c r="Q195" s="22"/>
      <c r="R195" s="170" t="s">
        <v>997</v>
      </c>
      <c r="S195" s="215">
        <f t="shared" si="66"/>
        <v>1</v>
      </c>
      <c r="T195" s="195" t="str">
        <f t="shared" si="48"/>
        <v>Southbound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 t="shared" si="49"/>
        <v>https://d0f6bd738d7f1b3e5a7ca70fe4ff75f0.us-east-1.aws.found.io/app/kibana#/discover/Steve-Slow-Train-Analysis-(2080s-and-2083s)?_g=(refreshInterval:(display:Off,pause:!f,section:0,value:0),time:(from:'2017-06-14T17:09:29-0600',mode:absolute,to:'2017-06-14T19:24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5" s="197" t="str">
        <f>IF(AA195&lt;VLOOKUP(AG195,Variables!$AC$3:$AD$8,2,FALSE),"Y","N")</f>
        <v>Y</v>
      </c>
      <c r="X195" s="197">
        <f t="shared" si="50"/>
        <v>1</v>
      </c>
      <c r="Y195" s="197">
        <f t="shared" si="68"/>
        <v>5.8638000000000003</v>
      </c>
      <c r="Z195" s="197">
        <f t="shared" si="69"/>
        <v>0.48770000000000002</v>
      </c>
      <c r="AA195" s="197">
        <f t="shared" si="53"/>
        <v>5.3761000000000001</v>
      </c>
      <c r="AB195" s="54" t="e">
        <f>VLOOKUP(A195,Enforcements!$C$7:$K$13,8,0)</f>
        <v>#N/A</v>
      </c>
      <c r="AC195" s="51" t="e">
        <f>VLOOKUP(A195,Enforcements!$C$7:$E$13,3,0)</f>
        <v>#N/A</v>
      </c>
      <c r="AD195" s="206">
        <f t="shared" si="54"/>
        <v>836</v>
      </c>
      <c r="AE195" s="77" t="str">
        <f t="shared" si="55"/>
        <v>aws s3 cp s3://rtdc.mdm.uploadarchive.raw/RTDC4011/ "%USERPROFILE%\AppData\Local\Temp\OnboardLogs"\RTDC4011\2017-06-14 --exclude "*" --recursive --include "*20170614*" &amp; "%USERPROFILE%\Documents\GitHub\mrs-test-scripts\Headless Mode &amp; Sideloading\WalkAndUnGZ.bat" "%USERPROFILE%\AppData\Local\Temp\OnboardLogs"\RTDC4011\2017-06-14 &amp; aws s3 cp s3://rtdc.mdm.uploadarchive.raw/RTDC4011/ "%USERPROFILE%\AppData\Local\Temp\OnboardLogs"\RTDC4011\2017-06-15 --exclude "*" --recursive --include "*20170615*" &amp; "%USERPROFILE%\Documents\GitHub\mrs-test-scripts\Headless Mode &amp; Sideloading\WalkAndUnGZ.bat" "%USERPROFILE%\AppData\Local\Temp\OnboardLogs"\RTDC4011\2017-06-15</v>
      </c>
      <c r="AF195" s="74" t="str">
        <f t="shared" si="56"/>
        <v>"C:\Program Files (x86)\AstroGrep\AstroGrep.exe" /e /r /s /spath="%USERPROFILE%\AppData\Local\Temp\OnboardLogs" /stypes="app*4011*20170615*" /stext=" 00:.+((SYSTEM_STATE.+slice.+state.+changed )|(ment ac)|(multiple cpu faults)|(system.+state.+changed )|(\[timeout)|(PRM\|1\|D)|(kpr)|(kdp)|(train st.+moving)|(\|lc)|(penalty))"</v>
      </c>
      <c r="AG195" s="209" t="str">
        <f t="shared" si="61"/>
        <v>NW</v>
      </c>
      <c r="AH195" s="78" t="str">
        <f t="shared" si="57"/>
        <v>"%USERPROFILE%\Documents\GitHub\eaglep3\Utilities\RefineRTDCRunTimes.py" --tripid 836-14 --locoid 4011 --swversion DE.1.0.9.0 --startMP 300:58638 --initTime 2017-06-14T18:09:29 --startdatetime 2017-06-14T18:12:24 --delay 1 --endMP 300:4877 --enddatetime 2017-06-14T18:24:27 --enforcementcount 2 &gt;&gt;C:\Users\stu\Documents\GitHub\eaglep3-reporting\EC\2017-06-14-refined-times.txt</v>
      </c>
      <c r="AI195" s="96" t="str">
        <f t="shared" si="58"/>
        <v>echo {"issue":{"subject":"DUS 28S STOP due to 4S STOP","project_id":79,"tracker_id":40,"status_id":1,"priority_id":2,"assigned_to_id":23,"start_date":"2017-06-14","description":"","custom_fields":[{"id":1,"name":"Subdivision","value":"NW"},{"id":4,"name":"Milepost","value":"0.4877"},{"id":17,"name":"Train ID","value":"836-14"},{"id":16,"name":"Locomotive ID","value":"4011"},{"id":130,"name":"Impact","value":""},{"id":150,"name":"Time of Event (Mountain Time)","value":"18:24:27"},{"id":151,"name":"Denver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59"/>
        <v>start /low /b %USERPROFILE%\Documents\GitHub\eaglep3\Utilities\DownloadLogsFromS3.py --loco 4011 --day 2017-06-14</v>
      </c>
      <c r="AN195" s="151" t="str">
        <f t="shared" si="60"/>
        <v>echo {"issue":{"subject":"DUS 28S STOP due to 4S STOP","project_id":30,"tracker_id":4,"status_id":1,"priority_id":1,"assigned_to_id":10,"start_date":"2017-06-15","description":"","custom_fields":[{"id":30,"name":"Category","value":"Issue"},{"id":3,"name":"Functional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00:24:27"},{"id":29,"name":"Sharepoint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91" s="20" customFormat="1" x14ac:dyDescent="0.25">
      <c r="A196" s="32" t="s">
        <v>805</v>
      </c>
      <c r="B196" s="7">
        <v>4020</v>
      </c>
      <c r="C196" s="21" t="s">
        <v>202</v>
      </c>
      <c r="D196" s="21" t="s">
        <v>953</v>
      </c>
      <c r="E196" s="13">
        <v>42900.762499999997</v>
      </c>
      <c r="F196" s="13">
        <v>42900.765289351853</v>
      </c>
      <c r="G196" s="7">
        <v>2</v>
      </c>
      <c r="H196" s="21" t="s">
        <v>954</v>
      </c>
      <c r="I196" s="13">
        <v>42900.777002314811</v>
      </c>
      <c r="J196" s="7">
        <v>2</v>
      </c>
      <c r="K196" s="89" t="str">
        <f t="shared" si="46"/>
        <v>4019/4020</v>
      </c>
      <c r="L196" s="21" t="str">
        <f>VLOOKUP(A196,'Trips&amp;Operators'!$C$1:$G$99999,5,FALSE)</f>
        <v>NELSON ARIANE</v>
      </c>
      <c r="M196" s="6">
        <f t="shared" si="47"/>
        <v>1.1712962957972195E-2</v>
      </c>
      <c r="N196" s="7">
        <f t="shared" si="67"/>
        <v>16.866666659479961</v>
      </c>
      <c r="O196" s="7"/>
      <c r="P196" s="7"/>
      <c r="Q196" s="22"/>
      <c r="R196" s="170"/>
      <c r="S196" s="215">
        <f t="shared" si="66"/>
        <v>1</v>
      </c>
      <c r="T196" s="195" t="str">
        <f t="shared" si="48"/>
        <v>NorthBound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 t="shared" si="49"/>
        <v>https://d0f6bd738d7f1b3e5a7ca70fe4ff75f0.us-east-1.aws.found.io/app/kibana#/discover/Steve-Slow-Train-Analysis-(2080s-and-2083s)?_g=(refreshInterval:(display:Off,pause:!f,section:0,value:0),time:(from:'2017-06-14T17:18:00-0600',mode:absolute,to:'2017-06-14T19:38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6" s="197" t="str">
        <f>IF(AA196&lt;VLOOKUP(AG196,Variables!$AC$3:$AD$8,2,FALSE),"Y","N")</f>
        <v>N</v>
      </c>
      <c r="X196" s="197">
        <f t="shared" si="50"/>
        <v>1</v>
      </c>
      <c r="Y196" s="197">
        <f t="shared" si="68"/>
        <v>9.8799999999999999E-2</v>
      </c>
      <c r="Z196" s="197">
        <f t="shared" si="69"/>
        <v>5.8960999999999997</v>
      </c>
      <c r="AA196" s="197">
        <f t="shared" si="53"/>
        <v>5.7972999999999999</v>
      </c>
      <c r="AB196" s="54" t="e">
        <f>VLOOKUP(A196,Enforcements!$C$7:$K$13,8,0)</f>
        <v>#N/A</v>
      </c>
      <c r="AC196" s="51" t="e">
        <f>VLOOKUP(A196,Enforcements!$C$7:$E$13,3,0)</f>
        <v>#N/A</v>
      </c>
      <c r="AD196" s="206">
        <f t="shared" si="54"/>
        <v>837</v>
      </c>
      <c r="AE196" s="77" t="str">
        <f t="shared" si="55"/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AF196" s="74" t="str">
        <f t="shared" si="56"/>
        <v>"C:\Program Files (x86)\AstroGrep\AstroGrep.exe" /e /r /s /spath="%USERPROFILE%\AppData\Local\Temp\OnboardLogs" /stypes="app*4020*20170615*" /stext=" 00:.+((SYSTEM_STATE.+slice.+state.+changed )|(ment ac)|(multiple cpu faults)|(system.+state.+changed )|(\[timeout)|(PRM\|1\|D)|(kpr)|(kdp)|(train st.+moving)|(\|lc)|(penalty))"</v>
      </c>
      <c r="AG196" s="209" t="str">
        <f t="shared" si="61"/>
        <v>NW</v>
      </c>
      <c r="AH196" s="78" t="str">
        <f t="shared" si="57"/>
        <v>"%USERPROFILE%\Documents\GitHub\eaglep3\Utilities\RefineRTDCRunTimes.py" --tripid 837-14 --locoid 4020 --swversion DE.1.0.9.0 --startMP 204:988 --initTime 2017-06-14T18:18:00 --startdatetime 2017-06-14T18:22:01 --delay 2 --endMP 300:58961 --enddatetime 2017-06-14T18:38:53 --enforcementcount 2 &gt;&gt;C:\Users\stu\Documents\GitHub\eaglep3-reporting\EC\2017-06-14-refined-times.txt</v>
      </c>
      <c r="AI196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{"issue":{"subject":"","project_id":79,"tracker_id":40,"status_id":1,"priority_id":2,"assigned_to_id":23,"start_date":"2017-06-14","description":"","custom_fields":[{"id":1,"name":"Subdivision","value":"NW"},{"id":4,"name":"Milepost","value":"5.8961"},{"id":17,"name":"Train ID","value":"837-14"},{"id":16,"name":"Locomotive ID","value":"4020"},{"id":130,"name":"Impact","value":""},{"id":150,"name":"Time of Event (Mountain Time)","value":"18:38:53"},{"id":151,"name":"Denver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6" s="47"/>
      <c r="AL196" s="47"/>
      <c r="AM196" s="142" t="str">
        <f t="shared" si="59"/>
        <v>start /low /b %USERPROFILE%\Documents\GitHub\eaglep3\Utilities\DownloadLogsFromS3.py --loco 4020 --day 2017-06-14</v>
      </c>
      <c r="AN196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00:38:53"},{"id":29,"name":"Sharepoint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72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x14ac:dyDescent="0.25">
      <c r="A197" s="32" t="s">
        <v>809</v>
      </c>
      <c r="B197" s="7">
        <v>4019</v>
      </c>
      <c r="C197" s="21" t="s">
        <v>202</v>
      </c>
      <c r="D197" s="21" t="s">
        <v>955</v>
      </c>
      <c r="E197" s="13">
        <v>42900.778460648151</v>
      </c>
      <c r="F197" s="13">
        <v>42900.779699074075</v>
      </c>
      <c r="G197" s="7">
        <v>1</v>
      </c>
      <c r="H197" s="21" t="s">
        <v>956</v>
      </c>
      <c r="I197" s="13">
        <v>42900.790555555555</v>
      </c>
      <c r="J197" s="7">
        <v>2</v>
      </c>
      <c r="K197" s="89" t="str">
        <f t="shared" si="46"/>
        <v>4019/4020</v>
      </c>
      <c r="L197" s="21" t="str">
        <f>VLOOKUP(A197,'Trips&amp;Operators'!$C$1:$G$99999,5,FALSE)</f>
        <v>NELSON ARIANE</v>
      </c>
      <c r="M197" s="6">
        <f t="shared" si="47"/>
        <v>1.0856481480004732E-2</v>
      </c>
      <c r="N197" s="7">
        <f t="shared" si="67"/>
        <v>15.633333331206813</v>
      </c>
      <c r="O197" s="7"/>
      <c r="P197" s="7"/>
      <c r="Q197" s="22"/>
      <c r="R197" s="170"/>
      <c r="S197" s="215">
        <f t="shared" si="66"/>
        <v>1</v>
      </c>
      <c r="T197" s="195" t="str">
        <f t="shared" si="48"/>
        <v>Southbound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 t="shared" si="49"/>
        <v>https://d0f6bd738d7f1b3e5a7ca70fe4ff75f0.us-east-1.aws.found.io/app/kibana#/discover/Steve-Slow-Train-Analysis-(2080s-and-2083s)?_g=(refreshInterval:(display:Off,pause:!f,section:0,value:0),time:(from:'2017-06-14T17:40:59-0600',mode:absolute,to:'2017-06-14T19:58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7" s="197" t="str">
        <f>IF(AA197&lt;VLOOKUP(AG197,Variables!$AC$3:$AD$8,2,FALSE),"Y","N")</f>
        <v>N</v>
      </c>
      <c r="X197" s="197">
        <f t="shared" si="50"/>
        <v>1</v>
      </c>
      <c r="Y197" s="197">
        <f t="shared" si="68"/>
        <v>5.8653000000000004</v>
      </c>
      <c r="Z197" s="197">
        <f t="shared" si="69"/>
        <v>7.0300000000000001E-2</v>
      </c>
      <c r="AA197" s="197">
        <f t="shared" si="53"/>
        <v>5.7950000000000008</v>
      </c>
      <c r="AB197" s="54" t="e">
        <f>VLOOKUP(A197,Enforcements!$C$7:$K$13,8,0)</f>
        <v>#N/A</v>
      </c>
      <c r="AC197" s="51" t="e">
        <f>VLOOKUP(A197,Enforcements!$C$7:$E$13,3,0)</f>
        <v>#N/A</v>
      </c>
      <c r="AD197" s="206">
        <f t="shared" si="54"/>
        <v>838</v>
      </c>
      <c r="AE197" s="77" t="str">
        <f t="shared" si="55"/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AF197" s="74" t="str">
        <f t="shared" si="56"/>
        <v>"C:\Program Files (x86)\AstroGrep\AstroGrep.exe" /e /r /s /spath="%USERPROFILE%\AppData\Local\Temp\OnboardLogs" /stypes="app*4019*20170615*" /stext=" 00:.+((SYSTEM_STATE.+slice.+state.+changed )|(ment ac)|(multiple cpu faults)|(system.+state.+changed )|(\[timeout)|(PRM\|1\|D)|(kpr)|(kdp)|(train st.+moving)|(\|lc)|(penalty))"</v>
      </c>
      <c r="AG197" s="209" t="str">
        <f t="shared" si="61"/>
        <v>NW</v>
      </c>
      <c r="AH197" s="78" t="str">
        <f t="shared" si="57"/>
        <v>"%USERPROFILE%\Documents\GitHub\eaglep3\Utilities\RefineRTDCRunTimes.py" --tripid 838-14 --locoid 4019 --swversion DE.1.0.9.0 --startMP 300:58653 --initTime 2017-06-14T18:40:59 --startdatetime 2017-06-14T18:42:46 --delay 1 --endMP 204:703 --enddatetime 2017-06-14T18:58:24 --enforcementcount 2 &gt;&gt;C:\Users\stu\Documents\GitHub\eaglep3-reporting\EC\2017-06-14-refined-times.txt</v>
      </c>
      <c r="AI197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{"issue":{"subject":"","project_id":79,"tracker_id":40,"status_id":1,"priority_id":2,"assigned_to_id":23,"start_date":"2017-06-14","description":"","custom_fields":[{"id":1,"name":"Subdivision","value":"NW"},{"id":4,"name":"Milepost","value":"0.0703"},{"id":17,"name":"Train ID","value":"838-14"},{"id":16,"name":"Locomotive ID","value":"4019"},{"id":130,"name":"Impact","value":""},{"id":150,"name":"Time of Event (Mountain Time)","value":"18:58:24"},{"id":151,"name":"Denver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59"/>
        <v>start /low /b %USERPROFILE%\Documents\GitHub\eaglep3\Utilities\DownloadLogsFromS3.py --loco 4019 --day 2017-06-14</v>
      </c>
      <c r="AN197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00:58:24"},{"id":29,"name":"Sharepoint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91" x14ac:dyDescent="0.25">
      <c r="A198" s="32" t="s">
        <v>807</v>
      </c>
      <c r="B198" s="7">
        <v>4012</v>
      </c>
      <c r="C198" s="21" t="s">
        <v>202</v>
      </c>
      <c r="D198" s="21" t="s">
        <v>957</v>
      </c>
      <c r="E198" s="13">
        <v>42900.771990740737</v>
      </c>
      <c r="F198" s="13">
        <v>42900.785821759258</v>
      </c>
      <c r="G198" s="7">
        <v>1</v>
      </c>
      <c r="H198" s="21" t="s">
        <v>594</v>
      </c>
      <c r="I198" s="13">
        <v>42900.795856481483</v>
      </c>
      <c r="J198" s="7">
        <v>2</v>
      </c>
      <c r="K198" s="89" t="str">
        <f t="shared" si="46"/>
        <v>4011/4012</v>
      </c>
      <c r="L198" s="21" t="str">
        <f>VLOOKUP(A198,'Trips&amp;Operators'!$C$1:$G$99999,5,FALSE)</f>
        <v>STAMBAUGH JAMES</v>
      </c>
      <c r="M198" s="6">
        <f t="shared" si="47"/>
        <v>1.0034722225100268E-2</v>
      </c>
      <c r="N198" s="7">
        <f t="shared" si="67"/>
        <v>14.450000004144385</v>
      </c>
      <c r="O198" s="7"/>
      <c r="P198" s="7"/>
      <c r="Q198" s="22"/>
      <c r="R198" s="170"/>
      <c r="S198" s="215">
        <f t="shared" si="66"/>
        <v>1</v>
      </c>
      <c r="T198" s="195" t="str">
        <f t="shared" si="48"/>
        <v>NorthBound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 t="shared" si="49"/>
        <v>https://d0f6bd738d7f1b3e5a7ca70fe4ff75f0.us-east-1.aws.found.io/app/kibana#/discover/Steve-Slow-Train-Analysis-(2080s-and-2083s)?_g=(refreshInterval:(display:Off,pause:!f,section:0,value:0),time:(from:'2017-06-14T17:31:40-0600',mode:absolute,to:'2017-06-14T20:06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8" s="197" t="str">
        <f>IF(AA198&lt;VLOOKUP(AG198,Variables!$AC$3:$AD$8,2,FALSE),"Y","N")</f>
        <v>N</v>
      </c>
      <c r="X198" s="197">
        <f t="shared" si="50"/>
        <v>1</v>
      </c>
      <c r="Y198" s="197">
        <f t="shared" si="68"/>
        <v>8.9499999999999996E-2</v>
      </c>
      <c r="Z198" s="197">
        <f t="shared" si="69"/>
        <v>5.8929</v>
      </c>
      <c r="AA198" s="197">
        <f t="shared" si="53"/>
        <v>5.8033999999999999</v>
      </c>
      <c r="AB198" s="54" t="e">
        <f>VLOOKUP(A198,Enforcements!$C$7:$K$13,8,0)</f>
        <v>#N/A</v>
      </c>
      <c r="AC198" s="51" t="e">
        <f>VLOOKUP(A198,Enforcements!$C$7:$E$13,3,0)</f>
        <v>#N/A</v>
      </c>
      <c r="AD198" s="206">
        <f t="shared" si="54"/>
        <v>839</v>
      </c>
      <c r="AE198" s="77" t="str">
        <f t="shared" si="55"/>
        <v>aws s3 cp s3://rtdc.mdm.uploadarchive.raw/RTDC4012/ "%USERPROFILE%\AppData\Local\Temp\OnboardLogs"\RTDC4012\2017-06-14 --exclude "*" --recursive --include "*20170614*" &amp; "%USERPROFILE%\Documents\GitHub\mrs-test-scripts\Headless Mode &amp; Sideloading\WalkAndUnGZ.bat" "%USERPROFILE%\AppData\Local\Temp\OnboardLogs"\RTDC4012\2017-06-14 &amp; aws s3 cp s3://rtdc.mdm.uploadarchive.raw/RTDC4012/ "%USERPROFILE%\AppData\Local\Temp\OnboardLogs"\RTDC4012\2017-06-15 --exclude "*" --recursive --include "*20170615*" &amp; "%USERPROFILE%\Documents\GitHub\mrs-test-scripts\Headless Mode &amp; Sideloading\WalkAndUnGZ.bat" "%USERPROFILE%\AppData\Local\Temp\OnboardLogs"\RTDC4012\2017-06-15</v>
      </c>
      <c r="AF198" s="74" t="str">
        <f t="shared" si="56"/>
        <v>"C:\Program Files (x86)\AstroGrep\AstroGrep.exe" /e /r /s /spath="%USERPROFILE%\AppData\Local\Temp\OnboardLogs" /stypes="app*4012*20170615*" /stext=" 01:.+((SYSTEM_STATE.+slice.+state.+changed )|(ment ac)|(multiple cpu faults)|(system.+state.+changed )|(\[timeout)|(PRM\|1\|D)|(kpr)|(kdp)|(train st.+moving)|(\|lc)|(penalty))"</v>
      </c>
      <c r="AG198" s="209" t="str">
        <f t="shared" si="61"/>
        <v>NW</v>
      </c>
      <c r="AH198" s="78" t="str">
        <f t="shared" si="57"/>
        <v>"%USERPROFILE%\Documents\GitHub\eaglep3\Utilities\RefineRTDCRunTimes.py" --tripid 839-14 --locoid 4012 --swversion DE.1.0.9.0 --startMP 204:895 --initTime 2017-06-14T18:31:40 --startdatetime 2017-06-14T18:51:35 --delay 1 --endMP 300:58929 --enddatetime 2017-06-14T19:06:02 --enforcementcount 2 &gt;&gt;C:\Users\stu\Documents\GitHub\eaglep3-reporting\EC\2017-06-14-refined-times.txt</v>
      </c>
      <c r="AI198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{"issue":{"subject":"","project_id":79,"tracker_id":40,"status_id":1,"priority_id":2,"assigned_to_id":23,"start_date":"2017-06-14","description":"","custom_fields":[{"id":1,"name":"Subdivision","value":"NW"},{"id":4,"name":"Milepost","value":"5.8929"},{"id":17,"name":"Train ID","value":"839-14"},{"id":16,"name":"Locomotive ID","value":"4012"},{"id":130,"name":"Impact","value":""},{"id":150,"name":"Time of Event (Mountain Time)","value":"19:06:02"},{"id":151,"name":"Denver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59"/>
        <v>start /low /b %USERPROFILE%\Documents\GitHub\eaglep3\Utilities\DownloadLogsFromS3.py --loco 4012 --day 2017-06-14</v>
      </c>
      <c r="AN198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01:06:02"},{"id":29,"name":"Sharepoint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91" x14ac:dyDescent="0.25">
      <c r="A199" s="32" t="s">
        <v>644</v>
      </c>
      <c r="B199" s="7">
        <v>4019</v>
      </c>
      <c r="C199" s="21" t="s">
        <v>202</v>
      </c>
      <c r="D199" s="21" t="s">
        <v>595</v>
      </c>
      <c r="E199" s="13">
        <v>42900.820243055554</v>
      </c>
      <c r="F199" s="13">
        <v>42900.821481481478</v>
      </c>
      <c r="G199" s="7">
        <v>1</v>
      </c>
      <c r="H199" s="21" t="s">
        <v>958</v>
      </c>
      <c r="I199" s="13">
        <v>42900.833912037036</v>
      </c>
      <c r="J199" s="7">
        <v>2</v>
      </c>
      <c r="K199" s="89" t="str">
        <f t="shared" si="46"/>
        <v>4019/4020</v>
      </c>
      <c r="L199" s="21" t="str">
        <f>VLOOKUP(A199,'Trips&amp;Operators'!$C$1:$G$99999,5,FALSE)</f>
        <v>NELSON ARIANE</v>
      </c>
      <c r="M199" s="6">
        <f t="shared" si="47"/>
        <v>1.2430555558239575E-2</v>
      </c>
      <c r="N199" s="7">
        <f t="shared" si="67"/>
        <v>17.900000003864989</v>
      </c>
      <c r="O199" s="7"/>
      <c r="P199" s="7"/>
      <c r="Q199" s="22"/>
      <c r="R199" s="170" t="s">
        <v>998</v>
      </c>
      <c r="S199" s="215">
        <f t="shared" si="66"/>
        <v>1</v>
      </c>
      <c r="T199" s="195" t="str">
        <f t="shared" si="48"/>
        <v>Southbound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 t="shared" si="49"/>
        <v>https://d0f6bd738d7f1b3e5a7ca70fe4ff75f0.us-east-1.aws.found.io/app/kibana#/discover/Steve-Slow-Train-Analysis-(2080s-and-2083s)?_g=(refreshInterval:(display:Off,pause:!f,section:0,value:0),time:(from:'2017-06-14T18:41:09-0600',mode:absolute,to:'2017-06-14T21:00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9" s="197" t="str">
        <f>IF(AA199&lt;VLOOKUP(AG199,Variables!$AC$3:$AD$8,2,FALSE),"Y","N")</f>
        <v>Y</v>
      </c>
      <c r="X199" s="197">
        <f t="shared" si="50"/>
        <v>1</v>
      </c>
      <c r="Y199" s="197">
        <f t="shared" si="68"/>
        <v>5.8623000000000003</v>
      </c>
      <c r="Z199" s="197">
        <f t="shared" si="69"/>
        <v>0.50980000000000003</v>
      </c>
      <c r="AA199" s="197">
        <f t="shared" si="53"/>
        <v>5.3525</v>
      </c>
      <c r="AB199" s="54" t="e">
        <f>VLOOKUP(A199,Enforcements!$C$7:$K$13,8,0)</f>
        <v>#N/A</v>
      </c>
      <c r="AC199" s="51" t="e">
        <f>VLOOKUP(A199,Enforcements!$C$7:$E$13,3,0)</f>
        <v>#N/A</v>
      </c>
      <c r="AD199" s="206">
        <f t="shared" si="54"/>
        <v>840</v>
      </c>
      <c r="AE199" s="77" t="str">
        <f t="shared" si="55"/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AF199" s="74" t="str">
        <f t="shared" si="56"/>
        <v>"C:\Program Files (x86)\AstroGrep\AstroGrep.exe" /e /r /s /spath="%USERPROFILE%\AppData\Local\Temp\OnboardLogs" /stypes="app*4019*20170615*" /stext=" 02:.+((SYSTEM_STATE.+slice.+state.+changed )|(ment ac)|(multiple cpu faults)|(system.+state.+changed )|(\[timeout)|(PRM\|1\|D)|(kpr)|(kdp)|(train st.+moving)|(\|lc)|(penalty))"</v>
      </c>
      <c r="AG199" s="209" t="str">
        <f t="shared" si="61"/>
        <v>NW</v>
      </c>
      <c r="AH199" s="78" t="str">
        <f t="shared" si="57"/>
        <v>"%USERPROFILE%\Documents\GitHub\eaglep3\Utilities\RefineRTDCRunTimes.py" --tripid 840-14 --locoid 4019 --swversion DE.1.0.9.0 --startMP 300:58623 --initTime 2017-06-14T19:41:09 --startdatetime 2017-06-14T19:42:56 --delay 1 --endMP 300:5098 --enddatetime 2017-06-14T20:00:50 --enforcementcount 2 &gt;&gt;C:\Users\stu\Documents\GitHub\eaglep3-reporting\EC\2017-06-14-refined-times.txt</v>
      </c>
      <c r="AI199" s="96" t="str">
        <f t="shared" si="58"/>
        <v>echo {"issue":{"subject":"DTO efficiency test","project_id":79,"tracker_id":40,"status_id":1,"priority_id":2,"assigned_to_id":23,"start_date":"2017-06-14","description":"","custom_fields":[{"id":1,"name":"Subdivision","value":"NW"},{"id":4,"name":"Milepost","value":"0.5098"},{"id":17,"name":"Train ID","value":"840-14"},{"id":16,"name":"Locomotive ID","value":"4019"},{"id":130,"name":"Impact","value":""},{"id":150,"name":"Time of Event (Mountain Time)","value":"20:00:50"},{"id":151,"name":"Denver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59"/>
        <v>start /low /b %USERPROFILE%\Documents\GitHub\eaglep3\Utilities\DownloadLogsFromS3.py --loco 4019 --day 2017-06-14</v>
      </c>
      <c r="AN199" s="151" t="str">
        <f t="shared" si="60"/>
        <v>echo {"issue":{"subject":"DTO efficiency test","project_id":30,"tracker_id":4,"status_id":1,"priority_id":1,"assigned_to_id":10,"start_date":"2017-06-15","description":"","custom_fields":[{"id":30,"name":"Category","value":"Issue"},{"id":3,"name":"Functional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02:00:50"},{"id":29,"name":"Sharepoint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91" s="20" customFormat="1" x14ac:dyDescent="0.25">
      <c r="A200" s="32" t="s">
        <v>813</v>
      </c>
      <c r="B200" s="7">
        <v>4020</v>
      </c>
      <c r="C200" s="21" t="s">
        <v>202</v>
      </c>
      <c r="D200" s="21" t="s">
        <v>932</v>
      </c>
      <c r="E200" s="13">
        <v>42900.803969907407</v>
      </c>
      <c r="F200" s="13">
        <v>42900.806620370371</v>
      </c>
      <c r="G200" s="7">
        <v>2</v>
      </c>
      <c r="H200" s="21" t="s">
        <v>947</v>
      </c>
      <c r="I200" s="13">
        <v>42900.818680555552</v>
      </c>
      <c r="J200" s="7">
        <v>2</v>
      </c>
      <c r="K200" s="89" t="str">
        <f t="shared" si="46"/>
        <v>4019/4020</v>
      </c>
      <c r="L200" s="21" t="str">
        <f>VLOOKUP(A200,'Trips&amp;Operators'!$C$1:$G$99999,5,FALSE)</f>
        <v>NELSON ARIANE</v>
      </c>
      <c r="M200" s="6">
        <f t="shared" si="47"/>
        <v>1.2060185181326233E-2</v>
      </c>
      <c r="N200" s="7">
        <f t="shared" si="67"/>
        <v>17.366666661109775</v>
      </c>
      <c r="O200" s="7"/>
      <c r="P200" s="7"/>
      <c r="Q200" s="22"/>
      <c r="R200" s="170"/>
      <c r="S200" s="215">
        <f t="shared" si="66"/>
        <v>1</v>
      </c>
      <c r="T200" s="195" t="str">
        <f t="shared" si="48"/>
        <v>NorthBound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 t="shared" si="49"/>
        <v>https://d0f6bd738d7f1b3e5a7ca70fe4ff75f0.us-east-1.aws.found.io/app/kibana#/discover/Steve-Slow-Train-Analysis-(2080s-and-2083s)?_g=(refreshInterval:(display:Off,pause:!f,section:0,value:0),time:(from:'2017-06-14T18:17:43-0600',mode:absolute,to:'2017-06-14T20:38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0" s="197" t="str">
        <f>IF(AA200&lt;VLOOKUP(AG200,Variables!$AC$3:$AD$8,2,FALSE),"Y","N")</f>
        <v>N</v>
      </c>
      <c r="X200" s="197">
        <f t="shared" si="50"/>
        <v>1</v>
      </c>
      <c r="Y200" s="197">
        <f t="shared" si="68"/>
        <v>9.9299999999999999E-2</v>
      </c>
      <c r="Z200" s="197">
        <f t="shared" si="69"/>
        <v>5.8948</v>
      </c>
      <c r="AA200" s="197">
        <f t="shared" si="53"/>
        <v>5.7954999999999997</v>
      </c>
      <c r="AB200" s="54" t="e">
        <f>VLOOKUP(A200,Enforcements!$C$7:$K$13,8,0)</f>
        <v>#N/A</v>
      </c>
      <c r="AC200" s="51" t="e">
        <f>VLOOKUP(A200,Enforcements!$C$7:$E$13,3,0)</f>
        <v>#N/A</v>
      </c>
      <c r="AD200" s="206">
        <f t="shared" si="54"/>
        <v>841</v>
      </c>
      <c r="AE200" s="77" t="str">
        <f t="shared" si="55"/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AF200" s="74" t="str">
        <f t="shared" si="56"/>
        <v>"C:\Program Files (x86)\AstroGrep\AstroGrep.exe" /e /r /s /spath="%USERPROFILE%\AppData\Local\Temp\OnboardLogs" /stypes="app*4020*20170615*" /stext=" 01:.+((SYSTEM_STATE.+slice.+state.+changed )|(ment ac)|(multiple cpu faults)|(system.+state.+changed )|(\[timeout)|(PRM\|1\|D)|(kpr)|(kdp)|(train st.+moving)|(\|lc)|(penalty))"</v>
      </c>
      <c r="AG200" s="209" t="str">
        <f t="shared" si="61"/>
        <v>NW</v>
      </c>
      <c r="AH200" s="78" t="str">
        <f t="shared" si="57"/>
        <v>"%USERPROFILE%\Documents\GitHub\eaglep3\Utilities\RefineRTDCRunTimes.py" --tripid 841-14 --locoid 4020 --swversion DE.1.0.9.0 --startMP 204:993 --initTime 2017-06-14T19:17:43 --startdatetime 2017-06-14T19:21:32 --delay 2 --endMP 300:58948 --enddatetime 2017-06-14T19:38:54 --enforcementcount 2 &gt;&gt;C:\Users\stu\Documents\GitHub\eaglep3-reporting\EC\2017-06-14-refined-times.txt</v>
      </c>
      <c r="AI200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{"issue":{"subject":"","project_id":79,"tracker_id":40,"status_id":1,"priority_id":2,"assigned_to_id":23,"start_date":"2017-06-14","description":"","custom_fields":[{"id":1,"name":"Subdivision","value":"NW"},{"id":4,"name":"Milepost","value":"5.8948"},{"id":17,"name":"Train ID","value":"841-14"},{"id":16,"name":"Locomotive ID","value":"4020"},{"id":130,"name":"Impact","value":""},{"id":150,"name":"Time of Event (Mountain Time)","value":"19:38:54"},{"id":151,"name":"Denver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0" s="47"/>
      <c r="AL200" s="47"/>
      <c r="AM200" s="142" t="str">
        <f t="shared" si="59"/>
        <v>start /low /b %USERPROFILE%\Documents\GitHub\eaglep3\Utilities\DownloadLogsFromS3.py --loco 4020 --day 2017-06-14</v>
      </c>
      <c r="AN200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01:38:54"},{"id":29,"name":"Sharepoint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72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x14ac:dyDescent="0.25">
      <c r="A201" s="32" t="s">
        <v>819</v>
      </c>
      <c r="B201" s="7">
        <v>4019</v>
      </c>
      <c r="C201" s="21" t="s">
        <v>202</v>
      </c>
      <c r="D201" s="21" t="s">
        <v>526</v>
      </c>
      <c r="E201" s="13">
        <v>42900.861122685186</v>
      </c>
      <c r="F201" s="13">
        <v>42900.862708333334</v>
      </c>
      <c r="G201" s="7">
        <v>1</v>
      </c>
      <c r="H201" s="21" t="s">
        <v>959</v>
      </c>
      <c r="I201" s="13">
        <v>42900.872164351851</v>
      </c>
      <c r="J201" s="7">
        <v>2</v>
      </c>
      <c r="K201" s="89" t="str">
        <f t="shared" si="46"/>
        <v>4019/4020</v>
      </c>
      <c r="L201" s="21" t="str">
        <f>VLOOKUP(A201,'Trips&amp;Operators'!$C$1:$G$99999,5,FALSE)</f>
        <v>NELSON ARIANE</v>
      </c>
      <c r="M201" s="6">
        <f t="shared" si="47"/>
        <v>9.4560185170848854E-3</v>
      </c>
      <c r="N201" s="7">
        <f t="shared" si="67"/>
        <v>13.616666664602235</v>
      </c>
      <c r="O201" s="7"/>
      <c r="P201" s="7"/>
      <c r="Q201" s="22"/>
      <c r="R201" s="170"/>
      <c r="S201" s="215">
        <f t="shared" si="66"/>
        <v>1</v>
      </c>
      <c r="T201" s="195" t="str">
        <f t="shared" si="48"/>
        <v>Southbound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 t="shared" si="49"/>
        <v>https://d0f6bd738d7f1b3e5a7ca70fe4ff75f0.us-east-1.aws.found.io/app/kibana#/discover/Steve-Slow-Train-Analysis-(2080s-and-2083s)?_g=(refreshInterval:(display:Off,pause:!f,section:0,value:0),time:(from:'2017-06-14T19:40:01-0600',mode:absolute,to:'2017-06-14T21:55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1" s="197" t="str">
        <f>IF(AA201&lt;VLOOKUP(AG201,Variables!$AC$3:$AD$8,2,FALSE),"Y","N")</f>
        <v>N</v>
      </c>
      <c r="X201" s="197">
        <f t="shared" si="50"/>
        <v>1</v>
      </c>
      <c r="Y201" s="197">
        <f t="shared" si="68"/>
        <v>5.86</v>
      </c>
      <c r="Z201" s="197">
        <f t="shared" si="69"/>
        <v>6.9800000000000001E-2</v>
      </c>
      <c r="AA201" s="197">
        <f t="shared" si="53"/>
        <v>5.7902000000000005</v>
      </c>
      <c r="AB201" s="54" t="e">
        <f>VLOOKUP(A201,Enforcements!$C$7:$K$13,8,0)</f>
        <v>#N/A</v>
      </c>
      <c r="AC201" s="51" t="e">
        <f>VLOOKUP(A201,Enforcements!$C$7:$E$13,3,0)</f>
        <v>#N/A</v>
      </c>
      <c r="AD201" s="206">
        <f t="shared" si="54"/>
        <v>842</v>
      </c>
      <c r="AE201" s="77" t="str">
        <f t="shared" si="55"/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AF201" s="74" t="str">
        <f t="shared" si="56"/>
        <v>"C:\Program Files (x86)\AstroGrep\AstroGrep.exe" /e /r /s /spath="%USERPROFILE%\AppData\Local\Temp\OnboardLogs" /stypes="app*4019*20170615*" /stext=" 02:.+((SYSTEM_STATE.+slice.+state.+changed )|(ment ac)|(multiple cpu faults)|(system.+state.+changed )|(\[timeout)|(PRM\|1\|D)|(kpr)|(kdp)|(train st.+moving)|(\|lc)|(penalty))"</v>
      </c>
      <c r="AG201" s="209" t="str">
        <f t="shared" si="61"/>
        <v>NW</v>
      </c>
      <c r="AH201" s="78" t="str">
        <f t="shared" si="57"/>
        <v>"%USERPROFILE%\Documents\GitHub\eaglep3\Utilities\RefineRTDCRunTimes.py" --tripid 842-14 --locoid 4019 --swversion DE.1.0.9.0 --startMP 300:58600 --initTime 2017-06-14T20:40:01 --startdatetime 2017-06-14T20:42:18 --delay 1 --endMP 204:698 --enddatetime 2017-06-14T20:55:55 --enforcementcount 2 &gt;&gt;C:\Users\stu\Documents\GitHub\eaglep3-reporting\EC\2017-06-14-refined-times.txt</v>
      </c>
      <c r="AI201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{"issue":{"subject":"","project_id":79,"tracker_id":40,"status_id":1,"priority_id":2,"assigned_to_id":23,"start_date":"2017-06-14","description":"","custom_fields":[{"id":1,"name":"Subdivision","value":"NW"},{"id":4,"name":"Milepost","value":"0.0698"},{"id":17,"name":"Train ID","value":"842-14"},{"id":16,"name":"Locomotive ID","value":"4019"},{"id":130,"name":"Impact","value":""},{"id":150,"name":"Time of Event (Mountain Time)","value":"20:55:55"},{"id":151,"name":"Denver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59"/>
        <v>start /low /b %USERPROFILE%\Documents\GitHub\eaglep3\Utilities\DownloadLogsFromS3.py --loco 4019 --day 2017-06-14</v>
      </c>
      <c r="AN201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02:55:55"},{"id":29,"name":"Sharepoint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91" s="20" customFormat="1" x14ac:dyDescent="0.25">
      <c r="A202" s="32" t="s">
        <v>645</v>
      </c>
      <c r="B202" s="7">
        <v>4020</v>
      </c>
      <c r="C202" s="21" t="s">
        <v>202</v>
      </c>
      <c r="D202" s="21" t="s">
        <v>939</v>
      </c>
      <c r="E202" s="13">
        <v>42900.846539351849</v>
      </c>
      <c r="F202" s="13">
        <v>42900.848668981482</v>
      </c>
      <c r="G202" s="7">
        <v>1</v>
      </c>
      <c r="H202" s="21" t="s">
        <v>960</v>
      </c>
      <c r="I202" s="13">
        <v>42900.859317129631</v>
      </c>
      <c r="J202" s="7">
        <v>2</v>
      </c>
      <c r="K202" s="89" t="str">
        <f t="shared" si="46"/>
        <v>4019/4020</v>
      </c>
      <c r="L202" s="21" t="str">
        <f>VLOOKUP(A202,'Trips&amp;Operators'!$C$1:$G$99999,5,FALSE)</f>
        <v>NELSON ARIANE</v>
      </c>
      <c r="M202" s="6">
        <f t="shared" si="47"/>
        <v>1.0648148148902692E-2</v>
      </c>
      <c r="N202" s="7">
        <f t="shared" si="67"/>
        <v>15.333333334419876</v>
      </c>
      <c r="O202" s="7"/>
      <c r="P202" s="7"/>
      <c r="Q202" s="22"/>
      <c r="R202" s="170"/>
      <c r="S202" s="215">
        <f t="shared" si="66"/>
        <v>1</v>
      </c>
      <c r="T202" s="195" t="str">
        <f t="shared" si="48"/>
        <v>NorthBound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 t="shared" si="49"/>
        <v>https://d0f6bd738d7f1b3e5a7ca70fe4ff75f0.us-east-1.aws.found.io/app/kibana#/discover/Steve-Slow-Train-Analysis-(2080s-and-2083s)?_g=(refreshInterval:(display:Off,pause:!f,section:0,value:0),time:(from:'2017-06-14T19:19:01-0600',mode:absolute,to:'2017-06-14T21:37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2" s="197" t="str">
        <f>IF(AA202&lt;VLOOKUP(AG202,Variables!$AC$3:$AD$8,2,FALSE),"Y","N")</f>
        <v>N</v>
      </c>
      <c r="X202" s="197">
        <f t="shared" si="50"/>
        <v>1</v>
      </c>
      <c r="Y202" s="197">
        <f t="shared" si="68"/>
        <v>9.7900000000000001E-2</v>
      </c>
      <c r="Z202" s="197">
        <f t="shared" si="69"/>
        <v>5.8910999999999998</v>
      </c>
      <c r="AA202" s="197">
        <f t="shared" si="53"/>
        <v>5.7931999999999997</v>
      </c>
      <c r="AB202" s="54" t="e">
        <f>VLOOKUP(A202,Enforcements!$C$7:$K$13,8,0)</f>
        <v>#N/A</v>
      </c>
      <c r="AC202" s="51" t="e">
        <f>VLOOKUP(A202,Enforcements!$C$7:$E$13,3,0)</f>
        <v>#N/A</v>
      </c>
      <c r="AD202" s="206">
        <f t="shared" si="54"/>
        <v>843</v>
      </c>
      <c r="AE202" s="77" t="str">
        <f t="shared" si="55"/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AF202" s="74" t="str">
        <f t="shared" si="56"/>
        <v>"C:\Program Files (x86)\AstroGrep\AstroGrep.exe" /e /r /s /spath="%USERPROFILE%\AppData\Local\Temp\OnboardLogs" /stypes="app*4020*20170615*" /stext=" 02:.+((SYSTEM_STATE.+slice.+state.+changed )|(ment ac)|(multiple cpu faults)|(system.+state.+changed )|(\[timeout)|(PRM\|1\|D)|(kpr)|(kdp)|(train st.+moving)|(\|lc)|(penalty))"</v>
      </c>
      <c r="AG202" s="209" t="str">
        <f t="shared" si="61"/>
        <v>NW</v>
      </c>
      <c r="AH202" s="78" t="str">
        <f t="shared" si="57"/>
        <v>"%USERPROFILE%\Documents\GitHub\eaglep3\Utilities\RefineRTDCRunTimes.py" --tripid 843-14 --locoid 4020 --swversion DE.1.0.9.0 --startMP 204:979 --initTime 2017-06-14T20:19:01 --startdatetime 2017-06-14T20:22:05 --delay 1 --endMP 300:58911 --enddatetime 2017-06-14T20:37:25 --enforcementcount 2 &gt;&gt;C:\Users\stu\Documents\GitHub\eaglep3-reporting\EC\2017-06-14-refined-times.txt</v>
      </c>
      <c r="AI202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{"issue":{"subject":"","project_id":79,"tracker_id":40,"status_id":1,"priority_id":2,"assigned_to_id":23,"start_date":"2017-06-14","description":"","custom_fields":[{"id":1,"name":"Subdivision","value":"NW"},{"id":4,"name":"Milepost","value":"5.8911"},{"id":17,"name":"Train ID","value":"843-14"},{"id":16,"name":"Locomotive ID","value":"4020"},{"id":130,"name":"Impact","value":""},{"id":150,"name":"Time of Event (Mountain Time)","value":"20:37:25"},{"id":151,"name":"Denver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2" s="47"/>
      <c r="AL202" s="47"/>
      <c r="AM202" s="142" t="str">
        <f t="shared" si="59"/>
        <v>start /low /b %USERPROFILE%\Documents\GitHub\eaglep3\Utilities\DownloadLogsFromS3.py --loco 4020 --day 2017-06-14</v>
      </c>
      <c r="AN202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02:37:25"},{"id":29,"name":"Sharepoint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7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x14ac:dyDescent="0.25">
      <c r="A203" s="32" t="s">
        <v>647</v>
      </c>
      <c r="B203" s="7">
        <v>4019</v>
      </c>
      <c r="C203" s="21" t="s">
        <v>202</v>
      </c>
      <c r="D203" s="21" t="s">
        <v>961</v>
      </c>
      <c r="E203" s="13">
        <v>42900.902060185188</v>
      </c>
      <c r="F203" s="13">
        <v>42900.903877314813</v>
      </c>
      <c r="G203" s="7">
        <v>1</v>
      </c>
      <c r="H203" s="21" t="s">
        <v>962</v>
      </c>
      <c r="I203" s="13">
        <v>42900.91375</v>
      </c>
      <c r="J203" s="7">
        <v>2</v>
      </c>
      <c r="K203" s="89" t="str">
        <f t="shared" si="46"/>
        <v>4019/4020</v>
      </c>
      <c r="L203" s="21" t="str">
        <f>VLOOKUP(A203,'Trips&amp;Operators'!$C$1:$G$99999,5,FALSE)</f>
        <v>STAMBAUGH JAMES</v>
      </c>
      <c r="M203" s="6">
        <f t="shared" si="47"/>
        <v>9.8726851865649223E-3</v>
      </c>
      <c r="N203" s="7">
        <f t="shared" si="67"/>
        <v>14.216666668653488</v>
      </c>
      <c r="O203" s="7"/>
      <c r="P203" s="7"/>
      <c r="Q203" s="22"/>
      <c r="R203" s="170"/>
      <c r="S203" s="215">
        <f t="shared" si="66"/>
        <v>1</v>
      </c>
      <c r="T203" s="195" t="str">
        <f t="shared" si="48"/>
        <v>Southbound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 t="shared" si="49"/>
        <v>https://d0f6bd738d7f1b3e5a7ca70fe4ff75f0.us-east-1.aws.found.io/app/kibana#/discover/Steve-Slow-Train-Analysis-(2080s-and-2083s)?_g=(refreshInterval:(display:Off,pause:!f,section:0,value:0),time:(from:'2017-06-14T20:38:58-0600',mode:absolute,to:'2017-06-14T22:55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3" s="197" t="str">
        <f>IF(AA203&lt;VLOOKUP(AG203,Variables!$AC$3:$AD$8,2,FALSE),"Y","N")</f>
        <v>N</v>
      </c>
      <c r="X203" s="197">
        <f t="shared" si="50"/>
        <v>1</v>
      </c>
      <c r="Y203" s="197">
        <f t="shared" si="68"/>
        <v>5.8643000000000001</v>
      </c>
      <c r="Z203" s="197">
        <f t="shared" si="69"/>
        <v>6.5699999999999995E-2</v>
      </c>
      <c r="AA203" s="197">
        <f t="shared" si="53"/>
        <v>5.7986000000000004</v>
      </c>
      <c r="AB203" s="54" t="e">
        <f>VLOOKUP(A203,Enforcements!$C$7:$K$13,8,0)</f>
        <v>#N/A</v>
      </c>
      <c r="AC203" s="51" t="e">
        <f>VLOOKUP(A203,Enforcements!$C$7:$E$13,3,0)</f>
        <v>#N/A</v>
      </c>
      <c r="AD203" s="206">
        <f t="shared" si="54"/>
        <v>844</v>
      </c>
      <c r="AE203" s="77" t="str">
        <f t="shared" si="55"/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AF203" s="74" t="str">
        <f t="shared" si="56"/>
        <v>"C:\Program Files (x86)\AstroGrep\AstroGrep.exe" /e /r /s /spath="%USERPROFILE%\AppData\Local\Temp\OnboardLogs" /stypes="app*4019*20170615*" /stext=" 03:.+((SYSTEM_STATE.+slice.+state.+changed )|(ment ac)|(multiple cpu faults)|(system.+state.+changed )|(\[timeout)|(PRM\|1\|D)|(kpr)|(kdp)|(train st.+moving)|(\|lc)|(penalty))"</v>
      </c>
      <c r="AG203" s="209" t="str">
        <f t="shared" si="61"/>
        <v>NW</v>
      </c>
      <c r="AH203" s="78" t="str">
        <f t="shared" si="57"/>
        <v>"%USERPROFILE%\Documents\GitHub\eaglep3\Utilities\RefineRTDCRunTimes.py" --tripid 844-14 --locoid 4019 --swversion DE.1.0.9.0 --startMP 300:58643 --initTime 2017-06-14T21:38:58 --startdatetime 2017-06-14T21:41:35 --delay 1 --endMP 204:657 --enddatetime 2017-06-14T21:55:48 --enforcementcount 2 &gt;&gt;C:\Users\stu\Documents\GitHub\eaglep3-reporting\EC\2017-06-14-refined-times.txt</v>
      </c>
      <c r="AI203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{"issue":{"subject":"","project_id":79,"tracker_id":40,"status_id":1,"priority_id":2,"assigned_to_id":23,"start_date":"2017-06-14","description":"","custom_fields":[{"id":1,"name":"Subdivision","value":"NW"},{"id":4,"name":"Milepost","value":"0.0657"},{"id":17,"name":"Train ID","value":"844-14"},{"id":16,"name":"Locomotive ID","value":"4019"},{"id":130,"name":"Impact","value":""},{"id":150,"name":"Time of Event (Mountain Time)","value":"21:55:48"},{"id":151,"name":"Denver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59"/>
        <v>start /low /b %USERPROFILE%\Documents\GitHub\eaglep3\Utilities\DownloadLogsFromS3.py --loco 4019 --day 2017-06-14</v>
      </c>
      <c r="AN203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03:55:48"},{"id":29,"name":"Sharepoint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91" x14ac:dyDescent="0.25">
      <c r="A204" s="32" t="s">
        <v>822</v>
      </c>
      <c r="B204" s="7">
        <v>4020</v>
      </c>
      <c r="C204" s="21" t="s">
        <v>202</v>
      </c>
      <c r="D204" s="21" t="s">
        <v>597</v>
      </c>
      <c r="E204" s="13">
        <v>42900.876851851855</v>
      </c>
      <c r="F204" s="13">
        <v>42900.8903125</v>
      </c>
      <c r="G204" s="7">
        <v>14</v>
      </c>
      <c r="H204" s="21" t="s">
        <v>493</v>
      </c>
      <c r="I204" s="13">
        <v>42900.900648148148</v>
      </c>
      <c r="J204" s="7">
        <v>2</v>
      </c>
      <c r="K204" s="89" t="str">
        <f t="shared" si="46"/>
        <v>4019/4020</v>
      </c>
      <c r="L204" s="21" t="str">
        <f>VLOOKUP(A204,'Trips&amp;Operators'!$C$1:$G$99999,5,FALSE)</f>
        <v>STAMBAUGH JAMES</v>
      </c>
      <c r="M204" s="6">
        <f t="shared" si="47"/>
        <v>1.0335648148611654E-2</v>
      </c>
      <c r="N204" s="7">
        <f t="shared" si="67"/>
        <v>14.883333334000781</v>
      </c>
      <c r="O204" s="7"/>
      <c r="P204" s="7"/>
      <c r="Q204" s="22"/>
      <c r="R204" s="170"/>
      <c r="S204" s="215">
        <f t="shared" si="66"/>
        <v>1</v>
      </c>
      <c r="T204" s="195" t="str">
        <f t="shared" si="48"/>
        <v>NorthBound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 t="shared" si="49"/>
        <v>https://d0f6bd738d7f1b3e5a7ca70fe4ff75f0.us-east-1.aws.found.io/app/kibana#/discover/Steve-Slow-Train-Analysis-(2080s-and-2083s)?_g=(refreshInterval:(display:Off,pause:!f,section:0,value:0),time:(from:'2017-06-14T20:02:40-0600',mode:absolute,to:'2017-06-14T22:36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4" s="197" t="str">
        <f>IF(AA204&lt;VLOOKUP(AG204,Variables!$AC$3:$AD$8,2,FALSE),"Y","N")</f>
        <v>N</v>
      </c>
      <c r="X204" s="197">
        <f t="shared" si="50"/>
        <v>1</v>
      </c>
      <c r="Y204" s="197">
        <f t="shared" si="68"/>
        <v>9.8500000000000004E-2</v>
      </c>
      <c r="Z204" s="197">
        <f t="shared" si="69"/>
        <v>5.8956</v>
      </c>
      <c r="AA204" s="197">
        <f t="shared" si="53"/>
        <v>5.7971000000000004</v>
      </c>
      <c r="AB204" s="54" t="e">
        <f>VLOOKUP(A204,Enforcements!$C$7:$K$13,8,0)</f>
        <v>#N/A</v>
      </c>
      <c r="AC204" s="51" t="e">
        <f>VLOOKUP(A204,Enforcements!$C$7:$E$13,3,0)</f>
        <v>#N/A</v>
      </c>
      <c r="AD204" s="206">
        <f t="shared" si="54"/>
        <v>845</v>
      </c>
      <c r="AE204" s="77" t="str">
        <f t="shared" si="55"/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AF204" s="74" t="str">
        <f t="shared" si="56"/>
        <v>"C:\Program Files (x86)\AstroGrep\AstroGrep.exe" /e /r /s /spath="%USERPROFILE%\AppData\Local\Temp\OnboardLogs" /stypes="app*4020*20170615*" /stext=" 03:.+((SYSTEM_STATE.+slice.+state.+changed )|(ment ac)|(multiple cpu faults)|(system.+state.+changed )|(\[timeout)|(PRM\|1\|D)|(kpr)|(kdp)|(train st.+moving)|(\|lc)|(penalty))"</v>
      </c>
      <c r="AG204" s="209" t="str">
        <f t="shared" si="61"/>
        <v>NW</v>
      </c>
      <c r="AH204" s="78" t="str">
        <f t="shared" si="57"/>
        <v>"%USERPROFILE%\Documents\GitHub\eaglep3\Utilities\RefineRTDCRunTimes.py" --tripid 845-14 --locoid 4020 --swversion DE.1.0.9.0 --startMP 204:985 --initTime 2017-06-14T21:02:40 --startdatetime 2017-06-14T21:22:03 --delay 14 --endMP 300:58956 --enddatetime 2017-06-14T21:36:56 --enforcementcount 2 &gt;&gt;C:\Users\stu\Documents\GitHub\eaglep3-reporting\EC\2017-06-14-refined-times.txt</v>
      </c>
      <c r="AI204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{"issue":{"subject":"","project_id":79,"tracker_id":40,"status_id":1,"priority_id":2,"assigned_to_id":23,"start_date":"2017-06-14","description":"","custom_fields":[{"id":1,"name":"Subdivision","value":"NW"},{"id":4,"name":"Milepost","value":"5.8956"},{"id":17,"name":"Train ID","value":"845-14"},{"id":16,"name":"Locomotive ID","value":"4020"},{"id":130,"name":"Impact","value":""},{"id":150,"name":"Time of Event (Mountain Time)","value":"21:36:56"},{"id":151,"name":"Denver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59"/>
        <v>start /low /b %USERPROFILE%\Documents\GitHub\eaglep3\Utilities\DownloadLogsFromS3.py --loco 4020 --day 2017-06-14</v>
      </c>
      <c r="AN204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03:36:56"},{"id":29,"name":"Sharepoint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91" x14ac:dyDescent="0.25">
      <c r="A205" s="32" t="s">
        <v>648</v>
      </c>
      <c r="B205" s="7">
        <v>4020</v>
      </c>
      <c r="C205" s="21" t="s">
        <v>202</v>
      </c>
      <c r="D205" s="21" t="s">
        <v>963</v>
      </c>
      <c r="E205" s="13">
        <v>42900.914618055554</v>
      </c>
      <c r="F205" s="13">
        <v>42900.931608796294</v>
      </c>
      <c r="G205" s="7">
        <v>1</v>
      </c>
      <c r="H205" s="21" t="s">
        <v>594</v>
      </c>
      <c r="I205" s="13">
        <v>42900.940439814818</v>
      </c>
      <c r="J205" s="7">
        <v>2</v>
      </c>
      <c r="K205" s="89" t="str">
        <f t="shared" ref="K205:K233" si="70">IF(ISEVEN(B205),(B205-1)&amp;"/"&amp;B205,B205&amp;"/"&amp;(B205+1))</f>
        <v>4019/4020</v>
      </c>
      <c r="L205" s="21" t="str">
        <f>VLOOKUP(A205,'Trips&amp;Operators'!$C$1:$G$99999,5,FALSE)</f>
        <v>STAMBAUGH JAMES</v>
      </c>
      <c r="M205" s="6">
        <f t="shared" ref="M205:M233" si="71">I205-F205</f>
        <v>8.8310185237787664E-3</v>
      </c>
      <c r="N205" s="7">
        <f t="shared" si="67"/>
        <v>12.716666674241424</v>
      </c>
      <c r="O205" s="7"/>
      <c r="P205" s="7"/>
      <c r="Q205" s="22"/>
      <c r="R205" s="170"/>
      <c r="S205" s="215">
        <f t="shared" si="66"/>
        <v>1</v>
      </c>
      <c r="T205" s="195" t="str">
        <f t="shared" ref="T205:T233" si="72">IF(ISEVEN(LEFT(AD205,4)),"Southbound","NorthBound")</f>
        <v>NorthBound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 t="shared" ref="V205:V233" si="73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-06-14T20:57:03-0600',mode:absolute,to:'2017-06-14T23:34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5" s="197" t="str">
        <f>IF(AA205&lt;VLOOKUP(AG205,Variables!$AC$3:$AD$8,2,FALSE),"Y","N")</f>
        <v>N</v>
      </c>
      <c r="X205" s="197">
        <f t="shared" ref="X205:X233" si="74">VALUE(LEFT(AD205,4))-VALUE(LEFT(AD204,4))</f>
        <v>2</v>
      </c>
      <c r="Y205" s="197">
        <f t="shared" si="68"/>
        <v>9.4799999999999995E-2</v>
      </c>
      <c r="Z205" s="197">
        <f t="shared" si="69"/>
        <v>5.8929</v>
      </c>
      <c r="AA205" s="197">
        <f t="shared" ref="AA205:AA233" si="75">ABS(Z205-Y205)</f>
        <v>5.7980999999999998</v>
      </c>
      <c r="AB205" s="54" t="e">
        <f>VLOOKUP(A205,Enforcements!$C$7:$K$13,8,0)</f>
        <v>#N/A</v>
      </c>
      <c r="AC205" s="51" t="e">
        <f>VLOOKUP(A205,Enforcements!$C$7:$E$13,3,0)</f>
        <v>#N/A</v>
      </c>
      <c r="AD205" s="206">
        <f t="shared" ref="AD205:AD233" si="76">VALUE(LEFT(A205,LEN(A205)-3))</f>
        <v>847</v>
      </c>
      <c r="AE205" s="77" t="str">
        <f t="shared" ref="AE205:AE233" si="77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AF205" s="74" t="str">
        <f t="shared" ref="AF205:AF233" si="78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/stypes="app*4020*20170615*" /stext=" 04:.+((SYSTEM_STATE.+slice.+state.+changed )|(ment ac)|(multiple cpu faults)|(system.+state.+changed )|(\[timeout)|(PRM\|1\|D)|(kpr)|(kdp)|(train st.+moving)|(\|lc)|(penalty))"</v>
      </c>
      <c r="AG205" s="209" t="str">
        <f t="shared" si="61"/>
        <v>NW</v>
      </c>
      <c r="AH205" s="78" t="str">
        <f t="shared" ref="AH205:AH233" si="79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847-14 --locoid 4020 --swversion DE.1.0.9.0 --startMP 204:948 --initTime 2017-06-14T21:57:03 --startdatetime 2017-06-14T22:21:31 --delay 1 --endMP 300:58929 --enddatetime 2017-06-14T22:34:14 --enforcementcount 2 &gt;&gt;C:\Users\stu\Documents\GitHub\eaglep3-reporting\EC\2017-06-14-refined-times.txt</v>
      </c>
      <c r="AI205" s="96" t="str">
        <f t="shared" ref="AI205:AI233" si="80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{"issue":{"subject":"","project_id":79,"tracker_id":40,"status_id":1,"priority_id":2,"assigned_to_id":23,"start_date":"2017-06-14","description":"","custom_fields":[{"id":1,"name":"Subdivision","value":"NW"},{"id":4,"name":"Milepost","value":"5.8929"},{"id":17,"name":"Train ID","value":"847-14"},{"id":16,"name":"Locomotive ID","value":"4020"},{"id":130,"name":"Impact","value":""},{"id":150,"name":"Time of Event (Mountain Time)","value":"22:34:14"},{"id":151,"name":"Denver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ref="AM205:AM233" si="81">"start /low /b "&amp;dls3logs&amp;" --loco "&amp;B205&amp;" --day "&amp;TEXT(F205,"YYYY-MM-DD")</f>
        <v>start /low /b %USERPROFILE%\Documents\GitHub\eaglep3\Utilities\DownloadLogsFromS3.py --loco 4020 --day 2017-06-14</v>
      </c>
      <c r="AN205" s="151" t="str">
        <f t="shared" ref="AN205:AN233" si="82">"echo {""issue"":{""subject"":"""&amp;R205&amp;""",""project_id"":30,""tracker_id"":4,""status_id"":"&amp;redmine_status_wcr&amp;",""priority_id"":"&amp;redmine_priority_wcr&amp;",""assigned_to_id"":"&amp;redmine_assignee_wcr&amp;",""start_date"":"""&amp;TEXT(I205-utc_offset/24,"YYYY-mm-dd")&amp;""",""description"":"""&amp;AJ205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04:34:14"},{"id":29,"name":"Sharepoint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91" s="20" customFormat="1" x14ac:dyDescent="0.25">
      <c r="A206" s="32" t="s">
        <v>650</v>
      </c>
      <c r="B206" s="7">
        <v>4021</v>
      </c>
      <c r="C206" s="21" t="s">
        <v>202</v>
      </c>
      <c r="D206" s="21" t="s">
        <v>898</v>
      </c>
      <c r="E206" s="13">
        <v>42900.116608796299</v>
      </c>
      <c r="F206" s="13">
        <v>42900.119201388887</v>
      </c>
      <c r="G206" s="7">
        <v>3</v>
      </c>
      <c r="H206" s="21" t="s">
        <v>569</v>
      </c>
      <c r="I206" s="13">
        <v>42900.125277777777</v>
      </c>
      <c r="J206" s="7">
        <v>2</v>
      </c>
      <c r="K206" s="89" t="str">
        <f t="shared" si="70"/>
        <v>4021/4022</v>
      </c>
      <c r="L206" s="21" t="str">
        <f>VLOOKUP(A206,'Trips&amp;Operators'!$C$1:$G$99999,5,FALSE)</f>
        <v>BONDS REYNALDO</v>
      </c>
      <c r="M206" s="6">
        <f t="shared" si="71"/>
        <v>6.0763888905057684E-3</v>
      </c>
      <c r="N206" s="7">
        <f t="shared" si="67"/>
        <v>8.7500000023283064</v>
      </c>
      <c r="O206" s="7"/>
      <c r="P206" s="7"/>
      <c r="Q206" s="22"/>
      <c r="R206" s="170"/>
      <c r="S206" s="215">
        <f t="shared" si="66"/>
        <v>1</v>
      </c>
      <c r="T206" s="195" t="str">
        <f t="shared" si="72"/>
        <v>Southbound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 t="shared" si="73"/>
        <v>https://d0f6bd738d7f1b3e5a7ca70fe4ff75f0.us-east-1.aws.found.io/app/kibana#/discover/Steve-Slow-Train-Analysis-(2080s-and-2083s)?_g=(refreshInterval:(display:Off,pause:!f,section:0,value:0),time:(from:'2017-06-14T01:47:55-0600',mode:absolute,to:'2017-06-14T04:00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6" s="197" t="str">
        <f>IF(AA206&lt;VLOOKUP(AG206,Variables!$AC$3:$AD$8,2,FALSE),"Y","N")</f>
        <v>Y</v>
      </c>
      <c r="X206" s="197">
        <f t="shared" si="74"/>
        <v>-547</v>
      </c>
      <c r="Y206" s="197">
        <f t="shared" si="68"/>
        <v>2.3422999999999998</v>
      </c>
      <c r="Z206" s="197">
        <f t="shared" si="69"/>
        <v>1.6299999999999999E-2</v>
      </c>
      <c r="AA206" s="197">
        <f t="shared" si="75"/>
        <v>2.3259999999999996</v>
      </c>
      <c r="AB206" s="54" t="e">
        <f>VLOOKUP(A206,Enforcements!$C$7:$K$13,8,0)</f>
        <v>#N/A</v>
      </c>
      <c r="AC206" s="51" t="e">
        <f>VLOOKUP(A206,Enforcements!$C$7:$E$13,3,0)</f>
        <v>#N/A</v>
      </c>
      <c r="AD206" s="206">
        <f t="shared" si="76"/>
        <v>300</v>
      </c>
      <c r="AE206" s="77" t="str">
        <f t="shared" si="77"/>
        <v>aws s3 cp s3://rtdc.mdm.uploadarchive.raw/RTDC4021/ "%USERPROFILE%\AppData\Local\Temp\OnboardLogs"\RTDC4021\2017-06-14 --exclude "*" --recursive --include "*20170614*" &amp; "%USERPROFILE%\Documents\GitHub\mrs-test-scripts\Headless Mode &amp; Sideloading\WalkAndUnGZ.bat" "%USERPROFILE%\AppData\Local\Temp\OnboardLogs"\RTDC4021\2017-06-14 &amp; aws s3 cp s3://rtdc.mdm.uploadarchive.raw/RTDC4021/ "%USERPROFILE%\AppData\Local\Temp\OnboardLogs"\RTDC4021\2017-06-15 --exclude "*" --recursive --include "*20170615*" &amp; "%USERPROFILE%\Documents\GitHub\mrs-test-scripts\Headless Mode &amp; Sideloading\WalkAndUnGZ.bat" "%USERPROFILE%\AppData\Local\Temp\OnboardLogs"\RTDC4021\2017-06-15</v>
      </c>
      <c r="AF206" s="74" t="str">
        <f t="shared" si="78"/>
        <v>"C:\Program Files (x86)\AstroGrep\AstroGrep.exe" /e /r /s /spath="%USERPROFILE%\AppData\Local\Temp\OnboardLogs" /stypes="app*4021*20170614*" /stext=" 09:.+((SYSTEM_STATE.+slice.+state.+changed )|(ment ac)|(multiple cpu faults)|(system.+state.+changed )|(\[timeout)|(PRM\|1\|D)|(kpr)|(kdp)|(train st.+moving)|(\|lc)|(penalty))"</v>
      </c>
      <c r="AG206" s="209" t="str">
        <f t="shared" ref="AG206:AG233" si="83">DetSubdiv(A206)</f>
        <v>Other</v>
      </c>
      <c r="AH206" s="78" t="str">
        <f t="shared" si="79"/>
        <v>"%USERPROFILE%\Documents\GitHub\eaglep3\Utilities\RefineRTDCRunTimes.py" --tripid 300-14 --locoid 4021 --swversion DE.1.0.9.0 --startMP 300:23423 --initTime 2017-06-14T02:47:55 --startdatetime 2017-06-14T02:51:39 --delay 3 --endMP 204:163 --enddatetime 2017-06-14T03:00:24 --enforcementcount 2 &gt;&gt;C:\Users\stu\Documents\GitHub\eaglep3-reporting\EC\2017-06-14-refined-times.txt</v>
      </c>
      <c r="AI206" s="96" t="str">
        <f t="shared" si="80"/>
        <v>echo {"issue":{"subject":"","project_id":79,"tracker_id":40,"status_id":1,"priority_id":2,"assigned_to_id":23,"start_date":"2017-06-14","description":"","custom_fields":[{"id":1,"name":"Subdivision","value":"Other"},{"id":4,"name":"Milepost","value":"0.0163"},{"id":17,"name":"Train ID","value":"300-14"},{"id":16,"name":"Locomotive ID","value":"4021"},{"id":130,"name":"Impact","value":""},{"id":150,"name":"Time of Event (Mountain Time)","value":"03:00:24"},{"id":151,"name":"Denver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6" s="47"/>
      <c r="AL206" s="47"/>
      <c r="AM206" s="142" t="str">
        <f t="shared" si="81"/>
        <v>start /low /b %USERPROFILE%\Documents\GitHub\eaglep3\Utilities\DownloadLogsFromS3.py --loco 4021 --day 2017-06-14</v>
      </c>
      <c r="AN206" s="151" t="str">
        <f t="shared" si="82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09:00:24"},{"id":29,"name":"Sharepoint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72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x14ac:dyDescent="0.25">
      <c r="A207" s="32" t="s">
        <v>808</v>
      </c>
      <c r="B207" s="7">
        <v>4040</v>
      </c>
      <c r="C207" s="21" t="s">
        <v>202</v>
      </c>
      <c r="D207" s="21" t="s">
        <v>867</v>
      </c>
      <c r="E207" s="13">
        <v>42900.777372685188</v>
      </c>
      <c r="F207" s="13">
        <v>42900.790231481478</v>
      </c>
      <c r="G207" s="7">
        <v>1</v>
      </c>
      <c r="H207" s="21" t="s">
        <v>899</v>
      </c>
      <c r="I207" s="13">
        <v>42900.799212962964</v>
      </c>
      <c r="J207" s="7">
        <v>2</v>
      </c>
      <c r="K207" s="89" t="str">
        <f t="shared" si="70"/>
        <v>4039/4040</v>
      </c>
      <c r="L207" s="21" t="str">
        <f>VLOOKUP(A207,'Trips&amp;Operators'!$C$1:$G$99999,5,FALSE)</f>
        <v>BRUDER RICHARD</v>
      </c>
      <c r="M207" s="6">
        <f t="shared" si="71"/>
        <v>8.9814814855344594E-3</v>
      </c>
      <c r="N207" s="7">
        <f t="shared" si="67"/>
        <v>12.933333339169621</v>
      </c>
      <c r="O207" s="7"/>
      <c r="P207" s="7"/>
      <c r="Q207" s="22"/>
      <c r="R207" s="170"/>
      <c r="S207" s="215">
        <f t="shared" ref="S207:S233" si="84">SUM(U207:U207)/IF(AG207="EC",12,1)</f>
        <v>1</v>
      </c>
      <c r="T207" s="195" t="str">
        <f t="shared" si="72"/>
        <v>NorthBound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 t="shared" si="73"/>
        <v>https://d0f6bd738d7f1b3e5a7ca70fe4ff75f0.us-east-1.aws.found.io/app/kibana#/discover/Steve-Slow-Train-Analysis-(2080s-and-2083s)?_g=(refreshInterval:(display:Off,pause:!f,section:0,value:0),time:(from:'2017-06-14T17:39:25-0600',mode:absolute,to:'2017-06-14T20:10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7" s="197" t="str">
        <f>IF(AA207&lt;VLOOKUP(AG207,Variables!$AC$3:$AD$8,2,FALSE),"Y","N")</f>
        <v>Y</v>
      </c>
      <c r="X207" s="197">
        <f t="shared" si="74"/>
        <v>1</v>
      </c>
      <c r="Y207" s="197">
        <f t="shared" si="68"/>
        <v>4.6399999999999997E-2</v>
      </c>
      <c r="Z207" s="197">
        <f t="shared" si="69"/>
        <v>2.3311999999999999</v>
      </c>
      <c r="AA207" s="197">
        <f t="shared" si="75"/>
        <v>2.2847999999999997</v>
      </c>
      <c r="AB207" s="54" t="e">
        <f>VLOOKUP(A207,Enforcements!$C$7:$K$13,8,0)</f>
        <v>#N/A</v>
      </c>
      <c r="AC207" s="51" t="e">
        <f>VLOOKUP(A207,Enforcements!$C$7:$E$13,3,0)</f>
        <v>#N/A</v>
      </c>
      <c r="AD207" s="206">
        <f t="shared" si="76"/>
        <v>301</v>
      </c>
      <c r="AE207" s="77" t="str">
        <f t="shared" si="77"/>
        <v>aws s3 cp s3://rtdc.mdm.uploadarchive.raw/RTDC4040/ "%USERPROFILE%\AppData\Local\Temp\OnboardLogs"\RTDC4040\2017-06-14 --exclude "*" --recursive --include "*20170614*" &amp; "%USERPROFILE%\Documents\GitHub\mrs-test-scripts\Headless Mode &amp; Sideloading\WalkAndUnGZ.bat" "%USERPROFILE%\AppData\Local\Temp\OnboardLogs"\RTDC4040\2017-06-14 &amp; aws s3 cp s3://rtdc.mdm.uploadarchive.raw/RTDC4040/ "%USERPROFILE%\AppData\Local\Temp\OnboardLogs"\RTDC4040\2017-06-15 --exclude "*" --recursive --include "*20170615*" &amp; "%USERPROFILE%\Documents\GitHub\mrs-test-scripts\Headless Mode &amp; Sideloading\WalkAndUnGZ.bat" "%USERPROFILE%\AppData\Local\Temp\OnboardLogs"\RTDC4040\2017-06-15</v>
      </c>
      <c r="AF207" s="74" t="str">
        <f t="shared" si="78"/>
        <v>"C:\Program Files (x86)\AstroGrep\AstroGrep.exe" /e /r /s /spath="%USERPROFILE%\AppData\Local\Temp\OnboardLogs" /stypes="app*4040*20170615*" /stext=" 01:.+((SYSTEM_STATE.+slice.+state.+changed )|(ment ac)|(multiple cpu faults)|(system.+state.+changed )|(\[timeout)|(PRM\|1\|D)|(kpr)|(kdp)|(train st.+moving)|(\|lc)|(penalty))"</v>
      </c>
      <c r="AG207" s="209" t="str">
        <f t="shared" si="83"/>
        <v>Other</v>
      </c>
      <c r="AH207" s="78" t="str">
        <f t="shared" si="79"/>
        <v>"%USERPROFILE%\Documents\GitHub\eaglep3\Utilities\RefineRTDCRunTimes.py" --tripid 301-14 --locoid 4040 --swversion DE.1.0.9.0 --startMP 204:464 --initTime 2017-06-14T18:39:25 --startdatetime 2017-06-14T18:57:56 --delay 1 --endMP 300:23312 --enddatetime 2017-06-14T19:10:52 --enforcementcount 2 &gt;&gt;C:\Users\stu\Documents\GitHub\eaglep3-reporting\EC\2017-06-14-refined-times.txt</v>
      </c>
      <c r="AI207" s="96" t="str">
        <f t="shared" si="80"/>
        <v>echo {"issue":{"subject":"","project_id":79,"tracker_id":40,"status_id":1,"priority_id":2,"assigned_to_id":23,"start_date":"2017-06-14","description":"","custom_fields":[{"id":1,"name":"Subdivision","value":"Other"},{"id":4,"name":"Milepost","value":"2.3312"},{"id":17,"name":"Train ID","value":"301-14"},{"id":16,"name":"Locomotive ID","value":"4040"},{"id":130,"name":"Impact","value":""},{"id":150,"name":"Time of Event (Mountain Time)","value":"19:10:52"},{"id":151,"name":"Denver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81"/>
        <v>start /low /b %USERPROFILE%\Documents\GitHub\eaglep3\Utilities\DownloadLogsFromS3.py --loco 4040 --day 2017-06-14</v>
      </c>
      <c r="AN207" s="151" t="str">
        <f t="shared" si="82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01:10:52"},{"id":29,"name":"Sharepoint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91" x14ac:dyDescent="0.25">
      <c r="A208" s="32" t="s">
        <v>653</v>
      </c>
      <c r="B208" s="7">
        <v>4043</v>
      </c>
      <c r="C208" s="21" t="s">
        <v>202</v>
      </c>
      <c r="D208" s="21" t="s">
        <v>900</v>
      </c>
      <c r="E208" s="13">
        <v>42900.13863425926</v>
      </c>
      <c r="F208" s="13">
        <v>42900.143090277779</v>
      </c>
      <c r="G208" s="7">
        <v>6</v>
      </c>
      <c r="H208" s="21" t="s">
        <v>396</v>
      </c>
      <c r="I208" s="13">
        <v>42900.148958333331</v>
      </c>
      <c r="J208" s="7">
        <v>2</v>
      </c>
      <c r="K208" s="89" t="str">
        <f t="shared" si="70"/>
        <v>4043/4044</v>
      </c>
      <c r="L208" s="21" t="str">
        <f>VLOOKUP(A208,'Trips&amp;Operators'!$C$1:$G$99999,5,FALSE)</f>
        <v>MAELZER KURT</v>
      </c>
      <c r="M208" s="6">
        <f t="shared" si="71"/>
        <v>5.8680555521277711E-3</v>
      </c>
      <c r="N208" s="7">
        <f t="shared" si="67"/>
        <v>8.4499999950639904</v>
      </c>
      <c r="O208" s="7"/>
      <c r="P208" s="7"/>
      <c r="Q208" s="22"/>
      <c r="R208" s="170"/>
      <c r="S208" s="215">
        <f t="shared" si="84"/>
        <v>1</v>
      </c>
      <c r="T208" s="195" t="str">
        <f t="shared" si="72"/>
        <v>Southbound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6" t="str">
        <f t="shared" si="73"/>
        <v>https://d0f6bd738d7f1b3e5a7ca70fe4ff75f0.us-east-1.aws.found.io/app/kibana#/discover/Steve-Slow-Train-Analysis-(2080s-and-2083s)?_g=(refreshInterval:(display:Off,pause:!f,section:0,value:0),time:(from:'2017-06-14T02:19:38-0600',mode:absolute,to:'2017-06-14T04:34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8" s="197" t="str">
        <f>IF(AA208&lt;VLOOKUP(AG208,Variables!$AC$3:$AD$8,2,FALSE),"Y","N")</f>
        <v>Y</v>
      </c>
      <c r="X208" s="197">
        <f t="shared" si="74"/>
        <v>1</v>
      </c>
      <c r="Y208" s="197">
        <f t="shared" si="68"/>
        <v>2.3309000000000002</v>
      </c>
      <c r="Z208" s="197">
        <f t="shared" si="69"/>
        <v>1.54E-2</v>
      </c>
      <c r="AA208" s="197">
        <f t="shared" si="75"/>
        <v>2.3155000000000001</v>
      </c>
      <c r="AB208" s="54" t="e">
        <f>VLOOKUP(A208,Enforcements!$C$7:$K$13,8,0)</f>
        <v>#N/A</v>
      </c>
      <c r="AC208" s="51" t="e">
        <f>VLOOKUP(A208,Enforcements!$C$7:$E$13,3,0)</f>
        <v>#N/A</v>
      </c>
      <c r="AD208" s="206">
        <f t="shared" si="76"/>
        <v>302</v>
      </c>
      <c r="AE208" s="77" t="str">
        <f t="shared" si="77"/>
        <v>aws s3 cp s3://rtdc.mdm.uploadarchive.raw/RTDC4043/ "%USERPROFILE%\AppData\Local\Temp\OnboardLogs"\RTDC4043\2017-06-14 --exclude "*" --recursive --include "*20170614*" &amp; "%USERPROFILE%\Documents\GitHub\mrs-test-scripts\Headless Mode &amp; Sideloading\WalkAndUnGZ.bat" "%USERPROFILE%\AppData\Local\Temp\OnboardLogs"\RTDC4043\2017-06-14 &amp; aws s3 cp s3://rtdc.mdm.uploadarchive.raw/RTDC4043/ "%USERPROFILE%\AppData\Local\Temp\OnboardLogs"\RTDC4043\2017-06-15 --exclude "*" --recursive --include "*20170615*" &amp; "%USERPROFILE%\Documents\GitHub\mrs-test-scripts\Headless Mode &amp; Sideloading\WalkAndUnGZ.bat" "%USERPROFILE%\AppData\Local\Temp\OnboardLogs"\RTDC4043\2017-06-15</v>
      </c>
      <c r="AF208" s="74" t="str">
        <f t="shared" si="78"/>
        <v>"C:\Program Files (x86)\AstroGrep\AstroGrep.exe" /e /r /s /spath="%USERPROFILE%\AppData\Local\Temp\OnboardLogs" /stypes="app*4043*20170614*" /stext=" 09:.+((SYSTEM_STATE.+slice.+state.+changed )|(ment ac)|(multiple cpu faults)|(system.+state.+changed )|(\[timeout)|(PRM\|1\|D)|(kpr)|(kdp)|(train st.+moving)|(\|lc)|(penalty))"</v>
      </c>
      <c r="AG208" s="209" t="str">
        <f t="shared" si="83"/>
        <v>Other</v>
      </c>
      <c r="AH208" s="78" t="str">
        <f t="shared" si="79"/>
        <v>"%USERPROFILE%\Documents\GitHub\eaglep3\Utilities\RefineRTDCRunTimes.py" --tripid 302-14 --locoid 4043 --swversion DE.1.0.9.0 --startMP 300:23309 --initTime 2017-06-14T03:19:38 --startdatetime 2017-06-14T03:26:03 --delay 6 --endMP 204:154 --enddatetime 2017-06-14T03:34:30 --enforcementcount 2 &gt;&gt;C:\Users\stu\Documents\GitHub\eaglep3-reporting\EC\2017-06-14-refined-times.txt</v>
      </c>
      <c r="AI208" s="96" t="str">
        <f t="shared" si="80"/>
        <v>echo {"issue":{"subject":"","project_id":79,"tracker_id":40,"status_id":1,"priority_id":2,"assigned_to_id":23,"start_date":"2017-06-14","description":"","custom_fields":[{"id":1,"name":"Subdivision","value":"Other"},{"id":4,"name":"Milepost","value":"0.0154"},{"id":17,"name":"Train ID","value":"302-14"},{"id":16,"name":"Locomotive ID","value":"4043"},{"id":130,"name":"Impact","value":""},{"id":150,"name":"Time of Event (Mountain Time)","value":"03:34:30"},{"id":151,"name":"Denver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81"/>
        <v>start /low /b %USERPROFILE%\Documents\GitHub\eaglep3\Utilities\DownloadLogsFromS3.py --loco 4043 --day 2017-06-14</v>
      </c>
      <c r="AN208" s="151" t="str">
        <f t="shared" si="82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09:34:30"},{"id":29,"name":"Sharepoint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1" x14ac:dyDescent="0.25">
      <c r="A209" s="32" t="s">
        <v>655</v>
      </c>
      <c r="B209" s="7">
        <v>4015</v>
      </c>
      <c r="C209" s="21" t="s">
        <v>202</v>
      </c>
      <c r="D209" s="21" t="s">
        <v>901</v>
      </c>
      <c r="E209" s="13">
        <v>42900.159282407411</v>
      </c>
      <c r="F209" s="13">
        <v>42900.17728009259</v>
      </c>
      <c r="G209" s="7">
        <v>9</v>
      </c>
      <c r="H209" s="21" t="s">
        <v>349</v>
      </c>
      <c r="I209" s="13">
        <v>42900.203275462962</v>
      </c>
      <c r="J209" s="7">
        <v>2</v>
      </c>
      <c r="K209" s="89" t="str">
        <f t="shared" si="70"/>
        <v>4015/4016</v>
      </c>
      <c r="L209" s="21" t="str">
        <f>VLOOKUP(A209,'Trips&amp;Operators'!$C$1:$G$99999,5,FALSE)</f>
        <v>STARKS ANGELINA</v>
      </c>
      <c r="M209" s="6">
        <f t="shared" si="71"/>
        <v>2.5995370371674653E-2</v>
      </c>
      <c r="N209" s="7">
        <f t="shared" si="67"/>
        <v>37.433333335211501</v>
      </c>
      <c r="O209" s="7"/>
      <c r="P209" s="7"/>
      <c r="Q209" s="22"/>
      <c r="R209" s="170"/>
      <c r="S209" s="215">
        <f t="shared" si="84"/>
        <v>1</v>
      </c>
      <c r="T209" s="195" t="str">
        <f t="shared" si="72"/>
        <v>Southbound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6" t="str">
        <f t="shared" si="73"/>
        <v>https://d0f6bd738d7f1b3e5a7ca70fe4ff75f0.us-east-1.aws.found.io/app/kibana#/discover/Steve-Slow-Train-Analysis-(2080s-and-2083s)?_g=(refreshInterval:(display:Off,pause:!f,section:0,value:0),time:(from:'2017-06-14T02:49:22-0600',mode:absolute,to:'2017-06-14T05:52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9" s="197" t="str">
        <f>IF(AA209&lt;VLOOKUP(AG209,Variables!$AC$3:$AD$8,2,FALSE),"Y","N")</f>
        <v>Y</v>
      </c>
      <c r="X209" s="197">
        <f t="shared" si="74"/>
        <v>2</v>
      </c>
      <c r="Y209" s="197">
        <f t="shared" si="68"/>
        <v>2.0402999999999998</v>
      </c>
      <c r="Z209" s="197">
        <f t="shared" si="69"/>
        <v>1.4999999999999999E-2</v>
      </c>
      <c r="AA209" s="197">
        <f t="shared" si="75"/>
        <v>2.0252999999999997</v>
      </c>
      <c r="AB209" s="54" t="e">
        <f>VLOOKUP(A209,Enforcements!$C$7:$K$13,8,0)</f>
        <v>#N/A</v>
      </c>
      <c r="AC209" s="51" t="e">
        <f>VLOOKUP(A209,Enforcements!$C$7:$E$13,3,0)</f>
        <v>#N/A</v>
      </c>
      <c r="AD209" s="206">
        <f t="shared" si="76"/>
        <v>304</v>
      </c>
      <c r="AE209" s="77" t="str">
        <f t="shared" si="77"/>
        <v>aws s3 cp s3://rtdc.mdm.uploadarchive.raw/RTDC4015/ "%USERPROFILE%\AppData\Local\Temp\OnboardLogs"\RTDC4015\2017-06-14 --exclude "*" --recursive --include "*20170614*" &amp; "%USERPROFILE%\Documents\GitHub\mrs-test-scripts\Headless Mode &amp; Sideloading\WalkAndUnGZ.bat" "%USERPROFILE%\AppData\Local\Temp\OnboardLogs"\RTDC4015\2017-06-14 &amp; aws s3 cp s3://rtdc.mdm.uploadarchive.raw/RTDC4015/ "%USERPROFILE%\AppData\Local\Temp\OnboardLogs"\RTDC4015\2017-06-15 --exclude "*" --recursive --include "*20170615*" &amp; "%USERPROFILE%\Documents\GitHub\mrs-test-scripts\Headless Mode &amp; Sideloading\WalkAndUnGZ.bat" "%USERPROFILE%\AppData\Local\Temp\OnboardLogs"\RTDC4015\2017-06-15</v>
      </c>
      <c r="AF209" s="74" t="str">
        <f t="shared" si="78"/>
        <v>"C:\Program Files (x86)\AstroGrep\AstroGrep.exe" /e /r /s /spath="%USERPROFILE%\AppData\Local\Temp\OnboardLogs" /stypes="app*4015*20170614*" /stext=" 10:.+((SYSTEM_STATE.+slice.+state.+changed )|(ment ac)|(multiple cpu faults)|(system.+state.+changed )|(\[timeout)|(PRM\|1\|D)|(kpr)|(kdp)|(train st.+moving)|(\|lc)|(penalty))"</v>
      </c>
      <c r="AG209" s="209" t="str">
        <f t="shared" si="83"/>
        <v>Other</v>
      </c>
      <c r="AH209" s="78" t="str">
        <f t="shared" si="79"/>
        <v>"%USERPROFILE%\Documents\GitHub\eaglep3\Utilities\RefineRTDCRunTimes.py" --tripid 304-14 --locoid 4015 --swversion DE.1.0.9.0 --startMP 300:20403 --initTime 2017-06-14T03:49:22 --startdatetime 2017-06-14T04:15:17 --delay 9 --endMP 204:150 --enddatetime 2017-06-14T04:52:43 --enforcementcount 2 &gt;&gt;C:\Users\stu\Documents\GitHub\eaglep3-reporting\EC\2017-06-14-refined-times.txt</v>
      </c>
      <c r="AI209" s="96" t="str">
        <f t="shared" si="80"/>
        <v>echo {"issue":{"subject":"","project_id":79,"tracker_id":40,"status_id":1,"priority_id":2,"assigned_to_id":23,"start_date":"2017-06-14","description":"","custom_fields":[{"id":1,"name":"Subdivision","value":"Other"},{"id":4,"name":"Milepost","value":"0.015"},{"id":17,"name":"Train ID","value":"304-14"},{"id":16,"name":"Locomotive ID","value":"4015"},{"id":130,"name":"Impact","value":""},{"id":150,"name":"Time of Event (Mountain Time)","value":"04:52:43"},{"id":151,"name":"Denver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81"/>
        <v>start /low /b %USERPROFILE%\Documents\GitHub\eaglep3\Utilities\DownloadLogsFromS3.py --loco 4015 --day 2017-06-14</v>
      </c>
      <c r="AN209" s="151" t="str">
        <f t="shared" si="82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10:52:43"},{"id":29,"name":"Sharepoint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1" x14ac:dyDescent="0.25">
      <c r="A210" s="32" t="s">
        <v>815</v>
      </c>
      <c r="B210" s="7">
        <v>4008</v>
      </c>
      <c r="C210" s="21" t="s">
        <v>202</v>
      </c>
      <c r="D210" s="21" t="s">
        <v>353</v>
      </c>
      <c r="E210" s="13">
        <v>42900.816782407404</v>
      </c>
      <c r="F210" s="13">
        <v>42900.819398148145</v>
      </c>
      <c r="G210" s="7">
        <v>1</v>
      </c>
      <c r="H210" s="21" t="s">
        <v>902</v>
      </c>
      <c r="I210" s="13">
        <v>42900.826539351852</v>
      </c>
      <c r="J210" s="7">
        <v>2</v>
      </c>
      <c r="K210" s="89" t="str">
        <f t="shared" si="70"/>
        <v>4007/4008</v>
      </c>
      <c r="L210" s="21" t="str">
        <f>VLOOKUP(A210,'Trips&amp;Operators'!$C$1:$G$99999,5,FALSE)</f>
        <v>HOLCOMB KAMDEN</v>
      </c>
      <c r="M210" s="6">
        <f t="shared" si="71"/>
        <v>7.1412037068512291E-3</v>
      </c>
      <c r="N210" s="7">
        <f t="shared" si="67"/>
        <v>10.28333333786577</v>
      </c>
      <c r="O210" s="7"/>
      <c r="P210" s="7"/>
      <c r="Q210" s="22"/>
      <c r="R210" s="170"/>
      <c r="S210" s="215">
        <f t="shared" si="84"/>
        <v>1</v>
      </c>
      <c r="T210" s="195" t="str">
        <f t="shared" si="72"/>
        <v>NorthBound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6" t="str">
        <f t="shared" si="73"/>
        <v>https://d0f6bd738d7f1b3e5a7ca70fe4ff75f0.us-east-1.aws.found.io/app/kibana#/discover/Steve-Slow-Train-Analysis-(2080s-and-2083s)?_g=(refreshInterval:(display:Off,pause:!f,section:0,value:0),time:(from:'2017-06-14T18:36:10-0600',mode:absolute,to:'2017-06-14T20:50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0" s="197" t="str">
        <f>IF(AA210&lt;VLOOKUP(AG210,Variables!$AC$3:$AD$8,2,FALSE),"Y","N")</f>
        <v>Y</v>
      </c>
      <c r="X210" s="197">
        <f t="shared" si="74"/>
        <v>1</v>
      </c>
      <c r="Y210" s="197">
        <f t="shared" si="68"/>
        <v>4.5100000000000001E-2</v>
      </c>
      <c r="Z210" s="197">
        <f t="shared" si="69"/>
        <v>2.3304</v>
      </c>
      <c r="AA210" s="197">
        <f t="shared" si="75"/>
        <v>2.2852999999999999</v>
      </c>
      <c r="AB210" s="54" t="e">
        <f>VLOOKUP(A210,Enforcements!$C$7:$K$13,8,0)</f>
        <v>#N/A</v>
      </c>
      <c r="AC210" s="51" t="e">
        <f>VLOOKUP(A210,Enforcements!$C$7:$E$13,3,0)</f>
        <v>#N/A</v>
      </c>
      <c r="AD210" s="206">
        <f t="shared" si="76"/>
        <v>305</v>
      </c>
      <c r="AE210" s="77" t="str">
        <f t="shared" si="77"/>
        <v>aws s3 cp s3://rtdc.mdm.uploadarchive.raw/RTDC4008/ "%USERPROFILE%\AppData\Local\Temp\OnboardLogs"\RTDC4008\2017-06-14 --exclude "*" --recursive --include "*20170614*" &amp; "%USERPROFILE%\Documents\GitHub\mrs-test-scripts\Headless Mode &amp; Sideloading\WalkAndUnGZ.bat" "%USERPROFILE%\AppData\Local\Temp\OnboardLogs"\RTDC4008\2017-06-14 &amp; aws s3 cp s3://rtdc.mdm.uploadarchive.raw/RTDC4008/ "%USERPROFILE%\AppData\Local\Temp\OnboardLogs"\RTDC4008\2017-06-15 --exclude "*" --recursive --include "*20170615*" &amp; "%USERPROFILE%\Documents\GitHub\mrs-test-scripts\Headless Mode &amp; Sideloading\WalkAndUnGZ.bat" "%USERPROFILE%\AppData\Local\Temp\OnboardLogs"\RTDC4008\2017-06-15</v>
      </c>
      <c r="AF210" s="74" t="str">
        <f t="shared" si="78"/>
        <v>"C:\Program Files (x86)\AstroGrep\AstroGrep.exe" /e /r /s /spath="%USERPROFILE%\AppData\Local\Temp\OnboardLogs" /stypes="app*4008*20170615*" /stext=" 01:.+((SYSTEM_STATE.+slice.+state.+changed )|(ment ac)|(multiple cpu faults)|(system.+state.+changed )|(\[timeout)|(PRM\|1\|D)|(kpr)|(kdp)|(train st.+moving)|(\|lc)|(penalty))"</v>
      </c>
      <c r="AG210" s="209" t="str">
        <f t="shared" si="83"/>
        <v>Other</v>
      </c>
      <c r="AH210" s="78" t="str">
        <f t="shared" si="79"/>
        <v>"%USERPROFILE%\Documents\GitHub\eaglep3\Utilities\RefineRTDCRunTimes.py" --tripid 305-14 --locoid 4008 --swversion DE.1.0.9.0 --startMP 204:451 --initTime 2017-06-14T19:36:10 --startdatetime 2017-06-14T19:39:56 --delay 1 --endMP 300:23304 --enddatetime 2017-06-14T19:50:13 --enforcementcount 2 &gt;&gt;C:\Users\stu\Documents\GitHub\eaglep3-reporting\EC\2017-06-14-refined-times.txt</v>
      </c>
      <c r="AI210" s="96" t="str">
        <f t="shared" si="80"/>
        <v>echo {"issue":{"subject":"","project_id":79,"tracker_id":40,"status_id":1,"priority_id":2,"assigned_to_id":23,"start_date":"2017-06-14","description":"","custom_fields":[{"id":1,"name":"Subdivision","value":"Other"},{"id":4,"name":"Milepost","value":"2.3304"},{"id":17,"name":"Train ID","value":"305-14"},{"id":16,"name":"Locomotive ID","value":"4008"},{"id":130,"name":"Impact","value":""},{"id":150,"name":"Time of Event (Mountain Time)","value":"19:50:13"},{"id":151,"name":"Denver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81"/>
        <v>start /low /b %USERPROFILE%\Documents\GitHub\eaglep3\Utilities\DownloadLogsFromS3.py --loco 4008 --day 2017-06-14</v>
      </c>
      <c r="AN210" s="151" t="str">
        <f t="shared" si="82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01:50:13"},{"id":29,"name":"Sharepoint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1" x14ac:dyDescent="0.25">
      <c r="A211" s="32" t="s">
        <v>815</v>
      </c>
      <c r="B211" s="7">
        <v>4008</v>
      </c>
      <c r="C211" s="21" t="s">
        <v>202</v>
      </c>
      <c r="D211" s="21" t="s">
        <v>353</v>
      </c>
      <c r="E211" s="13">
        <v>42900.816782407404</v>
      </c>
      <c r="F211" s="13">
        <v>42900.819398148145</v>
      </c>
      <c r="G211" s="7">
        <v>3</v>
      </c>
      <c r="H211" s="21" t="s">
        <v>902</v>
      </c>
      <c r="I211" s="13">
        <v>42900.826539351852</v>
      </c>
      <c r="J211" s="7">
        <v>2</v>
      </c>
      <c r="K211" s="89" t="str">
        <f t="shared" si="70"/>
        <v>4007/4008</v>
      </c>
      <c r="L211" s="21" t="str">
        <f>VLOOKUP(A211,'Trips&amp;Operators'!$C$1:$G$99999,5,FALSE)</f>
        <v>HOLCOMB KAMDEN</v>
      </c>
      <c r="M211" s="6">
        <f t="shared" si="71"/>
        <v>7.1412037068512291E-3</v>
      </c>
      <c r="N211" s="7">
        <f t="shared" si="67"/>
        <v>10.28333333786577</v>
      </c>
      <c r="O211" s="7"/>
      <c r="P211" s="7"/>
      <c r="Q211" s="22"/>
      <c r="R211" s="170"/>
      <c r="S211" s="215">
        <f t="shared" si="84"/>
        <v>1</v>
      </c>
      <c r="T211" s="195" t="str">
        <f t="shared" si="72"/>
        <v>NorthBound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6" t="str">
        <f t="shared" si="73"/>
        <v>https://d0f6bd738d7f1b3e5a7ca70fe4ff75f0.us-east-1.aws.found.io/app/kibana#/discover/Steve-Slow-Train-Analysis-(2080s-and-2083s)?_g=(refreshInterval:(display:Off,pause:!f,section:0,value:0),time:(from:'2017-06-14T18:36:10-0600',mode:absolute,to:'2017-06-14T20:50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1" s="197" t="str">
        <f>IF(AA211&lt;VLOOKUP(AG211,Variables!$AC$3:$AD$8,2,FALSE),"Y","N")</f>
        <v>Y</v>
      </c>
      <c r="X211" s="197">
        <f t="shared" si="74"/>
        <v>0</v>
      </c>
      <c r="Y211" s="197">
        <f t="shared" si="68"/>
        <v>4.5100000000000001E-2</v>
      </c>
      <c r="Z211" s="197">
        <f t="shared" si="69"/>
        <v>2.3304</v>
      </c>
      <c r="AA211" s="197">
        <f t="shared" si="75"/>
        <v>2.2852999999999999</v>
      </c>
      <c r="AB211" s="54" t="e">
        <f>VLOOKUP(A211,Enforcements!$C$7:$K$13,8,0)</f>
        <v>#N/A</v>
      </c>
      <c r="AC211" s="51" t="e">
        <f>VLOOKUP(A211,Enforcements!$C$7:$E$13,3,0)</f>
        <v>#N/A</v>
      </c>
      <c r="AD211" s="206">
        <f t="shared" si="76"/>
        <v>305</v>
      </c>
      <c r="AE211" s="77" t="str">
        <f t="shared" si="77"/>
        <v>aws s3 cp s3://rtdc.mdm.uploadarchive.raw/RTDC4008/ "%USERPROFILE%\AppData\Local\Temp\OnboardLogs"\RTDC4008\2017-06-14 --exclude "*" --recursive --include "*20170614*" &amp; "%USERPROFILE%\Documents\GitHub\mrs-test-scripts\Headless Mode &amp; Sideloading\WalkAndUnGZ.bat" "%USERPROFILE%\AppData\Local\Temp\OnboardLogs"\RTDC4008\2017-06-14 &amp; aws s3 cp s3://rtdc.mdm.uploadarchive.raw/RTDC4008/ "%USERPROFILE%\AppData\Local\Temp\OnboardLogs"\RTDC4008\2017-06-15 --exclude "*" --recursive --include "*20170615*" &amp; "%USERPROFILE%\Documents\GitHub\mrs-test-scripts\Headless Mode &amp; Sideloading\WalkAndUnGZ.bat" "%USERPROFILE%\AppData\Local\Temp\OnboardLogs"\RTDC4008\2017-06-15</v>
      </c>
      <c r="AF211" s="74" t="str">
        <f t="shared" si="78"/>
        <v>"C:\Program Files (x86)\AstroGrep\AstroGrep.exe" /e /r /s /spath="%USERPROFILE%\AppData\Local\Temp\OnboardLogs" /stypes="app*4008*20170615*" /stext=" 01:.+((SYSTEM_STATE.+slice.+state.+changed )|(ment ac)|(multiple cpu faults)|(system.+state.+changed )|(\[timeout)|(PRM\|1\|D)|(kpr)|(kdp)|(train st.+moving)|(\|lc)|(penalty))"</v>
      </c>
      <c r="AG211" s="209" t="str">
        <f t="shared" si="83"/>
        <v>Other</v>
      </c>
      <c r="AH211" s="78" t="str">
        <f t="shared" si="79"/>
        <v>"%USERPROFILE%\Documents\GitHub\eaglep3\Utilities\RefineRTDCRunTimes.py" --tripid 305-14 --locoid 4008 --swversion DE.1.0.9.0 --startMP 204:451 --initTime 2017-06-14T19:36:10 --startdatetime 2017-06-14T19:39:56 --delay 3 --endMP 300:23304 --enddatetime 2017-06-14T19:50:13 --enforcementcount 2 &gt;&gt;C:\Users\stu\Documents\GitHub\eaglep3-reporting\EC\2017-06-14-refined-times.txt</v>
      </c>
      <c r="AI211" s="96" t="str">
        <f t="shared" si="80"/>
        <v>echo {"issue":{"subject":"","project_id":79,"tracker_id":40,"status_id":1,"priority_id":2,"assigned_to_id":23,"start_date":"2017-06-14","description":"","custom_fields":[{"id":1,"name":"Subdivision","value":"Other"},{"id":4,"name":"Milepost","value":"2.3304"},{"id":17,"name":"Train ID","value":"305-14"},{"id":16,"name":"Locomotive ID","value":"4008"},{"id":130,"name":"Impact","value":""},{"id":150,"name":"Time of Event (Mountain Time)","value":"19:50:13"},{"id":151,"name":"Denver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81"/>
        <v>start /low /b %USERPROFILE%\Documents\GitHub\eaglep3\Utilities\DownloadLogsFromS3.py --loco 4008 --day 2017-06-14</v>
      </c>
      <c r="AN211" s="151" t="str">
        <f t="shared" si="82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01:50:13"},{"id":29,"name":"Sharepoint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1" x14ac:dyDescent="0.25">
      <c r="A212" s="32" t="s">
        <v>656</v>
      </c>
      <c r="B212" s="7">
        <v>4055</v>
      </c>
      <c r="C212" s="21" t="s">
        <v>202</v>
      </c>
      <c r="D212" s="21" t="s">
        <v>903</v>
      </c>
      <c r="E212" s="13">
        <v>42900.169050925928</v>
      </c>
      <c r="F212" s="13">
        <v>42900.172268518516</v>
      </c>
      <c r="G212" s="7">
        <v>4</v>
      </c>
      <c r="H212" s="21" t="s">
        <v>349</v>
      </c>
      <c r="I212" s="13">
        <v>42900.180856481478</v>
      </c>
      <c r="J212" s="7">
        <v>2</v>
      </c>
      <c r="K212" s="89" t="str">
        <f t="shared" si="70"/>
        <v>4055/4056</v>
      </c>
      <c r="L212" s="21" t="str">
        <f>VLOOKUP(A212,'Trips&amp;Operators'!$C$1:$G$99999,5,FALSE)</f>
        <v>HELVIE ADAM</v>
      </c>
      <c r="M212" s="6">
        <f t="shared" si="71"/>
        <v>8.5879629623377696E-3</v>
      </c>
      <c r="N212" s="7">
        <f t="shared" si="67"/>
        <v>12.366666665766388</v>
      </c>
      <c r="O212" s="7"/>
      <c r="P212" s="7"/>
      <c r="Q212" s="22"/>
      <c r="R212" s="170"/>
      <c r="S212" s="215">
        <f t="shared" si="84"/>
        <v>1</v>
      </c>
      <c r="T212" s="195" t="str">
        <f t="shared" si="72"/>
        <v>Southbound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6" t="str">
        <f t="shared" si="73"/>
        <v>https://d0f6bd738d7f1b3e5a7ca70fe4ff75f0.us-east-1.aws.found.io/app/kibana#/discover/Steve-Slow-Train-Analysis-(2080s-and-2083s)?_g=(refreshInterval:(display:Off,pause:!f,section:0,value:0),time:(from:'2017-06-14T03:03:26-0600',mode:absolute,to:'2017-06-14T05:20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12" s="197" t="str">
        <f>IF(AA212&lt;VLOOKUP(AG212,Variables!$AC$3:$AD$8,2,FALSE),"Y","N")</f>
        <v>Y</v>
      </c>
      <c r="X212" s="197">
        <f t="shared" si="74"/>
        <v>1</v>
      </c>
      <c r="Y212" s="197">
        <f t="shared" si="68"/>
        <v>2.3096999999999999</v>
      </c>
      <c r="Z212" s="197">
        <f t="shared" si="69"/>
        <v>1.4999999999999999E-2</v>
      </c>
      <c r="AA212" s="197">
        <f t="shared" si="75"/>
        <v>2.2946999999999997</v>
      </c>
      <c r="AB212" s="54" t="e">
        <f>VLOOKUP(A212,Enforcements!$C$7:$K$13,8,0)</f>
        <v>#N/A</v>
      </c>
      <c r="AC212" s="51" t="e">
        <f>VLOOKUP(A212,Enforcements!$C$7:$E$13,3,0)</f>
        <v>#N/A</v>
      </c>
      <c r="AD212" s="206">
        <f t="shared" si="76"/>
        <v>306</v>
      </c>
      <c r="AE212" s="77" t="str">
        <f t="shared" si="77"/>
        <v>aws s3 cp s3://rtdc.mdm.uploadarchive.raw/RTDC4055/ "%USERPROFILE%\AppData\Local\Temp\OnboardLogs"\RTDC4055\2017-06-14 --exclude "*" --recursive --include "*20170614*" &amp; "%USERPROFILE%\Documents\GitHub\mrs-test-scripts\Headless Mode &amp; Sideloading\WalkAndUnGZ.bat" "%USERPROFILE%\AppData\Local\Temp\OnboardLogs"\RTDC4055\2017-06-14 &amp; aws s3 cp s3://rtdc.mdm.uploadarchive.raw/RTDC4055/ "%USERPROFILE%\AppData\Local\Temp\OnboardLogs"\RTDC4055\2017-06-15 --exclude "*" --recursive --include "*20170615*" &amp; "%USERPROFILE%\Documents\GitHub\mrs-test-scripts\Headless Mode &amp; Sideloading\WalkAndUnGZ.bat" "%USERPROFILE%\AppData\Local\Temp\OnboardLogs"\RTDC4055\2017-06-15</v>
      </c>
      <c r="AF212" s="74" t="str">
        <f t="shared" si="78"/>
        <v>"C:\Program Files (x86)\AstroGrep\AstroGrep.exe" /e /r /s /spath="%USERPROFILE%\AppData\Local\Temp\OnboardLogs" /stypes="app*4055*20170614*" /stext=" 10:.+((SYSTEM_STATE.+slice.+state.+changed )|(ment ac)|(multiple cpu faults)|(system.+state.+changed )|(\[timeout)|(PRM\|1\|D)|(kpr)|(kdp)|(train st.+moving)|(\|lc)|(penalty))"</v>
      </c>
      <c r="AG212" s="209" t="str">
        <f t="shared" si="83"/>
        <v>Other</v>
      </c>
      <c r="AH212" s="78" t="str">
        <f t="shared" si="79"/>
        <v>"%USERPROFILE%\Documents\GitHub\eaglep3\Utilities\RefineRTDCRunTimes.py" --tripid 306-14 --locoid 4055 --swversion DE.1.0.9.0 --startMP 300:23097 --initTime 2017-06-14T04:03:26 --startdatetime 2017-06-14T04:08:04 --delay 4 --endMP 204:150 --enddatetime 2017-06-14T04:20:26 --enforcementcount 2 &gt;&gt;C:\Users\stu\Documents\GitHub\eaglep3-reporting\EC\2017-06-14-refined-times.txt</v>
      </c>
      <c r="AI212" s="96" t="str">
        <f t="shared" si="80"/>
        <v>echo {"issue":{"subject":"","project_id":79,"tracker_id":40,"status_id":1,"priority_id":2,"assigned_to_id":23,"start_date":"2017-06-14","description":"","custom_fields":[{"id":1,"name":"Subdivision","value":"Other"},{"id":4,"name":"Milepost","value":"0.015"},{"id":17,"name":"Train ID","value":"306-14"},{"id":16,"name":"Locomotive ID","value":"4055"},{"id":130,"name":"Impact","value":""},{"id":150,"name":"Time of Event (Mountain Time)","value":"04:20:26"},{"id":151,"name":"Denver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81"/>
        <v>start /low /b %USERPROFILE%\Documents\GitHub\eaglep3\Utilities\DownloadLogsFromS3.py --loco 4055 --day 2017-06-14</v>
      </c>
      <c r="AN212" s="151" t="str">
        <f t="shared" si="82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10:20:26"},{"id":29,"name":"Sharepoint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1" x14ac:dyDescent="0.25">
      <c r="A213" s="32" t="s">
        <v>840</v>
      </c>
      <c r="B213" s="7">
        <v>4010</v>
      </c>
      <c r="C213" s="21" t="s">
        <v>202</v>
      </c>
      <c r="D213" s="21" t="s">
        <v>199</v>
      </c>
      <c r="E213" s="13">
        <v>42901.026388888888</v>
      </c>
      <c r="F213" s="13">
        <v>42901.027395833335</v>
      </c>
      <c r="G213" s="7">
        <v>1</v>
      </c>
      <c r="H213" s="21" t="s">
        <v>581</v>
      </c>
      <c r="I213" s="13">
        <v>42901.037743055553</v>
      </c>
      <c r="J213" s="7">
        <v>2</v>
      </c>
      <c r="K213" s="89" t="str">
        <f t="shared" si="70"/>
        <v>4009/4010</v>
      </c>
      <c r="L213" s="21" t="str">
        <f>VLOOKUP(A213,'Trips&amp;Operators'!$C$1:$G$99999,5,FALSE)</f>
        <v>FORTUNATO FRANK</v>
      </c>
      <c r="M213" s="6">
        <f t="shared" si="71"/>
        <v>1.0347222218115348E-2</v>
      </c>
      <c r="N213" s="7">
        <f t="shared" si="67"/>
        <v>14.899999994086102</v>
      </c>
      <c r="O213" s="7"/>
      <c r="P213" s="7"/>
      <c r="Q213" s="22"/>
      <c r="R213" s="170"/>
      <c r="S213" s="215">
        <f t="shared" si="84"/>
        <v>1</v>
      </c>
      <c r="T213" s="195" t="str">
        <f t="shared" si="72"/>
        <v>NorthBound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6" t="str">
        <f t="shared" si="73"/>
        <v>https://d0f6bd738d7f1b3e5a7ca70fe4ff75f0.us-east-1.aws.found.io/app/kibana#/discover/Steve-Slow-Train-Analysis-(2080s-and-2083s)?_g=(refreshInterval:(display:Off,pause:!f,section:0,value:0),time:(from:'2017-06-14T23:38:00-0600',mode:absolute,to:'2017-06-15T01:54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3" s="197" t="str">
        <f>IF(AA213&lt;VLOOKUP(AG213,Variables!$AC$3:$AD$8,2,FALSE),"Y","N")</f>
        <v>Y</v>
      </c>
      <c r="X213" s="197">
        <f t="shared" si="74"/>
        <v>1</v>
      </c>
      <c r="Y213" s="197">
        <f t="shared" si="68"/>
        <v>4.5999999999999999E-2</v>
      </c>
      <c r="Z213" s="197">
        <f t="shared" si="69"/>
        <v>2.3306</v>
      </c>
      <c r="AA213" s="197">
        <f t="shared" si="75"/>
        <v>2.2846000000000002</v>
      </c>
      <c r="AB213" s="54" t="e">
        <f>VLOOKUP(A213,Enforcements!$C$7:$K$13,8,0)</f>
        <v>#N/A</v>
      </c>
      <c r="AC213" s="51" t="e">
        <f>VLOOKUP(A213,Enforcements!$C$7:$E$13,3,0)</f>
        <v>#N/A</v>
      </c>
      <c r="AD213" s="206">
        <f t="shared" si="76"/>
        <v>307</v>
      </c>
      <c r="AE213" s="77" t="str">
        <f t="shared" si="77"/>
        <v>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 &amp; aws s3 cp s3://rtdc.mdm.uploadarchive.raw/RTDC4010/ "%USERPROFILE%\AppData\Local\Temp\OnboardLogs"\RTDC4010\2017-06-16 --exclude "*" --recursive --include "*20170616*" &amp; "%USERPROFILE%\Documents\GitHub\mrs-test-scripts\Headless Mode &amp; Sideloading\WalkAndUnGZ.bat" "%USERPROFILE%\AppData\Local\Temp\OnboardLogs"\RTDC4010\2017-06-16</v>
      </c>
      <c r="AF213" s="74" t="str">
        <f t="shared" si="78"/>
        <v>"C:\Program Files (x86)\AstroGrep\AstroGrep.exe" /e /r /s /spath="%USERPROFILE%\AppData\Local\Temp\OnboardLogs" /stypes="app*4010*20170615*" /stext=" 06:.+((SYSTEM_STATE.+slice.+state.+changed )|(ment ac)|(multiple cpu faults)|(system.+state.+changed )|(\[timeout)|(PRM\|1\|D)|(kpr)|(kdp)|(train st.+moving)|(\|lc)|(penalty))"</v>
      </c>
      <c r="AG213" s="209" t="str">
        <f t="shared" si="83"/>
        <v>Other</v>
      </c>
      <c r="AH213" s="78" t="str">
        <f t="shared" si="79"/>
        <v>"%USERPROFILE%\Documents\GitHub\eaglep3\Utilities\RefineRTDCRunTimes.py" --tripid 307-14 --locoid 4010 --swversion DE.1.0.9.0 --startMP 204:460 --initTime 2017-06-15T00:38:00 --startdatetime 2017-06-15T00:39:27 --delay 1 --endMP 300:23306 --enddatetime 2017-06-15T00:54:21 --enforcementcount 2 &gt;&gt;C:\Users\stu\Documents\GitHub\eaglep3-reporting\EC\2017-06-14-refined-times.txt</v>
      </c>
      <c r="AI213" s="96" t="str">
        <f t="shared" si="80"/>
        <v>echo {"issue":{"subject":"","project_id":79,"tracker_id":40,"status_id":1,"priority_id":2,"assigned_to_id":23,"start_date":"2017-06-15","description":"","custom_fields":[{"id":1,"name":"Subdivision","value":"Other"},{"id":4,"name":"Milepost","value":"2.3306"},{"id":17,"name":"Train ID","value":"307-14"},{"id":16,"name":"Locomotive ID","value":"4010"},{"id":130,"name":"Impact","value":""},{"id":150,"name":"Time of Event (Mountain Time)","value":"00:54:21"},{"id":151,"name":"Denver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81"/>
        <v>start /low /b %USERPROFILE%\Documents\GitHub\eaglep3\Utilities\DownloadLogsFromS3.py --loco 4010 --day 2017-06-15</v>
      </c>
      <c r="AN213" s="151" t="str">
        <f t="shared" si="82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06:54:21"},{"id":29,"name":"Sharepoint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1" x14ac:dyDescent="0.25">
      <c r="A214" s="32" t="s">
        <v>659</v>
      </c>
      <c r="B214" s="7">
        <v>4039</v>
      </c>
      <c r="C214" s="21" t="s">
        <v>202</v>
      </c>
      <c r="D214" s="21" t="s">
        <v>904</v>
      </c>
      <c r="E214" s="13">
        <v>42900.176990740743</v>
      </c>
      <c r="F214" s="13">
        <v>42900.181631944448</v>
      </c>
      <c r="G214" s="7">
        <v>6</v>
      </c>
      <c r="H214" s="21" t="s">
        <v>466</v>
      </c>
      <c r="I214" s="13">
        <v>42900.191307870373</v>
      </c>
      <c r="J214" s="7">
        <v>2</v>
      </c>
      <c r="K214" s="89" t="str">
        <f t="shared" si="70"/>
        <v>4039/4040</v>
      </c>
      <c r="L214" s="21" t="str">
        <f>VLOOKUP(A214,'Trips&amp;Operators'!$C$1:$G$99999,5,FALSE)</f>
        <v>DAVIS WENDY</v>
      </c>
      <c r="M214" s="6">
        <f t="shared" si="71"/>
        <v>9.6759259249665774E-3</v>
      </c>
      <c r="N214" s="7">
        <f t="shared" si="67"/>
        <v>13.933333331951872</v>
      </c>
      <c r="O214" s="7"/>
      <c r="P214" s="7"/>
      <c r="Q214" s="22"/>
      <c r="R214" s="170"/>
      <c r="S214" s="215">
        <f t="shared" si="84"/>
        <v>1</v>
      </c>
      <c r="T214" s="195" t="str">
        <f t="shared" si="72"/>
        <v>Southbound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6" t="str">
        <f t="shared" si="73"/>
        <v>https://d0f6bd738d7f1b3e5a7ca70fe4ff75f0.us-east-1.aws.found.io/app/kibana#/discover/Steve-Slow-Train-Analysis-(2080s-and-2083s)?_g=(refreshInterval:(display:Off,pause:!f,section:0,value:0),time:(from:'2017-06-14T03:14:52-0600',mode:absolute,to:'2017-06-14T05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4" s="197" t="str">
        <f>IF(AA214&lt;VLOOKUP(AG214,Variables!$AC$3:$AD$8,2,FALSE),"Y","N")</f>
        <v>Y</v>
      </c>
      <c r="X214" s="197">
        <f t="shared" si="74"/>
        <v>1</v>
      </c>
      <c r="Y214" s="197">
        <f t="shared" si="68"/>
        <v>2.3071999999999999</v>
      </c>
      <c r="Z214" s="197">
        <f t="shared" si="69"/>
        <v>1.61E-2</v>
      </c>
      <c r="AA214" s="197">
        <f t="shared" si="75"/>
        <v>2.2911000000000001</v>
      </c>
      <c r="AB214" s="54" t="e">
        <f>VLOOKUP(A214,Enforcements!$C$7:$K$13,8,0)</f>
        <v>#N/A</v>
      </c>
      <c r="AC214" s="51" t="e">
        <f>VLOOKUP(A214,Enforcements!$C$7:$E$13,3,0)</f>
        <v>#N/A</v>
      </c>
      <c r="AD214" s="206">
        <f t="shared" si="76"/>
        <v>308</v>
      </c>
      <c r="AE214" s="77" t="str">
        <f t="shared" si="77"/>
        <v>aws s3 cp s3://rtdc.mdm.uploadarchive.raw/RTDC4039/ "%USERPROFILE%\AppData\Local\Temp\OnboardLogs"\RTDC4039\2017-06-14 --exclude "*" --recursive --include "*20170614*" &amp; "%USERPROFILE%\Documents\GitHub\mrs-test-scripts\Headless Mode &amp; Sideloading\WalkAndUnGZ.bat" "%USERPROFILE%\AppData\Local\Temp\OnboardLogs"\RTDC4039\2017-06-14 &amp; aws s3 cp s3://rtdc.mdm.uploadarchive.raw/RTDC4039/ "%USERPROFILE%\AppData\Local\Temp\OnboardLogs"\RTDC4039\2017-06-15 --exclude "*" --recursive --include "*20170615*" &amp; "%USERPROFILE%\Documents\GitHub\mrs-test-scripts\Headless Mode &amp; Sideloading\WalkAndUnGZ.bat" "%USERPROFILE%\AppData\Local\Temp\OnboardLogs"\RTDC4039\2017-06-15</v>
      </c>
      <c r="AF214" s="74" t="str">
        <f t="shared" si="78"/>
        <v>"C:\Program Files (x86)\AstroGrep\AstroGrep.exe" /e /r /s /spath="%USERPROFILE%\AppData\Local\Temp\OnboardLogs" /stypes="app*4039*20170614*" /stext=" 10:.+((SYSTEM_STATE.+slice.+state.+changed )|(ment ac)|(multiple cpu faults)|(system.+state.+changed )|(\[timeout)|(PRM\|1\|D)|(kpr)|(kdp)|(train st.+moving)|(\|lc)|(penalty))"</v>
      </c>
      <c r="AG214" s="209" t="str">
        <f t="shared" si="83"/>
        <v>Other</v>
      </c>
      <c r="AH214" s="78" t="str">
        <f t="shared" si="79"/>
        <v>"%USERPROFILE%\Documents\GitHub\eaglep3\Utilities\RefineRTDCRunTimes.py" --tripid 308-14 --locoid 4039 --swversion DE.1.0.9.0 --startMP 300:23072 --initTime 2017-06-14T04:14:52 --startdatetime 2017-06-14T04:21:33 --delay 6 --endMP 204:161 --enddatetime 2017-06-14T04:35:29 --enforcementcount 2 &gt;&gt;C:\Users\stu\Documents\GitHub\eaglep3-reporting\EC\2017-06-14-refined-times.txt</v>
      </c>
      <c r="AI214" s="96" t="str">
        <f t="shared" si="80"/>
        <v>echo {"issue":{"subject":"","project_id":79,"tracker_id":40,"status_id":1,"priority_id":2,"assigned_to_id":23,"start_date":"2017-06-14","description":"","custom_fields":[{"id":1,"name":"Subdivision","value":"Other"},{"id":4,"name":"Milepost","value":"0.0161"},{"id":17,"name":"Train ID","value":"308-14"},{"id":16,"name":"Locomotive ID","value":"4039"},{"id":130,"name":"Impact","value":""},{"id":150,"name":"Time of Event (Mountain Time)","value":"04:35:29"},{"id":151,"name":"Denver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81"/>
        <v>start /low /b %USERPROFILE%\Documents\GitHub\eaglep3\Utilities\DownloadLogsFromS3.py --loco 4039 --day 2017-06-14</v>
      </c>
      <c r="AN214" s="151" t="str">
        <f t="shared" si="82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10:35:29"},{"id":29,"name":"Sharepoint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1" x14ac:dyDescent="0.25">
      <c r="A215" s="32" t="s">
        <v>842</v>
      </c>
      <c r="B215" s="7">
        <v>4044</v>
      </c>
      <c r="C215" s="21" t="s">
        <v>202</v>
      </c>
      <c r="D215" s="21" t="s">
        <v>905</v>
      </c>
      <c r="E215" s="13">
        <v>42901.04859953704</v>
      </c>
      <c r="F215" s="13">
        <v>42901.04991898148</v>
      </c>
      <c r="G215" s="7">
        <v>1</v>
      </c>
      <c r="H215" s="21" t="s">
        <v>906</v>
      </c>
      <c r="I215" s="13">
        <v>42901.059386574074</v>
      </c>
      <c r="J215" s="7">
        <v>2</v>
      </c>
      <c r="K215" s="89" t="str">
        <f t="shared" si="70"/>
        <v>4043/4044</v>
      </c>
      <c r="L215" s="21" t="str">
        <f>VLOOKUP(A215,'Trips&amp;Operators'!$C$1:$G$99999,5,FALSE)</f>
        <v>HAITHCOX MICHAEL</v>
      </c>
      <c r="M215" s="6">
        <f t="shared" si="71"/>
        <v>9.4675925938645378E-3</v>
      </c>
      <c r="N215" s="7">
        <f t="shared" si="67"/>
        <v>13.633333335164934</v>
      </c>
      <c r="O215" s="7"/>
      <c r="P215" s="7"/>
      <c r="Q215" s="22"/>
      <c r="R215" s="170"/>
      <c r="S215" s="215">
        <f t="shared" si="84"/>
        <v>1</v>
      </c>
      <c r="T215" s="195" t="str">
        <f t="shared" si="72"/>
        <v>NorthBound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6" t="str">
        <f t="shared" si="73"/>
        <v>https://d0f6bd738d7f1b3e5a7ca70fe4ff75f0.us-east-1.aws.found.io/app/kibana#/discover/Steve-Slow-Train-Analysis-(2080s-and-2083s)?_g=(refreshInterval:(display:Off,pause:!f,section:0,value:0),time:(from:'2017-06-15T00:09:59-0600',mode:absolute,to:'2017-06-15T02:25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5" s="197" t="str">
        <f>IF(AA215&lt;VLOOKUP(AG215,Variables!$AC$3:$AD$8,2,FALSE),"Y","N")</f>
        <v>Y</v>
      </c>
      <c r="X215" s="197">
        <f t="shared" si="74"/>
        <v>1</v>
      </c>
      <c r="Y215" s="197">
        <f t="shared" si="68"/>
        <v>4.7100000000000003E-2</v>
      </c>
      <c r="Z215" s="197">
        <f t="shared" si="69"/>
        <v>2.331</v>
      </c>
      <c r="AA215" s="197">
        <f t="shared" si="75"/>
        <v>2.2839</v>
      </c>
      <c r="AB215" s="54" t="e">
        <f>VLOOKUP(A215,Enforcements!$C$7:$K$13,8,0)</f>
        <v>#N/A</v>
      </c>
      <c r="AC215" s="51" t="e">
        <f>VLOOKUP(A215,Enforcements!$C$7:$E$13,3,0)</f>
        <v>#N/A</v>
      </c>
      <c r="AD215" s="206">
        <f t="shared" si="76"/>
        <v>309</v>
      </c>
      <c r="AE215" s="77" t="str">
        <f t="shared" si="77"/>
        <v>aws s3 cp s3://rtdc.mdm.uploadarchive.raw/RTDC4044/ "%USERPROFILE%\AppData\Local\Temp\OnboardLogs"\RTDC4044\2017-06-15 --exclude "*" --recursive --include "*20170615*" &amp; "%USERPROFILE%\Documents\GitHub\mrs-test-scripts\Headless Mode &amp; Sideloading\WalkAndUnGZ.bat" "%USERPROFILE%\AppData\Local\Temp\OnboardLogs"\RTDC4044\2017-06-15 &amp; aws s3 cp s3://rtdc.mdm.uploadarchive.raw/RTDC4044/ "%USERPROFILE%\AppData\Local\Temp\OnboardLogs"\RTDC4044\2017-06-16 --exclude "*" --recursive --include "*20170616*" &amp; "%USERPROFILE%\Documents\GitHub\mrs-test-scripts\Headless Mode &amp; Sideloading\WalkAndUnGZ.bat" "%USERPROFILE%\AppData\Local\Temp\OnboardLogs"\RTDC4044\2017-06-16</v>
      </c>
      <c r="AF215" s="74" t="str">
        <f t="shared" si="78"/>
        <v>"C:\Program Files (x86)\AstroGrep\AstroGrep.exe" /e /r /s /spath="%USERPROFILE%\AppData\Local\Temp\OnboardLogs" /stypes="app*4044*20170615*" /stext=" 07:.+((SYSTEM_STATE.+slice.+state.+changed )|(ment ac)|(multiple cpu faults)|(system.+state.+changed )|(\[timeout)|(PRM\|1\|D)|(kpr)|(kdp)|(train st.+moving)|(\|lc)|(penalty))"</v>
      </c>
      <c r="AG215" s="209" t="str">
        <f t="shared" si="83"/>
        <v>Other</v>
      </c>
      <c r="AH215" s="78" t="str">
        <f t="shared" si="79"/>
        <v>"%USERPROFILE%\Documents\GitHub\eaglep3\Utilities\RefineRTDCRunTimes.py" --tripid 309-14 --locoid 4044 --swversion DE.1.0.9.0 --startMP 204:471 --initTime 2017-06-15T01:09:59 --startdatetime 2017-06-15T01:11:53 --delay 1 --endMP 300:23310 --enddatetime 2017-06-15T01:25:31 --enforcementcount 2 &gt;&gt;C:\Users\stu\Documents\GitHub\eaglep3-reporting\EC\2017-06-14-refined-times.txt</v>
      </c>
      <c r="AI215" s="96" t="str">
        <f t="shared" si="80"/>
        <v>echo {"issue":{"subject":"","project_id":79,"tracker_id":40,"status_id":1,"priority_id":2,"assigned_to_id":23,"start_date":"2017-06-15","description":"","custom_fields":[{"id":1,"name":"Subdivision","value":"Other"},{"id":4,"name":"Milepost","value":"2.331"},{"id":17,"name":"Train ID","value":"309-14"},{"id":16,"name":"Locomotive ID","value":"4044"},{"id":130,"name":"Impact","value":""},{"id":150,"name":"Time of Event (Mountain Time)","value":"01:25:31"},{"id":151,"name":"Denver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81"/>
        <v>start /low /b %USERPROFILE%\Documents\GitHub\eaglep3\Utilities\DownloadLogsFromS3.py --loco 4044 --day 2017-06-15</v>
      </c>
      <c r="AN215" s="151" t="str">
        <f t="shared" si="82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07:25:31"},{"id":29,"name":"Sharepoint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1" x14ac:dyDescent="0.25">
      <c r="A216" s="32" t="s">
        <v>667</v>
      </c>
      <c r="B216" s="7">
        <v>4003</v>
      </c>
      <c r="C216" s="21" t="s">
        <v>202</v>
      </c>
      <c r="D216" s="21" t="s">
        <v>907</v>
      </c>
      <c r="E216" s="13">
        <v>42900.206030092595</v>
      </c>
      <c r="F216" s="13">
        <v>42900.208391203705</v>
      </c>
      <c r="G216" s="7">
        <v>3</v>
      </c>
      <c r="H216" s="21" t="s">
        <v>396</v>
      </c>
      <c r="I216" s="13">
        <v>42900.21361111111</v>
      </c>
      <c r="J216" s="7">
        <v>2</v>
      </c>
      <c r="K216" s="89" t="str">
        <f t="shared" si="70"/>
        <v>4003/4004</v>
      </c>
      <c r="L216" s="21" t="str">
        <f>VLOOKUP(A216,'Trips&amp;Operators'!$C$1:$G$99999,5,FALSE)</f>
        <v>LOZA FIDEL</v>
      </c>
      <c r="M216" s="6">
        <f t="shared" si="71"/>
        <v>5.2199074052623473E-3</v>
      </c>
      <c r="N216" s="7">
        <f t="shared" si="67"/>
        <v>7.5166666635777801</v>
      </c>
      <c r="O216" s="7"/>
      <c r="P216" s="7"/>
      <c r="Q216" s="22"/>
      <c r="R216" s="170"/>
      <c r="S216" s="215">
        <f t="shared" si="84"/>
        <v>1</v>
      </c>
      <c r="T216" s="195" t="str">
        <f t="shared" si="72"/>
        <v>Southbound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6" t="str">
        <f t="shared" si="73"/>
        <v>https://d0f6bd738d7f1b3e5a7ca70fe4ff75f0.us-east-1.aws.found.io/app/kibana#/discover/Steve-Slow-Train-Analysis-(2080s-and-2083s)?_g=(refreshInterval:(display:Off,pause:!f,section:0,value:0),time:(from:'2017-06-14T03:56:41-0600',mode:absolute,to:'2017-06-14T06:07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6" s="197" t="str">
        <f>IF(AA216&lt;VLOOKUP(AG216,Variables!$AC$3:$AD$8,2,FALSE),"Y","N")</f>
        <v>Y</v>
      </c>
      <c r="X216" s="197">
        <f t="shared" si="74"/>
        <v>1</v>
      </c>
      <c r="Y216" s="197">
        <f t="shared" si="68"/>
        <v>2.3477999999999999</v>
      </c>
      <c r="Z216" s="197">
        <f t="shared" si="69"/>
        <v>1.54E-2</v>
      </c>
      <c r="AA216" s="197">
        <f t="shared" si="75"/>
        <v>2.3323999999999998</v>
      </c>
      <c r="AB216" s="54" t="e">
        <f>VLOOKUP(A216,Enforcements!$C$7:$K$13,8,0)</f>
        <v>#N/A</v>
      </c>
      <c r="AC216" s="51" t="e">
        <f>VLOOKUP(A216,Enforcements!$C$7:$E$13,3,0)</f>
        <v>#N/A</v>
      </c>
      <c r="AD216" s="206">
        <f t="shared" si="76"/>
        <v>310</v>
      </c>
      <c r="AE216" s="77" t="str">
        <f t="shared" si="77"/>
        <v>aws s3 cp s3://rtdc.mdm.uploadarchive.raw/RTDC4003/ "%USERPROFILE%\AppData\Local\Temp\OnboardLogs"\RTDC4003\2017-06-14 --exclude "*" --recursive --include "*20170614*" &amp; "%USERPROFILE%\Documents\GitHub\mrs-test-scripts\Headless Mode &amp; Sideloading\WalkAndUnGZ.bat" "%USERPROFILE%\AppData\Local\Temp\OnboardLogs"\RTDC4003\2017-06-14 &amp; aws s3 cp s3://rtdc.mdm.uploadarchive.raw/RTDC4003/ "%USERPROFILE%\AppData\Local\Temp\OnboardLogs"\RTDC4003\2017-06-15 --exclude "*" --recursive --include "*20170615*" &amp; "%USERPROFILE%\Documents\GitHub\mrs-test-scripts\Headless Mode &amp; Sideloading\WalkAndUnGZ.bat" "%USERPROFILE%\AppData\Local\Temp\OnboardLogs"\RTDC4003\2017-06-15</v>
      </c>
      <c r="AF216" s="74" t="str">
        <f t="shared" si="78"/>
        <v>"C:\Program Files (x86)\AstroGrep\AstroGrep.exe" /e /r /s /spath="%USERPROFILE%\AppData\Local\Temp\OnboardLogs" /stypes="app*4003*20170614*" /stext=" 11:.+((SYSTEM_STATE.+slice.+state.+changed )|(ment ac)|(multiple cpu faults)|(system.+state.+changed )|(\[timeout)|(PRM\|1\|D)|(kpr)|(kdp)|(train st.+moving)|(\|lc)|(penalty))"</v>
      </c>
      <c r="AG216" s="209" t="str">
        <f t="shared" si="83"/>
        <v>Other</v>
      </c>
      <c r="AH216" s="78" t="str">
        <f t="shared" si="79"/>
        <v>"%USERPROFILE%\Documents\GitHub\eaglep3\Utilities\RefineRTDCRunTimes.py" --tripid 310-14 --locoid 4003 --swversion DE.1.0.9.0 --startMP 300:23478 --initTime 2017-06-14T04:56:41 --startdatetime 2017-06-14T05:00:05 --delay 3 --endMP 204:154 --enddatetime 2017-06-14T05:07:36 --enforcementcount 2 &gt;&gt;C:\Users\stu\Documents\GitHub\eaglep3-reporting\EC\2017-06-14-refined-times.txt</v>
      </c>
      <c r="AI216" s="96" t="str">
        <f t="shared" si="80"/>
        <v>echo {"issue":{"subject":"","project_id":79,"tracker_id":40,"status_id":1,"priority_id":2,"assigned_to_id":23,"start_date":"2017-06-14","description":"","custom_fields":[{"id":1,"name":"Subdivision","value":"Other"},{"id":4,"name":"Milepost","value":"0.0154"},{"id":17,"name":"Train ID","value":"310-14"},{"id":16,"name":"Locomotive ID","value":"4003"},{"id":130,"name":"Impact","value":""},{"id":150,"name":"Time of Event (Mountain Time)","value":"05:07:36"},{"id":151,"name":"Denver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81"/>
        <v>start /low /b %USERPROFILE%\Documents\GitHub\eaglep3\Utilities\DownloadLogsFromS3.py --loco 4003 --day 2017-06-14</v>
      </c>
      <c r="AN216" s="151" t="str">
        <f t="shared" si="82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11:07:36"},{"id":29,"name":"Sharepoint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1" x14ac:dyDescent="0.25">
      <c r="A217" s="32" t="s">
        <v>843</v>
      </c>
      <c r="B217" s="7">
        <v>4016</v>
      </c>
      <c r="C217" s="21" t="s">
        <v>202</v>
      </c>
      <c r="D217" s="21" t="s">
        <v>199</v>
      </c>
      <c r="E217" s="13">
        <v>42901.069050925929</v>
      </c>
      <c r="F217" s="13">
        <v>42901.071111111109</v>
      </c>
      <c r="G217" s="7">
        <v>1</v>
      </c>
      <c r="H217" s="21" t="s">
        <v>899</v>
      </c>
      <c r="I217" s="13">
        <v>42901.079699074071</v>
      </c>
      <c r="J217" s="7">
        <v>2</v>
      </c>
      <c r="K217" s="89" t="str">
        <f t="shared" si="70"/>
        <v>4015/4016</v>
      </c>
      <c r="L217" s="21" t="str">
        <f>VLOOKUP(A217,'Trips&amp;Operators'!$C$1:$G$99999,5,FALSE)</f>
        <v>SMITH MICHAEL</v>
      </c>
      <c r="M217" s="6">
        <f t="shared" si="71"/>
        <v>8.5879629623377696E-3</v>
      </c>
      <c r="N217" s="7">
        <f t="shared" si="67"/>
        <v>12.366666665766388</v>
      </c>
      <c r="O217" s="7"/>
      <c r="P217" s="7"/>
      <c r="Q217" s="22"/>
      <c r="R217" s="170"/>
      <c r="S217" s="215">
        <f t="shared" si="84"/>
        <v>1</v>
      </c>
      <c r="T217" s="195" t="str">
        <f t="shared" si="72"/>
        <v>NorthBound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6" t="str">
        <f t="shared" si="73"/>
        <v>https://d0f6bd738d7f1b3e5a7ca70fe4ff75f0.us-east-1.aws.found.io/app/kibana#/discover/Steve-Slow-Train-Analysis-(2080s-and-2083s)?_g=(refreshInterval:(display:Off,pause:!f,section:0,value:0),time:(from:'2017-06-15T00:39:26-0600',mode:absolute,to:'2017-06-15T02:54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7" s="197" t="str">
        <f>IF(AA217&lt;VLOOKUP(AG217,Variables!$AC$3:$AD$8,2,FALSE),"Y","N")</f>
        <v>Y</v>
      </c>
      <c r="X217" s="197">
        <f t="shared" si="74"/>
        <v>1</v>
      </c>
      <c r="Y217" s="197">
        <f t="shared" si="68"/>
        <v>4.5999999999999999E-2</v>
      </c>
      <c r="Z217" s="197">
        <f t="shared" si="69"/>
        <v>2.3311999999999999</v>
      </c>
      <c r="AA217" s="197">
        <f t="shared" si="75"/>
        <v>2.2852000000000001</v>
      </c>
      <c r="AB217" s="54" t="e">
        <f>VLOOKUP(A217,Enforcements!$C$7:$K$13,8,0)</f>
        <v>#N/A</v>
      </c>
      <c r="AC217" s="51" t="e">
        <f>VLOOKUP(A217,Enforcements!$C$7:$E$13,3,0)</f>
        <v>#N/A</v>
      </c>
      <c r="AD217" s="206">
        <f t="shared" si="76"/>
        <v>311</v>
      </c>
      <c r="AE217" s="77" t="str">
        <f t="shared" si="77"/>
        <v>aws s3 cp s3://rtdc.mdm.uploadarchive.raw/RTDC4016/ "%USERPROFILE%\AppData\Local\Temp\OnboardLogs"\RTDC4016\2017-06-15 --exclude "*" --recursive --include "*20170615*" &amp; "%USERPROFILE%\Documents\GitHub\mrs-test-scripts\Headless Mode &amp; Sideloading\WalkAndUnGZ.bat" "%USERPROFILE%\AppData\Local\Temp\OnboardLogs"\RTDC4016\2017-06-15 &amp; aws s3 cp s3://rtdc.mdm.uploadarchive.raw/RTDC4016/ "%USERPROFILE%\AppData\Local\Temp\OnboardLogs"\RTDC4016\2017-06-16 --exclude "*" --recursive --include "*20170616*" &amp; "%USERPROFILE%\Documents\GitHub\mrs-test-scripts\Headless Mode &amp; Sideloading\WalkAndUnGZ.bat" "%USERPROFILE%\AppData\Local\Temp\OnboardLogs"\RTDC4016\2017-06-16</v>
      </c>
      <c r="AF217" s="74" t="str">
        <f t="shared" si="78"/>
        <v>"C:\Program Files (x86)\AstroGrep\AstroGrep.exe" /e /r /s /spath="%USERPROFILE%\AppData\Local\Temp\OnboardLogs" /stypes="app*4016*20170615*" /stext=" 07:.+((SYSTEM_STATE.+slice.+state.+changed )|(ment ac)|(multiple cpu faults)|(system.+state.+changed )|(\[timeout)|(PRM\|1\|D)|(kpr)|(kdp)|(train st.+moving)|(\|lc)|(penalty))"</v>
      </c>
      <c r="AG217" s="209" t="str">
        <f t="shared" si="83"/>
        <v>Other</v>
      </c>
      <c r="AH217" s="78" t="str">
        <f t="shared" si="79"/>
        <v>"%USERPROFILE%\Documents\GitHub\eaglep3\Utilities\RefineRTDCRunTimes.py" --tripid 311-14 --locoid 4016 --swversion DE.1.0.9.0 --startMP 204:460 --initTime 2017-06-15T01:39:26 --startdatetime 2017-06-15T01:42:24 --delay 1 --endMP 300:23312 --enddatetime 2017-06-15T01:54:46 --enforcementcount 2 &gt;&gt;C:\Users\stu\Documents\GitHub\eaglep3-reporting\EC\2017-06-14-refined-times.txt</v>
      </c>
      <c r="AI217" s="96" t="str">
        <f t="shared" si="80"/>
        <v>echo {"issue":{"subject":"","project_id":79,"tracker_id":40,"status_id":1,"priority_id":2,"assigned_to_id":23,"start_date":"2017-06-15","description":"","custom_fields":[{"id":1,"name":"Subdivision","value":"Other"},{"id":4,"name":"Milepost","value":"2.3312"},{"id":17,"name":"Train ID","value":"311-14"},{"id":16,"name":"Locomotive ID","value":"4016"},{"id":130,"name":"Impact","value":""},{"id":150,"name":"Time of Event (Mountain Time)","value":"01:54:46"},{"id":151,"name":"Denver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81"/>
        <v>start /low /b %USERPROFILE%\Documents\GitHub\eaglep3\Utilities\DownloadLogsFromS3.py --loco 4016 --day 2017-06-15</v>
      </c>
      <c r="AN217" s="151" t="str">
        <f t="shared" si="82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07:54:46"},{"id":29,"name":"Sharepoint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1" x14ac:dyDescent="0.25">
      <c r="A218" s="32" t="s">
        <v>604</v>
      </c>
      <c r="B218" s="7">
        <v>4007</v>
      </c>
      <c r="C218" s="21" t="s">
        <v>202</v>
      </c>
      <c r="D218" s="21" t="s">
        <v>908</v>
      </c>
      <c r="E218" s="13">
        <v>42900.219826388886</v>
      </c>
      <c r="F218" s="13">
        <v>42900.226678240739</v>
      </c>
      <c r="G218" s="7">
        <v>9</v>
      </c>
      <c r="H218" s="21" t="s">
        <v>909</v>
      </c>
      <c r="I218" s="13">
        <v>42900.232418981483</v>
      </c>
      <c r="J218" s="7">
        <v>2</v>
      </c>
      <c r="K218" s="89" t="str">
        <f t="shared" si="70"/>
        <v>4007/4008</v>
      </c>
      <c r="L218" s="21" t="str">
        <f>VLOOKUP(A218,'Trips&amp;Operators'!$C$1:$G$99999,5,FALSE)</f>
        <v>BEAM ROSS</v>
      </c>
      <c r="M218" s="6">
        <f t="shared" si="71"/>
        <v>5.7407407439313829E-3</v>
      </c>
      <c r="N218" s="7">
        <f t="shared" si="67"/>
        <v>8.2666666712611914</v>
      </c>
      <c r="O218" s="7"/>
      <c r="P218" s="7"/>
      <c r="Q218" s="22"/>
      <c r="R218" s="170"/>
      <c r="S218" s="215">
        <f t="shared" si="84"/>
        <v>1</v>
      </c>
      <c r="T218" s="195" t="str">
        <f t="shared" si="72"/>
        <v>Southbound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6" t="str">
        <f t="shared" si="73"/>
        <v>https://d0f6bd738d7f1b3e5a7ca70fe4ff75f0.us-east-1.aws.found.io/app/kibana#/discover/Steve-Slow-Train-Analysis-(2080s-and-2083s)?_g=(refreshInterval:(display:Off,pause:!f,section:0,value:0),time:(from:'2017-06-14T04:16:33-0600',mode:absolute,to:'2017-06-14T06:34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8" s="197" t="str">
        <f>IF(AA218&lt;VLOOKUP(AG218,Variables!$AC$3:$AD$8,2,FALSE),"Y","N")</f>
        <v>Y</v>
      </c>
      <c r="X218" s="197">
        <f t="shared" si="74"/>
        <v>1</v>
      </c>
      <c r="Y218" s="197">
        <f t="shared" si="68"/>
        <v>2.0011000000000001</v>
      </c>
      <c r="Z218" s="197">
        <f t="shared" si="69"/>
        <v>2.3199999999999998E-2</v>
      </c>
      <c r="AA218" s="197">
        <f t="shared" si="75"/>
        <v>1.9779</v>
      </c>
      <c r="AB218" s="54" t="e">
        <f>VLOOKUP(A218,Enforcements!$C$7:$K$13,8,0)</f>
        <v>#N/A</v>
      </c>
      <c r="AC218" s="51" t="e">
        <f>VLOOKUP(A218,Enforcements!$C$7:$E$13,3,0)</f>
        <v>#N/A</v>
      </c>
      <c r="AD218" s="206">
        <f t="shared" si="76"/>
        <v>312</v>
      </c>
      <c r="AE218" s="77" t="str">
        <f t="shared" si="77"/>
        <v>aws s3 cp s3://rtdc.mdm.uploadarchive.raw/RTDC4007/ "%USERPROFILE%\AppData\Local\Temp\OnboardLogs"\RTDC4007\2017-06-14 --exclude "*" --recursive --include "*20170614*" &amp; "%USERPROFILE%\Documents\GitHub\mrs-test-scripts\Headless Mode &amp; Sideloading\WalkAndUnGZ.bat" "%USERPROFILE%\AppData\Local\Temp\OnboardLogs"\RTDC4007\2017-06-14 &amp; aws s3 cp s3://rtdc.mdm.uploadarchive.raw/RTDC4007/ "%USERPROFILE%\AppData\Local\Temp\OnboardLogs"\RTDC4007\2017-06-15 --exclude "*" --recursive --include "*20170615*" &amp; "%USERPROFILE%\Documents\GitHub\mrs-test-scripts\Headless Mode &amp; Sideloading\WalkAndUnGZ.bat" "%USERPROFILE%\AppData\Local\Temp\OnboardLogs"\RTDC4007\2017-06-15</v>
      </c>
      <c r="AF218" s="74" t="str">
        <f t="shared" si="78"/>
        <v>"C:\Program Files (x86)\AstroGrep\AstroGrep.exe" /e /r /s /spath="%USERPROFILE%\AppData\Local\Temp\OnboardLogs" /stypes="app*4007*20170614*" /stext=" 11:.+((SYSTEM_STATE.+slice.+state.+changed )|(ment ac)|(multiple cpu faults)|(system.+state.+changed )|(\[timeout)|(PRM\|1\|D)|(kpr)|(kdp)|(train st.+moving)|(\|lc)|(penalty))"</v>
      </c>
      <c r="AG218" s="209" t="str">
        <f t="shared" si="83"/>
        <v>Other</v>
      </c>
      <c r="AH218" s="78" t="str">
        <f t="shared" si="79"/>
        <v>"%USERPROFILE%\Documents\GitHub\eaglep3\Utilities\RefineRTDCRunTimes.py" --tripid 312-14 --locoid 4007 --swversion DE.1.0.9.0 --startMP 300:20011 --initTime 2017-06-14T05:16:33 --startdatetime 2017-06-14T05:26:25 --delay 9 --endMP 204:232 --enddatetime 2017-06-14T05:34:41 --enforcementcount 2 &gt;&gt;C:\Users\stu\Documents\GitHub\eaglep3-reporting\EC\2017-06-14-refined-times.txt</v>
      </c>
      <c r="AI218" s="96" t="str">
        <f t="shared" si="80"/>
        <v>echo {"issue":{"subject":"","project_id":79,"tracker_id":40,"status_id":1,"priority_id":2,"assigned_to_id":23,"start_date":"2017-06-14","description":"","custom_fields":[{"id":1,"name":"Subdivision","value":"Other"},{"id":4,"name":"Milepost","value":"0.0232"},{"id":17,"name":"Train ID","value":"312-14"},{"id":16,"name":"Locomotive ID","value":"4007"},{"id":130,"name":"Impact","value":""},{"id":150,"name":"Time of Event (Mountain Time)","value":"05:34:41"},{"id":151,"name":"Denver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81"/>
        <v>start /low /b %USERPROFILE%\Documents\GitHub\eaglep3\Utilities\DownloadLogsFromS3.py --loco 4007 --day 2017-06-14</v>
      </c>
      <c r="AN218" s="151" t="str">
        <f t="shared" si="82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11:34:41"},{"id":29,"name":"Sharepoint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1" x14ac:dyDescent="0.25">
      <c r="A219" s="32" t="s">
        <v>559</v>
      </c>
      <c r="B219" s="7">
        <v>4046</v>
      </c>
      <c r="C219" s="21" t="s">
        <v>202</v>
      </c>
      <c r="D219" s="21" t="s">
        <v>353</v>
      </c>
      <c r="E219" s="13">
        <v>42900.089953703704</v>
      </c>
      <c r="F219" s="13">
        <v>42900.091863425929</v>
      </c>
      <c r="G219" s="7">
        <v>1</v>
      </c>
      <c r="H219" s="21" t="s">
        <v>354</v>
      </c>
      <c r="I219" s="13">
        <v>42900.102118055554</v>
      </c>
      <c r="J219" s="7">
        <v>2</v>
      </c>
      <c r="K219" s="89" t="str">
        <f t="shared" si="70"/>
        <v>4045/4046</v>
      </c>
      <c r="L219" s="21" t="str">
        <f>VLOOKUP(A219,'Trips&amp;Operators'!$C$1:$G$99999,5,FALSE)</f>
        <v>LAMAR NEKESHA</v>
      </c>
      <c r="M219" s="6">
        <f t="shared" si="71"/>
        <v>1.0254629625706002E-2</v>
      </c>
      <c r="N219" s="7">
        <f t="shared" si="67"/>
        <v>14.766666661016643</v>
      </c>
      <c r="O219" s="7"/>
      <c r="P219" s="7"/>
      <c r="Q219" s="22"/>
      <c r="R219" s="170"/>
      <c r="S219" s="215">
        <f t="shared" si="84"/>
        <v>1</v>
      </c>
      <c r="T219" s="195" t="str">
        <f t="shared" si="72"/>
        <v>NorthBound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6" t="str">
        <f t="shared" si="73"/>
        <v>https://d0f6bd738d7f1b3e5a7ca70fe4ff75f0.us-east-1.aws.found.io/app/kibana#/discover/Steve-Slow-Train-Analysis-(2080s-and-2083s)?_g=(refreshInterval:(display:Off,pause:!f,section:0,value:0),time:(from:'2017-06-14T01:09:32-0600',mode:absolute,to:'2017-06-14T03:27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9" s="197" t="str">
        <f>IF(AA219&lt;VLOOKUP(AG219,Variables!$AC$3:$AD$8,2,FALSE),"Y","N")</f>
        <v>Y</v>
      </c>
      <c r="X219" s="197">
        <f t="shared" si="74"/>
        <v>1</v>
      </c>
      <c r="Y219" s="197">
        <f t="shared" si="68"/>
        <v>4.5100000000000001E-2</v>
      </c>
      <c r="Z219" s="197">
        <f t="shared" si="69"/>
        <v>2.3346</v>
      </c>
      <c r="AA219" s="197">
        <f t="shared" si="75"/>
        <v>2.2894999999999999</v>
      </c>
      <c r="AB219" s="54" t="e">
        <f>VLOOKUP(A219,Enforcements!$C$7:$K$13,8,0)</f>
        <v>#N/A</v>
      </c>
      <c r="AC219" s="51" t="e">
        <f>VLOOKUP(A219,Enforcements!$C$7:$E$13,3,0)</f>
        <v>#N/A</v>
      </c>
      <c r="AD219" s="206">
        <f t="shared" si="76"/>
        <v>313</v>
      </c>
      <c r="AE219" s="77" t="str">
        <f t="shared" si="77"/>
        <v>aws s3 cp s3://rtdc.mdm.uploadarchive.raw/RTDC4046/ "%USERPROFILE%\AppData\Local\Temp\OnboardLogs"\RTDC4046\2017-06-14 --exclude "*" --recursive --include "*20170614*" &amp; "%USERPROFILE%\Documents\GitHub\mrs-test-scripts\Headless Mode &amp; Sideloading\WalkAndUnGZ.bat" "%USERPROFILE%\AppData\Local\Temp\OnboardLogs"\RTDC4046\2017-06-14 &amp; aws s3 cp s3://rtdc.mdm.uploadarchive.raw/RTDC4046/ "%USERPROFILE%\AppData\Local\Temp\OnboardLogs"\RTDC4046\2017-06-15 --exclude "*" --recursive --include "*20170615*" &amp; "%USERPROFILE%\Documents\GitHub\mrs-test-scripts\Headless Mode &amp; Sideloading\WalkAndUnGZ.bat" "%USERPROFILE%\AppData\Local\Temp\OnboardLogs"\RTDC4046\2017-06-15</v>
      </c>
      <c r="AF219" s="74" t="str">
        <f t="shared" si="78"/>
        <v>"C:\Program Files (x86)\AstroGrep\AstroGrep.exe" /e /r /s /spath="%USERPROFILE%\AppData\Local\Temp\OnboardLogs" /stypes="app*4046*20170614*" /stext=" 08:.+((SYSTEM_STATE.+slice.+state.+changed )|(ment ac)|(multiple cpu faults)|(system.+state.+changed )|(\[timeout)|(PRM\|1\|D)|(kpr)|(kdp)|(train st.+moving)|(\|lc)|(penalty))"</v>
      </c>
      <c r="AG219" s="209" t="str">
        <f t="shared" si="83"/>
        <v>Other</v>
      </c>
      <c r="AH219" s="78" t="str">
        <f t="shared" si="79"/>
        <v>"%USERPROFILE%\Documents\GitHub\eaglep3\Utilities\RefineRTDCRunTimes.py" --tripid 313-13 --locoid 4046 --swversion DE.1.0.9.0 --startMP 204:451 --initTime 2017-06-14T02:09:32 --startdatetime 2017-06-14T02:12:17 --delay 1 --endMP 300:23346 --enddatetime 2017-06-14T02:27:03 --enforcementcount 2 &gt;&gt;C:\Users\stu\Documents\GitHub\eaglep3-reporting\EC\2017-06-14-refined-times.txt</v>
      </c>
      <c r="AI219" s="96" t="str">
        <f t="shared" si="80"/>
        <v>echo {"issue":{"subject":"","project_id":79,"tracker_id":40,"status_id":1,"priority_id":2,"assigned_to_id":23,"start_date":"2017-06-14","description":"","custom_fields":[{"id":1,"name":"Subdivision","value":"Other"},{"id":4,"name":"Milepost","value":"2.3346"},{"id":17,"name":"Train ID","value":"313-13"},{"id":16,"name":"Locomotive ID","value":"4046"},{"id":130,"name":"Impact","value":""},{"id":150,"name":"Time of Event (Mountain Time)","value":"02:27:03"},{"id":151,"name":"Denver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81"/>
        <v>start /low /b %USERPROFILE%\Documents\GitHub\eaglep3\Utilities\DownloadLogsFromS3.py --loco 4046 --day 2017-06-14</v>
      </c>
      <c r="AN219" s="151" t="str">
        <f t="shared" si="82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08:27:03"},{"id":29,"name":"Sharepoint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1" x14ac:dyDescent="0.25">
      <c r="A220" s="32" t="s">
        <v>844</v>
      </c>
      <c r="B220" s="7">
        <v>4056</v>
      </c>
      <c r="C220" s="21" t="s">
        <v>202</v>
      </c>
      <c r="D220" s="21" t="s">
        <v>867</v>
      </c>
      <c r="E220" s="13">
        <v>42901.092372685183</v>
      </c>
      <c r="F220" s="13">
        <v>42901.0940162037</v>
      </c>
      <c r="G220" s="7">
        <v>1</v>
      </c>
      <c r="H220" s="21" t="s">
        <v>354</v>
      </c>
      <c r="I220" s="13">
        <v>25568.708333333332</v>
      </c>
      <c r="J220" s="7">
        <v>2</v>
      </c>
      <c r="K220" s="89" t="str">
        <f t="shared" si="70"/>
        <v>4055/4056</v>
      </c>
      <c r="L220" s="21" t="str">
        <f>VLOOKUP(A220,'Trips&amp;Operators'!$C$1:$G$99999,5,FALSE)</f>
        <v>LAMAR NEKESHA</v>
      </c>
      <c r="M220" s="6">
        <f t="shared" si="71"/>
        <v>-17332.385682870368</v>
      </c>
      <c r="N220" s="7">
        <f t="shared" si="67"/>
        <v>-24958635.383333329</v>
      </c>
      <c r="O220" s="7"/>
      <c r="P220" s="7"/>
      <c r="Q220" s="22"/>
      <c r="R220" s="170"/>
      <c r="S220" s="215">
        <f t="shared" si="84"/>
        <v>1</v>
      </c>
      <c r="T220" s="195" t="str">
        <f t="shared" si="72"/>
        <v>NorthBound</v>
      </c>
      <c r="U220" s="19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96" t="str">
        <f t="shared" si="73"/>
        <v>https://d0f6bd738d7f1b3e5a7ca70fe4ff75f0.us-east-1.aws.found.io/app/kibana#/discover/Steve-Slow-Train-Analysis-(2080s-and-2083s)?_g=(refreshInterval:(display:Off,pause:!f,section:0,value:0),time:(from:'2017-06-15T01:13:01-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20" s="197" t="str">
        <f>IF(AA220&lt;VLOOKUP(AG220,Variables!$AC$3:$AD$8,2,FALSE),"Y","N")</f>
        <v>Y</v>
      </c>
      <c r="X220" s="197">
        <f t="shared" si="74"/>
        <v>0</v>
      </c>
      <c r="Y220" s="197">
        <f t="shared" si="68"/>
        <v>4.6399999999999997E-2</v>
      </c>
      <c r="Z220" s="197">
        <f t="shared" si="69"/>
        <v>2.3346</v>
      </c>
      <c r="AA220" s="197">
        <f t="shared" si="75"/>
        <v>2.2881999999999998</v>
      </c>
      <c r="AB220" s="54" t="e">
        <f>VLOOKUP(A220,Enforcements!$C$7:$K$13,8,0)</f>
        <v>#N/A</v>
      </c>
      <c r="AC220" s="51" t="e">
        <f>VLOOKUP(A220,Enforcements!$C$7:$E$13,3,0)</f>
        <v>#N/A</v>
      </c>
      <c r="AD220" s="206">
        <f t="shared" si="76"/>
        <v>313</v>
      </c>
      <c r="AE220" s="77" t="str">
        <f t="shared" si="77"/>
        <v>aws s3 cp s3://rtdc.mdm.uploadarchive.raw/RTDC4056/ "%USERPROFILE%\AppData\Local\Temp\OnboardLogs"\RTDC4056\2017-06-15 --exclude "*" --recursive --include "*20170615*" &amp; "%USERPROFILE%\Documents\GitHub\mrs-test-scripts\Headless Mode &amp; Sideloading\WalkAndUnGZ.bat" "%USERPROFILE%\AppData\Local\Temp\OnboardLogs"\RTDC4056\2017-06-15 &amp; aws s3 cp s3://rtdc.mdm.uploadarchive.raw/RTDC4056/ "%USERPROFILE%\AppData\Local\Temp\OnboardLogs"\RTDC4056\2017-06-16 --exclude "*" --recursive --include "*20170616*" &amp; "%USERPROFILE%\Documents\GitHub\mrs-test-scripts\Headless Mode &amp; Sideloading\WalkAndUnGZ.bat" "%USERPROFILE%\AppData\Local\Temp\OnboardLogs"\RTDC4056\2017-06-16</v>
      </c>
      <c r="AF220" s="74" t="str">
        <f t="shared" si="78"/>
        <v>"C:\Program Files (x86)\AstroGrep\AstroGrep.exe" /e /r /s /spath="%USERPROFILE%\AppData\Local\Temp\OnboardLogs" /stypes="app*4056*19691231*" /stext=" 23:.+((SYSTEM_STATE.+slice.+state.+changed )|(ment ac)|(multiple cpu faults)|(system.+state.+changed )|(\[timeout)|(PRM\|1\|D)|(kpr)|(kdp)|(train st.+moving)|(\|lc)|(penalty))"</v>
      </c>
      <c r="AG220" s="209" t="str">
        <f t="shared" si="83"/>
        <v>Other</v>
      </c>
      <c r="AH220" s="78" t="str">
        <f t="shared" si="79"/>
        <v>"%USERPROFILE%\Documents\GitHub\eaglep3\Utilities\RefineRTDCRunTimes.py" --tripid 313-14 --locoid 4056 --swversion DE.1.0.9.0 --startMP 204:464 --initTime 2017-06-15T02:13:01 --startdatetime 2017-06-15T02:15:23 --delay 1 --endMP 300:23346 --enddatetime 1969-12-31T17:00:00 --enforcementcount 2 &gt;&gt;C:\Users\stu\Documents\GitHub\eaglep3-reporting\EC\2017-06-14-refined-times.txt</v>
      </c>
      <c r="AI220" s="96" t="str">
        <f t="shared" si="80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ID","value":"313-14"},{"id":16,"name":"Locomotive ID","value":"4056"},{"id":130,"name":"Impact","value":""},{"id":150,"name":"Time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81"/>
        <v>start /low /b %USERPROFILE%\Documents\GitHub\eaglep3\Utilities\DownloadLogsFromS3.py --loco 4056 --day 2017-06-15</v>
      </c>
      <c r="AN220" s="151" t="str">
        <f t="shared" si="82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41" s="20" customFormat="1" x14ac:dyDescent="0.25">
      <c r="A221" s="32" t="s">
        <v>664</v>
      </c>
      <c r="B221" s="7">
        <v>4012</v>
      </c>
      <c r="C221" s="21" t="s">
        <v>202</v>
      </c>
      <c r="D221" s="21" t="s">
        <v>964</v>
      </c>
      <c r="E221" s="13">
        <v>42900.204421296294</v>
      </c>
      <c r="F221" s="13">
        <v>42900.20826388889</v>
      </c>
      <c r="G221" s="7">
        <v>5</v>
      </c>
      <c r="H221" s="21" t="s">
        <v>591</v>
      </c>
      <c r="I221" s="13">
        <v>42900.21402777778</v>
      </c>
      <c r="J221" s="7">
        <v>2</v>
      </c>
      <c r="K221" s="89" t="str">
        <f t="shared" si="70"/>
        <v>4011/4012</v>
      </c>
      <c r="L221" s="21" t="str">
        <f>VLOOKUP(A221,'Trips&amp;Operators'!$C$1:$G$99999,5,FALSE)</f>
        <v>MACDONALD THOMAS</v>
      </c>
      <c r="M221" s="6">
        <f t="shared" si="71"/>
        <v>5.7638888902147301E-3</v>
      </c>
      <c r="N221" s="7">
        <f t="shared" si="67"/>
        <v>8.3000000019092113</v>
      </c>
      <c r="O221" s="7"/>
      <c r="P221" s="7"/>
      <c r="Q221" s="22"/>
      <c r="R221" s="170"/>
      <c r="S221" s="215">
        <f t="shared" si="84"/>
        <v>0</v>
      </c>
      <c r="T221" s="195" t="str">
        <f t="shared" si="72"/>
        <v>NorthBound</v>
      </c>
      <c r="U221" s="19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96" t="str">
        <f t="shared" si="73"/>
        <v>https://d0f6bd738d7f1b3e5a7ca70fe4ff75f0.us-east-1.aws.found.io/app/kibana#/discover/Steve-Slow-Train-Analysis-(2080s-and-2083s)?_g=(refreshInterval:(display:Off,pause:!f,section:0,value:0),time:(from:'2017-06-14T03:54:22-0600',mode:absolute,to:'2017-06-14T06:08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21" s="197" t="str">
        <f>IF(AA221&lt;VLOOKUP(AG221,Variables!$AC$3:$AD$8,2,FALSE),"Y","N")</f>
        <v>Y</v>
      </c>
      <c r="X221" s="197">
        <f t="shared" si="74"/>
        <v>588</v>
      </c>
      <c r="Y221" s="197">
        <f t="shared" si="68"/>
        <v>2.9935999999999998</v>
      </c>
      <c r="Z221" s="197">
        <f t="shared" si="69"/>
        <v>5.8945999999999996</v>
      </c>
      <c r="AA221" s="197">
        <f t="shared" si="75"/>
        <v>2.9009999999999998</v>
      </c>
      <c r="AB221" s="54" t="e">
        <f>VLOOKUP(A221,Enforcements!$C$7:$K$13,8,0)</f>
        <v>#N/A</v>
      </c>
      <c r="AC221" s="51" t="e">
        <f>VLOOKUP(A221,Enforcements!$C$7:$E$13,3,0)</f>
        <v>#N/A</v>
      </c>
      <c r="AD221" s="206">
        <f t="shared" si="76"/>
        <v>901</v>
      </c>
      <c r="AE221" s="77" t="str">
        <f t="shared" si="77"/>
        <v>aws s3 cp s3://rtdc.mdm.uploadarchive.raw/RTDC4012/ "%USERPROFILE%\AppData\Local\Temp\OnboardLogs"\RTDC4012\2017-06-14 --exclude "*" --recursive --include "*20170614*" &amp; "%USERPROFILE%\Documents\GitHub\mrs-test-scripts\Headless Mode &amp; Sideloading\WalkAndUnGZ.bat" "%USERPROFILE%\AppData\Local\Temp\OnboardLogs"\RTDC4012\2017-06-14 &amp; aws s3 cp s3://rtdc.mdm.uploadarchive.raw/RTDC4012/ "%USERPROFILE%\AppData\Local\Temp\OnboardLogs"\RTDC4012\2017-06-15 --exclude "*" --recursive --include "*20170615*" &amp; "%USERPROFILE%\Documents\GitHub\mrs-test-scripts\Headless Mode &amp; Sideloading\WalkAndUnGZ.bat" "%USERPROFILE%\AppData\Local\Temp\OnboardLogs"\RTDC4012\2017-06-15</v>
      </c>
      <c r="AF221" s="74" t="str">
        <f t="shared" si="78"/>
        <v>"C:\Program Files (x86)\AstroGrep\AstroGrep.exe" /e /r /s /spath="%USERPROFILE%\AppData\Local\Temp\OnboardLogs" /stypes="app*4012*20170614*" /stext=" 11:.+((SYSTEM_STATE.+slice.+state.+changed )|(ment ac)|(multiple cpu faults)|(system.+state.+changed )|(\[timeout)|(PRM\|1\|D)|(kpr)|(kdp)|(train st.+moving)|(\|lc)|(penalty))"</v>
      </c>
      <c r="AG221" s="209" t="str">
        <f t="shared" si="83"/>
        <v>Other</v>
      </c>
      <c r="AH221" s="78" t="str">
        <f t="shared" si="79"/>
        <v>"%USERPROFILE%\Documents\GitHub\eaglep3\Utilities\RefineRTDCRunTimes.py" --tripid 901-14 --locoid 4012 --swversion DE.1.0.9.0 --startMP 300:29936 --initTime 2017-06-14T04:54:22 --startdatetime 2017-06-14T04:59:54 --delay 5 --endMP 300:58946 --enddatetime 2017-06-14T05:08:12 --enforcementcount 2 &gt;&gt;C:\Users\stu\Documents\GitHub\eaglep3-reporting\EC\2017-06-14-refined-times.txt</v>
      </c>
      <c r="AI221" s="96" t="str">
        <f t="shared" si="80"/>
        <v>echo {"issue":{"subject":"","project_id":79,"tracker_id":40,"status_id":1,"priority_id":2,"assigned_to_id":23,"start_date":"2017-06-14","description":"","custom_fields":[{"id":1,"name":"Subdivision","value":"Other"},{"id":4,"name":"Milepost","value":"5.8946"},{"id":17,"name":"Train ID","value":"901-14"},{"id":16,"name":"Locomotive ID","value":"4012"},{"id":130,"name":"Impact","value":""},{"id":150,"name":"Time of Event (Mountain Time)","value":"05:08:12"},{"id":151,"name":"Denver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1" s="47"/>
      <c r="AL221" s="47"/>
      <c r="AM221" s="142" t="str">
        <f t="shared" si="81"/>
        <v>start /low /b %USERPROFILE%\Documents\GitHub\eaglep3\Utilities\DownloadLogsFromS3.py --loco 4012 --day 2017-06-14</v>
      </c>
      <c r="AN221" s="151" t="str">
        <f t="shared" si="82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11:08:12"},{"id":29,"name":"Sharepoint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172"/>
    </row>
    <row r="222" spans="1:41" x14ac:dyDescent="0.25">
      <c r="A222" s="32" t="s">
        <v>605</v>
      </c>
      <c r="B222" s="7">
        <v>4019</v>
      </c>
      <c r="C222" s="21" t="s">
        <v>202</v>
      </c>
      <c r="D222" s="21" t="s">
        <v>965</v>
      </c>
      <c r="E222" s="13">
        <v>42900.242083333331</v>
      </c>
      <c r="F222" s="13">
        <v>42900.246215277781</v>
      </c>
      <c r="G222" s="7">
        <v>5</v>
      </c>
      <c r="H222" s="21" t="s">
        <v>596</v>
      </c>
      <c r="I222" s="13">
        <v>42900.251469907409</v>
      </c>
      <c r="J222" s="7">
        <v>2</v>
      </c>
      <c r="K222" s="89" t="str">
        <f t="shared" si="70"/>
        <v>4019/4020</v>
      </c>
      <c r="L222" s="21" t="str">
        <f>VLOOKUP(A222,'Trips&amp;Operators'!$C$1:$G$99999,5,FALSE)</f>
        <v>GEBRETEKLE DAGNEW</v>
      </c>
      <c r="M222" s="6">
        <f t="shared" si="71"/>
        <v>5.2546296283253469E-3</v>
      </c>
      <c r="N222" s="7">
        <f t="shared" si="67"/>
        <v>7.5666666647884995</v>
      </c>
      <c r="O222" s="7"/>
      <c r="P222" s="7"/>
      <c r="Q222" s="22"/>
      <c r="R222" s="170"/>
      <c r="S222" s="215">
        <f t="shared" si="84"/>
        <v>1</v>
      </c>
      <c r="T222" s="195" t="str">
        <f t="shared" si="72"/>
        <v>Southbound</v>
      </c>
      <c r="U222" s="19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96" t="str">
        <f t="shared" si="73"/>
        <v>https://d0f6bd738d7f1b3e5a7ca70fe4ff75f0.us-east-1.aws.found.io/app/kibana#/discover/Steve-Slow-Train-Analysis-(2080s-and-2083s)?_g=(refreshInterval:(display:Off,pause:!f,section:0,value:0),time:(from:'2017-06-14T04:48:36-0600',mode:absolute,to:'2017-06-14T07:02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2" s="197" t="str">
        <f>IF(AA222&lt;VLOOKUP(AG222,Variables!$AC$3:$AD$8,2,FALSE),"Y","N")</f>
        <v>Y</v>
      </c>
      <c r="X222" s="197">
        <f t="shared" si="74"/>
        <v>1</v>
      </c>
      <c r="Y222" s="197">
        <f t="shared" si="68"/>
        <v>2.3542000000000001</v>
      </c>
      <c r="Z222" s="197">
        <f t="shared" si="69"/>
        <v>6.9599999999999995E-2</v>
      </c>
      <c r="AA222" s="197">
        <f t="shared" si="75"/>
        <v>2.2846000000000002</v>
      </c>
      <c r="AB222" s="54" t="e">
        <f>VLOOKUP(A222,Enforcements!$C$7:$K$13,8,0)</f>
        <v>#N/A</v>
      </c>
      <c r="AC222" s="51" t="e">
        <f>VLOOKUP(A222,Enforcements!$C$7:$E$13,3,0)</f>
        <v>#N/A</v>
      </c>
      <c r="AD222" s="206">
        <f t="shared" si="76"/>
        <v>902</v>
      </c>
      <c r="AE222" s="77" t="str">
        <f t="shared" si="77"/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AF222" s="74" t="str">
        <f t="shared" si="78"/>
        <v>"C:\Program Files (x86)\AstroGrep\AstroGrep.exe" /e /r /s /spath="%USERPROFILE%\AppData\Local\Temp\OnboardLogs" /stypes="app*4019*20170614*" /stext=" 12:.+((SYSTEM_STATE.+slice.+state.+changed )|(ment ac)|(multiple cpu faults)|(system.+state.+changed )|(\[timeout)|(PRM\|1\|D)|(kpr)|(kdp)|(train st.+moving)|(\|lc)|(penalty))"</v>
      </c>
      <c r="AG222" s="209" t="str">
        <f t="shared" si="83"/>
        <v>Other</v>
      </c>
      <c r="AH222" s="78" t="str">
        <f t="shared" si="79"/>
        <v>"%USERPROFILE%\Documents\GitHub\eaglep3\Utilities\RefineRTDCRunTimes.py" --tripid 902-14 --locoid 4019 --swversion DE.1.0.9.0 --startMP 300:23542 --initTime 2017-06-14T05:48:36 --startdatetime 2017-06-14T05:54:33 --delay 5 --endMP 204:696 --enddatetime 2017-06-14T06:02:07 --enforcementcount 2 &gt;&gt;C:\Users\stu\Documents\GitHub\eaglep3-reporting\EC\2017-06-14-refined-times.txt</v>
      </c>
      <c r="AI222" s="96" t="str">
        <f t="shared" si="80"/>
        <v>echo {"issue":{"subject":"","project_id":79,"tracker_id":40,"status_id":1,"priority_id":2,"assigned_to_id":23,"start_date":"2017-06-14","description":"","custom_fields":[{"id":1,"name":"Subdivision","value":"Other"},{"id":4,"name":"Milepost","value":"0.0696"},{"id":17,"name":"Train ID","value":"902-14"},{"id":16,"name":"Locomotive ID","value":"4019"},{"id":130,"name":"Impact","value":""},{"id":150,"name":"Time of Event (Mountain Time)","value":"06:02:07"},{"id":151,"name":"Denver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 t="shared" si="81"/>
        <v>start /low /b %USERPROFILE%\Documents\GitHub\eaglep3\Utilities\DownloadLogsFromS3.py --loco 4019 --day 2017-06-14</v>
      </c>
      <c r="AN222" s="151" t="str">
        <f t="shared" si="82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12:02:07"},{"id":29,"name":"Sharepoint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41" x14ac:dyDescent="0.25">
      <c r="A223" s="32" t="s">
        <v>771</v>
      </c>
      <c r="B223" s="7">
        <v>4011</v>
      </c>
      <c r="C223" s="21" t="s">
        <v>202</v>
      </c>
      <c r="D223" s="21" t="s">
        <v>966</v>
      </c>
      <c r="E223" s="13">
        <v>42900.632962962962</v>
      </c>
      <c r="F223" s="13">
        <v>42900.635347222225</v>
      </c>
      <c r="G223" s="7">
        <v>3</v>
      </c>
      <c r="H223" s="21" t="s">
        <v>967</v>
      </c>
      <c r="I223" s="13">
        <v>42900.636192129627</v>
      </c>
      <c r="J223" s="7">
        <v>2</v>
      </c>
      <c r="K223" s="89" t="str">
        <f t="shared" si="70"/>
        <v>4011/4012</v>
      </c>
      <c r="L223" s="21" t="str">
        <f>VLOOKUP(A223,'Trips&amp;Operators'!$C$1:$G$99999,5,FALSE)</f>
        <v>STAMBAUGH JAMES</v>
      </c>
      <c r="M223" s="6">
        <f t="shared" si="71"/>
        <v>8.4490740118781105E-4</v>
      </c>
      <c r="N223" s="7">
        <f t="shared" si="67"/>
        <v>1.2166666577104479</v>
      </c>
      <c r="O223" s="7"/>
      <c r="P223" s="7"/>
      <c r="Q223" s="22"/>
      <c r="R223" s="170" t="s">
        <v>1004</v>
      </c>
      <c r="S223" s="215">
        <f t="shared" si="84"/>
        <v>0</v>
      </c>
      <c r="T223" s="195" t="str">
        <f t="shared" si="72"/>
        <v>Southbound</v>
      </c>
      <c r="U223" s="19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96" t="str">
        <f t="shared" si="73"/>
        <v>https://d0f6bd738d7f1b3e5a7ca70fe4ff75f0.us-east-1.aws.found.io/app/kibana#/discover/Steve-Slow-Train-Analysis-(2080s-and-2083s)?_g=(refreshInterval:(display:Off,pause:!f,section:0,value:0),time:(from:'2017-06-14T14:11:28-0600',mode:absolute,to:'2017-06-14T16:16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23" s="197" t="str">
        <f>IF(AA223&lt;VLOOKUP(AG223,Variables!$AC$3:$AD$8,2,FALSE),"Y","N")</f>
        <v>Y</v>
      </c>
      <c r="X223" s="197">
        <f t="shared" si="74"/>
        <v>2</v>
      </c>
      <c r="Y223" s="197">
        <f t="shared" si="68"/>
        <v>2.3679999999999999</v>
      </c>
      <c r="Z223" s="197">
        <f t="shared" si="69"/>
        <v>2.0836999999999999</v>
      </c>
      <c r="AA223" s="197">
        <f t="shared" si="75"/>
        <v>0.2843</v>
      </c>
      <c r="AB223" s="54" t="e">
        <f>VLOOKUP(A223,Enforcements!$C$7:$K$13,8,0)</f>
        <v>#N/A</v>
      </c>
      <c r="AC223" s="51" t="e">
        <f>VLOOKUP(A223,Enforcements!$C$7:$E$13,3,0)</f>
        <v>#N/A</v>
      </c>
      <c r="AD223" s="206">
        <f t="shared" si="76"/>
        <v>904</v>
      </c>
      <c r="AE223" s="77" t="str">
        <f t="shared" si="77"/>
        <v>aws s3 cp s3://rtdc.mdm.uploadarchive.raw/RTDC4011/ "%USERPROFILE%\AppData\Local\Temp\OnboardLogs"\RTDC4011\2017-06-14 --exclude "*" --recursive --include "*20170614*" &amp; "%USERPROFILE%\Documents\GitHub\mrs-test-scripts\Headless Mode &amp; Sideloading\WalkAndUnGZ.bat" "%USERPROFILE%\AppData\Local\Temp\OnboardLogs"\RTDC4011\2017-06-14 &amp; aws s3 cp s3://rtdc.mdm.uploadarchive.raw/RTDC4011/ "%USERPROFILE%\AppData\Local\Temp\OnboardLogs"\RTDC4011\2017-06-15 --exclude "*" --recursive --include "*20170615*" &amp; "%USERPROFILE%\Documents\GitHub\mrs-test-scripts\Headless Mode &amp; Sideloading\WalkAndUnGZ.bat" "%USERPROFILE%\AppData\Local\Temp\OnboardLogs"\RTDC4011\2017-06-15</v>
      </c>
      <c r="AF223" s="74" t="str">
        <f t="shared" si="78"/>
        <v>"C:\Program Files (x86)\AstroGrep\AstroGrep.exe" /e /r /s /spath="%USERPROFILE%\AppData\Local\Temp\OnboardLogs" /stypes="app*4011*20170614*" /stext=" 21:.+((SYSTEM_STATE.+slice.+state.+changed )|(ment ac)|(multiple cpu faults)|(system.+state.+changed )|(\[timeout)|(PRM\|1\|D)|(kpr)|(kdp)|(train st.+moving)|(\|lc)|(penalty))"</v>
      </c>
      <c r="AG223" s="209" t="str">
        <f t="shared" si="83"/>
        <v>Other</v>
      </c>
      <c r="AH223" s="78" t="str">
        <f t="shared" si="79"/>
        <v>"%USERPROFILE%\Documents\GitHub\eaglep3\Utilities\RefineRTDCRunTimes.py" --tripid 904-14 --locoid 4011 --swversion DE.1.0.9.0 --startMP 300:23680 --initTime 2017-06-14T15:11:28 --startdatetime 2017-06-14T15:14:54 --delay 3 --endMP 300:20837 --enddatetime 2017-06-14T15:16:07 --enforcementcount 2 &gt;&gt;C:\Users\stu\Documents\GitHub\eaglep3-reporting\EC\2017-06-14-refined-times.txt</v>
      </c>
      <c r="AI223" s="96" t="str">
        <f t="shared" si="80"/>
        <v>echo {"issue":{"subject":"ATC enforcement? No penalty application originating from PTC","project_id":79,"tracker_id":40,"status_id":1,"priority_id":2,"assigned_to_id":23,"start_date":"2017-06-14","description":"","custom_fields":[{"id":1,"name":"Subdivision","value":"Other"},{"id":4,"name":"Milepost","value":"2.0837"},{"id":17,"name":"Train ID","value":"904-14"},{"id":16,"name":"Locomotive ID","value":"4011"},{"id":130,"name":"Impact","value":""},{"id":150,"name":"Time of Event (Mountain Time)","value":"15:16:07"},{"id":151,"name":"Denver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81"/>
        <v>start /low /b %USERPROFILE%\Documents\GitHub\eaglep3\Utilities\DownloadLogsFromS3.py --loco 4011 --day 2017-06-14</v>
      </c>
      <c r="AN223" s="151" t="str">
        <f t="shared" si="82"/>
        <v>echo {"issue":{"subject":"ATC enforcement? No penalty application originating from PTC","project_id":30,"tracker_id":4,"status_id":1,"priority_id":1,"assigned_to_id":10,"start_date":"2017-06-14","description":"","custom_fields":[{"id":30,"name":"Category","value":"Issue"},{"id":3,"name":"Functional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21:16:07"},{"id":29,"name":"Sharepoint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41" s="20" customFormat="1" x14ac:dyDescent="0.25">
      <c r="A224" s="32" t="s">
        <v>811</v>
      </c>
      <c r="B224" s="7">
        <v>4011</v>
      </c>
      <c r="C224" s="21" t="s">
        <v>202</v>
      </c>
      <c r="D224" s="21" t="s">
        <v>968</v>
      </c>
      <c r="E224" s="13">
        <v>42900.797326388885</v>
      </c>
      <c r="F224" s="13">
        <v>42900.798761574071</v>
      </c>
      <c r="G224" s="7">
        <v>1</v>
      </c>
      <c r="H224" s="21" t="s">
        <v>969</v>
      </c>
      <c r="I224" s="13">
        <v>42900.803506944445</v>
      </c>
      <c r="J224" s="7">
        <v>2</v>
      </c>
      <c r="K224" s="89" t="str">
        <f t="shared" si="70"/>
        <v>4011/4012</v>
      </c>
      <c r="L224" s="21" t="str">
        <f>VLOOKUP(A224,'Trips&amp;Operators'!$C$1:$G$99999,5,FALSE)</f>
        <v>STAMBAUGH JAMES</v>
      </c>
      <c r="M224" s="6">
        <f t="shared" si="71"/>
        <v>4.7453703737119213E-3</v>
      </c>
      <c r="N224" s="7">
        <f t="shared" si="67"/>
        <v>6.8333333381451666</v>
      </c>
      <c r="O224" s="7"/>
      <c r="P224" s="7"/>
      <c r="Q224" s="22"/>
      <c r="R224" s="170"/>
      <c r="S224" s="215">
        <f t="shared" si="84"/>
        <v>0</v>
      </c>
      <c r="T224" s="195" t="str">
        <f t="shared" si="72"/>
        <v>Southbound</v>
      </c>
      <c r="U224" s="19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96" t="str">
        <f t="shared" si="73"/>
        <v>https://d0f6bd738d7f1b3e5a7ca70fe4ff75f0.us-east-1.aws.found.io/app/kibana#/discover/Steve-Slow-Train-Analysis-(2080s-and-2083s)?_g=(refreshInterval:(display:Off,pause:!f,section:0,value:0),time:(from:'2017-06-14T18:08:09-0600',mode:absolute,to:'2017-06-14T20:17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24" s="197" t="str">
        <f>IF(AA224&lt;VLOOKUP(AG224,Variables!$AC$3:$AD$8,2,FALSE),"Y","N")</f>
        <v>Y</v>
      </c>
      <c r="X224" s="197">
        <f t="shared" si="74"/>
        <v>2</v>
      </c>
      <c r="Y224" s="197">
        <f t="shared" si="68"/>
        <v>5.8611000000000004</v>
      </c>
      <c r="Z224" s="197">
        <f t="shared" si="69"/>
        <v>2.8795000000000002</v>
      </c>
      <c r="AA224" s="197">
        <f t="shared" si="75"/>
        <v>2.9816000000000003</v>
      </c>
      <c r="AB224" s="54" t="e">
        <f>VLOOKUP(A224,Enforcements!$C$7:$K$13,8,0)</f>
        <v>#N/A</v>
      </c>
      <c r="AC224" s="51" t="e">
        <f>VLOOKUP(A224,Enforcements!$C$7:$E$13,3,0)</f>
        <v>#N/A</v>
      </c>
      <c r="AD224" s="206">
        <f t="shared" si="76"/>
        <v>906</v>
      </c>
      <c r="AE224" s="77" t="str">
        <f t="shared" si="77"/>
        <v>aws s3 cp s3://rtdc.mdm.uploadarchive.raw/RTDC4011/ "%USERPROFILE%\AppData\Local\Temp\OnboardLogs"\RTDC4011\2017-06-14 --exclude "*" --recursive --include "*20170614*" &amp; "%USERPROFILE%\Documents\GitHub\mrs-test-scripts\Headless Mode &amp; Sideloading\WalkAndUnGZ.bat" "%USERPROFILE%\AppData\Local\Temp\OnboardLogs"\RTDC4011\2017-06-14 &amp; aws s3 cp s3://rtdc.mdm.uploadarchive.raw/RTDC4011/ "%USERPROFILE%\AppData\Local\Temp\OnboardLogs"\RTDC4011\2017-06-15 --exclude "*" --recursive --include "*20170615*" &amp; "%USERPROFILE%\Documents\GitHub\mrs-test-scripts\Headless Mode &amp; Sideloading\WalkAndUnGZ.bat" "%USERPROFILE%\AppData\Local\Temp\OnboardLogs"\RTDC4011\2017-06-15</v>
      </c>
      <c r="AF224" s="74" t="str">
        <f t="shared" si="78"/>
        <v>"C:\Program Files (x86)\AstroGrep\AstroGrep.exe" /e /r /s /spath="%USERPROFILE%\AppData\Local\Temp\OnboardLogs" /stypes="app*4011*20170615*" /stext=" 01:.+((SYSTEM_STATE.+slice.+state.+changed )|(ment ac)|(multiple cpu faults)|(system.+state.+changed )|(\[timeout)|(PRM\|1\|D)|(kpr)|(kdp)|(train st.+moving)|(\|lc)|(penalty))"</v>
      </c>
      <c r="AG224" s="209" t="str">
        <f t="shared" si="83"/>
        <v>Other</v>
      </c>
      <c r="AH224" s="78" t="str">
        <f t="shared" si="79"/>
        <v>"%USERPROFILE%\Documents\GitHub\eaglep3\Utilities\RefineRTDCRunTimes.py" --tripid 906-14 --locoid 4011 --swversion DE.1.0.9.0 --startMP 300:58611 --initTime 2017-06-14T19:08:09 --startdatetime 2017-06-14T19:10:13 --delay 1 --endMP 300:28795 --enddatetime 2017-06-14T19:17:03 --enforcementcount 2 &gt;&gt;C:\Users\stu\Documents\GitHub\eaglep3-reporting\EC\2017-06-14-refined-times.txt</v>
      </c>
      <c r="AI224" s="96" t="str">
        <f t="shared" si="80"/>
        <v>echo {"issue":{"subject":"","project_id":79,"tracker_id":40,"status_id":1,"priority_id":2,"assigned_to_id":23,"start_date":"2017-06-14","description":"","custom_fields":[{"id":1,"name":"Subdivision","value":"Other"},{"id":4,"name":"Milepost","value":"2.8795"},{"id":17,"name":"Train ID","value":"906-14"},{"id":16,"name":"Locomotive ID","value":"4011"},{"id":130,"name":"Impact","value":""},{"id":150,"name":"Time of Event (Mountain Time)","value":"19:17:03"},{"id":151,"name":"Denver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4" s="47"/>
      <c r="AL224" s="47"/>
      <c r="AM224" s="142" t="str">
        <f t="shared" si="81"/>
        <v>start /low /b %USERPROFILE%\Documents\GitHub\eaglep3\Utilities\DownloadLogsFromS3.py --loco 4011 --day 2017-06-14</v>
      </c>
      <c r="AN224" s="151" t="str">
        <f t="shared" si="82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01:17:03"},{"id":29,"name":"Sharepoint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172"/>
    </row>
    <row r="225" spans="1:41" x14ac:dyDescent="0.25">
      <c r="A225" s="32" t="s">
        <v>831</v>
      </c>
      <c r="B225" s="7">
        <v>4019</v>
      </c>
      <c r="C225" s="21" t="s">
        <v>202</v>
      </c>
      <c r="D225" s="21" t="s">
        <v>970</v>
      </c>
      <c r="E225" s="13">
        <v>42900.941412037035</v>
      </c>
      <c r="F225" s="13">
        <v>42900.942719907405</v>
      </c>
      <c r="G225" s="7">
        <v>1</v>
      </c>
      <c r="H225" s="21" t="s">
        <v>971</v>
      </c>
      <c r="I225" s="13">
        <v>42900.951064814813</v>
      </c>
      <c r="J225" s="7">
        <v>2</v>
      </c>
      <c r="K225" s="89" t="str">
        <f t="shared" si="70"/>
        <v>4019/4020</v>
      </c>
      <c r="L225" s="21" t="str">
        <f>VLOOKUP(A225,'Trips&amp;Operators'!$C$1:$G$99999,5,FALSE)</f>
        <v>STAMBAUGH JAMES</v>
      </c>
      <c r="M225" s="6">
        <f t="shared" si="71"/>
        <v>8.3449074081727304E-3</v>
      </c>
      <c r="N225" s="7">
        <f t="shared" si="67"/>
        <v>12.016666667768732</v>
      </c>
      <c r="O225" s="7"/>
      <c r="P225" s="7"/>
      <c r="Q225" s="22"/>
      <c r="R225" s="170"/>
      <c r="S225" s="215">
        <f t="shared" si="84"/>
        <v>0</v>
      </c>
      <c r="T225" s="195" t="str">
        <f t="shared" si="72"/>
        <v>Southbound</v>
      </c>
      <c r="U225" s="19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6" t="str">
        <f t="shared" si="73"/>
        <v>https://d0f6bd738d7f1b3e5a7ca70fe4ff75f0.us-east-1.aws.found.io/app/kibana#/discover/Steve-Slow-Train-Analysis-(2080s-and-2083s)?_g=(refreshInterval:(display:Off,pause:!f,section:0,value:0),time:(from:'2017-06-14T21:35:38-0600',mode:absolute,to:'2017-06-14T23:49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5" s="197" t="str">
        <f>IF(AA225&lt;VLOOKUP(AG225,Variables!$AC$3:$AD$8,2,FALSE),"Y","N")</f>
        <v>Y</v>
      </c>
      <c r="X225" s="197">
        <f t="shared" si="74"/>
        <v>2</v>
      </c>
      <c r="Y225" s="197">
        <f t="shared" si="68"/>
        <v>5.8609</v>
      </c>
      <c r="Z225" s="197">
        <f t="shared" si="69"/>
        <v>2.8778000000000001</v>
      </c>
      <c r="AA225" s="197">
        <f t="shared" si="75"/>
        <v>2.9830999999999999</v>
      </c>
      <c r="AB225" s="54" t="e">
        <f>VLOOKUP(A225,Enforcements!$C$7:$K$13,8,0)</f>
        <v>#N/A</v>
      </c>
      <c r="AC225" s="51" t="e">
        <f>VLOOKUP(A225,Enforcements!$C$7:$E$13,3,0)</f>
        <v>#N/A</v>
      </c>
      <c r="AD225" s="206">
        <f t="shared" si="76"/>
        <v>908</v>
      </c>
      <c r="AE225" s="77" t="str">
        <f t="shared" si="77"/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AF225" s="74" t="str">
        <f t="shared" si="78"/>
        <v>"C:\Program Files (x86)\AstroGrep\AstroGrep.exe" /e /r /s /spath="%USERPROFILE%\AppData\Local\Temp\OnboardLogs" /stypes="app*4019*20170615*" /stext=" 04:.+((SYSTEM_STATE.+slice.+state.+changed )|(ment ac)|(multiple cpu faults)|(system.+state.+changed )|(\[timeout)|(PRM\|1\|D)|(kpr)|(kdp)|(train st.+moving)|(\|lc)|(penalty))"</v>
      </c>
      <c r="AG225" s="209" t="str">
        <f t="shared" si="83"/>
        <v>Other</v>
      </c>
      <c r="AH225" s="78" t="str">
        <f t="shared" si="79"/>
        <v>"%USERPROFILE%\Documents\GitHub\eaglep3\Utilities\RefineRTDCRunTimes.py" --tripid 908-14 --locoid 4019 --swversion DE.1.0.9.0 --startMP 300:58609 --initTime 2017-06-14T22:35:38 --startdatetime 2017-06-14T22:37:31 --delay 1 --endMP 300:28778 --enddatetime 2017-06-14T22:49:32 --enforcementcount 2 &gt;&gt;C:\Users\stu\Documents\GitHub\eaglep3-reporting\EC\2017-06-14-refined-times.txt</v>
      </c>
      <c r="AI225" s="96" t="str">
        <f t="shared" si="80"/>
        <v>echo {"issue":{"subject":"","project_id":79,"tracker_id":40,"status_id":1,"priority_id":2,"assigned_to_id":23,"start_date":"2017-06-14","description":"","custom_fields":[{"id":1,"name":"Subdivision","value":"Other"},{"id":4,"name":"Milepost","value":"2.8778"},{"id":17,"name":"Train ID","value":"908-14"},{"id":16,"name":"Locomotive ID","value":"4019"},{"id":130,"name":"Impact","value":""},{"id":150,"name":"Time of Event (Mountain Time)","value":"22:49:32"},{"id":151,"name":"Denver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 t="shared" si="81"/>
        <v>start /low /b %USERPROFILE%\Documents\GitHub\eaglep3\Utilities\DownloadLogsFromS3.py --loco 4019 --day 2017-06-14</v>
      </c>
      <c r="AN225" s="151" t="str">
        <f t="shared" si="82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04:49:32"},{"id":29,"name":"Sharepoint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1" x14ac:dyDescent="0.25">
      <c r="A226" s="32" t="s">
        <v>651</v>
      </c>
      <c r="B226" s="7">
        <v>4022</v>
      </c>
      <c r="C226" s="21" t="s">
        <v>202</v>
      </c>
      <c r="D226" s="21" t="s">
        <v>573</v>
      </c>
      <c r="E226" s="13">
        <v>42900.12672453704</v>
      </c>
      <c r="F226" s="13">
        <v>42900.136793981481</v>
      </c>
      <c r="G226" s="7">
        <v>1</v>
      </c>
      <c r="H226" s="21" t="s">
        <v>910</v>
      </c>
      <c r="I226" s="13">
        <v>42900.137696759259</v>
      </c>
      <c r="J226" s="7">
        <v>2</v>
      </c>
      <c r="K226" s="89" t="str">
        <f t="shared" si="70"/>
        <v>4021/4022</v>
      </c>
      <c r="L226" s="21" t="str">
        <f>VLOOKUP(A226,'Trips&amp;Operators'!$C$1:$G$99999,5,FALSE)</f>
        <v>SPECTOR MICHAEL</v>
      </c>
      <c r="M226" s="6">
        <f t="shared" si="71"/>
        <v>9.0277777781011537E-4</v>
      </c>
      <c r="N226" s="7">
        <f t="shared" si="67"/>
        <v>1.3000000000465661</v>
      </c>
      <c r="O226" s="7"/>
      <c r="P226" s="7"/>
      <c r="Q226" s="22"/>
      <c r="R226" s="170"/>
      <c r="S226" s="215">
        <f t="shared" si="84"/>
        <v>0</v>
      </c>
      <c r="T226" s="195" t="str">
        <f t="shared" si="72"/>
        <v>NorthBound</v>
      </c>
      <c r="U226" s="19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6" t="str">
        <f t="shared" si="73"/>
        <v>https://d0f6bd738d7f1b3e5a7ca70fe4ff75f0.us-east-1.aws.found.io/app/kibana#/discover/Steve-Slow-Train-Analysis-(2080s-and-2083s)?_g=(refreshInterval:(display:Off,pause:!f,section:0,value:0),time:(from:'2017-06-14T02:02:29-0600',mode:absolute,to:'2017-06-14T04:18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26" s="197" t="str">
        <f>IF(AA226&lt;VLOOKUP(AG226,Variables!$AC$3:$AD$8,2,FALSE),"Y","N")</f>
        <v>Y</v>
      </c>
      <c r="X226" s="197">
        <f t="shared" si="74"/>
        <v>-857</v>
      </c>
      <c r="Y226" s="197">
        <f t="shared" si="68"/>
        <v>4.3299999999999998E-2</v>
      </c>
      <c r="Z226" s="197">
        <f t="shared" si="69"/>
        <v>0.3543</v>
      </c>
      <c r="AA226" s="197">
        <f t="shared" si="75"/>
        <v>0.311</v>
      </c>
      <c r="AB226" s="54" t="e">
        <f>VLOOKUP(A226,Enforcements!$C$7:$K$13,8,0)</f>
        <v>#N/A</v>
      </c>
      <c r="AC226" s="51" t="e">
        <f>VLOOKUP(A226,Enforcements!$C$7:$E$13,3,0)</f>
        <v>#N/A</v>
      </c>
      <c r="AD226" s="206">
        <f t="shared" si="76"/>
        <v>51</v>
      </c>
      <c r="AE226" s="77" t="str">
        <f t="shared" si="77"/>
        <v>aws s3 cp s3://rtdc.mdm.uploadarchive.raw/RTDC4022/ "%USERPROFILE%\AppData\Local\Temp\OnboardLogs"\RTDC4022\2017-06-14 --exclude "*" --recursive --include "*20170614*" &amp; "%USERPROFILE%\Documents\GitHub\mrs-test-scripts\Headless Mode &amp; Sideloading\WalkAndUnGZ.bat" "%USERPROFILE%\AppData\Local\Temp\OnboardLogs"\RTDC4022\2017-06-14 &amp; aws s3 cp s3://rtdc.mdm.uploadarchive.raw/RTDC4022/ "%USERPROFILE%\AppData\Local\Temp\OnboardLogs"\RTDC4022\2017-06-15 --exclude "*" --recursive --include "*20170615*" &amp; "%USERPROFILE%\Documents\GitHub\mrs-test-scripts\Headless Mode &amp; Sideloading\WalkAndUnGZ.bat" "%USERPROFILE%\AppData\Local\Temp\OnboardLogs"\RTDC4022\2017-06-15</v>
      </c>
      <c r="AF226" s="74" t="str">
        <f t="shared" si="78"/>
        <v>"C:\Program Files (x86)\AstroGrep\AstroGrep.exe" /e /r /s /spath="%USERPROFILE%\AppData\Local\Temp\OnboardLogs" /stypes="app*4022*20170614*" /stext=" 09:.+((SYSTEM_STATE.+slice.+state.+changed )|(ment ac)|(multiple cpu faults)|(system.+state.+changed )|(\[timeout)|(PRM\|1\|D)|(kpr)|(kdp)|(train st.+moving)|(\|lc)|(penalty))"</v>
      </c>
      <c r="AG226" s="209" t="str">
        <f t="shared" si="83"/>
        <v>Shuttle/Test</v>
      </c>
      <c r="AH226" s="78" t="str">
        <f t="shared" si="79"/>
        <v>"%USERPROFILE%\Documents\GitHub\eaglep3\Utilities\RefineRTDCRunTimes.py" --tripid 51-14 --locoid 4022 --swversion DE.1.0.9.0 --startMP 204:433 --initTime 2017-06-14T03:02:29 --startdatetime 2017-06-14T03:16:59 --delay 1 --endMP 204:3543 --enddatetime 2017-06-14T03:18:17 --enforcementcount 2 &gt;&gt;C:\Users\stu\Documents\GitHub\eaglep3-reporting\EC\2017-06-14-refined-times.txt</v>
      </c>
      <c r="AI226" s="96" t="str">
        <f t="shared" si="80"/>
        <v>echo {"issue":{"subject":"","project_id":79,"tracker_id":40,"status_id":1,"priority_id":2,"assigned_to_id":23,"start_date":"2017-06-14","description":"","custom_fields":[{"id":1,"name":"Subdivision","value":"Shuttle/Test"},{"id":4,"name":"Milepost","value":"0.3543"},{"id":17,"name":"Train ID","value":"51-14"},{"id":16,"name":"Locomotive ID","value":"4022"},{"id":130,"name":"Impact","value":""},{"id":150,"name":"Time of Event (Mountain Time)","value":"03:18:17"},{"id":151,"name":"Denver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81"/>
        <v>start /low /b %USERPROFILE%\Documents\GitHub\eaglep3\Utilities\DownloadLogsFromS3.py --loco 4022 --day 2017-06-14</v>
      </c>
      <c r="AN226" s="151" t="str">
        <f t="shared" si="82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09:18:17"},{"id":29,"name":"Sharepoint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1" x14ac:dyDescent="0.25">
      <c r="A227" s="32" t="s">
        <v>652</v>
      </c>
      <c r="B227" s="7">
        <v>4021</v>
      </c>
      <c r="C227" s="21" t="s">
        <v>202</v>
      </c>
      <c r="D227" s="21" t="s">
        <v>911</v>
      </c>
      <c r="E227" s="13">
        <v>42900.138738425929</v>
      </c>
      <c r="F227" s="13">
        <v>42900.140023148146</v>
      </c>
      <c r="G227" s="7">
        <v>1</v>
      </c>
      <c r="H227" s="21" t="s">
        <v>582</v>
      </c>
      <c r="I227" s="13">
        <v>42900.14099537037</v>
      </c>
      <c r="J227" s="7">
        <v>2</v>
      </c>
      <c r="K227" s="89" t="str">
        <f t="shared" si="70"/>
        <v>4021/4022</v>
      </c>
      <c r="L227" s="21" t="str">
        <f>VLOOKUP(A227,'Trips&amp;Operators'!$C$1:$G$99999,5,FALSE)</f>
        <v>SPECTOR MICHAEL</v>
      </c>
      <c r="M227" s="6">
        <f t="shared" si="71"/>
        <v>9.7222222393611446E-4</v>
      </c>
      <c r="N227" s="7">
        <f t="shared" si="67"/>
        <v>1.4000000024680048</v>
      </c>
      <c r="O227" s="7"/>
      <c r="P227" s="7"/>
      <c r="Q227" s="22"/>
      <c r="R227" s="170"/>
      <c r="S227" s="215">
        <f t="shared" si="84"/>
        <v>0</v>
      </c>
      <c r="T227" s="195" t="str">
        <f t="shared" si="72"/>
        <v>Southbound</v>
      </c>
      <c r="U227" s="19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6" t="str">
        <f t="shared" si="73"/>
        <v>https://d0f6bd738d7f1b3e5a7ca70fe4ff75f0.us-east-1.aws.found.io/app/kibana#/discover/Steve-Slow-Train-Analysis-(2080s-and-2083s)?_g=(refreshInterval:(display:Off,pause:!f,section:0,value:0),time:(from:'2017-06-14T02:19:47-0600',mode:absolute,to:'2017-06-14T04:23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7" s="197" t="str">
        <f>IF(AA227&lt;VLOOKUP(AG227,Variables!$AC$3:$AD$8,2,FALSE),"Y","N")</f>
        <v>Y</v>
      </c>
      <c r="X227" s="197">
        <f t="shared" si="74"/>
        <v>1</v>
      </c>
      <c r="Y227" s="197">
        <f t="shared" si="68"/>
        <v>0.3236</v>
      </c>
      <c r="Z227" s="197">
        <f t="shared" si="69"/>
        <v>0.1162</v>
      </c>
      <c r="AA227" s="197">
        <f t="shared" si="75"/>
        <v>0.2074</v>
      </c>
      <c r="AB227" s="54" t="e">
        <f>VLOOKUP(A227,Enforcements!$C$7:$K$13,8,0)</f>
        <v>#N/A</v>
      </c>
      <c r="AC227" s="51" t="e">
        <f>VLOOKUP(A227,Enforcements!$C$7:$E$13,3,0)</f>
        <v>#N/A</v>
      </c>
      <c r="AD227" s="206">
        <f t="shared" si="76"/>
        <v>52</v>
      </c>
      <c r="AE227" s="77" t="str">
        <f t="shared" si="77"/>
        <v>aws s3 cp s3://rtdc.mdm.uploadarchive.raw/RTDC4021/ "%USERPROFILE%\AppData\Local\Temp\OnboardLogs"\RTDC4021\2017-06-14 --exclude "*" --recursive --include "*20170614*" &amp; "%USERPROFILE%\Documents\GitHub\mrs-test-scripts\Headless Mode &amp; Sideloading\WalkAndUnGZ.bat" "%USERPROFILE%\AppData\Local\Temp\OnboardLogs"\RTDC4021\2017-06-14 &amp; aws s3 cp s3://rtdc.mdm.uploadarchive.raw/RTDC4021/ "%USERPROFILE%\AppData\Local\Temp\OnboardLogs"\RTDC4021\2017-06-15 --exclude "*" --recursive --include "*20170615*" &amp; "%USERPROFILE%\Documents\GitHub\mrs-test-scripts\Headless Mode &amp; Sideloading\WalkAndUnGZ.bat" "%USERPROFILE%\AppData\Local\Temp\OnboardLogs"\RTDC4021\2017-06-15</v>
      </c>
      <c r="AF227" s="74" t="str">
        <f t="shared" si="78"/>
        <v>"C:\Program Files (x86)\AstroGrep\AstroGrep.exe" /e /r /s /spath="%USERPROFILE%\AppData\Local\Temp\OnboardLogs" /stypes="app*4021*20170614*" /stext=" 09:.+((SYSTEM_STATE.+slice.+state.+changed )|(ment ac)|(multiple cpu faults)|(system.+state.+changed )|(\[timeout)|(PRM\|1\|D)|(kpr)|(kdp)|(train st.+moving)|(\|lc)|(penalty))"</v>
      </c>
      <c r="AG227" s="209" t="str">
        <f t="shared" si="83"/>
        <v>Shuttle/Test</v>
      </c>
      <c r="AH227" s="78" t="str">
        <f t="shared" si="79"/>
        <v>"%USERPROFILE%\Documents\GitHub\eaglep3\Utilities\RefineRTDCRunTimes.py" --tripid 52-14 --locoid 4021 --swversion DE.1.0.9.0 --startMP 204:3236 --initTime 2017-06-14T03:19:47 --startdatetime 2017-06-14T03:21:38 --delay 1 --endMP 204:1162 --enddatetime 2017-06-14T03:23:02 --enforcementcount 2 &gt;&gt;C:\Users\stu\Documents\GitHub\eaglep3-reporting\EC\2017-06-14-refined-times.txt</v>
      </c>
      <c r="AI227" s="96" t="str">
        <f t="shared" si="80"/>
        <v>echo {"issue":{"subject":"","project_id":79,"tracker_id":40,"status_id":1,"priority_id":2,"assigned_to_id":23,"start_date":"2017-06-14","description":"","custom_fields":[{"id":1,"name":"Subdivision","value":"Shuttle/Test"},{"id":4,"name":"Milepost","value":"0.1162"},{"id":17,"name":"Train ID","value":"52-14"},{"id":16,"name":"Locomotive ID","value":"4021"},{"id":130,"name":"Impact","value":""},{"id":150,"name":"Time of Event (Mountain Time)","value":"03:23:02"},{"id":151,"name":"Denver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 t="shared" si="81"/>
        <v>start /low /b %USERPROFILE%\Documents\GitHub\eaglep3\Utilities\DownloadLogsFromS3.py --loco 4021 --day 2017-06-14</v>
      </c>
      <c r="AN227" s="151" t="str">
        <f t="shared" si="82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09:23:02"},{"id":29,"name":"Sharepoint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1" x14ac:dyDescent="0.25">
      <c r="A228" s="32" t="s">
        <v>733</v>
      </c>
      <c r="B228" s="7">
        <v>4030</v>
      </c>
      <c r="C228" s="21" t="s">
        <v>202</v>
      </c>
      <c r="D228" s="21" t="s">
        <v>583</v>
      </c>
      <c r="E228" s="13">
        <v>42900.474247685182</v>
      </c>
      <c r="F228" s="13">
        <v>42900.477916666663</v>
      </c>
      <c r="G228" s="7">
        <v>1</v>
      </c>
      <c r="H228" s="21" t="s">
        <v>912</v>
      </c>
      <c r="I228" s="13">
        <v>42900.485555555555</v>
      </c>
      <c r="J228" s="7">
        <v>2</v>
      </c>
      <c r="K228" s="89" t="str">
        <f t="shared" si="70"/>
        <v>4029/4030</v>
      </c>
      <c r="L228" s="21" t="str">
        <f>VLOOKUP(A228,'Trips&amp;Operators'!$C$1:$G$99999,5,FALSE)</f>
        <v>STARKS ANGELINA</v>
      </c>
      <c r="M228" s="6">
        <f t="shared" si="71"/>
        <v>7.6388888919609599E-3</v>
      </c>
      <c r="N228" s="7">
        <f t="shared" si="67"/>
        <v>11.000000004423782</v>
      </c>
      <c r="O228" s="7"/>
      <c r="P228" s="7"/>
      <c r="Q228" s="22"/>
      <c r="R228" s="170"/>
      <c r="S228" s="215">
        <f t="shared" si="84"/>
        <v>1</v>
      </c>
      <c r="T228" s="195" t="str">
        <f t="shared" si="72"/>
        <v>NorthBound</v>
      </c>
      <c r="U228" s="19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1</v>
      </c>
      <c r="V228" s="196" t="str">
        <f t="shared" si="73"/>
        <v>https://d0f6bd738d7f1b3e5a7ca70fe4ff75f0.us-east-1.aws.found.io/app/kibana#/discover/Steve-Slow-Train-Analysis-(2080s-and-2083s)?_g=(refreshInterval:(display:Off,pause:!f,section:0,value:0),time:(from:'2017-06-14T10:22:55-0600',mode:absolute,to:'2017-06-14T12:39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28" s="197" t="str">
        <f>IF(AA228&lt;VLOOKUP(AG228,Variables!$AC$3:$AD$8,2,FALSE),"Y","N")</f>
        <v>Y</v>
      </c>
      <c r="X228" s="197">
        <f t="shared" si="74"/>
        <v>3</v>
      </c>
      <c r="Y228" s="197">
        <f t="shared" si="68"/>
        <v>0.11749999999999999</v>
      </c>
      <c r="Z228" s="197">
        <f t="shared" si="69"/>
        <v>2.4203000000000001</v>
      </c>
      <c r="AA228" s="197">
        <f t="shared" si="75"/>
        <v>2.3028</v>
      </c>
      <c r="AB228" s="54" t="e">
        <f>VLOOKUP(A228,Enforcements!$C$7:$K$13,8,0)</f>
        <v>#N/A</v>
      </c>
      <c r="AC228" s="51" t="e">
        <f>VLOOKUP(A228,Enforcements!$C$7:$E$13,3,0)</f>
        <v>#N/A</v>
      </c>
      <c r="AD228" s="206">
        <f t="shared" si="76"/>
        <v>55</v>
      </c>
      <c r="AE228" s="77" t="str">
        <f t="shared" si="77"/>
        <v>aws s3 cp s3://rtdc.mdm.uploadarchive.raw/RTDC4030/ "%USERPROFILE%\AppData\Local\Temp\OnboardLogs"\RTDC4030\2017-06-14 --exclude "*" --recursive --include "*20170614*" &amp; "%USERPROFILE%\Documents\GitHub\mrs-test-scripts\Headless Mode &amp; Sideloading\WalkAndUnGZ.bat" "%USERPROFILE%\AppData\Local\Temp\OnboardLogs"\RTDC4030\2017-06-14 &amp; aws s3 cp s3://rtdc.mdm.uploadarchive.raw/RTDC4030/ "%USERPROFILE%\AppData\Local\Temp\OnboardLogs"\RTDC4030\2017-06-15 --exclude "*" --recursive --include "*20170615*" &amp; "%USERPROFILE%\Documents\GitHub\mrs-test-scripts\Headless Mode &amp; Sideloading\WalkAndUnGZ.bat" "%USERPROFILE%\AppData\Local\Temp\OnboardLogs"\RTDC4030\2017-06-15</v>
      </c>
      <c r="AF228" s="74" t="str">
        <f t="shared" si="78"/>
        <v>"C:\Program Files (x86)\AstroGrep\AstroGrep.exe" /e /r /s /spath="%USERPROFILE%\AppData\Local\Temp\OnboardLogs" /stypes="app*4030*20170614*" /stext=" 17:.+((SYSTEM_STATE.+slice.+state.+changed )|(ment ac)|(multiple cpu faults)|(system.+state.+changed )|(\[timeout)|(PRM\|1\|D)|(kpr)|(kdp)|(train st.+moving)|(\|lc)|(penalty))"</v>
      </c>
      <c r="AG228" s="209" t="str">
        <f t="shared" si="83"/>
        <v>Shuttle/Test</v>
      </c>
      <c r="AH228" s="78" t="str">
        <f t="shared" si="79"/>
        <v>"%USERPROFILE%\Documents\GitHub\eaglep3\Utilities\RefineRTDCRunTimes.py" --tripid 55-14 --locoid 4030 --swversion DE.1.0.9.0 --startMP 204:1175 --initTime 2017-06-14T11:22:55 --startdatetime 2017-06-14T11:28:12 --delay 1 --endMP 300:24203 --enddatetime 2017-06-14T11:39:12 --enforcementcount 2 &gt;&gt;C:\Users\stu\Documents\GitHub\eaglep3-reporting\EC\2017-06-14-refined-times.txt</v>
      </c>
      <c r="AI228" s="96" t="str">
        <f t="shared" si="80"/>
        <v>echo {"issue":{"subject":"","project_id":79,"tracker_id":40,"status_id":1,"priority_id":2,"assigned_to_id":23,"start_date":"2017-06-14","description":"","custom_fields":[{"id":1,"name":"Subdivision","value":"Shuttle/Test"},{"id":4,"name":"Milepost","value":"2.4203"},{"id":17,"name":"Train ID","value":"55-14"},{"id":16,"name":"Locomotive ID","value":"4030"},{"id":130,"name":"Impact","value":""},{"id":150,"name":"Time of Event (Mountain Time)","value":"11:39:12"},{"id":151,"name":"Denver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81"/>
        <v>start /low /b %USERPROFILE%\Documents\GitHub\eaglep3\Utilities\DownloadLogsFromS3.py --loco 4030 --day 2017-06-14</v>
      </c>
      <c r="AN228" s="151" t="str">
        <f t="shared" si="82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17:39:12"},{"id":29,"name":"Sharepoint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1" x14ac:dyDescent="0.25">
      <c r="A229" s="32" t="s">
        <v>711</v>
      </c>
      <c r="B229" s="7">
        <v>4054</v>
      </c>
      <c r="C229" s="21" t="s">
        <v>202</v>
      </c>
      <c r="D229" s="21" t="s">
        <v>913</v>
      </c>
      <c r="E229" s="13">
        <v>42900.388136574074</v>
      </c>
      <c r="F229" s="13">
        <v>42900.390706018516</v>
      </c>
      <c r="G229" s="7">
        <v>3</v>
      </c>
      <c r="H229" s="21" t="s">
        <v>914</v>
      </c>
      <c r="I229" s="13">
        <v>42900.393182870372</v>
      </c>
      <c r="J229" s="7">
        <v>2</v>
      </c>
      <c r="K229" s="89" t="str">
        <f t="shared" si="70"/>
        <v>4053/4054</v>
      </c>
      <c r="L229" s="21" t="str">
        <f>VLOOKUP(A229,'Trips&amp;Operators'!$C$1:$G$99999,5,FALSE)</f>
        <v>GRASTON MATHEU</v>
      </c>
      <c r="M229" s="6">
        <f t="shared" si="71"/>
        <v>2.4768518560449593E-3</v>
      </c>
      <c r="N229" s="7">
        <f t="shared" si="67"/>
        <v>3.5666666727047414</v>
      </c>
      <c r="O229" s="7"/>
      <c r="P229" s="7"/>
      <c r="Q229" s="22"/>
      <c r="R229" s="170"/>
      <c r="S229" s="215">
        <f t="shared" si="84"/>
        <v>0</v>
      </c>
      <c r="T229" s="195" t="str">
        <f t="shared" si="72"/>
        <v>Southbound</v>
      </c>
      <c r="U229" s="19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6" t="str">
        <f t="shared" si="73"/>
        <v>https://d0f6bd738d7f1b3e5a7ca70fe4ff75f0.us-east-1.aws.found.io/app/kibana#/discover/Steve-Slow-Train-Analysis-(2080s-and-2083s)?_g=(refreshInterval:(display:Off,pause:!f,section:0,value:0),time:(from:'2017-06-14T08:18:55-0600',mode:absolute,to:'2017-06-14T10:26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29" s="197" t="str">
        <f>IF(AA229&lt;VLOOKUP(AG229,Variables!$AC$3:$AD$8,2,FALSE),"Y","N")</f>
        <v>Y</v>
      </c>
      <c r="X229" s="197">
        <f t="shared" si="74"/>
        <v>1</v>
      </c>
      <c r="Y229" s="197">
        <f t="shared" si="68"/>
        <v>2.972</v>
      </c>
      <c r="Z229" s="197">
        <f t="shared" si="69"/>
        <v>3.9565999999999999</v>
      </c>
      <c r="AA229" s="197">
        <f t="shared" si="75"/>
        <v>0.98459999999999992</v>
      </c>
      <c r="AB229" s="54" t="e">
        <f>VLOOKUP(A229,Enforcements!$C$7:$K$13,8,0)</f>
        <v>#N/A</v>
      </c>
      <c r="AC229" s="51" t="e">
        <f>VLOOKUP(A229,Enforcements!$C$7:$E$13,3,0)</f>
        <v>#N/A</v>
      </c>
      <c r="AD229" s="206">
        <f t="shared" si="76"/>
        <v>56</v>
      </c>
      <c r="AE229" s="77" t="str">
        <f t="shared" si="77"/>
        <v>aws s3 cp s3://rtdc.mdm.uploadarchive.raw/RTDC4054/ "%USERPROFILE%\AppData\Local\Temp\OnboardLogs"\RTDC4054\2017-06-14 --exclude "*" --recursive --include "*20170614*" &amp; "%USERPROFILE%\Documents\GitHub\mrs-test-scripts\Headless Mode &amp; Sideloading\WalkAndUnGZ.bat" "%USERPROFILE%\AppData\Local\Temp\OnboardLogs"\RTDC4054\2017-06-14 &amp; aws s3 cp s3://rtdc.mdm.uploadarchive.raw/RTDC4054/ "%USERPROFILE%\AppData\Local\Temp\OnboardLogs"\RTDC4054\2017-06-15 --exclude "*" --recursive --include "*20170615*" &amp; "%USERPROFILE%\Documents\GitHub\mrs-test-scripts\Headless Mode &amp; Sideloading\WalkAndUnGZ.bat" "%USERPROFILE%\AppData\Local\Temp\OnboardLogs"\RTDC4054\2017-06-15</v>
      </c>
      <c r="AF229" s="74" t="str">
        <f t="shared" si="78"/>
        <v>"C:\Program Files (x86)\AstroGrep\AstroGrep.exe" /e /r /s /spath="%USERPROFILE%\AppData\Local\Temp\OnboardLogs" /stypes="app*4054*20170614*" /stext=" 15:.+((SYSTEM_STATE.+slice.+state.+changed )|(ment ac)|(multiple cpu faults)|(system.+state.+changed )|(\[timeout)|(PRM\|1\|D)|(kpr)|(kdp)|(train st.+moving)|(\|lc)|(penalty))"</v>
      </c>
      <c r="AG229" s="209" t="str">
        <f t="shared" si="83"/>
        <v>Shuttle/Test</v>
      </c>
      <c r="AH229" s="78" t="str">
        <f t="shared" si="79"/>
        <v>"%USERPROFILE%\Documents\GitHub\eaglep3\Utilities\RefineRTDCRunTimes.py" --tripid 56-14 --locoid 4054 --swversion DE.1.0.9.0 --startMP 300:29720 --initTime 2017-06-14T09:18:55 --startdatetime 2017-06-14T09:22:37 --delay 3 --endMP 300:39566 --enddatetime 2017-06-14T09:26:11 --enforcementcount 2 &gt;&gt;C:\Users\stu\Documents\GitHub\eaglep3-reporting\EC\2017-06-14-refined-times.txt</v>
      </c>
      <c r="AI229" s="96" t="str">
        <f t="shared" si="80"/>
        <v>echo {"issue":{"subject":"","project_id":79,"tracker_id":40,"status_id":1,"priority_id":2,"assigned_to_id":23,"start_date":"2017-06-14","description":"","custom_fields":[{"id":1,"name":"Subdivision","value":"Shuttle/Test"},{"id":4,"name":"Milepost","value":"3.9566"},{"id":17,"name":"Train ID","value":"56-14"},{"id":16,"name":"Locomotive ID","value":"4054"},{"id":130,"name":"Impact","value":""},{"id":150,"name":"Time of Event (Mountain Time)","value":"09:26:11"},{"id":151,"name":"Denver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81"/>
        <v>start /low /b %USERPROFILE%\Documents\GitHub\eaglep3\Utilities\DownloadLogsFromS3.py --loco 4054 --day 2017-06-14</v>
      </c>
      <c r="AN229" s="151" t="str">
        <f t="shared" si="82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15:26:11"},{"id":29,"name":"Sharepoint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1" x14ac:dyDescent="0.25">
      <c r="A230" s="32" t="s">
        <v>621</v>
      </c>
      <c r="B230" s="7">
        <v>4029</v>
      </c>
      <c r="C230" s="21" t="s">
        <v>202</v>
      </c>
      <c r="D230" s="21" t="s">
        <v>915</v>
      </c>
      <c r="E230" s="13">
        <v>42900.44494212963</v>
      </c>
      <c r="F230" s="13">
        <v>42900.451782407406</v>
      </c>
      <c r="G230" s="7">
        <v>9</v>
      </c>
      <c r="H230" s="21" t="s">
        <v>916</v>
      </c>
      <c r="I230" s="13">
        <v>42900.457395833335</v>
      </c>
      <c r="J230" s="7">
        <v>2</v>
      </c>
      <c r="K230" s="89" t="str">
        <f t="shared" si="70"/>
        <v>4029/4030</v>
      </c>
      <c r="L230" s="21" t="str">
        <f>VLOOKUP(A230,'Trips&amp;Operators'!$C$1:$G$99999,5,FALSE)</f>
        <v>DE LA ROSA ALEX</v>
      </c>
      <c r="M230" s="6">
        <f t="shared" si="71"/>
        <v>5.6134259284590371E-3</v>
      </c>
      <c r="N230" s="7">
        <f t="shared" si="67"/>
        <v>8.0833333369810134</v>
      </c>
      <c r="O230" s="7"/>
      <c r="P230" s="7"/>
      <c r="Q230" s="22"/>
      <c r="R230" s="170"/>
      <c r="S230" s="215">
        <f t="shared" si="84"/>
        <v>1</v>
      </c>
      <c r="T230" s="195" t="str">
        <f t="shared" si="72"/>
        <v>Southbound</v>
      </c>
      <c r="U230" s="19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1</v>
      </c>
      <c r="V230" s="196" t="str">
        <f t="shared" si="73"/>
        <v>https://d0f6bd738d7f1b3e5a7ca70fe4ff75f0.us-east-1.aws.found.io/app/kibana#/discover/Steve-Slow-Train-Analysis-(2080s-and-2083s)?_g=(refreshInterval:(display:Off,pause:!f,section:0,value:0),time:(from:'2017-06-14T09:40:43-0600',mode:absolute,to:'2017-06-14T11:58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30" s="197" t="str">
        <f>IF(AA230&lt;VLOOKUP(AG230,Variables!$AC$3:$AD$8,2,FALSE),"Y","N")</f>
        <v>Y</v>
      </c>
      <c r="X230" s="197">
        <f t="shared" si="74"/>
        <v>2</v>
      </c>
      <c r="Y230" s="197">
        <f t="shared" si="68"/>
        <v>2.3519000000000001</v>
      </c>
      <c r="Z230" s="197">
        <f t="shared" si="69"/>
        <v>8.5900000000000004E-2</v>
      </c>
      <c r="AA230" s="197">
        <f t="shared" si="75"/>
        <v>2.266</v>
      </c>
      <c r="AB230" s="54" t="e">
        <f>VLOOKUP(A230,Enforcements!$C$7:$K$13,8,0)</f>
        <v>#N/A</v>
      </c>
      <c r="AC230" s="51" t="e">
        <f>VLOOKUP(A230,Enforcements!$C$7:$E$13,3,0)</f>
        <v>#N/A</v>
      </c>
      <c r="AD230" s="206">
        <f t="shared" si="76"/>
        <v>58</v>
      </c>
      <c r="AE230" s="77" t="str">
        <f t="shared" si="77"/>
        <v>aws s3 cp s3://rtdc.mdm.uploadarchive.raw/RTDC4029/ "%USERPROFILE%\AppData\Local\Temp\OnboardLogs"\RTDC4029\2017-06-14 --exclude "*" --recursive --include "*20170614*" &amp; "%USERPROFILE%\Documents\GitHub\mrs-test-scripts\Headless Mode &amp; Sideloading\WalkAndUnGZ.bat" "%USERPROFILE%\AppData\Local\Temp\OnboardLogs"\RTDC4029\2017-06-14 &amp; aws s3 cp s3://rtdc.mdm.uploadarchive.raw/RTDC4029/ "%USERPROFILE%\AppData\Local\Temp\OnboardLogs"\RTDC4029\2017-06-15 --exclude "*" --recursive --include "*20170615*" &amp; "%USERPROFILE%\Documents\GitHub\mrs-test-scripts\Headless Mode &amp; Sideloading\WalkAndUnGZ.bat" "%USERPROFILE%\AppData\Local\Temp\OnboardLogs"\RTDC4029\2017-06-15</v>
      </c>
      <c r="AF230" s="74" t="str">
        <f t="shared" si="78"/>
        <v>"C:\Program Files (x86)\AstroGrep\AstroGrep.exe" /e /r /s /spath="%USERPROFILE%\AppData\Local\Temp\OnboardLogs" /stypes="app*4029*20170614*" /stext=" 16:.+((SYSTEM_STATE.+slice.+state.+changed )|(ment ac)|(multiple cpu faults)|(system.+state.+changed )|(\[timeout)|(PRM\|1\|D)|(kpr)|(kdp)|(train st.+moving)|(\|lc)|(penalty))"</v>
      </c>
      <c r="AG230" s="209" t="str">
        <f t="shared" si="83"/>
        <v>Shuttle/Test</v>
      </c>
      <c r="AH230" s="78" t="str">
        <f t="shared" si="79"/>
        <v>"%USERPROFILE%\Documents\GitHub\eaglep3\Utilities\RefineRTDCRunTimes.py" --tripid 58-14 --locoid 4029 --swversion DE.1.0.9.0 --startMP 300:23519 --initTime 2017-06-14T10:40:43 --startdatetime 2017-06-14T10:50:34 --delay 9 --endMP 204:859 --enddatetime 2017-06-14T10:58:39 --enforcementcount 2 &gt;&gt;C:\Users\stu\Documents\GitHub\eaglep3-reporting\EC\2017-06-14-refined-times.txt</v>
      </c>
      <c r="AI230" s="96" t="str">
        <f t="shared" si="80"/>
        <v>echo {"issue":{"subject":"","project_id":79,"tracker_id":40,"status_id":1,"priority_id":2,"assigned_to_id":23,"start_date":"2017-06-14","description":"","custom_fields":[{"id":1,"name":"Subdivision","value":"Shuttle/Test"},{"id":4,"name":"Milepost","value":"0.0859"},{"id":17,"name":"Train ID","value":"58-14"},{"id":16,"name":"Locomotive ID","value":"4029"},{"id":130,"name":"Impact","value":""},{"id":150,"name":"Time of Event (Mountain Time)","value":"10:58:39"},{"id":151,"name":"Denver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 t="shared" si="81"/>
        <v>start /low /b %USERPROFILE%\Documents\GitHub\eaglep3\Utilities\DownloadLogsFromS3.py --loco 4029 --day 2017-06-14</v>
      </c>
      <c r="AN230" s="151" t="str">
        <f t="shared" si="82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16:58:39"},{"id":29,"name":"Sharepoint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1" x14ac:dyDescent="0.25">
      <c r="A231" s="32" t="s">
        <v>804</v>
      </c>
      <c r="B231" s="7">
        <v>4031</v>
      </c>
      <c r="C231" s="21" t="s">
        <v>202</v>
      </c>
      <c r="D231" s="21" t="s">
        <v>917</v>
      </c>
      <c r="E231" s="13">
        <v>42900.755069444444</v>
      </c>
      <c r="F231" s="13">
        <v>42900.757986111108</v>
      </c>
      <c r="G231" s="7">
        <v>4</v>
      </c>
      <c r="H231" s="21" t="s">
        <v>918</v>
      </c>
      <c r="I231" s="13">
        <v>42900.766736111109</v>
      </c>
      <c r="J231" s="7">
        <v>2</v>
      </c>
      <c r="K231" s="89" t="str">
        <f t="shared" si="70"/>
        <v>4031/4032</v>
      </c>
      <c r="L231" s="21" t="str">
        <f>VLOOKUP(A231,'Trips&amp;Operators'!$C$1:$G$99999,5,FALSE)</f>
        <v>DUNCAN SHEILA</v>
      </c>
      <c r="M231" s="6">
        <f t="shared" si="71"/>
        <v>8.7500000008731149E-3</v>
      </c>
      <c r="N231" s="7">
        <f t="shared" si="67"/>
        <v>12.600000001257285</v>
      </c>
      <c r="O231" s="7"/>
      <c r="P231" s="7"/>
      <c r="Q231" s="22"/>
      <c r="R231" s="170"/>
      <c r="S231" s="215">
        <f t="shared" si="84"/>
        <v>1</v>
      </c>
      <c r="T231" s="195" t="str">
        <f t="shared" si="72"/>
        <v>Southbound</v>
      </c>
      <c r="U231" s="19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1</v>
      </c>
      <c r="V231" s="196" t="str">
        <f t="shared" si="73"/>
        <v>https://d0f6bd738d7f1b3e5a7ca70fe4ff75f0.us-east-1.aws.found.io/app/kibana#/discover/Steve-Slow-Train-Analysis-(2080s-and-2083s)?_g=(refreshInterval:(display:Off,pause:!f,section:0,value:0),time:(from:'2017-06-14T17:07:18-0600',mode:absolute,to:'2017-06-14T19:24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31" s="197" t="str">
        <f>IF(AA231&lt;VLOOKUP(AG231,Variables!$AC$3:$AD$8,2,FALSE),"Y","N")</f>
        <v>Y</v>
      </c>
      <c r="X231" s="197">
        <f t="shared" si="74"/>
        <v>14</v>
      </c>
      <c r="Y231" s="197">
        <f t="shared" si="68"/>
        <v>2.3391999999999999</v>
      </c>
      <c r="Z231" s="197">
        <f t="shared" si="69"/>
        <v>0.18640000000000001</v>
      </c>
      <c r="AA231" s="197">
        <f t="shared" si="75"/>
        <v>2.1528</v>
      </c>
      <c r="AB231" s="54" t="e">
        <f>VLOOKUP(A231,Enforcements!$C$7:$K$13,8,0)</f>
        <v>#N/A</v>
      </c>
      <c r="AC231" s="51" t="e">
        <f>VLOOKUP(A231,Enforcements!$C$7:$E$13,3,0)</f>
        <v>#N/A</v>
      </c>
      <c r="AD231" s="206">
        <f t="shared" si="76"/>
        <v>72</v>
      </c>
      <c r="AE231" s="77" t="str">
        <f t="shared" si="77"/>
        <v>aws s3 cp s3://rtdc.mdm.uploadarchive.raw/RTDC4031/ "%USERPROFILE%\AppData\Local\Temp\OnboardLogs"\RTDC4031\2017-06-14 --exclude "*" --recursive --include "*20170614*" &amp; "%USERPROFILE%\Documents\GitHub\mrs-test-scripts\Headless Mode &amp; Sideloading\WalkAndUnGZ.bat" "%USERPROFILE%\AppData\Local\Temp\OnboardLogs"\RTDC4031\2017-06-14 &amp; aws s3 cp s3://rtdc.mdm.uploadarchive.raw/RTDC4031/ "%USERPROFILE%\AppData\Local\Temp\OnboardLogs"\RTDC4031\2017-06-15 --exclude "*" --recursive --include "*20170615*" &amp; "%USERPROFILE%\Documents\GitHub\mrs-test-scripts\Headless Mode &amp; Sideloading\WalkAndUnGZ.bat" "%USERPROFILE%\AppData\Local\Temp\OnboardLogs"\RTDC4031\2017-06-15</v>
      </c>
      <c r="AF231" s="74" t="str">
        <f t="shared" si="78"/>
        <v>"C:\Program Files (x86)\AstroGrep\AstroGrep.exe" /e /r /s /spath="%USERPROFILE%\AppData\Local\Temp\OnboardLogs" /stypes="app*4031*20170615*" /stext=" 00:.+((SYSTEM_STATE.+slice.+state.+changed )|(ment ac)|(multiple cpu faults)|(system.+state.+changed )|(\[timeout)|(PRM\|1\|D)|(kpr)|(kdp)|(train st.+moving)|(\|lc)|(penalty))"</v>
      </c>
      <c r="AG231" s="209" t="str">
        <f t="shared" si="83"/>
        <v>Shuttle/Test</v>
      </c>
      <c r="AH231" s="78" t="str">
        <f t="shared" si="79"/>
        <v>"%USERPROFILE%\Documents\GitHub\eaglep3\Utilities\RefineRTDCRunTimes.py" --tripid 72-14 --locoid 4031 --swversion DE.1.0.9.0 --startMP 300:23392 --initTime 2017-06-14T18:07:18 --startdatetime 2017-06-14T18:11:30 --delay 4 --endMP 204:1864 --enddatetime 2017-06-14T18:24:06 --enforcementcount 2 &gt;&gt;C:\Users\stu\Documents\GitHub\eaglep3-reporting\EC\2017-06-14-refined-times.txt</v>
      </c>
      <c r="AI231" s="96" t="str">
        <f t="shared" si="80"/>
        <v>echo {"issue":{"subject":"","project_id":79,"tracker_id":40,"status_id":1,"priority_id":2,"assigned_to_id":23,"start_date":"2017-06-14","description":"","custom_fields":[{"id":1,"name":"Subdivision","value":"Shuttle/Test"},{"id":4,"name":"Milepost","value":"0.1864"},{"id":17,"name":"Train ID","value":"72-14"},{"id":16,"name":"Locomotive ID","value":"4031"},{"id":130,"name":"Impact","value":""},{"id":150,"name":"Time of Event (Mountain Time)","value":"18:24:06"},{"id":151,"name":"Denver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2" t="str">
        <f t="shared" si="81"/>
        <v>start /low /b %USERPROFILE%\Documents\GitHub\eaglep3\Utilities\DownloadLogsFromS3.py --loco 4031 --day 2017-06-14</v>
      </c>
      <c r="AN231" s="151" t="str">
        <f t="shared" si="82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00:24:06"},{"id":29,"name":"Sharepoint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2" spans="1:41" x14ac:dyDescent="0.25">
      <c r="A232" s="32" t="s">
        <v>789</v>
      </c>
      <c r="B232" s="7">
        <v>4022</v>
      </c>
      <c r="C232" s="21" t="s">
        <v>202</v>
      </c>
      <c r="D232" s="21" t="s">
        <v>919</v>
      </c>
      <c r="E232" s="13">
        <v>42900.707118055558</v>
      </c>
      <c r="F232" s="13">
        <v>42900.711099537039</v>
      </c>
      <c r="G232" s="7">
        <v>1</v>
      </c>
      <c r="H232" s="21" t="s">
        <v>920</v>
      </c>
      <c r="I232" s="13">
        <v>42900.718240740738</v>
      </c>
      <c r="J232" s="7">
        <v>2</v>
      </c>
      <c r="K232" s="89" t="str">
        <f t="shared" si="70"/>
        <v>4021/4022</v>
      </c>
      <c r="L232" s="21" t="str">
        <f>VLOOKUP(A232,'Trips&amp;Operators'!$C$1:$G$99999,5,FALSE)</f>
        <v>STORY SAMANTHA</v>
      </c>
      <c r="M232" s="6">
        <f t="shared" si="71"/>
        <v>7.1412036995752715E-3</v>
      </c>
      <c r="N232" s="7">
        <f t="shared" si="67"/>
        <v>10.283333327388391</v>
      </c>
      <c r="O232" s="7"/>
      <c r="P232" s="7"/>
      <c r="Q232" s="22"/>
      <c r="R232" s="170"/>
      <c r="S232" s="215">
        <f t="shared" si="84"/>
        <v>1</v>
      </c>
      <c r="T232" s="195" t="str">
        <f t="shared" si="72"/>
        <v>NorthBound</v>
      </c>
      <c r="U232" s="19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196" t="str">
        <f t="shared" si="73"/>
        <v>https://d0f6bd738d7f1b3e5a7ca70fe4ff75f0.us-east-1.aws.found.io/app/kibana#/discover/Steve-Slow-Train-Analysis-(2080s-and-2083s)?_g=(refreshInterval:(display:Off,pause:!f,section:0,value:0),time:(from:'2017-06-14T15:58:15-0600',mode:absolute,to:'2017-06-14T18:14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32" s="197" t="str">
        <f>IF(AA232&lt;VLOOKUP(AG232,Variables!$AC$3:$AD$8,2,FALSE),"Y","N")</f>
        <v>Y</v>
      </c>
      <c r="X232" s="197">
        <f t="shared" si="74"/>
        <v>1</v>
      </c>
      <c r="Y232" s="197">
        <f t="shared" si="68"/>
        <v>0.14749999999999999</v>
      </c>
      <c r="Z232" s="197">
        <f t="shared" si="69"/>
        <v>2.3313999999999999</v>
      </c>
      <c r="AA232" s="197">
        <f t="shared" si="75"/>
        <v>2.1839</v>
      </c>
      <c r="AB232" s="54" t="e">
        <f>VLOOKUP(A232,Enforcements!$C$7:$K$13,8,0)</f>
        <v>#N/A</v>
      </c>
      <c r="AC232" s="51" t="e">
        <f>VLOOKUP(A232,Enforcements!$C$7:$E$13,3,0)</f>
        <v>#N/A</v>
      </c>
      <c r="AD232" s="206">
        <f t="shared" si="76"/>
        <v>73</v>
      </c>
      <c r="AE232" s="77" t="str">
        <f t="shared" si="77"/>
        <v>aws s3 cp s3://rtdc.mdm.uploadarchive.raw/RTDC4022/ "%USERPROFILE%\AppData\Local\Temp\OnboardLogs"\RTDC4022\2017-06-14 --exclude "*" --recursive --include "*20170614*" &amp; "%USERPROFILE%\Documents\GitHub\mrs-test-scripts\Headless Mode &amp; Sideloading\WalkAndUnGZ.bat" "%USERPROFILE%\AppData\Local\Temp\OnboardLogs"\RTDC4022\2017-06-14 &amp; aws s3 cp s3://rtdc.mdm.uploadarchive.raw/RTDC4022/ "%USERPROFILE%\AppData\Local\Temp\OnboardLogs"\RTDC4022\2017-06-15 --exclude "*" --recursive --include "*20170615*" &amp; "%USERPROFILE%\Documents\GitHub\mrs-test-scripts\Headless Mode &amp; Sideloading\WalkAndUnGZ.bat" "%USERPROFILE%\AppData\Local\Temp\OnboardLogs"\RTDC4022\2017-06-15</v>
      </c>
      <c r="AF232" s="74" t="str">
        <f t="shared" si="78"/>
        <v>"C:\Program Files (x86)\AstroGrep\AstroGrep.exe" /e /r /s /spath="%USERPROFILE%\AppData\Local\Temp\OnboardLogs" /stypes="app*4022*20170614*" /stext=" 23:.+((SYSTEM_STATE.+slice.+state.+changed )|(ment ac)|(multiple cpu faults)|(system.+state.+changed )|(\[timeout)|(PRM\|1\|D)|(kpr)|(kdp)|(train st.+moving)|(\|lc)|(penalty))"</v>
      </c>
      <c r="AG232" s="209" t="str">
        <f t="shared" si="83"/>
        <v>Shuttle/Test</v>
      </c>
      <c r="AH232" s="78" t="str">
        <f t="shared" si="79"/>
        <v>"%USERPROFILE%\Documents\GitHub\eaglep3\Utilities\RefineRTDCRunTimes.py" --tripid 73-14 --locoid 4022 --swversion DE.1.0.9.0 --startMP 204:1475 --initTime 2017-06-14T16:58:15 --startdatetime 2017-06-14T17:03:59 --delay 1 --endMP 300:23314 --enddatetime 2017-06-14T17:14:16 --enforcementcount 2 &gt;&gt;C:\Users\stu\Documents\GitHub\eaglep3-reporting\EC\2017-06-14-refined-times.txt</v>
      </c>
      <c r="AI232" s="96" t="str">
        <f t="shared" si="80"/>
        <v>echo {"issue":{"subject":"","project_id":79,"tracker_id":40,"status_id":1,"priority_id":2,"assigned_to_id":23,"start_date":"2017-06-14","description":"","custom_fields":[{"id":1,"name":"Subdivision","value":"Shuttle/Test"},{"id":4,"name":"Milepost","value":"2.3314"},{"id":17,"name":"Train ID","value":"73-14"},{"id":16,"name":"Locomotive ID","value":"4022"},{"id":130,"name":"Impact","value":""},{"id":150,"name":"Time of Event (Mountain Time)","value":"17:14:16"},{"id":151,"name":"Denver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2" t="str">
        <f t="shared" si="81"/>
        <v>start /low /b %USERPROFILE%\Documents\GitHub\eaglep3\Utilities\DownloadLogsFromS3.py --loco 4022 --day 2017-06-14</v>
      </c>
      <c r="AN232" s="151" t="str">
        <f t="shared" si="82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23:14:16"},{"id":29,"name":"Sharepoint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3" spans="1:41" x14ac:dyDescent="0.25">
      <c r="A233" s="32" t="s">
        <v>795</v>
      </c>
      <c r="B233" s="7">
        <v>4028</v>
      </c>
      <c r="C233" s="21" t="s">
        <v>202</v>
      </c>
      <c r="D233" s="21" t="s">
        <v>921</v>
      </c>
      <c r="E233" s="13">
        <v>42900.730763888889</v>
      </c>
      <c r="F233" s="13">
        <v>42900.736446759256</v>
      </c>
      <c r="G233" s="7">
        <v>2</v>
      </c>
      <c r="H233" s="21" t="s">
        <v>906</v>
      </c>
      <c r="I233" s="13">
        <v>42900.74422453704</v>
      </c>
      <c r="J233" s="7">
        <v>2</v>
      </c>
      <c r="K233" s="89" t="str">
        <f t="shared" si="70"/>
        <v>4027/4028</v>
      </c>
      <c r="L233" s="21" t="str">
        <f>VLOOKUP(A233,'Trips&amp;Operators'!$C$1:$G$99999,5,FALSE)</f>
        <v>BERLING GARY</v>
      </c>
      <c r="M233" s="6">
        <f t="shared" si="71"/>
        <v>7.7777777842129581E-3</v>
      </c>
      <c r="N233" s="7">
        <f t="shared" si="67"/>
        <v>11.20000000926666</v>
      </c>
      <c r="O233" s="7"/>
      <c r="P233" s="7"/>
      <c r="Q233" s="22"/>
      <c r="R233" s="170"/>
      <c r="S233" s="215">
        <f t="shared" si="84"/>
        <v>1</v>
      </c>
      <c r="T233" s="195" t="str">
        <f t="shared" si="72"/>
        <v>NorthBound</v>
      </c>
      <c r="U233" s="19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1</v>
      </c>
      <c r="V233" s="196" t="str">
        <f t="shared" si="73"/>
        <v>https://d0f6bd738d7f1b3e5a7ca70fe4ff75f0.us-east-1.aws.found.io/app/kibana#/discover/Steve-Slow-Train-Analysis-(2080s-and-2083s)?_g=(refreshInterval:(display:Off,pause:!f,section:0,value:0),time:(from:'2017-06-14T16:32:18-0600',mode:absolute,to:'2017-06-14T18:51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33" s="197" t="str">
        <f>IF(AA233&lt;VLOOKUP(AG233,Variables!$AC$3:$AD$8,2,FALSE),"Y","N")</f>
        <v>Y</v>
      </c>
      <c r="X233" s="197">
        <f t="shared" si="74"/>
        <v>2</v>
      </c>
      <c r="Y233" s="197">
        <f t="shared" si="68"/>
        <v>0.1137</v>
      </c>
      <c r="Z233" s="197">
        <f t="shared" si="69"/>
        <v>2.331</v>
      </c>
      <c r="AA233" s="197">
        <f t="shared" si="75"/>
        <v>2.2172999999999998</v>
      </c>
      <c r="AB233" s="54" t="e">
        <f>VLOOKUP(A233,Enforcements!$C$7:$K$13,8,0)</f>
        <v>#N/A</v>
      </c>
      <c r="AC233" s="51" t="e">
        <f>VLOOKUP(A233,Enforcements!$C$7:$E$13,3,0)</f>
        <v>#N/A</v>
      </c>
      <c r="AD233" s="206">
        <f t="shared" si="76"/>
        <v>75</v>
      </c>
      <c r="AE233" s="77" t="str">
        <f t="shared" si="77"/>
        <v>aws s3 cp s3://rtdc.mdm.uploadarchive.raw/RTDC4028/ "%USERPROFILE%\AppData\Local\Temp\OnboardLogs"\RTDC4028\2017-06-14 --exclude "*" --recursive --include "*20170614*" &amp; "%USERPROFILE%\Documents\GitHub\mrs-test-scripts\Headless Mode &amp; Sideloading\WalkAndUnGZ.bat" "%USERPROFILE%\AppData\Local\Temp\OnboardLogs"\RTDC4028\2017-06-14 &amp; aws s3 cp s3://rtdc.mdm.uploadarchive.raw/RTDC4028/ "%USERPROFILE%\AppData\Local\Temp\OnboardLogs"\RTDC4028\2017-06-15 --exclude "*" --recursive --include "*20170615*" &amp; "%USERPROFILE%\Documents\GitHub\mrs-test-scripts\Headless Mode &amp; Sideloading\WalkAndUnGZ.bat" "%USERPROFILE%\AppData\Local\Temp\OnboardLogs"\RTDC4028\2017-06-15</v>
      </c>
      <c r="AF233" s="74" t="str">
        <f t="shared" si="78"/>
        <v>"C:\Program Files (x86)\AstroGrep\AstroGrep.exe" /e /r /s /spath="%USERPROFILE%\AppData\Local\Temp\OnboardLogs" /stypes="app*4028*20170614*" /stext=" 23:.+((SYSTEM_STATE.+slice.+state.+changed )|(ment ac)|(multiple cpu faults)|(system.+state.+changed )|(\[timeout)|(PRM\|1\|D)|(kpr)|(kdp)|(train st.+moving)|(\|lc)|(penalty))"</v>
      </c>
      <c r="AG233" s="209" t="str">
        <f t="shared" si="83"/>
        <v>Shuttle/Test</v>
      </c>
      <c r="AH233" s="78" t="str">
        <f t="shared" si="79"/>
        <v>"%USERPROFILE%\Documents\GitHub\eaglep3\Utilities\RefineRTDCRunTimes.py" --tripid 75-14 --locoid 4028 --swversion DE.1.0.9.0 --startMP 204:1137 --initTime 2017-06-14T17:32:18 --startdatetime 2017-06-14T17:40:29 --delay 2 --endMP 300:23310 --enddatetime 2017-06-14T17:51:41 --enforcementcount 2 &gt;&gt;C:\Users\stu\Documents\GitHub\eaglep3-reporting\EC\2017-06-14-refined-times.txt</v>
      </c>
      <c r="AI233" s="96" t="str">
        <f t="shared" si="80"/>
        <v>echo {"issue":{"subject":"","project_id":79,"tracker_id":40,"status_id":1,"priority_id":2,"assigned_to_id":23,"start_date":"2017-06-14","description":"","custom_fields":[{"id":1,"name":"Subdivision","value":"Shuttle/Test"},{"id":4,"name":"Milepost","value":"2.331"},{"id":17,"name":"Train ID","value":"75-14"},{"id":16,"name":"Locomotive ID","value":"4028"},{"id":130,"name":"Impact","value":""},{"id":150,"name":"Time of Event (Mountain Time)","value":"17:51:41"},{"id":151,"name":"Denver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2" t="str">
        <f t="shared" si="81"/>
        <v>start /low /b %USERPROFILE%\Documents\GitHub\eaglep3\Utilities\DownloadLogsFromS3.py --loco 4028 --day 2017-06-14</v>
      </c>
      <c r="AN233" s="151" t="str">
        <f t="shared" si="82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23:51:41"},{"id":29,"name":"Sharepoint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4" spans="1:4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R234"/>
      <c r="S234" s="172"/>
      <c r="T234"/>
      <c r="U234"/>
      <c r="V234"/>
      <c r="W234"/>
      <c r="X234"/>
      <c r="Y234"/>
      <c r="Z234"/>
      <c r="AA234"/>
      <c r="AB234"/>
      <c r="AC234"/>
      <c r="AE234"/>
      <c r="AF234"/>
      <c r="AH234"/>
      <c r="AI234"/>
      <c r="AM234"/>
    </row>
    <row r="235" spans="1:41" s="20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 s="172"/>
      <c r="T235"/>
      <c r="U235"/>
      <c r="V235"/>
      <c r="W235"/>
      <c r="X235"/>
      <c r="Y235"/>
      <c r="Z235"/>
      <c r="AA235"/>
      <c r="AB235"/>
      <c r="AC235"/>
      <c r="AD235" s="2"/>
      <c r="AE235"/>
      <c r="AF235"/>
      <c r="AG235" s="172"/>
      <c r="AH235"/>
      <c r="AI235"/>
      <c r="AJ235"/>
      <c r="AK235"/>
      <c r="AL235"/>
      <c r="AM235"/>
      <c r="AN235"/>
      <c r="AO235" s="172"/>
    </row>
    <row r="236" spans="1:4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R236"/>
      <c r="S236" s="172"/>
      <c r="T236"/>
      <c r="U236"/>
      <c r="V236"/>
      <c r="W236"/>
      <c r="X236"/>
      <c r="Y236"/>
      <c r="Z236"/>
      <c r="AA236"/>
      <c r="AB236"/>
      <c r="AC236"/>
      <c r="AE236"/>
      <c r="AF236"/>
      <c r="AH236"/>
      <c r="AI236"/>
      <c r="AM236"/>
    </row>
    <row r="237" spans="1:4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R237"/>
      <c r="S237" s="172"/>
      <c r="T237"/>
      <c r="U237"/>
      <c r="V237"/>
      <c r="W237"/>
      <c r="X237"/>
      <c r="Y237"/>
      <c r="Z237"/>
      <c r="AA237"/>
      <c r="AB237"/>
      <c r="AC237"/>
      <c r="AE237"/>
      <c r="AF237"/>
      <c r="AH237"/>
      <c r="AI237"/>
      <c r="AM237"/>
    </row>
    <row r="238" spans="1:4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R238"/>
      <c r="S238" s="172"/>
      <c r="T238"/>
      <c r="U238"/>
      <c r="V238"/>
      <c r="W238"/>
      <c r="X238"/>
      <c r="Y238"/>
      <c r="Z238"/>
      <c r="AA238"/>
      <c r="AB238"/>
      <c r="AC238"/>
      <c r="AE238"/>
      <c r="AF238"/>
      <c r="AH238"/>
      <c r="AI238"/>
      <c r="AM238"/>
    </row>
    <row r="239" spans="1:4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 s="172"/>
      <c r="T239"/>
      <c r="U239"/>
      <c r="V239"/>
      <c r="W239"/>
      <c r="X239"/>
      <c r="Y239"/>
      <c r="Z239"/>
      <c r="AA239"/>
      <c r="AB239"/>
      <c r="AC239"/>
      <c r="AE239"/>
      <c r="AF239"/>
      <c r="AH239"/>
      <c r="AI239"/>
      <c r="AM239"/>
    </row>
    <row r="240" spans="1:4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 s="172"/>
      <c r="T240"/>
      <c r="U240"/>
      <c r="V240"/>
      <c r="W240"/>
      <c r="X240"/>
      <c r="Y240"/>
      <c r="Z240"/>
      <c r="AA240"/>
      <c r="AB240"/>
      <c r="AC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 s="172"/>
      <c r="T241"/>
      <c r="U241"/>
      <c r="V241"/>
      <c r="W241"/>
      <c r="X241"/>
      <c r="Y241"/>
      <c r="Z241"/>
      <c r="AA241"/>
      <c r="AB241"/>
      <c r="AC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 s="172"/>
      <c r="T242"/>
      <c r="U242"/>
      <c r="V242"/>
      <c r="W242"/>
      <c r="X242"/>
      <c r="Y242"/>
      <c r="Z242"/>
      <c r="AA242"/>
      <c r="AB242"/>
      <c r="AC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 s="172"/>
      <c r="T243"/>
      <c r="U243"/>
      <c r="V243"/>
      <c r="W243"/>
      <c r="X243"/>
      <c r="Y243"/>
      <c r="Z243"/>
      <c r="AA243"/>
      <c r="AB243"/>
      <c r="AC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 s="172"/>
      <c r="T244"/>
      <c r="U244"/>
      <c r="V244"/>
      <c r="W244"/>
      <c r="X244"/>
      <c r="Y244"/>
      <c r="Z244"/>
      <c r="AA244"/>
      <c r="AB244"/>
      <c r="AC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 s="172"/>
      <c r="T245"/>
      <c r="U245"/>
      <c r="V245"/>
      <c r="W245"/>
      <c r="X245"/>
      <c r="Y245"/>
      <c r="Z245"/>
      <c r="AA245"/>
      <c r="AB245"/>
      <c r="AC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 s="172"/>
      <c r="T246"/>
      <c r="U246"/>
      <c r="V246"/>
      <c r="W246"/>
      <c r="X246"/>
      <c r="Y246"/>
      <c r="Z246"/>
      <c r="AA246"/>
      <c r="AB246"/>
      <c r="AC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 s="172"/>
      <c r="T247"/>
      <c r="U247"/>
      <c r="V247"/>
      <c r="W247"/>
      <c r="X247"/>
      <c r="Y247"/>
      <c r="Z247"/>
      <c r="AA247"/>
      <c r="AB247"/>
      <c r="AC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 s="172"/>
      <c r="T248"/>
      <c r="U248"/>
      <c r="V248"/>
      <c r="W248"/>
      <c r="X248"/>
      <c r="Y248"/>
      <c r="Z248"/>
      <c r="AA248"/>
      <c r="AB248"/>
      <c r="AC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 s="172"/>
      <c r="T249"/>
      <c r="U249"/>
      <c r="V249"/>
      <c r="W249"/>
      <c r="X249"/>
      <c r="Y249"/>
      <c r="Z249"/>
      <c r="AA249"/>
      <c r="AB249"/>
      <c r="AC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 s="172"/>
      <c r="T250"/>
      <c r="U250"/>
      <c r="V250"/>
      <c r="W250"/>
      <c r="X250"/>
      <c r="Y250"/>
      <c r="Z250"/>
      <c r="AA250"/>
      <c r="AB250"/>
      <c r="AC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 s="172"/>
      <c r="T251"/>
      <c r="U251"/>
      <c r="V251"/>
      <c r="W251"/>
      <c r="X251"/>
      <c r="Y251"/>
      <c r="Z251"/>
      <c r="AA251"/>
      <c r="AB251"/>
      <c r="AC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 s="172"/>
      <c r="T252"/>
      <c r="U252"/>
      <c r="V252"/>
      <c r="W252"/>
      <c r="X252"/>
      <c r="Y252"/>
      <c r="Z252"/>
      <c r="AA252"/>
      <c r="AB252"/>
      <c r="AC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 s="172"/>
      <c r="T253"/>
      <c r="U253"/>
      <c r="V253"/>
      <c r="W253"/>
      <c r="X253"/>
      <c r="Y253"/>
      <c r="Z253"/>
      <c r="AA253"/>
      <c r="AB253"/>
      <c r="AC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 s="172"/>
      <c r="T254"/>
      <c r="U254"/>
      <c r="V254"/>
      <c r="W254"/>
      <c r="X254"/>
      <c r="Y254"/>
      <c r="Z254"/>
      <c r="AA254"/>
      <c r="AB254"/>
      <c r="AC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 s="172"/>
      <c r="T255"/>
      <c r="U255"/>
      <c r="V255"/>
      <c r="W255"/>
      <c r="X255"/>
      <c r="Y255"/>
      <c r="Z255"/>
      <c r="AA255"/>
      <c r="AB255"/>
      <c r="AC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 s="172"/>
      <c r="T256"/>
      <c r="U256"/>
      <c r="V256"/>
      <c r="W256"/>
      <c r="X256"/>
      <c r="Y256"/>
      <c r="Z256"/>
      <c r="AA256"/>
      <c r="AB256"/>
      <c r="AC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 s="172"/>
      <c r="T257"/>
      <c r="U257"/>
      <c r="V257"/>
      <c r="W257"/>
      <c r="X257"/>
      <c r="Y257"/>
      <c r="Z257"/>
      <c r="AA257"/>
      <c r="AB257"/>
      <c r="AC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 s="172"/>
      <c r="T258"/>
      <c r="U258"/>
      <c r="V258"/>
      <c r="W258"/>
      <c r="X258"/>
      <c r="Y258"/>
      <c r="Z258"/>
      <c r="AA258"/>
      <c r="AB258"/>
      <c r="AC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 s="172"/>
      <c r="T259"/>
      <c r="U259"/>
      <c r="V259"/>
      <c r="W259"/>
      <c r="X259"/>
      <c r="Y259"/>
      <c r="Z259"/>
      <c r="AA259"/>
      <c r="AB259"/>
      <c r="AC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 s="172"/>
      <c r="T260"/>
      <c r="U260"/>
      <c r="V260"/>
      <c r="W260"/>
      <c r="X260"/>
      <c r="Y260"/>
      <c r="Z260"/>
      <c r="AA260"/>
      <c r="AB260"/>
      <c r="AC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 s="172"/>
      <c r="T261"/>
      <c r="U261"/>
      <c r="V261"/>
      <c r="W261"/>
      <c r="X261"/>
      <c r="Y261"/>
      <c r="Z261"/>
      <c r="AA261"/>
      <c r="AB261"/>
      <c r="AC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 s="172"/>
      <c r="T262"/>
      <c r="U262"/>
      <c r="V262"/>
      <c r="W262"/>
      <c r="X262"/>
      <c r="Y262"/>
      <c r="Z262"/>
      <c r="AA262"/>
      <c r="AB262"/>
      <c r="AC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 s="172"/>
      <c r="T263"/>
      <c r="U263"/>
      <c r="V263"/>
      <c r="W263"/>
      <c r="X263"/>
      <c r="Y263"/>
      <c r="Z263"/>
      <c r="AA263"/>
      <c r="AB263"/>
      <c r="AC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 s="172"/>
      <c r="T264"/>
      <c r="U264"/>
      <c r="V264"/>
      <c r="W264"/>
      <c r="X264"/>
      <c r="Y264"/>
      <c r="Z264"/>
      <c r="AA264"/>
      <c r="AB264"/>
      <c r="AC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 s="172"/>
      <c r="T265"/>
      <c r="U265"/>
      <c r="V265"/>
      <c r="W265"/>
      <c r="X265"/>
      <c r="Y265"/>
      <c r="Z265"/>
      <c r="AA265"/>
      <c r="AB265"/>
      <c r="AC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 s="172"/>
      <c r="T266"/>
      <c r="U266"/>
      <c r="V266"/>
      <c r="W266"/>
      <c r="X266"/>
      <c r="Y266"/>
      <c r="Z266"/>
      <c r="AA266"/>
      <c r="AB266"/>
      <c r="AC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 s="172"/>
      <c r="T267"/>
      <c r="U267"/>
      <c r="V267"/>
      <c r="W267"/>
      <c r="X267"/>
      <c r="Y267"/>
      <c r="Z267"/>
      <c r="AA267"/>
      <c r="AB267"/>
      <c r="AC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 s="172"/>
      <c r="T268"/>
      <c r="U268"/>
      <c r="V268"/>
      <c r="W268"/>
      <c r="X268"/>
      <c r="Y268"/>
      <c r="Z268"/>
      <c r="AA268"/>
      <c r="AB268"/>
      <c r="AC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 s="172"/>
      <c r="T269"/>
      <c r="U269"/>
      <c r="V269"/>
      <c r="W269"/>
      <c r="X269"/>
      <c r="Y269"/>
      <c r="Z269"/>
      <c r="AA269"/>
      <c r="AB269"/>
      <c r="AC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 s="172"/>
      <c r="T270"/>
      <c r="U270"/>
      <c r="V270"/>
      <c r="W270"/>
      <c r="X270"/>
      <c r="Y270"/>
      <c r="Z270"/>
      <c r="AA270"/>
      <c r="AB270"/>
      <c r="AC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 s="172"/>
      <c r="T271"/>
      <c r="U271"/>
      <c r="V271"/>
      <c r="W271"/>
      <c r="X271"/>
      <c r="Y271"/>
      <c r="Z271"/>
      <c r="AA271"/>
      <c r="AB271"/>
      <c r="AC271"/>
      <c r="AE271"/>
      <c r="AF271"/>
      <c r="AH271"/>
      <c r="AI271"/>
      <c r="AM271"/>
    </row>
    <row r="272" spans="1:3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 s="172"/>
      <c r="T272"/>
      <c r="U272"/>
      <c r="V272"/>
      <c r="W272"/>
      <c r="X272"/>
      <c r="Y272"/>
      <c r="Z272"/>
      <c r="AA272"/>
      <c r="AB272"/>
      <c r="AC272"/>
      <c r="AE272"/>
      <c r="AF272"/>
      <c r="AH272"/>
      <c r="AI272"/>
      <c r="AM272"/>
    </row>
    <row r="273" spans="1:39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 s="172"/>
      <c r="T273"/>
      <c r="U273"/>
      <c r="V273"/>
      <c r="W273"/>
      <c r="X273"/>
      <c r="Y273"/>
      <c r="Z273"/>
      <c r="AA273"/>
      <c r="AB273"/>
      <c r="AC273"/>
      <c r="AE273"/>
      <c r="AF273"/>
      <c r="AH273"/>
      <c r="AI273"/>
      <c r="AM273"/>
    </row>
    <row r="274" spans="1:39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 s="172"/>
      <c r="T274"/>
      <c r="U274"/>
      <c r="V274"/>
      <c r="W274"/>
      <c r="X274"/>
      <c r="Y274"/>
      <c r="Z274"/>
      <c r="AA274"/>
      <c r="AB274"/>
      <c r="AC274"/>
      <c r="AE274"/>
      <c r="AF274"/>
      <c r="AH274"/>
      <c r="AI274"/>
      <c r="AM274"/>
    </row>
    <row r="275" spans="1:39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 s="172"/>
      <c r="T275"/>
      <c r="U275"/>
      <c r="V275"/>
      <c r="W275"/>
      <c r="X275"/>
      <c r="Y275"/>
      <c r="Z275"/>
      <c r="AA275"/>
      <c r="AB275"/>
      <c r="AC275"/>
      <c r="AE275"/>
      <c r="AF275"/>
      <c r="AH275"/>
      <c r="AI275"/>
      <c r="AM275"/>
    </row>
    <row r="276" spans="1:39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 s="172"/>
      <c r="T276"/>
      <c r="U276"/>
      <c r="V276"/>
      <c r="W276"/>
      <c r="X276"/>
      <c r="Y276"/>
      <c r="Z276"/>
      <c r="AA276"/>
      <c r="AB276"/>
      <c r="AC276"/>
      <c r="AE276"/>
      <c r="AF276"/>
      <c r="AH276"/>
      <c r="AI276"/>
      <c r="AM276"/>
    </row>
    <row r="277" spans="1:39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R277"/>
      <c r="S277" s="172"/>
      <c r="T277"/>
      <c r="U277"/>
      <c r="V277"/>
      <c r="W277"/>
      <c r="X277"/>
      <c r="Y277"/>
      <c r="Z277"/>
      <c r="AA277"/>
      <c r="AB277"/>
      <c r="AC277"/>
      <c r="AE277"/>
      <c r="AF277"/>
      <c r="AH277"/>
      <c r="AI277"/>
      <c r="AM277"/>
    </row>
    <row r="278" spans="1:39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R278"/>
      <c r="S278" s="172"/>
      <c r="T278"/>
      <c r="U278"/>
      <c r="V278"/>
      <c r="W278"/>
      <c r="X278"/>
      <c r="Y278"/>
      <c r="Z278"/>
      <c r="AA278"/>
      <c r="AB278"/>
      <c r="AC278"/>
      <c r="AE278"/>
      <c r="AF278"/>
      <c r="AH278"/>
      <c r="AI278"/>
      <c r="AM278"/>
    </row>
  </sheetData>
  <autoFilter ref="A12:AG275"/>
  <sortState ref="A13:AN233">
    <sortCondition ref="AG13:AG233"/>
    <sortCondition ref="AD13:AD233"/>
  </sortState>
  <mergeCells count="1">
    <mergeCell ref="A11:P11"/>
  </mergeCells>
  <conditionalFormatting sqref="W11:W12 W279:X1048576 W13:X233">
    <cfRule type="cellIs" dxfId="10" priority="415" operator="equal">
      <formula>"Y"</formula>
    </cfRule>
  </conditionalFormatting>
  <conditionalFormatting sqref="X279:X1048576 X13:X233">
    <cfRule type="cellIs" dxfId="9" priority="398" operator="greaterThan">
      <formula>1</formula>
    </cfRule>
  </conditionalFormatting>
  <conditionalFormatting sqref="X279:X1048576 X12:X233">
    <cfRule type="cellIs" dxfId="8" priority="395" operator="equal">
      <formula>0</formula>
    </cfRule>
  </conditionalFormatting>
  <conditionalFormatting sqref="A13:S233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A13:S233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AK13:AK233</xm:sqref>
        </x14:dataValidation>
        <x14:dataValidation type="list" allowBlank="1" showInputMessage="1" showErrorMessage="1">
          <x14:formula1>
            <xm:f>'Redmine List Values'!$C$2:$C$15</xm:f>
          </x14:formula1>
          <xm:sqref>AL13:AL233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76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4.28515625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COUNTIF($O$7:$O$278,"=Y")</f>
        <v>4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COUNTA($O$7:$O$278)-O2</f>
        <v>46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1" t="str">
        <f>"Eagle P3 Braking Events - "&amp;TEXT(Variables!$A$2,"YYYY-mm-dd")</f>
        <v>Eagle P3 Braking Events - 2017-06-14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  <c r="O5" s="211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1014</v>
      </c>
      <c r="X6" s="208" t="s">
        <v>1006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195</v>
      </c>
    </row>
    <row r="7" spans="1:32" s="1" customFormat="1" x14ac:dyDescent="0.25">
      <c r="A7" s="31">
        <v>42900.706099537034</v>
      </c>
      <c r="B7" s="30" t="s">
        <v>618</v>
      </c>
      <c r="C7" s="30" t="s">
        <v>631</v>
      </c>
      <c r="D7" s="30" t="s">
        <v>49</v>
      </c>
      <c r="E7" s="30" t="s">
        <v>187</v>
      </c>
      <c r="F7" s="42">
        <v>0</v>
      </c>
      <c r="G7" s="42">
        <v>154</v>
      </c>
      <c r="H7" s="42">
        <v>31048</v>
      </c>
      <c r="I7" s="42">
        <v>30933</v>
      </c>
      <c r="J7" s="30" t="s">
        <v>188</v>
      </c>
      <c r="K7" s="42">
        <v>30970</v>
      </c>
      <c r="L7" s="131" t="s">
        <v>51</v>
      </c>
      <c r="M7" s="132">
        <f t="shared" ref="M7:M38" si="0">CONVERT((I7-K7)/10000,"mi","ft")*IF(L7="Increasing Mileposts (1)",-1,1)</f>
        <v>-19.536000000000001</v>
      </c>
      <c r="N7" s="133" t="str">
        <f>VLOOKUP(C7,'Trips&amp;Operators'!$C$1:$G$99999,5,FALSE)</f>
        <v>LEVIN SCOTT</v>
      </c>
      <c r="O7" s="203" t="s">
        <v>180</v>
      </c>
      <c r="P7" s="134" t="s">
        <v>397</v>
      </c>
      <c r="Q7" s="30"/>
      <c r="R7" s="81" t="str">
        <f>VLOOKUP(C7,'Train Runs'!$A$13:$AE$9934,31,0)</f>
        <v>aws s3 cp s3://rtdc.mdm.uploadarchive.raw/RTDC4009/ "%USERPROFILE%\AppData\Local\Temp\OnboardLogs"\RTDC4009\2017-06-14 --exclude "*" --recursive --include "*20170614*" &amp; "%USERPROFILE%\Documents\GitHub\mrs-test-scripts\Headless Mode &amp; Sideloading\WalkAndUnGZ.bat" "%USERPROFILE%\AppData\Local\Temp\OnboardLogs"\RTDC4009\2017-06-14 &amp; aws s3 cp s3://rtdc.mdm.uploadarchive.raw/RTDC4009/ "%USERPROFILE%\AppData\Local\Temp\OnboardLogs"\RTDC4009\2017-06-15 --exclude "*" --recursive --include "*20170615*" &amp; "%USERPROFILE%\Documents\GitHub\mrs-test-scripts\Headless Mode &amp; Sideloading\WalkAndUnGZ.bat" "%USERPROFILE%\AppData\Local\Temp\OnboardLogs"\RTDC4009\2017-06-15</v>
      </c>
      <c r="S7" s="84" t="str">
        <f>VLOOKUP(C7,'Train Runs'!$A$13:$AE$9934,22,0)</f>
        <v>https://d0f6bd738d7f1b3e5a7ca70fe4ff75f0.us-east-1.aws.found.io/app/kibana#/discover/Steve-Slow-Train-Analysis-(2080s-and-2083s)?_g=(refreshInterval:(display:Off,pause:!f,section:0,value:0),time:(from:'2017-06-14T15:19:49-0600',mode:absolute,to:'2017-06-14T18:05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7" s="86" t="str">
        <f t="shared" ref="T7:T3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/stypes="*4009*201706142*" /stext=" 22:.+((SYSTEM_STATE.+slice.+state.+changed )|(ment ac)|(multiple cpu faults)|(system.+state.+changed )|(\[timeout)|(PRM\|1\|D)|(kpr)|(kdp)|(train st.+moving)|(\|lc)|(penalty))"</v>
      </c>
      <c r="U7" s="9" t="str">
        <f t="shared" ref="U7:U38" si="2">MID(B7,13,4)</f>
        <v>4009</v>
      </c>
      <c r="V7" s="31">
        <f t="shared" ref="V7:V38" si="3">A7-utc_offset/24</f>
        <v>42900.956099537034</v>
      </c>
      <c r="W7" s="45" t="str">
        <f>DetSubdiv(C7)</f>
        <v>EC</v>
      </c>
      <c r="X7" s="22">
        <f>VALUE(LEFT(C7,LEN(C7)-3))</f>
        <v>196</v>
      </c>
      <c r="Y7" s="96" t="str">
        <f t="shared" ref="Y7:Y38" si="4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arrival","project_id":79,"tracker_id":40,"status_id":1,"priority_id":2,"assigned_to_id":23,"start_date":"2017-06-14","description":"","custom_fields":[{"id":1,"name":"Subdivision","value":"EC"},{"id":4,"name":"Milepost","value":"3.097"},{"id":17,"name":"Train ID","value":"196-14"},{"id":16,"name":"Locomotive ID","value":"4009"},{"id":130,"name":"Impact","value":""},{"id":150,"name":"Time of Event (Mountain Time)","value":"16:56:47"},{"id":151,"name":"Denver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38" si="5">"grep -hrE -A400 ""Enforcement Action"" "&amp;"/cygdrive/c/Users/stu/AppData/Local/Temp/OnboardLogs"&amp;"/RTDC"&amp;U7&amp;"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/cygdrive/c/Users/stu/AppData/Local/Temp/OnboardLogs/RTDC4009 --include="*4009*201706142*"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"%USERPROFILE%\AppData\Local\Temp\OnboardLogs"\RTDC4009\*4009*201706142* &gt;&gt; 2017-06-14-SliceDisagreementCheck.txt</v>
      </c>
      <c r="AE7" s="145" t="str">
        <f t="shared" ref="AE7" si="6">"start /low /b "&amp;dls3logs&amp;" --loco "&amp;U7&amp;" --day "&amp;TEXT(V7,"YYYY-MM-DD")</f>
        <v>start /low /b %USERPROFILE%\Documents\GitHub\eaglep3\Utilities\DownloadLogsFromS3.py --loco 4009 --day 2017-06-14</v>
      </c>
    </row>
    <row r="8" spans="1:32" s="1" customFormat="1" x14ac:dyDescent="0.25">
      <c r="A8" s="31">
        <v>42900.40148148148</v>
      </c>
      <c r="B8" s="30" t="s">
        <v>370</v>
      </c>
      <c r="C8" s="30" t="s">
        <v>617</v>
      </c>
      <c r="D8" s="30" t="s">
        <v>49</v>
      </c>
      <c r="E8" s="30" t="s">
        <v>187</v>
      </c>
      <c r="F8" s="42">
        <v>400</v>
      </c>
      <c r="G8" s="42">
        <v>464</v>
      </c>
      <c r="H8" s="42">
        <v>54709</v>
      </c>
      <c r="I8" s="42">
        <v>53378</v>
      </c>
      <c r="J8" s="30" t="s">
        <v>188</v>
      </c>
      <c r="K8" s="42">
        <v>53277</v>
      </c>
      <c r="L8" s="131" t="s">
        <v>51</v>
      </c>
      <c r="M8" s="132">
        <f t="shared" si="0"/>
        <v>53.328000000000003</v>
      </c>
      <c r="N8" s="133" t="str">
        <f>VLOOKUP(C8,'Trips&amp;Operators'!$C$1:$G$99999,5,FALSE)</f>
        <v>DAVIS WENDY</v>
      </c>
      <c r="O8" s="203" t="s">
        <v>180</v>
      </c>
      <c r="P8" s="134" t="s">
        <v>397</v>
      </c>
      <c r="Q8" s="30"/>
      <c r="R8" s="81" t="str">
        <f>VLOOKUP(C8,'Train Runs'!$A$13:$AE$9934,31,0)</f>
        <v>aws s3 cp s3://rtdc.mdm.uploadarchive.raw/RTDC4039/ "%USERPROFILE%\AppData\Local\Temp\OnboardLogs"\RTDC4039\2017-06-14 --exclude "*" --recursive --include "*20170614*" &amp; "%USERPROFILE%\Documents\GitHub\mrs-test-scripts\Headless Mode &amp; Sideloading\WalkAndUnGZ.bat" "%USERPROFILE%\AppData\Local\Temp\OnboardLogs"\RTDC4039\2017-06-14 &amp; aws s3 cp s3://rtdc.mdm.uploadarchive.raw/RTDC4039/ "%USERPROFILE%\AppData\Local\Temp\OnboardLogs"\RTDC4039\2017-06-15 --exclude "*" --recursive --include "*20170615*" &amp; "%USERPROFILE%\Documents\GitHub\mrs-test-scripts\Headless Mode &amp; Sideloading\WalkAndUnGZ.bat" "%USERPROFILE%\AppData\Local\Temp\OnboardLogs"\RTDC4039\2017-06-15</v>
      </c>
      <c r="S8" s="84" t="str">
        <f>VLOOKUP(C8,'Train Runs'!$A$13:$AE$9934,22,0)</f>
        <v>https://d0f6bd738d7f1b3e5a7ca70fe4ff75f0.us-east-1.aws.found.io/app/kibana#/discover/Steve-Slow-Train-Analysis-(2080s-and-2083s)?_g=(refreshInterval:(display:Off,pause:!f,section:0,value:0),time:(from:'2017-06-14T08:07:49-0600',mode:absolute,to:'2017-06-14T10:52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8" s="86" t="str">
        <f t="shared" si="1"/>
        <v>"C:\Program Files (x86)\AstroGrep\AstroGrep.exe" /e /r /s /spath="%USERPROFILE%\AppData\Local\Temp\OnboardLogs" /stypes="*4039*201706141*" /stext=" 15:.+((SYSTEM_STATE.+slice.+state.+changed )|(ment ac)|(multiple cpu faults)|(system.+state.+changed )|(\[timeout)|(PRM\|1\|D)|(kpr)|(kdp)|(train st.+moving)|(\|lc)|(penalty))"</v>
      </c>
      <c r="U8" s="9" t="str">
        <f t="shared" si="2"/>
        <v>4039</v>
      </c>
      <c r="V8" s="31">
        <f t="shared" si="3"/>
        <v>42900.65148148148</v>
      </c>
      <c r="W8" s="45" t="str">
        <f t="shared" ref="W8:W56" si="7">DetSubdiv(C8)</f>
        <v>EC</v>
      </c>
      <c r="X8" s="22">
        <f t="shared" ref="X8:X56" si="8">VALUE(LEFT(C8,LEN(C8)-3))</f>
        <v>138</v>
      </c>
      <c r="Y8" s="96" t="str">
        <f t="shared" si="4"/>
        <v>echo {"issue":{"subject":"Early arrival","project_id":79,"tracker_id":40,"status_id":1,"priority_id":2,"assigned_to_id":23,"start_date":"2017-06-14","description":"","custom_fields":[{"id":1,"name":"Subdivision","value":"EC"},{"id":4,"name":"Milepost","value":"5.3277"},{"id":17,"name":"Train ID","value":"138-14"},{"id":16,"name":"Locomotive ID","value":"4039"},{"id":130,"name":"Impact","value":""},{"id":150,"name":"Time of Event (Mountain Time)","value":"09:38:08"},{"id":151,"name":"Denver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5"/>
        <v>grep -hrE -A400 "Enforcement Action" /cygdrive/c/Users/stu/AppData/Local/Temp/OnboardLogs/RTDC4039 --include="*4039*201706141*"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"%USERPROFILE%\AppData\Local\Temp\OnboardLogs"\RTDC4039\*4039*201706141* &gt;&gt; 2017-06-14-SliceDisagreementCheck.txt</v>
      </c>
      <c r="AE8" s="145" t="str">
        <f t="shared" ref="AE8:AE56" si="9">"start /low /b "&amp;dls3logs&amp;" --loco "&amp;U8&amp;" --day "&amp;TEXT(V8,"YYYY-MM-DD")</f>
        <v>start /low /b %USERPROFILE%\Documents\GitHub\eaglep3\Utilities\DownloadLogsFromS3.py --loco 4039 --day 2017-06-14</v>
      </c>
    </row>
    <row r="9" spans="1:32" s="1" customFormat="1" x14ac:dyDescent="0.25">
      <c r="A9" s="31">
        <v>42900.786168981482</v>
      </c>
      <c r="B9" s="30" t="s">
        <v>608</v>
      </c>
      <c r="C9" s="30" t="s">
        <v>640</v>
      </c>
      <c r="D9" s="30" t="s">
        <v>49</v>
      </c>
      <c r="E9" s="30" t="s">
        <v>187</v>
      </c>
      <c r="F9" s="42">
        <v>230</v>
      </c>
      <c r="G9" s="42">
        <v>332</v>
      </c>
      <c r="H9" s="42">
        <v>58876</v>
      </c>
      <c r="I9" s="42">
        <v>58139</v>
      </c>
      <c r="J9" s="30" t="s">
        <v>188</v>
      </c>
      <c r="K9" s="42">
        <v>58301</v>
      </c>
      <c r="L9" s="131" t="s">
        <v>51</v>
      </c>
      <c r="M9" s="132">
        <f t="shared" si="0"/>
        <v>-85.536000000000001</v>
      </c>
      <c r="N9" s="133" t="str">
        <f>VLOOKUP(C9,'Trips&amp;Operators'!$C$1:$G$99999,5,FALSE)</f>
        <v>DELGADO DIANAH</v>
      </c>
      <c r="O9" s="203" t="s">
        <v>180</v>
      </c>
      <c r="P9" s="134" t="s">
        <v>397</v>
      </c>
      <c r="Q9" s="30"/>
      <c r="R9" s="81" t="str">
        <f>VLOOKUP(C9,'Train Runs'!$A$13:$AE$9934,31,0)</f>
        <v>aws s3 cp s3://rtdc.mdm.uploadarchive.raw/RTDC4003/ "%USERPROFILE%\AppData\Local\Temp\OnboardLogs"\RTDC4003\2017-06-14 --exclude "*" --recursive --include "*20170614*" &amp; "%USERPROFILE%\Documents\GitHub\mrs-test-scripts\Headless Mode &amp; Sideloading\WalkAndUnGZ.bat" "%USERPROFILE%\AppData\Local\Temp\OnboardLogs"\RTDC4003\2017-06-14 &amp; aws s3 cp s3://rtdc.mdm.uploadarchive.raw/RTDC4003/ "%USERPROFILE%\AppData\Local\Temp\OnboardLogs"\RTDC4003\2017-06-15 --exclude "*" --recursive --include "*20170615*" &amp; "%USERPROFILE%\Documents\GitHub\mrs-test-scripts\Headless Mode &amp; Sideloading\WalkAndUnGZ.bat" "%USERPROFILE%\AppData\Local\Temp\OnboardLogs"\RTDC4003\2017-06-15</v>
      </c>
      <c r="S9" s="84" t="str">
        <f>VLOOKUP(C9,'Train Runs'!$A$13:$AE$9934,22,0)</f>
        <v>https://d0f6bd738d7f1b3e5a7ca70fe4ff75f0.us-east-1.aws.found.io/app/kibana#/discover/Steve-Slow-Train-Analysis-(2080s-and-2083s)?_g=(refreshInterval:(display:Off,pause:!f,section:0,value:0),time:(from:'2017-06-14T17:18:05-0600',mode:absolute,to:'2017-06-14T20:04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9" s="86" t="str">
        <f t="shared" si="1"/>
        <v>"C:\Program Files (x86)\AstroGrep\AstroGrep.exe" /e /r /s /spath="%USERPROFILE%\AppData\Local\Temp\OnboardLogs" /stypes="*4003*201706150*" /stext=" 00:.+((SYSTEM_STATE.+slice.+state.+changed )|(ment ac)|(multiple cpu faults)|(system.+state.+changed )|(\[timeout)|(PRM\|1\|D)|(kpr)|(kdp)|(train st.+moving)|(\|lc)|(penalty))"</v>
      </c>
      <c r="U9" s="9" t="str">
        <f t="shared" si="2"/>
        <v>4003</v>
      </c>
      <c r="V9" s="31">
        <f t="shared" si="3"/>
        <v>42901.036168981482</v>
      </c>
      <c r="W9" s="45" t="str">
        <f t="shared" si="7"/>
        <v>EC</v>
      </c>
      <c r="X9" s="22">
        <f t="shared" si="8"/>
        <v>212</v>
      </c>
      <c r="Y9" s="96" t="str">
        <f t="shared" si="4"/>
        <v>echo {"issue":{"subject":"Early arrival","project_id":79,"tracker_id":40,"status_id":1,"priority_id":2,"assigned_to_id":23,"start_date":"2017-06-14","description":"","custom_fields":[{"id":1,"name":"Subdivision","value":"EC"},{"id":4,"name":"Milepost","value":"5.8301"},{"id":17,"name":"Train ID","value":"212-14"},{"id":16,"name":"Locomotive ID","value":"4003"},{"id":130,"name":"Impact","value":""},{"id":150,"name":"Time of Event (Mountain Time)","value":"18:52:05"},{"id":151,"name":"Denver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5"/>
        <v>grep -hrE -A400 "Enforcement Action" /cygdrive/c/Users/stu/AppData/Local/Temp/OnboardLogs/RTDC4003 --include="*4003*201706150*"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"%USERPROFILE%\AppData\Local\Temp\OnboardLogs"\RTDC4003\*4003*201706150* &gt;&gt; 2017-06-14-SliceDisagreementCheck.txt</v>
      </c>
      <c r="AE9" s="145" t="str">
        <f t="shared" si="9"/>
        <v>start /low /b %USERPROFILE%\Documents\GitHub\eaglep3\Utilities\DownloadLogsFromS3.py --loco 4003 --day 2017-06-15</v>
      </c>
    </row>
    <row r="10" spans="1:32" s="1" customFormat="1" x14ac:dyDescent="0.25">
      <c r="A10" s="31">
        <v>42900.558368055557</v>
      </c>
      <c r="B10" s="30" t="s">
        <v>618</v>
      </c>
      <c r="C10" s="30" t="s">
        <v>625</v>
      </c>
      <c r="D10" s="30" t="s">
        <v>49</v>
      </c>
      <c r="E10" s="30" t="s">
        <v>187</v>
      </c>
      <c r="F10" s="42">
        <v>260</v>
      </c>
      <c r="G10" s="42">
        <v>321</v>
      </c>
      <c r="H10" s="42">
        <v>58999</v>
      </c>
      <c r="I10" s="42">
        <v>58395</v>
      </c>
      <c r="J10" s="30" t="s">
        <v>188</v>
      </c>
      <c r="K10" s="42">
        <v>58301</v>
      </c>
      <c r="L10" s="131" t="s">
        <v>51</v>
      </c>
      <c r="M10" s="132">
        <f t="shared" si="0"/>
        <v>49.631999999999998</v>
      </c>
      <c r="N10" s="133" t="str">
        <f>VLOOKUP(C10,'Trips&amp;Operators'!$C$1:$G$99999,5,FALSE)</f>
        <v>LEVIN SCOTT</v>
      </c>
      <c r="O10" s="203" t="s">
        <v>180</v>
      </c>
      <c r="P10" s="134" t="s">
        <v>397</v>
      </c>
      <c r="Q10" s="30"/>
      <c r="R10" s="81" t="str">
        <f>VLOOKUP(C10,'Train Runs'!$A$13:$AE$9934,31,0)</f>
        <v>aws s3 cp s3://rtdc.mdm.uploadarchive.raw/RTDC4009/ "%USERPROFILE%\AppData\Local\Temp\OnboardLogs"\RTDC4009\2017-06-14 --exclude "*" --recursive --include "*20170614*" &amp; "%USERPROFILE%\Documents\GitHub\mrs-test-scripts\Headless Mode &amp; Sideloading\WalkAndUnGZ.bat" "%USERPROFILE%\AppData\Local\Temp\OnboardLogs"\RTDC4009\2017-06-14 &amp; aws s3 cp s3://rtdc.mdm.uploadarchive.raw/RTDC4009/ "%USERPROFILE%\AppData\Local\Temp\OnboardLogs"\RTDC4009\2017-06-15 --exclude "*" --recursive --include "*20170615*" &amp; "%USERPROFILE%\Documents\GitHub\mrs-test-scripts\Headless Mode &amp; Sideloading\WalkAndUnGZ.bat" "%USERPROFILE%\AppData\Local\Temp\OnboardLogs"\RTDC4009\2017-06-15</v>
      </c>
      <c r="S10" s="84" t="str">
        <f>VLOOKUP(C10,'Train Runs'!$A$13:$AE$9934,22,0)</f>
        <v>https://d0f6bd738d7f1b3e5a7ca70fe4ff75f0.us-east-1.aws.found.io/app/kibana#/discover/Steve-Slow-Train-Analysis-(2080s-and-2083s)?_g=(refreshInterval:(display:Off,pause:!f,section:0,value:0),time:(from:'2017-06-14T11:52:32-0600',mode:absolute,to:'2017-06-14T14:37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0" s="86" t="str">
        <f t="shared" si="1"/>
        <v>"C:\Program Files (x86)\AstroGrep\AstroGrep.exe" /e /r /s /spath="%USERPROFILE%\AppData\Local\Temp\OnboardLogs" /stypes="*4009*201706141*" /stext=" 19:.+((SYSTEM_STATE.+slice.+state.+changed )|(ment ac)|(multiple cpu faults)|(system.+state.+changed )|(\[timeout)|(PRM\|1\|D)|(kpr)|(kdp)|(train st.+moving)|(\|lc)|(penalty))"</v>
      </c>
      <c r="U10" s="9" t="str">
        <f t="shared" si="2"/>
        <v>4009</v>
      </c>
      <c r="V10" s="31">
        <f t="shared" si="3"/>
        <v>42900.808368055557</v>
      </c>
      <c r="W10" s="45" t="str">
        <f t="shared" si="7"/>
        <v>EC</v>
      </c>
      <c r="X10" s="22">
        <f t="shared" si="8"/>
        <v>168</v>
      </c>
      <c r="Y10" s="96" t="str">
        <f t="shared" si="4"/>
        <v>echo {"issue":{"subject":"Early arrival","project_id":79,"tracker_id":40,"status_id":1,"priority_id":2,"assigned_to_id":23,"start_date":"2017-06-14","description":"","custom_fields":[{"id":1,"name":"Subdivision","value":"EC"},{"id":4,"name":"Milepost","value":"5.8301"},{"id":17,"name":"Train ID","value":"168-14"},{"id":16,"name":"Locomotive ID","value":"4009"},{"id":130,"name":"Impact","value":""},{"id":150,"name":"Time of Event (Mountain Time)","value":"13:24:03"},{"id":151,"name":"Denver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5"/>
        <v>grep -hrE -A400 "Enforcement Action" /cygdrive/c/Users/stu/AppData/Local/Temp/OnboardLogs/RTDC4009 --include="*4009*201706141*"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"%USERPROFILE%\AppData\Local\Temp\OnboardLogs"\RTDC4009\*4009*201706141* &gt;&gt; 2017-06-14-SliceDisagreementCheck.txt</v>
      </c>
      <c r="AE10" s="145" t="str">
        <f t="shared" si="9"/>
        <v>start /low /b %USERPROFILE%\Documents\GitHub\eaglep3\Utilities\DownloadLogsFromS3.py --loco 4009 --day 2017-06-14</v>
      </c>
    </row>
    <row r="11" spans="1:32" s="1" customFormat="1" x14ac:dyDescent="0.25">
      <c r="A11" s="31">
        <v>42900.630520833336</v>
      </c>
      <c r="B11" s="30" t="s">
        <v>618</v>
      </c>
      <c r="C11" s="30" t="s">
        <v>627</v>
      </c>
      <c r="D11" s="30" t="s">
        <v>96</v>
      </c>
      <c r="E11" s="30" t="s">
        <v>187</v>
      </c>
      <c r="F11" s="42">
        <v>320</v>
      </c>
      <c r="G11" s="42">
        <v>371</v>
      </c>
      <c r="H11" s="42">
        <v>58228</v>
      </c>
      <c r="I11" s="42">
        <v>57013</v>
      </c>
      <c r="J11" s="30" t="s">
        <v>188</v>
      </c>
      <c r="K11" s="42">
        <v>58301</v>
      </c>
      <c r="L11" s="131" t="s">
        <v>51</v>
      </c>
      <c r="M11" s="132">
        <f t="shared" si="0"/>
        <v>-680.06399999999996</v>
      </c>
      <c r="N11" s="133" t="str">
        <f>VLOOKUP(C11,'Trips&amp;Operators'!$C$1:$G$99999,5,FALSE)</f>
        <v>LEVIN SCOTT</v>
      </c>
      <c r="O11" s="203" t="s">
        <v>180</v>
      </c>
      <c r="P11" s="134" t="s">
        <v>397</v>
      </c>
      <c r="Q11" s="30"/>
      <c r="R11" s="81" t="str">
        <f>VLOOKUP(C11,'Train Runs'!$A$13:$AE$9934,31,0)</f>
        <v>aws s3 cp s3://rtdc.mdm.uploadarchive.raw/RTDC4009/ "%USERPROFILE%\AppData\Local\Temp\OnboardLogs"\RTDC4009\2017-06-14 --exclude "*" --recursive --include "*20170614*" &amp; "%USERPROFILE%\Documents\GitHub\mrs-test-scripts\Headless Mode &amp; Sideloading\WalkAndUnGZ.bat" "%USERPROFILE%\AppData\Local\Temp\OnboardLogs"\RTDC4009\2017-06-14 &amp; aws s3 cp s3://rtdc.mdm.uploadarchive.raw/RTDC4009/ "%USERPROFILE%\AppData\Local\Temp\OnboardLogs"\RTDC4009\2017-06-15 --exclude "*" --recursive --include "*20170615*" &amp; "%USERPROFILE%\Documents\GitHub\mrs-test-scripts\Headless Mode &amp; Sideloading\WalkAndUnGZ.bat" "%USERPROFILE%\AppData\Local\Temp\OnboardLogs"\RTDC4009\2017-06-15</v>
      </c>
      <c r="S11" s="84" t="str">
        <f>VLOOKUP(C11,'Train Runs'!$A$13:$AE$9934,22,0)</f>
        <v>https://d0f6bd738d7f1b3e5a7ca70fe4ff75f0.us-east-1.aws.found.io/app/kibana#/discover/Steve-Slow-Train-Analysis-(2080s-and-2083s)?_g=(refreshInterval:(display:Off,pause:!f,section:0,value:0),time:(from:'2017-06-14T13:38:57-0600',mode:absolute,to:'2017-06-14T16:21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1" s="86" t="str">
        <f t="shared" si="1"/>
        <v>"C:\Program Files (x86)\AstroGrep\AstroGrep.exe" /e /r /s /spath="%USERPROFILE%\AppData\Local\Temp\OnboardLogs" /stypes="*4009*201706142*" /stext=" 21:.+((SYSTEM_STATE.+slice.+state.+changed )|(ment ac)|(multiple cpu faults)|(system.+state.+changed )|(\[timeout)|(PRM\|1\|D)|(kpr)|(kdp)|(train st.+moving)|(\|lc)|(penalty))"</v>
      </c>
      <c r="U11" s="9" t="str">
        <f t="shared" si="2"/>
        <v>4009</v>
      </c>
      <c r="V11" s="31">
        <f t="shared" si="3"/>
        <v>42900.880520833336</v>
      </c>
      <c r="W11" s="45" t="str">
        <f t="shared" si="7"/>
        <v>EC</v>
      </c>
      <c r="X11" s="22">
        <f t="shared" si="8"/>
        <v>182</v>
      </c>
      <c r="Y11" s="96" t="str">
        <f t="shared" si="4"/>
        <v>echo {"issue":{"subject":"Early arrival","project_id":79,"tracker_id":40,"status_id":1,"priority_id":2,"assigned_to_id":23,"start_date":"2017-06-14","description":"","custom_fields":[{"id":1,"name":"Subdivision","value":"EC"},{"id":4,"name":"Milepost","value":"5.8301"},{"id":17,"name":"Train ID","value":"182-14"},{"id":16,"name":"Locomotive ID","value":"4009"},{"id":130,"name":"Impact","value":""},{"id":150,"name":"Time of Event (Mountain Time)","value":"15:07:57"},{"id":151,"name":"Denver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5"/>
        <v>grep -hrE -A400 "Enforcement Action" /cygdrive/c/Users/stu/AppData/Local/Temp/OnboardLogs/RTDC4009 --include="*4009*201706142*"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"%USERPROFILE%\AppData\Local\Temp\OnboardLogs"\RTDC4009\*4009*201706142* &gt;&gt; 2017-06-14-SliceDisagreementCheck.txt</v>
      </c>
      <c r="AE11" s="145" t="str">
        <f t="shared" si="9"/>
        <v>start /low /b %USERPROFILE%\Documents\GitHub\eaglep3\Utilities\DownloadLogsFromS3.py --loco 4009 --day 2017-06-14</v>
      </c>
    </row>
    <row r="12" spans="1:32" s="1" customFormat="1" x14ac:dyDescent="0.25">
      <c r="A12" s="31">
        <v>42900.353981481479</v>
      </c>
      <c r="B12" s="30" t="s">
        <v>373</v>
      </c>
      <c r="C12" s="30" t="s">
        <v>615</v>
      </c>
      <c r="D12" s="30" t="s">
        <v>49</v>
      </c>
      <c r="E12" s="30" t="s">
        <v>187</v>
      </c>
      <c r="F12" s="42">
        <v>0</v>
      </c>
      <c r="G12" s="42">
        <v>510</v>
      </c>
      <c r="H12" s="42">
        <v>57271</v>
      </c>
      <c r="I12" s="42">
        <v>58876</v>
      </c>
      <c r="J12" s="30" t="s">
        <v>188</v>
      </c>
      <c r="K12" s="42">
        <v>58783</v>
      </c>
      <c r="L12" s="131" t="s">
        <v>50</v>
      </c>
      <c r="M12" s="132">
        <f t="shared" si="0"/>
        <v>-49.103999999999999</v>
      </c>
      <c r="N12" s="133" t="str">
        <f>VLOOKUP(C12,'Trips&amp;Operators'!$C$1:$G$99999,5,FALSE)</f>
        <v>DAVIS WENDY</v>
      </c>
      <c r="O12" s="203" t="s">
        <v>180</v>
      </c>
      <c r="P12" s="134" t="s">
        <v>397</v>
      </c>
      <c r="Q12" s="30"/>
      <c r="R12" s="81" t="str">
        <f>VLOOKUP(C12,'Train Runs'!$A$13:$AE$9934,31,0)</f>
        <v>aws s3 cp s3://rtdc.mdm.uploadarchive.raw/RTDC4040/ "%USERPROFILE%\AppData\Local\Temp\OnboardLogs"\RTDC4040\2017-06-14 --exclude "*" --recursive --include "*20170614*" &amp; "%USERPROFILE%\Documents\GitHub\mrs-test-scripts\Headless Mode &amp; Sideloading\WalkAndUnGZ.bat" "%USERPROFILE%\AppData\Local\Temp\OnboardLogs"\RTDC4040\2017-06-14 &amp; aws s3 cp s3://rtdc.mdm.uploadarchive.raw/RTDC4040/ "%USERPROFILE%\AppData\Local\Temp\OnboardLogs"\RTDC4040\2017-06-15 --exclude "*" --recursive --include "*20170615*" &amp; "%USERPROFILE%\Documents\GitHub\mrs-test-scripts\Headless Mode &amp; Sideloading\WalkAndUnGZ.bat" "%USERPROFILE%\AppData\Local\Temp\OnboardLogs"\RTDC4040\2017-06-15</v>
      </c>
      <c r="S12" s="84" t="str">
        <f>VLOOKUP(C12,'Train Runs'!$A$13:$AE$9934,22,0)</f>
        <v>https://d0f6bd738d7f1b3e5a7ca70fe4ff75f0.us-east-1.aws.found.io/app/kibana#/discover/Steve-Slow-Train-Analysis-(2080s-and-2083s)?_g=(refreshInterval:(display:Off,pause:!f,section:0,value:0),time:(from:'2017-06-14T07:08:41-0600',mode:absolute,to:'2017-06-14T09:56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12" s="86" t="str">
        <f t="shared" si="1"/>
        <v>"C:\Program Files (x86)\AstroGrep\AstroGrep.exe" /e /r /s /spath="%USERPROFILE%\AppData\Local\Temp\OnboardLogs" /stypes="*4040*201706141*" /stext=" 14:.+((SYSTEM_STATE.+slice.+state.+changed )|(ment ac)|(multiple cpu faults)|(system.+state.+changed )|(\[timeout)|(PRM\|1\|D)|(kpr)|(kdp)|(train st.+moving)|(\|lc)|(penalty))"</v>
      </c>
      <c r="U12" s="9" t="str">
        <f t="shared" si="2"/>
        <v>4040</v>
      </c>
      <c r="V12" s="31">
        <f t="shared" si="3"/>
        <v>42900.603981481479</v>
      </c>
      <c r="W12" s="45" t="str">
        <f t="shared" si="7"/>
        <v>EC</v>
      </c>
      <c r="X12" s="22">
        <f t="shared" si="8"/>
        <v>137</v>
      </c>
      <c r="Y12" s="96" t="str">
        <f t="shared" si="4"/>
        <v>echo {"issue":{"subject":"Early arrival","project_id":79,"tracker_id":40,"status_id":1,"priority_id":2,"assigned_to_id":23,"start_date":"2017-06-14","description":"","custom_fields":[{"id":1,"name":"Subdivision","value":"EC"},{"id":4,"name":"Milepost","value":"5.8783"},{"id":17,"name":"Train ID","value":"137-14"},{"id":16,"name":"Locomotive ID","value":"4040"},{"id":130,"name":"Impact","value":""},{"id":150,"name":"Time of Event (Mountain Time)","value":"08:29:44"},{"id":151,"name":"Denver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5"/>
        <v>grep -hrE -A400 "Enforcement Action" /cygdrive/c/Users/stu/AppData/Local/Temp/OnboardLogs/RTDC4040 --include="*4040*201706141*"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"%USERPROFILE%\AppData\Local\Temp\OnboardLogs"\RTDC4040\*4040*201706141* &gt;&gt; 2017-06-14-SliceDisagreementCheck.txt</v>
      </c>
      <c r="AE12" s="145" t="str">
        <f t="shared" si="9"/>
        <v>start /low /b %USERPROFILE%\Documents\GitHub\eaglep3\Utilities\DownloadLogsFromS3.py --loco 4040 --day 2017-06-14</v>
      </c>
    </row>
    <row r="13" spans="1:32" s="1" customFormat="1" x14ac:dyDescent="0.25">
      <c r="A13" s="31">
        <v>42900.507465277777</v>
      </c>
      <c r="B13" s="30" t="s">
        <v>422</v>
      </c>
      <c r="C13" s="30" t="s">
        <v>624</v>
      </c>
      <c r="D13" s="30" t="s">
        <v>49</v>
      </c>
      <c r="E13" s="30" t="s">
        <v>187</v>
      </c>
      <c r="F13" s="42">
        <v>0</v>
      </c>
      <c r="G13" s="42">
        <v>106</v>
      </c>
      <c r="H13" s="42">
        <v>59275</v>
      </c>
      <c r="I13" s="42">
        <v>59159</v>
      </c>
      <c r="J13" s="30" t="s">
        <v>188</v>
      </c>
      <c r="K13" s="42">
        <v>58904</v>
      </c>
      <c r="L13" s="131" t="s">
        <v>51</v>
      </c>
      <c r="M13" s="132">
        <f t="shared" si="0"/>
        <v>134.63999999999999</v>
      </c>
      <c r="N13" s="133" t="str">
        <f>VLOOKUP(C13,'Trips&amp;Operators'!$C$1:$G$99999,5,FALSE)</f>
        <v>DAVIS MICHAEL</v>
      </c>
      <c r="O13" s="203" t="s">
        <v>180</v>
      </c>
      <c r="P13" s="134" t="s">
        <v>598</v>
      </c>
      <c r="Q13" s="30"/>
      <c r="R13" s="81" t="str">
        <f>VLOOKUP(C13,'Train Runs'!$A$13:$AE$9934,31,0)</f>
        <v>aws s3 cp s3://rtdc.mdm.uploadarchive.raw/RTDC4043/ "%USERPROFILE%\AppData\Local\Temp\OnboardLogs"\RTDC4043\2017-06-14 --exclude "*" --recursive --include "*20170614*" &amp; "%USERPROFILE%\Documents\GitHub\mrs-test-scripts\Headless Mode &amp; Sideloading\WalkAndUnGZ.bat" "%USERPROFILE%\AppData\Local\Temp\OnboardLogs"\RTDC4043\2017-06-14 &amp; aws s3 cp s3://rtdc.mdm.uploadarchive.raw/RTDC4043/ "%USERPROFILE%\AppData\Local\Temp\OnboardLogs"\RTDC4043\2017-06-15 --exclude "*" --recursive --include "*20170615*" &amp; "%USERPROFILE%\Documents\GitHub\mrs-test-scripts\Headless Mode &amp; Sideloading\WalkAndUnGZ.bat" "%USERPROFILE%\AppData\Local\Temp\OnboardLogs"\RTDC4043\2017-06-15</v>
      </c>
      <c r="S13" s="84" t="str">
        <f>VLOOKUP(C13,'Train Runs'!$A$13:$AE$9934,22,0)</f>
        <v>https://d0f6bd738d7f1b3e5a7ca70fe4ff75f0.us-east-1.aws.found.io/app/kibana#/discover/Steve-Slow-Train-Analysis-(2080s-and-2083s)?_g=(refreshInterval:(display:Off,pause:!f,section:0,value:0),time:(from:'2017-06-14T10:40:14-0600',mode:absolute,to:'2017-06-14T13:25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3" s="86" t="str">
        <f t="shared" si="1"/>
        <v>"C:\Program Files (x86)\AstroGrep\AstroGrep.exe" /e /r /s /spath="%USERPROFILE%\AppData\Local\Temp\OnboardLogs" /stypes="*4043*201706141*" /stext=" 18:.+((SYSTEM_STATE.+slice.+state.+changed )|(ment ac)|(multiple cpu faults)|(system.+state.+changed )|(\[timeout)|(PRM\|1\|D)|(kpr)|(kdp)|(train st.+moving)|(\|lc)|(penalty))"</v>
      </c>
      <c r="U13" s="9" t="str">
        <f t="shared" si="2"/>
        <v>4043</v>
      </c>
      <c r="V13" s="31">
        <f t="shared" si="3"/>
        <v>42900.757465277777</v>
      </c>
      <c r="W13" s="45" t="str">
        <f t="shared" si="7"/>
        <v>EC</v>
      </c>
      <c r="X13" s="22">
        <f t="shared" si="8"/>
        <v>158</v>
      </c>
      <c r="Y13" s="96" t="str">
        <f t="shared" si="4"/>
        <v>echo {"issue":{"subject":"Form C","project_id":79,"tracker_id":40,"status_id":1,"priority_id":2,"assigned_to_id":23,"start_date":"2017-06-14","description":"","custom_fields":[{"id":1,"name":"Subdivision","value":"EC"},{"id":4,"name":"Milepost","value":"5.8904"},{"id":17,"name":"Train ID","value":"158-14"},{"id":16,"name":"Locomotive ID","value":"4043"},{"id":130,"name":"Impact","value":""},{"id":150,"name":"Time of Event (Mountain Time)","value":"12:10:45"},{"id":151,"name":"Denver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5"/>
        <v>grep -hrE -A400 "Enforcement Action" /cygdrive/c/Users/stu/AppData/Local/Temp/OnboardLogs/RTDC4043 --include="*4043*201706141*"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"%USERPROFILE%\AppData\Local\Temp\OnboardLogs"\RTDC4043\*4043*201706141* &gt;&gt; 2017-06-14-SliceDisagreementCheck.txt</v>
      </c>
      <c r="AE13" s="145" t="str">
        <f t="shared" si="9"/>
        <v>start /low /b %USERPROFILE%\Documents\GitHub\eaglep3\Utilities\DownloadLogsFromS3.py --loco 4043 --day 2017-06-14</v>
      </c>
    </row>
    <row r="14" spans="1:32" x14ac:dyDescent="0.25">
      <c r="A14" s="31">
        <v>42900.801504629628</v>
      </c>
      <c r="B14" s="30" t="s">
        <v>599</v>
      </c>
      <c r="C14" s="30" t="s">
        <v>641</v>
      </c>
      <c r="D14" s="30" t="s">
        <v>49</v>
      </c>
      <c r="E14" s="30" t="s">
        <v>187</v>
      </c>
      <c r="F14" s="42">
        <v>0</v>
      </c>
      <c r="G14" s="42">
        <v>52</v>
      </c>
      <c r="H14" s="42">
        <v>62974</v>
      </c>
      <c r="I14" s="42">
        <v>63098</v>
      </c>
      <c r="J14" s="30" t="s">
        <v>188</v>
      </c>
      <c r="K14" s="42">
        <v>63069</v>
      </c>
      <c r="L14" s="131" t="s">
        <v>50</v>
      </c>
      <c r="M14" s="132">
        <f t="shared" si="0"/>
        <v>-15.311999999999999</v>
      </c>
      <c r="N14" s="133" t="str">
        <f>VLOOKUP(C14,'Trips&amp;Operators'!$C$1:$G$99999,5,FALSE)</f>
        <v>FORTUNATO FRANK</v>
      </c>
      <c r="O14" s="203" t="s">
        <v>180</v>
      </c>
      <c r="P14" s="134" t="s">
        <v>397</v>
      </c>
      <c r="Q14" s="30"/>
      <c r="R14" s="81" t="str">
        <f>VLOOKUP(C14,'Train Runs'!$A$13:$AE$9934,31,0)</f>
        <v>aws s3 cp s3://rtdc.mdm.uploadarchive.raw/RTDC4010/ "%USERPROFILE%\AppData\Local\Temp\OnboardLogs"\RTDC4010\2017-06-14 --exclude "*" --recursive --include "*20170614*" &amp; "%USERPROFILE%\Documents\GitHub\mrs-test-scripts\Headless Mode &amp; Sideloading\WalkAndUnGZ.bat" "%USERPROFILE%\AppData\Local\Temp\OnboardLogs"\RTDC4010\2017-06-14 &amp; 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</v>
      </c>
      <c r="S14" s="84" t="str">
        <f>VLOOKUP(C14,'Train Runs'!$A$13:$AE$9934,22,0)</f>
        <v>https://d0f6bd738d7f1b3e5a7ca70fe4ff75f0.us-east-1.aws.found.io/app/kibana#/discover/Steve-Slow-Train-Analysis-(2080s-and-2083s)?_g=(refreshInterval:(display:Off,pause:!f,section:0,value:0),time:(from:'2017-06-14T17:52:44-0600',mode:absolute,to:'2017-06-14T20:38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4" s="86" t="str">
        <f t="shared" si="1"/>
        <v>"C:\Program Files (x86)\AstroGrep\AstroGrep.exe" /e /r /s /spath="%USERPROFILE%\AppData\Local\Temp\OnboardLogs" /stypes="*4010*201706150*" /stext=" 01:.+((SYSTEM_STATE.+slice.+state.+changed )|(ment ac)|(multiple cpu faults)|(system.+state.+changed )|(\[timeout)|(PRM\|1\|D)|(kpr)|(kdp)|(train st.+moving)|(\|lc)|(penalty))"</v>
      </c>
      <c r="U14" s="9" t="str">
        <f t="shared" si="2"/>
        <v>4010</v>
      </c>
      <c r="V14" s="31">
        <f t="shared" si="3"/>
        <v>42901.051504629628</v>
      </c>
      <c r="W14" s="45" t="str">
        <f t="shared" si="7"/>
        <v>EC</v>
      </c>
      <c r="X14" s="22">
        <f t="shared" si="8"/>
        <v>221</v>
      </c>
      <c r="Y14" s="96" t="str">
        <f t="shared" si="4"/>
        <v>echo {"issue":{"subject":"Early arrival","project_id":79,"tracker_id":40,"status_id":1,"priority_id":2,"assigned_to_id":23,"start_date":"2017-06-14","description":"","custom_fields":[{"id":1,"name":"Subdivision","value":"EC"},{"id":4,"name":"Milepost","value":"6.3069"},{"id":17,"name":"Train ID","value":"221-14"},{"id":16,"name":"Locomotive ID","value":"4010"},{"id":130,"name":"Impact","value":""},{"id":150,"name":"Time of Event (Mountain Time)","value":"19:14:10"},{"id":151,"name":"Denver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5"/>
        <v>grep -hrE -A400 "Enforcement Action" /cygdrive/c/Users/stu/AppData/Local/Temp/OnboardLogs/RTDC4010 --include="*4010*201706150*"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"%USERPROFILE%\AppData\Local\Temp\OnboardLogs"\RTDC4010\*4010*201706150* &gt;&gt; 2017-06-14-SliceDisagreementCheck.txt</v>
      </c>
      <c r="AE14" s="145" t="str">
        <f t="shared" si="9"/>
        <v>start /low /b %USERPROFILE%\Documents\GitHub\eaglep3\Utilities\DownloadLogsFromS3.py --loco 4010 --day 2017-06-15</v>
      </c>
      <c r="AF14" s="1"/>
    </row>
    <row r="15" spans="1:32" x14ac:dyDescent="0.25">
      <c r="A15" s="31">
        <v>42900.801134259258</v>
      </c>
      <c r="B15" s="30" t="s">
        <v>599</v>
      </c>
      <c r="C15" s="30" t="s">
        <v>641</v>
      </c>
      <c r="D15" s="30" t="s">
        <v>49</v>
      </c>
      <c r="E15" s="30" t="s">
        <v>187</v>
      </c>
      <c r="F15" s="42">
        <v>110</v>
      </c>
      <c r="G15" s="42">
        <v>298</v>
      </c>
      <c r="H15" s="42">
        <v>62343</v>
      </c>
      <c r="I15" s="42">
        <v>62950</v>
      </c>
      <c r="J15" s="30" t="s">
        <v>188</v>
      </c>
      <c r="K15" s="42">
        <v>63069</v>
      </c>
      <c r="L15" s="131" t="s">
        <v>50</v>
      </c>
      <c r="M15" s="132">
        <f t="shared" si="0"/>
        <v>62.832000000000001</v>
      </c>
      <c r="N15" s="133" t="str">
        <f>VLOOKUP(C15,'Trips&amp;Operators'!$C$1:$G$99999,5,FALSE)</f>
        <v>FORTUNATO FRANK</v>
      </c>
      <c r="O15" s="203" t="s">
        <v>180</v>
      </c>
      <c r="P15" s="134" t="s">
        <v>397</v>
      </c>
      <c r="Q15" s="30"/>
      <c r="R15" s="81" t="str">
        <f>VLOOKUP(C15,'Train Runs'!$A$13:$AE$9934,31,0)</f>
        <v>aws s3 cp s3://rtdc.mdm.uploadarchive.raw/RTDC4010/ "%USERPROFILE%\AppData\Local\Temp\OnboardLogs"\RTDC4010\2017-06-14 --exclude "*" --recursive --include "*20170614*" &amp; "%USERPROFILE%\Documents\GitHub\mrs-test-scripts\Headless Mode &amp; Sideloading\WalkAndUnGZ.bat" "%USERPROFILE%\AppData\Local\Temp\OnboardLogs"\RTDC4010\2017-06-14 &amp; 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</v>
      </c>
      <c r="S15" s="84" t="str">
        <f>VLOOKUP(C15,'Train Runs'!$A$13:$AE$9934,22,0)</f>
        <v>https://d0f6bd738d7f1b3e5a7ca70fe4ff75f0.us-east-1.aws.found.io/app/kibana#/discover/Steve-Slow-Train-Analysis-(2080s-and-2083s)?_g=(refreshInterval:(display:Off,pause:!f,section:0,value:0),time:(from:'2017-06-14T17:52:44-0600',mode:absolute,to:'2017-06-14T20:38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5" s="86" t="str">
        <f t="shared" si="1"/>
        <v>"C:\Program Files (x86)\AstroGrep\AstroGrep.exe" /e /r /s /spath="%USERPROFILE%\AppData\Local\Temp\OnboardLogs" /stypes="*4010*201706150*" /stext=" 01:.+((SYSTEM_STATE.+slice.+state.+changed )|(ment ac)|(multiple cpu faults)|(system.+state.+changed )|(\[timeout)|(PRM\|1\|D)|(kpr)|(kdp)|(train st.+moving)|(\|lc)|(penalty))"</v>
      </c>
      <c r="U15" s="9" t="str">
        <f t="shared" si="2"/>
        <v>4010</v>
      </c>
      <c r="V15" s="31">
        <f t="shared" si="3"/>
        <v>42901.051134259258</v>
      </c>
      <c r="W15" s="45" t="str">
        <f t="shared" si="7"/>
        <v>EC</v>
      </c>
      <c r="X15" s="22">
        <f t="shared" si="8"/>
        <v>221</v>
      </c>
      <c r="Y15" s="96" t="str">
        <f t="shared" si="4"/>
        <v>echo {"issue":{"subject":"Early arrival","project_id":79,"tracker_id":40,"status_id":1,"priority_id":2,"assigned_to_id":23,"start_date":"2017-06-14","description":"","custom_fields":[{"id":1,"name":"Subdivision","value":"EC"},{"id":4,"name":"Milepost","value":"6.3069"},{"id":17,"name":"Train ID","value":"221-14"},{"id":16,"name":"Locomotive ID","value":"4010"},{"id":130,"name":"Impact","value":""},{"id":150,"name":"Time of Event (Mountain Time)","value":"19:13:38"},{"id":151,"name":"Denver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5"/>
        <v>grep -hrE -A400 "Enforcement Action" /cygdrive/c/Users/stu/AppData/Local/Temp/OnboardLogs/RTDC4010 --include="*4010*201706150*"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"%USERPROFILE%\AppData\Local\Temp\OnboardLogs"\RTDC4010\*4010*201706150* &gt;&gt; 2017-06-14-SliceDisagreementCheck.txt</v>
      </c>
      <c r="AE15" s="145" t="str">
        <f t="shared" si="9"/>
        <v>start /low /b %USERPROFILE%\Documents\GitHub\eaglep3\Utilities\DownloadLogsFromS3.py --loco 4010 --day 2017-06-15</v>
      </c>
      <c r="AF15" s="1"/>
    </row>
    <row r="16" spans="1:32" x14ac:dyDescent="0.25">
      <c r="A16" s="31">
        <v>42900.711365740739</v>
      </c>
      <c r="B16" s="30" t="s">
        <v>608</v>
      </c>
      <c r="C16" s="30" t="s">
        <v>632</v>
      </c>
      <c r="D16" s="30" t="s">
        <v>49</v>
      </c>
      <c r="E16" s="30" t="s">
        <v>187</v>
      </c>
      <c r="F16" s="42">
        <v>0</v>
      </c>
      <c r="G16" s="42">
        <v>660</v>
      </c>
      <c r="H16" s="42">
        <v>67001</v>
      </c>
      <c r="I16" s="42">
        <v>64899</v>
      </c>
      <c r="J16" s="30" t="s">
        <v>188</v>
      </c>
      <c r="K16" s="42">
        <v>63309</v>
      </c>
      <c r="L16" s="131" t="s">
        <v>51</v>
      </c>
      <c r="M16" s="132">
        <f t="shared" si="0"/>
        <v>839.52</v>
      </c>
      <c r="N16" s="133" t="str">
        <f>VLOOKUP(C16,'Trips&amp;Operators'!$C$1:$G$99999,5,FALSE)</f>
        <v>DELGADO DIANAH</v>
      </c>
      <c r="O16" s="203" t="s">
        <v>180</v>
      </c>
      <c r="P16" s="134" t="s">
        <v>397</v>
      </c>
      <c r="Q16" s="30"/>
      <c r="R16" s="81" t="str">
        <f>VLOOKUP(C16,'Train Runs'!$A$13:$AE$9934,31,0)</f>
        <v>aws s3 cp s3://rtdc.mdm.uploadarchive.raw/RTDC4003/ "%USERPROFILE%\AppData\Local\Temp\OnboardLogs"\RTDC4003\2017-06-14 --exclude "*" --recursive --include "*20170614*" &amp; "%USERPROFILE%\Documents\GitHub\mrs-test-scripts\Headless Mode &amp; Sideloading\WalkAndUnGZ.bat" "%USERPROFILE%\AppData\Local\Temp\OnboardLogs"\RTDC4003\2017-06-14 &amp; aws s3 cp s3://rtdc.mdm.uploadarchive.raw/RTDC4003/ "%USERPROFILE%\AppData\Local\Temp\OnboardLogs"\RTDC4003\2017-06-15 --exclude "*" --recursive --include "*20170615*" &amp; "%USERPROFILE%\Documents\GitHub\mrs-test-scripts\Headless Mode &amp; Sideloading\WalkAndUnGZ.bat" "%USERPROFILE%\AppData\Local\Temp\OnboardLogs"\RTDC4003\2017-06-15</v>
      </c>
      <c r="S16" s="84" t="str">
        <f>VLOOKUP(C16,'Train Runs'!$A$13:$AE$9934,22,0)</f>
        <v>https://d0f6bd738d7f1b3e5a7ca70fe4ff75f0.us-east-1.aws.found.io/app/kibana#/discover/Steve-Slow-Train-Analysis-(2080s-and-2083s)?_g=(refreshInterval:(display:Off,pause:!f,section:0,value:0),time:(from:'2017-06-14T15:31:38-0600',mode:absolute,to:'2017-06-14T18:22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6" s="86" t="str">
        <f t="shared" si="1"/>
        <v>"C:\Program Files (x86)\AstroGrep\AstroGrep.exe" /e /r /s /spath="%USERPROFILE%\AppData\Local\Temp\OnboardLogs" /stypes="*4003*201706142*" /stext=" 23:.+((SYSTEM_STATE.+slice.+state.+changed )|(ment ac)|(multiple cpu faults)|(system.+state.+changed )|(\[timeout)|(PRM\|1\|D)|(kpr)|(kdp)|(train st.+moving)|(\|lc)|(penalty))"</v>
      </c>
      <c r="U16" s="9" t="str">
        <f t="shared" si="2"/>
        <v>4003</v>
      </c>
      <c r="V16" s="31">
        <f t="shared" si="3"/>
        <v>42900.961365740739</v>
      </c>
      <c r="W16" s="45" t="str">
        <f t="shared" si="7"/>
        <v>EC</v>
      </c>
      <c r="X16" s="22">
        <f t="shared" si="8"/>
        <v>198</v>
      </c>
      <c r="Y16" s="96" t="str">
        <f t="shared" si="4"/>
        <v>echo {"issue":{"subject":"Early arrival","project_id":79,"tracker_id":40,"status_id":1,"priority_id":2,"assigned_to_id":23,"start_date":"2017-06-14","description":"","custom_fields":[{"id":1,"name":"Subdivision","value":"EC"},{"id":4,"name":"Milepost","value":"6.3309"},{"id":17,"name":"Train ID","value":"198-14"},{"id":16,"name":"Locomotive ID","value":"4003"},{"id":130,"name":"Impact","value":""},{"id":150,"name":"Time of Event (Mountain Time)","value":"17:04:22"},{"id":151,"name":"Denver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5"/>
        <v>grep -hrE -A400 "Enforcement Action" /cygdrive/c/Users/stu/AppData/Local/Temp/OnboardLogs/RTDC4003 --include="*4003*201706142*"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"%USERPROFILE%\AppData\Local\Temp\OnboardLogs"\RTDC4003\*4003*201706142* &gt;&gt; 2017-06-14-SliceDisagreementCheck.txt</v>
      </c>
      <c r="AE16" s="145" t="str">
        <f t="shared" si="9"/>
        <v>start /low /b %USERPROFILE%\Documents\GitHub\eaglep3\Utilities\DownloadLogsFromS3.py --loco 4003 --day 2017-06-14</v>
      </c>
      <c r="AF16" s="1"/>
    </row>
    <row r="17" spans="1:32" x14ac:dyDescent="0.25">
      <c r="A17" s="31">
        <v>42900.274861111109</v>
      </c>
      <c r="B17" s="30" t="s">
        <v>608</v>
      </c>
      <c r="C17" s="30" t="s">
        <v>609</v>
      </c>
      <c r="D17" s="30" t="s">
        <v>49</v>
      </c>
      <c r="E17" s="30" t="s">
        <v>187</v>
      </c>
      <c r="F17" s="42">
        <v>190</v>
      </c>
      <c r="G17" s="42">
        <v>242</v>
      </c>
      <c r="H17" s="42">
        <v>63691</v>
      </c>
      <c r="I17" s="42">
        <v>63152</v>
      </c>
      <c r="J17" s="30" t="s">
        <v>188</v>
      </c>
      <c r="K17" s="42">
        <v>63309</v>
      </c>
      <c r="L17" s="131" t="s">
        <v>51</v>
      </c>
      <c r="M17" s="132">
        <f t="shared" si="0"/>
        <v>-82.895999999999987</v>
      </c>
      <c r="N17" s="133" t="str">
        <f>VLOOKUP(C17,'Trips&amp;Operators'!$C$1:$G$99999,5,FALSE)</f>
        <v>LOZA FIDEL</v>
      </c>
      <c r="O17" s="203" t="s">
        <v>180</v>
      </c>
      <c r="P17" s="134" t="s">
        <v>397</v>
      </c>
      <c r="Q17" s="30"/>
      <c r="R17" s="81" t="str">
        <f>VLOOKUP(C17,'Train Runs'!$A$13:$AE$9934,31,0)</f>
        <v>aws s3 cp s3://rtdc.mdm.uploadarchive.raw/RTDC4003/ "%USERPROFILE%\AppData\Local\Temp\OnboardLogs"\RTDC4003\2017-06-14 --exclude "*" --recursive --include "*20170614*" &amp; "%USERPROFILE%\Documents\GitHub\mrs-test-scripts\Headless Mode &amp; Sideloading\WalkAndUnGZ.bat" "%USERPROFILE%\AppData\Local\Temp\OnboardLogs"\RTDC4003\2017-06-14 &amp; aws s3 cp s3://rtdc.mdm.uploadarchive.raw/RTDC4003/ "%USERPROFILE%\AppData\Local\Temp\OnboardLogs"\RTDC4003\2017-06-15 --exclude "*" --recursive --include "*20170615*" &amp; "%USERPROFILE%\Documents\GitHub\mrs-test-scripts\Headless Mode &amp; Sideloading\WalkAndUnGZ.bat" "%USERPROFILE%\AppData\Local\Temp\OnboardLogs"\RTDC4003\2017-06-15</v>
      </c>
      <c r="S17" s="84" t="str">
        <f>VLOOKUP(C17,'Train Runs'!$A$13:$AE$9934,22,0)</f>
        <v>https://d0f6bd738d7f1b3e5a7ca70fe4ff75f0.us-east-1.aws.found.io/app/kibana#/discover/Steve-Slow-Train-Analysis-(2080s-and-2083s)?_g=(refreshInterval:(display:Off,pause:!f,section:0,value:0),time:(from:'2017-06-14T05:08:13-0600',mode:absolute,to:'2017-06-14T07:49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7" s="86" t="str">
        <f t="shared" si="1"/>
        <v>"C:\Program Files (x86)\AstroGrep\AstroGrep.exe" /e /r /s /spath="%USERPROFILE%\AppData\Local\Temp\OnboardLogs" /stypes="*4003*201706141*" /stext=" 12:.+((SYSTEM_STATE.+slice.+state.+changed )|(ment ac)|(multiple cpu faults)|(system.+state.+changed )|(\[timeout)|(PRM\|1\|D)|(kpr)|(kdp)|(train st.+moving)|(\|lc)|(penalty))"</v>
      </c>
      <c r="U17" s="9" t="str">
        <f t="shared" si="2"/>
        <v>4003</v>
      </c>
      <c r="V17" s="31">
        <f t="shared" si="3"/>
        <v>42900.524861111109</v>
      </c>
      <c r="W17" s="45" t="str">
        <f t="shared" si="7"/>
        <v>EC</v>
      </c>
      <c r="X17" s="22">
        <f t="shared" si="8"/>
        <v>114</v>
      </c>
      <c r="Y17" s="96" t="str">
        <f t="shared" si="4"/>
        <v>echo {"issue":{"subject":"Early arrival","project_id":79,"tracker_id":40,"status_id":1,"priority_id":2,"assigned_to_id":23,"start_date":"2017-06-14","description":"","custom_fields":[{"id":1,"name":"Subdivision","value":"EC"},{"id":4,"name":"Milepost","value":"6.3309"},{"id":17,"name":"Train ID","value":"114-14"},{"id":16,"name":"Locomotive ID","value":"4003"},{"id":130,"name":"Impact","value":""},{"id":150,"name":"Time of Event (Mountain Time)","value":"06:35:48"},{"id":151,"name":"Denver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5"/>
        <v>grep -hrE -A400 "Enforcement Action" /cygdrive/c/Users/stu/AppData/Local/Temp/OnboardLogs/RTDC4003 --include="*4003*201706141*"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"%USERPROFILE%\AppData\Local\Temp\OnboardLogs"\RTDC4003\*4003*201706141* &gt;&gt; 2017-06-14-SliceDisagreementCheck.txt</v>
      </c>
      <c r="AE17" s="145" t="str">
        <f t="shared" si="9"/>
        <v>start /low /b %USERPROFILE%\Documents\GitHub\eaglep3\Utilities\DownloadLogsFromS3.py --loco 4003 --day 2017-06-14</v>
      </c>
      <c r="AF17" s="1"/>
    </row>
    <row r="18" spans="1:32" x14ac:dyDescent="0.25">
      <c r="A18" s="31">
        <v>42900.40625</v>
      </c>
      <c r="B18" s="30" t="s">
        <v>618</v>
      </c>
      <c r="C18" s="30" t="s">
        <v>619</v>
      </c>
      <c r="D18" s="30" t="s">
        <v>49</v>
      </c>
      <c r="E18" s="30" t="s">
        <v>187</v>
      </c>
      <c r="F18" s="42">
        <v>0</v>
      </c>
      <c r="G18" s="42">
        <v>415</v>
      </c>
      <c r="H18" s="42">
        <v>109467</v>
      </c>
      <c r="I18" s="42">
        <v>108409</v>
      </c>
      <c r="J18" s="30" t="s">
        <v>188</v>
      </c>
      <c r="K18" s="42">
        <v>109135</v>
      </c>
      <c r="L18" s="131" t="s">
        <v>51</v>
      </c>
      <c r="M18" s="132">
        <f t="shared" si="0"/>
        <v>-383.32799999999997</v>
      </c>
      <c r="N18" s="133" t="str">
        <f>VLOOKUP(C18,'Trips&amp;Operators'!$C$1:$G$99999,5,FALSE)</f>
        <v>BONDS REYNALDO</v>
      </c>
      <c r="O18" s="203" t="s">
        <v>180</v>
      </c>
      <c r="P18" s="134" t="s">
        <v>397</v>
      </c>
      <c r="Q18" s="30"/>
      <c r="R18" s="81" t="str">
        <f>VLOOKUP(C18,'Train Runs'!$A$13:$AE$9934,31,0)</f>
        <v>aws s3 cp s3://rtdc.mdm.uploadarchive.raw/RTDC4009/ "%USERPROFILE%\AppData\Local\Temp\OnboardLogs"\RTDC4009\2017-06-14 --exclude "*" --recursive --include "*20170614*" &amp; "%USERPROFILE%\Documents\GitHub\mrs-test-scripts\Headless Mode &amp; Sideloading\WalkAndUnGZ.bat" "%USERPROFILE%\AppData\Local\Temp\OnboardLogs"\RTDC4009\2017-06-14 &amp; aws s3 cp s3://rtdc.mdm.uploadarchive.raw/RTDC4009/ "%USERPROFILE%\AppData\Local\Temp\OnboardLogs"\RTDC4009\2017-06-15 --exclude "*" --recursive --include "*20170615*" &amp; "%USERPROFILE%\Documents\GitHub\mrs-test-scripts\Headless Mode &amp; Sideloading\WalkAndUnGZ.bat" "%USERPROFILE%\AppData\Local\Temp\OnboardLogs"\RTDC4009\2017-06-15</v>
      </c>
      <c r="S18" s="84" t="str">
        <f>VLOOKUP(C18,'Train Runs'!$A$13:$AE$9934,22,0)</f>
        <v>https://d0f6bd738d7f1b3e5a7ca70fe4ff75f0.us-east-1.aws.found.io/app/kibana#/discover/Steve-Slow-Train-Analysis-(2080s-and-2083s)?_g=(refreshInterval:(display:Off,pause:!f,section:0,value:0),time:(from:'2017-06-14T08:22:58-0600',mode:absolute,to:'2017-06-14T11:09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8" s="86" t="str">
        <f t="shared" si="1"/>
        <v>"C:\Program Files (x86)\AstroGrep\AstroGrep.exe" /e /r /s /spath="%USERPROFILE%\AppData\Local\Temp\OnboardLogs" /stypes="*4009*201706141*" /stext=" 15:.+((SYSTEM_STATE.+slice.+state.+changed )|(ment ac)|(multiple cpu faults)|(system.+state.+changed )|(\[timeout)|(PRM\|1\|D)|(kpr)|(kdp)|(train st.+moving)|(\|lc)|(penalty))"</v>
      </c>
      <c r="U18" s="9" t="str">
        <f t="shared" si="2"/>
        <v>4009</v>
      </c>
      <c r="V18" s="31">
        <f t="shared" si="3"/>
        <v>42900.65625</v>
      </c>
      <c r="W18" s="45" t="str">
        <f t="shared" si="7"/>
        <v>EC</v>
      </c>
      <c r="X18" s="22">
        <f t="shared" si="8"/>
        <v>140</v>
      </c>
      <c r="Y18" s="96" t="str">
        <f t="shared" si="4"/>
        <v>echo {"issue":{"subject":"Early arrival","project_id":79,"tracker_id":40,"status_id":1,"priority_id":2,"assigned_to_id":23,"start_date":"2017-06-14","description":"","custom_fields":[{"id":1,"name":"Subdivision","value":"EC"},{"id":4,"name":"Milepost","value":"10.9135"},{"id":17,"name":"Train ID","value":"140-14"},{"id":16,"name":"Locomotive ID","value":"4009"},{"id":130,"name":"Impact","value":""},{"id":150,"name":"Time of Event (Mountain Time)","value":"09:45:00"},{"id":151,"name":"Denver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5"/>
        <v>grep -hrE -A400 "Enforcement Action" /cygdrive/c/Users/stu/AppData/Local/Temp/OnboardLogs/RTDC4009 --include="*4009*201706141*"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"%USERPROFILE%\AppData\Local\Temp\OnboardLogs"\RTDC4009\*4009*201706141* &gt;&gt; 2017-06-14-SliceDisagreementCheck.txt</v>
      </c>
      <c r="AE18" s="145" t="str">
        <f t="shared" si="9"/>
        <v>start /low /b %USERPROFILE%\Documents\GitHub\eaglep3\Utilities\DownloadLogsFromS3.py --loco 4009 --day 2017-06-14</v>
      </c>
      <c r="AF18" s="1"/>
    </row>
    <row r="19" spans="1:32" x14ac:dyDescent="0.25">
      <c r="A19" s="31">
        <v>42900.645509259259</v>
      </c>
      <c r="B19" s="30" t="s">
        <v>422</v>
      </c>
      <c r="C19" s="30" t="s">
        <v>628</v>
      </c>
      <c r="D19" s="30" t="s">
        <v>49</v>
      </c>
      <c r="E19" s="30" t="s">
        <v>187</v>
      </c>
      <c r="F19" s="42">
        <v>320</v>
      </c>
      <c r="G19" s="42">
        <v>376</v>
      </c>
      <c r="H19" s="42">
        <v>109807</v>
      </c>
      <c r="I19" s="42">
        <v>108848</v>
      </c>
      <c r="J19" s="30" t="s">
        <v>188</v>
      </c>
      <c r="K19" s="42">
        <v>109135</v>
      </c>
      <c r="L19" s="131" t="s">
        <v>51</v>
      </c>
      <c r="M19" s="132">
        <f t="shared" si="0"/>
        <v>-151.536</v>
      </c>
      <c r="N19" s="133" t="str">
        <f>VLOOKUP(C19,'Trips&amp;Operators'!$C$1:$G$99999,5,FALSE)</f>
        <v>DAVIS MICHAEL</v>
      </c>
      <c r="O19" s="203" t="s">
        <v>180</v>
      </c>
      <c r="P19" s="134" t="s">
        <v>397</v>
      </c>
      <c r="Q19" s="30"/>
      <c r="R19" s="81" t="str">
        <f>VLOOKUP(C19,'Train Runs'!$A$13:$AE$9934,31,0)</f>
        <v>aws s3 cp s3://rtdc.mdm.uploadarchive.raw/RTDC4043/ "%USERPROFILE%\AppData\Local\Temp\OnboardLogs"\RTDC4043\2017-06-14 --exclude "*" --recursive --include "*20170614*" &amp; "%USERPROFILE%\Documents\GitHub\mrs-test-scripts\Headless Mode &amp; Sideloading\WalkAndUnGZ.bat" "%USERPROFILE%\AppData\Local\Temp\OnboardLogs"\RTDC4043\2017-06-14 &amp; aws s3 cp s3://rtdc.mdm.uploadarchive.raw/RTDC4043/ "%USERPROFILE%\AppData\Local\Temp\OnboardLogs"\RTDC4043\2017-06-15 --exclude "*" --recursive --include "*20170615*" &amp; "%USERPROFILE%\Documents\GitHub\mrs-test-scripts\Headless Mode &amp; Sideloading\WalkAndUnGZ.bat" "%USERPROFILE%\AppData\Local\Temp\OnboardLogs"\RTDC4043\2017-06-15</v>
      </c>
      <c r="S19" s="84" t="str">
        <f>VLOOKUP(C19,'Train Runs'!$A$13:$AE$9934,22,0)</f>
        <v>https://d0f6bd738d7f1b3e5a7ca70fe4ff75f0.us-east-1.aws.found.io/app/kibana#/discover/Steve-Slow-Train-Analysis-(2080s-and-2083s)?_g=(refreshInterval:(display:Off,pause:!f,section:0,value:0),time:(from:'2017-06-14T14:08:16-0600',mode:absolute,to:'2017-06-14T16:53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9" s="86" t="str">
        <f t="shared" si="1"/>
        <v>"C:\Program Files (x86)\AstroGrep\AstroGrep.exe" /e /r /s /spath="%USERPROFILE%\AppData\Local\Temp\OnboardLogs" /stypes="*4043*201706142*" /stext=" 21:.+((SYSTEM_STATE.+slice.+state.+changed )|(ment ac)|(multiple cpu faults)|(system.+state.+changed )|(\[timeout)|(PRM\|1\|D)|(kpr)|(kdp)|(train st.+moving)|(\|lc)|(penalty))"</v>
      </c>
      <c r="U19" s="9" t="str">
        <f t="shared" si="2"/>
        <v>4043</v>
      </c>
      <c r="V19" s="31">
        <f t="shared" si="3"/>
        <v>42900.895509259259</v>
      </c>
      <c r="W19" s="45" t="str">
        <f t="shared" si="7"/>
        <v>EC</v>
      </c>
      <c r="X19" s="22">
        <f t="shared" si="8"/>
        <v>186</v>
      </c>
      <c r="Y19" s="96" t="str">
        <f t="shared" si="4"/>
        <v>echo {"issue":{"subject":"Early arrival","project_id":79,"tracker_id":40,"status_id":1,"priority_id":2,"assigned_to_id":23,"start_date":"2017-06-14","description":"","custom_fields":[{"id":1,"name":"Subdivision","value":"EC"},{"id":4,"name":"Milepost","value":"10.9135"},{"id":17,"name":"Train ID","value":"186-14"},{"id":16,"name":"Locomotive ID","value":"4043"},{"id":130,"name":"Impact","value":""},{"id":150,"name":"Time of Event (Mountain Time)","value":"15:29:32"},{"id":151,"name":"Denver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5"/>
        <v>grep -hrE -A400 "Enforcement Action" /cygdrive/c/Users/stu/AppData/Local/Temp/OnboardLogs/RTDC4043 --include="*4043*201706142*"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"%USERPROFILE%\AppData\Local\Temp\OnboardLogs"\RTDC4043\*4043*201706142* &gt;&gt; 2017-06-14-SliceDisagreementCheck.txt</v>
      </c>
      <c r="AE19" s="145" t="str">
        <f t="shared" si="9"/>
        <v>start /low /b %USERPROFILE%\Documents\GitHub\eaglep3\Utilities\DownloadLogsFromS3.py --loco 4043 --day 2017-06-14</v>
      </c>
      <c r="AF19" s="1"/>
    </row>
    <row r="20" spans="1:32" x14ac:dyDescent="0.25">
      <c r="A20" s="31">
        <v>42900.863993055558</v>
      </c>
      <c r="B20" s="30" t="s">
        <v>422</v>
      </c>
      <c r="C20" s="30" t="s">
        <v>646</v>
      </c>
      <c r="D20" s="30" t="s">
        <v>49</v>
      </c>
      <c r="E20" s="30" t="s">
        <v>187</v>
      </c>
      <c r="F20" s="42">
        <v>330</v>
      </c>
      <c r="G20" s="42">
        <v>442</v>
      </c>
      <c r="H20" s="42">
        <v>110176</v>
      </c>
      <c r="I20" s="42">
        <v>108658</v>
      </c>
      <c r="J20" s="30" t="s">
        <v>188</v>
      </c>
      <c r="K20" s="42">
        <v>109135</v>
      </c>
      <c r="L20" s="131" t="s">
        <v>51</v>
      </c>
      <c r="M20" s="132">
        <f t="shared" si="0"/>
        <v>-251.85599999999999</v>
      </c>
      <c r="N20" s="133" t="str">
        <f>VLOOKUP(C20,'Trips&amp;Operators'!$C$1:$G$99999,5,FALSE)</f>
        <v>HAITHCOX MICHAEL</v>
      </c>
      <c r="O20" s="203" t="s">
        <v>180</v>
      </c>
      <c r="P20" s="134" t="s">
        <v>397</v>
      </c>
      <c r="Q20" s="30"/>
      <c r="R20" s="81" t="str">
        <f>VLOOKUP(C20,'Train Runs'!$A$13:$AE$9934,31,0)</f>
        <v>aws s3 cp s3://rtdc.mdm.uploadarchive.raw/RTDC4043/ "%USERPROFILE%\AppData\Local\Temp\OnboardLogs"\RTDC4043\2017-06-14 --exclude "*" --recursive --include "*20170614*" &amp; "%USERPROFILE%\Documents\GitHub\mrs-test-scripts\Headless Mode &amp; Sideloading\WalkAndUnGZ.bat" "%USERPROFILE%\AppData\Local\Temp\OnboardLogs"\RTDC4043\2017-06-14 &amp; aws s3 cp s3://rtdc.mdm.uploadarchive.raw/RTDC4043/ "%USERPROFILE%\AppData\Local\Temp\OnboardLogs"\RTDC4043\2017-06-15 --exclude "*" --recursive --include "*20170615*" &amp; "%USERPROFILE%\Documents\GitHub\mrs-test-scripts\Headless Mode &amp; Sideloading\WalkAndUnGZ.bat" "%USERPROFILE%\AppData\Local\Temp\OnboardLogs"\RTDC4043\2017-06-15</v>
      </c>
      <c r="S20" s="84" t="str">
        <f>VLOOKUP(C20,'Train Runs'!$A$13:$AE$9934,22,0)</f>
        <v>https://d0f6bd738d7f1b3e5a7ca70fe4ff75f0.us-east-1.aws.found.io/app/kibana#/discover/Steve-Slow-Train-Analysis-(2080s-and-2083s)?_g=(refreshInterval:(display:Off,pause:!f,section:0,value:0),time:(from:'2017-06-14T19:10:07-0600',mode:absolute,to:'2017-06-14T22:08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0" s="86" t="str">
        <f t="shared" si="1"/>
        <v>"C:\Program Files (x86)\AstroGrep\AstroGrep.exe" /e /r /s /spath="%USERPROFILE%\AppData\Local\Temp\OnboardLogs" /stypes="*4043*201706150*" /stext=" 02:.+((SYSTEM_STATE.+slice.+state.+changed )|(ment ac)|(multiple cpu faults)|(system.+state.+changed )|(\[timeout)|(PRM\|1\|D)|(kpr)|(kdp)|(train st.+moving)|(\|lc)|(penalty))"</v>
      </c>
      <c r="U20" s="9" t="str">
        <f t="shared" si="2"/>
        <v>4043</v>
      </c>
      <c r="V20" s="31">
        <f t="shared" si="3"/>
        <v>42901.113993055558</v>
      </c>
      <c r="W20" s="45" t="str">
        <f t="shared" si="7"/>
        <v>EC</v>
      </c>
      <c r="X20" s="22">
        <f t="shared" si="8"/>
        <v>224</v>
      </c>
      <c r="Y20" s="96" t="str">
        <f t="shared" si="4"/>
        <v>echo {"issue":{"subject":"Early arrival","project_id":79,"tracker_id":40,"status_id":1,"priority_id":2,"assigned_to_id":23,"start_date":"2017-06-14","description":"","custom_fields":[{"id":1,"name":"Subdivision","value":"EC"},{"id":4,"name":"Milepost","value":"10.9135"},{"id":17,"name":"Train ID","value":"224-14"},{"id":16,"name":"Locomotive ID","value":"4043"},{"id":130,"name":"Impact","value":""},{"id":150,"name":"Time of Event (Mountain Time)","value":"20:44:09"},{"id":151,"name":"Denver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5"/>
        <v>grep -hrE -A400 "Enforcement Action" /cygdrive/c/Users/stu/AppData/Local/Temp/OnboardLogs/RTDC4043 --include="*4043*201706150*"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"%USERPROFILE%\AppData\Local\Temp\OnboardLogs"\RTDC4043\*4043*201706150* &gt;&gt; 2017-06-14-SliceDisagreementCheck.txt</v>
      </c>
      <c r="AE20" s="145" t="str">
        <f t="shared" si="9"/>
        <v>start /low /b %USERPROFILE%\Documents\GitHub\eaglep3\Utilities\DownloadLogsFromS3.py --loco 4043 --day 2017-06-15</v>
      </c>
      <c r="AF20" s="1"/>
    </row>
    <row r="21" spans="1:32" x14ac:dyDescent="0.25">
      <c r="A21" s="31">
        <v>42901.072731481479</v>
      </c>
      <c r="B21" s="30" t="s">
        <v>455</v>
      </c>
      <c r="C21" s="30" t="s">
        <v>649</v>
      </c>
      <c r="D21" s="30" t="s">
        <v>96</v>
      </c>
      <c r="E21" s="30" t="s">
        <v>187</v>
      </c>
      <c r="F21" s="42">
        <v>340</v>
      </c>
      <c r="G21" s="42">
        <v>392</v>
      </c>
      <c r="H21" s="42">
        <v>108976</v>
      </c>
      <c r="I21" s="42">
        <v>107591</v>
      </c>
      <c r="J21" s="30" t="s">
        <v>188</v>
      </c>
      <c r="K21" s="42">
        <v>109135</v>
      </c>
      <c r="L21" s="131" t="s">
        <v>51</v>
      </c>
      <c r="M21" s="132">
        <f t="shared" si="0"/>
        <v>-815.23199999999997</v>
      </c>
      <c r="N21" s="133" t="str">
        <f>VLOOKUP(C21,'Trips&amp;Operators'!$C$1:$G$99999,5,FALSE)</f>
        <v>JACKSON WILLIAM</v>
      </c>
      <c r="O21" s="203" t="s">
        <v>180</v>
      </c>
      <c r="P21" s="134" t="s">
        <v>397</v>
      </c>
      <c r="Q21" s="30"/>
      <c r="R21" s="81" t="str">
        <f>VLOOKUP(C21,'Train Runs'!$A$13:$AE$9934,31,0)</f>
        <v>aws s3 cp s3://rtdc.mdm.uploadarchive.raw/RTDC4055/ "%USERPROFILE%\AppData\Local\Temp\OnboardLogs"\RTDC4055\2017-06-15 --exclude "*" --recursive --include "*20170615*" &amp; "%USERPROFILE%\Documents\GitHub\mrs-test-scripts\Headless Mode &amp; Sideloading\WalkAndUnGZ.bat" "%USERPROFILE%\AppData\Local\Temp\OnboardLogs"\RTDC4055\2017-06-15 &amp; aws s3 cp s3://rtdc.mdm.uploadarchive.raw/RTDC4055/ "%USERPROFILE%\AppData\Local\Temp\OnboardLogs"\RTDC4055\2017-06-16 --exclude "*" --recursive --include "*20170616*" &amp; "%USERPROFILE%\Documents\GitHub\mrs-test-scripts\Headless Mode &amp; Sideloading\WalkAndUnGZ.bat" "%USERPROFILE%\AppData\Local\Temp\OnboardLogs"\RTDC4055\2017-06-16</v>
      </c>
      <c r="S21" s="84" t="str">
        <f>VLOOKUP(C21,'Train Runs'!$A$13:$AE$9934,22,0)</f>
        <v>https://d0f6bd738d7f1b3e5a7ca70fe4ff75f0.us-east-1.aws.found.io/app/kibana#/discover/Steve-Slow-Train-Analysis-(2080s-and-2083s)?_g=(refreshInterval:(display:Off,pause:!f,section:0,value:0),time:(from:'2017-06-15T00:18:15-0600',mode:absolute,to:'2017-06-15T03:06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21" s="86" t="str">
        <f t="shared" si="1"/>
        <v>"C:\Program Files (x86)\AstroGrep\AstroGrep.exe" /e /r /s /spath="%USERPROFILE%\AppData\Local\Temp\OnboardLogs" /stypes="*4055*201706150*" /stext=" 07:.+((SYSTEM_STATE.+slice.+state.+changed )|(ment ac)|(multiple cpu faults)|(system.+state.+changed )|(\[timeout)|(PRM\|1\|D)|(kpr)|(kdp)|(train st.+moving)|(\|lc)|(penalty))"</v>
      </c>
      <c r="U21" s="9" t="str">
        <f t="shared" si="2"/>
        <v>4055</v>
      </c>
      <c r="V21" s="31">
        <f t="shared" si="3"/>
        <v>42901.322731481479</v>
      </c>
      <c r="W21" s="45" t="str">
        <f t="shared" si="7"/>
        <v>EC</v>
      </c>
      <c r="X21" s="22">
        <f t="shared" si="8"/>
        <v>244</v>
      </c>
      <c r="Y21" s="96" t="str">
        <f t="shared" si="4"/>
        <v>echo {"issue":{"subject":"Early arrival","project_id":79,"tracker_id":40,"status_id":1,"priority_id":2,"assigned_to_id":23,"start_date":"2017-06-15","description":"","custom_fields":[{"id":1,"name":"Subdivision","value":"EC"},{"id":4,"name":"Milepost","value":"10.9135"},{"id":17,"name":"Train ID","value":"244-14"},{"id":16,"name":"Locomotive ID","value":"4055"},{"id":130,"name":"Impact","value":""},{"id":150,"name":"Time of Event (Mountain Time)","value":"01:44:44"},{"id":151,"name":"Denver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5"/>
        <v>grep -hrE -A400 "Enforcement Action" /cygdrive/c/Users/stu/AppData/Local/Temp/OnboardLogs/RTDC4055 --include="*4055*201706150*"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"%USERPROFILE%\AppData\Local\Temp\OnboardLogs"\RTDC4055\*4055*201706150* &gt;&gt; 2017-06-14-SliceDisagreementCheck.txt</v>
      </c>
      <c r="AE21" s="145" t="str">
        <f t="shared" si="9"/>
        <v>start /low /b %USERPROFILE%\Documents\GitHub\eaglep3\Utilities\DownloadLogsFromS3.py --loco 4055 --day 2017-06-15</v>
      </c>
      <c r="AF21" s="1"/>
    </row>
    <row r="22" spans="1:32" x14ac:dyDescent="0.25">
      <c r="A22" s="31">
        <v>42900.274768518517</v>
      </c>
      <c r="B22" s="30" t="s">
        <v>373</v>
      </c>
      <c r="C22" s="30" t="s">
        <v>607</v>
      </c>
      <c r="D22" s="30" t="s">
        <v>96</v>
      </c>
      <c r="E22" s="30" t="s">
        <v>200</v>
      </c>
      <c r="F22" s="42">
        <v>300</v>
      </c>
      <c r="G22" s="42">
        <v>359</v>
      </c>
      <c r="H22" s="42">
        <v>20379</v>
      </c>
      <c r="I22" s="42">
        <v>21437</v>
      </c>
      <c r="J22" s="30" t="s">
        <v>201</v>
      </c>
      <c r="K22" s="42">
        <v>20338</v>
      </c>
      <c r="L22" s="131" t="s">
        <v>50</v>
      </c>
      <c r="M22" s="132">
        <f t="shared" si="0"/>
        <v>-580.27200000000005</v>
      </c>
      <c r="N22" s="133" t="str">
        <f>VLOOKUP(C22,'Trips&amp;Operators'!$C$1:$G$99999,5,FALSE)</f>
        <v>DAVIS WENDY</v>
      </c>
      <c r="O22" s="203" t="s">
        <v>180</v>
      </c>
      <c r="P22" s="134"/>
      <c r="Q22" s="30"/>
      <c r="R22" s="81" t="str">
        <f>VLOOKUP(C22,'Train Runs'!$A$13:$AE$9934,31,0)</f>
        <v>aws s3 cp s3://rtdc.mdm.uploadarchive.raw/RTDC4040/ "%USERPROFILE%\AppData\Local\Temp\OnboardLogs"\RTDC4040\2017-06-14 --exclude "*" --recursive --include "*20170614*" &amp; "%USERPROFILE%\Documents\GitHub\mrs-test-scripts\Headless Mode &amp; Sideloading\WalkAndUnGZ.bat" "%USERPROFILE%\AppData\Local\Temp\OnboardLogs"\RTDC4040\2017-06-14 &amp; aws s3 cp s3://rtdc.mdm.uploadarchive.raw/RTDC4040/ "%USERPROFILE%\AppData\Local\Temp\OnboardLogs"\RTDC4040\2017-06-15 --exclude "*" --recursive --include "*20170615*" &amp; "%USERPROFILE%\Documents\GitHub\mrs-test-scripts\Headless Mode &amp; Sideloading\WalkAndUnGZ.bat" "%USERPROFILE%\AppData\Local\Temp\OnboardLogs"\RTDC4040\2017-06-15</v>
      </c>
      <c r="S22" s="84" t="str">
        <f>VLOOKUP(C22,'Train Runs'!$A$13:$AE$9934,22,0)</f>
        <v>https://d0f6bd738d7f1b3e5a7ca70fe4ff75f0.us-east-1.aws.found.io/app/kibana#/discover/Steve-Slow-Train-Analysis-(2080s-and-2083s)?_g=(refreshInterval:(display:Off,pause:!f,section:0,value:0),time:(from:'2017-06-14T05:23:22-0600',mode:absolute,to:'2017-06-14T08:08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2" s="86" t="str">
        <f t="shared" si="1"/>
        <v>"C:\Program Files (x86)\AstroGrep\AstroGrep.exe" /e /r /s /spath="%USERPROFILE%\AppData\Local\Temp\OnboardLogs" /stypes="*4040*201706141*" /stext=" 12:.+((SYSTEM_STATE.+slice.+state.+changed )|(ment ac)|(multiple cpu faults)|(system.+state.+changed )|(\[timeout)|(PRM\|1\|D)|(kpr)|(kdp)|(train st.+moving)|(\|lc)|(penalty))"</v>
      </c>
      <c r="U22" s="9" t="str">
        <f t="shared" si="2"/>
        <v>4040</v>
      </c>
      <c r="V22" s="31">
        <f t="shared" si="3"/>
        <v>42900.524768518517</v>
      </c>
      <c r="W22" s="45" t="str">
        <f t="shared" si="7"/>
        <v>EC</v>
      </c>
      <c r="X22" s="22">
        <f t="shared" si="8"/>
        <v>123</v>
      </c>
      <c r="Y22" s="96" t="str">
        <f t="shared" si="4"/>
        <v>echo {"issue":{"subject":"","project_id":79,"tracker_id":40,"status_id":1,"priority_id":2,"assigned_to_id":23,"start_date":"2017-06-14","description":"","custom_fields":[{"id":1,"name":"Subdivision","value":"EC"},{"id":4,"name":"Milepost","value":"2.0338"},{"id":17,"name":"Train ID","value":"123-14"},{"id":16,"name":"Locomotive ID","value":"4040"},{"id":130,"name":"Impact","value":""},{"id":150,"name":"Time of Event (Mountain Time)","value":"06:35:40"},{"id":151,"name":"Denver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5"/>
        <v>grep -hrE -A400 "Enforcement Action" /cygdrive/c/Users/stu/AppData/Local/Temp/OnboardLogs/RTDC4040 --include="*4040*201706141*"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"%USERPROFILE%\AppData\Local\Temp\OnboardLogs"\RTDC4040\*4040*201706141* &gt;&gt; 2017-06-14-SliceDisagreementCheck.txt</v>
      </c>
      <c r="AE22" s="145" t="str">
        <f t="shared" si="9"/>
        <v>start /low /b %USERPROFILE%\Documents\GitHub\eaglep3\Utilities\DownloadLogsFromS3.py --loco 4040 --day 2017-06-14</v>
      </c>
      <c r="AF22" s="1"/>
    </row>
    <row r="23" spans="1:32" x14ac:dyDescent="0.25">
      <c r="A23" s="31">
        <v>42900.40525462963</v>
      </c>
      <c r="B23" s="30" t="s">
        <v>370</v>
      </c>
      <c r="C23" s="30" t="s">
        <v>617</v>
      </c>
      <c r="D23" s="30" t="s">
        <v>96</v>
      </c>
      <c r="E23" s="30" t="s">
        <v>200</v>
      </c>
      <c r="F23" s="42">
        <v>200</v>
      </c>
      <c r="G23" s="42">
        <v>254</v>
      </c>
      <c r="H23" s="42">
        <v>30423</v>
      </c>
      <c r="I23" s="42">
        <v>29709</v>
      </c>
      <c r="J23" s="30" t="s">
        <v>201</v>
      </c>
      <c r="K23" s="42">
        <v>30562</v>
      </c>
      <c r="L23" s="131" t="s">
        <v>51</v>
      </c>
      <c r="M23" s="132">
        <f t="shared" si="0"/>
        <v>-450.38400000000001</v>
      </c>
      <c r="N23" s="133" t="str">
        <f>VLOOKUP(C23,'Trips&amp;Operators'!$C$1:$G$99999,5,FALSE)</f>
        <v>DAVIS WENDY</v>
      </c>
      <c r="O23" s="203" t="s">
        <v>180</v>
      </c>
      <c r="P23" s="134"/>
      <c r="Q23" s="30"/>
      <c r="R23" s="81" t="str">
        <f>VLOOKUP(C23,'Train Runs'!$A$13:$AE$9934,31,0)</f>
        <v>aws s3 cp s3://rtdc.mdm.uploadarchive.raw/RTDC4039/ "%USERPROFILE%\AppData\Local\Temp\OnboardLogs"\RTDC4039\2017-06-14 --exclude "*" --recursive --include "*20170614*" &amp; "%USERPROFILE%\Documents\GitHub\mrs-test-scripts\Headless Mode &amp; Sideloading\WalkAndUnGZ.bat" "%USERPROFILE%\AppData\Local\Temp\OnboardLogs"\RTDC4039\2017-06-14 &amp; aws s3 cp s3://rtdc.mdm.uploadarchive.raw/RTDC4039/ "%USERPROFILE%\AppData\Local\Temp\OnboardLogs"\RTDC4039\2017-06-15 --exclude "*" --recursive --include "*20170615*" &amp; "%USERPROFILE%\Documents\GitHub\mrs-test-scripts\Headless Mode &amp; Sideloading\WalkAndUnGZ.bat" "%USERPROFILE%\AppData\Local\Temp\OnboardLogs"\RTDC4039\2017-06-15</v>
      </c>
      <c r="S23" s="84" t="str">
        <f>VLOOKUP(C23,'Train Runs'!$A$13:$AE$9934,22,0)</f>
        <v>https://d0f6bd738d7f1b3e5a7ca70fe4ff75f0.us-east-1.aws.found.io/app/kibana#/discover/Steve-Slow-Train-Analysis-(2080s-and-2083s)?_g=(refreshInterval:(display:Off,pause:!f,section:0,value:0),time:(from:'2017-06-14T08:07:49-0600',mode:absolute,to:'2017-06-14T10:52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3" s="86" t="str">
        <f t="shared" si="1"/>
        <v>"C:\Program Files (x86)\AstroGrep\AstroGrep.exe" /e /r /s /spath="%USERPROFILE%\AppData\Local\Temp\OnboardLogs" /stypes="*4039*201706141*" /stext=" 15:.+((SYSTEM_STATE.+slice.+state.+changed )|(ment ac)|(multiple cpu faults)|(system.+state.+changed )|(\[timeout)|(PRM\|1\|D)|(kpr)|(kdp)|(train st.+moving)|(\|lc)|(penalty))"</v>
      </c>
      <c r="U23" s="9" t="str">
        <f t="shared" si="2"/>
        <v>4039</v>
      </c>
      <c r="V23" s="31">
        <f t="shared" si="3"/>
        <v>42900.65525462963</v>
      </c>
      <c r="W23" s="45" t="str">
        <f t="shared" si="7"/>
        <v>EC</v>
      </c>
      <c r="X23" s="22">
        <f t="shared" si="8"/>
        <v>138</v>
      </c>
      <c r="Y23" s="96" t="str">
        <f t="shared" si="4"/>
        <v>echo {"issue":{"subject":"","project_id":79,"tracker_id":40,"status_id":1,"priority_id":2,"assigned_to_id":23,"start_date":"2017-06-14","description":"","custom_fields":[{"id":1,"name":"Subdivision","value":"EC"},{"id":4,"name":"Milepost","value":"3.0562"},{"id":17,"name":"Train ID","value":"138-14"},{"id":16,"name":"Locomotive ID","value":"4039"},{"id":130,"name":"Impact","value":""},{"id":150,"name":"Time of Event (Mountain Time)","value":"09:43:34"},{"id":151,"name":"Denver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5"/>
        <v>grep -hrE -A400 "Enforcement Action" /cygdrive/c/Users/stu/AppData/Local/Temp/OnboardLogs/RTDC4039 --include="*4039*201706141*"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"%USERPROFILE%\AppData\Local\Temp\OnboardLogs"\RTDC4039\*4039*201706141* &gt;&gt; 2017-06-14-SliceDisagreementCheck.txt</v>
      </c>
      <c r="AE23" s="145" t="str">
        <f t="shared" si="9"/>
        <v>start /low /b %USERPROFILE%\Documents\GitHub\eaglep3\Utilities\DownloadLogsFromS3.py --loco 4039 --day 2017-06-14</v>
      </c>
      <c r="AF23" s="1"/>
    </row>
    <row r="24" spans="1:32" x14ac:dyDescent="0.25">
      <c r="A24" s="31">
        <v>42900.43241898148</v>
      </c>
      <c r="B24" s="30" t="s">
        <v>373</v>
      </c>
      <c r="C24" s="30" t="s">
        <v>620</v>
      </c>
      <c r="D24" s="30" t="s">
        <v>96</v>
      </c>
      <c r="E24" s="30" t="s">
        <v>200</v>
      </c>
      <c r="F24" s="42">
        <v>400</v>
      </c>
      <c r="G24" s="42">
        <v>450</v>
      </c>
      <c r="H24" s="42">
        <v>119448</v>
      </c>
      <c r="I24" s="42">
        <v>120619</v>
      </c>
      <c r="J24" s="30" t="s">
        <v>201</v>
      </c>
      <c r="K24" s="42">
        <v>116838</v>
      </c>
      <c r="L24" s="131" t="s">
        <v>50</v>
      </c>
      <c r="M24" s="132">
        <f t="shared" si="0"/>
        <v>-1996.3679999999999</v>
      </c>
      <c r="N24" s="133" t="str">
        <f>VLOOKUP(C24,'Trips&amp;Operators'!$C$1:$G$99999,5,FALSE)</f>
        <v>DAVIS WENDY</v>
      </c>
      <c r="O24" s="203" t="s">
        <v>180</v>
      </c>
      <c r="P24" s="134"/>
      <c r="Q24" s="30"/>
      <c r="R24" s="81" t="str">
        <f>VLOOKUP(C24,'Train Runs'!$A$13:$AE$9934,31,0)</f>
        <v>aws s3 cp s3://rtdc.mdm.uploadarchive.raw/RTDC4040/ "%USERPROFILE%\AppData\Local\Temp\OnboardLogs"\RTDC4040\2017-06-14 --exclude "*" --recursive --include "*20170614*" &amp; "%USERPROFILE%\Documents\GitHub\mrs-test-scripts\Headless Mode &amp; Sideloading\WalkAndUnGZ.bat" "%USERPROFILE%\AppData\Local\Temp\OnboardLogs"\RTDC4040\2017-06-14 &amp; aws s3 cp s3://rtdc.mdm.uploadarchive.raw/RTDC4040/ "%USERPROFILE%\AppData\Local\Temp\OnboardLogs"\RTDC4040\2017-06-15 --exclude "*" --recursive --include "*20170615*" &amp; "%USERPROFILE%\Documents\GitHub\mrs-test-scripts\Headless Mode &amp; Sideloading\WalkAndUnGZ.bat" "%USERPROFILE%\AppData\Local\Temp\OnboardLogs"\RTDC4040\2017-06-15</v>
      </c>
      <c r="S24" s="84" t="str">
        <f>VLOOKUP(C24,'Train Runs'!$A$13:$AE$9934,22,0)</f>
        <v>https://d0f6bd738d7f1b3e5a7ca70fe4ff75f0.us-east-1.aws.found.io/app/kibana#/discover/Steve-Slow-Train-Analysis-(2080s-and-2083s)?_g=(refreshInterval:(display:Off,pause:!f,section:0,value:0),time:(from:'2017-06-14T08:54:55-0600',mode:absolute,to:'2017-06-14T11:39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4" s="86" t="str">
        <f t="shared" si="1"/>
        <v>"C:\Program Files (x86)\AstroGrep\AstroGrep.exe" /e /r /s /spath="%USERPROFILE%\AppData\Local\Temp\OnboardLogs" /stypes="*4040*201706141*" /stext=" 16:.+((SYSTEM_STATE.+slice.+state.+changed )|(ment ac)|(multiple cpu faults)|(system.+state.+changed )|(\[timeout)|(PRM\|1\|D)|(kpr)|(kdp)|(train st.+moving)|(\|lc)|(penalty))"</v>
      </c>
      <c r="U24" s="9" t="str">
        <f t="shared" si="2"/>
        <v>4040</v>
      </c>
      <c r="V24" s="31">
        <f t="shared" si="3"/>
        <v>42900.68241898148</v>
      </c>
      <c r="W24" s="45" t="str">
        <f t="shared" si="7"/>
        <v>EC</v>
      </c>
      <c r="X24" s="22">
        <f t="shared" si="8"/>
        <v>151</v>
      </c>
      <c r="Y24" s="96" t="str">
        <f t="shared" si="4"/>
        <v>echo {"issue":{"subject":"","project_id":79,"tracker_id":40,"status_id":1,"priority_id":2,"assigned_to_id":23,"start_date":"2017-06-14","description":"","custom_fields":[{"id":1,"name":"Subdivision","value":"EC"},{"id":4,"name":"Milepost","value":"11.6838"},{"id":17,"name":"Train ID","value":"151-14"},{"id":16,"name":"Locomotive ID","value":"4040"},{"id":130,"name":"Impact","value":""},{"id":150,"name":"Time of Event (Mountain Time)","value":"10:22:41"},{"id":151,"name":"Denver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5"/>
        <v>grep -hrE -A400 "Enforcement Action" /cygdrive/c/Users/stu/AppData/Local/Temp/OnboardLogs/RTDC4040 --include="*4040*201706141*"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"%USERPROFILE%\AppData\Local\Temp\OnboardLogs"\RTDC4040\*4040*201706141* &gt;&gt; 2017-06-14-SliceDisagreementCheck.txt</v>
      </c>
      <c r="AE24" s="145" t="str">
        <f t="shared" si="9"/>
        <v>start /low /b %USERPROFILE%\Documents\GitHub\eaglep3\Utilities\DownloadLogsFromS3.py --loco 4040 --day 2017-06-14</v>
      </c>
      <c r="AF24" s="1"/>
    </row>
    <row r="25" spans="1:32" x14ac:dyDescent="0.25">
      <c r="A25" s="31">
        <v>42900.439074074071</v>
      </c>
      <c r="B25" s="30" t="s">
        <v>373</v>
      </c>
      <c r="C25" s="30" t="s">
        <v>620</v>
      </c>
      <c r="D25" s="30" t="s">
        <v>49</v>
      </c>
      <c r="E25" s="30" t="s">
        <v>200</v>
      </c>
      <c r="F25" s="42">
        <v>600</v>
      </c>
      <c r="G25" s="42">
        <v>654</v>
      </c>
      <c r="H25" s="42">
        <v>182774</v>
      </c>
      <c r="I25" s="42">
        <v>185450</v>
      </c>
      <c r="J25" s="30" t="s">
        <v>201</v>
      </c>
      <c r="K25" s="42">
        <v>183829</v>
      </c>
      <c r="L25" s="131" t="s">
        <v>50</v>
      </c>
      <c r="M25" s="132">
        <f t="shared" si="0"/>
        <v>-855.88800000000003</v>
      </c>
      <c r="N25" s="133" t="str">
        <f>VLOOKUP(C25,'Trips&amp;Operators'!$C$1:$G$99999,5,FALSE)</f>
        <v>DAVIS WENDY</v>
      </c>
      <c r="O25" s="203" t="s">
        <v>180</v>
      </c>
      <c r="P25" s="134"/>
      <c r="Q25" s="30"/>
      <c r="R25" s="81" t="str">
        <f>VLOOKUP(C25,'Train Runs'!$A$13:$AE$9934,31,0)</f>
        <v>aws s3 cp s3://rtdc.mdm.uploadarchive.raw/RTDC4040/ "%USERPROFILE%\AppData\Local\Temp\OnboardLogs"\RTDC4040\2017-06-14 --exclude "*" --recursive --include "*20170614*" &amp; "%USERPROFILE%\Documents\GitHub\mrs-test-scripts\Headless Mode &amp; Sideloading\WalkAndUnGZ.bat" "%USERPROFILE%\AppData\Local\Temp\OnboardLogs"\RTDC4040\2017-06-14 &amp; aws s3 cp s3://rtdc.mdm.uploadarchive.raw/RTDC4040/ "%USERPROFILE%\AppData\Local\Temp\OnboardLogs"\RTDC4040\2017-06-15 --exclude "*" --recursive --include "*20170615*" &amp; "%USERPROFILE%\Documents\GitHub\mrs-test-scripts\Headless Mode &amp; Sideloading\WalkAndUnGZ.bat" "%USERPROFILE%\AppData\Local\Temp\OnboardLogs"\RTDC4040\2017-06-15</v>
      </c>
      <c r="S25" s="84" t="str">
        <f>VLOOKUP(C25,'Train Runs'!$A$13:$AE$9934,22,0)</f>
        <v>https://d0f6bd738d7f1b3e5a7ca70fe4ff75f0.us-east-1.aws.found.io/app/kibana#/discover/Steve-Slow-Train-Analysis-(2080s-and-2083s)?_g=(refreshInterval:(display:Off,pause:!f,section:0,value:0),time:(from:'2017-06-14T08:54:55-0600',mode:absolute,to:'2017-06-14T11:39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5" s="86" t="str">
        <f t="shared" si="1"/>
        <v>"C:\Program Files (x86)\AstroGrep\AstroGrep.exe" /e /r /s /spath="%USERPROFILE%\AppData\Local\Temp\OnboardLogs" /stypes="*4040*201706141*" /stext=" 16:.+((SYSTEM_STATE.+slice.+state.+changed )|(ment ac)|(multiple cpu faults)|(system.+state.+changed )|(\[timeout)|(PRM\|1\|D)|(kpr)|(kdp)|(train st.+moving)|(\|lc)|(penalty))"</v>
      </c>
      <c r="U25" s="9" t="str">
        <f t="shared" si="2"/>
        <v>4040</v>
      </c>
      <c r="V25" s="31">
        <f t="shared" si="3"/>
        <v>42900.689074074071</v>
      </c>
      <c r="W25" s="45" t="str">
        <f t="shared" si="7"/>
        <v>EC</v>
      </c>
      <c r="X25" s="22">
        <f t="shared" si="8"/>
        <v>151</v>
      </c>
      <c r="Y25" s="96" t="str">
        <f t="shared" si="4"/>
        <v>echo {"issue":{"subject":"","project_id":79,"tracker_id":40,"status_id":1,"priority_id":2,"assigned_to_id":23,"start_date":"2017-06-14","description":"","custom_fields":[{"id":1,"name":"Subdivision","value":"EC"},{"id":4,"name":"Milepost","value":"18.3829"},{"id":17,"name":"Train ID","value":"151-14"},{"id":16,"name":"Locomotive ID","value":"4040"},{"id":130,"name":"Impact","value":""},{"id":150,"name":"Time of Event (Mountain Time)","value":"10:32:16"},{"id":151,"name":"Denver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5"/>
        <v>grep -hrE -A400 "Enforcement Action" /cygdrive/c/Users/stu/AppData/Local/Temp/OnboardLogs/RTDC4040 --include="*4040*201706141*"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"%USERPROFILE%\AppData\Local\Temp\OnboardLogs"\RTDC4040\*4040*201706141* &gt;&gt; 2017-06-14-SliceDisagreementCheck.txt</v>
      </c>
      <c r="AE25" s="145" t="str">
        <f t="shared" si="9"/>
        <v>start /low /b %USERPROFILE%\Documents\GitHub\eaglep3\Utilities\DownloadLogsFromS3.py --loco 4040 --day 2017-06-14</v>
      </c>
      <c r="AF25" s="1"/>
    </row>
    <row r="26" spans="1:32" x14ac:dyDescent="0.25">
      <c r="A26" s="31">
        <v>42900.15965277778</v>
      </c>
      <c r="B26" s="30" t="s">
        <v>599</v>
      </c>
      <c r="C26" s="30" t="s">
        <v>600</v>
      </c>
      <c r="D26" s="30" t="s">
        <v>49</v>
      </c>
      <c r="E26" s="30" t="s">
        <v>200</v>
      </c>
      <c r="F26" s="42">
        <v>550</v>
      </c>
      <c r="G26" s="42">
        <v>758</v>
      </c>
      <c r="H26" s="42">
        <v>218404</v>
      </c>
      <c r="I26" s="42">
        <v>221804</v>
      </c>
      <c r="J26" s="30" t="s">
        <v>201</v>
      </c>
      <c r="K26" s="42">
        <v>222091</v>
      </c>
      <c r="L26" s="131" t="s">
        <v>50</v>
      </c>
      <c r="M26" s="132">
        <f t="shared" si="0"/>
        <v>151.536</v>
      </c>
      <c r="N26" s="133" t="str">
        <f>VLOOKUP(C26,'Trips&amp;Operators'!$C$1:$G$99999,5,FALSE)</f>
        <v>BONDS REYNALDO</v>
      </c>
      <c r="O26" s="203" t="s">
        <v>180</v>
      </c>
      <c r="P26" s="134"/>
      <c r="Q26" s="30"/>
      <c r="R26" s="81" t="str">
        <f>VLOOKUP(C26,'Train Runs'!$A$13:$AE$9934,31,0)</f>
        <v>aws s3 cp s3://rtdc.mdm.uploadarchive.raw/RTDC4010/ "%USERPROFILE%\AppData\Local\Temp\OnboardLogs"\RTDC4010\2017-06-14 --exclude "*" --recursive --include "*20170614*" &amp; "%USERPROFILE%\Documents\GitHub\mrs-test-scripts\Headless Mode &amp; Sideloading\WalkAndUnGZ.bat" "%USERPROFILE%\AppData\Local\Temp\OnboardLogs"\RTDC4010\2017-06-14 &amp; 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</v>
      </c>
      <c r="S26" s="84" t="str">
        <f>VLOOKUP(C26,'Train Runs'!$A$13:$AE$9934,22,0)</f>
        <v>https://d0f6bd738d7f1b3e5a7ca70fe4ff75f0.us-east-1.aws.found.io/app/kibana#/discover/Steve-Slow-Train-Analysis-(2080s-and-2083s)?_g=(refreshInterval:(display:Off,pause:!f,section:0,value:0),time:(from:'2017-06-14T02:07:54-0600',mode:absolute,to:'2017-06-14T04:54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6" s="86" t="str">
        <f t="shared" si="1"/>
        <v>"C:\Program Files (x86)\AstroGrep\AstroGrep.exe" /e /r /s /spath="%USERPROFILE%\AppData\Local\Temp\OnboardLogs" /stypes="*4010*201706140*" /stext=" 09:.+((SYSTEM_STATE.+slice.+state.+changed )|(ment ac)|(multiple cpu faults)|(system.+state.+changed )|(\[timeout)|(PRM\|1\|D)|(kpr)|(kdp)|(train st.+moving)|(\|lc)|(penalty))"</v>
      </c>
      <c r="U26" s="9" t="str">
        <f t="shared" si="2"/>
        <v>4010</v>
      </c>
      <c r="V26" s="31">
        <f t="shared" si="3"/>
        <v>42900.40965277778</v>
      </c>
      <c r="W26" s="45" t="str">
        <f t="shared" si="7"/>
        <v>EC</v>
      </c>
      <c r="X26" s="22">
        <f t="shared" si="8"/>
        <v>101</v>
      </c>
      <c r="Y26" s="96" t="str">
        <f t="shared" si="4"/>
        <v>echo {"issue":{"subject":"","project_id":79,"tracker_id":40,"status_id":1,"priority_id":2,"assigned_to_id":23,"start_date":"2017-06-14","description":"","custom_fields":[{"id":1,"name":"Subdivision","value":"EC"},{"id":4,"name":"Milepost","value":"22.2091"},{"id":17,"name":"Train ID","value":"101-14"},{"id":16,"name":"Locomotive ID","value":"4010"},{"id":130,"name":"Impact","value":""},{"id":150,"name":"Time of Event (Mountain Time)","value":"03:49:54"},{"id":151,"name":"Denver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5"/>
        <v>grep -hrE -A400 "Enforcement Action" /cygdrive/c/Users/stu/AppData/Local/Temp/OnboardLogs/RTDC4010 --include="*4010*201706140*"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"%USERPROFILE%\AppData\Local\Temp\OnboardLogs"\RTDC4010\*4010*201706140* &gt;&gt; 2017-06-14-SliceDisagreementCheck.txt</v>
      </c>
      <c r="AE26" s="145" t="str">
        <f t="shared" si="9"/>
        <v>start /low /b %USERPROFILE%\Documents\GitHub\eaglep3\Utilities\DownloadLogsFromS3.py --loco 4010 --day 2017-06-14</v>
      </c>
      <c r="AF26" s="1"/>
    </row>
    <row r="27" spans="1:32" x14ac:dyDescent="0.25">
      <c r="A27" s="31">
        <v>42900.813287037039</v>
      </c>
      <c r="B27" s="30" t="s">
        <v>455</v>
      </c>
      <c r="C27" s="30" t="s">
        <v>642</v>
      </c>
      <c r="D27" s="30" t="s">
        <v>96</v>
      </c>
      <c r="E27" s="30" t="s">
        <v>200</v>
      </c>
      <c r="F27" s="42">
        <v>550</v>
      </c>
      <c r="G27" s="42">
        <v>608</v>
      </c>
      <c r="H27" s="42">
        <v>222253</v>
      </c>
      <c r="I27" s="42">
        <v>219730</v>
      </c>
      <c r="J27" s="30" t="s">
        <v>201</v>
      </c>
      <c r="K27" s="42">
        <v>224578</v>
      </c>
      <c r="L27" s="131" t="s">
        <v>51</v>
      </c>
      <c r="M27" s="132">
        <f t="shared" si="0"/>
        <v>-2559.7440000000001</v>
      </c>
      <c r="N27" s="133" t="str">
        <f>VLOOKUP(C27,'Trips&amp;Operators'!$C$1:$G$99999,5,FALSE)</f>
        <v>LAMAR NEKESHA</v>
      </c>
      <c r="O27" s="203" t="s">
        <v>180</v>
      </c>
      <c r="P27" s="134"/>
      <c r="Q27" s="30"/>
      <c r="R27" s="81" t="str">
        <f>VLOOKUP(C27,'Train Runs'!$A$13:$AE$9934,31,0)</f>
        <v>aws s3 cp s3://rtdc.mdm.uploadarchive.raw/RTDC4055/ "%USERPROFILE%\AppData\Local\Temp\OnboardLogs"\RTDC4055\2017-06-14 --exclude "*" --recursive --include "*20170614*" &amp; "%USERPROFILE%\Documents\GitHub\mrs-test-scripts\Headless Mode &amp; Sideloading\WalkAndUnGZ.bat" "%USERPROFILE%\AppData\Local\Temp\OnboardLogs"\RTDC4055\2017-06-14 &amp; aws s3 cp s3://rtdc.mdm.uploadarchive.raw/RTDC4055/ "%USERPROFILE%\AppData\Local\Temp\OnboardLogs"\RTDC4055\2017-06-15 --exclude "*" --recursive --include "*20170615*" &amp; "%USERPROFILE%\Documents\GitHub\mrs-test-scripts\Headless Mode &amp; Sideloading\WalkAndUnGZ.bat" "%USERPROFILE%\AppData\Local\Temp\OnboardLogs"\RTDC4055\2017-06-15</v>
      </c>
      <c r="S27" s="84" t="str">
        <f>VLOOKUP(C27,'Train Runs'!$A$13:$AE$9934,22,0)</f>
        <v>https://d0f6bd738d7f1b3e5a7ca70fe4ff75f0.us-east-1.aws.found.io/app/kibana#/discover/Steve-Slow-Train-Analysis-(2080s-and-2083s)?_g=(refreshInterval:(display:Off,pause:!f,section:0,value:0),time:(from:'2017-06-14T18:23:55-0600',mode:absolute,to:'2017-06-14T21:07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27" s="86" t="str">
        <f t="shared" si="1"/>
        <v>"C:\Program Files (x86)\AstroGrep\AstroGrep.exe" /e /r /s /spath="%USERPROFILE%\AppData\Local\Temp\OnboardLogs" /stypes="*4055*201706150*" /stext=" 01:.+((SYSTEM_STATE.+slice.+state.+changed )|(ment ac)|(multiple cpu faults)|(system.+state.+changed )|(\[timeout)|(PRM\|1\|D)|(kpr)|(kdp)|(train st.+moving)|(\|lc)|(penalty))"</v>
      </c>
      <c r="U27" s="9" t="str">
        <f t="shared" si="2"/>
        <v>4055</v>
      </c>
      <c r="V27" s="31">
        <f t="shared" si="3"/>
        <v>42901.063287037039</v>
      </c>
      <c r="W27" s="45" t="str">
        <f t="shared" si="7"/>
        <v>EC</v>
      </c>
      <c r="X27" s="22">
        <f t="shared" si="8"/>
        <v>220</v>
      </c>
      <c r="Y27" s="96" t="str">
        <f t="shared" si="4"/>
        <v>echo {"issue":{"subject":"","project_id":79,"tracker_id":40,"status_id":1,"priority_id":2,"assigned_to_id":23,"start_date":"2017-06-14","description":"","custom_fields":[{"id":1,"name":"Subdivision","value":"EC"},{"id":4,"name":"Milepost","value":"22.4578"},{"id":17,"name":"Train ID","value":"220-14"},{"id":16,"name":"Locomotive ID","value":"4055"},{"id":130,"name":"Impact","value":""},{"id":150,"name":"Time of Event (Mountain Time)","value":"19:31:08"},{"id":151,"name":"Denver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5"/>
        <v>grep -hrE -A400 "Enforcement Action" /cygdrive/c/Users/stu/AppData/Local/Temp/OnboardLogs/RTDC4055 --include="*4055*201706150*"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"%USERPROFILE%\AppData\Local\Temp\OnboardLogs"\RTDC4055\*4055*201706150* &gt;&gt; 2017-06-14-SliceDisagreementCheck.txt</v>
      </c>
      <c r="AE27" s="145" t="str">
        <f t="shared" si="9"/>
        <v>start /low /b %USERPROFILE%\Documents\GitHub\eaglep3\Utilities\DownloadLogsFromS3.py --loco 4055 --day 2017-06-15</v>
      </c>
      <c r="AF27" s="1"/>
    </row>
    <row r="28" spans="1:32" x14ac:dyDescent="0.25">
      <c r="A28" s="31">
        <v>42900.781087962961</v>
      </c>
      <c r="B28" s="30" t="s">
        <v>422</v>
      </c>
      <c r="C28" s="30" t="s">
        <v>639</v>
      </c>
      <c r="D28" s="30" t="s">
        <v>96</v>
      </c>
      <c r="E28" s="30" t="s">
        <v>200</v>
      </c>
      <c r="F28" s="42">
        <v>350</v>
      </c>
      <c r="G28" s="42">
        <v>400</v>
      </c>
      <c r="H28" s="42">
        <v>225204</v>
      </c>
      <c r="I28" s="42">
        <v>224014</v>
      </c>
      <c r="J28" s="30" t="s">
        <v>201</v>
      </c>
      <c r="K28" s="42">
        <v>232107</v>
      </c>
      <c r="L28" s="131" t="s">
        <v>51</v>
      </c>
      <c r="M28" s="132">
        <f t="shared" si="0"/>
        <v>-4273.1040000000003</v>
      </c>
      <c r="N28" s="133" t="str">
        <f>VLOOKUP(C28,'Trips&amp;Operators'!$C$1:$G$99999,5,FALSE)</f>
        <v>HAITHCOX MICHAEL</v>
      </c>
      <c r="O28" s="203" t="s">
        <v>180</v>
      </c>
      <c r="P28" s="134"/>
      <c r="Q28" s="30"/>
      <c r="R28" s="81" t="str">
        <f>VLOOKUP(C28,'Train Runs'!$A$13:$AE$9934,31,0)</f>
        <v>aws s3 cp s3://rtdc.mdm.uploadarchive.raw/RTDC4043/ "%USERPROFILE%\AppData\Local\Temp\OnboardLogs"\RTDC4043\2017-06-14 --exclude "*" --recursive --include "*20170614*" &amp; "%USERPROFILE%\Documents\GitHub\mrs-test-scripts\Headless Mode &amp; Sideloading\WalkAndUnGZ.bat" "%USERPROFILE%\AppData\Local\Temp\OnboardLogs"\RTDC4043\2017-06-14 &amp; aws s3 cp s3://rtdc.mdm.uploadarchive.raw/RTDC4043/ "%USERPROFILE%\AppData\Local\Temp\OnboardLogs"\RTDC4043\2017-06-15 --exclude "*" --recursive --include "*20170615*" &amp; "%USERPROFILE%\Documents\GitHub\mrs-test-scripts\Headless Mode &amp; Sideloading\WalkAndUnGZ.bat" "%USERPROFILE%\AppData\Local\Temp\OnboardLogs"\RTDC4043\2017-06-15</v>
      </c>
      <c r="S28" s="84" t="str">
        <f>VLOOKUP(C28,'Train Runs'!$A$13:$AE$9934,22,0)</f>
        <v>https://d0f6bd738d7f1b3e5a7ca70fe4ff75f0.us-east-1.aws.found.io/app/kibana#/discover/Steve-Slow-Train-Analysis-(2080s-and-2083s)?_g=(refreshInterval:(display:Off,pause:!f,section:0,value:0),time:(from:'2017-06-14T17:34:44-0600',mode:absolute,to:'2017-06-14T20:24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8" s="86" t="str">
        <f t="shared" si="1"/>
        <v>"C:\Program Files (x86)\AstroGrep\AstroGrep.exe" /e /r /s /spath="%USERPROFILE%\AppData\Local\Temp\OnboardLogs" /stypes="*4043*201706150*" /stext=" 00:.+((SYSTEM_STATE.+slice.+state.+changed )|(ment ac)|(multiple cpu faults)|(system.+state.+changed )|(\[timeout)|(PRM\|1\|D)|(kpr)|(kdp)|(train st.+moving)|(\|lc)|(penalty))"</v>
      </c>
      <c r="U28" s="9" t="str">
        <f t="shared" si="2"/>
        <v>4043</v>
      </c>
      <c r="V28" s="31">
        <f t="shared" si="3"/>
        <v>42901.031087962961</v>
      </c>
      <c r="W28" s="45" t="str">
        <f t="shared" si="7"/>
        <v>EC</v>
      </c>
      <c r="X28" s="22">
        <f t="shared" si="8"/>
        <v>214</v>
      </c>
      <c r="Y28" s="96" t="str">
        <f t="shared" si="4"/>
        <v>echo {"issue":{"subject":"","project_id":79,"tracker_id":40,"status_id":1,"priority_id":2,"assigned_to_id":23,"start_date":"2017-06-14","description":"","custom_fields":[{"id":1,"name":"Subdivision","value":"EC"},{"id":4,"name":"Milepost","value":"23.2107"},{"id":17,"name":"Train ID","value":"214-14"},{"id":16,"name":"Locomotive ID","value":"4043"},{"id":130,"name":"Impact","value":""},{"id":150,"name":"Time of Event (Mountain Time)","value":"18:44:46"},{"id":151,"name":"Denver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5"/>
        <v>grep -hrE -A400 "Enforcement Action" /cygdrive/c/Users/stu/AppData/Local/Temp/OnboardLogs/RTDC4043 --include="*4043*201706150*"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"%USERPROFILE%\AppData\Local\Temp\OnboardLogs"\RTDC4043\*4043*201706150* &gt;&gt; 2017-06-14-SliceDisagreementCheck.txt</v>
      </c>
      <c r="AE28" s="145" t="str">
        <f t="shared" si="9"/>
        <v>start /low /b %USERPROFILE%\Documents\GitHub\eaglep3\Utilities\DownloadLogsFromS3.py --loco 4043 --day 2017-06-15</v>
      </c>
      <c r="AF28" s="1"/>
    </row>
    <row r="29" spans="1:32" x14ac:dyDescent="0.25">
      <c r="A29" s="31">
        <v>42900.480115740742</v>
      </c>
      <c r="B29" s="30" t="s">
        <v>618</v>
      </c>
      <c r="C29" s="30" t="s">
        <v>623</v>
      </c>
      <c r="D29" s="30" t="s">
        <v>49</v>
      </c>
      <c r="E29" s="30" t="s">
        <v>362</v>
      </c>
      <c r="F29" s="42">
        <v>0</v>
      </c>
      <c r="G29" s="42">
        <v>808</v>
      </c>
      <c r="H29" s="42">
        <v>98115</v>
      </c>
      <c r="I29" s="42">
        <v>94020</v>
      </c>
      <c r="J29" s="30" t="s">
        <v>363</v>
      </c>
      <c r="K29" s="42">
        <v>95986</v>
      </c>
      <c r="L29" s="131" t="s">
        <v>51</v>
      </c>
      <c r="M29" s="132">
        <f t="shared" si="0"/>
        <v>-1038.048</v>
      </c>
      <c r="N29" s="133" t="str">
        <f>VLOOKUP(C29,'Trips&amp;Operators'!$C$1:$G$99999,5,FALSE)</f>
        <v>MACDONALD THOMAS</v>
      </c>
      <c r="O29" s="203" t="s">
        <v>180</v>
      </c>
      <c r="P29" s="134" t="s">
        <v>1002</v>
      </c>
      <c r="Q29" s="30"/>
      <c r="R29" s="81" t="str">
        <f>VLOOKUP(C29,'Train Runs'!$A$13:$AE$9934,31,0)</f>
        <v>aws s3 cp s3://rtdc.mdm.uploadarchive.raw/RTDC4009/ "%USERPROFILE%\AppData\Local\Temp\OnboardLogs"\RTDC4009\2017-06-14 --exclude "*" --recursive --include "*20170614*" &amp; "%USERPROFILE%\Documents\GitHub\mrs-test-scripts\Headless Mode &amp; Sideloading\WalkAndUnGZ.bat" "%USERPROFILE%\AppData\Local\Temp\OnboardLogs"\RTDC4009\2017-06-14 &amp; aws s3 cp s3://rtdc.mdm.uploadarchive.raw/RTDC4009/ "%USERPROFILE%\AppData\Local\Temp\OnboardLogs"\RTDC4009\2017-06-15 --exclude "*" --recursive --include "*20170615*" &amp; "%USERPROFILE%\Documents\GitHub\mrs-test-scripts\Headless Mode &amp; Sideloading\WalkAndUnGZ.bat" "%USERPROFILE%\AppData\Local\Temp\OnboardLogs"\RTDC4009\2017-06-15</v>
      </c>
      <c r="S29" s="84" t="str">
        <f>VLOOKUP(C29,'Train Runs'!$A$13:$AE$9934,22,0)</f>
        <v>https://d0f6bd738d7f1b3e5a7ca70fe4ff75f0.us-east-1.aws.found.io/app/kibana#/discover/Steve-Slow-Train-Analysis-(2080s-and-2083s)?_g=(refreshInterval:(display:Off,pause:!f,section:0,value:0),time:(from:'2017-06-14T10:08:54-0600',mode:absolute,to:'2017-06-14T12:53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29" s="86" t="str">
        <f t="shared" si="1"/>
        <v>"C:\Program Files (x86)\AstroGrep\AstroGrep.exe" /e /r /s /spath="%USERPROFILE%\AppData\Local\Temp\OnboardLogs" /stypes="*4009*201706141*" /stext=" 17:.+((SYSTEM_STATE.+slice.+state.+changed )|(ment ac)|(multiple cpu faults)|(system.+state.+changed )|(\[timeout)|(PRM\|1\|D)|(kpr)|(kdp)|(train st.+moving)|(\|lc)|(penalty))"</v>
      </c>
      <c r="U29" s="9" t="str">
        <f t="shared" si="2"/>
        <v>4009</v>
      </c>
      <c r="V29" s="31">
        <f t="shared" si="3"/>
        <v>42900.730115740742</v>
      </c>
      <c r="W29" s="45" t="str">
        <f t="shared" si="7"/>
        <v>EC</v>
      </c>
      <c r="X29" s="22">
        <f t="shared" si="8"/>
        <v>154</v>
      </c>
      <c r="Y29" s="96" t="str">
        <f t="shared" si="4"/>
        <v>echo {"issue":{"subject":"EC0957RH 95-1T 1S STOP &amp; PROCEED, cleared after","project_id":79,"tracker_id":40,"status_id":1,"priority_id":2,"assigned_to_id":23,"start_date":"2017-06-14","description":"","custom_fields":[{"id":1,"name":"Subdivision","value":"EC"},{"id":4,"name":"Milepost","value":"9.5986"},{"id":17,"name":"Train ID","value":"154-14"},{"id":16,"name":"Locomotive ID","value":"4009"},{"id":130,"name":"Impact","value":""},{"id":150,"name":"Time of Event (Mountain Time)","value":"11:31:22"},{"id":151,"name":"Denver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5"/>
        <v>grep -hrE -A400 "Enforcement Action" /cygdrive/c/Users/stu/AppData/Local/Temp/OnboardLogs/RTDC4009 --include="*4009*201706141*"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"%USERPROFILE%\AppData\Local\Temp\OnboardLogs"\RTDC4009\*4009*201706141* &gt;&gt; 2017-06-14-SliceDisagreementCheck.txt</v>
      </c>
      <c r="AE29" s="145" t="str">
        <f t="shared" si="9"/>
        <v>start /low /b %USERPROFILE%\Documents\GitHub\eaglep3\Utilities\DownloadLogsFromS3.py --loco 4009 --day 2017-06-14</v>
      </c>
      <c r="AF29" s="1"/>
    </row>
    <row r="30" spans="1:32" x14ac:dyDescent="0.25">
      <c r="A30" s="31">
        <v>42900.779050925928</v>
      </c>
      <c r="B30" s="30" t="s">
        <v>451</v>
      </c>
      <c r="C30" s="30" t="s">
        <v>638</v>
      </c>
      <c r="D30" s="30" t="s">
        <v>49</v>
      </c>
      <c r="E30" s="30" t="s">
        <v>362</v>
      </c>
      <c r="F30" s="42">
        <v>0</v>
      </c>
      <c r="G30" s="42">
        <v>156</v>
      </c>
      <c r="H30" s="42">
        <v>128972</v>
      </c>
      <c r="I30" s="42">
        <v>131896</v>
      </c>
      <c r="J30" s="30" t="s">
        <v>363</v>
      </c>
      <c r="K30" s="42">
        <v>190738</v>
      </c>
      <c r="L30" s="131" t="s">
        <v>50</v>
      </c>
      <c r="M30" s="132">
        <f t="shared" si="0"/>
        <v>31068.576000000001</v>
      </c>
      <c r="N30" s="133" t="str">
        <f>VLOOKUP(C30,'Trips&amp;Operators'!$C$1:$G$99999,5,FALSE)</f>
        <v>SMITH MICHAEL</v>
      </c>
      <c r="O30" s="203" t="s">
        <v>411</v>
      </c>
      <c r="P30" s="134" t="s">
        <v>1003</v>
      </c>
      <c r="Q30" s="30"/>
      <c r="R30" s="81" t="str">
        <f>VLOOKUP(C30,'Train Runs'!$A$13:$AE$9934,31,0)</f>
        <v>aws s3 cp s3://rtdc.mdm.uploadarchive.raw/RTDC4016/ "%USERPROFILE%\AppData\Local\Temp\OnboardLogs"\RTDC4016\2017-06-14 --exclude "*" --recursive --include "*20170614*" &amp; "%USERPROFILE%\Documents\GitHub\mrs-test-scripts\Headless Mode &amp; Sideloading\WalkAndUnGZ.bat" "%USERPROFILE%\AppData\Local\Temp\OnboardLogs"\RTDC4016\2017-06-14 &amp; aws s3 cp s3://rtdc.mdm.uploadarchive.raw/RTDC4016/ "%USERPROFILE%\AppData\Local\Temp\OnboardLogs"\RTDC4016\2017-06-15 --exclude "*" --recursive --include "*20170615*" &amp; "%USERPROFILE%\Documents\GitHub\mrs-test-scripts\Headless Mode &amp; Sideloading\WalkAndUnGZ.bat" "%USERPROFILE%\AppData\Local\Temp\OnboardLogs"\RTDC4016\2017-06-15</v>
      </c>
      <c r="S30" s="84" t="str">
        <f>VLOOKUP(C30,'Train Runs'!$A$13:$AE$9934,22,0)</f>
        <v>https://d0f6bd738d7f1b3e5a7ca70fe4ff75f0.us-east-1.aws.found.io/app/kibana#/discover/Steve-Slow-Train-Analysis-(2080s-and-2083s)?_g=(refreshInterval:(display:Off,pause:!f,section:0,value:0),time:(from:'2017-06-14T17:11:55-0600',mode:absolute,to:'2017-06-14T19:55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30" s="86" t="str">
        <f t="shared" si="1"/>
        <v>"C:\Program Files (x86)\AstroGrep\AstroGrep.exe" /e /r /s /spath="%USERPROFILE%\AppData\Local\Temp\OnboardLogs" /stypes="*4016*201706150*" /stext=" 00:.+((SYSTEM_STATE.+slice.+state.+changed )|(ment ac)|(multiple cpu faults)|(system.+state.+changed )|(\[timeout)|(PRM\|1\|D)|(kpr)|(kdp)|(train st.+moving)|(\|lc)|(penalty))"</v>
      </c>
      <c r="U30" s="9" t="str">
        <f t="shared" si="2"/>
        <v>4016</v>
      </c>
      <c r="V30" s="31">
        <f t="shared" si="3"/>
        <v>42901.029050925928</v>
      </c>
      <c r="W30" s="45" t="str">
        <f t="shared" si="7"/>
        <v>EC</v>
      </c>
      <c r="X30" s="22">
        <f t="shared" si="8"/>
        <v>217</v>
      </c>
      <c r="Y30" s="96" t="str">
        <f t="shared" si="4"/>
        <v>echo {"issue":{"subject":"Minor onboard in-route failure, braked for signal 7 miles out","project_id":79,"tracker_id":40,"status_id":1,"priority_id":2,"assigned_to_id":23,"start_date":"2017-06-14","description":"","custom_fields":[{"id":1,"name":"Subdivision","value":"EC"},{"id":4,"name":"Milepost","value":"19.0738"},{"id":17,"name":"Train ID","value":"217-14"},{"id":16,"name":"Locomotive ID","value":"4016"},{"id":130,"name":"Impact","value":""},{"id":150,"name":"Time of Event (Mountain Time)","value":"18:41:50"},{"id":151,"name":"Denver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5"/>
        <v>grep -hrE -A400 "Enforcement Action" /cygdrive/c/Users/stu/AppData/Local/Temp/OnboardLogs/RTDC4016 --include="*4016*201706150*"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"%USERPROFILE%\AppData\Local\Temp\OnboardLogs"\RTDC4016\*4016*201706150* &gt;&gt; 2017-06-14-SliceDisagreementCheck.txt</v>
      </c>
      <c r="AE30" s="145" t="str">
        <f t="shared" si="9"/>
        <v>start /low /b %USERPROFILE%\Documents\GitHub\eaglep3\Utilities\DownloadLogsFromS3.py --loco 4016 --day 2017-06-15</v>
      </c>
      <c r="AF30" s="1"/>
    </row>
    <row r="31" spans="1:32" x14ac:dyDescent="0.25">
      <c r="A31" s="31">
        <v>42900.714305555557</v>
      </c>
      <c r="B31" s="30" t="s">
        <v>608</v>
      </c>
      <c r="C31" s="30" t="s">
        <v>632</v>
      </c>
      <c r="D31" s="30" t="s">
        <v>49</v>
      </c>
      <c r="E31" s="30" t="s">
        <v>613</v>
      </c>
      <c r="F31" s="42">
        <v>0</v>
      </c>
      <c r="G31" s="42">
        <v>405</v>
      </c>
      <c r="H31" s="42">
        <v>60638</v>
      </c>
      <c r="I31" s="42">
        <v>59447</v>
      </c>
      <c r="J31" s="30" t="s">
        <v>614</v>
      </c>
      <c r="K31" s="42">
        <v>57801</v>
      </c>
      <c r="L31" s="131" t="s">
        <v>51</v>
      </c>
      <c r="M31" s="132">
        <f t="shared" si="0"/>
        <v>869.08799999999997</v>
      </c>
      <c r="N31" s="133" t="str">
        <f>VLOOKUP(C31,'Trips&amp;Operators'!$C$1:$G$99999,5,FALSE)</f>
        <v>DELGADO DIANAH</v>
      </c>
      <c r="O31" s="203" t="s">
        <v>411</v>
      </c>
      <c r="P31" s="134" t="s">
        <v>412</v>
      </c>
      <c r="Q31" s="30"/>
      <c r="R31" s="81" t="str">
        <f>VLOOKUP(C31,'Train Runs'!$A$13:$AE$9934,31,0)</f>
        <v>aws s3 cp s3://rtdc.mdm.uploadarchive.raw/RTDC4003/ "%USERPROFILE%\AppData\Local\Temp\OnboardLogs"\RTDC4003\2017-06-14 --exclude "*" --recursive --include "*20170614*" &amp; "%USERPROFILE%\Documents\GitHub\mrs-test-scripts\Headless Mode &amp; Sideloading\WalkAndUnGZ.bat" "%USERPROFILE%\AppData\Local\Temp\OnboardLogs"\RTDC4003\2017-06-14 &amp; aws s3 cp s3://rtdc.mdm.uploadarchive.raw/RTDC4003/ "%USERPROFILE%\AppData\Local\Temp\OnboardLogs"\RTDC4003\2017-06-15 --exclude "*" --recursive --include "*20170615*" &amp; "%USERPROFILE%\Documents\GitHub\mrs-test-scripts\Headless Mode &amp; Sideloading\WalkAndUnGZ.bat" "%USERPROFILE%\AppData\Local\Temp\OnboardLogs"\RTDC4003\2017-06-15</v>
      </c>
      <c r="S31" s="84" t="str">
        <f>VLOOKUP(C31,'Train Runs'!$A$13:$AE$9934,22,0)</f>
        <v>https://d0f6bd738d7f1b3e5a7ca70fe4ff75f0.us-east-1.aws.found.io/app/kibana#/discover/Steve-Slow-Train-Analysis-(2080s-and-2083s)?_g=(refreshInterval:(display:Off,pause:!f,section:0,value:0),time:(from:'2017-06-14T15:31:38-0600',mode:absolute,to:'2017-06-14T18:22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31" s="86" t="str">
        <f t="shared" si="1"/>
        <v>"C:\Program Files (x86)\AstroGrep\AstroGrep.exe" /e /r /s /spath="%USERPROFILE%\AppData\Local\Temp\OnboardLogs" /stypes="*4003*201706142*" /stext=" 23:.+((SYSTEM_STATE.+slice.+state.+changed )|(ment ac)|(multiple cpu faults)|(system.+state.+changed )|(\[timeout)|(PRM\|1\|D)|(kpr)|(kdp)|(train st.+moving)|(\|lc)|(penalty))"</v>
      </c>
      <c r="U31" s="9" t="str">
        <f t="shared" si="2"/>
        <v>4003</v>
      </c>
      <c r="V31" s="31">
        <f t="shared" si="3"/>
        <v>42900.964305555557</v>
      </c>
      <c r="W31" s="45" t="str">
        <f t="shared" si="7"/>
        <v>EC</v>
      </c>
      <c r="X31" s="22">
        <f t="shared" si="8"/>
        <v>198</v>
      </c>
      <c r="Y31" s="96" t="str">
        <f t="shared" si="4"/>
        <v>echo {"issue":{"subject":"Wi-MAX data drop","project_id":79,"tracker_id":40,"status_id":1,"priority_id":2,"assigned_to_id":23,"start_date":"2017-06-14","description":"","custom_fields":[{"id":1,"name":"Subdivision","value":"EC"},{"id":4,"name":"Milepost","value":"5.7801"},{"id":17,"name":"Train ID","value":"198-14"},{"id":16,"name":"Locomotive ID","value":"4003"},{"id":130,"name":"Impact","value":""},{"id":150,"name":"Time of Event (Mountain Time)","value":"17:08:36"},{"id":151,"name":"Denver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5"/>
        <v>grep -hrE -A400 "Enforcement Action" /cygdrive/c/Users/stu/AppData/Local/Temp/OnboardLogs/RTDC4003 --include="*4003*201706142*"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"%USERPROFILE%\AppData\Local\Temp\OnboardLogs"\RTDC4003\*4003*201706142* &gt;&gt; 2017-06-14-SliceDisagreementCheck.txt</v>
      </c>
      <c r="AE31" s="145" t="str">
        <f t="shared" si="9"/>
        <v>start /low /b %USERPROFILE%\Documents\GitHub\eaglep3\Utilities\DownloadLogsFromS3.py --loco 4003 --day 2017-06-14</v>
      </c>
      <c r="AF31" s="1"/>
    </row>
    <row r="32" spans="1:32" s="20" customFormat="1" x14ac:dyDescent="0.25">
      <c r="A32" s="31">
        <v>42901.088773148149</v>
      </c>
      <c r="B32" s="30" t="s">
        <v>455</v>
      </c>
      <c r="C32" s="30" t="s">
        <v>649</v>
      </c>
      <c r="D32" s="30" t="s">
        <v>49</v>
      </c>
      <c r="E32" s="30" t="s">
        <v>613</v>
      </c>
      <c r="F32" s="42">
        <v>0</v>
      </c>
      <c r="G32" s="42">
        <v>95</v>
      </c>
      <c r="H32" s="42">
        <v>3925</v>
      </c>
      <c r="I32" s="42">
        <v>0</v>
      </c>
      <c r="J32" s="30" t="s">
        <v>614</v>
      </c>
      <c r="K32" s="42">
        <v>3902</v>
      </c>
      <c r="L32" s="131" t="s">
        <v>51</v>
      </c>
      <c r="M32" s="132">
        <f t="shared" si="0"/>
        <v>-2060.2559999999999</v>
      </c>
      <c r="N32" s="133" t="str">
        <f>VLOOKUP(C32,'Trips&amp;Operators'!$C$1:$G$99999,5,FALSE)</f>
        <v>JACKSON WILLIAM</v>
      </c>
      <c r="O32" s="203" t="s">
        <v>411</v>
      </c>
      <c r="P32" s="134" t="s">
        <v>412</v>
      </c>
      <c r="Q32" s="30"/>
      <c r="R32" s="81" t="str">
        <f>VLOOKUP(C32,'Train Runs'!$A$13:$AE$9934,31,0)</f>
        <v>aws s3 cp s3://rtdc.mdm.uploadarchive.raw/RTDC4055/ "%USERPROFILE%\AppData\Local\Temp\OnboardLogs"\RTDC4055\2017-06-15 --exclude "*" --recursive --include "*20170615*" &amp; "%USERPROFILE%\Documents\GitHub\mrs-test-scripts\Headless Mode &amp; Sideloading\WalkAndUnGZ.bat" "%USERPROFILE%\AppData\Local\Temp\OnboardLogs"\RTDC4055\2017-06-15 &amp; aws s3 cp s3://rtdc.mdm.uploadarchive.raw/RTDC4055/ "%USERPROFILE%\AppData\Local\Temp\OnboardLogs"\RTDC4055\2017-06-16 --exclude "*" --recursive --include "*20170616*" &amp; "%USERPROFILE%\Documents\GitHub\mrs-test-scripts\Headless Mode &amp; Sideloading\WalkAndUnGZ.bat" "%USERPROFILE%\AppData\Local\Temp\OnboardLogs"\RTDC4055\2017-06-16</v>
      </c>
      <c r="S32" s="84" t="str">
        <f>VLOOKUP(C32,'Train Runs'!$A$13:$AE$9934,22,0)</f>
        <v>https://d0f6bd738d7f1b3e5a7ca70fe4ff75f0.us-east-1.aws.found.io/app/kibana#/discover/Steve-Slow-Train-Analysis-(2080s-and-2083s)?_g=(refreshInterval:(display:Off,pause:!f,section:0,value:0),time:(from:'2017-06-15T00:18:15-0600',mode:absolute,to:'2017-06-15T03:06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32" s="86" t="str">
        <f t="shared" si="1"/>
        <v>"C:\Program Files (x86)\AstroGrep\AstroGrep.exe" /e /r /s /spath="%USERPROFILE%\AppData\Local\Temp\OnboardLogs" /stypes="*4055*201706150*" /stext=" 08:.+((SYSTEM_STATE.+slice.+state.+changed )|(ment ac)|(multiple cpu faults)|(system.+state.+changed )|(\[timeout)|(PRM\|1\|D)|(kpr)|(kdp)|(train st.+moving)|(\|lc)|(penalty))"</v>
      </c>
      <c r="U32" s="9" t="str">
        <f t="shared" si="2"/>
        <v>4055</v>
      </c>
      <c r="V32" s="31">
        <f t="shared" si="3"/>
        <v>42901.338773148149</v>
      </c>
      <c r="W32" s="45" t="str">
        <f t="shared" si="7"/>
        <v>EC</v>
      </c>
      <c r="X32" s="22">
        <f t="shared" si="8"/>
        <v>244</v>
      </c>
      <c r="Y32" s="96" t="str">
        <f t="shared" si="4"/>
        <v>echo {"issue":{"subject":"Wi-MAX data drop","project_id":79,"tracker_id":40,"status_id":1,"priority_id":2,"assigned_to_id":23,"start_date":"2017-06-15","description":"","custom_fields":[{"id":1,"name":"Subdivision","value":"EC"},{"id":4,"name":"Milepost","value":"0.3902"},{"id":17,"name":"Train ID","value":"244-14"},{"id":16,"name":"Locomotive ID","value":"4055"},{"id":130,"name":"Impact","value":""},{"id":150,"name":"Time of Event (Mountain Time)","value":"02:07:50"},{"id":151,"name":"Denver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5"/>
        <v>grep -hrE -A400 "Enforcement Action" /cygdrive/c/Users/stu/AppData/Local/Temp/OnboardLogs/RTDC4055 --include="*4055*201706150*"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"%USERPROFILE%\AppData\Local\Temp\OnboardLogs"\RTDC4055\*4055*201706150* &gt;&gt; 2017-06-14-SliceDisagreementCheck.txt</v>
      </c>
      <c r="AE32" s="145" t="str">
        <f t="shared" ref="AE32" si="10">"start /low /b "&amp;dls3logs&amp;" --loco "&amp;U32&amp;" --day "&amp;TEXT(V32,"YYYY-MM-DD")</f>
        <v>start /low /b %USERPROFILE%\Documents\GitHub\eaglep3\Utilities\DownloadLogsFromS3.py --loco 4055 --day 2017-06-15</v>
      </c>
      <c r="AF32" s="1"/>
    </row>
    <row r="33" spans="1:32" x14ac:dyDescent="0.25">
      <c r="A33" s="31">
        <v>42900.775821759256</v>
      </c>
      <c r="B33" s="30" t="s">
        <v>370</v>
      </c>
      <c r="C33" s="30" t="s">
        <v>637</v>
      </c>
      <c r="D33" s="30" t="s">
        <v>49</v>
      </c>
      <c r="E33" s="30" t="s">
        <v>181</v>
      </c>
      <c r="F33" s="42">
        <v>0</v>
      </c>
      <c r="G33" s="42">
        <v>41</v>
      </c>
      <c r="H33" s="42">
        <v>154</v>
      </c>
      <c r="I33" s="42">
        <v>121</v>
      </c>
      <c r="J33" s="30" t="s">
        <v>182</v>
      </c>
      <c r="K33" s="42">
        <v>1</v>
      </c>
      <c r="L33" s="131" t="s">
        <v>51</v>
      </c>
      <c r="M33" s="132">
        <f t="shared" si="0"/>
        <v>63.36</v>
      </c>
      <c r="N33" s="133" t="str">
        <f>VLOOKUP(C33,'Trips&amp;Operators'!$C$1:$G$99999,5,FALSE)</f>
        <v>BRUDER RICHARD</v>
      </c>
      <c r="O33" s="203" t="s">
        <v>180</v>
      </c>
      <c r="P33" s="134"/>
      <c r="Q33" s="30"/>
      <c r="R33" s="81" t="str">
        <f>VLOOKUP(C33,'Train Runs'!$A$13:$AE$9934,31,0)</f>
        <v>aws s3 cp s3://rtdc.mdm.uploadarchive.raw/RTDC4039/ "%USERPROFILE%\AppData\Local\Temp\OnboardLogs"\RTDC4039\2017-06-14 --exclude "*" --recursive --include "*20170614*" &amp; "%USERPROFILE%\Documents\GitHub\mrs-test-scripts\Headless Mode &amp; Sideloading\WalkAndUnGZ.bat" "%USERPROFILE%\AppData\Local\Temp\OnboardLogs"\RTDC4039\2017-06-14 &amp; aws s3 cp s3://rtdc.mdm.uploadarchive.raw/RTDC4039/ "%USERPROFILE%\AppData\Local\Temp\OnboardLogs"\RTDC4039\2017-06-15 --exclude "*" --recursive --include "*20170615*" &amp; "%USERPROFILE%\Documents\GitHub\mrs-test-scripts\Headless Mode &amp; Sideloading\WalkAndUnGZ.bat" "%USERPROFILE%\AppData\Local\Temp\OnboardLogs"\RTDC4039\2017-06-15</v>
      </c>
      <c r="S33" s="84" t="str">
        <f>VLOOKUP(C33,'Train Runs'!$A$13:$AE$9934,22,0)</f>
        <v>https://d0f6bd738d7f1b3e5a7ca70fe4ff75f0.us-east-1.aws.found.io/app/kibana#/discover/Steve-Slow-Train-Analysis-(2080s-and-2083s)?_g=(refreshInterval:(display:Off,pause:!f,section:0,value:0),time:(from:'2017-06-14T16:49:28-0600',mode:absolute,to:'2017-06-14T19:37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33" s="86" t="str">
        <f t="shared" si="1"/>
        <v>"C:\Program Files (x86)\AstroGrep\AstroGrep.exe" /e /r /s /spath="%USERPROFILE%\AppData\Local\Temp\OnboardLogs" /stypes="*4039*201706150*" /stext=" 00:.+((SYSTEM_STATE.+slice.+state.+changed )|(ment ac)|(multiple cpu faults)|(system.+state.+changed )|(\[timeout)|(PRM\|1\|D)|(kpr)|(kdp)|(train st.+moving)|(\|lc)|(penalty))"</v>
      </c>
      <c r="U33" s="9" t="str">
        <f t="shared" si="2"/>
        <v>4039</v>
      </c>
      <c r="V33" s="31">
        <f t="shared" si="3"/>
        <v>42901.025821759256</v>
      </c>
      <c r="W33" s="45" t="str">
        <f t="shared" si="7"/>
        <v>EC</v>
      </c>
      <c r="X33" s="22">
        <f t="shared" si="8"/>
        <v>208</v>
      </c>
      <c r="Y33" s="96" t="str">
        <f t="shared" si="4"/>
        <v>echo {"issue":{"subject":"","project_id":79,"tracker_id":40,"status_id":1,"priority_id":2,"assigned_to_id":23,"start_date":"2017-06-14","description":"","custom_fields":[{"id":1,"name":"Subdivision","value":"EC"},{"id":4,"name":"Milepost","value":"0.0001"},{"id":17,"name":"Train ID","value":"208-14"},{"id":16,"name":"Locomotive ID","value":"4039"},{"id":130,"name":"Impact","value":""},{"id":150,"name":"Time of Event (Mountain Time)","value":"18:37:11"},{"id":151,"name":"Denver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5"/>
        <v>grep -hrE -A400 "Enforcement Action" /cygdrive/c/Users/stu/AppData/Local/Temp/OnboardLogs/RTDC4039 --include="*4039*201706150*"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"%USERPROFILE%\AppData\Local\Temp\OnboardLogs"\RTDC4039\*4039*201706150* &gt;&gt; 2017-06-14-SliceDisagreementCheck.txt</v>
      </c>
      <c r="AE33" s="145" t="str">
        <f t="shared" si="9"/>
        <v>start /low /b %USERPROFILE%\Documents\GitHub\eaglep3\Utilities\DownloadLogsFromS3.py --loco 4039 --day 2017-06-15</v>
      </c>
      <c r="AF33" s="1"/>
    </row>
    <row r="34" spans="1:32" x14ac:dyDescent="0.25">
      <c r="A34" s="31">
        <v>42900.82744212963</v>
      </c>
      <c r="B34" s="30" t="s">
        <v>461</v>
      </c>
      <c r="C34" s="30" t="s">
        <v>643</v>
      </c>
      <c r="D34" s="30" t="s">
        <v>49</v>
      </c>
      <c r="E34" s="30" t="s">
        <v>181</v>
      </c>
      <c r="F34" s="42">
        <v>0</v>
      </c>
      <c r="G34" s="42">
        <v>40</v>
      </c>
      <c r="H34" s="42">
        <v>132</v>
      </c>
      <c r="I34" s="42">
        <v>116</v>
      </c>
      <c r="J34" s="30" t="s">
        <v>182</v>
      </c>
      <c r="K34" s="42">
        <v>1</v>
      </c>
      <c r="L34" s="131" t="s">
        <v>51</v>
      </c>
      <c r="M34" s="132">
        <f t="shared" si="0"/>
        <v>60.72</v>
      </c>
      <c r="N34" s="133" t="str">
        <f>VLOOKUP(C34,'Trips&amp;Operators'!$C$1:$G$99999,5,FALSE)</f>
        <v>SMITH MICHAEL</v>
      </c>
      <c r="O34" s="203" t="s">
        <v>180</v>
      </c>
      <c r="P34" s="134"/>
      <c r="Q34" s="30"/>
      <c r="R34" s="81" t="str">
        <f>VLOOKUP(C34,'Train Runs'!$A$13:$AE$9934,31,0)</f>
        <v>aws s3 cp s3://rtdc.mdm.uploadarchive.raw/RTDC4015/ "%USERPROFILE%\AppData\Local\Temp\OnboardLogs"\RTDC4015\2017-06-14 --exclude "*" --recursive --include "*20170614*" &amp; "%USERPROFILE%\Documents\GitHub\mrs-test-scripts\Headless Mode &amp; Sideloading\WalkAndUnGZ.bat" "%USERPROFILE%\AppData\Local\Temp\OnboardLogs"\RTDC4015\2017-06-14 &amp; aws s3 cp s3://rtdc.mdm.uploadarchive.raw/RTDC4015/ "%USERPROFILE%\AppData\Local\Temp\OnboardLogs"\RTDC4015\2017-06-15 --exclude "*" --recursive --include "*20170615*" &amp; "%USERPROFILE%\Documents\GitHub\mrs-test-scripts\Headless Mode &amp; Sideloading\WalkAndUnGZ.bat" "%USERPROFILE%\AppData\Local\Temp\OnboardLogs"\RTDC4015\2017-06-15</v>
      </c>
      <c r="S34" s="84" t="str">
        <f>VLOOKUP(C34,'Train Runs'!$A$13:$AE$9934,22,0)</f>
        <v>https://d0f6bd738d7f1b3e5a7ca70fe4ff75f0.us-east-1.aws.found.io/app/kibana#/discover/Steve-Slow-Train-Analysis-(2080s-and-2083s)?_g=(refreshInterval:(display:Off,pause:!f,section:0,value:0),time:(from:'2017-06-14T17:58:59-0600',mode:absolute,to:'2017-06-14T20:51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34" s="86" t="str">
        <f t="shared" si="1"/>
        <v>"C:\Program Files (x86)\AstroGrep\AstroGrep.exe" /e /r /s /spath="%USERPROFILE%\AppData\Local\Temp\OnboardLogs" /stypes="*4015*201706150*" /stext=" 01:.+((SYSTEM_STATE.+slice.+state.+changed )|(ment ac)|(multiple cpu faults)|(system.+state.+changed )|(\[timeout)|(PRM\|1\|D)|(kpr)|(kdp)|(train st.+moving)|(\|lc)|(penalty))"</v>
      </c>
      <c r="U34" s="9" t="str">
        <f t="shared" si="2"/>
        <v>4015</v>
      </c>
      <c r="V34" s="31">
        <f t="shared" si="3"/>
        <v>42901.07744212963</v>
      </c>
      <c r="W34" s="45" t="str">
        <f t="shared" si="7"/>
        <v>EC</v>
      </c>
      <c r="X34" s="22">
        <f t="shared" si="8"/>
        <v>218</v>
      </c>
      <c r="Y34" s="96" t="str">
        <f t="shared" si="4"/>
        <v>echo {"issue":{"subject":"","project_id":79,"tracker_id":40,"status_id":1,"priority_id":2,"assigned_to_id":23,"start_date":"2017-06-14","description":"","custom_fields":[{"id":1,"name":"Subdivision","value":"EC"},{"id":4,"name":"Milepost","value":"0.0001"},{"id":17,"name":"Train ID","value":"218-14"},{"id":16,"name":"Locomotive ID","value":"4015"},{"id":130,"name":"Impact","value":""},{"id":150,"name":"Time of Event (Mountain Time)","value":"19:51:31"},{"id":151,"name":"Denver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5"/>
        <v>grep -hrE -A400 "Enforcement Action" /cygdrive/c/Users/stu/AppData/Local/Temp/OnboardLogs/RTDC4015 --include="*4015*201706150*"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"%USERPROFILE%\AppData\Local\Temp\OnboardLogs"\RTDC4015\*4015*201706150* &gt;&gt; 2017-06-14-SliceDisagreementCheck.txt</v>
      </c>
      <c r="AE34" s="145" t="str">
        <f t="shared" si="9"/>
        <v>start /low /b %USERPROFILE%\Documents\GitHub\eaglep3\Utilities\DownloadLogsFromS3.py --loco 4015 --day 2017-06-15</v>
      </c>
      <c r="AF34" s="1"/>
    </row>
    <row r="35" spans="1:32" x14ac:dyDescent="0.25">
      <c r="A35" s="31">
        <v>42900.162754629629</v>
      </c>
      <c r="B35" s="30" t="s">
        <v>599</v>
      </c>
      <c r="C35" s="30" t="s">
        <v>600</v>
      </c>
      <c r="D35" s="30" t="s">
        <v>49</v>
      </c>
      <c r="E35" s="30" t="s">
        <v>181</v>
      </c>
      <c r="F35" s="42">
        <v>0</v>
      </c>
      <c r="G35" s="42">
        <v>20</v>
      </c>
      <c r="H35" s="42">
        <v>233427</v>
      </c>
      <c r="I35" s="42">
        <v>233449</v>
      </c>
      <c r="J35" s="30" t="s">
        <v>182</v>
      </c>
      <c r="K35" s="42">
        <v>233491</v>
      </c>
      <c r="L35" s="131" t="s">
        <v>50</v>
      </c>
      <c r="M35" s="132">
        <f t="shared" si="0"/>
        <v>22.175999999999998</v>
      </c>
      <c r="N35" s="133" t="str">
        <f>VLOOKUP(C35,'Trips&amp;Operators'!$C$1:$G$99999,5,FALSE)</f>
        <v>BONDS REYNALDO</v>
      </c>
      <c r="O35" s="203" t="s">
        <v>180</v>
      </c>
      <c r="P35" s="134"/>
      <c r="Q35" s="30"/>
      <c r="R35" s="81" t="str">
        <f>VLOOKUP(C35,'Train Runs'!$A$13:$AE$9934,31,0)</f>
        <v>aws s3 cp s3://rtdc.mdm.uploadarchive.raw/RTDC4010/ "%USERPROFILE%\AppData\Local\Temp\OnboardLogs"\RTDC4010\2017-06-14 --exclude "*" --recursive --include "*20170614*" &amp; "%USERPROFILE%\Documents\GitHub\mrs-test-scripts\Headless Mode &amp; Sideloading\WalkAndUnGZ.bat" "%USERPROFILE%\AppData\Local\Temp\OnboardLogs"\RTDC4010\2017-06-14 &amp; 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</v>
      </c>
      <c r="S35" s="84" t="str">
        <f>VLOOKUP(C35,'Train Runs'!$A$13:$AE$9934,22,0)</f>
        <v>https://d0f6bd738d7f1b3e5a7ca70fe4ff75f0.us-east-1.aws.found.io/app/kibana#/discover/Steve-Slow-Train-Analysis-(2080s-and-2083s)?_g=(refreshInterval:(display:Off,pause:!f,section:0,value:0),time:(from:'2017-06-14T02:07:54-0600',mode:absolute,to:'2017-06-14T04:54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35" s="86" t="str">
        <f t="shared" si="1"/>
        <v>"C:\Program Files (x86)\AstroGrep\AstroGrep.exe" /e /r /s /spath="%USERPROFILE%\AppData\Local\Temp\OnboardLogs" /stypes="*4010*201706140*" /stext=" 09:.+((SYSTEM_STATE.+slice.+state.+changed )|(ment ac)|(multiple cpu faults)|(system.+state.+changed )|(\[timeout)|(PRM\|1\|D)|(kpr)|(kdp)|(train st.+moving)|(\|lc)|(penalty))"</v>
      </c>
      <c r="U35" s="9" t="str">
        <f t="shared" si="2"/>
        <v>4010</v>
      </c>
      <c r="V35" s="31">
        <f t="shared" si="3"/>
        <v>42900.412754629629</v>
      </c>
      <c r="W35" s="45" t="str">
        <f t="shared" si="7"/>
        <v>EC</v>
      </c>
      <c r="X35" s="22">
        <f t="shared" si="8"/>
        <v>101</v>
      </c>
      <c r="Y35" s="96" t="str">
        <f t="shared" si="4"/>
        <v>echo {"issue":{"subject":"","project_id":79,"tracker_id":40,"status_id":1,"priority_id":2,"assigned_to_id":23,"start_date":"2017-06-14","description":"","custom_fields":[{"id":1,"name":"Subdivision","value":"EC"},{"id":4,"name":"Milepost","value":"23.3491"},{"id":17,"name":"Train ID","value":"101-14"},{"id":16,"name":"Locomotive ID","value":"4010"},{"id":130,"name":"Impact","value":""},{"id":150,"name":"Time of Event (Mountain Time)","value":"03:54:22"},{"id":151,"name":"Denver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5"/>
        <v>grep -hrE -A400 "Enforcement Action" /cygdrive/c/Users/stu/AppData/Local/Temp/OnboardLogs/RTDC4010 --include="*4010*201706140*"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"%USERPROFILE%\AppData\Local\Temp\OnboardLogs"\RTDC4010\*4010*201706140* &gt;&gt; 2017-06-14-SliceDisagreementCheck.txt</v>
      </c>
      <c r="AE35" s="145" t="str">
        <f t="shared" si="9"/>
        <v>start /low /b %USERPROFILE%\Documents\GitHub\eaglep3\Utilities\DownloadLogsFromS3.py --loco 4010 --day 2017-06-14</v>
      </c>
      <c r="AF35" s="1"/>
    </row>
    <row r="36" spans="1:32" x14ac:dyDescent="0.25">
      <c r="A36" s="31">
        <v>42900.671365740738</v>
      </c>
      <c r="B36" s="30" t="s">
        <v>599</v>
      </c>
      <c r="C36" s="30" t="s">
        <v>629</v>
      </c>
      <c r="D36" s="30" t="s">
        <v>49</v>
      </c>
      <c r="E36" s="30" t="s">
        <v>181</v>
      </c>
      <c r="F36" s="42">
        <v>0</v>
      </c>
      <c r="G36" s="42">
        <v>44</v>
      </c>
      <c r="H36" s="42">
        <v>233328</v>
      </c>
      <c r="I36" s="42">
        <v>233366</v>
      </c>
      <c r="J36" s="30" t="s">
        <v>182</v>
      </c>
      <c r="K36" s="42">
        <v>233491</v>
      </c>
      <c r="L36" s="131" t="s">
        <v>50</v>
      </c>
      <c r="M36" s="132">
        <f t="shared" si="0"/>
        <v>66</v>
      </c>
      <c r="N36" s="133" t="str">
        <f>VLOOKUP(C36,'Trips&amp;Operators'!$C$1:$G$99999,5,FALSE)</f>
        <v>LEVIN SCOTT</v>
      </c>
      <c r="O36" s="203" t="s">
        <v>180</v>
      </c>
      <c r="P36" s="134"/>
      <c r="Q36" s="30"/>
      <c r="R36" s="81" t="str">
        <f>VLOOKUP(C36,'Train Runs'!$A$13:$AE$9934,31,0)</f>
        <v>aws s3 cp s3://rtdc.mdm.uploadarchive.raw/RTDC4010/ "%USERPROFILE%\AppData\Local\Temp\OnboardLogs"\RTDC4010\2017-06-14 --exclude "*" --recursive --include "*20170614*" &amp; "%USERPROFILE%\Documents\GitHub\mrs-test-scripts\Headless Mode &amp; Sideloading\WalkAndUnGZ.bat" "%USERPROFILE%\AppData\Local\Temp\OnboardLogs"\RTDC4010\2017-06-14 &amp; 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</v>
      </c>
      <c r="S36" s="84" t="str">
        <f>VLOOKUP(C36,'Train Runs'!$A$13:$AE$9934,22,0)</f>
        <v>https://d0f6bd738d7f1b3e5a7ca70fe4ff75f0.us-east-1.aws.found.io/app/kibana#/discover/Steve-Slow-Train-Analysis-(2080s-and-2083s)?_g=(refreshInterval:(display:Off,pause:!f,section:0,value:0),time:(from:'2017-06-14T14:26:20-0600',mode:absolute,to:'2017-06-14T17:06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36" s="86" t="str">
        <f t="shared" si="1"/>
        <v>"C:\Program Files (x86)\AstroGrep\AstroGrep.exe" /e /r /s /spath="%USERPROFILE%\AppData\Local\Temp\OnboardLogs" /stypes="*4010*201706142*" /stext=" 22:.+((SYSTEM_STATE.+slice.+state.+changed )|(ment ac)|(multiple cpu faults)|(system.+state.+changed )|(\[timeout)|(PRM\|1\|D)|(kpr)|(kdp)|(train st.+moving)|(\|lc)|(penalty))"</v>
      </c>
      <c r="U36" s="9" t="str">
        <f t="shared" si="2"/>
        <v>4010</v>
      </c>
      <c r="V36" s="31">
        <f t="shared" si="3"/>
        <v>42900.921365740738</v>
      </c>
      <c r="W36" s="45" t="str">
        <f t="shared" si="7"/>
        <v>EC</v>
      </c>
      <c r="X36" s="22">
        <f t="shared" si="8"/>
        <v>195</v>
      </c>
      <c r="Y36" s="96" t="str">
        <f t="shared" si="4"/>
        <v>echo {"issue":{"subject":"","project_id":79,"tracker_id":40,"status_id":1,"priority_id":2,"assigned_to_id":23,"start_date":"2017-06-14","description":"","custom_fields":[{"id":1,"name":"Subdivision","value":"EC"},{"id":4,"name":"Milepost","value":"23.3491"},{"id":17,"name":"Train ID","value":"195-14"},{"id":16,"name":"Locomotive ID","value":"4010"},{"id":130,"name":"Impact","value":""},{"id":150,"name":"Time of Event (Mountain Time)","value":"16:06:46"},{"id":151,"name":"Denver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5"/>
        <v>grep -hrE -A400 "Enforcement Action" /cygdrive/c/Users/stu/AppData/Local/Temp/OnboardLogs/RTDC4010 --include="*4010*201706142*"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"%USERPROFILE%\AppData\Local\Temp\OnboardLogs"\RTDC4010\*4010*201706142* &gt;&gt; 2017-06-14-SliceDisagreementCheck.txt</v>
      </c>
      <c r="AE36" s="145" t="str">
        <f t="shared" si="9"/>
        <v>start /low /b %USERPROFILE%\Documents\GitHub\eaglep3\Utilities\DownloadLogsFromS3.py --loco 4010 --day 2017-06-14</v>
      </c>
      <c r="AF36" s="1"/>
    </row>
    <row r="37" spans="1:32" x14ac:dyDescent="0.25">
      <c r="A37" s="31">
        <v>42900.744027777779</v>
      </c>
      <c r="B37" s="30" t="s">
        <v>599</v>
      </c>
      <c r="C37" s="30" t="s">
        <v>635</v>
      </c>
      <c r="D37" s="30" t="s">
        <v>49</v>
      </c>
      <c r="E37" s="30" t="s">
        <v>181</v>
      </c>
      <c r="F37" s="42">
        <v>0</v>
      </c>
      <c r="G37" s="42">
        <v>60</v>
      </c>
      <c r="H37" s="42">
        <v>233272</v>
      </c>
      <c r="I37" s="42">
        <v>233331</v>
      </c>
      <c r="J37" s="30" t="s">
        <v>182</v>
      </c>
      <c r="K37" s="42">
        <v>233491</v>
      </c>
      <c r="L37" s="131" t="s">
        <v>50</v>
      </c>
      <c r="M37" s="132">
        <f t="shared" si="0"/>
        <v>84.48</v>
      </c>
      <c r="N37" s="133" t="str">
        <f>VLOOKUP(C37,'Trips&amp;Operators'!$C$1:$G$99999,5,FALSE)</f>
        <v>LEVIN SCOTT</v>
      </c>
      <c r="O37" s="203" t="s">
        <v>180</v>
      </c>
      <c r="P37" s="134"/>
      <c r="Q37" s="30"/>
      <c r="R37" s="81" t="str">
        <f>VLOOKUP(C37,'Train Runs'!$A$13:$AE$9934,31,0)</f>
        <v>aws s3 cp s3://rtdc.mdm.uploadarchive.raw/RTDC4010/ "%USERPROFILE%\AppData\Local\Temp\OnboardLogs"\RTDC4010\2017-06-14 --exclude "*" --recursive --include "*20170614*" &amp; "%USERPROFILE%\Documents\GitHub\mrs-test-scripts\Headless Mode &amp; Sideloading\WalkAndUnGZ.bat" "%USERPROFILE%\AppData\Local\Temp\OnboardLogs"\RTDC4010\2017-06-14 &amp; 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</v>
      </c>
      <c r="S37" s="84" t="str">
        <f>VLOOKUP(C37,'Train Runs'!$A$13:$AE$9934,22,0)</f>
        <v>https://d0f6bd738d7f1b3e5a7ca70fe4ff75f0.us-east-1.aws.found.io/app/kibana#/discover/Steve-Slow-Train-Analysis-(2080s-and-2083s)?_g=(refreshInterval:(display:Off,pause:!f,section:0,value:0),time:(from:'2017-06-14T16:09:30-0600',mode:absolute,to:'2017-06-14T18:51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37" s="86" t="str">
        <f t="shared" si="1"/>
        <v>"C:\Program Files (x86)\AstroGrep\AstroGrep.exe" /e /r /s /spath="%USERPROFILE%\AppData\Local\Temp\OnboardLogs" /stypes="*4010*201706142*" /stext=" 23:.+((SYSTEM_STATE.+slice.+state.+changed )|(ment ac)|(multiple cpu faults)|(system.+state.+changed )|(\[timeout)|(PRM\|1\|D)|(kpr)|(kdp)|(train st.+moving)|(\|lc)|(penalty))"</v>
      </c>
      <c r="U37" s="9" t="str">
        <f t="shared" si="2"/>
        <v>4010</v>
      </c>
      <c r="V37" s="31">
        <f t="shared" si="3"/>
        <v>42900.994027777779</v>
      </c>
      <c r="W37" s="45" t="str">
        <f t="shared" si="7"/>
        <v>EC</v>
      </c>
      <c r="X37" s="22">
        <f t="shared" si="8"/>
        <v>209</v>
      </c>
      <c r="Y37" s="96" t="str">
        <f t="shared" si="4"/>
        <v>echo {"issue":{"subject":"","project_id":79,"tracker_id":40,"status_id":1,"priority_id":2,"assigned_to_id":23,"start_date":"2017-06-14","description":"","custom_fields":[{"id":1,"name":"Subdivision","value":"EC"},{"id":4,"name":"Milepost","value":"23.3491"},{"id":17,"name":"Train ID","value":"209-14"},{"id":16,"name":"Locomotive ID","value":"4010"},{"id":130,"name":"Impact","value":""},{"id":150,"name":"Time of Event (Mountain Time)","value":"17:51:24"},{"id":151,"name":"Denver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5"/>
        <v>grep -hrE -A400 "Enforcement Action" /cygdrive/c/Users/stu/AppData/Local/Temp/OnboardLogs/RTDC4010 --include="*4010*201706142*"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"%USERPROFILE%\AppData\Local\Temp\OnboardLogs"\RTDC4010\*4010*201706142* &gt;&gt; 2017-06-14-SliceDisagreementCheck.txt</v>
      </c>
      <c r="AE37" s="145" t="str">
        <f t="shared" si="9"/>
        <v>start /low /b %USERPROFILE%\Documents\GitHub\eaglep3\Utilities\DownloadLogsFromS3.py --loco 4010 --day 2017-06-14</v>
      </c>
      <c r="AF37" s="1"/>
    </row>
    <row r="38" spans="1:32" x14ac:dyDescent="0.25">
      <c r="A38" s="31">
        <v>42900.479837962965</v>
      </c>
      <c r="B38" s="30" t="s">
        <v>425</v>
      </c>
      <c r="C38" s="30" t="s">
        <v>622</v>
      </c>
      <c r="D38" s="30" t="s">
        <v>49</v>
      </c>
      <c r="E38" s="30" t="s">
        <v>200</v>
      </c>
      <c r="F38" s="42">
        <v>400</v>
      </c>
      <c r="G38" s="42">
        <v>471</v>
      </c>
      <c r="H38" s="42">
        <v>46340</v>
      </c>
      <c r="I38" s="42">
        <v>47723</v>
      </c>
      <c r="J38" s="30" t="s">
        <v>201</v>
      </c>
      <c r="K38" s="42">
        <v>47810</v>
      </c>
      <c r="L38" s="131" t="s">
        <v>50</v>
      </c>
      <c r="M38" s="132">
        <f t="shared" si="0"/>
        <v>45.936</v>
      </c>
      <c r="N38" s="133" t="str">
        <f>VLOOKUP(C38,'Trips&amp;Operators'!$C$1:$G$99999,5,FALSE)</f>
        <v>GEBRETEKLE DAGNEW</v>
      </c>
      <c r="O38" s="203" t="s">
        <v>180</v>
      </c>
      <c r="P38" s="134"/>
      <c r="Q38" s="30"/>
      <c r="R38" s="81" t="str">
        <f>VLOOKUP(C38,'Train Runs'!$A$13:$AE$9934,31,0)</f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S38" s="84" t="str">
        <f>VLOOKUP(C38,'Train Runs'!$A$13:$AE$9934,22,0)</f>
        <v>https://d0f6bd738d7f1b3e5a7ca70fe4ff75f0.us-east-1.aws.found.io/app/kibana#/discover/Steve-Slow-Train-Analysis-(2080s-and-2083s)?_g=(refreshInterval:(display:Off,pause:!f,section:0,value:0),time:(from:'2017-06-14T09:56:46-0600',mode:absolute,to:'2017-06-14T12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38" s="86" t="str">
        <f t="shared" si="1"/>
        <v>"C:\Program Files (x86)\AstroGrep\AstroGrep.exe" /e /r /s /spath="%USERPROFILE%\AppData\Local\Temp\OnboardLogs" /stypes="*4020*201706141*" /stext=" 17:.+((SYSTEM_STATE.+slice.+state.+changed )|(ment ac)|(multiple cpu faults)|(system.+state.+changed )|(\[timeout)|(PRM\|1\|D)|(kpr)|(kdp)|(train st.+moving)|(\|lc)|(penalty))"</v>
      </c>
      <c r="U38" s="9" t="str">
        <f t="shared" si="2"/>
        <v>4020</v>
      </c>
      <c r="V38" s="31">
        <f t="shared" si="3"/>
        <v>42900.729837962965</v>
      </c>
      <c r="W38" s="45" t="str">
        <f t="shared" si="7"/>
        <v>NW</v>
      </c>
      <c r="X38" s="22">
        <f t="shared" si="8"/>
        <v>817</v>
      </c>
      <c r="Y38" s="96" t="str">
        <f t="shared" si="4"/>
        <v>echo {"issue":{"subject":"","project_id":79,"tracker_id":40,"status_id":1,"priority_id":2,"assigned_to_id":23,"start_date":"2017-06-14","description":"","custom_fields":[{"id":1,"name":"Subdivision","value":"NW"},{"id":4,"name":"Milepost","value":"4.781"},{"id":17,"name":"Train ID","value":"817-14"},{"id":16,"name":"Locomotive ID","value":"4020"},{"id":130,"name":"Impact","value":""},{"id":150,"name":"Time of Event (Mountain Time)","value":"11:30:58"},{"id":151,"name":"Denver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5"/>
        <v>grep -hrE -A400 "Enforcement Action" /cygdrive/c/Users/stu/AppData/Local/Temp/OnboardLogs/RTDC4020 --include="*4020*201706141*"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"%USERPROFILE%\AppData\Local\Temp\OnboardLogs"\RTDC4020\*4020*201706141* &gt;&gt; 2017-06-14-SliceDisagreementCheck.txt</v>
      </c>
      <c r="AE38" s="145" t="str">
        <f t="shared" si="9"/>
        <v>start /low /b %USERPROFILE%\Documents\GitHub\eaglep3\Utilities\DownloadLogsFromS3.py --loco 4020 --day 2017-06-14</v>
      </c>
      <c r="AF38" s="1"/>
    </row>
    <row r="39" spans="1:32" x14ac:dyDescent="0.25">
      <c r="A39" s="31">
        <v>42900.218958333331</v>
      </c>
      <c r="B39" s="30" t="s">
        <v>601</v>
      </c>
      <c r="C39" s="30" t="s">
        <v>602</v>
      </c>
      <c r="D39" s="30" t="s">
        <v>96</v>
      </c>
      <c r="E39" s="30" t="s">
        <v>200</v>
      </c>
      <c r="F39" s="42">
        <v>150</v>
      </c>
      <c r="G39" s="42">
        <v>201</v>
      </c>
      <c r="H39" s="42">
        <v>56997</v>
      </c>
      <c r="I39" s="42">
        <v>56608</v>
      </c>
      <c r="J39" s="30" t="s">
        <v>201</v>
      </c>
      <c r="K39" s="42">
        <v>59050</v>
      </c>
      <c r="L39" s="131" t="s">
        <v>51</v>
      </c>
      <c r="M39" s="132">
        <f t="shared" ref="M39:M56" si="11">CONVERT((I39-K39)/10000,"mi","ft")*IF(L39="Increasing Mileposts (1)",-1,1)</f>
        <v>-1289.376</v>
      </c>
      <c r="N39" s="133" t="str">
        <f>VLOOKUP(C39,'Trips&amp;Operators'!$C$1:$G$99999,5,FALSE)</f>
        <v>MACDONALD THOMAS</v>
      </c>
      <c r="O39" s="203" t="s">
        <v>180</v>
      </c>
      <c r="P39" s="134"/>
      <c r="Q39" s="30"/>
      <c r="R39" s="81" t="str">
        <f>VLOOKUP(C39,'Train Runs'!$A$13:$AE$9934,31,0)</f>
        <v>aws s3 cp s3://rtdc.mdm.uploadarchive.raw/RTDC4011/ "%USERPROFILE%\AppData\Local\Temp\OnboardLogs"\RTDC4011\2017-06-14 --exclude "*" --recursive --include "*20170614*" &amp; "%USERPROFILE%\Documents\GitHub\mrs-test-scripts\Headless Mode &amp; Sideloading\WalkAndUnGZ.bat" "%USERPROFILE%\AppData\Local\Temp\OnboardLogs"\RTDC4011\2017-06-14 &amp; aws s3 cp s3://rtdc.mdm.uploadarchive.raw/RTDC4011/ "%USERPROFILE%\AppData\Local\Temp\OnboardLogs"\RTDC4011\2017-06-15 --exclude "*" --recursive --include "*20170615*" &amp; "%USERPROFILE%\Documents\GitHub\mrs-test-scripts\Headless Mode &amp; Sideloading\WalkAndUnGZ.bat" "%USERPROFILE%\AppData\Local\Temp\OnboardLogs"\RTDC4011\2017-06-15</v>
      </c>
      <c r="S39" s="84" t="str">
        <f>VLOOKUP(C39,'Train Runs'!$A$13:$AE$9934,22,0)</f>
        <v>https://d0f6bd738d7f1b3e5a7ca70fe4ff75f0.us-east-1.aws.found.io/app/kibana#/discover/Steve-Slow-Train-Analysis-(2080s-and-2083s)?_g=(refreshInterval:(display:Off,pause:!f,section:0,value:0),time:(from:'2017-06-14T04:11:48-0600',mode:absolute,to:'2017-06-14T06:28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39" s="86" t="str">
        <f t="shared" ref="T39:T56" si="12"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/stypes="*4011*201706141*" /stext=" 11:.+((SYSTEM_STATE.+slice.+state.+changed )|(ment ac)|(multiple cpu faults)|(system.+state.+changed )|(\[timeout)|(PRM\|1\|D)|(kpr)|(kdp)|(train st.+moving)|(\|lc)|(penalty))"</v>
      </c>
      <c r="U39" s="9" t="str">
        <f t="shared" ref="U39:U56" si="13">MID(B39,13,4)</f>
        <v>4011</v>
      </c>
      <c r="V39" s="31">
        <f t="shared" ref="V39:V56" si="14">A39-utc_offset/24</f>
        <v>42900.468958333331</v>
      </c>
      <c r="W39" s="45" t="str">
        <f t="shared" si="7"/>
        <v>NW</v>
      </c>
      <c r="X39" s="22">
        <f t="shared" si="8"/>
        <v>800</v>
      </c>
      <c r="Y39" s="96" t="str">
        <f t="shared" ref="Y39:Y56" si="15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{"issue":{"subject":"","project_id":79,"tracker_id":40,"status_id":1,"priority_id":2,"assigned_to_id":23,"start_date":"2017-06-14","description":"","custom_fields":[{"id":1,"name":"Subdivision","value":"NW"},{"id":4,"name":"Milepost","value":"5.905"},{"id":17,"name":"Train ID","value":"800-14"},{"id":16,"name":"Locomotive ID","value":"4011"},{"id":130,"name":"Impact","value":""},{"id":150,"name":"Time of Event (Mountain Time)","value":"05:15:18"},{"id":151,"name":"Denver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ref="AC39:AC56" si="16">"grep -hrE -A400 ""Enforcement Action"" "&amp;"/cygdrive/c/Users/stu/AppData/Local/Temp/OnboardLogs"&amp;"/RTDC"&amp;U39&amp;" --include=""*"&amp;U39&amp;"*"&amp;TEXT(A39-utc_offset/24,"YYYYMMDD")&amp;LEFT(TEXT(A39-utc_offset/24,"HH"),1)&amp;"*"" | grep -E ""((Enforcement Ac)|(PRM))"" -"</f>
        <v>grep -hrE -A400 "Enforcement Action" /cygdrive/c/Users/stu/AppData/Local/Temp/OnboardLogs/RTDC4011 --include="*4011*201706141*"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"%USERPROFILE%\AppData\Local\Temp\OnboardLogs"\RTDC4011\*4011*201706141* &gt;&gt; 2017-06-14-SliceDisagreementCheck.txt</v>
      </c>
      <c r="AE39" s="145" t="str">
        <f t="shared" si="9"/>
        <v>start /low /b %USERPROFILE%\Documents\GitHub\eaglep3\Utilities\DownloadLogsFromS3.py --loco 4011 --day 2017-06-14</v>
      </c>
      <c r="AF39" s="1"/>
    </row>
    <row r="40" spans="1:32" x14ac:dyDescent="0.25">
      <c r="A40" s="31">
        <v>42900.301608796297</v>
      </c>
      <c r="B40" s="30" t="s">
        <v>601</v>
      </c>
      <c r="C40" s="30" t="s">
        <v>610</v>
      </c>
      <c r="D40" s="30" t="s">
        <v>96</v>
      </c>
      <c r="E40" s="30" t="s">
        <v>200</v>
      </c>
      <c r="F40" s="42">
        <v>150</v>
      </c>
      <c r="G40" s="42">
        <v>200</v>
      </c>
      <c r="H40" s="42">
        <v>57008</v>
      </c>
      <c r="I40" s="42">
        <v>56431</v>
      </c>
      <c r="J40" s="30" t="s">
        <v>201</v>
      </c>
      <c r="K40" s="42">
        <v>59050</v>
      </c>
      <c r="L40" s="131" t="s">
        <v>51</v>
      </c>
      <c r="M40" s="132">
        <f t="shared" si="11"/>
        <v>-1382.8320000000001</v>
      </c>
      <c r="N40" s="133" t="str">
        <f>VLOOKUP(C40,'Trips&amp;Operators'!$C$1:$G$99999,5,FALSE)</f>
        <v>MACDONALD THOMAS</v>
      </c>
      <c r="O40" s="203" t="s">
        <v>180</v>
      </c>
      <c r="P40" s="134"/>
      <c r="Q40" s="30"/>
      <c r="R40" s="81" t="str">
        <f>VLOOKUP(C40,'Train Runs'!$A$13:$AE$9934,31,0)</f>
        <v>aws s3 cp s3://rtdc.mdm.uploadarchive.raw/RTDC4011/ "%USERPROFILE%\AppData\Local\Temp\OnboardLogs"\RTDC4011\2017-06-14 --exclude "*" --recursive --include "*20170614*" &amp; "%USERPROFILE%\Documents\GitHub\mrs-test-scripts\Headless Mode &amp; Sideloading\WalkAndUnGZ.bat" "%USERPROFILE%\AppData\Local\Temp\OnboardLogs"\RTDC4011\2017-06-14 &amp; aws s3 cp s3://rtdc.mdm.uploadarchive.raw/RTDC4011/ "%USERPROFILE%\AppData\Local\Temp\OnboardLogs"\RTDC4011\2017-06-15 --exclude "*" --recursive --include "*20170615*" &amp; "%USERPROFILE%\Documents\GitHub\mrs-test-scripts\Headless Mode &amp; Sideloading\WalkAndUnGZ.bat" "%USERPROFILE%\AppData\Local\Temp\OnboardLogs"\RTDC4011\2017-06-15</v>
      </c>
      <c r="S40" s="84" t="str">
        <f>VLOOKUP(C40,'Train Runs'!$A$13:$AE$9934,22,0)</f>
        <v>https://d0f6bd738d7f1b3e5a7ca70fe4ff75f0.us-east-1.aws.found.io/app/kibana#/discover/Steve-Slow-Train-Analysis-(2080s-and-2083s)?_g=(refreshInterval:(display:Off,pause:!f,section:0,value:0),time:(from:'2017-06-14T06:05:43-0600',mode:absolute,to:'2017-06-14T08:26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40" s="86" t="str">
        <f t="shared" si="12"/>
        <v>"C:\Program Files (x86)\AstroGrep\AstroGrep.exe" /e /r /s /spath="%USERPROFILE%\AppData\Local\Temp\OnboardLogs" /stypes="*4011*201706141*" /stext=" 13:.+((SYSTEM_STATE.+slice.+state.+changed )|(ment ac)|(multiple cpu faults)|(system.+state.+changed )|(\[timeout)|(PRM\|1\|D)|(kpr)|(kdp)|(train st.+moving)|(\|lc)|(penalty))"</v>
      </c>
      <c r="U40" s="9" t="str">
        <f t="shared" si="13"/>
        <v>4011</v>
      </c>
      <c r="V40" s="31">
        <f t="shared" si="14"/>
        <v>42900.551608796297</v>
      </c>
      <c r="W40" s="45" t="str">
        <f t="shared" si="7"/>
        <v>NW</v>
      </c>
      <c r="X40" s="22">
        <f t="shared" si="8"/>
        <v>806</v>
      </c>
      <c r="Y40" s="96" t="str">
        <f t="shared" si="15"/>
        <v>echo {"issue":{"subject":"","project_id":79,"tracker_id":40,"status_id":1,"priority_id":2,"assigned_to_id":23,"start_date":"2017-06-14","description":"","custom_fields":[{"id":1,"name":"Subdivision","value":"NW"},{"id":4,"name":"Milepost","value":"5.905"},{"id":17,"name":"Train ID","value":"806-14"},{"id":16,"name":"Locomotive ID","value":"4011"},{"id":130,"name":"Impact","value":""},{"id":150,"name":"Time of Event (Mountain Time)","value":"07:14:19"},{"id":151,"name":"Denver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 t="shared" si="16"/>
        <v>grep -hrE -A400 "Enforcement Action" /cygdrive/c/Users/stu/AppData/Local/Temp/OnboardLogs/RTDC4011 --include="*4011*201706141*"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"%USERPROFILE%\AppData\Local\Temp\OnboardLogs"\RTDC4011\*4011*201706141* &gt;&gt; 2017-06-14-SliceDisagreementCheck.txt</v>
      </c>
      <c r="AE40" s="145" t="str">
        <f t="shared" si="9"/>
        <v>start /low /b %USERPROFILE%\Documents\GitHub\eaglep3\Utilities\DownloadLogsFromS3.py --loco 4011 --day 2017-06-14</v>
      </c>
      <c r="AF40" s="1"/>
    </row>
    <row r="41" spans="1:32" x14ac:dyDescent="0.25">
      <c r="A41" s="31">
        <v>42900.76699074074</v>
      </c>
      <c r="B41" s="30" t="s">
        <v>601</v>
      </c>
      <c r="C41" s="30" t="s">
        <v>636</v>
      </c>
      <c r="D41" s="30" t="s">
        <v>49</v>
      </c>
      <c r="E41" s="30" t="s">
        <v>362</v>
      </c>
      <c r="F41" s="42">
        <v>0</v>
      </c>
      <c r="G41" s="42">
        <v>47</v>
      </c>
      <c r="H41" s="42">
        <v>4905</v>
      </c>
      <c r="I41" s="42">
        <v>4846</v>
      </c>
      <c r="J41" s="30" t="s">
        <v>363</v>
      </c>
      <c r="K41" s="42">
        <v>4790</v>
      </c>
      <c r="L41" s="131" t="s">
        <v>51</v>
      </c>
      <c r="M41" s="132">
        <f t="shared" si="11"/>
        <v>29.568000000000001</v>
      </c>
      <c r="N41" s="133" t="str">
        <f>VLOOKUP(C41,'Trips&amp;Operators'!$C$1:$G$99999,5,FALSE)</f>
        <v>STAMBAUGH JAMES</v>
      </c>
      <c r="O41" s="203" t="s">
        <v>180</v>
      </c>
      <c r="P41" s="134" t="s">
        <v>997</v>
      </c>
      <c r="Q41" s="30"/>
      <c r="R41" s="81" t="str">
        <f>VLOOKUP(C41,'Train Runs'!$A$13:$AE$9934,31,0)</f>
        <v>aws s3 cp s3://rtdc.mdm.uploadarchive.raw/RTDC4011/ "%USERPROFILE%\AppData\Local\Temp\OnboardLogs"\RTDC4011\2017-06-14 --exclude "*" --recursive --include "*20170614*" &amp; "%USERPROFILE%\Documents\GitHub\mrs-test-scripts\Headless Mode &amp; Sideloading\WalkAndUnGZ.bat" "%USERPROFILE%\AppData\Local\Temp\OnboardLogs"\RTDC4011\2017-06-14 &amp; aws s3 cp s3://rtdc.mdm.uploadarchive.raw/RTDC4011/ "%USERPROFILE%\AppData\Local\Temp\OnboardLogs"\RTDC4011\2017-06-15 --exclude "*" --recursive --include "*20170615*" &amp; "%USERPROFILE%\Documents\GitHub\mrs-test-scripts\Headless Mode &amp; Sideloading\WalkAndUnGZ.bat" "%USERPROFILE%\AppData\Local\Temp\OnboardLogs"\RTDC4011\2017-06-15</v>
      </c>
      <c r="S41" s="84" t="str">
        <f>VLOOKUP(C41,'Train Runs'!$A$13:$AE$9934,22,0)</f>
        <v>https://d0f6bd738d7f1b3e5a7ca70fe4ff75f0.us-east-1.aws.found.io/app/kibana#/discover/Steve-Slow-Train-Analysis-(2080s-and-2083s)?_g=(refreshInterval:(display:Off,pause:!f,section:0,value:0),time:(from:'2017-06-14T17:09:29-0600',mode:absolute,to:'2017-06-14T19:24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41" s="86" t="str">
        <f t="shared" si="12"/>
        <v>"C:\Program Files (x86)\AstroGrep\AstroGrep.exe" /e /r /s /spath="%USERPROFILE%\AppData\Local\Temp\OnboardLogs" /stypes="*4011*201706150*" /stext=" 00:.+((SYSTEM_STATE.+slice.+state.+changed )|(ment ac)|(multiple cpu faults)|(system.+state.+changed )|(\[timeout)|(PRM\|1\|D)|(kpr)|(kdp)|(train st.+moving)|(\|lc)|(penalty))"</v>
      </c>
      <c r="U41" s="9" t="str">
        <f t="shared" si="13"/>
        <v>4011</v>
      </c>
      <c r="V41" s="31">
        <f t="shared" si="14"/>
        <v>42901.01699074074</v>
      </c>
      <c r="W41" s="45" t="str">
        <f t="shared" si="7"/>
        <v>NW</v>
      </c>
      <c r="X41" s="22">
        <f t="shared" si="8"/>
        <v>836</v>
      </c>
      <c r="Y41" s="96" t="str">
        <f t="shared" si="15"/>
        <v>echo {"issue":{"subject":"DUS 28S STOP due to 4S STOP","project_id":79,"tracker_id":40,"status_id":1,"priority_id":2,"assigned_to_id":23,"start_date":"2017-06-14","description":"","custom_fields":[{"id":1,"name":"Subdivision","value":"NW"},{"id":4,"name":"Milepost","value":"0.479"},{"id":17,"name":"Train ID","value":"836-14"},{"id":16,"name":"Locomotive ID","value":"4011"},{"id":130,"name":"Impact","value":""},{"id":150,"name":"Time of Event (Mountain Time)","value":"18:24:28"},{"id":151,"name":"Denver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 t="shared" si="16"/>
        <v>grep -hrE -A400 "Enforcement Action" /cygdrive/c/Users/stu/AppData/Local/Temp/OnboardLogs/RTDC4011 --include="*4011*201706150*"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"%USERPROFILE%\AppData\Local\Temp\OnboardLogs"\RTDC4011\*4011*201706150* &gt;&gt; 2017-06-14-SliceDisagreementCheck.txt</v>
      </c>
      <c r="AE41" s="145" t="str">
        <f t="shared" si="9"/>
        <v>start /low /b %USERPROFILE%\Documents\GitHub\eaglep3\Utilities\DownloadLogsFromS3.py --loco 4011 --day 2017-06-15</v>
      </c>
      <c r="AF41" s="1"/>
    </row>
    <row r="42" spans="1:32" x14ac:dyDescent="0.25">
      <c r="A42" s="31">
        <v>42900.834803240738</v>
      </c>
      <c r="B42" s="30" t="s">
        <v>423</v>
      </c>
      <c r="C42" s="30" t="s">
        <v>644</v>
      </c>
      <c r="D42" s="30" t="s">
        <v>49</v>
      </c>
      <c r="E42" s="30" t="s">
        <v>362</v>
      </c>
      <c r="F42" s="42">
        <v>0</v>
      </c>
      <c r="G42" s="42">
        <v>44</v>
      </c>
      <c r="H42" s="42">
        <v>5180</v>
      </c>
      <c r="I42" s="42">
        <v>5093</v>
      </c>
      <c r="J42" s="30" t="s">
        <v>363</v>
      </c>
      <c r="K42" s="42">
        <v>4790</v>
      </c>
      <c r="L42" s="131" t="s">
        <v>51</v>
      </c>
      <c r="M42" s="132">
        <f t="shared" si="11"/>
        <v>159.98400000000001</v>
      </c>
      <c r="N42" s="133" t="str">
        <f>VLOOKUP(C42,'Trips&amp;Operators'!$C$1:$G$99999,5,FALSE)</f>
        <v>NELSON ARIANE</v>
      </c>
      <c r="O42" s="203" t="s">
        <v>180</v>
      </c>
      <c r="P42" s="134" t="s">
        <v>1001</v>
      </c>
      <c r="Q42" s="30"/>
      <c r="R42" s="81" t="str">
        <f>VLOOKUP(C42,'Train Runs'!$A$13:$AE$9934,31,0)</f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S42" s="84" t="str">
        <f>VLOOKUP(C42,'Train Runs'!$A$13:$AE$9934,22,0)</f>
        <v>https://d0f6bd738d7f1b3e5a7ca70fe4ff75f0.us-east-1.aws.found.io/app/kibana#/discover/Steve-Slow-Train-Analysis-(2080s-and-2083s)?_g=(refreshInterval:(display:Off,pause:!f,section:0,value:0),time:(from:'2017-06-14T18:41:09-0600',mode:absolute,to:'2017-06-14T21:00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42" s="86" t="str">
        <f t="shared" si="12"/>
        <v>"C:\Program Files (x86)\AstroGrep\AstroGrep.exe" /e /r /s /spath="%USERPROFILE%\AppData\Local\Temp\OnboardLogs" /stypes="*4019*201706150*" /stext=" 02:.+((SYSTEM_STATE.+slice.+state.+changed )|(ment ac)|(multiple cpu faults)|(system.+state.+changed )|(\[timeout)|(PRM\|1\|D)|(kpr)|(kdp)|(train st.+moving)|(\|lc)|(penalty))"</v>
      </c>
      <c r="U42" s="9" t="str">
        <f t="shared" si="13"/>
        <v>4019</v>
      </c>
      <c r="V42" s="31">
        <f t="shared" si="14"/>
        <v>42901.084803240738</v>
      </c>
      <c r="W42" s="45" t="str">
        <f t="shared" si="7"/>
        <v>NW</v>
      </c>
      <c r="X42" s="22">
        <f t="shared" si="8"/>
        <v>840</v>
      </c>
      <c r="Y42" s="96" t="str">
        <f t="shared" si="15"/>
        <v>echo {"issue":{"subject":"Barricade test","project_id":79,"tracker_id":40,"status_id":1,"priority_id":2,"assigned_to_id":23,"start_date":"2017-06-14","description":"","custom_fields":[{"id":1,"name":"Subdivision","value":"NW"},{"id":4,"name":"Milepost","value":"0.479"},{"id":17,"name":"Train ID","value":"840-14"},{"id":16,"name":"Locomotive ID","value":"4019"},{"id":130,"name":"Impact","value":""},{"id":150,"name":"Time of Event (Mountain Time)","value":"20:02:07"},{"id":151,"name":"Denver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 t="shared" si="16"/>
        <v>grep -hrE -A400 "Enforcement Action" /cygdrive/c/Users/stu/AppData/Local/Temp/OnboardLogs/RTDC4019 --include="*4019*201706150*"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"%USERPROFILE%\AppData\Local\Temp\OnboardLogs"\RTDC4019\*4019*201706150* &gt;&gt; 2017-06-14-SliceDisagreementCheck.txt</v>
      </c>
      <c r="AE42" s="145" t="str">
        <f t="shared" si="9"/>
        <v>start /low /b %USERPROFILE%\Documents\GitHub\eaglep3\Utilities\DownloadLogsFromS3.py --loco 4019 --day 2017-06-15</v>
      </c>
      <c r="AF42" s="1"/>
    </row>
    <row r="43" spans="1:32" x14ac:dyDescent="0.25">
      <c r="A43" s="31">
        <v>42900.352673611109</v>
      </c>
      <c r="B43" s="30" t="s">
        <v>425</v>
      </c>
      <c r="C43" s="30" t="s">
        <v>612</v>
      </c>
      <c r="D43" s="30" t="s">
        <v>96</v>
      </c>
      <c r="E43" s="30" t="s">
        <v>613</v>
      </c>
      <c r="F43" s="42">
        <v>0</v>
      </c>
      <c r="G43" s="42">
        <v>604</v>
      </c>
      <c r="H43" s="42">
        <v>30570</v>
      </c>
      <c r="I43" s="42">
        <v>32664</v>
      </c>
      <c r="J43" s="30" t="s">
        <v>614</v>
      </c>
      <c r="K43" s="42">
        <v>29691</v>
      </c>
      <c r="L43" s="131" t="s">
        <v>50</v>
      </c>
      <c r="M43" s="132">
        <f t="shared" si="11"/>
        <v>-1569.7439999999999</v>
      </c>
      <c r="N43" s="133" t="str">
        <f>VLOOKUP(C43,'Trips&amp;Operators'!$C$1:$G$99999,5,FALSE)</f>
        <v>GEBRETEKLE DAGNEW</v>
      </c>
      <c r="O43" s="203" t="s">
        <v>411</v>
      </c>
      <c r="P43" s="134" t="s">
        <v>412</v>
      </c>
      <c r="Q43" s="30"/>
      <c r="R43" s="81" t="str">
        <f>VLOOKUP(C43,'Train Runs'!$A$13:$AE$9934,31,0)</f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S43" s="84" t="str">
        <f>VLOOKUP(C43,'Train Runs'!$A$13:$AE$9934,22,0)</f>
        <v>https://d0f6bd738d7f1b3e5a7ca70fe4ff75f0.us-east-1.aws.found.io/app/kibana#/discover/Steve-Slow-Train-Analysis-(2080s-and-2083s)?_g=(refreshInterval:(display:Off,pause:!f,section:0,value:0),time:(from:'2017-06-14T06:57:36-0600',mode:absolute,to:'2017-06-14T09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43" s="86" t="str">
        <f t="shared" si="12"/>
        <v>"C:\Program Files (x86)\AstroGrep\AstroGrep.exe" /e /r /s /spath="%USERPROFILE%\AppData\Local\Temp\OnboardLogs" /stypes="*4020*201706141*" /stext=" 14:.+((SYSTEM_STATE.+slice.+state.+changed )|(ment ac)|(multiple cpu faults)|(system.+state.+changed )|(\[timeout)|(PRM\|1\|D)|(kpr)|(kdp)|(train st.+moving)|(\|lc)|(penalty))"</v>
      </c>
      <c r="U43" s="9" t="str">
        <f t="shared" si="13"/>
        <v>4020</v>
      </c>
      <c r="V43" s="31">
        <f t="shared" si="14"/>
        <v>42900.602673611109</v>
      </c>
      <c r="W43" s="45" t="str">
        <f t="shared" si="7"/>
        <v>NW</v>
      </c>
      <c r="X43" s="22">
        <f t="shared" si="8"/>
        <v>811</v>
      </c>
      <c r="Y43" s="96" t="str">
        <f t="shared" si="15"/>
        <v>echo {"issue":{"subject":"Wi-MAX data drop","project_id":79,"tracker_id":40,"status_id":1,"priority_id":2,"assigned_to_id":23,"start_date":"2017-06-14","description":"","custom_fields":[{"id":1,"name":"Subdivision","value":"NW"},{"id":4,"name":"Milepost","value":"2.9691"},{"id":17,"name":"Train ID","value":"811-14"},{"id":16,"name":"Locomotive ID","value":"4020"},{"id":130,"name":"Impact","value":""},{"id":150,"name":"Time of Event (Mountain Time)","value":"08:27:51"},{"id":151,"name":"Denver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59"/>
      <c r="AA43" s="47"/>
      <c r="AB43" s="47"/>
      <c r="AC43" s="115" t="str">
        <f t="shared" si="16"/>
        <v>grep -hrE -A400 "Enforcement Action" /cygdrive/c/Users/stu/AppData/Local/Temp/OnboardLogs/RTDC4020 --include="*4020*201706141*"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"%USERPROFILE%\AppData\Local\Temp\OnboardLogs"\RTDC4020\*4020*201706141* &gt;&gt; 2017-06-14-SliceDisagreementCheck.txt</v>
      </c>
      <c r="AE43" s="145" t="str">
        <f t="shared" si="9"/>
        <v>start /low /b %USERPROFILE%\Documents\GitHub\eaglep3\Utilities\DownloadLogsFromS3.py --loco 4020 --day 2017-06-14</v>
      </c>
      <c r="AF43" s="1"/>
    </row>
    <row r="44" spans="1:32" x14ac:dyDescent="0.25">
      <c r="A44" s="31">
        <v>42900.685532407406</v>
      </c>
      <c r="B44" s="30" t="s">
        <v>601</v>
      </c>
      <c r="C44" s="30" t="s">
        <v>630</v>
      </c>
      <c r="D44" s="30" t="s">
        <v>49</v>
      </c>
      <c r="E44" s="30" t="s">
        <v>181</v>
      </c>
      <c r="F44" s="42">
        <v>0</v>
      </c>
      <c r="G44" s="42">
        <v>31</v>
      </c>
      <c r="H44" s="42">
        <v>659</v>
      </c>
      <c r="I44" s="42">
        <v>633</v>
      </c>
      <c r="J44" s="30" t="s">
        <v>182</v>
      </c>
      <c r="K44" s="42">
        <v>575</v>
      </c>
      <c r="L44" s="131" t="s">
        <v>51</v>
      </c>
      <c r="M44" s="132">
        <f t="shared" si="11"/>
        <v>30.623999999999999</v>
      </c>
      <c r="N44" s="133" t="str">
        <f>VLOOKUP(C44,'Trips&amp;Operators'!$C$1:$G$99999,5,FALSE)</f>
        <v>STAMBAUGH JAMES</v>
      </c>
      <c r="O44" s="203" t="s">
        <v>180</v>
      </c>
      <c r="P44" s="134"/>
      <c r="Q44" s="30"/>
      <c r="R44" s="81" t="str">
        <f>VLOOKUP(C44,'Train Runs'!$A$13:$AE$9934,31,0)</f>
        <v>aws s3 cp s3://rtdc.mdm.uploadarchive.raw/RTDC4011/ "%USERPROFILE%\AppData\Local\Temp\OnboardLogs"\RTDC4011\2017-06-14 --exclude "*" --recursive --include "*20170614*" &amp; "%USERPROFILE%\Documents\GitHub\mrs-test-scripts\Headless Mode &amp; Sideloading\WalkAndUnGZ.bat" "%USERPROFILE%\AppData\Local\Temp\OnboardLogs"\RTDC4011\2017-06-14 &amp; aws s3 cp s3://rtdc.mdm.uploadarchive.raw/RTDC4011/ "%USERPROFILE%\AppData\Local\Temp\OnboardLogs"\RTDC4011\2017-06-15 --exclude "*" --recursive --include "*20170615*" &amp; "%USERPROFILE%\Documents\GitHub\mrs-test-scripts\Headless Mode &amp; Sideloading\WalkAndUnGZ.bat" "%USERPROFILE%\AppData\Local\Temp\OnboardLogs"\RTDC4011\2017-06-15</v>
      </c>
      <c r="S44" s="84" t="str">
        <f>VLOOKUP(C44,'Train Runs'!$A$13:$AE$9934,22,0)</f>
        <v>https://d0f6bd738d7f1b3e5a7ca70fe4ff75f0.us-east-1.aws.found.io/app/kibana#/discover/Steve-Slow-Train-Analysis-(2080s-and-2083s)?_g=(refreshInterval:(display:Off,pause:!f,section:0,value:0),time:(from:'2017-06-14T15:07:20-0600',mode:absolute,to:'2017-06-14T17:27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44" s="86" t="str">
        <f t="shared" si="12"/>
        <v>"C:\Program Files (x86)\AstroGrep\AstroGrep.exe" /e /r /s /spath="%USERPROFILE%\AppData\Local\Temp\OnboardLogs" /stypes="*4011*201706142*" /stext=" 22:.+((SYSTEM_STATE.+slice.+state.+changed )|(ment ac)|(multiple cpu faults)|(system.+state.+changed )|(\[timeout)|(PRM\|1\|D)|(kpr)|(kdp)|(train st.+moving)|(\|lc)|(penalty))"</v>
      </c>
      <c r="U44" s="9" t="str">
        <f t="shared" si="13"/>
        <v>4011</v>
      </c>
      <c r="V44" s="31">
        <f t="shared" si="14"/>
        <v>42900.935532407406</v>
      </c>
      <c r="W44" s="45" t="str">
        <f t="shared" si="7"/>
        <v>NW</v>
      </c>
      <c r="X44" s="22">
        <f t="shared" si="8"/>
        <v>828</v>
      </c>
      <c r="Y44" s="96" t="str">
        <f t="shared" si="15"/>
        <v>echo {"issue":{"subject":"","project_id":79,"tracker_id":40,"status_id":1,"priority_id":2,"assigned_to_id":23,"start_date":"2017-06-14","description":"","custom_fields":[{"id":1,"name":"Subdivision","value":"NW"},{"id":4,"name":"Milepost","value":"0.0575"},{"id":17,"name":"Train ID","value":"828-14"},{"id":16,"name":"Locomotive ID","value":"4011"},{"id":130,"name":"Impact","value":""},{"id":150,"name":"Time of Event (Mountain Time)","value":"16:27:10"},{"id":151,"name":"Denver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59"/>
      <c r="AA44" s="47"/>
      <c r="AB44" s="47"/>
      <c r="AC44" s="115" t="str">
        <f t="shared" si="16"/>
        <v>grep -hrE -A400 "Enforcement Action" /cygdrive/c/Users/stu/AppData/Local/Temp/OnboardLogs/RTDC4011 --include="*4011*201706142*"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"%USERPROFILE%\AppData\Local\Temp\OnboardLogs"\RTDC4011\*4011*201706142* &gt;&gt; 2017-06-14-SliceDisagreementCheck.txt</v>
      </c>
      <c r="AE44" s="145" t="str">
        <f t="shared" si="9"/>
        <v>start /low /b %USERPROFILE%\Documents\GitHub\eaglep3\Utilities\DownloadLogsFromS3.py --loco 4011 --day 2017-06-14</v>
      </c>
      <c r="AF44" s="1"/>
    </row>
    <row r="45" spans="1:32" x14ac:dyDescent="0.25">
      <c r="A45" s="31">
        <v>42900.913738425923</v>
      </c>
      <c r="B45" s="30" t="s">
        <v>423</v>
      </c>
      <c r="C45" s="30" t="s">
        <v>647</v>
      </c>
      <c r="D45" s="30" t="s">
        <v>49</v>
      </c>
      <c r="E45" s="30" t="s">
        <v>181</v>
      </c>
      <c r="F45" s="42">
        <v>0</v>
      </c>
      <c r="G45" s="42">
        <v>37</v>
      </c>
      <c r="H45" s="42">
        <v>649</v>
      </c>
      <c r="I45" s="42">
        <v>628</v>
      </c>
      <c r="J45" s="30" t="s">
        <v>182</v>
      </c>
      <c r="K45" s="42">
        <v>575</v>
      </c>
      <c r="L45" s="131" t="s">
        <v>51</v>
      </c>
      <c r="M45" s="132">
        <f t="shared" si="11"/>
        <v>27.984000000000002</v>
      </c>
      <c r="N45" s="133" t="str">
        <f>VLOOKUP(C45,'Trips&amp;Operators'!$C$1:$G$99999,5,FALSE)</f>
        <v>STAMBAUGH JAMES</v>
      </c>
      <c r="O45" s="203" t="s">
        <v>180</v>
      </c>
      <c r="P45" s="134"/>
      <c r="Q45" s="30"/>
      <c r="R45" s="81" t="str">
        <f>VLOOKUP(C45,'Train Runs'!$A$13:$AE$9934,31,0)</f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S45" s="84" t="str">
        <f>VLOOKUP(C45,'Train Runs'!$A$13:$AE$9934,22,0)</f>
        <v>https://d0f6bd738d7f1b3e5a7ca70fe4ff75f0.us-east-1.aws.found.io/app/kibana#/discover/Steve-Slow-Train-Analysis-(2080s-and-2083s)?_g=(refreshInterval:(display:Off,pause:!f,section:0,value:0),time:(from:'2017-06-14T20:38:58-0600',mode:absolute,to:'2017-06-14T22:55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45" s="86" t="str">
        <f t="shared" si="12"/>
        <v>"C:\Program Files (x86)\AstroGrep\AstroGrep.exe" /e /r /s /spath="%USERPROFILE%\AppData\Local\Temp\OnboardLogs" /stypes="*4019*201706150*" /stext=" 03:.+((SYSTEM_STATE.+slice.+state.+changed )|(ment ac)|(multiple cpu faults)|(system.+state.+changed )|(\[timeout)|(PRM\|1\|D)|(kpr)|(kdp)|(train st.+moving)|(\|lc)|(penalty))"</v>
      </c>
      <c r="U45" s="9" t="str">
        <f t="shared" si="13"/>
        <v>4019</v>
      </c>
      <c r="V45" s="31">
        <f t="shared" si="14"/>
        <v>42901.163738425923</v>
      </c>
      <c r="W45" s="45" t="str">
        <f t="shared" si="7"/>
        <v>NW</v>
      </c>
      <c r="X45" s="22">
        <f t="shared" si="8"/>
        <v>844</v>
      </c>
      <c r="Y45" s="96" t="str">
        <f t="shared" si="15"/>
        <v>echo {"issue":{"subject":"","project_id":79,"tracker_id":40,"status_id":1,"priority_id":2,"assigned_to_id":23,"start_date":"2017-06-14","description":"","custom_fields":[{"id":1,"name":"Subdivision","value":"NW"},{"id":4,"name":"Milepost","value":"0.0575"},{"id":17,"name":"Train ID","value":"844-14"},{"id":16,"name":"Locomotive ID","value":"4019"},{"id":130,"name":"Impact","value":""},{"id":150,"name":"Time of Event (Mountain Time)","value":"21:55:47"},{"id":151,"name":"Denver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59"/>
      <c r="AA45" s="47"/>
      <c r="AB45" s="47"/>
      <c r="AC45" s="115" t="str">
        <f t="shared" si="16"/>
        <v>grep -hrE -A400 "Enforcement Action" /cygdrive/c/Users/stu/AppData/Local/Temp/OnboardLogs/RTDC4019 --include="*4019*201706150*"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"%USERPROFILE%\AppData\Local\Temp\OnboardLogs"\RTDC4019\*4019*201706150* &gt;&gt; 2017-06-14-SliceDisagreementCheck.txt</v>
      </c>
      <c r="AE45" s="145" t="str">
        <f t="shared" si="9"/>
        <v>start /low /b %USERPROFILE%\Documents\GitHub\eaglep3\Utilities\DownloadLogsFromS3.py --loco 4019 --day 2017-06-15</v>
      </c>
      <c r="AF45" s="1"/>
    </row>
    <row r="46" spans="1:32" x14ac:dyDescent="0.25">
      <c r="A46" s="31">
        <v>42900.273506944446</v>
      </c>
      <c r="B46" s="30" t="s">
        <v>425</v>
      </c>
      <c r="C46" s="30" t="s">
        <v>606</v>
      </c>
      <c r="D46" s="30" t="s">
        <v>49</v>
      </c>
      <c r="E46" s="30" t="s">
        <v>181</v>
      </c>
      <c r="F46" s="42">
        <v>0</v>
      </c>
      <c r="G46" s="42">
        <v>23</v>
      </c>
      <c r="H46" s="42">
        <v>59001</v>
      </c>
      <c r="I46" s="42">
        <v>59018</v>
      </c>
      <c r="J46" s="30" t="s">
        <v>182</v>
      </c>
      <c r="K46" s="42">
        <v>59048</v>
      </c>
      <c r="L46" s="131" t="s">
        <v>50</v>
      </c>
      <c r="M46" s="132">
        <f t="shared" si="11"/>
        <v>15.84</v>
      </c>
      <c r="N46" s="133" t="str">
        <f>VLOOKUP(C46,'Trips&amp;Operators'!$C$1:$G$99999,5,FALSE)</f>
        <v>GEBRETEKLE DAGNEW</v>
      </c>
      <c r="O46" s="203" t="s">
        <v>180</v>
      </c>
      <c r="P46" s="134"/>
      <c r="Q46" s="30"/>
      <c r="R46" s="81" t="str">
        <f>VLOOKUP(C46,'Train Runs'!$A$13:$AE$9934,31,0)</f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S46" s="84" t="str">
        <f>VLOOKUP(C46,'Train Runs'!$A$13:$AE$9934,22,0)</f>
        <v>https://d0f6bd738d7f1b3e5a7ca70fe4ff75f0.us-east-1.aws.found.io/app/kibana#/discover/Steve-Slow-Train-Analysis-(2080s-and-2083s)?_g=(refreshInterval:(display:Off,pause:!f,section:0,value:0),time:(from:'2017-06-14T05:07:27-0600',mode:absolute,to:'2017-06-14T07:33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46" s="86" t="str">
        <f t="shared" si="12"/>
        <v>"C:\Program Files (x86)\AstroGrep\AstroGrep.exe" /e /r /s /spath="%USERPROFILE%\AppData\Local\Temp\OnboardLogs" /stypes="*4020*201706141*" /stext=" 12:.+((SYSTEM_STATE.+slice.+state.+changed )|(ment ac)|(multiple cpu faults)|(system.+state.+changed )|(\[timeout)|(PRM\|1\|D)|(kpr)|(kdp)|(train st.+moving)|(\|lc)|(penalty))"</v>
      </c>
      <c r="U46" s="9" t="str">
        <f t="shared" si="13"/>
        <v>4020</v>
      </c>
      <c r="V46" s="31">
        <f t="shared" si="14"/>
        <v>42900.523506944446</v>
      </c>
      <c r="W46" s="45" t="str">
        <f t="shared" si="7"/>
        <v>NW</v>
      </c>
      <c r="X46" s="22">
        <f t="shared" si="8"/>
        <v>803</v>
      </c>
      <c r="Y46" s="96" t="str">
        <f t="shared" si="15"/>
        <v>echo {"issue":{"subject":"","project_id":79,"tracker_id":40,"status_id":1,"priority_id":2,"assigned_to_id":23,"start_date":"2017-06-14","description":"","custom_fields":[{"id":1,"name":"Subdivision","value":"NW"},{"id":4,"name":"Milepost","value":"5.9048"},{"id":17,"name":"Train ID","value":"803-14"},{"id":16,"name":"Locomotive ID","value":"4020"},{"id":130,"name":"Impact","value":""},{"id":150,"name":"Time of Event (Mountain Time)","value":"06:33:51"},{"id":151,"name":"Denver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59"/>
      <c r="AA46" s="47"/>
      <c r="AB46" s="47"/>
      <c r="AC46" s="115" t="str">
        <f t="shared" si="16"/>
        <v>grep -hrE -A400 "Enforcement Action" /cygdrive/c/Users/stu/AppData/Local/Temp/OnboardLogs/RTDC4020 --include="*4020*201706141*"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"%USERPROFILE%\AppData\Local\Temp\OnboardLogs"\RTDC4020\*4020*201706141* &gt;&gt; 2017-06-14-SliceDisagreementCheck.txt</v>
      </c>
      <c r="AE46" s="145" t="str">
        <f t="shared" si="9"/>
        <v>start /low /b %USERPROFILE%\Documents\GitHub\eaglep3\Utilities\DownloadLogsFromS3.py --loco 4020 --day 2017-06-14</v>
      </c>
      <c r="AF46" s="1"/>
    </row>
    <row r="47" spans="1:32" x14ac:dyDescent="0.25">
      <c r="A47" s="31">
        <v>42900.315520833334</v>
      </c>
      <c r="B47" s="30" t="s">
        <v>425</v>
      </c>
      <c r="C47" s="30" t="s">
        <v>611</v>
      </c>
      <c r="D47" s="30" t="s">
        <v>49</v>
      </c>
      <c r="E47" s="30" t="s">
        <v>181</v>
      </c>
      <c r="F47" s="42">
        <v>0</v>
      </c>
      <c r="G47" s="42">
        <v>72</v>
      </c>
      <c r="H47" s="42">
        <v>58824</v>
      </c>
      <c r="I47" s="42">
        <v>58882</v>
      </c>
      <c r="J47" s="30" t="s">
        <v>182</v>
      </c>
      <c r="K47" s="42">
        <v>59048</v>
      </c>
      <c r="L47" s="131" t="s">
        <v>50</v>
      </c>
      <c r="M47" s="132">
        <f t="shared" si="11"/>
        <v>87.647999999999996</v>
      </c>
      <c r="N47" s="133" t="str">
        <f>VLOOKUP(C47,'Trips&amp;Operators'!$C$1:$G$99999,5,FALSE)</f>
        <v>GEBRETEKLE DAGNEW</v>
      </c>
      <c r="O47" s="203" t="s">
        <v>180</v>
      </c>
      <c r="P47" s="134"/>
      <c r="Q47" s="30"/>
      <c r="R47" s="81" t="str">
        <f>VLOOKUP(C47,'Train Runs'!$A$13:$AE$9934,31,0)</f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S47" s="84" t="str">
        <f>VLOOKUP(C47,'Train Runs'!$A$13:$AE$9934,22,0)</f>
        <v>https://d0f6bd738d7f1b3e5a7ca70fe4ff75f0.us-east-1.aws.found.io/app/kibana#/discover/Steve-Slow-Train-Analysis-(2080s-and-2083s)?_g=(refreshInterval:(display:Off,pause:!f,section:0,value:0),time:(from:'2017-06-14T05:56:55-0600',mode:absolute,to:'2017-06-14T08:34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47" s="86" t="str">
        <f t="shared" si="12"/>
        <v>"C:\Program Files (x86)\AstroGrep\AstroGrep.exe" /e /r /s /spath="%USERPROFILE%\AppData\Local\Temp\OnboardLogs" /stypes="*4020*201706141*" /stext=" 13:.+((SYSTEM_STATE.+slice.+state.+changed )|(ment ac)|(multiple cpu faults)|(system.+state.+changed )|(\[timeout)|(PRM\|1\|D)|(kpr)|(kdp)|(train st.+moving)|(\|lc)|(penalty))"</v>
      </c>
      <c r="U47" s="9" t="str">
        <f t="shared" si="13"/>
        <v>4020</v>
      </c>
      <c r="V47" s="31">
        <f t="shared" si="14"/>
        <v>42900.565520833334</v>
      </c>
      <c r="W47" s="45" t="str">
        <f t="shared" si="7"/>
        <v>NW</v>
      </c>
      <c r="X47" s="22">
        <f t="shared" si="8"/>
        <v>807</v>
      </c>
      <c r="Y47" s="96" t="str">
        <f t="shared" si="15"/>
        <v>echo {"issue":{"subject":"","project_id":79,"tracker_id":40,"status_id":1,"priority_id":2,"assigned_to_id":23,"start_date":"2017-06-14","description":"","custom_fields":[{"id":1,"name":"Subdivision","value":"NW"},{"id":4,"name":"Milepost","value":"5.9048"},{"id":17,"name":"Train ID","value":"807-14"},{"id":16,"name":"Locomotive ID","value":"4020"},{"id":130,"name":"Impact","value":""},{"id":150,"name":"Time of Event (Mountain Time)","value":"07:34:21"},{"id":151,"name":"Denver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59"/>
      <c r="AA47" s="47"/>
      <c r="AB47" s="47"/>
      <c r="AC47" s="115" t="str">
        <f t="shared" si="16"/>
        <v>grep -hrE -A400 "Enforcement Action" /cygdrive/c/Users/stu/AppData/Local/Temp/OnboardLogs/RTDC4020 --include="*4020*201706141*"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"%USERPROFILE%\AppData\Local\Temp\OnboardLogs"\RTDC4020\*4020*201706141* &gt;&gt; 2017-06-14-SliceDisagreementCheck.txt</v>
      </c>
      <c r="AE47" s="145" t="str">
        <f t="shared" si="9"/>
        <v>start /low /b %USERPROFILE%\Documents\GitHub\eaglep3\Utilities\DownloadLogsFromS3.py --loco 4020 --day 2017-06-14</v>
      </c>
      <c r="AF47" s="1"/>
    </row>
    <row r="48" spans="1:32" x14ac:dyDescent="0.25">
      <c r="A48" s="31">
        <v>42900.399618055555</v>
      </c>
      <c r="B48" s="30" t="s">
        <v>425</v>
      </c>
      <c r="C48" s="30" t="s">
        <v>616</v>
      </c>
      <c r="D48" s="30" t="s">
        <v>49</v>
      </c>
      <c r="E48" s="30" t="s">
        <v>181</v>
      </c>
      <c r="F48" s="42">
        <v>0</v>
      </c>
      <c r="G48" s="42">
        <v>22</v>
      </c>
      <c r="H48" s="42">
        <v>59001</v>
      </c>
      <c r="I48" s="42">
        <v>59010</v>
      </c>
      <c r="J48" s="30" t="s">
        <v>182</v>
      </c>
      <c r="K48" s="42">
        <v>59048</v>
      </c>
      <c r="L48" s="131" t="s">
        <v>50</v>
      </c>
      <c r="M48" s="132">
        <f t="shared" si="11"/>
        <v>20.064</v>
      </c>
      <c r="N48" s="133" t="str">
        <f>VLOOKUP(C48,'Trips&amp;Operators'!$C$1:$G$99999,5,FALSE)</f>
        <v>GEBRETEKLE DAGNEW</v>
      </c>
      <c r="O48" s="203" t="s">
        <v>180</v>
      </c>
      <c r="P48" s="134"/>
      <c r="Q48" s="30"/>
      <c r="R48" s="81" t="str">
        <f>VLOOKUP(C48,'Train Runs'!$A$13:$AE$9934,31,0)</f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S48" s="84" t="str">
        <f>VLOOKUP(C48,'Train Runs'!$A$13:$AE$9934,22,0)</f>
        <v>https://d0f6bd738d7f1b3e5a7ca70fe4ff75f0.us-east-1.aws.found.io/app/kibana#/discover/Steve-Slow-Train-Analysis-(2080s-and-2083s)?_g=(refreshInterval:(display:Off,pause:!f,section:0,value:0),time:(from:'2017-06-14T07:56:12-0600',mode:absolute,to:'2017-06-14T10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48" s="86" t="str">
        <f t="shared" si="12"/>
        <v>"C:\Program Files (x86)\AstroGrep\AstroGrep.exe" /e /r /s /spath="%USERPROFILE%\AppData\Local\Temp\OnboardLogs" /stypes="*4020*201706141*" /stext=" 15:.+((SYSTEM_STATE.+slice.+state.+changed )|(ment ac)|(multiple cpu faults)|(system.+state.+changed )|(\[timeout)|(PRM\|1\|D)|(kpr)|(kdp)|(train st.+moving)|(\|lc)|(penalty))"</v>
      </c>
      <c r="U48" s="9" t="str">
        <f t="shared" si="13"/>
        <v>4020</v>
      </c>
      <c r="V48" s="31">
        <f t="shared" si="14"/>
        <v>42900.649618055555</v>
      </c>
      <c r="W48" s="45" t="str">
        <f t="shared" si="7"/>
        <v>NW</v>
      </c>
      <c r="X48" s="22">
        <f t="shared" si="8"/>
        <v>813</v>
      </c>
      <c r="Y48" s="96" t="str">
        <f t="shared" si="15"/>
        <v>echo {"issue":{"subject":"","project_id":79,"tracker_id":40,"status_id":1,"priority_id":2,"assigned_to_id":23,"start_date":"2017-06-14","description":"","custom_fields":[{"id":1,"name":"Subdivision","value":"NW"},{"id":4,"name":"Milepost","value":"5.9048"},{"id":17,"name":"Train ID","value":"813-14"},{"id":16,"name":"Locomotive ID","value":"4020"},{"id":130,"name":"Impact","value":""},{"id":150,"name":"Time of Event (Mountain Time)","value":"09:35:27"},{"id":151,"name":"Denver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159"/>
      <c r="AA48" s="47"/>
      <c r="AB48" s="47"/>
      <c r="AC48" s="115" t="str">
        <f t="shared" si="16"/>
        <v>grep -hrE -A400 "Enforcement Action" /cygdrive/c/Users/stu/AppData/Local/Temp/OnboardLogs/RTDC4020 --include="*4020*201706141*"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"%USERPROFILE%\AppData\Local\Temp\OnboardLogs"\RTDC4020\*4020*201706141* &gt;&gt; 2017-06-14-SliceDisagreementCheck.txt</v>
      </c>
      <c r="AE48" s="145" t="str">
        <f t="shared" si="9"/>
        <v>start /low /b %USERPROFILE%\Documents\GitHub\eaglep3\Utilities\DownloadLogsFromS3.py --loco 4020 --day 2017-06-14</v>
      </c>
      <c r="AF48" s="1"/>
    </row>
    <row r="49" spans="1:32" x14ac:dyDescent="0.25">
      <c r="A49" s="31">
        <v>42900.483773148146</v>
      </c>
      <c r="B49" s="30" t="s">
        <v>425</v>
      </c>
      <c r="C49" s="30" t="s">
        <v>622</v>
      </c>
      <c r="D49" s="30" t="s">
        <v>49</v>
      </c>
      <c r="E49" s="30" t="s">
        <v>181</v>
      </c>
      <c r="F49" s="42">
        <v>0</v>
      </c>
      <c r="G49" s="42">
        <v>35</v>
      </c>
      <c r="H49" s="42">
        <v>58952</v>
      </c>
      <c r="I49" s="42">
        <v>58982</v>
      </c>
      <c r="J49" s="30" t="s">
        <v>182</v>
      </c>
      <c r="K49" s="42">
        <v>59048</v>
      </c>
      <c r="L49" s="131" t="s">
        <v>50</v>
      </c>
      <c r="M49" s="132">
        <f t="shared" si="11"/>
        <v>34.847999999999999</v>
      </c>
      <c r="N49" s="133" t="str">
        <f>VLOOKUP(C49,'Trips&amp;Operators'!$C$1:$G$99999,5,FALSE)</f>
        <v>GEBRETEKLE DAGNEW</v>
      </c>
      <c r="O49" s="203" t="s">
        <v>180</v>
      </c>
      <c r="P49" s="134"/>
      <c r="Q49" s="30"/>
      <c r="R49" s="81" t="str">
        <f>VLOOKUP(C49,'Train Runs'!$A$13:$AE$9934,31,0)</f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S49" s="84" t="str">
        <f>VLOOKUP(C49,'Train Runs'!$A$13:$AE$9934,22,0)</f>
        <v>https://d0f6bd738d7f1b3e5a7ca70fe4ff75f0.us-east-1.aws.found.io/app/kibana#/discover/Steve-Slow-Train-Analysis-(2080s-and-2083s)?_g=(refreshInterval:(display:Off,pause:!f,section:0,value:0),time:(from:'2017-06-14T09:56:46-0600',mode:absolute,to:'2017-06-14T12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49" s="86" t="str">
        <f t="shared" si="12"/>
        <v>"C:\Program Files (x86)\AstroGrep\AstroGrep.exe" /e /r /s /spath="%USERPROFILE%\AppData\Local\Temp\OnboardLogs" /stypes="*4020*201706141*" /stext=" 17:.+((SYSTEM_STATE.+slice.+state.+changed )|(ment ac)|(multiple cpu faults)|(system.+state.+changed )|(\[timeout)|(PRM\|1\|D)|(kpr)|(kdp)|(train st.+moving)|(\|lc)|(penalty))"</v>
      </c>
      <c r="U49" s="9" t="str">
        <f t="shared" si="13"/>
        <v>4020</v>
      </c>
      <c r="V49" s="31">
        <f t="shared" si="14"/>
        <v>42900.733773148146</v>
      </c>
      <c r="W49" s="45" t="str">
        <f t="shared" si="7"/>
        <v>NW</v>
      </c>
      <c r="X49" s="22">
        <f t="shared" si="8"/>
        <v>817</v>
      </c>
      <c r="Y49" s="96" t="str">
        <f t="shared" si="15"/>
        <v>echo {"issue":{"subject":"","project_id":79,"tracker_id":40,"status_id":1,"priority_id":2,"assigned_to_id":23,"start_date":"2017-06-14","description":"","custom_fields":[{"id":1,"name":"Subdivision","value":"NW"},{"id":4,"name":"Milepost","value":"5.9048"},{"id":17,"name":"Train ID","value":"817-14"},{"id":16,"name":"Locomotive ID","value":"4020"},{"id":130,"name":"Impact","value":""},{"id":150,"name":"Time of Event (Mountain Time)","value":"11:36:38"},{"id":151,"name":"Denver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159"/>
      <c r="AA49" s="47"/>
      <c r="AB49" s="47"/>
      <c r="AC49" s="115" t="str">
        <f t="shared" si="16"/>
        <v>grep -hrE -A400 "Enforcement Action" /cygdrive/c/Users/stu/AppData/Local/Temp/OnboardLogs/RTDC4020 --include="*4020*201706141*" | grep -E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"%USERPROFILE%\AppData\Local\Temp\OnboardLogs"\RTDC4020\*4020*201706141* &gt;&gt; 2017-06-14-SliceDisagreementCheck.txt</v>
      </c>
      <c r="AE49" s="145" t="str">
        <f t="shared" si="9"/>
        <v>start /low /b %USERPROFILE%\Documents\GitHub\eaglep3\Utilities\DownloadLogsFromS3.py --loco 4020 --day 2017-06-14</v>
      </c>
      <c r="AF49" s="1"/>
    </row>
    <row r="50" spans="1:32" x14ac:dyDescent="0.25">
      <c r="A50" s="31">
        <v>42900.608969907407</v>
      </c>
      <c r="B50" s="30" t="s">
        <v>425</v>
      </c>
      <c r="C50" s="30" t="s">
        <v>626</v>
      </c>
      <c r="D50" s="30" t="s">
        <v>49</v>
      </c>
      <c r="E50" s="30" t="s">
        <v>181</v>
      </c>
      <c r="F50" s="42">
        <v>0</v>
      </c>
      <c r="G50" s="42">
        <v>18</v>
      </c>
      <c r="H50" s="42">
        <v>58986</v>
      </c>
      <c r="I50" s="42">
        <v>58986</v>
      </c>
      <c r="J50" s="30" t="s">
        <v>182</v>
      </c>
      <c r="K50" s="42">
        <v>59048</v>
      </c>
      <c r="L50" s="131" t="s">
        <v>50</v>
      </c>
      <c r="M50" s="132">
        <f t="shared" si="11"/>
        <v>32.735999999999997</v>
      </c>
      <c r="N50" s="133" t="str">
        <f>VLOOKUP(C50,'Trips&amp;Operators'!$C$1:$G$99999,5,FALSE)</f>
        <v>NELSON ARIANE</v>
      </c>
      <c r="O50" s="203" t="s">
        <v>180</v>
      </c>
      <c r="P50" s="134"/>
      <c r="Q50" s="30"/>
      <c r="R50" s="81" t="str">
        <f>VLOOKUP(C50,'Train Runs'!$A$13:$AE$9934,31,0)</f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S50" s="84" t="str">
        <f>VLOOKUP(C50,'Train Runs'!$A$13:$AE$9934,22,0)</f>
        <v>https://d0f6bd738d7f1b3e5a7ca70fe4ff75f0.us-east-1.aws.found.io/app/kibana#/discover/Steve-Slow-Train-Analysis-(2080s-and-2083s)?_g=(refreshInterval:(display:Off,pause:!f,section:0,value:0),time:(from:'2017-06-14T13:14:05-0600',mode:absolute,to:'2017-06-14T15:36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50" s="86" t="str">
        <f t="shared" si="12"/>
        <v>"C:\Program Files (x86)\AstroGrep\AstroGrep.exe" /e /r /s /spath="%USERPROFILE%\AppData\Local\Temp\OnboardLogs" /stypes="*4020*201706142*" /stext=" 20:.+((SYSTEM_STATE.+slice.+state.+changed )|(ment ac)|(multiple cpu faults)|(system.+state.+changed )|(\[timeout)|(PRM\|1\|D)|(kpr)|(kdp)|(train st.+moving)|(\|lc)|(penalty))"</v>
      </c>
      <c r="U50" s="9" t="str">
        <f t="shared" si="13"/>
        <v>4020</v>
      </c>
      <c r="V50" s="31">
        <f t="shared" si="14"/>
        <v>42900.858969907407</v>
      </c>
      <c r="W50" s="45" t="str">
        <f t="shared" si="7"/>
        <v>NW</v>
      </c>
      <c r="X50" s="22">
        <f t="shared" si="8"/>
        <v>823</v>
      </c>
      <c r="Y50" s="96" t="str">
        <f t="shared" si="15"/>
        <v>echo {"issue":{"subject":"","project_id":79,"tracker_id":40,"status_id":1,"priority_id":2,"assigned_to_id":23,"start_date":"2017-06-14","description":"","custom_fields":[{"id":1,"name":"Subdivision","value":"NW"},{"id":4,"name":"Milepost","value":"5.9048"},{"id":17,"name":"Train ID","value":"823-14"},{"id":16,"name":"Locomotive ID","value":"4020"},{"id":130,"name":"Impact","value":""},{"id":150,"name":"Time of Event (Mountain Time)","value":"14:36:55"},{"id":151,"name":"Denver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159"/>
      <c r="AA50" s="47"/>
      <c r="AB50" s="47"/>
      <c r="AC50" s="115" t="str">
        <f t="shared" si="16"/>
        <v>grep -hrE -A400 "Enforcement Action" /cygdrive/c/Users/stu/AppData/Local/Temp/OnboardLogs/RTDC4020 --include="*4020*201706142*" | grep -E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"%USERPROFILE%\AppData\Local\Temp\OnboardLogs"\RTDC4020\*4020*201706142* &gt;&gt; 2017-06-14-SliceDisagreementCheck.txt</v>
      </c>
      <c r="AE50" s="145" t="str">
        <f t="shared" si="9"/>
        <v>start /low /b %USERPROFILE%\Documents\GitHub\eaglep3\Utilities\DownloadLogsFromS3.py --loco 4020 --day 2017-06-14</v>
      </c>
      <c r="AF50" s="1"/>
    </row>
    <row r="51" spans="1:32" x14ac:dyDescent="0.25">
      <c r="A51" s="31">
        <v>42900.711759259262</v>
      </c>
      <c r="B51" s="30" t="s">
        <v>633</v>
      </c>
      <c r="C51" s="30" t="s">
        <v>634</v>
      </c>
      <c r="D51" s="30" t="s">
        <v>49</v>
      </c>
      <c r="E51" s="30" t="s">
        <v>181</v>
      </c>
      <c r="F51" s="42">
        <v>0</v>
      </c>
      <c r="G51" s="42">
        <v>44</v>
      </c>
      <c r="H51" s="42">
        <v>58931</v>
      </c>
      <c r="I51" s="42">
        <v>58961</v>
      </c>
      <c r="J51" s="30" t="s">
        <v>182</v>
      </c>
      <c r="K51" s="42">
        <v>59048</v>
      </c>
      <c r="L51" s="131" t="s">
        <v>50</v>
      </c>
      <c r="M51" s="132">
        <f t="shared" si="11"/>
        <v>45.936</v>
      </c>
      <c r="N51" s="133" t="str">
        <f>VLOOKUP(C51,'Trips&amp;Operators'!$C$1:$G$99999,5,FALSE)</f>
        <v>STAMBAUGH JAMES</v>
      </c>
      <c r="O51" s="203" t="s">
        <v>180</v>
      </c>
      <c r="P51" s="134"/>
      <c r="Q51" s="30"/>
      <c r="R51" s="81" t="str">
        <f>VLOOKUP(C51,'Train Runs'!$A$13:$AE$9934,31,0)</f>
        <v>aws s3 cp s3://rtdc.mdm.uploadarchive.raw/RTDC4012/ "%USERPROFILE%\AppData\Local\Temp\OnboardLogs"\RTDC4012\2017-06-14 --exclude "*" --recursive --include "*20170614*" &amp; "%USERPROFILE%\Documents\GitHub\mrs-test-scripts\Headless Mode &amp; Sideloading\WalkAndUnGZ.bat" "%USERPROFILE%\AppData\Local\Temp\OnboardLogs"\RTDC4012\2017-06-14 &amp; aws s3 cp s3://rtdc.mdm.uploadarchive.raw/RTDC4012/ "%USERPROFILE%\AppData\Local\Temp\OnboardLogs"\RTDC4012\2017-06-15 --exclude "*" --recursive --include "*20170615*" &amp; "%USERPROFILE%\Documents\GitHub\mrs-test-scripts\Headless Mode &amp; Sideloading\WalkAndUnGZ.bat" "%USERPROFILE%\AppData\Local\Temp\OnboardLogs"\RTDC4012\2017-06-15</v>
      </c>
      <c r="S51" s="84" t="str">
        <f>VLOOKUP(C51,'Train Runs'!$A$13:$AE$9934,22,0)</f>
        <v>https://d0f6bd738d7f1b3e5a7ca70fe4ff75f0.us-east-1.aws.found.io/app/kibana#/discover/Steve-Slow-Train-Analysis-(2080s-and-2083s)?_g=(refreshInterval:(display:Off,pause:!f,section:0,value:0),time:(from:'2017-06-14T15:46:27-0600',mode:absolute,to:'2017-06-14T18:04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51" s="86" t="str">
        <f t="shared" si="12"/>
        <v>"C:\Program Files (x86)\AstroGrep\AstroGrep.exe" /e /r /s /spath="%USERPROFILE%\AppData\Local\Temp\OnboardLogs" /stypes="*4012*201706142*" /stext=" 23:.+((SYSTEM_STATE.+slice.+state.+changed )|(ment ac)|(multiple cpu faults)|(system.+state.+changed )|(\[timeout)|(PRM\|1\|D)|(kpr)|(kdp)|(train st.+moving)|(\|lc)|(penalty))"</v>
      </c>
      <c r="U51" s="9" t="str">
        <f t="shared" si="13"/>
        <v>4012</v>
      </c>
      <c r="V51" s="31">
        <f t="shared" si="14"/>
        <v>42900.961759259262</v>
      </c>
      <c r="W51" s="45" t="str">
        <f t="shared" si="7"/>
        <v>NW</v>
      </c>
      <c r="X51" s="22">
        <f t="shared" si="8"/>
        <v>831</v>
      </c>
      <c r="Y51" s="96" t="str">
        <f t="shared" si="15"/>
        <v>echo {"issue":{"subject":"","project_id":79,"tracker_id":40,"status_id":1,"priority_id":2,"assigned_to_id":23,"start_date":"2017-06-14","description":"","custom_fields":[{"id":1,"name":"Subdivision","value":"NW"},{"id":4,"name":"Milepost","value":"5.9048"},{"id":17,"name":"Train ID","value":"831-14"},{"id":16,"name":"Locomotive ID","value":"4012"},{"id":130,"name":"Impact","value":""},{"id":150,"name":"Time of Event (Mountain Time)","value":"17:04:56"},{"id":151,"name":"Denver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159"/>
      <c r="AA51" s="47"/>
      <c r="AB51" s="47"/>
      <c r="AC51" s="115" t="str">
        <f t="shared" si="16"/>
        <v>grep -hrE -A400 "Enforcement Action" /cygdrive/c/Users/stu/AppData/Local/Temp/OnboardLogs/RTDC4012 --include="*4012*201706142*" | grep -E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"%USERPROFILE%\AppData\Local\Temp\OnboardLogs"\RTDC4012\*4012*201706142* &gt;&gt; 2017-06-14-SliceDisagreementCheck.txt</v>
      </c>
      <c r="AE51" s="145" t="str">
        <f t="shared" si="9"/>
        <v>start /low /b %USERPROFILE%\Documents\GitHub\eaglep3\Utilities\DownloadLogsFromS3.py --loco 4012 --day 2017-06-14</v>
      </c>
      <c r="AF51" s="1"/>
    </row>
    <row r="52" spans="1:32" x14ac:dyDescent="0.25">
      <c r="A52" s="31">
        <v>42900.859317129631</v>
      </c>
      <c r="B52" s="30" t="s">
        <v>425</v>
      </c>
      <c r="C52" s="30" t="s">
        <v>645</v>
      </c>
      <c r="D52" s="30" t="s">
        <v>49</v>
      </c>
      <c r="E52" s="30" t="s">
        <v>181</v>
      </c>
      <c r="F52" s="42">
        <v>0</v>
      </c>
      <c r="G52" s="42">
        <v>37</v>
      </c>
      <c r="H52" s="42">
        <v>58926</v>
      </c>
      <c r="I52" s="42">
        <v>58943</v>
      </c>
      <c r="J52" s="30" t="s">
        <v>182</v>
      </c>
      <c r="K52" s="42">
        <v>59048</v>
      </c>
      <c r="L52" s="131" t="s">
        <v>50</v>
      </c>
      <c r="M52" s="132">
        <f t="shared" si="11"/>
        <v>55.44</v>
      </c>
      <c r="N52" s="133" t="str">
        <f>VLOOKUP(C52,'Trips&amp;Operators'!$C$1:$G$99999,5,FALSE)</f>
        <v>NELSON ARIANE</v>
      </c>
      <c r="O52" s="203" t="s">
        <v>180</v>
      </c>
      <c r="P52" s="134"/>
      <c r="Q52" s="30"/>
      <c r="R52" s="81" t="str">
        <f>VLOOKUP(C52,'Train Runs'!$A$13:$AE$9934,31,0)</f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S52" s="84" t="str">
        <f>VLOOKUP(C52,'Train Runs'!$A$13:$AE$9934,22,0)</f>
        <v>https://d0f6bd738d7f1b3e5a7ca70fe4ff75f0.us-east-1.aws.found.io/app/kibana#/discover/Steve-Slow-Train-Analysis-(2080s-and-2083s)?_g=(refreshInterval:(display:Off,pause:!f,section:0,value:0),time:(from:'2017-06-14T19:19:01-0600',mode:absolute,to:'2017-06-14T21:37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52" s="86" t="str">
        <f t="shared" si="12"/>
        <v>"C:\Program Files (x86)\AstroGrep\AstroGrep.exe" /e /r /s /spath="%USERPROFILE%\AppData\Local\Temp\OnboardLogs" /stypes="*4020*201706150*" /stext=" 02:.+((SYSTEM_STATE.+slice.+state.+changed )|(ment ac)|(multiple cpu faults)|(system.+state.+changed )|(\[timeout)|(PRM\|1\|D)|(kpr)|(kdp)|(train st.+moving)|(\|lc)|(penalty))"</v>
      </c>
      <c r="U52" s="9" t="str">
        <f t="shared" si="13"/>
        <v>4020</v>
      </c>
      <c r="V52" s="31">
        <f t="shared" si="14"/>
        <v>42901.109317129631</v>
      </c>
      <c r="W52" s="45" t="str">
        <f t="shared" si="7"/>
        <v>NW</v>
      </c>
      <c r="X52" s="22">
        <f t="shared" si="8"/>
        <v>843</v>
      </c>
      <c r="Y52" s="96" t="str">
        <f t="shared" si="15"/>
        <v>echo {"issue":{"subject":"","project_id":79,"tracker_id":40,"status_id":1,"priority_id":2,"assigned_to_id":23,"start_date":"2017-06-14","description":"","custom_fields":[{"id":1,"name":"Subdivision","value":"NW"},{"id":4,"name":"Milepost","value":"5.9048"},{"id":17,"name":"Train ID","value":"843-14"},{"id":16,"name":"Locomotive ID","value":"4020"},{"id":130,"name":"Impact","value":""},{"id":150,"name":"Time of Event (Mountain Time)","value":"20:37:25"},{"id":151,"name":"Denver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159"/>
      <c r="AA52" s="47"/>
      <c r="AB52" s="47"/>
      <c r="AC52" s="115" t="str">
        <f t="shared" si="16"/>
        <v>grep -hrE -A400 "Enforcement Action" /cygdrive/c/Users/stu/AppData/Local/Temp/OnboardLogs/RTDC4020 --include="*4020*201706150*" | grep -E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"%USERPROFILE%\AppData\Local\Temp\OnboardLogs"\RTDC4020\*4020*201706150* &gt;&gt; 2017-06-14-SliceDisagreementCheck.txt</v>
      </c>
      <c r="AE52" s="145" t="str">
        <f t="shared" si="9"/>
        <v>start /low /b %USERPROFILE%\Documents\GitHub\eaglep3\Utilities\DownloadLogsFromS3.py --loco 4020 --day 2017-06-15</v>
      </c>
      <c r="AF52" s="1"/>
    </row>
    <row r="53" spans="1:32" x14ac:dyDescent="0.25">
      <c r="A53" s="31">
        <v>42900.940439814818</v>
      </c>
      <c r="B53" s="30" t="s">
        <v>425</v>
      </c>
      <c r="C53" s="30" t="s">
        <v>648</v>
      </c>
      <c r="D53" s="30" t="s">
        <v>49</v>
      </c>
      <c r="E53" s="30" t="s">
        <v>181</v>
      </c>
      <c r="F53" s="42">
        <v>0</v>
      </c>
      <c r="G53" s="42">
        <v>54</v>
      </c>
      <c r="H53" s="42">
        <v>58903</v>
      </c>
      <c r="I53" s="42">
        <v>58958</v>
      </c>
      <c r="J53" s="30" t="s">
        <v>182</v>
      </c>
      <c r="K53" s="42">
        <v>59048</v>
      </c>
      <c r="L53" s="131" t="s">
        <v>50</v>
      </c>
      <c r="M53" s="132">
        <f t="shared" si="11"/>
        <v>47.52</v>
      </c>
      <c r="N53" s="133" t="str">
        <f>VLOOKUP(C53,'Trips&amp;Operators'!$C$1:$G$99999,5,FALSE)</f>
        <v>STAMBAUGH JAMES</v>
      </c>
      <c r="O53" s="203" t="s">
        <v>180</v>
      </c>
      <c r="P53" s="134"/>
      <c r="Q53" s="30"/>
      <c r="R53" s="81" t="str">
        <f>VLOOKUP(C53,'Train Runs'!$A$13:$AE$9934,31,0)</f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S53" s="84" t="str">
        <f>VLOOKUP(C53,'Train Runs'!$A$13:$AE$9934,22,0)</f>
        <v>https://d0f6bd738d7f1b3e5a7ca70fe4ff75f0.us-east-1.aws.found.io/app/kibana#/discover/Steve-Slow-Train-Analysis-(2080s-and-2083s)?_g=(refreshInterval:(display:Off,pause:!f,section:0,value:0),time:(from:'2017-06-14T20:57:03-0600',mode:absolute,to:'2017-06-14T23:34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53" s="86" t="str">
        <f t="shared" si="12"/>
        <v>"C:\Program Files (x86)\AstroGrep\AstroGrep.exe" /e /r /s /spath="%USERPROFILE%\AppData\Local\Temp\OnboardLogs" /stypes="*4020*201706150*" /stext=" 04:.+((SYSTEM_STATE.+slice.+state.+changed )|(ment ac)|(multiple cpu faults)|(system.+state.+changed )|(\[timeout)|(PRM\|1\|D)|(kpr)|(kdp)|(train st.+moving)|(\|lc)|(penalty))"</v>
      </c>
      <c r="U53" s="9" t="str">
        <f t="shared" si="13"/>
        <v>4020</v>
      </c>
      <c r="V53" s="31">
        <f t="shared" si="14"/>
        <v>42901.190439814818</v>
      </c>
      <c r="W53" s="45" t="str">
        <f t="shared" si="7"/>
        <v>NW</v>
      </c>
      <c r="X53" s="22">
        <f t="shared" si="8"/>
        <v>847</v>
      </c>
      <c r="Y53" s="96" t="str">
        <f t="shared" si="15"/>
        <v>echo {"issue":{"subject":"","project_id":79,"tracker_id":40,"status_id":1,"priority_id":2,"assigned_to_id":23,"start_date":"2017-06-14","description":"","custom_fields":[{"id":1,"name":"Subdivision","value":"NW"},{"id":4,"name":"Milepost","value":"5.9048"},{"id":17,"name":"Train ID","value":"847-14"},{"id":16,"name":"Locomotive ID","value":"4020"},{"id":130,"name":"Impact","value":""},{"id":150,"name":"Time of Event (Mountain Time)","value":"22:34:14"},{"id":151,"name":"Denver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159"/>
      <c r="AA53" s="47"/>
      <c r="AB53" s="47"/>
      <c r="AC53" s="115" t="str">
        <f t="shared" si="16"/>
        <v>grep -hrE -A400 "Enforcement Action" /cygdrive/c/Users/stu/AppData/Local/Temp/OnboardLogs/RTDC4020 --include="*4020*201706150*" | grep -E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"%USERPROFILE%\AppData\Local\Temp\OnboardLogs"\RTDC4020\*4020*201706150* &gt;&gt; 2017-06-14-SliceDisagreementCheck.txt</v>
      </c>
      <c r="AE53" s="145" t="str">
        <f t="shared" si="9"/>
        <v>start /low /b %USERPROFILE%\Documents\GitHub\eaglep3\Utilities\DownloadLogsFromS3.py --loco 4020 --day 2017-06-15</v>
      </c>
      <c r="AF53" s="1"/>
    </row>
    <row r="54" spans="1:32" x14ac:dyDescent="0.25">
      <c r="A54" s="31">
        <v>42900.232418981483</v>
      </c>
      <c r="B54" s="30" t="s">
        <v>603</v>
      </c>
      <c r="C54" s="30" t="s">
        <v>604</v>
      </c>
      <c r="D54" s="30" t="s">
        <v>49</v>
      </c>
      <c r="E54" s="30" t="s">
        <v>181</v>
      </c>
      <c r="F54" s="42">
        <v>0</v>
      </c>
      <c r="G54" s="42">
        <v>73</v>
      </c>
      <c r="H54" s="42">
        <v>269</v>
      </c>
      <c r="I54" s="42">
        <v>198</v>
      </c>
      <c r="J54" s="30" t="s">
        <v>182</v>
      </c>
      <c r="K54" s="42">
        <v>1</v>
      </c>
      <c r="L54" s="131" t="s">
        <v>51</v>
      </c>
      <c r="M54" s="132">
        <f t="shared" si="11"/>
        <v>104.01600000000001</v>
      </c>
      <c r="N54" s="133" t="str">
        <f>VLOOKUP(C54,'Trips&amp;Operators'!$C$1:$G$99999,5,FALSE)</f>
        <v>BEAM ROSS</v>
      </c>
      <c r="O54" s="203" t="s">
        <v>180</v>
      </c>
      <c r="P54" s="134"/>
      <c r="Q54" s="30"/>
      <c r="R54" s="81" t="str">
        <f>VLOOKUP(C54,'Train Runs'!$A$13:$AE$9934,31,0)</f>
        <v>aws s3 cp s3://rtdc.mdm.uploadarchive.raw/RTDC4007/ "%USERPROFILE%\AppData\Local\Temp\OnboardLogs"\RTDC4007\2017-06-14 --exclude "*" --recursive --include "*20170614*" &amp; "%USERPROFILE%\Documents\GitHub\mrs-test-scripts\Headless Mode &amp; Sideloading\WalkAndUnGZ.bat" "%USERPROFILE%\AppData\Local\Temp\OnboardLogs"\RTDC4007\2017-06-14 &amp; aws s3 cp s3://rtdc.mdm.uploadarchive.raw/RTDC4007/ "%USERPROFILE%\AppData\Local\Temp\OnboardLogs"\RTDC4007\2017-06-15 --exclude "*" --recursive --include "*20170615*" &amp; "%USERPROFILE%\Documents\GitHub\mrs-test-scripts\Headless Mode &amp; Sideloading\WalkAndUnGZ.bat" "%USERPROFILE%\AppData\Local\Temp\OnboardLogs"\RTDC4007\2017-06-15</v>
      </c>
      <c r="S54" s="84" t="str">
        <f>VLOOKUP(C54,'Train Runs'!$A$13:$AE$9934,22,0)</f>
        <v>https://d0f6bd738d7f1b3e5a7ca70fe4ff75f0.us-east-1.aws.found.io/app/kibana#/discover/Steve-Slow-Train-Analysis-(2080s-and-2083s)?_g=(refreshInterval:(display:Off,pause:!f,section:0,value:0),time:(from:'2017-06-14T04:16:33-0600',mode:absolute,to:'2017-06-14T06:34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54" s="86" t="str">
        <f t="shared" si="12"/>
        <v>"C:\Program Files (x86)\AstroGrep\AstroGrep.exe" /e /r /s /spath="%USERPROFILE%\AppData\Local\Temp\OnboardLogs" /stypes="*4007*201706141*" /stext=" 11:.+((SYSTEM_STATE.+slice.+state.+changed )|(ment ac)|(multiple cpu faults)|(system.+state.+changed )|(\[timeout)|(PRM\|1\|D)|(kpr)|(kdp)|(train st.+moving)|(\|lc)|(penalty))"</v>
      </c>
      <c r="U54" s="9" t="str">
        <f t="shared" si="13"/>
        <v>4007</v>
      </c>
      <c r="V54" s="31">
        <f t="shared" si="14"/>
        <v>42900.482418981483</v>
      </c>
      <c r="W54" s="45" t="str">
        <f t="shared" si="7"/>
        <v>Other</v>
      </c>
      <c r="X54" s="22">
        <f t="shared" si="8"/>
        <v>312</v>
      </c>
      <c r="Y54" s="96" t="str">
        <f t="shared" si="15"/>
        <v>echo {"issue":{"subject":"","project_id":79,"tracker_id":40,"status_id":1,"priority_id":2,"assigned_to_id":23,"start_date":"2017-06-14","description":"","custom_fields":[{"id":1,"name":"Subdivision","value":"Other"},{"id":4,"name":"Milepost","value":"0.0001"},{"id":17,"name":"Train ID","value":"312-14"},{"id":16,"name":"Locomotive ID","value":"4007"},{"id":130,"name":"Impact","value":""},{"id":150,"name":"Time of Event (Mountain Time)","value":"05:34:41"},{"id":151,"name":"Denver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159"/>
      <c r="AA54" s="47"/>
      <c r="AB54" s="47"/>
      <c r="AC54" s="115" t="str">
        <f t="shared" si="16"/>
        <v>grep -hrE -A400 "Enforcement Action" /cygdrive/c/Users/stu/AppData/Local/Temp/OnboardLogs/RTDC4007 --include="*4007*201706141*" | grep -E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"&amp;TEXT(Variables!$A$2,"YYYY-MM-DD")&amp;"-SliceDisagreementCheck.txt"</f>
        <v>grep -hSE "Enforcement Action" "%USERPROFILE%\AppData\Local\Temp\OnboardLogs"\RTDC4007\*4007*201706141* &gt;&gt; 2017-06-14-SliceDisagreementCheck.txt</v>
      </c>
      <c r="AE54" s="145" t="str">
        <f t="shared" si="9"/>
        <v>start /low /b %USERPROFILE%\Documents\GitHub\eaglep3\Utilities\DownloadLogsFromS3.py --loco 4007 --day 2017-06-14</v>
      </c>
      <c r="AF54" s="1"/>
    </row>
    <row r="55" spans="1:32" x14ac:dyDescent="0.25">
      <c r="A55" s="31">
        <v>42900.251469907409</v>
      </c>
      <c r="B55" s="30" t="s">
        <v>423</v>
      </c>
      <c r="C55" s="30" t="s">
        <v>605</v>
      </c>
      <c r="D55" s="30" t="s">
        <v>49</v>
      </c>
      <c r="E55" s="30" t="s">
        <v>181</v>
      </c>
      <c r="F55" s="42">
        <v>0</v>
      </c>
      <c r="G55" s="42">
        <v>79</v>
      </c>
      <c r="H55" s="42">
        <v>841</v>
      </c>
      <c r="I55" s="42">
        <v>773</v>
      </c>
      <c r="J55" s="30" t="s">
        <v>182</v>
      </c>
      <c r="K55" s="42">
        <v>575</v>
      </c>
      <c r="L55" s="131" t="s">
        <v>51</v>
      </c>
      <c r="M55" s="132">
        <f t="shared" si="11"/>
        <v>104.544</v>
      </c>
      <c r="N55" s="133" t="str">
        <f>VLOOKUP(C55,'Trips&amp;Operators'!$C$1:$G$99999,5,FALSE)</f>
        <v>GEBRETEKLE DAGNEW</v>
      </c>
      <c r="O55" s="203" t="s">
        <v>180</v>
      </c>
      <c r="P55" s="134"/>
      <c r="Q55" s="30"/>
      <c r="R55" s="81" t="str">
        <f>VLOOKUP(C55,'Train Runs'!$A$13:$AE$9934,31,0)</f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S55" s="84" t="str">
        <f>VLOOKUP(C55,'Train Runs'!$A$13:$AE$9934,22,0)</f>
        <v>https://d0f6bd738d7f1b3e5a7ca70fe4ff75f0.us-east-1.aws.found.io/app/kibana#/discover/Steve-Slow-Train-Analysis-(2080s-and-2083s)?_g=(refreshInterval:(display:Off,pause:!f,section:0,value:0),time:(from:'2017-06-14T04:48:36-0600',mode:absolute,to:'2017-06-14T07:02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55" s="86" t="str">
        <f t="shared" si="12"/>
        <v>"C:\Program Files (x86)\AstroGrep\AstroGrep.exe" /e /r /s /spath="%USERPROFILE%\AppData\Local\Temp\OnboardLogs" /stypes="*4019*201706141*" /stext=" 12:.+((SYSTEM_STATE.+slice.+state.+changed )|(ment ac)|(multiple cpu faults)|(system.+state.+changed )|(\[timeout)|(PRM\|1\|D)|(kpr)|(kdp)|(train st.+moving)|(\|lc)|(penalty))"</v>
      </c>
      <c r="U55" s="9" t="str">
        <f t="shared" si="13"/>
        <v>4019</v>
      </c>
      <c r="V55" s="31">
        <f t="shared" si="14"/>
        <v>42900.501469907409</v>
      </c>
      <c r="W55" s="45" t="str">
        <f t="shared" si="7"/>
        <v>Other</v>
      </c>
      <c r="X55" s="22">
        <f t="shared" si="8"/>
        <v>902</v>
      </c>
      <c r="Y55" s="96" t="str">
        <f t="shared" si="15"/>
        <v>echo {"issue":{"subject":"","project_id":79,"tracker_id":40,"status_id":1,"priority_id":2,"assigned_to_id":23,"start_date":"2017-06-14","description":"","custom_fields":[{"id":1,"name":"Subdivision","value":"Other"},{"id":4,"name":"Milepost","value":"0.0575"},{"id":17,"name":"Train ID","value":"902-14"},{"id":16,"name":"Locomotive ID","value":"4019"},{"id":130,"name":"Impact","value":""},{"id":150,"name":"Time of Event (Mountain Time)","value":"06:02:07"},{"id":151,"name":"Denver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159"/>
      <c r="AA55" s="47"/>
      <c r="AB55" s="47"/>
      <c r="AC55" s="115" t="str">
        <f t="shared" si="16"/>
        <v>grep -hrE -A400 "Enforcement Action" /cygdrive/c/Users/stu/AppData/Local/Temp/OnboardLogs/RTDC4019 --include="*4019*201706141*" | grep -E "((Enforcement Ac)|(PRM))" -</v>
      </c>
      <c r="AD55" s="1" t="str">
        <f>"grep -hSE ""Enforcement Action"" "&amp;search_path&amp;"\RTDC"&amp;U55&amp;"\*"&amp;U55&amp;"*"&amp;TEXT(A55-utc_offset/24,"YYYYMMDD")&amp;LEFT(TEXT(A55-utc_offset/24,"HH"),1)&amp;"* &gt;&gt; "&amp;TEXT(Variables!$A$2,"YYYY-MM-DD")&amp;"-SliceDisagreementCheck.txt"</f>
        <v>grep -hSE "Enforcement Action" "%USERPROFILE%\AppData\Local\Temp\OnboardLogs"\RTDC4019\*4019*201706141* &gt;&gt; 2017-06-14-SliceDisagreementCheck.txt</v>
      </c>
      <c r="AE55" s="145" t="str">
        <f t="shared" si="9"/>
        <v>start /low /b %USERPROFILE%\Documents\GitHub\eaglep3\Utilities\DownloadLogsFromS3.py --loco 4019 --day 2017-06-14</v>
      </c>
      <c r="AF55" s="1"/>
    </row>
    <row r="56" spans="1:32" x14ac:dyDescent="0.25">
      <c r="A56" s="31">
        <v>42900.457407407404</v>
      </c>
      <c r="B56" s="30" t="s">
        <v>504</v>
      </c>
      <c r="C56" s="30" t="s">
        <v>621</v>
      </c>
      <c r="D56" s="30" t="s">
        <v>49</v>
      </c>
      <c r="E56" s="30" t="s">
        <v>181</v>
      </c>
      <c r="F56" s="42">
        <v>0</v>
      </c>
      <c r="G56" s="42">
        <v>16</v>
      </c>
      <c r="H56" s="42">
        <v>841</v>
      </c>
      <c r="I56" s="42">
        <v>828</v>
      </c>
      <c r="J56" s="30" t="s">
        <v>182</v>
      </c>
      <c r="K56" s="42">
        <v>826</v>
      </c>
      <c r="L56" s="131" t="s">
        <v>51</v>
      </c>
      <c r="M56" s="132">
        <f t="shared" si="11"/>
        <v>1.056</v>
      </c>
      <c r="N56" s="133" t="str">
        <f>VLOOKUP(C56,'Trips&amp;Operators'!$C$1:$G$99999,5,FALSE)</f>
        <v>DE LA ROSA ALEX</v>
      </c>
      <c r="O56" s="203" t="s">
        <v>180</v>
      </c>
      <c r="P56" s="134"/>
      <c r="Q56" s="30"/>
      <c r="R56" s="81" t="str">
        <f>VLOOKUP(C56,'Train Runs'!$A$13:$AE$9934,31,0)</f>
        <v>aws s3 cp s3://rtdc.mdm.uploadarchive.raw/RTDC4029/ "%USERPROFILE%\AppData\Local\Temp\OnboardLogs"\RTDC4029\2017-06-14 --exclude "*" --recursive --include "*20170614*" &amp; "%USERPROFILE%\Documents\GitHub\mrs-test-scripts\Headless Mode &amp; Sideloading\WalkAndUnGZ.bat" "%USERPROFILE%\AppData\Local\Temp\OnboardLogs"\RTDC4029\2017-06-14 &amp; aws s3 cp s3://rtdc.mdm.uploadarchive.raw/RTDC4029/ "%USERPROFILE%\AppData\Local\Temp\OnboardLogs"\RTDC4029\2017-06-15 --exclude "*" --recursive --include "*20170615*" &amp; "%USERPROFILE%\Documents\GitHub\mrs-test-scripts\Headless Mode &amp; Sideloading\WalkAndUnGZ.bat" "%USERPROFILE%\AppData\Local\Temp\OnboardLogs"\RTDC4029\2017-06-15</v>
      </c>
      <c r="S56" s="84" t="str">
        <f>VLOOKUP(C56,'Train Runs'!$A$13:$AE$9934,22,0)</f>
        <v>https://d0f6bd738d7f1b3e5a7ca70fe4ff75f0.us-east-1.aws.found.io/app/kibana#/discover/Steve-Slow-Train-Analysis-(2080s-and-2083s)?_g=(refreshInterval:(display:Off,pause:!f,section:0,value:0),time:(from:'2017-06-14T09:40:43-0600',mode:absolute,to:'2017-06-14T11:58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56" s="86" t="str">
        <f t="shared" si="12"/>
        <v>"C:\Program Files (x86)\AstroGrep\AstroGrep.exe" /e /r /s /spath="%USERPROFILE%\AppData\Local\Temp\OnboardLogs" /stypes="*4029*201706141*" /stext=" 16:.+((SYSTEM_STATE.+slice.+state.+changed )|(ment ac)|(multiple cpu faults)|(system.+state.+changed )|(\[timeout)|(PRM\|1\|D)|(kpr)|(kdp)|(train st.+moving)|(\|lc)|(penalty))"</v>
      </c>
      <c r="U56" s="9" t="str">
        <f t="shared" si="13"/>
        <v>4029</v>
      </c>
      <c r="V56" s="31">
        <f t="shared" si="14"/>
        <v>42900.707407407404</v>
      </c>
      <c r="W56" s="45" t="str">
        <f t="shared" si="7"/>
        <v>Shuttle/Test</v>
      </c>
      <c r="X56" s="22">
        <f t="shared" si="8"/>
        <v>58</v>
      </c>
      <c r="Y56" s="96" t="str">
        <f t="shared" si="15"/>
        <v>echo {"issue":{"subject":"","project_id":79,"tracker_id":40,"status_id":1,"priority_id":2,"assigned_to_id":23,"start_date":"2017-06-14","description":"","custom_fields":[{"id":1,"name":"Subdivision","value":"Shuttle/Test"},{"id":4,"name":"Milepost","value":"0.0826"},{"id":17,"name":"Train ID","value":"58-14"},{"id":16,"name":"Locomotive ID","value":"4029"},{"id":130,"name":"Impact","value":""},{"id":150,"name":"Time of Event (Mountain Time)","value":"10:58:40"},{"id":151,"name":"Denver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159"/>
      <c r="AA56" s="47"/>
      <c r="AB56" s="47"/>
      <c r="AC56" s="115" t="str">
        <f t="shared" si="16"/>
        <v>grep -hrE -A400 "Enforcement Action" /cygdrive/c/Users/stu/AppData/Local/Temp/OnboardLogs/RTDC4029 --include="*4029*201706141*" | grep -E "((Enforcement Ac)|(PRM))" -</v>
      </c>
      <c r="AD56" s="1" t="str">
        <f>"grep -hSE ""Enforcement Action"" "&amp;search_path&amp;"\RTDC"&amp;U56&amp;"\*"&amp;U56&amp;"*"&amp;TEXT(A56-utc_offset/24,"YYYYMMDD")&amp;LEFT(TEXT(A56-utc_offset/24,"HH"),1)&amp;"* &gt;&gt; "&amp;TEXT(Variables!$A$2,"YYYY-MM-DD")&amp;"-SliceDisagreementCheck.txt"</f>
        <v>grep -hSE "Enforcement Action" "%USERPROFILE%\AppData\Local\Temp\OnboardLogs"\RTDC4029\*4029*201706141* &gt;&gt; 2017-06-14-SliceDisagreementCheck.txt</v>
      </c>
      <c r="AE56" s="145" t="str">
        <f t="shared" si="9"/>
        <v>start /low /b %USERPROFILE%\Documents\GitHub\eaglep3\Utilities\DownloadLogsFromS3.py --loco 4029 --day 2017-06-14</v>
      </c>
      <c r="AF56" s="1"/>
    </row>
    <row r="57" spans="1:32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 s="22"/>
      <c r="Z57"/>
      <c r="AC57"/>
      <c r="AE57"/>
    </row>
    <row r="58" spans="1:32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 s="22"/>
      <c r="Z58"/>
      <c r="AC58"/>
      <c r="AE58"/>
    </row>
    <row r="59" spans="1:32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 s="22"/>
      <c r="Z59"/>
      <c r="AC59"/>
      <c r="AE59"/>
    </row>
    <row r="60" spans="1:32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 s="22"/>
      <c r="Z60"/>
      <c r="AC60"/>
      <c r="AE60"/>
    </row>
    <row r="61" spans="1:32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 s="22"/>
      <c r="Z61"/>
      <c r="AC61"/>
      <c r="AE61"/>
    </row>
    <row r="62" spans="1:32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X62" s="22"/>
      <c r="Z62"/>
      <c r="AC62"/>
      <c r="AE62"/>
    </row>
    <row r="63" spans="1:32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X63" s="22"/>
      <c r="Z63"/>
      <c r="AC63"/>
      <c r="AE63"/>
    </row>
    <row r="64" spans="1:32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X64" s="22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X65" s="22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X66" s="22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X67" s="22"/>
      <c r="Z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X68" s="22"/>
      <c r="Z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X69" s="22"/>
      <c r="Z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X70" s="22"/>
      <c r="Z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X71" s="22"/>
      <c r="Z71"/>
      <c r="AC71"/>
      <c r="AE71"/>
    </row>
    <row r="72" spans="1:31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X72" s="22"/>
      <c r="Z72"/>
      <c r="AC72"/>
      <c r="AE72"/>
    </row>
    <row r="73" spans="1:31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X73" s="22"/>
      <c r="Z73"/>
      <c r="AC73"/>
      <c r="AE73"/>
    </row>
    <row r="74" spans="1:31" x14ac:dyDescent="0.25">
      <c r="A74"/>
      <c r="D74"/>
      <c r="E74"/>
      <c r="F74"/>
      <c r="G74"/>
      <c r="H74"/>
      <c r="I74"/>
      <c r="J74"/>
      <c r="K74"/>
      <c r="L74"/>
      <c r="M74"/>
      <c r="N74"/>
      <c r="O74"/>
      <c r="P74"/>
      <c r="R74"/>
      <c r="S74"/>
      <c r="T74"/>
      <c r="V74"/>
      <c r="X74" s="22"/>
      <c r="Z74"/>
      <c r="AC74"/>
      <c r="AE74"/>
    </row>
    <row r="75" spans="1:31" x14ac:dyDescent="0.25">
      <c r="A75"/>
      <c r="D75"/>
      <c r="E75"/>
      <c r="F75"/>
      <c r="G75"/>
      <c r="H75"/>
      <c r="I75"/>
      <c r="J75"/>
      <c r="K75"/>
      <c r="L75"/>
      <c r="M75"/>
      <c r="N75"/>
      <c r="O75"/>
      <c r="P75"/>
      <c r="R75"/>
      <c r="S75"/>
      <c r="T75"/>
      <c r="V75"/>
      <c r="X75" s="22"/>
      <c r="Z75"/>
      <c r="AC75"/>
      <c r="AE75"/>
    </row>
    <row r="76" spans="1:31" x14ac:dyDescent="0.25">
      <c r="A76"/>
      <c r="D76"/>
      <c r="E76"/>
      <c r="F76"/>
      <c r="G76"/>
      <c r="H76"/>
      <c r="I76"/>
      <c r="J76"/>
      <c r="K76"/>
      <c r="L76"/>
      <c r="M76"/>
      <c r="N76"/>
      <c r="O76"/>
      <c r="P76"/>
      <c r="R76"/>
      <c r="S76"/>
      <c r="T76"/>
      <c r="V76"/>
      <c r="X76" s="22"/>
      <c r="Z76"/>
      <c r="AC76"/>
      <c r="AE76"/>
    </row>
  </sheetData>
  <autoFilter ref="A6:AC76">
    <sortState ref="A7:AC75">
      <sortCondition ref="W7:W55"/>
      <sortCondition ref="E7:E55"/>
      <sortCondition ref="K7:K55"/>
      <sortCondition ref="F7:F55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77:O1048576 O7:O56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6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AA7:AA56</xm:sqref>
        </x14:dataValidation>
        <x14:dataValidation type="list" allowBlank="1" showInputMessage="1" showErrorMessage="1">
          <x14:formula1>
            <xm:f>'Redmine List Values'!$C$2:$C$15</xm:f>
          </x14:formula1>
          <xm:sqref>AB7:AB56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06"/>
  <sheetViews>
    <sheetView workbookViewId="0">
      <selection activeCell="A3" sqref="A3:XFD3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2" t="str">
        <f>"Trips that did not appear in PTC Data "&amp;TEXT(Variables!$A$2,"YYYY-mm-dd")</f>
        <v>Trips that did not appear in PTC Data 2017-06-14</v>
      </c>
      <c r="C1" s="212"/>
      <c r="D1" s="212"/>
      <c r="E1" s="212"/>
      <c r="F1" s="212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/>
      <c r="B3" s="42" t="str">
        <f>A3&amp;"-"&amp;IF(DAY(Variables!$A$2)&lt;10,0,"")&amp;DAY(Variables!$A$2)</f>
        <v>-14</v>
      </c>
      <c r="C3" s="135"/>
      <c r="D3" s="153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29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" s="30" t="e">
        <f>VLOOKUP(B3,'Train Runs'!$A$13:$A$99931,1,FALSE)</f>
        <v>#N/A</v>
      </c>
    </row>
    <row r="4" spans="1:10" x14ac:dyDescent="0.25">
      <c r="A4" s="195"/>
      <c r="B4" s="42" t="str">
        <f>A4&amp;"-"&amp;IF(DAY(Variables!$A$2)&lt;10,0,"")&amp;DAY(Variables!$A$2)</f>
        <v>-14</v>
      </c>
      <c r="C4" s="135"/>
      <c r="D4" s="153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" s="30" t="e">
        <f>VLOOKUP(B4,'Train Runs'!$A$13:$A$99931,1,FALSE)</f>
        <v>#N/A</v>
      </c>
    </row>
    <row r="5" spans="1:10" x14ac:dyDescent="0.25">
      <c r="A5" s="195"/>
      <c r="B5" s="42" t="str">
        <f>A5&amp;"-"&amp;IF(DAY(Variables!$A$2)&lt;10,0,"")&amp;DAY(Variables!$A$2)</f>
        <v>-14</v>
      </c>
      <c r="C5" s="135"/>
      <c r="D5" s="153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5" s="30" t="e">
        <f>VLOOKUP(B5,'Train Runs'!$A$13:$A$99931,1,FALSE)</f>
        <v>#N/A</v>
      </c>
    </row>
    <row r="6" spans="1:10" x14ac:dyDescent="0.25">
      <c r="A6" s="195"/>
      <c r="B6" s="42" t="str">
        <f>A6&amp;"-"&amp;IF(DAY(Variables!$A$2)&lt;10,0,"")&amp;DAY(Variables!$A$2)</f>
        <v>-14</v>
      </c>
      <c r="C6" s="135"/>
      <c r="D6" s="153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6" s="30" t="e">
        <f>VLOOKUP(B6,'Train Runs'!$A$13:$A$99931,1,FALSE)</f>
        <v>#N/A</v>
      </c>
    </row>
    <row r="7" spans="1:10" x14ac:dyDescent="0.25">
      <c r="A7" s="195"/>
      <c r="B7" s="42" t="str">
        <f>A7&amp;"-"&amp;IF(DAY(Variables!$A$2)&lt;10,0,"")&amp;DAY(Variables!$A$2)</f>
        <v>-14</v>
      </c>
      <c r="C7" s="135"/>
      <c r="D7" s="153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7" s="30" t="e">
        <f>VLOOKUP(B7,'Train Runs'!$A$13:$A$99931,1,FALSE)</f>
        <v>#N/A</v>
      </c>
    </row>
    <row r="8" spans="1:10" x14ac:dyDescent="0.25">
      <c r="A8" s="195"/>
      <c r="B8" s="42" t="str">
        <f>A8&amp;"-"&amp;IF(DAY(Variables!$A$2)&lt;10,0,"")&amp;DAY(Variables!$A$2)</f>
        <v>-14</v>
      </c>
      <c r="C8" s="135"/>
      <c r="D8" s="153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8" s="30" t="e">
        <f>VLOOKUP(B8,'Train Runs'!$A$13:$A$99931,1,FALSE)</f>
        <v>#N/A</v>
      </c>
    </row>
    <row r="9" spans="1:10" x14ac:dyDescent="0.25">
      <c r="A9" s="195"/>
      <c r="B9" s="42" t="str">
        <f>A9&amp;"-"&amp;IF(DAY(Variables!$A$2)&lt;10,0,"")&amp;DAY(Variables!$A$2)</f>
        <v>-14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9" s="30" t="e">
        <f>VLOOKUP(B9,'Train Runs'!$A$13:$A$99931,1,FALSE)</f>
        <v>#N/A</v>
      </c>
    </row>
    <row r="10" spans="1:10" x14ac:dyDescent="0.25">
      <c r="A10" s="195"/>
      <c r="B10" s="42" t="str">
        <f>A10&amp;"-"&amp;IF(DAY(Variables!$A$2)&lt;10,0,"")&amp;DAY(Variables!$A$2)</f>
        <v>-14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0" s="30" t="e">
        <f>VLOOKUP(B10,'Train Runs'!$A$13:$A$99931,1,FALSE)</f>
        <v>#N/A</v>
      </c>
    </row>
    <row r="11" spans="1:10" x14ac:dyDescent="0.25">
      <c r="A11" s="195"/>
      <c r="B11" s="42" t="str">
        <f>A11&amp;"-"&amp;IF(DAY(Variables!$A$2)&lt;10,0,"")&amp;DAY(Variables!$A$2)</f>
        <v>-14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1" s="30" t="e">
        <f>VLOOKUP(B11,'Train Runs'!$A$13:$A$99931,1,FALSE)</f>
        <v>#N/A</v>
      </c>
    </row>
    <row r="12" spans="1:10" x14ac:dyDescent="0.25">
      <c r="A12" s="195"/>
      <c r="B12" s="42" t="str">
        <f>A12&amp;"-"&amp;IF(DAY(Variables!$A$2)&lt;10,0,"")&amp;DAY(Variables!$A$2)</f>
        <v>-14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2" s="30" t="e">
        <f>VLOOKUP(B12,'Train Runs'!$A$13:$A$99931,1,FALSE)</f>
        <v>#N/A</v>
      </c>
    </row>
    <row r="13" spans="1:10" x14ac:dyDescent="0.25">
      <c r="A13" s="195"/>
      <c r="B13" s="42" t="str">
        <f>A13&amp;"-"&amp;IF(DAY(Variables!$A$2)&lt;10,0,"")&amp;DAY(Variables!$A$2)</f>
        <v>-14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3" s="30" t="e">
        <f>VLOOKUP(B13,'Train Runs'!$A$13:$A$99931,1,FALSE)</f>
        <v>#N/A</v>
      </c>
    </row>
    <row r="14" spans="1:10" x14ac:dyDescent="0.25">
      <c r="A14" s="195"/>
      <c r="B14" s="42" t="str">
        <f>A14&amp;"-"&amp;IF(DAY(Variables!$A$2)&lt;10,0,"")&amp;DAY(Variables!$A$2)</f>
        <v>-14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4" s="30" t="e">
        <f>VLOOKUP(B14,'Train Runs'!$A$13:$A$99931,1,FALSE)</f>
        <v>#N/A</v>
      </c>
    </row>
    <row r="15" spans="1:10" x14ac:dyDescent="0.25">
      <c r="A15" s="195"/>
      <c r="B15" s="42" t="str">
        <f>A15&amp;"-"&amp;IF(DAY(Variables!$A$2)&lt;10,0,"")&amp;DAY(Variables!$A$2)</f>
        <v>-14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5" s="30" t="e">
        <f>VLOOKUP(B15,'Train Runs'!$A$13:$A$99931,1,FALSE)</f>
        <v>#N/A</v>
      </c>
    </row>
    <row r="16" spans="1:10" x14ac:dyDescent="0.25">
      <c r="A16" s="195"/>
      <c r="B16" s="42" t="str">
        <f>A16&amp;"-"&amp;IF(DAY(Variables!$A$2)&lt;10,0,"")&amp;DAY(Variables!$A$2)</f>
        <v>-14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6" s="30" t="e">
        <f>VLOOKUP(B16,'Train Runs'!$A$13:$A$99931,1,FALSE)</f>
        <v>#N/A</v>
      </c>
    </row>
    <row r="17" spans="1:10" x14ac:dyDescent="0.25">
      <c r="A17" s="195"/>
      <c r="B17" s="42" t="str">
        <f>A17&amp;"-"&amp;IF(DAY(Variables!$A$2)&lt;10,0,"")&amp;DAY(Variables!$A$2)</f>
        <v>-14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7" s="30" t="e">
        <f>VLOOKUP(B17,'Train Runs'!$A$13:$A$99931,1,FALSE)</f>
        <v>#N/A</v>
      </c>
    </row>
    <row r="18" spans="1:10" x14ac:dyDescent="0.25">
      <c r="A18" s="195"/>
      <c r="B18" s="42" t="str">
        <f>A18&amp;"-"&amp;IF(DAY(Variables!$A$2)&lt;10,0,"")&amp;DAY(Variables!$A$2)</f>
        <v>-14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8" s="30" t="e">
        <f>VLOOKUP(B18,'Train Runs'!$A$13:$A$99931,1,FALSE)</f>
        <v>#N/A</v>
      </c>
    </row>
    <row r="19" spans="1:10" x14ac:dyDescent="0.25">
      <c r="A19" s="195"/>
      <c r="B19" s="42" t="str">
        <f>A19&amp;"-"&amp;IF(DAY(Variables!$A$2)&lt;10,0,"")&amp;DAY(Variables!$A$2)</f>
        <v>-14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9" s="30" t="e">
        <f>VLOOKUP(B19,'Train Runs'!$A$13:$A$99931,1,FALSE)</f>
        <v>#N/A</v>
      </c>
    </row>
    <row r="20" spans="1:10" x14ac:dyDescent="0.25">
      <c r="A20" s="195"/>
      <c r="B20" s="42" t="str">
        <f>A20&amp;"-"&amp;IF(DAY(Variables!$A$2)&lt;10,0,"")&amp;DAY(Variables!$A$2)</f>
        <v>-14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0" s="30" t="e">
        <f>VLOOKUP(B20,'Train Runs'!$A$13:$A$99931,1,FALSE)</f>
        <v>#N/A</v>
      </c>
    </row>
    <row r="21" spans="1:10" x14ac:dyDescent="0.25">
      <c r="A21" s="195"/>
      <c r="B21" s="42" t="str">
        <f>A21&amp;"-"&amp;IF(DAY(Variables!$A$2)&lt;10,0,"")&amp;DAY(Variables!$A$2)</f>
        <v>-14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1" s="30" t="e">
        <f>VLOOKUP(B21,'Train Runs'!$A$13:$A$99931,1,FALSE)</f>
        <v>#N/A</v>
      </c>
    </row>
    <row r="22" spans="1:10" x14ac:dyDescent="0.25">
      <c r="A22" s="195"/>
      <c r="B22" s="42" t="str">
        <f>A22&amp;"-"&amp;IF(DAY(Variables!$A$2)&lt;10,0,"")&amp;DAY(Variables!$A$2)</f>
        <v>-14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2" s="30" t="e">
        <f>VLOOKUP(B22,'Train Runs'!$A$13:$A$99931,1,FALSE)</f>
        <v>#N/A</v>
      </c>
    </row>
    <row r="23" spans="1:10" x14ac:dyDescent="0.25">
      <c r="A23" s="195"/>
      <c r="B23" s="42" t="str">
        <f>A23&amp;"-"&amp;IF(DAY(Variables!$A$2)&lt;10,0,"")&amp;DAY(Variables!$A$2)</f>
        <v>-14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3" s="30" t="e">
        <f>VLOOKUP(B23,'Train Runs'!$A$13:$A$99931,1,FALSE)</f>
        <v>#N/A</v>
      </c>
    </row>
    <row r="24" spans="1:10" x14ac:dyDescent="0.25">
      <c r="A24" s="195"/>
      <c r="B24" s="42" t="str">
        <f>A24&amp;"-"&amp;IF(DAY(Variables!$A$2)&lt;10,0,"")&amp;DAY(Variables!$A$2)</f>
        <v>-14</v>
      </c>
      <c r="C24" s="135"/>
      <c r="D24" s="153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4" s="30" t="e">
        <f>VLOOKUP(B24,'Train Runs'!$A$13:$A$99931,1,FALSE)</f>
        <v>#N/A</v>
      </c>
    </row>
    <row r="25" spans="1:10" x14ac:dyDescent="0.25">
      <c r="A25" s="195"/>
      <c r="B25" s="42" t="str">
        <f>A25&amp;"-"&amp;IF(DAY(Variables!$A$2)&lt;10,0,"")&amp;DAY(Variables!$A$2)</f>
        <v>-14</v>
      </c>
      <c r="C25" s="135"/>
      <c r="D25" s="153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5" s="30" t="e">
        <f>VLOOKUP(B25,'Train Runs'!$A$13:$A$99931,1,FALSE)</f>
        <v>#N/A</v>
      </c>
    </row>
    <row r="26" spans="1:10" x14ac:dyDescent="0.25">
      <c r="A26" s="195"/>
      <c r="B26" s="42" t="str">
        <f>A26&amp;"-"&amp;IF(DAY(Variables!$A$2)&lt;10,0,"")&amp;DAY(Variables!$A$2)</f>
        <v>-14</v>
      </c>
      <c r="C26" s="135"/>
      <c r="D26" s="153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6" s="30" t="e">
        <f>VLOOKUP(B26,'Train Runs'!$A$13:$A$99931,1,FALSE)</f>
        <v>#N/A</v>
      </c>
    </row>
    <row r="27" spans="1:10" x14ac:dyDescent="0.25">
      <c r="A27" s="195"/>
      <c r="B27" s="42" t="str">
        <f>A27&amp;"-"&amp;IF(DAY(Variables!$A$2)&lt;10,0,"")&amp;DAY(Variables!$A$2)</f>
        <v>-14</v>
      </c>
      <c r="C27" s="135"/>
      <c r="D27" s="153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7" s="30" t="e">
        <f>VLOOKUP(B27,'Train Runs'!$A$13:$A$99931,1,FALSE)</f>
        <v>#N/A</v>
      </c>
    </row>
    <row r="28" spans="1:10" x14ac:dyDescent="0.25">
      <c r="A28" s="195"/>
      <c r="B28" s="42" t="str">
        <f>A28&amp;"-"&amp;IF(DAY(Variables!$A$2)&lt;10,0,"")&amp;DAY(Variables!$A$2)</f>
        <v>-14</v>
      </c>
      <c r="C28" s="135"/>
      <c r="D28" s="153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8" s="30" t="e">
        <f>VLOOKUP(B28,'Train Runs'!$A$13:$A$99931,1,FALSE)</f>
        <v>#N/A</v>
      </c>
    </row>
    <row r="29" spans="1:10" x14ac:dyDescent="0.25">
      <c r="A29" s="195"/>
      <c r="B29" s="42" t="str">
        <f>A29&amp;"-"&amp;IF(DAY(Variables!$A$2)&lt;10,0,"")&amp;DAY(Variables!$A$2)</f>
        <v>-14</v>
      </c>
      <c r="C29" s="135"/>
      <c r="D29" s="153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9" s="30" t="e">
        <f>VLOOKUP(B29,'Train Runs'!$A$13:$A$99931,1,FALSE)</f>
        <v>#N/A</v>
      </c>
    </row>
    <row r="30" spans="1:10" x14ac:dyDescent="0.25">
      <c r="A30" s="195"/>
      <c r="B30" s="42" t="str">
        <f>A30&amp;"-"&amp;IF(DAY(Variables!$A$2)&lt;10,0,"")&amp;DAY(Variables!$A$2)</f>
        <v>-14</v>
      </c>
      <c r="C30" s="135"/>
      <c r="D30" s="153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ref="I30:I50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30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0" s="30" t="e">
        <f>VLOOKUP(B30,'Train Runs'!$A$13:$A$99931,1,FALSE)</f>
        <v>#N/A</v>
      </c>
    </row>
    <row r="31" spans="1:10" x14ac:dyDescent="0.25">
      <c r="A31" s="195"/>
      <c r="B31" s="42" t="str">
        <f>A31&amp;"-"&amp;IF(DAY(Variables!$A$2)&lt;10,0,"")&amp;DAY(Variables!$A$2)</f>
        <v>-14</v>
      </c>
      <c r="C31" s="135"/>
      <c r="D31" s="153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1" s="30" t="e">
        <f>VLOOKUP(B31,'Train Runs'!$A$13:$A$99931,1,FALSE)</f>
        <v>#N/A</v>
      </c>
    </row>
    <row r="32" spans="1:10" x14ac:dyDescent="0.25">
      <c r="A32" s="195"/>
      <c r="B32" s="42" t="str">
        <f>A32&amp;"-"&amp;IF(DAY(Variables!$A$2)&lt;10,0,"")&amp;DAY(Variables!$A$2)</f>
        <v>-14</v>
      </c>
      <c r="C32" s="135"/>
      <c r="D32" s="153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2" s="30" t="e">
        <f>VLOOKUP(B32,'Train Runs'!$A$13:$A$99931,1,FALSE)</f>
        <v>#N/A</v>
      </c>
    </row>
    <row r="33" spans="1:10" x14ac:dyDescent="0.25">
      <c r="A33" s="195"/>
      <c r="B33" s="42" t="str">
        <f>A33&amp;"-"&amp;IF(DAY(Variables!$A$2)&lt;10,0,"")&amp;DAY(Variables!$A$2)</f>
        <v>-14</v>
      </c>
      <c r="C33" s="135"/>
      <c r="D33" s="153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3" s="30" t="e">
        <f>VLOOKUP(B33,'Train Runs'!$A$13:$A$99931,1,FALSE)</f>
        <v>#N/A</v>
      </c>
    </row>
    <row r="34" spans="1:10" x14ac:dyDescent="0.25">
      <c r="A34" s="195"/>
      <c r="B34" s="42" t="str">
        <f>A34&amp;"-"&amp;IF(DAY(Variables!$A$2)&lt;10,0,"")&amp;DAY(Variables!$A$2)</f>
        <v>-14</v>
      </c>
      <c r="C34" s="135"/>
      <c r="D34" s="153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4" s="30" t="e">
        <f>VLOOKUP(B34,'Train Runs'!$A$13:$A$99931,1,FALSE)</f>
        <v>#N/A</v>
      </c>
    </row>
    <row r="35" spans="1:10" x14ac:dyDescent="0.25">
      <c r="A35" s="195"/>
      <c r="B35" s="42" t="str">
        <f>A35&amp;"-"&amp;IF(DAY(Variables!$A$2)&lt;10,0,"")&amp;DAY(Variables!$A$2)</f>
        <v>-14</v>
      </c>
      <c r="C35" s="135"/>
      <c r="D35" s="153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5" s="30" t="e">
        <f>VLOOKUP(B35,'Train Runs'!$A$13:$A$99931,1,FALSE)</f>
        <v>#N/A</v>
      </c>
    </row>
    <row r="36" spans="1:10" x14ac:dyDescent="0.25">
      <c r="A36" s="195"/>
      <c r="B36" s="42" t="str">
        <f>A36&amp;"-"&amp;IF(DAY(Variables!$A$2)&lt;10,0,"")&amp;DAY(Variables!$A$2)</f>
        <v>-14</v>
      </c>
      <c r="C36" s="135"/>
      <c r="D36" s="153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6" s="30" t="e">
        <f>VLOOKUP(B36,'Train Runs'!$A$13:$A$99931,1,FALSE)</f>
        <v>#N/A</v>
      </c>
    </row>
    <row r="37" spans="1:10" x14ac:dyDescent="0.25">
      <c r="A37" s="195"/>
      <c r="B37" s="42" t="str">
        <f>A37&amp;"-"&amp;IF(DAY(Variables!$A$2)&lt;10,0,"")&amp;DAY(Variables!$A$2)</f>
        <v>-14</v>
      </c>
      <c r="C37" s="135"/>
      <c r="D37" s="153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7" s="30" t="e">
        <f>VLOOKUP(B37,'Train Runs'!$A$13:$A$99931,1,FALSE)</f>
        <v>#N/A</v>
      </c>
    </row>
    <row r="38" spans="1:10" x14ac:dyDescent="0.25">
      <c r="A38" s="195"/>
      <c r="B38" s="42" t="str">
        <f>A38&amp;"-"&amp;IF(DAY(Variables!$A$2)&lt;10,0,"")&amp;DAY(Variables!$A$2)</f>
        <v>-14</v>
      </c>
      <c r="C38" s="135"/>
      <c r="D38" s="153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8" s="30" t="e">
        <f>VLOOKUP(B38,'Train Runs'!$A$13:$A$99931,1,FALSE)</f>
        <v>#N/A</v>
      </c>
    </row>
    <row r="39" spans="1:10" x14ac:dyDescent="0.25">
      <c r="A39" s="195"/>
      <c r="B39" s="42" t="str">
        <f>A39&amp;"-"&amp;IF(DAY(Variables!$A$2)&lt;10,0,"")&amp;DAY(Variables!$A$2)</f>
        <v>-14</v>
      </c>
      <c r="C39" s="135"/>
      <c r="D39" s="153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9" s="30" t="e">
        <f>VLOOKUP(B39,'Train Runs'!$A$13:$A$99931,1,FALSE)</f>
        <v>#N/A</v>
      </c>
    </row>
    <row r="40" spans="1:10" x14ac:dyDescent="0.25">
      <c r="A40" s="195"/>
      <c r="B40" s="42" t="str">
        <f>A40&amp;"-"&amp;IF(DAY(Variables!$A$2)&lt;10,0,"")&amp;DAY(Variables!$A$2)</f>
        <v>-14</v>
      </c>
      <c r="C40" s="135"/>
      <c r="D40" s="153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0" s="30" t="e">
        <f>VLOOKUP(B40,'Train Runs'!$A$13:$A$99931,1,FALSE)</f>
        <v>#N/A</v>
      </c>
    </row>
    <row r="41" spans="1:10" x14ac:dyDescent="0.25">
      <c r="A41" s="195"/>
      <c r="B41" s="42" t="str">
        <f>A41&amp;"-"&amp;IF(DAY(Variables!$A$2)&lt;10,0,"")&amp;DAY(Variables!$A$2)</f>
        <v>-14</v>
      </c>
      <c r="C41" s="135"/>
      <c r="D41" s="153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1" s="30" t="e">
        <f>VLOOKUP(B41,'Train Runs'!$A$13:$A$99931,1,FALSE)</f>
        <v>#N/A</v>
      </c>
    </row>
    <row r="42" spans="1:10" x14ac:dyDescent="0.25">
      <c r="A42" s="195"/>
      <c r="B42" s="42" t="str">
        <f>A42&amp;"-"&amp;IF(DAY(Variables!$A$2)&lt;10,0,"")&amp;DAY(Variables!$A$2)</f>
        <v>-14</v>
      </c>
      <c r="C42" s="135"/>
      <c r="D42" s="153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2" s="30" t="e">
        <f>VLOOKUP(B42,'Train Runs'!$A$13:$A$99931,1,FALSE)</f>
        <v>#N/A</v>
      </c>
    </row>
    <row r="43" spans="1:10" x14ac:dyDescent="0.25">
      <c r="A43" s="195"/>
      <c r="B43" s="42" t="str">
        <f>A43&amp;"-"&amp;IF(DAY(Variables!$A$2)&lt;10,0,"")&amp;DAY(Variables!$A$2)</f>
        <v>-14</v>
      </c>
      <c r="C43" s="135"/>
      <c r="D43" s="153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3" s="30" t="e">
        <f>VLOOKUP(B43,'Train Runs'!$A$13:$A$99931,1,FALSE)</f>
        <v>#N/A</v>
      </c>
    </row>
    <row r="44" spans="1:10" x14ac:dyDescent="0.25">
      <c r="A44" s="195"/>
      <c r="B44" s="42" t="str">
        <f>A44&amp;"-"&amp;IF(DAY(Variables!$A$2)&lt;10,0,"")&amp;DAY(Variables!$A$2)</f>
        <v>-14</v>
      </c>
      <c r="C44" s="135"/>
      <c r="D44" s="153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4" s="30" t="e">
        <f>VLOOKUP(B44,'Train Runs'!$A$13:$A$99931,1,FALSE)</f>
        <v>#N/A</v>
      </c>
    </row>
    <row r="45" spans="1:10" x14ac:dyDescent="0.25">
      <c r="A45" s="195"/>
      <c r="B45" s="42" t="str">
        <f>A45&amp;"-"&amp;IF(DAY(Variables!$A$2)&lt;10,0,"")&amp;DAY(Variables!$A$2)</f>
        <v>-14</v>
      </c>
      <c r="C45" s="135"/>
      <c r="D45" s="153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5" s="30" t="e">
        <f>VLOOKUP(B45,'Train Runs'!$A$13:$A$99931,1,FALSE)</f>
        <v>#N/A</v>
      </c>
    </row>
    <row r="46" spans="1:10" x14ac:dyDescent="0.25">
      <c r="A46" s="195"/>
      <c r="B46" s="42" t="str">
        <f>A46&amp;"-"&amp;IF(DAY(Variables!$A$2)&lt;10,0,"")&amp;DAY(Variables!$A$2)</f>
        <v>-14</v>
      </c>
      <c r="C46" s="135"/>
      <c r="D46" s="153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6" s="30" t="e">
        <f>VLOOKUP(B46,'Train Runs'!$A$13:$A$99931,1,FALSE)</f>
        <v>#N/A</v>
      </c>
    </row>
    <row r="47" spans="1:10" x14ac:dyDescent="0.25">
      <c r="A47" s="195"/>
      <c r="B47" s="42" t="str">
        <f>A47&amp;"-"&amp;IF(DAY(Variables!$A$2)&lt;10,0,"")&amp;DAY(Variables!$A$2)</f>
        <v>-14</v>
      </c>
      <c r="C47" s="135"/>
      <c r="D47" s="153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7" s="30" t="e">
        <f>VLOOKUP(B47,'Train Runs'!$A$13:$A$99931,1,FALSE)</f>
        <v>#N/A</v>
      </c>
    </row>
    <row r="48" spans="1:10" x14ac:dyDescent="0.25">
      <c r="A48" s="195"/>
      <c r="B48" s="42" t="str">
        <f>A48&amp;"-"&amp;IF(DAY(Variables!$A$2)&lt;10,0,"")&amp;DAY(Variables!$A$2)</f>
        <v>-14</v>
      </c>
      <c r="C48" s="135"/>
      <c r="D48" s="153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8" s="30" t="e">
        <f>VLOOKUP(B48,'Train Runs'!$A$13:$A$99931,1,FALSE)</f>
        <v>#N/A</v>
      </c>
    </row>
    <row r="49" spans="1:10" x14ac:dyDescent="0.25">
      <c r="A49" s="195"/>
      <c r="B49" s="42" t="str">
        <f>A49&amp;"-"&amp;IF(DAY(Variables!$A$2)&lt;10,0,"")&amp;DAY(Variables!$A$2)</f>
        <v>-14</v>
      </c>
      <c r="C49" s="135"/>
      <c r="D49" s="153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9" s="30" t="e">
        <f>VLOOKUP(B49,'Train Runs'!$A$13:$A$99931,1,FALSE)</f>
        <v>#N/A</v>
      </c>
    </row>
    <row r="50" spans="1:10" x14ac:dyDescent="0.25">
      <c r="A50" s="195"/>
      <c r="B50" s="42" t="str">
        <f>A50&amp;"-"&amp;IF(DAY(Variables!$A$2)&lt;10,0,"")&amp;DAY(Variables!$A$2)</f>
        <v>-14</v>
      </c>
      <c r="C50" s="135"/>
      <c r="D50" s="153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50" s="30" t="e">
        <f>VLOOKUP(B50,'Train Runs'!$A$13:$A$99931,1,FALSE)</f>
        <v>#N/A</v>
      </c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  <row r="82" spans="1:10" x14ac:dyDescent="0.25">
      <c r="A82" s="195"/>
      <c r="B82" s="42"/>
      <c r="C82" s="135"/>
      <c r="D82" s="153"/>
      <c r="E82" s="30"/>
      <c r="F82" s="21"/>
      <c r="G82" s="21"/>
      <c r="H82" s="29"/>
      <c r="I82" s="45"/>
      <c r="J82" s="30"/>
    </row>
    <row r="83" spans="1:10" x14ac:dyDescent="0.25">
      <c r="A83" s="195"/>
      <c r="B83" s="42"/>
      <c r="C83" s="135"/>
      <c r="D83" s="153"/>
      <c r="E83" s="30"/>
      <c r="F83" s="21"/>
      <c r="G83" s="21"/>
      <c r="H83" s="29"/>
      <c r="I83" s="45"/>
      <c r="J83" s="30"/>
    </row>
    <row r="84" spans="1:10" x14ac:dyDescent="0.25">
      <c r="A84" s="195"/>
      <c r="B84" s="42"/>
      <c r="C84" s="135"/>
      <c r="D84" s="153"/>
      <c r="E84" s="30"/>
      <c r="F84" s="21"/>
      <c r="G84" s="21"/>
      <c r="H84" s="29"/>
      <c r="I84" s="45"/>
      <c r="J84" s="30"/>
    </row>
    <row r="85" spans="1:10" x14ac:dyDescent="0.25">
      <c r="A85" s="195"/>
      <c r="B85" s="42"/>
      <c r="C85" s="135"/>
      <c r="D85" s="153"/>
      <c r="E85" s="30"/>
      <c r="F85" s="21"/>
      <c r="G85" s="21"/>
      <c r="H85" s="29"/>
      <c r="I85" s="45"/>
      <c r="J85" s="30"/>
    </row>
    <row r="86" spans="1:10" x14ac:dyDescent="0.25">
      <c r="A86" s="195"/>
      <c r="B86" s="42"/>
      <c r="C86" s="135"/>
      <c r="D86" s="153"/>
      <c r="E86" s="30"/>
      <c r="F86" s="21"/>
      <c r="G86" s="21"/>
      <c r="H86" s="29"/>
      <c r="I86" s="45"/>
      <c r="J86" s="30"/>
    </row>
    <row r="87" spans="1:10" x14ac:dyDescent="0.25">
      <c r="A87" s="195"/>
      <c r="B87" s="42"/>
      <c r="C87" s="135"/>
      <c r="D87" s="153"/>
      <c r="E87" s="30"/>
      <c r="F87" s="21"/>
      <c r="G87" s="21"/>
      <c r="H87" s="29"/>
      <c r="I87" s="45"/>
      <c r="J87" s="30"/>
    </row>
    <row r="88" spans="1:10" x14ac:dyDescent="0.25">
      <c r="A88" s="195"/>
      <c r="B88" s="42"/>
      <c r="C88" s="135"/>
      <c r="D88" s="153"/>
      <c r="E88" s="30"/>
      <c r="F88" s="21"/>
      <c r="G88" s="21"/>
      <c r="H88" s="29"/>
      <c r="I88" s="45"/>
      <c r="J88" s="30"/>
    </row>
    <row r="89" spans="1:10" x14ac:dyDescent="0.25">
      <c r="A89" s="195"/>
      <c r="B89" s="42"/>
      <c r="C89" s="135"/>
      <c r="D89" s="153"/>
      <c r="E89" s="30"/>
      <c r="F89" s="21"/>
      <c r="G89" s="21"/>
      <c r="H89" s="29"/>
      <c r="I89" s="45"/>
      <c r="J89" s="30"/>
    </row>
    <row r="90" spans="1:10" x14ac:dyDescent="0.25">
      <c r="A90" s="195"/>
      <c r="B90" s="42"/>
      <c r="C90" s="135"/>
      <c r="D90" s="153"/>
      <c r="E90" s="30"/>
      <c r="F90" s="21"/>
      <c r="G90" s="21"/>
      <c r="H90" s="29"/>
      <c r="I90" s="45"/>
      <c r="J90" s="30"/>
    </row>
    <row r="91" spans="1:10" x14ac:dyDescent="0.25">
      <c r="A91" s="195"/>
      <c r="B91" s="42"/>
      <c r="C91" s="135"/>
      <c r="D91" s="153"/>
      <c r="E91" s="30"/>
      <c r="F91" s="21"/>
      <c r="G91" s="21"/>
      <c r="H91" s="29"/>
      <c r="I91" s="45"/>
      <c r="J91" s="30"/>
    </row>
    <row r="92" spans="1:10" x14ac:dyDescent="0.25">
      <c r="A92" s="195"/>
      <c r="B92" s="42"/>
      <c r="C92" s="135"/>
      <c r="D92" s="153"/>
      <c r="E92" s="30"/>
      <c r="F92" s="21"/>
      <c r="G92" s="21"/>
      <c r="H92" s="29"/>
      <c r="I92" s="45"/>
      <c r="J92" s="30"/>
    </row>
    <row r="93" spans="1:10" x14ac:dyDescent="0.25">
      <c r="A93" s="195"/>
      <c r="B93" s="42"/>
      <c r="C93" s="135"/>
      <c r="D93" s="153"/>
      <c r="E93" s="30"/>
      <c r="F93" s="21"/>
      <c r="G93" s="21"/>
      <c r="H93" s="29"/>
      <c r="I93" s="45"/>
      <c r="J93" s="30"/>
    </row>
    <row r="94" spans="1:10" x14ac:dyDescent="0.25">
      <c r="A94" s="195"/>
      <c r="B94" s="42"/>
      <c r="C94" s="135"/>
      <c r="D94" s="153"/>
      <c r="E94" s="30"/>
      <c r="F94" s="21"/>
      <c r="G94" s="21"/>
      <c r="H94" s="29"/>
      <c r="I94" s="45"/>
      <c r="J94" s="30"/>
    </row>
    <row r="95" spans="1:10" x14ac:dyDescent="0.25">
      <c r="A95" s="195"/>
      <c r="B95" s="42"/>
      <c r="C95" s="135"/>
      <c r="D95" s="153"/>
      <c r="E95" s="30"/>
      <c r="F95" s="21"/>
      <c r="G95" s="21"/>
      <c r="H95" s="29"/>
      <c r="I95" s="45"/>
      <c r="J95" s="30"/>
    </row>
    <row r="96" spans="1:10" x14ac:dyDescent="0.25">
      <c r="A96" s="195"/>
      <c r="B96" s="42"/>
      <c r="C96" s="135"/>
      <c r="D96" s="153"/>
      <c r="E96" s="30"/>
      <c r="F96" s="21"/>
      <c r="G96" s="21"/>
      <c r="H96" s="29"/>
      <c r="I96" s="45"/>
      <c r="J96" s="30"/>
    </row>
    <row r="97" spans="1:10" x14ac:dyDescent="0.25">
      <c r="A97" s="195"/>
      <c r="B97" s="42"/>
      <c r="C97" s="135"/>
      <c r="D97" s="153"/>
      <c r="E97" s="30"/>
      <c r="F97" s="21"/>
      <c r="G97" s="21"/>
      <c r="H97" s="29"/>
      <c r="I97" s="45"/>
      <c r="J97" s="30"/>
    </row>
    <row r="98" spans="1:10" x14ac:dyDescent="0.25">
      <c r="A98" s="195"/>
      <c r="B98" s="42"/>
      <c r="C98" s="135"/>
      <c r="D98" s="153"/>
      <c r="E98" s="30"/>
      <c r="F98" s="21"/>
      <c r="G98" s="21"/>
      <c r="H98" s="29"/>
      <c r="I98" s="45"/>
      <c r="J98" s="30"/>
    </row>
    <row r="99" spans="1:10" x14ac:dyDescent="0.25">
      <c r="A99" s="195"/>
      <c r="B99" s="42"/>
      <c r="C99" s="135"/>
      <c r="D99" s="153"/>
      <c r="E99" s="30"/>
      <c r="F99" s="21"/>
      <c r="G99" s="21"/>
      <c r="H99" s="29"/>
      <c r="I99" s="45"/>
      <c r="J99" s="30"/>
    </row>
    <row r="100" spans="1:10" x14ac:dyDescent="0.25">
      <c r="A100" s="195"/>
      <c r="B100" s="42"/>
      <c r="C100" s="135"/>
      <c r="D100" s="153"/>
      <c r="E100" s="30"/>
      <c r="F100" s="21"/>
      <c r="G100" s="21"/>
      <c r="H100" s="29"/>
      <c r="I100" s="45"/>
      <c r="J100" s="30"/>
    </row>
    <row r="101" spans="1:10" x14ac:dyDescent="0.25">
      <c r="A101" s="195"/>
      <c r="B101" s="42"/>
      <c r="C101" s="135"/>
      <c r="D101" s="153"/>
      <c r="E101" s="30"/>
      <c r="F101" s="21"/>
      <c r="G101" s="21"/>
      <c r="H101" s="29"/>
      <c r="I101" s="45"/>
      <c r="J101" s="30"/>
    </row>
    <row r="102" spans="1:10" x14ac:dyDescent="0.25">
      <c r="A102" s="195"/>
      <c r="B102" s="42"/>
      <c r="C102" s="135"/>
      <c r="D102" s="153"/>
      <c r="E102" s="30"/>
      <c r="F102" s="21"/>
      <c r="G102" s="21"/>
      <c r="H102" s="29"/>
      <c r="I102" s="45"/>
      <c r="J102" s="30"/>
    </row>
    <row r="103" spans="1:10" x14ac:dyDescent="0.25">
      <c r="A103" s="195"/>
      <c r="B103" s="42"/>
      <c r="C103" s="135"/>
      <c r="D103" s="153"/>
      <c r="E103" s="30"/>
      <c r="F103" s="21"/>
      <c r="G103" s="21"/>
      <c r="H103" s="29"/>
      <c r="I103" s="45"/>
      <c r="J103" s="30"/>
    </row>
    <row r="104" spans="1:10" x14ac:dyDescent="0.25">
      <c r="A104" s="195"/>
      <c r="B104" s="42"/>
      <c r="C104" s="135"/>
      <c r="D104" s="153"/>
      <c r="E104" s="30"/>
      <c r="F104" s="21"/>
      <c r="G104" s="21"/>
      <c r="H104" s="29"/>
      <c r="I104" s="45"/>
      <c r="J104" s="30"/>
    </row>
    <row r="105" spans="1:10" x14ac:dyDescent="0.25">
      <c r="A105" s="195"/>
      <c r="B105" s="42"/>
      <c r="C105" s="135"/>
      <c r="D105" s="153"/>
      <c r="E105" s="30"/>
      <c r="F105" s="21"/>
      <c r="G105" s="21"/>
      <c r="H105" s="29"/>
      <c r="I105" s="45"/>
      <c r="J105" s="30"/>
    </row>
    <row r="106" spans="1:10" x14ac:dyDescent="0.25">
      <c r="A106" s="195"/>
      <c r="B106" s="42"/>
      <c r="C106" s="135"/>
      <c r="D106" s="153"/>
      <c r="E106" s="30"/>
      <c r="F106" s="21"/>
      <c r="G106" s="21"/>
      <c r="H106" s="29"/>
      <c r="I106" s="45"/>
      <c r="J106" s="30"/>
    </row>
  </sheetData>
  <autoFilter ref="A2:J58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42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42900.033437500002</v>
      </c>
      <c r="B2" s="20" t="s">
        <v>529</v>
      </c>
      <c r="C2" s="20" t="s">
        <v>554</v>
      </c>
      <c r="D2" s="138">
        <v>2090000</v>
      </c>
      <c r="E2" s="20" t="s">
        <v>486</v>
      </c>
      <c r="F2" s="20" t="s">
        <v>192</v>
      </c>
      <c r="G2" s="8" t="str">
        <f>E2&amp;" "&amp;F2</f>
        <v>HAITHCOX MICHAEL</v>
      </c>
    </row>
    <row r="3" spans="1:7" x14ac:dyDescent="0.25">
      <c r="A3" s="8">
        <v>42900.035266203704</v>
      </c>
      <c r="B3" s="20" t="s">
        <v>529</v>
      </c>
      <c r="C3" s="20" t="s">
        <v>554</v>
      </c>
      <c r="D3" s="138">
        <v>2090000</v>
      </c>
      <c r="E3" s="20" t="s">
        <v>486</v>
      </c>
      <c r="F3" s="20" t="s">
        <v>192</v>
      </c>
      <c r="G3" s="8" t="str">
        <f t="shared" ref="G3:G66" si="0">E3&amp;" "&amp;F3</f>
        <v>HAITHCOX MICHAEL</v>
      </c>
    </row>
    <row r="4" spans="1:7" x14ac:dyDescent="0.25">
      <c r="A4" s="8">
        <v>42900.048715277779</v>
      </c>
      <c r="B4" s="20" t="s">
        <v>454</v>
      </c>
      <c r="C4" s="20" t="s">
        <v>556</v>
      </c>
      <c r="D4" s="138">
        <v>3090000</v>
      </c>
      <c r="E4" s="20" t="s">
        <v>376</v>
      </c>
      <c r="F4" s="20" t="s">
        <v>377</v>
      </c>
      <c r="G4" s="8" t="str">
        <f t="shared" si="0"/>
        <v>LAMAR NEKESHA</v>
      </c>
    </row>
    <row r="5" spans="1:7" x14ac:dyDescent="0.25">
      <c r="A5" s="8">
        <v>42900.050138888888</v>
      </c>
      <c r="B5" s="20" t="s">
        <v>444</v>
      </c>
      <c r="C5" s="20" t="s">
        <v>557</v>
      </c>
      <c r="D5" s="138">
        <v>2230000</v>
      </c>
      <c r="E5" s="20" t="s">
        <v>342</v>
      </c>
      <c r="F5" s="20" t="s">
        <v>192</v>
      </c>
      <c r="G5" s="8" t="str">
        <f t="shared" si="0"/>
        <v>SMITH MICHAEL</v>
      </c>
    </row>
    <row r="6" spans="1:7" x14ac:dyDescent="0.25">
      <c r="A6" s="8">
        <v>42900.051469907405</v>
      </c>
      <c r="B6" s="20" t="s">
        <v>444</v>
      </c>
      <c r="C6" s="20" t="s">
        <v>557</v>
      </c>
      <c r="D6" s="138">
        <v>2230000</v>
      </c>
      <c r="E6" s="20" t="s">
        <v>342</v>
      </c>
      <c r="F6" s="20" t="s">
        <v>192</v>
      </c>
      <c r="G6" s="8" t="str">
        <f t="shared" si="0"/>
        <v>SMITH MICHAEL</v>
      </c>
    </row>
    <row r="7" spans="1:7" x14ac:dyDescent="0.25">
      <c r="A7" s="8">
        <v>42900.068981481483</v>
      </c>
      <c r="B7" s="20" t="s">
        <v>498</v>
      </c>
      <c r="C7" s="20" t="s">
        <v>558</v>
      </c>
      <c r="D7" s="138">
        <v>3000000</v>
      </c>
      <c r="E7" s="20" t="s">
        <v>427</v>
      </c>
      <c r="F7" s="20" t="s">
        <v>428</v>
      </c>
      <c r="G7" s="8" t="str">
        <f t="shared" si="0"/>
        <v>FORTUNATO FRANK</v>
      </c>
    </row>
    <row r="8" spans="1:7" x14ac:dyDescent="0.25">
      <c r="A8" s="8">
        <v>42900.090277777781</v>
      </c>
      <c r="B8" s="20" t="s">
        <v>453</v>
      </c>
      <c r="C8" s="20" t="s">
        <v>559</v>
      </c>
      <c r="D8" s="138">
        <v>3090000</v>
      </c>
      <c r="E8" s="20" t="s">
        <v>376</v>
      </c>
      <c r="F8" s="20" t="s">
        <v>377</v>
      </c>
      <c r="G8" s="8" t="str">
        <f t="shared" si="0"/>
        <v>LAMAR NEKESHA</v>
      </c>
    </row>
    <row r="9" spans="1:7" ht="15.75" thickBot="1" x14ac:dyDescent="0.3">
      <c r="A9" s="24">
        <v>42900.115185185183</v>
      </c>
      <c r="B9" s="20" t="s">
        <v>366</v>
      </c>
      <c r="C9" s="20" t="s">
        <v>650</v>
      </c>
      <c r="D9" s="138">
        <v>940000</v>
      </c>
      <c r="E9" s="20" t="s">
        <v>500</v>
      </c>
      <c r="F9" s="20" t="s">
        <v>501</v>
      </c>
      <c r="G9" s="8" t="str">
        <f t="shared" si="0"/>
        <v>BONDS REYNALDO</v>
      </c>
    </row>
    <row r="10" spans="1:7" x14ac:dyDescent="0.25">
      <c r="A10" s="8">
        <v>42900.1169212963</v>
      </c>
      <c r="B10" s="20" t="s">
        <v>366</v>
      </c>
      <c r="C10" s="20" t="s">
        <v>650</v>
      </c>
      <c r="D10" s="138">
        <v>940000</v>
      </c>
      <c r="E10" s="20" t="s">
        <v>500</v>
      </c>
      <c r="F10" s="20" t="s">
        <v>501</v>
      </c>
      <c r="G10" s="8" t="str">
        <f t="shared" si="0"/>
        <v>BONDS REYNALDO</v>
      </c>
    </row>
    <row r="11" spans="1:7" x14ac:dyDescent="0.25">
      <c r="A11" s="8">
        <v>42900.127395833333</v>
      </c>
      <c r="B11" s="20" t="s">
        <v>341</v>
      </c>
      <c r="C11" s="20" t="s">
        <v>651</v>
      </c>
      <c r="D11" s="138">
        <v>1090000</v>
      </c>
      <c r="E11" s="20" t="s">
        <v>533</v>
      </c>
      <c r="F11" s="20" t="s">
        <v>192</v>
      </c>
      <c r="G11" s="8" t="str">
        <f t="shared" si="0"/>
        <v>SPECTOR MICHAEL</v>
      </c>
    </row>
    <row r="12" spans="1:7" x14ac:dyDescent="0.25">
      <c r="A12" s="8">
        <v>42900.128877314812</v>
      </c>
      <c r="B12" s="20" t="s">
        <v>599</v>
      </c>
      <c r="C12" s="20" t="s">
        <v>600</v>
      </c>
      <c r="D12" s="138">
        <v>940000</v>
      </c>
      <c r="E12" s="20" t="s">
        <v>500</v>
      </c>
      <c r="F12" s="20" t="s">
        <v>501</v>
      </c>
      <c r="G12" s="8" t="str">
        <f t="shared" si="0"/>
        <v>BONDS REYNALDO</v>
      </c>
    </row>
    <row r="13" spans="1:7" x14ac:dyDescent="0.25">
      <c r="A13" s="8">
        <v>42900.130787037036</v>
      </c>
      <c r="B13" s="20" t="s">
        <v>599</v>
      </c>
      <c r="C13" s="20" t="s">
        <v>600</v>
      </c>
      <c r="D13" s="138">
        <v>940000</v>
      </c>
      <c r="E13" s="20" t="s">
        <v>500</v>
      </c>
      <c r="F13" s="20" t="s">
        <v>501</v>
      </c>
      <c r="G13" s="8" t="str">
        <f t="shared" si="0"/>
        <v>BONDS REYNALDO</v>
      </c>
    </row>
    <row r="14" spans="1:7" x14ac:dyDescent="0.25">
      <c r="A14" s="8">
        <v>42900.139166666668</v>
      </c>
      <c r="B14" s="20" t="s">
        <v>366</v>
      </c>
      <c r="C14" s="20" t="s">
        <v>652</v>
      </c>
      <c r="D14" s="138">
        <v>1090000</v>
      </c>
      <c r="E14" s="20" t="s">
        <v>533</v>
      </c>
      <c r="F14" s="20" t="s">
        <v>192</v>
      </c>
      <c r="G14" s="8" t="str">
        <f t="shared" si="0"/>
        <v>SPECTOR MICHAEL</v>
      </c>
    </row>
    <row r="15" spans="1:7" x14ac:dyDescent="0.25">
      <c r="A15" s="8">
        <v>42900.13925925926</v>
      </c>
      <c r="B15" s="20" t="s">
        <v>422</v>
      </c>
      <c r="C15" s="20" t="s">
        <v>653</v>
      </c>
      <c r="D15" s="138">
        <v>2010000</v>
      </c>
      <c r="E15" s="20" t="s">
        <v>477</v>
      </c>
      <c r="F15" s="20" t="s">
        <v>478</v>
      </c>
      <c r="G15" s="8" t="str">
        <f t="shared" si="0"/>
        <v>MAELZER KURT</v>
      </c>
    </row>
    <row r="16" spans="1:7" x14ac:dyDescent="0.25">
      <c r="A16" s="8">
        <v>42900.152002314811</v>
      </c>
      <c r="B16" s="20" t="s">
        <v>426</v>
      </c>
      <c r="C16" s="20" t="s">
        <v>654</v>
      </c>
      <c r="D16" s="138">
        <v>2010000</v>
      </c>
      <c r="E16" s="20" t="s">
        <v>477</v>
      </c>
      <c r="F16" s="20" t="s">
        <v>478</v>
      </c>
      <c r="G16" s="8" t="str">
        <f t="shared" si="0"/>
        <v>MAELZER KURT</v>
      </c>
    </row>
    <row r="17" spans="1:7" x14ac:dyDescent="0.25">
      <c r="A17" s="8">
        <v>42900.159861111111</v>
      </c>
      <c r="B17" s="20" t="s">
        <v>461</v>
      </c>
      <c r="C17" s="20" t="s">
        <v>655</v>
      </c>
      <c r="D17" s="138">
        <v>1110000</v>
      </c>
      <c r="E17" s="20" t="s">
        <v>502</v>
      </c>
      <c r="F17" s="20" t="s">
        <v>503</v>
      </c>
      <c r="G17" s="8" t="str">
        <f t="shared" si="0"/>
        <v>STARKS ANGELINA</v>
      </c>
    </row>
    <row r="18" spans="1:7" x14ac:dyDescent="0.25">
      <c r="A18" s="8">
        <v>42900.169502314813</v>
      </c>
      <c r="B18" s="20" t="s">
        <v>455</v>
      </c>
      <c r="C18" s="20" t="s">
        <v>656</v>
      </c>
      <c r="D18" s="138">
        <v>1540000</v>
      </c>
      <c r="E18" s="20" t="s">
        <v>506</v>
      </c>
      <c r="F18" s="20" t="s">
        <v>507</v>
      </c>
      <c r="G18" s="8" t="str">
        <f t="shared" si="0"/>
        <v>HELVIE ADAM</v>
      </c>
    </row>
    <row r="19" spans="1:7" x14ac:dyDescent="0.25">
      <c r="A19" s="8">
        <v>42900.173217592594</v>
      </c>
      <c r="B19" s="20" t="s">
        <v>618</v>
      </c>
      <c r="C19" s="20" t="s">
        <v>657</v>
      </c>
      <c r="D19" s="138">
        <v>940000</v>
      </c>
      <c r="E19" s="20" t="s">
        <v>500</v>
      </c>
      <c r="F19" s="20" t="s">
        <v>501</v>
      </c>
      <c r="G19" s="8" t="str">
        <f t="shared" si="0"/>
        <v>BONDS REYNALDO</v>
      </c>
    </row>
    <row r="20" spans="1:7" x14ac:dyDescent="0.25">
      <c r="A20" s="8">
        <v>42900.175023148149</v>
      </c>
      <c r="B20" s="20" t="s">
        <v>618</v>
      </c>
      <c r="C20" s="20" t="s">
        <v>657</v>
      </c>
      <c r="D20" s="138">
        <v>940000</v>
      </c>
      <c r="E20" s="20" t="s">
        <v>500</v>
      </c>
      <c r="F20" s="20" t="s">
        <v>501</v>
      </c>
      <c r="G20" s="8" t="str">
        <f t="shared" si="0"/>
        <v>BONDS REYNALDO</v>
      </c>
    </row>
    <row r="21" spans="1:7" x14ac:dyDescent="0.25">
      <c r="A21" s="8">
        <v>42900.175636574073</v>
      </c>
      <c r="B21" s="20" t="s">
        <v>451</v>
      </c>
      <c r="C21" s="20" t="s">
        <v>655</v>
      </c>
      <c r="D21" s="138">
        <v>1110000</v>
      </c>
      <c r="E21" s="20" t="s">
        <v>502</v>
      </c>
      <c r="F21" s="20" t="s">
        <v>503</v>
      </c>
      <c r="G21" s="8" t="str">
        <f t="shared" si="0"/>
        <v>STARKS ANGELINA</v>
      </c>
    </row>
    <row r="22" spans="1:7" x14ac:dyDescent="0.25">
      <c r="A22" s="26">
        <v>42900.176307870373</v>
      </c>
      <c r="B22" s="20" t="s">
        <v>451</v>
      </c>
      <c r="C22" s="20" t="s">
        <v>658</v>
      </c>
      <c r="D22" s="138">
        <v>1110000</v>
      </c>
      <c r="E22" s="20" t="s">
        <v>502</v>
      </c>
      <c r="F22" s="20" t="s">
        <v>503</v>
      </c>
      <c r="G22" s="8" t="str">
        <f t="shared" si="0"/>
        <v>STARKS ANGELINA</v>
      </c>
    </row>
    <row r="23" spans="1:7" x14ac:dyDescent="0.25">
      <c r="A23" s="8">
        <v>42900.177604166667</v>
      </c>
      <c r="B23" s="20" t="s">
        <v>370</v>
      </c>
      <c r="C23" s="20" t="s">
        <v>659</v>
      </c>
      <c r="D23" s="138">
        <v>1990000</v>
      </c>
      <c r="E23" s="20" t="s">
        <v>415</v>
      </c>
      <c r="F23" s="20" t="s">
        <v>660</v>
      </c>
      <c r="G23" s="8" t="str">
        <f t="shared" si="0"/>
        <v>DAVIS WENDY</v>
      </c>
    </row>
    <row r="24" spans="1:7" x14ac:dyDescent="0.25">
      <c r="A24" s="8">
        <v>42900.186331018522</v>
      </c>
      <c r="B24" s="20" t="s">
        <v>456</v>
      </c>
      <c r="C24" s="20" t="s">
        <v>661</v>
      </c>
      <c r="D24" s="138">
        <v>1540000</v>
      </c>
      <c r="E24" s="20" t="s">
        <v>506</v>
      </c>
      <c r="F24" s="20" t="s">
        <v>507</v>
      </c>
      <c r="G24" s="8" t="str">
        <f t="shared" si="0"/>
        <v>HELVIE ADAM</v>
      </c>
    </row>
    <row r="25" spans="1:7" x14ac:dyDescent="0.25">
      <c r="A25" s="8">
        <v>42900.190925925926</v>
      </c>
      <c r="B25" s="20" t="s">
        <v>422</v>
      </c>
      <c r="C25" s="20" t="s">
        <v>662</v>
      </c>
      <c r="D25" s="138">
        <v>2010000</v>
      </c>
      <c r="E25" s="20" t="s">
        <v>477</v>
      </c>
      <c r="F25" s="20" t="s">
        <v>478</v>
      </c>
      <c r="G25" s="8" t="str">
        <f t="shared" si="0"/>
        <v>MAELZER KURT</v>
      </c>
    </row>
    <row r="26" spans="1:7" x14ac:dyDescent="0.25">
      <c r="A26" s="8">
        <v>42900.193611111114</v>
      </c>
      <c r="B26" s="20" t="s">
        <v>373</v>
      </c>
      <c r="C26" s="20" t="s">
        <v>663</v>
      </c>
      <c r="D26" s="138">
        <v>1990000</v>
      </c>
      <c r="E26" s="20" t="s">
        <v>415</v>
      </c>
      <c r="F26" s="20" t="s">
        <v>660</v>
      </c>
      <c r="G26" s="8" t="str">
        <f t="shared" si="0"/>
        <v>DAVIS WENDY</v>
      </c>
    </row>
    <row r="27" spans="1:7" x14ac:dyDescent="0.25">
      <c r="A27" s="8">
        <v>42900.203101851854</v>
      </c>
      <c r="B27" s="20" t="s">
        <v>633</v>
      </c>
      <c r="C27" s="20" t="s">
        <v>664</v>
      </c>
      <c r="D27" s="138">
        <v>2560000</v>
      </c>
      <c r="E27" s="20" t="s">
        <v>474</v>
      </c>
      <c r="F27" s="20" t="s">
        <v>367</v>
      </c>
      <c r="G27" s="8" t="str">
        <f t="shared" si="0"/>
        <v>MACDONALD THOMAS</v>
      </c>
    </row>
    <row r="28" spans="1:7" x14ac:dyDescent="0.25">
      <c r="A28" s="8">
        <v>42900.203784722224</v>
      </c>
      <c r="B28" s="20" t="s">
        <v>633</v>
      </c>
      <c r="C28" s="20" t="s">
        <v>664</v>
      </c>
      <c r="D28" s="138">
        <v>2560000</v>
      </c>
      <c r="E28" s="20" t="s">
        <v>474</v>
      </c>
      <c r="F28" s="20" t="s">
        <v>367</v>
      </c>
      <c r="G28" s="8" t="str">
        <f t="shared" si="0"/>
        <v>MACDONALD THOMAS</v>
      </c>
    </row>
    <row r="29" spans="1:7" x14ac:dyDescent="0.25">
      <c r="A29" s="8">
        <v>42900.204699074071</v>
      </c>
      <c r="B29" s="20" t="s">
        <v>633</v>
      </c>
      <c r="C29" s="20" t="s">
        <v>664</v>
      </c>
      <c r="D29" s="138">
        <v>2560000</v>
      </c>
      <c r="E29" s="20" t="s">
        <v>474</v>
      </c>
      <c r="F29" s="20" t="s">
        <v>367</v>
      </c>
      <c r="G29" s="8" t="str">
        <f t="shared" si="0"/>
        <v>MACDONALD THOMAS</v>
      </c>
    </row>
    <row r="30" spans="1:7" x14ac:dyDescent="0.25">
      <c r="A30" s="8">
        <v>42900.205405092594</v>
      </c>
      <c r="B30" s="20" t="s">
        <v>599</v>
      </c>
      <c r="C30" s="20" t="s">
        <v>665</v>
      </c>
      <c r="D30" s="138">
        <v>940000</v>
      </c>
      <c r="E30" s="20" t="s">
        <v>500</v>
      </c>
      <c r="F30" s="20" t="s">
        <v>501</v>
      </c>
      <c r="G30" s="8" t="str">
        <f t="shared" si="0"/>
        <v>BONDS REYNALDO</v>
      </c>
    </row>
    <row r="31" spans="1:7" x14ac:dyDescent="0.25">
      <c r="A31" s="8">
        <v>42900.206435185188</v>
      </c>
      <c r="B31" s="20" t="s">
        <v>461</v>
      </c>
      <c r="C31" s="20" t="s">
        <v>666</v>
      </c>
      <c r="D31" s="138">
        <v>1110000</v>
      </c>
      <c r="E31" s="20" t="s">
        <v>502</v>
      </c>
      <c r="F31" s="20" t="s">
        <v>503</v>
      </c>
      <c r="G31" s="8" t="str">
        <f t="shared" si="0"/>
        <v>STARKS ANGELINA</v>
      </c>
    </row>
    <row r="32" spans="1:7" x14ac:dyDescent="0.25">
      <c r="A32" s="8">
        <v>42900.206516203703</v>
      </c>
      <c r="B32" s="20" t="s">
        <v>608</v>
      </c>
      <c r="C32" s="20" t="s">
        <v>667</v>
      </c>
      <c r="D32" s="138">
        <v>890000</v>
      </c>
      <c r="E32" s="20" t="s">
        <v>534</v>
      </c>
      <c r="F32" s="20" t="s">
        <v>535</v>
      </c>
      <c r="G32" s="8" t="str">
        <f t="shared" si="0"/>
        <v>LOZA FIDEL</v>
      </c>
    </row>
    <row r="33" spans="1:7" x14ac:dyDescent="0.25">
      <c r="A33" s="8">
        <v>42900.215717592589</v>
      </c>
      <c r="B33" s="20" t="s">
        <v>668</v>
      </c>
      <c r="C33" s="20" t="s">
        <v>669</v>
      </c>
      <c r="D33" s="138">
        <v>890000</v>
      </c>
      <c r="E33" s="20" t="s">
        <v>534</v>
      </c>
      <c r="F33" s="20" t="s">
        <v>535</v>
      </c>
      <c r="G33" s="8" t="str">
        <f t="shared" si="0"/>
        <v>LOZA FIDEL</v>
      </c>
    </row>
    <row r="34" spans="1:7" x14ac:dyDescent="0.25">
      <c r="A34" s="8">
        <v>42900.215914351851</v>
      </c>
      <c r="B34" s="20" t="s">
        <v>601</v>
      </c>
      <c r="C34" s="20" t="s">
        <v>602</v>
      </c>
      <c r="D34" s="138">
        <v>2560000</v>
      </c>
      <c r="E34" s="20" t="s">
        <v>474</v>
      </c>
      <c r="F34" s="20" t="s">
        <v>367</v>
      </c>
      <c r="G34" s="8" t="str">
        <f t="shared" si="0"/>
        <v>MACDONALD THOMAS</v>
      </c>
    </row>
    <row r="35" spans="1:7" x14ac:dyDescent="0.25">
      <c r="A35" s="8">
        <v>42900.216828703706</v>
      </c>
      <c r="B35" s="20" t="s">
        <v>601</v>
      </c>
      <c r="C35" s="20" t="s">
        <v>602</v>
      </c>
      <c r="D35" s="138">
        <v>2560000</v>
      </c>
      <c r="E35" s="20" t="s">
        <v>474</v>
      </c>
      <c r="F35" s="20" t="s">
        <v>367</v>
      </c>
      <c r="G35" s="8" t="str">
        <f t="shared" si="0"/>
        <v>MACDONALD THOMAS</v>
      </c>
    </row>
    <row r="36" spans="1:7" x14ac:dyDescent="0.25">
      <c r="A36" s="8">
        <v>42900.221805555557</v>
      </c>
      <c r="B36" s="20" t="s">
        <v>603</v>
      </c>
      <c r="C36" s="20" t="s">
        <v>604</v>
      </c>
      <c r="D36" s="138">
        <v>1340000</v>
      </c>
      <c r="E36" s="20" t="s">
        <v>670</v>
      </c>
      <c r="F36" s="20" t="s">
        <v>671</v>
      </c>
      <c r="G36" s="8" t="str">
        <f t="shared" si="0"/>
        <v>BEAM ROSS</v>
      </c>
    </row>
    <row r="37" spans="1:7" x14ac:dyDescent="0.25">
      <c r="A37" s="8">
        <v>42900.224699074075</v>
      </c>
      <c r="B37" s="20" t="s">
        <v>455</v>
      </c>
      <c r="C37" s="20" t="s">
        <v>672</v>
      </c>
      <c r="D37" s="138">
        <v>1540000</v>
      </c>
      <c r="E37" s="20" t="s">
        <v>506</v>
      </c>
      <c r="F37" s="20" t="s">
        <v>507</v>
      </c>
      <c r="G37" s="8" t="str">
        <f t="shared" si="0"/>
        <v>HELVIE ADAM</v>
      </c>
    </row>
    <row r="38" spans="1:7" x14ac:dyDescent="0.25">
      <c r="A38" s="8">
        <v>42900.225995370369</v>
      </c>
      <c r="B38" s="20" t="s">
        <v>426</v>
      </c>
      <c r="C38" s="20" t="s">
        <v>673</v>
      </c>
      <c r="D38" s="138">
        <v>2010000</v>
      </c>
      <c r="E38" s="20" t="s">
        <v>477</v>
      </c>
      <c r="F38" s="20" t="s">
        <v>478</v>
      </c>
      <c r="G38" s="8" t="str">
        <f t="shared" si="0"/>
        <v>MAELZER KURT</v>
      </c>
    </row>
    <row r="39" spans="1:7" x14ac:dyDescent="0.25">
      <c r="A39" s="8">
        <v>42900.229421296295</v>
      </c>
      <c r="B39" s="20" t="s">
        <v>633</v>
      </c>
      <c r="C39" s="20" t="s">
        <v>674</v>
      </c>
      <c r="D39" s="138">
        <v>2560000</v>
      </c>
      <c r="E39" s="20" t="s">
        <v>474</v>
      </c>
      <c r="F39" s="20" t="s">
        <v>367</v>
      </c>
      <c r="G39" s="8" t="str">
        <f t="shared" si="0"/>
        <v>MACDONALD THOMAS</v>
      </c>
    </row>
    <row r="40" spans="1:7" x14ac:dyDescent="0.25">
      <c r="A40" s="8">
        <v>42900.235520833332</v>
      </c>
      <c r="B40" s="25" t="s">
        <v>400</v>
      </c>
      <c r="C40" s="20" t="s">
        <v>675</v>
      </c>
      <c r="D40" s="138">
        <v>1340000</v>
      </c>
      <c r="E40" s="20" t="s">
        <v>670</v>
      </c>
      <c r="F40" s="20" t="s">
        <v>671</v>
      </c>
      <c r="G40" s="8" t="str">
        <f t="shared" si="0"/>
        <v>BEAM ROSS</v>
      </c>
    </row>
    <row r="41" spans="1:7" x14ac:dyDescent="0.25">
      <c r="A41" s="8">
        <v>42900.235694444447</v>
      </c>
      <c r="B41" s="20" t="s">
        <v>370</v>
      </c>
      <c r="C41" s="20" t="s">
        <v>676</v>
      </c>
      <c r="D41" s="138">
        <v>1990000</v>
      </c>
      <c r="E41" s="20" t="s">
        <v>415</v>
      </c>
      <c r="F41" s="20" t="s">
        <v>660</v>
      </c>
      <c r="G41" s="8" t="str">
        <f t="shared" si="0"/>
        <v>DAVIS WENDY</v>
      </c>
    </row>
    <row r="42" spans="1:7" x14ac:dyDescent="0.25">
      <c r="A42" s="8">
        <v>42900.242696759262</v>
      </c>
      <c r="B42" s="20" t="s">
        <v>423</v>
      </c>
      <c r="C42" s="20" t="s">
        <v>605</v>
      </c>
      <c r="D42" s="138">
        <v>1100000</v>
      </c>
      <c r="E42" s="20" t="s">
        <v>677</v>
      </c>
      <c r="F42" s="20" t="s">
        <v>678</v>
      </c>
      <c r="G42" s="8" t="str">
        <f t="shared" si="0"/>
        <v>GEBRETEKLE DAGNEW</v>
      </c>
    </row>
    <row r="43" spans="1:7" x14ac:dyDescent="0.25">
      <c r="A43" s="8">
        <v>42900.244641203702</v>
      </c>
      <c r="B43" s="20" t="s">
        <v>618</v>
      </c>
      <c r="C43" s="20" t="s">
        <v>679</v>
      </c>
      <c r="D43" s="138">
        <v>940000</v>
      </c>
      <c r="E43" s="20" t="s">
        <v>500</v>
      </c>
      <c r="F43" s="20" t="s">
        <v>501</v>
      </c>
      <c r="G43" s="8" t="str">
        <f t="shared" si="0"/>
        <v>BONDS REYNALDO</v>
      </c>
    </row>
    <row r="44" spans="1:7" x14ac:dyDescent="0.25">
      <c r="A44" s="8">
        <v>42900.248761574076</v>
      </c>
      <c r="B44" s="20" t="s">
        <v>451</v>
      </c>
      <c r="C44" s="20" t="s">
        <v>680</v>
      </c>
      <c r="D44" s="138">
        <v>1110000</v>
      </c>
      <c r="E44" s="20" t="s">
        <v>502</v>
      </c>
      <c r="F44" s="20" t="s">
        <v>503</v>
      </c>
      <c r="G44" s="8" t="str">
        <f t="shared" si="0"/>
        <v>STARKS ANGELINA</v>
      </c>
    </row>
    <row r="45" spans="1:7" x14ac:dyDescent="0.25">
      <c r="A45" s="8">
        <v>42900.254641203705</v>
      </c>
      <c r="B45" s="20" t="s">
        <v>601</v>
      </c>
      <c r="C45" s="20" t="s">
        <v>681</v>
      </c>
      <c r="D45" s="138">
        <v>2560000</v>
      </c>
      <c r="E45" s="20" t="s">
        <v>474</v>
      </c>
      <c r="F45" s="20" t="s">
        <v>367</v>
      </c>
      <c r="G45" s="8" t="str">
        <f t="shared" si="0"/>
        <v>MACDONALD THOMAS</v>
      </c>
    </row>
    <row r="46" spans="1:7" x14ac:dyDescent="0.25">
      <c r="A46" s="8">
        <v>42900.255729166667</v>
      </c>
      <c r="B46" s="20" t="s">
        <v>425</v>
      </c>
      <c r="C46" s="20" t="s">
        <v>606</v>
      </c>
      <c r="D46" s="138">
        <v>1100000</v>
      </c>
      <c r="E46" s="20" t="s">
        <v>677</v>
      </c>
      <c r="F46" s="20" t="s">
        <v>678</v>
      </c>
      <c r="G46" s="8" t="str">
        <f t="shared" si="0"/>
        <v>GEBRETEKLE DAGNEW</v>
      </c>
    </row>
    <row r="47" spans="1:7" x14ac:dyDescent="0.25">
      <c r="A47" s="8">
        <v>42900.256122685183</v>
      </c>
      <c r="B47" s="20" t="s">
        <v>608</v>
      </c>
      <c r="C47" s="20" t="s">
        <v>609</v>
      </c>
      <c r="D47" s="138">
        <v>890000</v>
      </c>
      <c r="E47" s="20" t="s">
        <v>534</v>
      </c>
      <c r="F47" s="20" t="s">
        <v>535</v>
      </c>
      <c r="G47" s="8" t="str">
        <f t="shared" si="0"/>
        <v>LOZA FIDEL</v>
      </c>
    </row>
    <row r="48" spans="1:7" x14ac:dyDescent="0.25">
      <c r="A48" s="8">
        <v>42900.25986111111</v>
      </c>
      <c r="B48" s="20" t="s">
        <v>456</v>
      </c>
      <c r="C48" s="20" t="s">
        <v>682</v>
      </c>
      <c r="D48" s="138">
        <v>1540000</v>
      </c>
      <c r="E48" s="20" t="s">
        <v>506</v>
      </c>
      <c r="F48" s="20" t="s">
        <v>507</v>
      </c>
      <c r="G48" s="8" t="str">
        <f t="shared" si="0"/>
        <v>HELVIE ADAM</v>
      </c>
    </row>
    <row r="49" spans="1:7" x14ac:dyDescent="0.25">
      <c r="A49" s="8">
        <v>42900.261990740742</v>
      </c>
      <c r="B49" s="20" t="s">
        <v>422</v>
      </c>
      <c r="C49" s="20" t="s">
        <v>683</v>
      </c>
      <c r="D49" s="138">
        <v>2010000</v>
      </c>
      <c r="E49" s="20" t="s">
        <v>477</v>
      </c>
      <c r="F49" s="20" t="s">
        <v>478</v>
      </c>
      <c r="G49" s="8" t="str">
        <f t="shared" si="0"/>
        <v>MAELZER KURT</v>
      </c>
    </row>
    <row r="50" spans="1:7" x14ac:dyDescent="0.25">
      <c r="A50" s="8">
        <v>42900.266574074078</v>
      </c>
      <c r="B50" s="20" t="s">
        <v>373</v>
      </c>
      <c r="C50" s="20" t="s">
        <v>607</v>
      </c>
      <c r="D50" s="138">
        <v>1990000</v>
      </c>
      <c r="E50" s="20" t="s">
        <v>415</v>
      </c>
      <c r="F50" s="20" t="s">
        <v>660</v>
      </c>
      <c r="G50" s="8" t="str">
        <f t="shared" si="0"/>
        <v>DAVIS WENDY</v>
      </c>
    </row>
    <row r="51" spans="1:7" x14ac:dyDescent="0.25">
      <c r="A51" s="8">
        <v>42900.269282407404</v>
      </c>
      <c r="B51" s="20" t="s">
        <v>603</v>
      </c>
      <c r="C51" s="20" t="s">
        <v>684</v>
      </c>
      <c r="D51" s="138">
        <v>1340000</v>
      </c>
      <c r="E51" s="20" t="s">
        <v>670</v>
      </c>
      <c r="F51" s="20" t="s">
        <v>671</v>
      </c>
      <c r="G51" s="8" t="str">
        <f t="shared" si="0"/>
        <v>BEAM ROSS</v>
      </c>
    </row>
    <row r="52" spans="1:7" x14ac:dyDescent="0.25">
      <c r="A52" s="8">
        <v>42900.269571759258</v>
      </c>
      <c r="B52" s="20" t="s">
        <v>633</v>
      </c>
      <c r="C52" s="20" t="s">
        <v>685</v>
      </c>
      <c r="D52" s="138">
        <v>2560000</v>
      </c>
      <c r="E52" s="20" t="s">
        <v>474</v>
      </c>
      <c r="F52" s="20" t="s">
        <v>367</v>
      </c>
      <c r="G52" s="8" t="str">
        <f t="shared" si="0"/>
        <v>MACDONALD THOMAS</v>
      </c>
    </row>
    <row r="53" spans="1:7" x14ac:dyDescent="0.25">
      <c r="A53" s="8">
        <v>42900.275601851848</v>
      </c>
      <c r="B53" s="20" t="s">
        <v>423</v>
      </c>
      <c r="C53" s="20" t="s">
        <v>686</v>
      </c>
      <c r="D53" s="138">
        <v>1100000</v>
      </c>
      <c r="E53" s="20" t="s">
        <v>677</v>
      </c>
      <c r="F53" s="20" t="s">
        <v>678</v>
      </c>
      <c r="G53" s="8" t="str">
        <f t="shared" si="0"/>
        <v>GEBRETEKLE DAGNEW</v>
      </c>
    </row>
    <row r="54" spans="1:7" x14ac:dyDescent="0.25">
      <c r="A54" s="8">
        <v>42900.277048611111</v>
      </c>
      <c r="B54" s="20" t="s">
        <v>599</v>
      </c>
      <c r="C54" s="20" t="s">
        <v>687</v>
      </c>
      <c r="D54" s="138">
        <v>940000</v>
      </c>
      <c r="E54" s="20" t="s">
        <v>500</v>
      </c>
      <c r="F54" s="20" t="s">
        <v>501</v>
      </c>
      <c r="G54" s="8" t="str">
        <f t="shared" si="0"/>
        <v>BONDS REYNALDO</v>
      </c>
    </row>
    <row r="55" spans="1:7" x14ac:dyDescent="0.25">
      <c r="A55" s="8">
        <v>42900.287152777775</v>
      </c>
      <c r="B55" s="20" t="s">
        <v>668</v>
      </c>
      <c r="C55" s="20" t="s">
        <v>688</v>
      </c>
      <c r="D55" s="138">
        <v>890000</v>
      </c>
      <c r="E55" s="20" t="s">
        <v>534</v>
      </c>
      <c r="F55" s="20" t="s">
        <v>535</v>
      </c>
      <c r="G55" s="8" t="str">
        <f t="shared" si="0"/>
        <v>LOZA FIDEL</v>
      </c>
    </row>
    <row r="56" spans="1:7" x14ac:dyDescent="0.25">
      <c r="A56" s="8">
        <v>42900.287268518521</v>
      </c>
      <c r="B56" s="20" t="s">
        <v>461</v>
      </c>
      <c r="C56" s="20" t="s">
        <v>689</v>
      </c>
      <c r="D56" s="138">
        <v>1110000</v>
      </c>
      <c r="E56" s="20" t="s">
        <v>502</v>
      </c>
      <c r="F56" s="20" t="s">
        <v>503</v>
      </c>
      <c r="G56" s="8" t="str">
        <f t="shared" si="0"/>
        <v>STARKS ANGELINA</v>
      </c>
    </row>
    <row r="57" spans="1:7" x14ac:dyDescent="0.25">
      <c r="A57" s="8">
        <v>42900.289942129632</v>
      </c>
      <c r="B57" s="20" t="s">
        <v>425</v>
      </c>
      <c r="C57" s="20" t="s">
        <v>611</v>
      </c>
      <c r="D57" s="138">
        <v>1100000</v>
      </c>
      <c r="E57" s="20" t="s">
        <v>677</v>
      </c>
      <c r="F57" s="20" t="s">
        <v>678</v>
      </c>
      <c r="G57" s="8" t="str">
        <f t="shared" si="0"/>
        <v>GEBRETEKLE DAGNEW</v>
      </c>
    </row>
    <row r="58" spans="1:7" x14ac:dyDescent="0.25">
      <c r="A58" s="8">
        <v>42900.295937499999</v>
      </c>
      <c r="B58" s="20" t="s">
        <v>601</v>
      </c>
      <c r="C58" s="20" t="s">
        <v>610</v>
      </c>
      <c r="D58" s="138">
        <v>2560000</v>
      </c>
      <c r="E58" s="20" t="s">
        <v>474</v>
      </c>
      <c r="F58" s="20" t="s">
        <v>367</v>
      </c>
      <c r="G58" s="8" t="str">
        <f t="shared" si="0"/>
        <v>MACDONALD THOMAS</v>
      </c>
    </row>
    <row r="59" spans="1:7" x14ac:dyDescent="0.25">
      <c r="A59" s="8">
        <v>42900.298495370371</v>
      </c>
      <c r="B59" s="20" t="s">
        <v>455</v>
      </c>
      <c r="C59" s="20" t="s">
        <v>690</v>
      </c>
      <c r="D59" s="138">
        <v>1540000</v>
      </c>
      <c r="E59" s="20" t="s">
        <v>506</v>
      </c>
      <c r="F59" s="20" t="s">
        <v>507</v>
      </c>
      <c r="G59" s="8" t="str">
        <f t="shared" si="0"/>
        <v>HELVIE ADAM</v>
      </c>
    </row>
    <row r="60" spans="1:7" x14ac:dyDescent="0.25">
      <c r="A60" s="8">
        <v>42900.299409722225</v>
      </c>
      <c r="B60" s="20" t="s">
        <v>426</v>
      </c>
      <c r="C60" s="20" t="s">
        <v>691</v>
      </c>
      <c r="D60" s="138">
        <v>2010000</v>
      </c>
      <c r="E60" s="20" t="s">
        <v>477</v>
      </c>
      <c r="F60" s="20" t="s">
        <v>478</v>
      </c>
      <c r="G60" s="8" t="str">
        <f t="shared" si="0"/>
        <v>MAELZER KURT</v>
      </c>
    </row>
    <row r="61" spans="1:7" x14ac:dyDescent="0.25">
      <c r="A61" s="8">
        <v>42900.309004629627</v>
      </c>
      <c r="B61" s="20" t="s">
        <v>370</v>
      </c>
      <c r="C61" s="20" t="s">
        <v>692</v>
      </c>
      <c r="D61" s="138">
        <v>1990000</v>
      </c>
      <c r="E61" s="20" t="s">
        <v>415</v>
      </c>
      <c r="F61" s="20" t="s">
        <v>660</v>
      </c>
      <c r="G61" s="8" t="str">
        <f t="shared" si="0"/>
        <v>DAVIS WENDY</v>
      </c>
    </row>
    <row r="62" spans="1:7" x14ac:dyDescent="0.25">
      <c r="A62" s="8">
        <v>42900.310682870368</v>
      </c>
      <c r="B62" s="20" t="s">
        <v>400</v>
      </c>
      <c r="C62" s="20" t="s">
        <v>693</v>
      </c>
      <c r="D62" s="138">
        <v>1340000</v>
      </c>
      <c r="E62" s="20" t="s">
        <v>670</v>
      </c>
      <c r="F62" s="20" t="s">
        <v>671</v>
      </c>
      <c r="G62" s="8" t="str">
        <f t="shared" si="0"/>
        <v>BEAM ROSS</v>
      </c>
    </row>
    <row r="63" spans="1:7" x14ac:dyDescent="0.25">
      <c r="A63" s="8">
        <v>42900.31113425926</v>
      </c>
      <c r="B63" s="20" t="s">
        <v>633</v>
      </c>
      <c r="C63" s="20" t="s">
        <v>694</v>
      </c>
      <c r="D63" s="138">
        <v>2560000</v>
      </c>
      <c r="E63" s="20" t="s">
        <v>474</v>
      </c>
      <c r="F63" s="20" t="s">
        <v>367</v>
      </c>
      <c r="G63" s="8" t="str">
        <f t="shared" si="0"/>
        <v>MACDONALD THOMAS</v>
      </c>
    </row>
    <row r="64" spans="1:7" x14ac:dyDescent="0.25">
      <c r="A64" s="26">
        <v>42900.317754629628</v>
      </c>
      <c r="B64" s="20" t="s">
        <v>423</v>
      </c>
      <c r="C64" s="20" t="s">
        <v>695</v>
      </c>
      <c r="D64" s="138">
        <v>1100000</v>
      </c>
      <c r="E64" s="20" t="s">
        <v>677</v>
      </c>
      <c r="F64" s="20" t="s">
        <v>678</v>
      </c>
      <c r="G64" s="8" t="str">
        <f t="shared" si="0"/>
        <v>GEBRETEKLE DAGNEW</v>
      </c>
    </row>
    <row r="65" spans="1:7" x14ac:dyDescent="0.25">
      <c r="A65" s="8">
        <v>42900.319027777776</v>
      </c>
      <c r="B65" s="20" t="s">
        <v>618</v>
      </c>
      <c r="C65" s="20" t="s">
        <v>696</v>
      </c>
      <c r="D65" s="138">
        <v>940000</v>
      </c>
      <c r="E65" s="20" t="s">
        <v>500</v>
      </c>
      <c r="F65" s="20" t="s">
        <v>501</v>
      </c>
      <c r="G65" s="8" t="str">
        <f t="shared" si="0"/>
        <v>BONDS REYNALDO</v>
      </c>
    </row>
    <row r="66" spans="1:7" x14ac:dyDescent="0.25">
      <c r="A66" s="8">
        <v>42900.319293981483</v>
      </c>
      <c r="B66" s="20" t="s">
        <v>451</v>
      </c>
      <c r="C66" s="20" t="s">
        <v>697</v>
      </c>
      <c r="D66" s="138">
        <v>1110000</v>
      </c>
      <c r="E66" s="20" t="s">
        <v>502</v>
      </c>
      <c r="F66" s="20" t="s">
        <v>503</v>
      </c>
      <c r="G66" s="8" t="str">
        <f t="shared" si="0"/>
        <v>STARKS ANGELINA</v>
      </c>
    </row>
    <row r="67" spans="1:7" x14ac:dyDescent="0.25">
      <c r="A67" s="8">
        <v>42900.323425925926</v>
      </c>
      <c r="B67" s="20" t="s">
        <v>608</v>
      </c>
      <c r="C67" s="20" t="s">
        <v>698</v>
      </c>
      <c r="D67" s="138">
        <v>890000</v>
      </c>
      <c r="E67" s="20" t="s">
        <v>534</v>
      </c>
      <c r="F67" s="20" t="s">
        <v>535</v>
      </c>
      <c r="G67" s="8" t="str">
        <f t="shared" ref="G67:G130" si="1">E67&amp;" "&amp;F67</f>
        <v>LOZA FIDEL</v>
      </c>
    </row>
    <row r="68" spans="1:7" x14ac:dyDescent="0.25">
      <c r="A68" s="8">
        <v>42900.331307870372</v>
      </c>
      <c r="B68" s="20" t="s">
        <v>456</v>
      </c>
      <c r="C68" s="20" t="s">
        <v>699</v>
      </c>
      <c r="D68" s="138">
        <v>1540000</v>
      </c>
      <c r="E68" s="20" t="s">
        <v>506</v>
      </c>
      <c r="F68" s="20" t="s">
        <v>507</v>
      </c>
      <c r="G68" s="8" t="str">
        <f t="shared" si="1"/>
        <v>HELVIE ADAM</v>
      </c>
    </row>
    <row r="69" spans="1:7" x14ac:dyDescent="0.25">
      <c r="A69" s="8">
        <v>42900.332013888888</v>
      </c>
      <c r="B69" s="20" t="s">
        <v>425</v>
      </c>
      <c r="C69" s="20" t="s">
        <v>612</v>
      </c>
      <c r="D69" s="138">
        <v>1100000</v>
      </c>
      <c r="E69" s="20" t="s">
        <v>677</v>
      </c>
      <c r="F69" s="20" t="s">
        <v>678</v>
      </c>
      <c r="G69" s="8" t="str">
        <f t="shared" si="1"/>
        <v>GEBRETEKLE DAGNEW</v>
      </c>
    </row>
    <row r="70" spans="1:7" x14ac:dyDescent="0.25">
      <c r="A70" s="8">
        <v>42900.333981481483</v>
      </c>
      <c r="B70" s="20" t="s">
        <v>422</v>
      </c>
      <c r="C70" s="20" t="s">
        <v>700</v>
      </c>
      <c r="D70" s="138">
        <v>2010000</v>
      </c>
      <c r="E70" s="20" t="s">
        <v>477</v>
      </c>
      <c r="F70" s="20" t="s">
        <v>478</v>
      </c>
      <c r="G70" s="8" t="str">
        <f t="shared" si="1"/>
        <v>MAELZER KURT</v>
      </c>
    </row>
    <row r="71" spans="1:7" x14ac:dyDescent="0.25">
      <c r="A71" s="8">
        <v>42900.338206018518</v>
      </c>
      <c r="B71" s="20" t="s">
        <v>601</v>
      </c>
      <c r="C71" s="20" t="s">
        <v>701</v>
      </c>
      <c r="D71" s="138">
        <v>2560000</v>
      </c>
      <c r="E71" s="20" t="s">
        <v>474</v>
      </c>
      <c r="F71" s="20" t="s">
        <v>367</v>
      </c>
      <c r="G71" s="8" t="str">
        <f t="shared" si="1"/>
        <v>MACDONALD THOMAS</v>
      </c>
    </row>
    <row r="72" spans="1:7" x14ac:dyDescent="0.25">
      <c r="A72" s="8">
        <v>42900.339687500003</v>
      </c>
      <c r="B72" s="20" t="s">
        <v>373</v>
      </c>
      <c r="C72" s="20" t="s">
        <v>615</v>
      </c>
      <c r="D72" s="138">
        <v>1990000</v>
      </c>
      <c r="E72" s="20" t="s">
        <v>415</v>
      </c>
      <c r="F72" s="20" t="s">
        <v>660</v>
      </c>
      <c r="G72" s="8" t="str">
        <f t="shared" si="1"/>
        <v>DAVIS WENDY</v>
      </c>
    </row>
    <row r="73" spans="1:7" x14ac:dyDescent="0.25">
      <c r="A73" s="8">
        <v>42900.342581018522</v>
      </c>
      <c r="B73" s="20" t="s">
        <v>603</v>
      </c>
      <c r="C73" s="20" t="s">
        <v>702</v>
      </c>
      <c r="D73" s="138">
        <v>1340000</v>
      </c>
      <c r="E73" s="20" t="s">
        <v>670</v>
      </c>
      <c r="F73" s="20" t="s">
        <v>671</v>
      </c>
      <c r="G73" s="8" t="str">
        <f t="shared" si="1"/>
        <v>BEAM ROSS</v>
      </c>
    </row>
    <row r="74" spans="1:7" x14ac:dyDescent="0.25">
      <c r="A74" s="8">
        <v>42900.350740740738</v>
      </c>
      <c r="B74" s="20" t="s">
        <v>599</v>
      </c>
      <c r="C74" s="20" t="s">
        <v>703</v>
      </c>
      <c r="D74" s="138">
        <v>940000</v>
      </c>
      <c r="E74" s="20" t="s">
        <v>500</v>
      </c>
      <c r="F74" s="20" t="s">
        <v>501</v>
      </c>
      <c r="G74" s="8" t="str">
        <f t="shared" si="1"/>
        <v>BONDS REYNALDO</v>
      </c>
    </row>
    <row r="75" spans="1:7" x14ac:dyDescent="0.25">
      <c r="A75" s="8">
        <v>42900.353275462963</v>
      </c>
      <c r="B75" s="20" t="s">
        <v>633</v>
      </c>
      <c r="C75" s="20" t="s">
        <v>704</v>
      </c>
      <c r="D75" s="138">
        <v>2560000</v>
      </c>
      <c r="E75" s="20" t="s">
        <v>474</v>
      </c>
      <c r="F75" s="20" t="s">
        <v>367</v>
      </c>
      <c r="G75" s="8" t="str">
        <f t="shared" si="1"/>
        <v>MACDONALD THOMAS</v>
      </c>
    </row>
    <row r="76" spans="1:7" x14ac:dyDescent="0.25">
      <c r="A76" s="8">
        <v>42900.359351851854</v>
      </c>
      <c r="B76" s="20" t="s">
        <v>423</v>
      </c>
      <c r="C76" s="20" t="s">
        <v>705</v>
      </c>
      <c r="D76" s="138">
        <v>1100000</v>
      </c>
      <c r="E76" s="20" t="s">
        <v>677</v>
      </c>
      <c r="F76" s="20" t="s">
        <v>678</v>
      </c>
      <c r="G76" s="8" t="str">
        <f t="shared" si="1"/>
        <v>GEBRETEKLE DAGNEW</v>
      </c>
    </row>
    <row r="77" spans="1:7" x14ac:dyDescent="0.25">
      <c r="A77" s="8">
        <v>42900.360347222224</v>
      </c>
      <c r="B77" s="20" t="s">
        <v>461</v>
      </c>
      <c r="C77" s="20" t="s">
        <v>706</v>
      </c>
      <c r="D77" s="138">
        <v>1110000</v>
      </c>
      <c r="E77" s="20" t="s">
        <v>502</v>
      </c>
      <c r="F77" s="20" t="s">
        <v>503</v>
      </c>
      <c r="G77" s="8" t="str">
        <f t="shared" si="1"/>
        <v>STARKS ANGELINA</v>
      </c>
    </row>
    <row r="78" spans="1:7" x14ac:dyDescent="0.25">
      <c r="A78" s="8">
        <v>42900.362395833334</v>
      </c>
      <c r="B78" s="20" t="s">
        <v>668</v>
      </c>
      <c r="C78" s="20" t="s">
        <v>707</v>
      </c>
      <c r="D78" s="138">
        <v>890000</v>
      </c>
      <c r="E78" s="20" t="s">
        <v>534</v>
      </c>
      <c r="F78" s="20" t="s">
        <v>535</v>
      </c>
      <c r="G78" s="8" t="str">
        <f t="shared" si="1"/>
        <v>LOZA FIDEL</v>
      </c>
    </row>
    <row r="79" spans="1:7" x14ac:dyDescent="0.25">
      <c r="A79" s="8">
        <v>42900.37096064815</v>
      </c>
      <c r="B79" s="20" t="s">
        <v>455</v>
      </c>
      <c r="C79" s="20" t="s">
        <v>708</v>
      </c>
      <c r="D79" s="138">
        <v>1540000</v>
      </c>
      <c r="E79" s="20" t="s">
        <v>506</v>
      </c>
      <c r="F79" s="20" t="s">
        <v>507</v>
      </c>
      <c r="G79" s="8" t="str">
        <f t="shared" si="1"/>
        <v>HELVIE ADAM</v>
      </c>
    </row>
    <row r="80" spans="1:7" x14ac:dyDescent="0.25">
      <c r="A80" s="8">
        <v>42900.372048611112</v>
      </c>
      <c r="B80" s="20" t="s">
        <v>426</v>
      </c>
      <c r="C80" s="20" t="s">
        <v>709</v>
      </c>
      <c r="D80" s="138">
        <v>2010000</v>
      </c>
      <c r="E80" s="20" t="s">
        <v>477</v>
      </c>
      <c r="F80" s="20" t="s">
        <v>478</v>
      </c>
      <c r="G80" s="8" t="str">
        <f t="shared" si="1"/>
        <v>MAELZER KURT</v>
      </c>
    </row>
    <row r="81" spans="1:7" x14ac:dyDescent="0.25">
      <c r="A81" s="8">
        <v>42900.372743055559</v>
      </c>
      <c r="B81" s="20" t="s">
        <v>425</v>
      </c>
      <c r="C81" s="20" t="s">
        <v>616</v>
      </c>
      <c r="D81" s="138">
        <v>1100000</v>
      </c>
      <c r="E81" s="20" t="s">
        <v>677</v>
      </c>
      <c r="F81" s="20" t="s">
        <v>678</v>
      </c>
      <c r="G81" s="8" t="str">
        <f t="shared" si="1"/>
        <v>GEBRETEKLE DAGNEW</v>
      </c>
    </row>
    <row r="82" spans="1:7" x14ac:dyDescent="0.25">
      <c r="A82" s="8">
        <v>42900.380879629629</v>
      </c>
      <c r="B82" s="20" t="s">
        <v>370</v>
      </c>
      <c r="C82" s="20" t="s">
        <v>617</v>
      </c>
      <c r="D82" s="138">
        <v>1990000</v>
      </c>
      <c r="E82" s="20" t="s">
        <v>415</v>
      </c>
      <c r="F82" s="20" t="s">
        <v>660</v>
      </c>
      <c r="G82" s="8" t="str">
        <f t="shared" si="1"/>
        <v>DAVIS WENDY</v>
      </c>
    </row>
    <row r="83" spans="1:7" x14ac:dyDescent="0.25">
      <c r="A83" s="8">
        <v>42900.383692129632</v>
      </c>
      <c r="B83" s="20" t="s">
        <v>400</v>
      </c>
      <c r="C83" s="20" t="s">
        <v>710</v>
      </c>
      <c r="D83" s="138">
        <v>1340000</v>
      </c>
      <c r="E83" s="20" t="s">
        <v>670</v>
      </c>
      <c r="F83" s="20" t="s">
        <v>671</v>
      </c>
      <c r="G83" s="8" t="str">
        <f t="shared" si="1"/>
        <v>BEAM ROSS</v>
      </c>
    </row>
    <row r="84" spans="1:7" x14ac:dyDescent="0.25">
      <c r="A84" s="8">
        <v>42900.388449074075</v>
      </c>
      <c r="B84" s="20" t="s">
        <v>401</v>
      </c>
      <c r="C84" s="20" t="s">
        <v>711</v>
      </c>
      <c r="D84" s="138">
        <v>1240000</v>
      </c>
      <c r="E84" s="20" t="s">
        <v>712</v>
      </c>
      <c r="F84" s="20" t="s">
        <v>713</v>
      </c>
      <c r="G84" s="8" t="str">
        <f t="shared" si="1"/>
        <v>GRASTON MATHEU</v>
      </c>
    </row>
    <row r="85" spans="1:7" x14ac:dyDescent="0.25">
      <c r="A85" s="8">
        <v>42900.391296296293</v>
      </c>
      <c r="B85" s="20" t="s">
        <v>618</v>
      </c>
      <c r="C85" s="20" t="s">
        <v>619</v>
      </c>
      <c r="D85" s="138">
        <v>940000</v>
      </c>
      <c r="E85" s="20" t="s">
        <v>500</v>
      </c>
      <c r="F85" s="20" t="s">
        <v>501</v>
      </c>
      <c r="G85" s="8" t="str">
        <f t="shared" si="1"/>
        <v>BONDS REYNALDO</v>
      </c>
    </row>
    <row r="86" spans="1:7" x14ac:dyDescent="0.25">
      <c r="A86" s="8">
        <v>42900.39335648148</v>
      </c>
      <c r="B86" s="20" t="s">
        <v>608</v>
      </c>
      <c r="C86" s="20" t="s">
        <v>714</v>
      </c>
      <c r="D86" s="138">
        <v>890000</v>
      </c>
      <c r="E86" s="20" t="s">
        <v>534</v>
      </c>
      <c r="F86" s="20" t="s">
        <v>535</v>
      </c>
      <c r="G86" s="8" t="str">
        <f t="shared" si="1"/>
        <v>LOZA FIDEL</v>
      </c>
    </row>
    <row r="87" spans="1:7" x14ac:dyDescent="0.25">
      <c r="A87" s="8">
        <v>42900.395219907405</v>
      </c>
      <c r="B87" s="20" t="s">
        <v>451</v>
      </c>
      <c r="C87" s="20" t="s">
        <v>715</v>
      </c>
      <c r="D87" s="138">
        <v>1110000</v>
      </c>
      <c r="E87" s="20" t="s">
        <v>502</v>
      </c>
      <c r="F87" s="20" t="s">
        <v>503</v>
      </c>
      <c r="G87" s="8" t="str">
        <f t="shared" si="1"/>
        <v>STARKS ANGELINA</v>
      </c>
    </row>
    <row r="88" spans="1:7" x14ac:dyDescent="0.25">
      <c r="A88" s="8">
        <v>42900.401145833333</v>
      </c>
      <c r="B88" s="20" t="s">
        <v>423</v>
      </c>
      <c r="C88" s="20" t="s">
        <v>716</v>
      </c>
      <c r="D88" s="138">
        <v>1100000</v>
      </c>
      <c r="E88" s="20" t="s">
        <v>677</v>
      </c>
      <c r="F88" s="20" t="s">
        <v>678</v>
      </c>
      <c r="G88" s="8" t="str">
        <f t="shared" si="1"/>
        <v>GEBRETEKLE DAGNEW</v>
      </c>
    </row>
    <row r="89" spans="1:7" x14ac:dyDescent="0.25">
      <c r="A89" s="8">
        <v>42900.405648148146</v>
      </c>
      <c r="B89" s="20" t="s">
        <v>456</v>
      </c>
      <c r="C89" s="20" t="s">
        <v>717</v>
      </c>
      <c r="D89" s="138">
        <v>1540000</v>
      </c>
      <c r="E89" s="20" t="s">
        <v>506</v>
      </c>
      <c r="F89" s="20" t="s">
        <v>507</v>
      </c>
      <c r="G89" s="8" t="str">
        <f t="shared" si="1"/>
        <v>HELVIE ADAM</v>
      </c>
    </row>
    <row r="90" spans="1:7" x14ac:dyDescent="0.25">
      <c r="A90" s="8">
        <v>42900.41202546296</v>
      </c>
      <c r="B90" s="20" t="s">
        <v>422</v>
      </c>
      <c r="C90" s="20" t="s">
        <v>718</v>
      </c>
      <c r="D90" s="138">
        <v>2010000</v>
      </c>
      <c r="E90" s="20" t="s">
        <v>477</v>
      </c>
      <c r="F90" s="20" t="s">
        <v>478</v>
      </c>
      <c r="G90" s="8" t="str">
        <f t="shared" si="1"/>
        <v>MAELZER KURT</v>
      </c>
    </row>
    <row r="91" spans="1:7" x14ac:dyDescent="0.25">
      <c r="A91" s="8">
        <v>42900.413564814815</v>
      </c>
      <c r="B91" s="20" t="s">
        <v>373</v>
      </c>
      <c r="C91" s="20" t="s">
        <v>620</v>
      </c>
      <c r="D91" s="138">
        <v>1990000</v>
      </c>
      <c r="E91" s="20" t="s">
        <v>415</v>
      </c>
      <c r="F91" s="20" t="s">
        <v>660</v>
      </c>
      <c r="G91" s="8" t="str">
        <f t="shared" si="1"/>
        <v>DAVIS WENDY</v>
      </c>
    </row>
    <row r="92" spans="1:7" x14ac:dyDescent="0.25">
      <c r="A92" s="8">
        <v>42900.421412037038</v>
      </c>
      <c r="B92" s="20" t="s">
        <v>603</v>
      </c>
      <c r="C92" s="20" t="s">
        <v>719</v>
      </c>
      <c r="D92" s="138">
        <v>1340000</v>
      </c>
      <c r="E92" s="20" t="s">
        <v>670</v>
      </c>
      <c r="F92" s="20" t="s">
        <v>671</v>
      </c>
      <c r="G92" s="8" t="str">
        <f t="shared" si="1"/>
        <v>BEAM ROSS</v>
      </c>
    </row>
    <row r="93" spans="1:7" x14ac:dyDescent="0.25">
      <c r="A93" s="8">
        <v>42900.425983796296</v>
      </c>
      <c r="B93" s="20" t="s">
        <v>599</v>
      </c>
      <c r="C93" s="20" t="s">
        <v>720</v>
      </c>
      <c r="D93" s="138">
        <v>2560000</v>
      </c>
      <c r="E93" s="20" t="s">
        <v>474</v>
      </c>
      <c r="F93" s="20" t="s">
        <v>367</v>
      </c>
      <c r="G93" s="8" t="str">
        <f t="shared" si="1"/>
        <v>MACDONALD THOMAS</v>
      </c>
    </row>
    <row r="94" spans="1:7" x14ac:dyDescent="0.25">
      <c r="A94" s="8">
        <v>42900.427789351852</v>
      </c>
      <c r="B94" s="20" t="s">
        <v>461</v>
      </c>
      <c r="C94" s="20" t="s">
        <v>721</v>
      </c>
      <c r="D94" s="138">
        <v>1110000</v>
      </c>
      <c r="E94" s="20" t="s">
        <v>502</v>
      </c>
      <c r="F94" s="20" t="s">
        <v>503</v>
      </c>
      <c r="G94" s="8" t="str">
        <f t="shared" si="1"/>
        <v>STARKS ANGELINA</v>
      </c>
    </row>
    <row r="95" spans="1:7" x14ac:dyDescent="0.25">
      <c r="A95" s="8">
        <v>42900.431307870371</v>
      </c>
      <c r="B95" s="20" t="s">
        <v>425</v>
      </c>
      <c r="C95" s="20" t="s">
        <v>722</v>
      </c>
      <c r="D95" s="138">
        <v>1100000</v>
      </c>
      <c r="E95" s="20" t="s">
        <v>677</v>
      </c>
      <c r="F95" s="20" t="s">
        <v>678</v>
      </c>
      <c r="G95" s="8" t="str">
        <f t="shared" si="1"/>
        <v>GEBRETEKLE DAGNEW</v>
      </c>
    </row>
    <row r="96" spans="1:7" x14ac:dyDescent="0.25">
      <c r="A96" s="8">
        <v>42900.435046296298</v>
      </c>
      <c r="B96" s="20" t="s">
        <v>668</v>
      </c>
      <c r="C96" s="20" t="s">
        <v>723</v>
      </c>
      <c r="D96" s="138">
        <v>890000</v>
      </c>
      <c r="E96" s="20" t="s">
        <v>534</v>
      </c>
      <c r="F96" s="20" t="s">
        <v>535</v>
      </c>
      <c r="G96" s="8" t="str">
        <f t="shared" si="1"/>
        <v>LOZA FIDEL</v>
      </c>
    </row>
    <row r="97" spans="1:7" x14ac:dyDescent="0.25">
      <c r="A97" s="8">
        <v>42900.443020833336</v>
      </c>
      <c r="B97" s="20" t="s">
        <v>423</v>
      </c>
      <c r="C97" s="20" t="s">
        <v>724</v>
      </c>
      <c r="D97" s="138">
        <v>1100000</v>
      </c>
      <c r="E97" s="20" t="s">
        <v>677</v>
      </c>
      <c r="F97" s="20" t="s">
        <v>678</v>
      </c>
      <c r="G97" s="8" t="str">
        <f t="shared" si="1"/>
        <v>GEBRETEKLE DAGNEW</v>
      </c>
    </row>
    <row r="98" spans="1:7" x14ac:dyDescent="0.25">
      <c r="A98" s="8">
        <v>42900.444166666668</v>
      </c>
      <c r="B98" s="20" t="s">
        <v>455</v>
      </c>
      <c r="C98" s="20" t="s">
        <v>725</v>
      </c>
      <c r="D98" s="138">
        <v>1540000</v>
      </c>
      <c r="E98" s="20" t="s">
        <v>506</v>
      </c>
      <c r="F98" s="20" t="s">
        <v>507</v>
      </c>
      <c r="G98" s="8" t="str">
        <f t="shared" si="1"/>
        <v>HELVIE ADAM</v>
      </c>
    </row>
    <row r="99" spans="1:7" x14ac:dyDescent="0.25">
      <c r="A99" s="8">
        <v>42900.445335648146</v>
      </c>
      <c r="B99" s="20" t="s">
        <v>504</v>
      </c>
      <c r="C99" s="20" t="s">
        <v>621</v>
      </c>
      <c r="D99" s="138">
        <v>1780000</v>
      </c>
      <c r="E99" s="20" t="s">
        <v>726</v>
      </c>
      <c r="F99" s="20" t="s">
        <v>727</v>
      </c>
      <c r="G99" s="8" t="str">
        <f t="shared" si="1"/>
        <v>DE LA ROSA ALEX</v>
      </c>
    </row>
    <row r="100" spans="1:7" x14ac:dyDescent="0.25">
      <c r="A100" s="8">
        <v>42900.445925925924</v>
      </c>
      <c r="B100" s="20" t="s">
        <v>426</v>
      </c>
      <c r="C100" s="20" t="s">
        <v>728</v>
      </c>
      <c r="D100" s="138">
        <v>920000</v>
      </c>
      <c r="E100" s="20" t="s">
        <v>415</v>
      </c>
      <c r="F100" s="20" t="s">
        <v>192</v>
      </c>
      <c r="G100" s="8" t="str">
        <f t="shared" si="1"/>
        <v>DAVIS MICHAEL</v>
      </c>
    </row>
    <row r="101" spans="1:7" x14ac:dyDescent="0.25">
      <c r="A101" s="8">
        <v>42900.454074074078</v>
      </c>
      <c r="B101" s="20" t="s">
        <v>370</v>
      </c>
      <c r="C101" s="20" t="s">
        <v>729</v>
      </c>
      <c r="D101" s="138">
        <v>1990000</v>
      </c>
      <c r="E101" s="20" t="s">
        <v>415</v>
      </c>
      <c r="F101" s="20" t="s">
        <v>660</v>
      </c>
      <c r="G101" s="8" t="str">
        <f t="shared" si="1"/>
        <v>DAVIS WENDY</v>
      </c>
    </row>
    <row r="102" spans="1:7" x14ac:dyDescent="0.25">
      <c r="A102" s="8">
        <v>42900.455497685187</v>
      </c>
      <c r="B102" s="20" t="s">
        <v>400</v>
      </c>
      <c r="C102" s="20" t="s">
        <v>730</v>
      </c>
      <c r="D102" s="138">
        <v>1340000</v>
      </c>
      <c r="E102" s="20" t="s">
        <v>670</v>
      </c>
      <c r="F102" s="20" t="s">
        <v>671</v>
      </c>
      <c r="G102" s="8" t="str">
        <f t="shared" si="1"/>
        <v>BEAM ROSS</v>
      </c>
    </row>
    <row r="103" spans="1:7" x14ac:dyDescent="0.25">
      <c r="A103" s="8">
        <v>42900.456412037034</v>
      </c>
      <c r="B103" s="20" t="s">
        <v>425</v>
      </c>
      <c r="C103" s="20" t="s">
        <v>622</v>
      </c>
      <c r="D103" s="138">
        <v>1100000</v>
      </c>
      <c r="E103" s="20" t="s">
        <v>677</v>
      </c>
      <c r="F103" s="20" t="s">
        <v>678</v>
      </c>
      <c r="G103" s="8" t="str">
        <f t="shared" si="1"/>
        <v>GEBRETEKLE DAGNEW</v>
      </c>
    </row>
    <row r="104" spans="1:7" x14ac:dyDescent="0.25">
      <c r="A104" s="8">
        <v>42900.465520833335</v>
      </c>
      <c r="B104" s="20" t="s">
        <v>618</v>
      </c>
      <c r="C104" s="20" t="s">
        <v>623</v>
      </c>
      <c r="D104" s="138">
        <v>2560000</v>
      </c>
      <c r="E104" s="20" t="s">
        <v>474</v>
      </c>
      <c r="F104" s="20" t="s">
        <v>367</v>
      </c>
      <c r="G104" s="8" t="str">
        <f t="shared" si="1"/>
        <v>MACDONALD THOMAS</v>
      </c>
    </row>
    <row r="105" spans="1:7" x14ac:dyDescent="0.25">
      <c r="A105" s="8">
        <v>42900.467453703706</v>
      </c>
      <c r="B105" s="20" t="s">
        <v>451</v>
      </c>
      <c r="C105" s="20" t="s">
        <v>731</v>
      </c>
      <c r="D105" s="138">
        <v>880000</v>
      </c>
      <c r="E105" s="20" t="s">
        <v>536</v>
      </c>
      <c r="F105" s="20" t="s">
        <v>192</v>
      </c>
      <c r="G105" s="8" t="str">
        <f t="shared" si="1"/>
        <v>STEWART MICHAEL</v>
      </c>
    </row>
    <row r="106" spans="1:7" x14ac:dyDescent="0.25">
      <c r="A106" s="8">
        <v>42900.471087962964</v>
      </c>
      <c r="B106" s="20" t="s">
        <v>608</v>
      </c>
      <c r="C106" s="20" t="s">
        <v>732</v>
      </c>
      <c r="D106" s="138">
        <v>890000</v>
      </c>
      <c r="E106" s="20" t="s">
        <v>534</v>
      </c>
      <c r="F106" s="20" t="s">
        <v>535</v>
      </c>
      <c r="G106" s="8" t="str">
        <f t="shared" si="1"/>
        <v>LOZA FIDEL</v>
      </c>
    </row>
    <row r="107" spans="1:7" x14ac:dyDescent="0.25">
      <c r="A107" s="8">
        <v>42900.474745370368</v>
      </c>
      <c r="B107" s="20" t="s">
        <v>499</v>
      </c>
      <c r="C107" s="20" t="s">
        <v>733</v>
      </c>
      <c r="D107" s="138">
        <v>1110000</v>
      </c>
      <c r="E107" s="20" t="s">
        <v>502</v>
      </c>
      <c r="F107" s="20" t="s">
        <v>503</v>
      </c>
      <c r="G107" s="8" t="str">
        <f t="shared" si="1"/>
        <v>STARKS ANGELINA</v>
      </c>
    </row>
    <row r="108" spans="1:7" x14ac:dyDescent="0.25">
      <c r="A108" s="8">
        <v>42900.474780092591</v>
      </c>
      <c r="B108" s="20" t="s">
        <v>456</v>
      </c>
      <c r="C108" s="20" t="s">
        <v>734</v>
      </c>
      <c r="D108" s="138">
        <v>2140000</v>
      </c>
      <c r="E108" s="20" t="s">
        <v>413</v>
      </c>
      <c r="F108" s="20" t="s">
        <v>414</v>
      </c>
      <c r="G108" s="8" t="str">
        <f t="shared" si="1"/>
        <v>ROBINSON KADDIBA</v>
      </c>
    </row>
    <row r="109" spans="1:7" x14ac:dyDescent="0.25">
      <c r="A109" s="8">
        <v>42900.475972222222</v>
      </c>
      <c r="B109" s="20" t="s">
        <v>370</v>
      </c>
      <c r="C109" s="20" t="s">
        <v>729</v>
      </c>
      <c r="D109" s="138">
        <v>1990000</v>
      </c>
      <c r="E109" s="20" t="s">
        <v>415</v>
      </c>
      <c r="F109" s="20" t="s">
        <v>660</v>
      </c>
      <c r="G109" s="8" t="str">
        <f t="shared" si="1"/>
        <v>DAVIS WENDY</v>
      </c>
    </row>
    <row r="110" spans="1:7" x14ac:dyDescent="0.25">
      <c r="A110" s="8">
        <v>42900.485289351855</v>
      </c>
      <c r="B110" s="20" t="s">
        <v>423</v>
      </c>
      <c r="C110" s="20" t="s">
        <v>735</v>
      </c>
      <c r="D110" s="138">
        <v>1100000</v>
      </c>
      <c r="E110" s="20" t="s">
        <v>677</v>
      </c>
      <c r="F110" s="20" t="s">
        <v>678</v>
      </c>
      <c r="G110" s="8" t="str">
        <f t="shared" si="1"/>
        <v>GEBRETEKLE DAGNEW</v>
      </c>
    </row>
    <row r="111" spans="1:7" x14ac:dyDescent="0.25">
      <c r="A111" s="8">
        <v>42900.486041666663</v>
      </c>
      <c r="B111" s="20" t="s">
        <v>603</v>
      </c>
      <c r="C111" s="20" t="s">
        <v>736</v>
      </c>
      <c r="D111" s="138">
        <v>1340000</v>
      </c>
      <c r="E111" s="20" t="s">
        <v>670</v>
      </c>
      <c r="F111" s="20" t="s">
        <v>671</v>
      </c>
      <c r="G111" s="8" t="str">
        <f t="shared" si="1"/>
        <v>BEAM ROSS</v>
      </c>
    </row>
    <row r="112" spans="1:7" x14ac:dyDescent="0.25">
      <c r="A112" s="8">
        <v>42900.486967592595</v>
      </c>
      <c r="B112" s="20" t="s">
        <v>422</v>
      </c>
      <c r="C112" s="20" t="s">
        <v>624</v>
      </c>
      <c r="D112" s="138">
        <v>920000</v>
      </c>
      <c r="E112" s="20" t="s">
        <v>415</v>
      </c>
      <c r="F112" s="20" t="s">
        <v>192</v>
      </c>
      <c r="G112" s="8" t="str">
        <f t="shared" si="1"/>
        <v>DAVIS MICHAEL</v>
      </c>
    </row>
    <row r="113" spans="1:7" x14ac:dyDescent="0.25">
      <c r="A113" s="8">
        <v>42900.489178240743</v>
      </c>
      <c r="B113" s="20" t="s">
        <v>373</v>
      </c>
      <c r="C113" s="20" t="s">
        <v>737</v>
      </c>
      <c r="D113" s="138">
        <v>1770000</v>
      </c>
      <c r="E113" s="20" t="s">
        <v>475</v>
      </c>
      <c r="F113" s="20" t="s">
        <v>476</v>
      </c>
      <c r="G113" s="8" t="str">
        <f t="shared" si="1"/>
        <v>BRUDER RICHARD</v>
      </c>
    </row>
    <row r="114" spans="1:7" x14ac:dyDescent="0.25">
      <c r="A114" s="8">
        <v>42900.497997685183</v>
      </c>
      <c r="B114" s="20" t="s">
        <v>599</v>
      </c>
      <c r="C114" s="20" t="s">
        <v>738</v>
      </c>
      <c r="D114" s="138">
        <v>1300000</v>
      </c>
      <c r="E114" s="20" t="s">
        <v>537</v>
      </c>
      <c r="F114" s="20" t="s">
        <v>538</v>
      </c>
      <c r="G114" s="8" t="str">
        <f t="shared" si="1"/>
        <v>LEVIN SCOTT</v>
      </c>
    </row>
    <row r="115" spans="1:7" x14ac:dyDescent="0.25">
      <c r="A115" s="8">
        <v>42900.498715277776</v>
      </c>
      <c r="B115" s="20" t="s">
        <v>425</v>
      </c>
      <c r="C115" s="20" t="s">
        <v>739</v>
      </c>
      <c r="D115" s="138">
        <v>1100000</v>
      </c>
      <c r="E115" s="20" t="s">
        <v>677</v>
      </c>
      <c r="F115" s="20" t="s">
        <v>678</v>
      </c>
      <c r="G115" s="8" t="str">
        <f t="shared" si="1"/>
        <v>GEBRETEKLE DAGNEW</v>
      </c>
    </row>
    <row r="116" spans="1:7" x14ac:dyDescent="0.25">
      <c r="A116" s="8">
        <v>42900.506099537037</v>
      </c>
      <c r="B116" s="20" t="s">
        <v>461</v>
      </c>
      <c r="C116" s="20" t="s">
        <v>740</v>
      </c>
      <c r="D116" s="138">
        <v>880000</v>
      </c>
      <c r="E116" s="20" t="s">
        <v>536</v>
      </c>
      <c r="F116" s="20" t="s">
        <v>192</v>
      </c>
      <c r="G116" s="8" t="str">
        <f t="shared" si="1"/>
        <v>STEWART MICHAEL</v>
      </c>
    </row>
    <row r="117" spans="1:7" x14ac:dyDescent="0.25">
      <c r="A117" s="8">
        <v>42900.507951388892</v>
      </c>
      <c r="B117" s="20" t="s">
        <v>668</v>
      </c>
      <c r="C117" s="20" t="s">
        <v>741</v>
      </c>
      <c r="D117" s="138">
        <v>2370000</v>
      </c>
      <c r="E117" s="20" t="s">
        <v>742</v>
      </c>
      <c r="F117" s="20" t="s">
        <v>743</v>
      </c>
      <c r="G117" s="8" t="str">
        <f t="shared" si="1"/>
        <v>DELGADO DIANAH</v>
      </c>
    </row>
    <row r="118" spans="1:7" x14ac:dyDescent="0.25">
      <c r="A118" s="8">
        <v>42900.518009259256</v>
      </c>
      <c r="B118" s="20" t="s">
        <v>455</v>
      </c>
      <c r="C118" s="20" t="s">
        <v>744</v>
      </c>
      <c r="D118" s="138">
        <v>1540000</v>
      </c>
      <c r="E118" s="20" t="s">
        <v>506</v>
      </c>
      <c r="F118" s="20" t="s">
        <v>507</v>
      </c>
      <c r="G118" s="8" t="str">
        <f t="shared" si="1"/>
        <v>HELVIE ADAM</v>
      </c>
    </row>
    <row r="119" spans="1:7" x14ac:dyDescent="0.25">
      <c r="A119" s="8">
        <v>42900.520196759258</v>
      </c>
      <c r="B119" s="20" t="s">
        <v>426</v>
      </c>
      <c r="C119" s="20" t="s">
        <v>745</v>
      </c>
      <c r="D119" s="138">
        <v>920000</v>
      </c>
      <c r="E119" s="20" t="s">
        <v>415</v>
      </c>
      <c r="F119" s="20" t="s">
        <v>192</v>
      </c>
      <c r="G119" s="8" t="str">
        <f t="shared" si="1"/>
        <v>DAVIS MICHAEL</v>
      </c>
    </row>
    <row r="120" spans="1:7" x14ac:dyDescent="0.25">
      <c r="A120" s="8">
        <v>42900.524976851855</v>
      </c>
      <c r="B120" s="20" t="s">
        <v>370</v>
      </c>
      <c r="C120" s="20" t="s">
        <v>746</v>
      </c>
      <c r="D120" s="138">
        <v>1770000</v>
      </c>
      <c r="E120" s="20" t="s">
        <v>475</v>
      </c>
      <c r="F120" s="20" t="s">
        <v>476</v>
      </c>
      <c r="G120" s="8" t="str">
        <f t="shared" si="1"/>
        <v>BRUDER RICHARD</v>
      </c>
    </row>
    <row r="121" spans="1:7" x14ac:dyDescent="0.25">
      <c r="A121" s="8">
        <v>42900.526550925926</v>
      </c>
      <c r="B121" s="20" t="s">
        <v>423</v>
      </c>
      <c r="C121" s="20" t="s">
        <v>747</v>
      </c>
      <c r="D121" s="138">
        <v>1100000</v>
      </c>
      <c r="E121" s="20" t="s">
        <v>677</v>
      </c>
      <c r="F121" s="20" t="s">
        <v>678</v>
      </c>
      <c r="G121" s="8" t="str">
        <f t="shared" si="1"/>
        <v>GEBRETEKLE DAGNEW</v>
      </c>
    </row>
    <row r="122" spans="1:7" x14ac:dyDescent="0.25">
      <c r="A122" s="8">
        <v>42900.529363425929</v>
      </c>
      <c r="B122" s="25" t="s">
        <v>400</v>
      </c>
      <c r="C122" s="20" t="s">
        <v>748</v>
      </c>
      <c r="D122" s="138">
        <v>2420000</v>
      </c>
      <c r="E122" s="20" t="s">
        <v>749</v>
      </c>
      <c r="F122" s="20" t="s">
        <v>750</v>
      </c>
      <c r="G122" s="8" t="str">
        <f t="shared" si="1"/>
        <v>HOLCOMB KAMDEN</v>
      </c>
    </row>
    <row r="123" spans="1:7" x14ac:dyDescent="0.25">
      <c r="A123" s="8">
        <v>42900.53702546296</v>
      </c>
      <c r="B123" s="20" t="s">
        <v>618</v>
      </c>
      <c r="C123" s="20" t="s">
        <v>625</v>
      </c>
      <c r="D123" s="138">
        <v>1300000</v>
      </c>
      <c r="E123" s="20" t="s">
        <v>537</v>
      </c>
      <c r="F123" s="20" t="s">
        <v>538</v>
      </c>
      <c r="G123" s="8" t="str">
        <f t="shared" si="1"/>
        <v>LEVIN SCOTT</v>
      </c>
    </row>
    <row r="124" spans="1:7" x14ac:dyDescent="0.25">
      <c r="A124" s="8">
        <v>42900.539050925923</v>
      </c>
      <c r="B124" s="20" t="s">
        <v>451</v>
      </c>
      <c r="C124" s="20" t="s">
        <v>751</v>
      </c>
      <c r="D124" s="138">
        <v>880000</v>
      </c>
      <c r="E124" s="20" t="s">
        <v>536</v>
      </c>
      <c r="F124" s="20" t="s">
        <v>192</v>
      </c>
      <c r="G124" s="8" t="str">
        <f t="shared" si="1"/>
        <v>STEWART MICHAEL</v>
      </c>
    </row>
    <row r="125" spans="1:7" x14ac:dyDescent="0.25">
      <c r="A125" s="8">
        <v>42900.544328703705</v>
      </c>
      <c r="B125" s="20" t="s">
        <v>608</v>
      </c>
      <c r="C125" s="20" t="s">
        <v>752</v>
      </c>
      <c r="D125" s="138">
        <v>2370000</v>
      </c>
      <c r="E125" s="20" t="s">
        <v>742</v>
      </c>
      <c r="F125" s="20" t="s">
        <v>743</v>
      </c>
      <c r="G125" s="8" t="str">
        <f t="shared" si="1"/>
        <v>DELGADO DIANAH</v>
      </c>
    </row>
    <row r="126" spans="1:7" x14ac:dyDescent="0.25">
      <c r="A126" s="8">
        <v>42900.549675925926</v>
      </c>
      <c r="B126" s="20" t="s">
        <v>456</v>
      </c>
      <c r="C126" s="20" t="s">
        <v>753</v>
      </c>
      <c r="D126" s="138">
        <v>2140000</v>
      </c>
      <c r="E126" s="20" t="s">
        <v>413</v>
      </c>
      <c r="F126" s="20" t="s">
        <v>414</v>
      </c>
      <c r="G126" s="8" t="str">
        <f t="shared" si="1"/>
        <v>ROBINSON KADDIBA</v>
      </c>
    </row>
    <row r="127" spans="1:7" x14ac:dyDescent="0.25">
      <c r="A127" s="8">
        <v>42900.555995370371</v>
      </c>
      <c r="B127" s="20" t="s">
        <v>425</v>
      </c>
      <c r="C127" s="20" t="s">
        <v>754</v>
      </c>
      <c r="D127" s="138">
        <v>2450000</v>
      </c>
      <c r="E127" s="20" t="s">
        <v>539</v>
      </c>
      <c r="F127" s="20" t="s">
        <v>540</v>
      </c>
      <c r="G127" s="8" t="str">
        <f t="shared" si="1"/>
        <v>NELSON ARIANE</v>
      </c>
    </row>
    <row r="128" spans="1:7" x14ac:dyDescent="0.25">
      <c r="A128" s="8">
        <v>42900.558321759258</v>
      </c>
      <c r="B128" s="20" t="s">
        <v>425</v>
      </c>
      <c r="C128" s="20" t="s">
        <v>754</v>
      </c>
      <c r="D128" s="138">
        <v>2450000</v>
      </c>
      <c r="E128" s="20" t="s">
        <v>539</v>
      </c>
      <c r="F128" s="20" t="s">
        <v>540</v>
      </c>
      <c r="G128" s="8" t="str">
        <f t="shared" si="1"/>
        <v>NELSON ARIANE</v>
      </c>
    </row>
    <row r="129" spans="1:7" x14ac:dyDescent="0.25">
      <c r="A129" s="8">
        <v>42900.558425925927</v>
      </c>
      <c r="B129" s="20" t="s">
        <v>373</v>
      </c>
      <c r="C129" s="20" t="s">
        <v>755</v>
      </c>
      <c r="D129" s="138">
        <v>1770000</v>
      </c>
      <c r="E129" s="20" t="s">
        <v>475</v>
      </c>
      <c r="F129" s="20" t="s">
        <v>476</v>
      </c>
      <c r="G129" s="8" t="str">
        <f t="shared" si="1"/>
        <v>BRUDER RICHARD</v>
      </c>
    </row>
    <row r="130" spans="1:7" x14ac:dyDescent="0.25">
      <c r="A130" s="8">
        <v>42900.560833333337</v>
      </c>
      <c r="B130" s="20" t="s">
        <v>422</v>
      </c>
      <c r="C130" s="20" t="s">
        <v>756</v>
      </c>
      <c r="D130" s="138">
        <v>920000</v>
      </c>
      <c r="E130" s="20" t="s">
        <v>415</v>
      </c>
      <c r="F130" s="20" t="s">
        <v>192</v>
      </c>
      <c r="G130" s="8" t="str">
        <f t="shared" si="1"/>
        <v>DAVIS MICHAEL</v>
      </c>
    </row>
    <row r="131" spans="1:7" x14ac:dyDescent="0.25">
      <c r="A131" s="8">
        <v>42900.569004629629</v>
      </c>
      <c r="B131" s="20" t="s">
        <v>603</v>
      </c>
      <c r="C131" s="20" t="s">
        <v>757</v>
      </c>
      <c r="D131" s="138">
        <v>2420000</v>
      </c>
      <c r="E131" s="20" t="s">
        <v>749</v>
      </c>
      <c r="F131" s="20" t="s">
        <v>750</v>
      </c>
      <c r="G131" s="8" t="str">
        <f t="shared" ref="G131:G194" si="2">E131&amp;" "&amp;F131</f>
        <v>HOLCOMB KAMDEN</v>
      </c>
    </row>
    <row r="132" spans="1:7" x14ac:dyDescent="0.25">
      <c r="A132" s="8">
        <v>42900.570706018516</v>
      </c>
      <c r="B132" s="20" t="s">
        <v>599</v>
      </c>
      <c r="C132" s="20" t="s">
        <v>758</v>
      </c>
      <c r="D132" s="138">
        <v>1300000</v>
      </c>
      <c r="E132" s="20" t="s">
        <v>537</v>
      </c>
      <c r="F132" s="20" t="s">
        <v>538</v>
      </c>
      <c r="G132" s="8" t="str">
        <f t="shared" si="2"/>
        <v>LEVIN SCOTT</v>
      </c>
    </row>
    <row r="133" spans="1:7" x14ac:dyDescent="0.25">
      <c r="A133" s="8">
        <v>42900.573229166665</v>
      </c>
      <c r="B133" s="20" t="s">
        <v>423</v>
      </c>
      <c r="C133" s="20" t="s">
        <v>759</v>
      </c>
      <c r="D133" s="138">
        <v>2450000</v>
      </c>
      <c r="E133" s="20" t="s">
        <v>539</v>
      </c>
      <c r="F133" s="20" t="s">
        <v>540</v>
      </c>
      <c r="G133" s="8" t="str">
        <f t="shared" si="2"/>
        <v>NELSON ARIANE</v>
      </c>
    </row>
    <row r="134" spans="1:7" x14ac:dyDescent="0.25">
      <c r="A134" s="8">
        <v>42900.57707175926</v>
      </c>
      <c r="B134" s="20" t="s">
        <v>461</v>
      </c>
      <c r="C134" s="20" t="s">
        <v>760</v>
      </c>
      <c r="D134" s="138">
        <v>880000</v>
      </c>
      <c r="E134" s="20" t="s">
        <v>536</v>
      </c>
      <c r="F134" s="20" t="s">
        <v>192</v>
      </c>
      <c r="G134" s="8" t="str">
        <f t="shared" si="2"/>
        <v>STEWART MICHAEL</v>
      </c>
    </row>
    <row r="135" spans="1:7" x14ac:dyDescent="0.25">
      <c r="A135" s="8">
        <v>42900.579664351855</v>
      </c>
      <c r="B135" s="20" t="s">
        <v>668</v>
      </c>
      <c r="C135" s="20" t="s">
        <v>761</v>
      </c>
      <c r="D135" s="138">
        <v>2370000</v>
      </c>
      <c r="E135" s="20" t="s">
        <v>742</v>
      </c>
      <c r="F135" s="20" t="s">
        <v>743</v>
      </c>
      <c r="G135" s="8" t="str">
        <f t="shared" si="2"/>
        <v>DELGADO DIANAH</v>
      </c>
    </row>
    <row r="136" spans="1:7" x14ac:dyDescent="0.25">
      <c r="A136" s="8">
        <v>42900.588726851849</v>
      </c>
      <c r="B136" s="20" t="s">
        <v>455</v>
      </c>
      <c r="C136" s="20" t="s">
        <v>762</v>
      </c>
      <c r="D136" s="138">
        <v>1540000</v>
      </c>
      <c r="E136" s="20" t="s">
        <v>506</v>
      </c>
      <c r="F136" s="20" t="s">
        <v>507</v>
      </c>
      <c r="G136" s="8" t="str">
        <f t="shared" si="2"/>
        <v>HELVIE ADAM</v>
      </c>
    </row>
    <row r="137" spans="1:7" x14ac:dyDescent="0.25">
      <c r="A137" s="8">
        <v>42900.593634259261</v>
      </c>
      <c r="B137" s="20" t="s">
        <v>426</v>
      </c>
      <c r="C137" s="20" t="s">
        <v>763</v>
      </c>
      <c r="D137" s="138">
        <v>920000</v>
      </c>
      <c r="E137" s="20" t="s">
        <v>415</v>
      </c>
      <c r="F137" s="20" t="s">
        <v>192</v>
      </c>
      <c r="G137" s="8" t="str">
        <f t="shared" si="2"/>
        <v>DAVIS MICHAEL</v>
      </c>
    </row>
    <row r="138" spans="1:7" x14ac:dyDescent="0.25">
      <c r="A138" s="8">
        <v>42900.593854166669</v>
      </c>
      <c r="B138" s="20" t="s">
        <v>425</v>
      </c>
      <c r="C138" s="20" t="s">
        <v>626</v>
      </c>
      <c r="D138" s="138">
        <v>2450000</v>
      </c>
      <c r="E138" s="20" t="s">
        <v>539</v>
      </c>
      <c r="F138" s="20" t="s">
        <v>540</v>
      </c>
      <c r="G138" s="8" t="str">
        <f t="shared" si="2"/>
        <v>NELSON ARIANE</v>
      </c>
    </row>
    <row r="139" spans="1:7" x14ac:dyDescent="0.25">
      <c r="A139" s="8">
        <v>42900.598344907405</v>
      </c>
      <c r="B139" s="20" t="s">
        <v>370</v>
      </c>
      <c r="C139" s="20" t="s">
        <v>764</v>
      </c>
      <c r="D139" s="138">
        <v>1770000</v>
      </c>
      <c r="E139" s="20" t="s">
        <v>475</v>
      </c>
      <c r="F139" s="20" t="s">
        <v>476</v>
      </c>
      <c r="G139" s="8" t="str">
        <f t="shared" si="2"/>
        <v>BRUDER RICHARD</v>
      </c>
    </row>
    <row r="140" spans="1:7" x14ac:dyDescent="0.25">
      <c r="A140" s="8">
        <v>42900.60125</v>
      </c>
      <c r="B140" s="20" t="s">
        <v>400</v>
      </c>
      <c r="C140" s="20" t="s">
        <v>765</v>
      </c>
      <c r="D140" s="138">
        <v>2420000</v>
      </c>
      <c r="E140" s="20" t="s">
        <v>749</v>
      </c>
      <c r="F140" s="20" t="s">
        <v>750</v>
      </c>
      <c r="G140" s="8" t="str">
        <f t="shared" si="2"/>
        <v>HOLCOMB KAMDEN</v>
      </c>
    </row>
    <row r="141" spans="1:7" x14ac:dyDescent="0.25">
      <c r="A141" s="8">
        <v>42900.61074074074</v>
      </c>
      <c r="B141" s="20" t="s">
        <v>618</v>
      </c>
      <c r="C141" s="20" t="s">
        <v>627</v>
      </c>
      <c r="D141" s="138">
        <v>1300000</v>
      </c>
      <c r="E141" s="20" t="s">
        <v>537</v>
      </c>
      <c r="F141" s="20" t="s">
        <v>538</v>
      </c>
      <c r="G141" s="8" t="str">
        <f t="shared" si="2"/>
        <v>LEVIN SCOTT</v>
      </c>
    </row>
    <row r="142" spans="1:7" x14ac:dyDescent="0.25">
      <c r="A142" s="8">
        <v>42900.61078703704</v>
      </c>
      <c r="B142" s="20" t="s">
        <v>608</v>
      </c>
      <c r="C142" s="20" t="s">
        <v>766</v>
      </c>
      <c r="D142" s="138">
        <v>2370000</v>
      </c>
      <c r="E142" s="20" t="s">
        <v>742</v>
      </c>
      <c r="F142" s="20" t="s">
        <v>743</v>
      </c>
      <c r="G142" s="8" t="str">
        <f t="shared" si="2"/>
        <v>DELGADO DIANAH</v>
      </c>
    </row>
    <row r="143" spans="1:7" x14ac:dyDescent="0.25">
      <c r="A143" s="8">
        <v>42900.610925925925</v>
      </c>
      <c r="B143" s="20" t="s">
        <v>423</v>
      </c>
      <c r="C143" s="20" t="s">
        <v>767</v>
      </c>
      <c r="D143" s="138">
        <v>2450000</v>
      </c>
      <c r="E143" s="20" t="s">
        <v>539</v>
      </c>
      <c r="F143" s="20" t="s">
        <v>540</v>
      </c>
      <c r="G143" s="8" t="str">
        <f t="shared" si="2"/>
        <v>NELSON ARIANE</v>
      </c>
    </row>
    <row r="144" spans="1:7" x14ac:dyDescent="0.25">
      <c r="A144" s="8">
        <v>42900.611689814818</v>
      </c>
      <c r="B144" s="20" t="s">
        <v>451</v>
      </c>
      <c r="C144" s="20" t="s">
        <v>768</v>
      </c>
      <c r="D144" s="138">
        <v>880000</v>
      </c>
      <c r="E144" s="20" t="s">
        <v>536</v>
      </c>
      <c r="F144" s="20" t="s">
        <v>192</v>
      </c>
      <c r="G144" s="8" t="str">
        <f t="shared" si="2"/>
        <v>STEWART MICHAEL</v>
      </c>
    </row>
    <row r="145" spans="1:7" x14ac:dyDescent="0.25">
      <c r="A145" s="8">
        <v>42900.622881944444</v>
      </c>
      <c r="B145" s="20" t="s">
        <v>456</v>
      </c>
      <c r="C145" s="20" t="s">
        <v>769</v>
      </c>
      <c r="D145" s="138">
        <v>2140000</v>
      </c>
      <c r="E145" s="20" t="s">
        <v>413</v>
      </c>
      <c r="F145" s="20" t="s">
        <v>414</v>
      </c>
      <c r="G145" s="8" t="str">
        <f t="shared" si="2"/>
        <v>ROBINSON KADDIBA</v>
      </c>
    </row>
    <row r="146" spans="1:7" x14ac:dyDescent="0.25">
      <c r="A146" s="8">
        <v>42900.630914351852</v>
      </c>
      <c r="B146" s="20" t="s">
        <v>373</v>
      </c>
      <c r="C146" s="20" t="s">
        <v>770</v>
      </c>
      <c r="D146" s="138">
        <v>1770000</v>
      </c>
      <c r="E146" s="20" t="s">
        <v>475</v>
      </c>
      <c r="F146" s="20" t="s">
        <v>476</v>
      </c>
      <c r="G146" s="8" t="str">
        <f t="shared" si="2"/>
        <v>BRUDER RICHARD</v>
      </c>
    </row>
    <row r="147" spans="1:7" x14ac:dyDescent="0.25">
      <c r="A147" s="8">
        <v>42900.631099537037</v>
      </c>
      <c r="B147" s="20" t="s">
        <v>422</v>
      </c>
      <c r="C147" s="20" t="s">
        <v>628</v>
      </c>
      <c r="D147" s="138">
        <v>920000</v>
      </c>
      <c r="E147" s="20" t="s">
        <v>415</v>
      </c>
      <c r="F147" s="20" t="s">
        <v>192</v>
      </c>
      <c r="G147" s="8" t="str">
        <f t="shared" si="2"/>
        <v>DAVIS MICHAEL</v>
      </c>
    </row>
    <row r="148" spans="1:7" x14ac:dyDescent="0.25">
      <c r="A148" s="8">
        <v>42900.633715277778</v>
      </c>
      <c r="B148" s="20" t="s">
        <v>601</v>
      </c>
      <c r="C148" s="20" t="s">
        <v>771</v>
      </c>
      <c r="D148" s="138">
        <v>2000000</v>
      </c>
      <c r="E148" s="20" t="s">
        <v>772</v>
      </c>
      <c r="F148" s="20" t="s">
        <v>189</v>
      </c>
      <c r="G148" s="8" t="str">
        <f t="shared" si="2"/>
        <v>STAMBAUGH JAMES</v>
      </c>
    </row>
    <row r="149" spans="1:7" x14ac:dyDescent="0.25">
      <c r="A149" s="8">
        <v>42900.636956018519</v>
      </c>
      <c r="B149" s="20" t="s">
        <v>425</v>
      </c>
      <c r="C149" s="20" t="s">
        <v>773</v>
      </c>
      <c r="D149" s="138">
        <v>2450000</v>
      </c>
      <c r="E149" s="20" t="s">
        <v>539</v>
      </c>
      <c r="F149" s="20" t="s">
        <v>540</v>
      </c>
      <c r="G149" s="8" t="str">
        <f t="shared" si="2"/>
        <v>NELSON ARIANE</v>
      </c>
    </row>
    <row r="150" spans="1:7" x14ac:dyDescent="0.25">
      <c r="A150" s="8">
        <v>42900.640590277777</v>
      </c>
      <c r="B150" s="20" t="s">
        <v>603</v>
      </c>
      <c r="C150" s="20" t="s">
        <v>774</v>
      </c>
      <c r="D150" s="138">
        <v>2420000</v>
      </c>
      <c r="E150" s="20" t="s">
        <v>749</v>
      </c>
      <c r="F150" s="20" t="s">
        <v>750</v>
      </c>
      <c r="G150" s="8" t="str">
        <f t="shared" si="2"/>
        <v>HOLCOMB KAMDEN</v>
      </c>
    </row>
    <row r="151" spans="1:7" x14ac:dyDescent="0.25">
      <c r="A151" s="8">
        <v>42900.643622685187</v>
      </c>
      <c r="B151" s="20" t="s">
        <v>599</v>
      </c>
      <c r="C151" s="20" t="s">
        <v>629</v>
      </c>
      <c r="D151" s="138">
        <v>1300000</v>
      </c>
      <c r="E151" s="20" t="s">
        <v>537</v>
      </c>
      <c r="F151" s="20" t="s">
        <v>538</v>
      </c>
      <c r="G151" s="8" t="str">
        <f t="shared" si="2"/>
        <v>LEVIN SCOTT</v>
      </c>
    </row>
    <row r="152" spans="1:7" x14ac:dyDescent="0.25">
      <c r="A152" s="8">
        <v>42900.646504629629</v>
      </c>
      <c r="B152" s="20" t="s">
        <v>633</v>
      </c>
      <c r="C152" s="20" t="s">
        <v>775</v>
      </c>
      <c r="D152" s="138">
        <v>2000000</v>
      </c>
      <c r="E152" s="20" t="s">
        <v>772</v>
      </c>
      <c r="F152" s="20" t="s">
        <v>189</v>
      </c>
      <c r="G152" s="8" t="str">
        <f t="shared" si="2"/>
        <v>STAMBAUGH JAMES</v>
      </c>
    </row>
    <row r="153" spans="1:7" x14ac:dyDescent="0.25">
      <c r="A153" s="8">
        <v>42900.649826388886</v>
      </c>
      <c r="B153" s="20" t="s">
        <v>461</v>
      </c>
      <c r="C153" s="20" t="s">
        <v>776</v>
      </c>
      <c r="D153" s="138">
        <v>880000</v>
      </c>
      <c r="E153" s="20" t="s">
        <v>536</v>
      </c>
      <c r="F153" s="20" t="s">
        <v>192</v>
      </c>
      <c r="G153" s="8" t="str">
        <f t="shared" si="2"/>
        <v>STEWART MICHAEL</v>
      </c>
    </row>
    <row r="154" spans="1:7" x14ac:dyDescent="0.25">
      <c r="A154" s="8">
        <v>42900.652106481481</v>
      </c>
      <c r="B154" s="20" t="s">
        <v>423</v>
      </c>
      <c r="C154" s="20" t="s">
        <v>777</v>
      </c>
      <c r="D154" s="138">
        <v>2450000</v>
      </c>
      <c r="E154" s="20" t="s">
        <v>539</v>
      </c>
      <c r="F154" s="20" t="s">
        <v>540</v>
      </c>
      <c r="G154" s="8" t="str">
        <f t="shared" si="2"/>
        <v>NELSON ARIANE</v>
      </c>
    </row>
    <row r="155" spans="1:7" x14ac:dyDescent="0.25">
      <c r="A155" s="8">
        <v>42900.653101851851</v>
      </c>
      <c r="B155" s="20" t="s">
        <v>668</v>
      </c>
      <c r="C155" s="20" t="s">
        <v>778</v>
      </c>
      <c r="D155" s="138">
        <v>2370000</v>
      </c>
      <c r="E155" s="20" t="s">
        <v>742</v>
      </c>
      <c r="F155" s="20" t="s">
        <v>743</v>
      </c>
      <c r="G155" s="8" t="str">
        <f t="shared" si="2"/>
        <v>DELGADO DIANAH</v>
      </c>
    </row>
    <row r="156" spans="1:7" x14ac:dyDescent="0.25">
      <c r="A156" s="8">
        <v>42900.657766203702</v>
      </c>
      <c r="B156" s="20" t="s">
        <v>455</v>
      </c>
      <c r="C156" s="20" t="s">
        <v>779</v>
      </c>
      <c r="D156" s="138">
        <v>2140000</v>
      </c>
      <c r="E156" s="20" t="s">
        <v>413</v>
      </c>
      <c r="F156" s="20" t="s">
        <v>414</v>
      </c>
      <c r="G156" s="8" t="str">
        <f t="shared" si="2"/>
        <v>ROBINSON KADDIBA</v>
      </c>
    </row>
    <row r="157" spans="1:7" x14ac:dyDescent="0.25">
      <c r="A157" s="8">
        <v>42900.665405092594</v>
      </c>
      <c r="B157" s="20" t="s">
        <v>426</v>
      </c>
      <c r="C157" s="20" t="s">
        <v>780</v>
      </c>
      <c r="D157" s="138">
        <v>920000</v>
      </c>
      <c r="E157" s="20" t="s">
        <v>415</v>
      </c>
      <c r="F157" s="20" t="s">
        <v>192</v>
      </c>
      <c r="G157" s="8" t="str">
        <f t="shared" si="2"/>
        <v>DAVIS MICHAEL</v>
      </c>
    </row>
    <row r="158" spans="1:7" x14ac:dyDescent="0.25">
      <c r="A158" s="8">
        <v>42900.669305555559</v>
      </c>
      <c r="B158" s="20" t="s">
        <v>370</v>
      </c>
      <c r="C158" s="20" t="s">
        <v>781</v>
      </c>
      <c r="D158" s="138">
        <v>1770000</v>
      </c>
      <c r="E158" s="20" t="s">
        <v>475</v>
      </c>
      <c r="F158" s="20" t="s">
        <v>476</v>
      </c>
      <c r="G158" s="8" t="str">
        <f t="shared" si="2"/>
        <v>BRUDER RICHARD</v>
      </c>
    </row>
    <row r="159" spans="1:7" x14ac:dyDescent="0.25">
      <c r="A159" s="8">
        <v>42900.674837962964</v>
      </c>
      <c r="B159" s="20" t="s">
        <v>400</v>
      </c>
      <c r="C159" s="20" t="s">
        <v>782</v>
      </c>
      <c r="D159" s="138">
        <v>2420000</v>
      </c>
      <c r="E159" s="20" t="s">
        <v>749</v>
      </c>
      <c r="F159" s="20" t="s">
        <v>750</v>
      </c>
      <c r="G159" s="8" t="str">
        <f t="shared" si="2"/>
        <v>HOLCOMB KAMDEN</v>
      </c>
    </row>
    <row r="160" spans="1:7" x14ac:dyDescent="0.25">
      <c r="A160" s="8">
        <v>42900.674861111111</v>
      </c>
      <c r="B160" s="20" t="s">
        <v>601</v>
      </c>
      <c r="C160" s="20" t="s">
        <v>630</v>
      </c>
      <c r="D160" s="138">
        <v>2000000</v>
      </c>
      <c r="E160" s="20" t="s">
        <v>772</v>
      </c>
      <c r="F160" s="20" t="s">
        <v>189</v>
      </c>
      <c r="G160" s="8" t="str">
        <f t="shared" si="2"/>
        <v>STAMBAUGH JAMES</v>
      </c>
    </row>
    <row r="161" spans="1:7" x14ac:dyDescent="0.25">
      <c r="A161" s="8">
        <v>42900.680428240739</v>
      </c>
      <c r="B161" s="20" t="s">
        <v>425</v>
      </c>
      <c r="C161" s="20" t="s">
        <v>783</v>
      </c>
      <c r="D161" s="138">
        <v>2450000</v>
      </c>
      <c r="E161" s="20" t="s">
        <v>539</v>
      </c>
      <c r="F161" s="20" t="s">
        <v>540</v>
      </c>
      <c r="G161" s="8" t="str">
        <f t="shared" si="2"/>
        <v>NELSON ARIANE</v>
      </c>
    </row>
    <row r="162" spans="1:7" x14ac:dyDescent="0.25">
      <c r="A162" s="8">
        <v>42900.680844907409</v>
      </c>
      <c r="B162" s="20" t="s">
        <v>618</v>
      </c>
      <c r="C162" s="20" t="s">
        <v>631</v>
      </c>
      <c r="D162" s="138">
        <v>1300000</v>
      </c>
      <c r="E162" s="20" t="s">
        <v>537</v>
      </c>
      <c r="F162" s="20" t="s">
        <v>538</v>
      </c>
      <c r="G162" s="8" t="str">
        <f t="shared" si="2"/>
        <v>LEVIN SCOTT</v>
      </c>
    </row>
    <row r="163" spans="1:7" x14ac:dyDescent="0.25">
      <c r="A163" s="8">
        <v>42900.683900462966</v>
      </c>
      <c r="B163" s="20" t="s">
        <v>451</v>
      </c>
      <c r="C163" s="20" t="s">
        <v>784</v>
      </c>
      <c r="D163" s="138">
        <v>880000</v>
      </c>
      <c r="E163" s="20" t="s">
        <v>536</v>
      </c>
      <c r="F163" s="20" t="s">
        <v>192</v>
      </c>
      <c r="G163" s="8" t="str">
        <f t="shared" si="2"/>
        <v>STEWART MICHAEL</v>
      </c>
    </row>
    <row r="164" spans="1:7" x14ac:dyDescent="0.25">
      <c r="A164" s="8">
        <v>42900.689201388886</v>
      </c>
      <c r="B164" s="20" t="s">
        <v>608</v>
      </c>
      <c r="C164" s="20" t="s">
        <v>632</v>
      </c>
      <c r="D164" s="138">
        <v>2370000</v>
      </c>
      <c r="E164" s="20" t="s">
        <v>742</v>
      </c>
      <c r="F164" s="20" t="s">
        <v>743</v>
      </c>
      <c r="G164" s="8" t="str">
        <f t="shared" si="2"/>
        <v>DELGADO DIANAH</v>
      </c>
    </row>
    <row r="165" spans="1:7" x14ac:dyDescent="0.25">
      <c r="A165" s="8">
        <v>42900.695879629631</v>
      </c>
      <c r="B165" s="20" t="s">
        <v>456</v>
      </c>
      <c r="C165" s="20" t="s">
        <v>785</v>
      </c>
      <c r="D165" s="138">
        <v>2140000</v>
      </c>
      <c r="E165" s="20" t="s">
        <v>413</v>
      </c>
      <c r="F165" s="20" t="s">
        <v>414</v>
      </c>
      <c r="G165" s="8" t="str">
        <f t="shared" si="2"/>
        <v>ROBINSON KADDIBA</v>
      </c>
    </row>
    <row r="166" spans="1:7" x14ac:dyDescent="0.25">
      <c r="A166" s="8">
        <v>42900.696250000001</v>
      </c>
      <c r="B166" s="20" t="s">
        <v>423</v>
      </c>
      <c r="C166" s="20" t="s">
        <v>786</v>
      </c>
      <c r="D166" s="138">
        <v>2450000</v>
      </c>
      <c r="E166" s="20" t="s">
        <v>539</v>
      </c>
      <c r="F166" s="20" t="s">
        <v>540</v>
      </c>
      <c r="G166" s="8" t="str">
        <f t="shared" si="2"/>
        <v>NELSON ARIANE</v>
      </c>
    </row>
    <row r="167" spans="1:7" x14ac:dyDescent="0.25">
      <c r="A167" s="8">
        <v>42900.699224537035</v>
      </c>
      <c r="B167" s="20" t="s">
        <v>633</v>
      </c>
      <c r="C167" s="20" t="s">
        <v>634</v>
      </c>
      <c r="D167" s="138">
        <v>2000000</v>
      </c>
      <c r="E167" s="20" t="s">
        <v>772</v>
      </c>
      <c r="F167" s="20" t="s">
        <v>189</v>
      </c>
      <c r="G167" s="8" t="str">
        <f t="shared" si="2"/>
        <v>STAMBAUGH JAMES</v>
      </c>
    </row>
    <row r="168" spans="1:7" x14ac:dyDescent="0.25">
      <c r="A168" s="8">
        <v>42900.703888888886</v>
      </c>
      <c r="B168" s="20" t="s">
        <v>373</v>
      </c>
      <c r="C168" s="20" t="s">
        <v>787</v>
      </c>
      <c r="D168" s="138">
        <v>1770000</v>
      </c>
      <c r="E168" s="20" t="s">
        <v>475</v>
      </c>
      <c r="F168" s="20" t="s">
        <v>476</v>
      </c>
      <c r="G168" s="8" t="str">
        <f t="shared" si="2"/>
        <v>BRUDER RICHARD</v>
      </c>
    </row>
    <row r="169" spans="1:7" x14ac:dyDescent="0.25">
      <c r="A169" s="8">
        <v>42900.705949074072</v>
      </c>
      <c r="B169" s="20" t="s">
        <v>422</v>
      </c>
      <c r="C169" s="20" t="s">
        <v>788</v>
      </c>
      <c r="D169" s="138">
        <v>920000</v>
      </c>
      <c r="E169" s="20" t="s">
        <v>415</v>
      </c>
      <c r="F169" s="20" t="s">
        <v>192</v>
      </c>
      <c r="G169" s="8" t="str">
        <f t="shared" si="2"/>
        <v>DAVIS MICHAEL</v>
      </c>
    </row>
    <row r="170" spans="1:7" x14ac:dyDescent="0.25">
      <c r="A170" s="8">
        <v>42900.707615740743</v>
      </c>
      <c r="B170" s="20" t="s">
        <v>341</v>
      </c>
      <c r="C170" s="20" t="s">
        <v>789</v>
      </c>
      <c r="D170" s="138">
        <v>1740000</v>
      </c>
      <c r="E170" s="20" t="s">
        <v>508</v>
      </c>
      <c r="F170" s="20" t="s">
        <v>509</v>
      </c>
      <c r="G170" s="8" t="str">
        <f t="shared" si="2"/>
        <v>STORY SAMANTHA</v>
      </c>
    </row>
    <row r="171" spans="1:7" x14ac:dyDescent="0.25">
      <c r="A171" s="8">
        <v>42900.713101851848</v>
      </c>
      <c r="B171" s="20" t="s">
        <v>601</v>
      </c>
      <c r="C171" s="20" t="s">
        <v>790</v>
      </c>
      <c r="D171" s="138">
        <v>2000000</v>
      </c>
      <c r="E171" s="20" t="s">
        <v>772</v>
      </c>
      <c r="F171" s="20" t="s">
        <v>189</v>
      </c>
      <c r="G171" s="8" t="str">
        <f t="shared" si="2"/>
        <v>STAMBAUGH JAMES</v>
      </c>
    </row>
    <row r="172" spans="1:7" x14ac:dyDescent="0.25">
      <c r="A172" s="8">
        <v>42900.714305555557</v>
      </c>
      <c r="B172" s="20" t="s">
        <v>603</v>
      </c>
      <c r="C172" s="20" t="s">
        <v>791</v>
      </c>
      <c r="D172" s="138">
        <v>2420000</v>
      </c>
      <c r="E172" s="20" t="s">
        <v>749</v>
      </c>
      <c r="F172" s="20" t="s">
        <v>750</v>
      </c>
      <c r="G172" s="8" t="str">
        <f t="shared" si="2"/>
        <v>HOLCOMB KAMDEN</v>
      </c>
    </row>
    <row r="173" spans="1:7" x14ac:dyDescent="0.25">
      <c r="A173" s="8">
        <v>42900.715474537035</v>
      </c>
      <c r="B173" s="20" t="s">
        <v>599</v>
      </c>
      <c r="C173" s="20" t="s">
        <v>635</v>
      </c>
      <c r="D173" s="138">
        <v>1300000</v>
      </c>
      <c r="E173" s="20" t="s">
        <v>537</v>
      </c>
      <c r="F173" s="20" t="s">
        <v>538</v>
      </c>
      <c r="G173" s="8" t="str">
        <f t="shared" si="2"/>
        <v>LEVIN SCOTT</v>
      </c>
    </row>
    <row r="174" spans="1:7" x14ac:dyDescent="0.25">
      <c r="A174" s="8">
        <v>42900.719166666669</v>
      </c>
      <c r="B174" s="20" t="s">
        <v>425</v>
      </c>
      <c r="C174" s="20" t="s">
        <v>792</v>
      </c>
      <c r="D174" s="138">
        <v>2450000</v>
      </c>
      <c r="E174" s="20" t="s">
        <v>539</v>
      </c>
      <c r="F174" s="20" t="s">
        <v>540</v>
      </c>
      <c r="G174" s="8" t="str">
        <f t="shared" si="2"/>
        <v>NELSON ARIANE</v>
      </c>
    </row>
    <row r="175" spans="1:7" x14ac:dyDescent="0.25">
      <c r="A175" s="8">
        <v>42900.724247685182</v>
      </c>
      <c r="B175" s="20" t="s">
        <v>461</v>
      </c>
      <c r="C175" s="20" t="s">
        <v>793</v>
      </c>
      <c r="D175" s="138">
        <v>880000</v>
      </c>
      <c r="E175" s="20" t="s">
        <v>536</v>
      </c>
      <c r="F175" s="20" t="s">
        <v>192</v>
      </c>
      <c r="G175" s="8" t="str">
        <f t="shared" si="2"/>
        <v>STEWART MICHAEL</v>
      </c>
    </row>
    <row r="176" spans="1:7" x14ac:dyDescent="0.25">
      <c r="A176" s="8">
        <v>42900.729699074072</v>
      </c>
      <c r="B176" s="20" t="s">
        <v>668</v>
      </c>
      <c r="C176" s="20" t="s">
        <v>794</v>
      </c>
      <c r="D176" s="138">
        <v>2370000</v>
      </c>
      <c r="E176" s="20" t="s">
        <v>742</v>
      </c>
      <c r="F176" s="20" t="s">
        <v>743</v>
      </c>
      <c r="G176" s="8" t="str">
        <f t="shared" si="2"/>
        <v>DELGADO DIANAH</v>
      </c>
    </row>
    <row r="177" spans="1:7" x14ac:dyDescent="0.25">
      <c r="A177" s="8">
        <v>42900.730891203704</v>
      </c>
      <c r="B177" s="20" t="s">
        <v>668</v>
      </c>
      <c r="C177" s="20" t="s">
        <v>794</v>
      </c>
      <c r="D177" s="138">
        <v>2370000</v>
      </c>
      <c r="E177" s="20" t="s">
        <v>742</v>
      </c>
      <c r="F177" s="20" t="s">
        <v>743</v>
      </c>
      <c r="G177" s="8" t="str">
        <f t="shared" si="2"/>
        <v>DELGADO DIANAH</v>
      </c>
    </row>
    <row r="178" spans="1:7" x14ac:dyDescent="0.25">
      <c r="A178" s="8">
        <v>42900.73201388889</v>
      </c>
      <c r="B178" s="20" t="s">
        <v>339</v>
      </c>
      <c r="C178" s="20" t="s">
        <v>795</v>
      </c>
      <c r="D178" s="138">
        <v>2350000</v>
      </c>
      <c r="E178" s="20" t="s">
        <v>796</v>
      </c>
      <c r="F178" s="20" t="s">
        <v>797</v>
      </c>
      <c r="G178" s="8" t="str">
        <f t="shared" si="2"/>
        <v>BERLING GARY</v>
      </c>
    </row>
    <row r="179" spans="1:7" x14ac:dyDescent="0.25">
      <c r="A179" s="8">
        <v>42900.735821759263</v>
      </c>
      <c r="B179" s="20" t="s">
        <v>423</v>
      </c>
      <c r="C179" s="20" t="s">
        <v>798</v>
      </c>
      <c r="D179" s="138">
        <v>2450000</v>
      </c>
      <c r="E179" s="20" t="s">
        <v>539</v>
      </c>
      <c r="F179" s="20" t="s">
        <v>540</v>
      </c>
      <c r="G179" s="8" t="str">
        <f t="shared" si="2"/>
        <v>NELSON ARIANE</v>
      </c>
    </row>
    <row r="180" spans="1:7" x14ac:dyDescent="0.25">
      <c r="A180" s="8">
        <v>42900.736273148148</v>
      </c>
      <c r="B180" s="20" t="s">
        <v>455</v>
      </c>
      <c r="C180" s="20" t="s">
        <v>799</v>
      </c>
      <c r="D180" s="138">
        <v>2140000</v>
      </c>
      <c r="E180" s="20" t="s">
        <v>413</v>
      </c>
      <c r="F180" s="20" t="s">
        <v>414</v>
      </c>
      <c r="G180" s="8" t="str">
        <f t="shared" si="2"/>
        <v>ROBINSON KADDIBA</v>
      </c>
    </row>
    <row r="181" spans="1:7" x14ac:dyDescent="0.25">
      <c r="A181" s="8">
        <v>42900.737199074072</v>
      </c>
      <c r="B181" s="20" t="s">
        <v>426</v>
      </c>
      <c r="C181" s="20" t="s">
        <v>800</v>
      </c>
      <c r="D181" s="138">
        <v>2090000</v>
      </c>
      <c r="E181" s="20" t="s">
        <v>486</v>
      </c>
      <c r="F181" s="20" t="s">
        <v>192</v>
      </c>
      <c r="G181" s="8" t="str">
        <f t="shared" si="2"/>
        <v>HAITHCOX MICHAEL</v>
      </c>
    </row>
    <row r="182" spans="1:7" x14ac:dyDescent="0.25">
      <c r="A182" s="8">
        <v>42900.739895833336</v>
      </c>
      <c r="B182" s="20" t="s">
        <v>633</v>
      </c>
      <c r="C182" s="20" t="s">
        <v>801</v>
      </c>
      <c r="D182" s="138">
        <v>2000000</v>
      </c>
      <c r="E182" s="20" t="s">
        <v>772</v>
      </c>
      <c r="F182" s="20" t="s">
        <v>189</v>
      </c>
      <c r="G182" s="8" t="str">
        <f t="shared" si="2"/>
        <v>STAMBAUGH JAMES</v>
      </c>
    </row>
    <row r="183" spans="1:7" x14ac:dyDescent="0.25">
      <c r="A183" s="8">
        <v>42900.743067129632</v>
      </c>
      <c r="B183" s="20" t="s">
        <v>370</v>
      </c>
      <c r="C183" s="20" t="s">
        <v>637</v>
      </c>
      <c r="D183" s="138">
        <v>1770000</v>
      </c>
      <c r="E183" s="20" t="s">
        <v>475</v>
      </c>
      <c r="F183" s="20" t="s">
        <v>476</v>
      </c>
      <c r="G183" s="8" t="str">
        <f t="shared" si="2"/>
        <v>BRUDER RICHARD</v>
      </c>
    </row>
    <row r="184" spans="1:7" x14ac:dyDescent="0.25">
      <c r="A184" s="8">
        <v>42900.747939814813</v>
      </c>
      <c r="B184" s="20" t="s">
        <v>400</v>
      </c>
      <c r="C184" s="20" t="s">
        <v>802</v>
      </c>
      <c r="D184" s="138">
        <v>2420000</v>
      </c>
      <c r="E184" s="20" t="s">
        <v>749</v>
      </c>
      <c r="F184" s="20" t="s">
        <v>750</v>
      </c>
      <c r="G184" s="8" t="str">
        <f t="shared" si="2"/>
        <v>HOLCOMB KAMDEN</v>
      </c>
    </row>
    <row r="185" spans="1:7" x14ac:dyDescent="0.25">
      <c r="A185" s="8">
        <v>42900.755069444444</v>
      </c>
      <c r="B185" s="20" t="s">
        <v>618</v>
      </c>
      <c r="C185" s="20" t="s">
        <v>803</v>
      </c>
      <c r="D185" s="138">
        <v>1300000</v>
      </c>
      <c r="E185" s="20" t="s">
        <v>537</v>
      </c>
      <c r="F185" s="20" t="s">
        <v>538</v>
      </c>
      <c r="G185" s="8" t="str">
        <f t="shared" si="2"/>
        <v>LEVIN SCOTT</v>
      </c>
    </row>
    <row r="186" spans="1:7" x14ac:dyDescent="0.25">
      <c r="A186" s="8">
        <v>42900.756215277775</v>
      </c>
      <c r="B186" s="20" t="s">
        <v>528</v>
      </c>
      <c r="C186" s="20" t="s">
        <v>804</v>
      </c>
      <c r="D186" s="138">
        <v>2680000</v>
      </c>
      <c r="E186" s="20" t="s">
        <v>416</v>
      </c>
      <c r="F186" s="20" t="s">
        <v>417</v>
      </c>
      <c r="G186" s="8" t="str">
        <f t="shared" si="2"/>
        <v>DUNCAN SHEILA</v>
      </c>
    </row>
    <row r="187" spans="1:7" x14ac:dyDescent="0.25">
      <c r="A187" s="8">
        <v>42900.757187499999</v>
      </c>
      <c r="B187" s="20" t="s">
        <v>601</v>
      </c>
      <c r="C187" s="20" t="s">
        <v>636</v>
      </c>
      <c r="D187" s="138">
        <v>2000000</v>
      </c>
      <c r="E187" s="20" t="s">
        <v>772</v>
      </c>
      <c r="F187" s="20" t="s">
        <v>189</v>
      </c>
      <c r="G187" s="8" t="str">
        <f t="shared" si="2"/>
        <v>STAMBAUGH JAMES</v>
      </c>
    </row>
    <row r="188" spans="1:7" x14ac:dyDescent="0.25">
      <c r="A188" s="8">
        <v>42900.759189814817</v>
      </c>
      <c r="B188" s="20" t="s">
        <v>451</v>
      </c>
      <c r="C188" s="20" t="s">
        <v>638</v>
      </c>
      <c r="D188" s="138">
        <v>2230000</v>
      </c>
      <c r="E188" s="20" t="s">
        <v>342</v>
      </c>
      <c r="F188" s="20" t="s">
        <v>192</v>
      </c>
      <c r="G188" s="8" t="str">
        <f t="shared" si="2"/>
        <v>SMITH MICHAEL</v>
      </c>
    </row>
    <row r="189" spans="1:7" x14ac:dyDescent="0.25">
      <c r="A189" s="8">
        <v>42900.759791666664</v>
      </c>
      <c r="B189" s="20" t="s">
        <v>608</v>
      </c>
      <c r="C189" s="20" t="s">
        <v>640</v>
      </c>
      <c r="D189" s="138">
        <v>2370000</v>
      </c>
      <c r="E189" s="20" t="s">
        <v>742</v>
      </c>
      <c r="F189" s="20" t="s">
        <v>743</v>
      </c>
      <c r="G189" s="8" t="str">
        <f t="shared" si="2"/>
        <v>DELGADO DIANAH</v>
      </c>
    </row>
    <row r="190" spans="1:7" x14ac:dyDescent="0.25">
      <c r="A190" s="8">
        <v>42900.761111111111</v>
      </c>
      <c r="B190" s="20" t="s">
        <v>608</v>
      </c>
      <c r="C190" s="20" t="s">
        <v>640</v>
      </c>
      <c r="D190" s="138">
        <v>2370000</v>
      </c>
      <c r="E190" s="20" t="s">
        <v>742</v>
      </c>
      <c r="F190" s="20" t="s">
        <v>743</v>
      </c>
      <c r="G190" s="8" t="str">
        <f t="shared" si="2"/>
        <v>DELGADO DIANAH</v>
      </c>
    </row>
    <row r="191" spans="1:7" x14ac:dyDescent="0.25">
      <c r="A191" s="8">
        <v>42900.762962962966</v>
      </c>
      <c r="B191" s="20" t="s">
        <v>608</v>
      </c>
      <c r="C191" s="20" t="s">
        <v>640</v>
      </c>
      <c r="D191" s="138">
        <v>2370000</v>
      </c>
      <c r="E191" s="20" t="s">
        <v>742</v>
      </c>
      <c r="F191" s="20" t="s">
        <v>743</v>
      </c>
      <c r="G191" s="8" t="str">
        <f t="shared" si="2"/>
        <v>DELGADO DIANAH</v>
      </c>
    </row>
    <row r="192" spans="1:7" x14ac:dyDescent="0.25">
      <c r="A192" s="8">
        <v>42900.763020833336</v>
      </c>
      <c r="B192" s="20" t="s">
        <v>425</v>
      </c>
      <c r="C192" s="20" t="s">
        <v>805</v>
      </c>
      <c r="D192" s="138">
        <v>2450000</v>
      </c>
      <c r="E192" s="20" t="s">
        <v>539</v>
      </c>
      <c r="F192" s="20" t="s">
        <v>540</v>
      </c>
      <c r="G192" s="8" t="str">
        <f t="shared" si="2"/>
        <v>NELSON ARIANE</v>
      </c>
    </row>
    <row r="193" spans="1:7" x14ac:dyDescent="0.25">
      <c r="A193" s="8">
        <v>42900.769537037035</v>
      </c>
      <c r="B193" s="20" t="s">
        <v>456</v>
      </c>
      <c r="C193" s="20" t="s">
        <v>806</v>
      </c>
      <c r="D193" s="138">
        <v>3090000</v>
      </c>
      <c r="E193" s="20" t="s">
        <v>376</v>
      </c>
      <c r="F193" s="20" t="s">
        <v>377</v>
      </c>
      <c r="G193" s="8" t="str">
        <f t="shared" si="2"/>
        <v>LAMAR NEKESHA</v>
      </c>
    </row>
    <row r="194" spans="1:7" x14ac:dyDescent="0.25">
      <c r="A194" s="8">
        <v>42900.772326388891</v>
      </c>
      <c r="B194" s="20" t="s">
        <v>633</v>
      </c>
      <c r="C194" s="20" t="s">
        <v>807</v>
      </c>
      <c r="D194" s="138">
        <v>2000000</v>
      </c>
      <c r="E194" s="20" t="s">
        <v>772</v>
      </c>
      <c r="F194" s="20" t="s">
        <v>189</v>
      </c>
      <c r="G194" s="8" t="str">
        <f t="shared" si="2"/>
        <v>STAMBAUGH JAMES</v>
      </c>
    </row>
    <row r="195" spans="1:7" x14ac:dyDescent="0.25">
      <c r="A195" s="8">
        <v>42900.774629629632</v>
      </c>
      <c r="B195" s="20" t="s">
        <v>422</v>
      </c>
      <c r="C195" s="20" t="s">
        <v>639</v>
      </c>
      <c r="D195" s="138">
        <v>2090000</v>
      </c>
      <c r="E195" s="20" t="s">
        <v>486</v>
      </c>
      <c r="F195" s="20" t="s">
        <v>192</v>
      </c>
      <c r="G195" s="8" t="str">
        <f t="shared" ref="G195:G258" si="3">E195&amp;" "&amp;F195</f>
        <v>HAITHCOX MICHAEL</v>
      </c>
    </row>
    <row r="196" spans="1:7" x14ac:dyDescent="0.25">
      <c r="A196" s="8">
        <v>42900.777766203704</v>
      </c>
      <c r="B196" s="20" t="s">
        <v>373</v>
      </c>
      <c r="C196" s="20" t="s">
        <v>808</v>
      </c>
      <c r="D196" s="138">
        <v>1770000</v>
      </c>
      <c r="E196" s="20" t="s">
        <v>475</v>
      </c>
      <c r="F196" s="20" t="s">
        <v>476</v>
      </c>
      <c r="G196" s="8" t="str">
        <f t="shared" si="3"/>
        <v>BRUDER RICHARD</v>
      </c>
    </row>
    <row r="197" spans="1:7" x14ac:dyDescent="0.25">
      <c r="A197" s="8">
        <v>42900.778854166667</v>
      </c>
      <c r="B197" s="20" t="s">
        <v>423</v>
      </c>
      <c r="C197" s="20" t="s">
        <v>809</v>
      </c>
      <c r="D197" s="138">
        <v>2450000</v>
      </c>
      <c r="E197" s="20" t="s">
        <v>539</v>
      </c>
      <c r="F197" s="20" t="s">
        <v>540</v>
      </c>
      <c r="G197" s="8" t="str">
        <f t="shared" si="3"/>
        <v>NELSON ARIANE</v>
      </c>
    </row>
    <row r="198" spans="1:7" x14ac:dyDescent="0.25">
      <c r="A198" s="8">
        <v>42900.787118055552</v>
      </c>
      <c r="B198" s="20" t="s">
        <v>599</v>
      </c>
      <c r="C198" s="20" t="s">
        <v>641</v>
      </c>
      <c r="D198" s="138">
        <v>3000000</v>
      </c>
      <c r="E198" s="20" t="s">
        <v>427</v>
      </c>
      <c r="F198" s="20" t="s">
        <v>428</v>
      </c>
      <c r="G198" s="8" t="str">
        <f t="shared" si="3"/>
        <v>FORTUNATO FRANK</v>
      </c>
    </row>
    <row r="199" spans="1:7" x14ac:dyDescent="0.25">
      <c r="A199" s="8">
        <v>42900.787638888891</v>
      </c>
      <c r="B199" s="20" t="s">
        <v>603</v>
      </c>
      <c r="C199" s="20" t="s">
        <v>810</v>
      </c>
      <c r="D199" s="138">
        <v>2420000</v>
      </c>
      <c r="E199" s="20" t="s">
        <v>749</v>
      </c>
      <c r="F199" s="20" t="s">
        <v>750</v>
      </c>
      <c r="G199" s="8" t="str">
        <f t="shared" si="3"/>
        <v>HOLCOMB KAMDEN</v>
      </c>
    </row>
    <row r="200" spans="1:7" x14ac:dyDescent="0.25">
      <c r="A200" s="8">
        <v>42900.791875000003</v>
      </c>
      <c r="B200" s="20" t="s">
        <v>461</v>
      </c>
      <c r="C200" s="20" t="s">
        <v>643</v>
      </c>
      <c r="D200" s="138">
        <v>2230000</v>
      </c>
      <c r="E200" s="20" t="s">
        <v>342</v>
      </c>
      <c r="F200" s="20" t="s">
        <v>192</v>
      </c>
      <c r="G200" s="8" t="str">
        <f t="shared" si="3"/>
        <v>SMITH MICHAEL</v>
      </c>
    </row>
    <row r="201" spans="1:7" x14ac:dyDescent="0.25">
      <c r="A201" s="8">
        <v>42900.797615740739</v>
      </c>
      <c r="B201" s="20" t="s">
        <v>601</v>
      </c>
      <c r="C201" s="20" t="s">
        <v>811</v>
      </c>
      <c r="D201" s="138">
        <v>2000000</v>
      </c>
      <c r="E201" s="20" t="s">
        <v>772</v>
      </c>
      <c r="F201" s="20" t="s">
        <v>189</v>
      </c>
      <c r="G201" s="8" t="str">
        <f t="shared" si="3"/>
        <v>STAMBAUGH JAMES</v>
      </c>
    </row>
    <row r="202" spans="1:7" x14ac:dyDescent="0.25">
      <c r="A202" s="26">
        <v>42900.797881944447</v>
      </c>
      <c r="B202" s="20" t="s">
        <v>668</v>
      </c>
      <c r="C202" s="20" t="s">
        <v>812</v>
      </c>
      <c r="D202" s="138">
        <v>2370000</v>
      </c>
      <c r="E202" s="20" t="s">
        <v>742</v>
      </c>
      <c r="F202" s="20" t="s">
        <v>743</v>
      </c>
      <c r="G202" s="8" t="str">
        <f t="shared" si="3"/>
        <v>DELGADO DIANAH</v>
      </c>
    </row>
    <row r="203" spans="1:7" x14ac:dyDescent="0.25">
      <c r="A203" s="8">
        <v>42900.804652777777</v>
      </c>
      <c r="B203" s="20" t="s">
        <v>425</v>
      </c>
      <c r="C203" s="20" t="s">
        <v>813</v>
      </c>
      <c r="D203" s="138">
        <v>2450000</v>
      </c>
      <c r="E203" s="20" t="s">
        <v>539</v>
      </c>
      <c r="F203" s="20" t="s">
        <v>540</v>
      </c>
      <c r="G203" s="8" t="str">
        <f t="shared" si="3"/>
        <v>NELSON ARIANE</v>
      </c>
    </row>
    <row r="204" spans="1:7" x14ac:dyDescent="0.25">
      <c r="A204" s="8">
        <v>42900.808831018519</v>
      </c>
      <c r="B204" s="20" t="s">
        <v>455</v>
      </c>
      <c r="C204" s="20" t="s">
        <v>642</v>
      </c>
      <c r="D204" s="138">
        <v>3090000</v>
      </c>
      <c r="E204" s="20" t="s">
        <v>376</v>
      </c>
      <c r="F204" s="20" t="s">
        <v>377</v>
      </c>
      <c r="G204" s="8" t="str">
        <f t="shared" si="3"/>
        <v>LAMAR NEKESHA</v>
      </c>
    </row>
    <row r="205" spans="1:7" x14ac:dyDescent="0.25">
      <c r="A205" s="8">
        <v>42900.81050925926</v>
      </c>
      <c r="B205" s="20" t="s">
        <v>426</v>
      </c>
      <c r="C205" s="20" t="s">
        <v>814</v>
      </c>
      <c r="D205" s="138">
        <v>2090000</v>
      </c>
      <c r="E205" s="20" t="s">
        <v>486</v>
      </c>
      <c r="F205" s="20" t="s">
        <v>192</v>
      </c>
      <c r="G205" s="8" t="str">
        <f t="shared" si="3"/>
        <v>HAITHCOX MICHAEL</v>
      </c>
    </row>
    <row r="206" spans="1:7" x14ac:dyDescent="0.25">
      <c r="A206" s="8">
        <v>42900.817048611112</v>
      </c>
      <c r="B206" s="20" t="s">
        <v>400</v>
      </c>
      <c r="C206" s="20" t="s">
        <v>815</v>
      </c>
      <c r="D206" s="138">
        <v>2420000</v>
      </c>
      <c r="E206" s="20" t="s">
        <v>749</v>
      </c>
      <c r="F206" s="20" t="s">
        <v>750</v>
      </c>
      <c r="G206" s="8" t="str">
        <f t="shared" si="3"/>
        <v>HOLCOMB KAMDEN</v>
      </c>
    </row>
    <row r="207" spans="1:7" x14ac:dyDescent="0.25">
      <c r="A207" s="8">
        <v>42900.82068287037</v>
      </c>
      <c r="B207" s="20" t="s">
        <v>423</v>
      </c>
      <c r="C207" s="20" t="s">
        <v>644</v>
      </c>
      <c r="D207" s="138">
        <v>2450000</v>
      </c>
      <c r="E207" s="20" t="s">
        <v>539</v>
      </c>
      <c r="F207" s="20" t="s">
        <v>540</v>
      </c>
      <c r="G207" s="8" t="str">
        <f t="shared" si="3"/>
        <v>NELSON ARIANE</v>
      </c>
    </row>
    <row r="208" spans="1:7" x14ac:dyDescent="0.25">
      <c r="A208" s="8">
        <v>42900.82953703704</v>
      </c>
      <c r="B208" s="20" t="s">
        <v>451</v>
      </c>
      <c r="C208" s="20" t="s">
        <v>816</v>
      </c>
      <c r="D208" s="138">
        <v>2230000</v>
      </c>
      <c r="E208" s="20" t="s">
        <v>342</v>
      </c>
      <c r="F208" s="20" t="s">
        <v>192</v>
      </c>
      <c r="G208" s="8" t="str">
        <f t="shared" si="3"/>
        <v>SMITH MICHAEL</v>
      </c>
    </row>
    <row r="209" spans="1:7" x14ac:dyDescent="0.25">
      <c r="A209" s="8">
        <v>42900.830694444441</v>
      </c>
      <c r="B209" s="20" t="s">
        <v>618</v>
      </c>
      <c r="C209" s="20" t="s">
        <v>817</v>
      </c>
      <c r="D209" s="138">
        <v>3000000</v>
      </c>
      <c r="E209" s="20" t="s">
        <v>427</v>
      </c>
      <c r="F209" s="20" t="s">
        <v>428</v>
      </c>
      <c r="G209" s="8" t="str">
        <f t="shared" si="3"/>
        <v>FORTUNATO FRANK</v>
      </c>
    </row>
    <row r="210" spans="1:7" x14ac:dyDescent="0.25">
      <c r="A210" s="8">
        <v>42900.840648148151</v>
      </c>
      <c r="B210" s="20" t="s">
        <v>422</v>
      </c>
      <c r="C210" s="20" t="s">
        <v>646</v>
      </c>
      <c r="D210" s="138">
        <v>2090000</v>
      </c>
      <c r="E210" s="20" t="s">
        <v>486</v>
      </c>
      <c r="F210" s="20" t="s">
        <v>192</v>
      </c>
      <c r="G210" s="8" t="str">
        <f t="shared" si="3"/>
        <v>HAITHCOX MICHAEL</v>
      </c>
    </row>
    <row r="211" spans="1:7" x14ac:dyDescent="0.25">
      <c r="A211" s="8">
        <v>42900.846921296295</v>
      </c>
      <c r="B211" s="20" t="s">
        <v>425</v>
      </c>
      <c r="C211" s="20" t="s">
        <v>645</v>
      </c>
      <c r="D211" s="138">
        <v>2450000</v>
      </c>
      <c r="E211" s="20" t="s">
        <v>539</v>
      </c>
      <c r="F211" s="20" t="s">
        <v>540</v>
      </c>
      <c r="G211" s="8" t="str">
        <f t="shared" si="3"/>
        <v>NELSON ARIANE</v>
      </c>
    </row>
    <row r="212" spans="1:7" x14ac:dyDescent="0.25">
      <c r="A212" s="8">
        <v>42900.850057870368</v>
      </c>
      <c r="B212" s="20" t="s">
        <v>456</v>
      </c>
      <c r="C212" s="20" t="s">
        <v>818</v>
      </c>
      <c r="D212" s="138">
        <v>3090000</v>
      </c>
      <c r="E212" s="20" t="s">
        <v>376</v>
      </c>
      <c r="F212" s="20" t="s">
        <v>377</v>
      </c>
      <c r="G212" s="8" t="str">
        <f t="shared" si="3"/>
        <v>LAMAR NEKESHA</v>
      </c>
    </row>
    <row r="213" spans="1:7" x14ac:dyDescent="0.25">
      <c r="A213" s="8">
        <v>42900.861527777779</v>
      </c>
      <c r="B213" s="20" t="s">
        <v>423</v>
      </c>
      <c r="C213" s="20" t="s">
        <v>819</v>
      </c>
      <c r="D213" s="138">
        <v>2450000</v>
      </c>
      <c r="E213" s="20" t="s">
        <v>539</v>
      </c>
      <c r="F213" s="20" t="s">
        <v>540</v>
      </c>
      <c r="G213" s="8" t="str">
        <f t="shared" si="3"/>
        <v>NELSON ARIANE</v>
      </c>
    </row>
    <row r="214" spans="1:7" x14ac:dyDescent="0.25">
      <c r="A214" s="8">
        <v>42900.863182870373</v>
      </c>
      <c r="B214" s="20" t="s">
        <v>599</v>
      </c>
      <c r="C214" s="20" t="s">
        <v>820</v>
      </c>
      <c r="D214" s="138">
        <v>3000000</v>
      </c>
      <c r="E214" s="20" t="s">
        <v>427</v>
      </c>
      <c r="F214" s="20" t="s">
        <v>428</v>
      </c>
      <c r="G214" s="8" t="str">
        <f t="shared" si="3"/>
        <v>FORTUNATO FRANK</v>
      </c>
    </row>
    <row r="215" spans="1:7" x14ac:dyDescent="0.25">
      <c r="A215" s="8">
        <v>42900.865532407406</v>
      </c>
      <c r="B215" s="20" t="s">
        <v>461</v>
      </c>
      <c r="C215" s="20" t="s">
        <v>821</v>
      </c>
      <c r="D215" s="138">
        <v>2230000</v>
      </c>
      <c r="E215" s="20" t="s">
        <v>342</v>
      </c>
      <c r="F215" s="20" t="s">
        <v>192</v>
      </c>
      <c r="G215" s="8" t="str">
        <f t="shared" si="3"/>
        <v>SMITH MICHAEL</v>
      </c>
    </row>
    <row r="216" spans="1:7" x14ac:dyDescent="0.25">
      <c r="A216" s="8">
        <v>42900.876643518517</v>
      </c>
      <c r="B216" s="20" t="s">
        <v>425</v>
      </c>
      <c r="C216" s="20" t="s">
        <v>647</v>
      </c>
      <c r="D216" s="138">
        <v>2000000</v>
      </c>
      <c r="E216" s="20" t="s">
        <v>772</v>
      </c>
      <c r="F216" s="20" t="s">
        <v>189</v>
      </c>
      <c r="G216" s="8" t="str">
        <f t="shared" si="3"/>
        <v>STAMBAUGH JAMES</v>
      </c>
    </row>
    <row r="217" spans="1:7" x14ac:dyDescent="0.25">
      <c r="A217" s="8">
        <v>42900.877175925925</v>
      </c>
      <c r="B217" s="20" t="s">
        <v>425</v>
      </c>
      <c r="C217" s="20" t="s">
        <v>822</v>
      </c>
      <c r="D217" s="138">
        <v>2000000</v>
      </c>
      <c r="E217" s="20" t="s">
        <v>772</v>
      </c>
      <c r="F217" s="20" t="s">
        <v>189</v>
      </c>
      <c r="G217" s="8" t="str">
        <f t="shared" si="3"/>
        <v>STAMBAUGH JAMES</v>
      </c>
    </row>
    <row r="218" spans="1:7" x14ac:dyDescent="0.25">
      <c r="A218" s="8">
        <v>42900.890821759262</v>
      </c>
      <c r="B218" s="20" t="s">
        <v>455</v>
      </c>
      <c r="C218" s="20" t="s">
        <v>823</v>
      </c>
      <c r="D218" s="138">
        <v>3090000</v>
      </c>
      <c r="E218" s="20" t="s">
        <v>376</v>
      </c>
      <c r="F218" s="20" t="s">
        <v>377</v>
      </c>
      <c r="G218" s="8" t="str">
        <f t="shared" si="3"/>
        <v>LAMAR NEKESHA</v>
      </c>
    </row>
    <row r="219" spans="1:7" x14ac:dyDescent="0.25">
      <c r="A219" s="8">
        <v>42900.893113425926</v>
      </c>
      <c r="B219" s="20" t="s">
        <v>426</v>
      </c>
      <c r="C219" s="20" t="s">
        <v>824</v>
      </c>
      <c r="D219" s="138">
        <v>2090000</v>
      </c>
      <c r="E219" s="20" t="s">
        <v>486</v>
      </c>
      <c r="F219" s="20" t="s">
        <v>192</v>
      </c>
      <c r="G219" s="8" t="str">
        <f t="shared" si="3"/>
        <v>HAITHCOX MICHAEL</v>
      </c>
    </row>
    <row r="220" spans="1:7" x14ac:dyDescent="0.25">
      <c r="A220" s="8">
        <v>42900.902627314812</v>
      </c>
      <c r="B220" s="20" t="s">
        <v>423</v>
      </c>
      <c r="C220" s="20" t="s">
        <v>647</v>
      </c>
      <c r="D220" s="138">
        <v>2000000</v>
      </c>
      <c r="E220" s="20" t="s">
        <v>772</v>
      </c>
      <c r="F220" s="20" t="s">
        <v>189</v>
      </c>
      <c r="G220" s="8" t="str">
        <f t="shared" si="3"/>
        <v>STAMBAUGH JAMES</v>
      </c>
    </row>
    <row r="221" spans="1:7" x14ac:dyDescent="0.25">
      <c r="A221" s="8">
        <v>42900.910601851851</v>
      </c>
      <c r="B221" s="20" t="s">
        <v>451</v>
      </c>
      <c r="C221" s="20" t="s">
        <v>825</v>
      </c>
      <c r="D221" s="138">
        <v>2230000</v>
      </c>
      <c r="E221" s="20" t="s">
        <v>342</v>
      </c>
      <c r="F221" s="20" t="s">
        <v>192</v>
      </c>
      <c r="G221" s="8" t="str">
        <f t="shared" si="3"/>
        <v>SMITH MICHAEL</v>
      </c>
    </row>
    <row r="222" spans="1:7" x14ac:dyDescent="0.25">
      <c r="A222" s="8">
        <v>42900.91202546296</v>
      </c>
      <c r="B222" s="20" t="s">
        <v>618</v>
      </c>
      <c r="C222" s="20" t="s">
        <v>826</v>
      </c>
      <c r="D222" s="138">
        <v>3000000</v>
      </c>
      <c r="E222" s="20" t="s">
        <v>427</v>
      </c>
      <c r="F222" s="20" t="s">
        <v>428</v>
      </c>
      <c r="G222" s="8" t="str">
        <f t="shared" si="3"/>
        <v>FORTUNATO FRANK</v>
      </c>
    </row>
    <row r="223" spans="1:7" x14ac:dyDescent="0.25">
      <c r="A223" s="8">
        <v>42900.915034722224</v>
      </c>
      <c r="B223" s="20" t="s">
        <v>425</v>
      </c>
      <c r="C223" s="20" t="s">
        <v>648</v>
      </c>
      <c r="D223" s="138">
        <v>2000000</v>
      </c>
      <c r="E223" s="20" t="s">
        <v>772</v>
      </c>
      <c r="F223" s="20" t="s">
        <v>189</v>
      </c>
      <c r="G223" s="8" t="str">
        <f t="shared" si="3"/>
        <v>STAMBAUGH JAMES</v>
      </c>
    </row>
    <row r="224" spans="1:7" x14ac:dyDescent="0.25">
      <c r="A224" s="8">
        <v>42900.916215277779</v>
      </c>
      <c r="B224" t="s">
        <v>455</v>
      </c>
      <c r="C224" t="s">
        <v>823</v>
      </c>
      <c r="D224" s="138">
        <v>3090000</v>
      </c>
      <c r="E224" t="s">
        <v>376</v>
      </c>
      <c r="F224" s="20" t="s">
        <v>377</v>
      </c>
      <c r="G224" s="8" t="str">
        <f t="shared" si="3"/>
        <v>LAMAR NEKESHA</v>
      </c>
    </row>
    <row r="225" spans="1:7" x14ac:dyDescent="0.25">
      <c r="A225" s="8">
        <v>42900.932824074072</v>
      </c>
      <c r="B225" t="s">
        <v>422</v>
      </c>
      <c r="C225" t="s">
        <v>827</v>
      </c>
      <c r="D225" s="138">
        <v>2090000</v>
      </c>
      <c r="E225" t="s">
        <v>486</v>
      </c>
      <c r="F225" s="20" t="s">
        <v>192</v>
      </c>
      <c r="G225" s="8" t="str">
        <f t="shared" si="3"/>
        <v>HAITHCOX MICHAEL</v>
      </c>
    </row>
    <row r="226" spans="1:7" x14ac:dyDescent="0.25">
      <c r="A226" s="8">
        <v>42900.935034722221</v>
      </c>
      <c r="B226" t="s">
        <v>456</v>
      </c>
      <c r="C226" t="s">
        <v>828</v>
      </c>
      <c r="D226" s="138">
        <v>970000</v>
      </c>
      <c r="E226" t="s">
        <v>829</v>
      </c>
      <c r="F226" s="20" t="s">
        <v>830</v>
      </c>
      <c r="G226" s="8" t="str">
        <f t="shared" si="3"/>
        <v>JACKSON WILLIAM</v>
      </c>
    </row>
    <row r="227" spans="1:7" x14ac:dyDescent="0.25">
      <c r="A227" s="8">
        <v>42900.941724537035</v>
      </c>
      <c r="B227" t="s">
        <v>423</v>
      </c>
      <c r="C227" t="s">
        <v>831</v>
      </c>
      <c r="D227" s="138">
        <v>2000000</v>
      </c>
      <c r="E227" t="s">
        <v>772</v>
      </c>
      <c r="F227" s="20" t="s">
        <v>189</v>
      </c>
      <c r="G227" s="8" t="str">
        <f t="shared" si="3"/>
        <v>STAMBAUGH JAMES</v>
      </c>
    </row>
    <row r="228" spans="1:7" x14ac:dyDescent="0.25">
      <c r="A228" s="8">
        <v>42900.945462962962</v>
      </c>
      <c r="B228" t="s">
        <v>599</v>
      </c>
      <c r="C228" t="s">
        <v>832</v>
      </c>
      <c r="D228" s="138">
        <v>3000000</v>
      </c>
      <c r="E228" t="s">
        <v>427</v>
      </c>
      <c r="F228" s="20" t="s">
        <v>428</v>
      </c>
      <c r="G228" s="8" t="str">
        <f t="shared" si="3"/>
        <v>FORTUNATO FRANK</v>
      </c>
    </row>
    <row r="229" spans="1:7" x14ac:dyDescent="0.25">
      <c r="A229" s="8">
        <v>42900.949479166666</v>
      </c>
      <c r="B229" t="s">
        <v>461</v>
      </c>
      <c r="C229" t="s">
        <v>833</v>
      </c>
      <c r="D229" s="138">
        <v>2230000</v>
      </c>
      <c r="E229" t="s">
        <v>342</v>
      </c>
      <c r="F229" s="20" t="s">
        <v>192</v>
      </c>
      <c r="G229" s="8" t="str">
        <f t="shared" si="3"/>
        <v>SMITH MICHAEL</v>
      </c>
    </row>
    <row r="230" spans="1:7" x14ac:dyDescent="0.25">
      <c r="A230" s="8">
        <v>42900.970300925925</v>
      </c>
      <c r="B230" t="s">
        <v>426</v>
      </c>
      <c r="C230" t="s">
        <v>834</v>
      </c>
      <c r="D230" s="138">
        <v>2090000</v>
      </c>
      <c r="E230" t="s">
        <v>486</v>
      </c>
      <c r="F230" s="20" t="s">
        <v>192</v>
      </c>
      <c r="G230" s="8" t="str">
        <f t="shared" si="3"/>
        <v>HAITHCOX MICHAEL</v>
      </c>
    </row>
    <row r="231" spans="1:7" x14ac:dyDescent="0.25">
      <c r="A231" s="8">
        <v>42900.974212962959</v>
      </c>
      <c r="B231" t="s">
        <v>455</v>
      </c>
      <c r="C231" t="s">
        <v>835</v>
      </c>
      <c r="D231" s="138">
        <v>970000</v>
      </c>
      <c r="E231" t="s">
        <v>829</v>
      </c>
      <c r="F231" s="20" t="s">
        <v>830</v>
      </c>
      <c r="G231" s="8" t="str">
        <f t="shared" si="3"/>
        <v>JACKSON WILLIAM</v>
      </c>
    </row>
    <row r="232" spans="1:7" x14ac:dyDescent="0.25">
      <c r="A232" s="8">
        <v>42900.98678240741</v>
      </c>
      <c r="B232" t="s">
        <v>618</v>
      </c>
      <c r="C232" t="s">
        <v>836</v>
      </c>
      <c r="D232" s="138">
        <v>3000000</v>
      </c>
      <c r="E232" t="s">
        <v>427</v>
      </c>
      <c r="F232" s="20" t="s">
        <v>428</v>
      </c>
      <c r="G232" s="8" t="str">
        <f t="shared" si="3"/>
        <v>FORTUNATO FRANK</v>
      </c>
    </row>
    <row r="233" spans="1:7" x14ac:dyDescent="0.25">
      <c r="A233" s="8">
        <v>42900.990787037037</v>
      </c>
      <c r="B233" t="s">
        <v>451</v>
      </c>
      <c r="C233" t="s">
        <v>837</v>
      </c>
      <c r="D233" s="138">
        <v>2230000</v>
      </c>
      <c r="E233" t="s">
        <v>342</v>
      </c>
      <c r="F233" s="20" t="s">
        <v>192</v>
      </c>
      <c r="G233" s="8" t="str">
        <f t="shared" si="3"/>
        <v>SMITH MICHAEL</v>
      </c>
    </row>
    <row r="234" spans="1:7" x14ac:dyDescent="0.25">
      <c r="A234" s="8">
        <v>42901.010636574072</v>
      </c>
      <c r="B234" t="s">
        <v>422</v>
      </c>
      <c r="C234" t="s">
        <v>838</v>
      </c>
      <c r="D234" s="138">
        <v>2090000</v>
      </c>
      <c r="E234" t="s">
        <v>486</v>
      </c>
      <c r="F234" s="20" t="s">
        <v>192</v>
      </c>
      <c r="G234" s="8" t="str">
        <f t="shared" si="3"/>
        <v>HAITHCOX MICHAEL</v>
      </c>
    </row>
    <row r="235" spans="1:7" x14ac:dyDescent="0.25">
      <c r="A235" s="8">
        <v>42901.018263888887</v>
      </c>
      <c r="B235" t="s">
        <v>456</v>
      </c>
      <c r="C235" t="s">
        <v>839</v>
      </c>
      <c r="D235" s="138">
        <v>970000</v>
      </c>
      <c r="E235" t="s">
        <v>829</v>
      </c>
      <c r="F235" s="20" t="s">
        <v>830</v>
      </c>
      <c r="G235" s="8" t="str">
        <f t="shared" si="3"/>
        <v>JACKSON WILLIAM</v>
      </c>
    </row>
    <row r="236" spans="1:7" x14ac:dyDescent="0.25">
      <c r="A236" s="8">
        <v>42901.026689814818</v>
      </c>
      <c r="B236" t="s">
        <v>599</v>
      </c>
      <c r="C236" t="s">
        <v>840</v>
      </c>
      <c r="D236" s="138">
        <v>3000000</v>
      </c>
      <c r="E236" t="s">
        <v>427</v>
      </c>
      <c r="F236" s="20" t="s">
        <v>428</v>
      </c>
      <c r="G236" s="8" t="str">
        <f t="shared" si="3"/>
        <v>FORTUNATO FRANK</v>
      </c>
    </row>
    <row r="237" spans="1:7" x14ac:dyDescent="0.25">
      <c r="A237" s="8">
        <v>42901.031446759262</v>
      </c>
      <c r="B237" t="s">
        <v>461</v>
      </c>
      <c r="C237" t="s">
        <v>841</v>
      </c>
      <c r="D237" s="138">
        <v>2230000</v>
      </c>
      <c r="E237" t="s">
        <v>342</v>
      </c>
      <c r="F237" s="20" t="s">
        <v>192</v>
      </c>
      <c r="G237" s="8" t="str">
        <f t="shared" si="3"/>
        <v>SMITH MICHAEL</v>
      </c>
    </row>
    <row r="238" spans="1:7" x14ac:dyDescent="0.25">
      <c r="A238" s="8">
        <v>42901.04791666667</v>
      </c>
      <c r="B238" t="s">
        <v>426</v>
      </c>
      <c r="C238" t="s">
        <v>842</v>
      </c>
      <c r="D238" s="138">
        <v>2090000</v>
      </c>
      <c r="E238" t="s">
        <v>486</v>
      </c>
      <c r="F238" s="20" t="s">
        <v>192</v>
      </c>
      <c r="G238" s="8" t="str">
        <f t="shared" si="3"/>
        <v>HAITHCOX MICHAEL</v>
      </c>
    </row>
    <row r="239" spans="1:7" x14ac:dyDescent="0.25">
      <c r="A239" s="8">
        <v>42901.048888888887</v>
      </c>
      <c r="B239" t="s">
        <v>426</v>
      </c>
      <c r="C239" t="s">
        <v>842</v>
      </c>
      <c r="D239" s="138">
        <v>2090000</v>
      </c>
      <c r="E239" t="s">
        <v>486</v>
      </c>
      <c r="F239" s="20" t="s">
        <v>192</v>
      </c>
      <c r="G239" s="8" t="str">
        <f t="shared" si="3"/>
        <v>HAITHCOX MICHAEL</v>
      </c>
    </row>
    <row r="240" spans="1:7" x14ac:dyDescent="0.25">
      <c r="A240" s="8">
        <v>42901.055069444446</v>
      </c>
      <c r="B240" t="s">
        <v>455</v>
      </c>
      <c r="C240" t="s">
        <v>649</v>
      </c>
      <c r="D240" s="138">
        <v>970000</v>
      </c>
      <c r="E240" t="s">
        <v>829</v>
      </c>
      <c r="F240" s="20" t="s">
        <v>830</v>
      </c>
      <c r="G240" s="8" t="str">
        <f t="shared" si="3"/>
        <v>JACKSON WILLIAM</v>
      </c>
    </row>
    <row r="241" spans="1:7" x14ac:dyDescent="0.25">
      <c r="A241" s="8">
        <v>42901.069421296299</v>
      </c>
      <c r="B241" t="s">
        <v>451</v>
      </c>
      <c r="C241" t="s">
        <v>843</v>
      </c>
      <c r="D241" s="138">
        <v>2230000</v>
      </c>
      <c r="E241" t="s">
        <v>342</v>
      </c>
      <c r="F241" s="20" t="s">
        <v>192</v>
      </c>
      <c r="G241" s="8" t="str">
        <f t="shared" si="3"/>
        <v>SMITH MICHAEL</v>
      </c>
    </row>
    <row r="242" spans="1:7" x14ac:dyDescent="0.25">
      <c r="A242" s="8">
        <v>42901.093043981484</v>
      </c>
      <c r="B242" t="s">
        <v>456</v>
      </c>
      <c r="C242" t="s">
        <v>844</v>
      </c>
      <c r="D242" s="138">
        <v>3090000</v>
      </c>
      <c r="E242" t="s">
        <v>376</v>
      </c>
      <c r="F242" s="20" t="s">
        <v>377</v>
      </c>
      <c r="G242" s="8" t="str">
        <f t="shared" si="3"/>
        <v>LAMAR NEKESHA</v>
      </c>
    </row>
    <row r="243" spans="1:7" x14ac:dyDescent="0.25">
      <c r="A243" s="8">
        <v>42899.90221064815</v>
      </c>
      <c r="B243" t="s">
        <v>498</v>
      </c>
      <c r="C243" t="s">
        <v>541</v>
      </c>
      <c r="D243" s="138">
        <v>3000000</v>
      </c>
      <c r="E243" t="s">
        <v>427</v>
      </c>
      <c r="F243" s="20" t="s">
        <v>428</v>
      </c>
      <c r="G243" s="8" t="str">
        <f t="shared" si="3"/>
        <v>FORTUNATO FRANK</v>
      </c>
    </row>
    <row r="244" spans="1:7" x14ac:dyDescent="0.25">
      <c r="A244" s="8">
        <v>42899.906689814816</v>
      </c>
      <c r="B244" t="s">
        <v>528</v>
      </c>
      <c r="C244" t="s">
        <v>542</v>
      </c>
      <c r="D244" s="138">
        <v>2090000</v>
      </c>
      <c r="E244" t="s">
        <v>486</v>
      </c>
      <c r="F244" s="20" t="s">
        <v>192</v>
      </c>
      <c r="G244" s="8" t="str">
        <f t="shared" si="3"/>
        <v>HAITHCOX MICHAEL</v>
      </c>
    </row>
    <row r="245" spans="1:7" x14ac:dyDescent="0.25">
      <c r="A245" s="8">
        <v>42899.915625000001</v>
      </c>
      <c r="B245" t="s">
        <v>530</v>
      </c>
      <c r="C245" t="s">
        <v>543</v>
      </c>
      <c r="D245" s="138">
        <v>2630000</v>
      </c>
      <c r="E245" t="s">
        <v>445</v>
      </c>
      <c r="F245" s="20" t="s">
        <v>446</v>
      </c>
      <c r="G245" s="8" t="str">
        <f t="shared" si="3"/>
        <v>SAFIEF AEIMEN</v>
      </c>
    </row>
    <row r="246" spans="1:7" x14ac:dyDescent="0.25">
      <c r="A246" s="8">
        <v>42899.927789351852</v>
      </c>
      <c r="B246" t="s">
        <v>443</v>
      </c>
      <c r="C246" t="s">
        <v>544</v>
      </c>
      <c r="D246" s="138">
        <v>2230000</v>
      </c>
      <c r="E246" t="s">
        <v>342</v>
      </c>
      <c r="F246" s="20" t="s">
        <v>192</v>
      </c>
      <c r="G246" s="8" t="str">
        <f t="shared" si="3"/>
        <v>SMITH MICHAEL</v>
      </c>
    </row>
    <row r="247" spans="1:7" x14ac:dyDescent="0.25">
      <c r="A247" s="8">
        <v>42899.93172453704</v>
      </c>
      <c r="B247" t="s">
        <v>453</v>
      </c>
      <c r="C247" t="s">
        <v>545</v>
      </c>
      <c r="D247" s="138">
        <v>3090000</v>
      </c>
      <c r="E247" t="s">
        <v>376</v>
      </c>
      <c r="F247" s="20" t="s">
        <v>377</v>
      </c>
      <c r="G247" s="8" t="str">
        <f t="shared" si="3"/>
        <v>LAMAR NEKESHA</v>
      </c>
    </row>
    <row r="248" spans="1:7" x14ac:dyDescent="0.25">
      <c r="A248" s="8">
        <v>42899.943344907406</v>
      </c>
      <c r="B248" t="s">
        <v>531</v>
      </c>
      <c r="C248" t="s">
        <v>546</v>
      </c>
      <c r="D248" s="138">
        <v>2630000</v>
      </c>
      <c r="E248" t="s">
        <v>445</v>
      </c>
      <c r="F248" s="20" t="s">
        <v>446</v>
      </c>
      <c r="G248" s="8" t="str">
        <f t="shared" si="3"/>
        <v>SAFIEF AEIMEN</v>
      </c>
    </row>
    <row r="249" spans="1:7" x14ac:dyDescent="0.25">
      <c r="A249" s="8">
        <v>42899.944560185184</v>
      </c>
      <c r="B249" t="s">
        <v>529</v>
      </c>
      <c r="C249" t="s">
        <v>547</v>
      </c>
      <c r="D249" s="138">
        <v>2090000</v>
      </c>
      <c r="E249" t="s">
        <v>486</v>
      </c>
      <c r="F249" s="20" t="s">
        <v>192</v>
      </c>
      <c r="G249" s="8" t="str">
        <f t="shared" si="3"/>
        <v>HAITHCOX MICHAEL</v>
      </c>
    </row>
    <row r="250" spans="1:7" x14ac:dyDescent="0.25">
      <c r="A250" s="8">
        <v>42899.944733796299</v>
      </c>
      <c r="B250" t="s">
        <v>505</v>
      </c>
      <c r="C250" t="s">
        <v>548</v>
      </c>
      <c r="D250" s="138">
        <v>3000000</v>
      </c>
      <c r="E250" t="s">
        <v>427</v>
      </c>
      <c r="F250" s="20" t="s">
        <v>428</v>
      </c>
      <c r="G250" s="8" t="str">
        <f t="shared" si="3"/>
        <v>FORTUNATO FRANK</v>
      </c>
    </row>
    <row r="251" spans="1:7" x14ac:dyDescent="0.25">
      <c r="A251" s="8">
        <v>42899.952407407407</v>
      </c>
      <c r="B251" t="s">
        <v>530</v>
      </c>
      <c r="C251" t="s">
        <v>546</v>
      </c>
      <c r="D251" s="138">
        <v>2630000</v>
      </c>
      <c r="E251" t="s">
        <v>445</v>
      </c>
      <c r="F251" s="20" t="s">
        <v>446</v>
      </c>
      <c r="G251" s="8" t="str">
        <f t="shared" si="3"/>
        <v>SAFIEF AEIMEN</v>
      </c>
    </row>
    <row r="252" spans="1:7" x14ac:dyDescent="0.25">
      <c r="A252" s="8">
        <v>42899.967372685183</v>
      </c>
      <c r="B252" t="s">
        <v>454</v>
      </c>
      <c r="C252" t="s">
        <v>549</v>
      </c>
      <c r="D252" s="138">
        <v>3090000</v>
      </c>
      <c r="E252" t="s">
        <v>376</v>
      </c>
      <c r="F252" s="20" t="s">
        <v>377</v>
      </c>
      <c r="G252" s="8" t="str">
        <f t="shared" si="3"/>
        <v>LAMAR NEKESHA</v>
      </c>
    </row>
    <row r="253" spans="1:7" x14ac:dyDescent="0.25">
      <c r="A253" s="8">
        <v>42899.970995370371</v>
      </c>
      <c r="B253" t="s">
        <v>444</v>
      </c>
      <c r="C253" t="s">
        <v>550</v>
      </c>
      <c r="D253" s="138">
        <v>2230000</v>
      </c>
      <c r="E253" t="s">
        <v>342</v>
      </c>
      <c r="F253" s="20" t="s">
        <v>192</v>
      </c>
      <c r="G253" s="8" t="str">
        <f t="shared" si="3"/>
        <v>SMITH MICHAEL</v>
      </c>
    </row>
    <row r="254" spans="1:7" x14ac:dyDescent="0.25">
      <c r="A254" s="8">
        <v>42899.985891203702</v>
      </c>
      <c r="B254" t="s">
        <v>498</v>
      </c>
      <c r="C254" t="s">
        <v>551</v>
      </c>
      <c r="D254" s="138">
        <v>3000000</v>
      </c>
      <c r="E254" t="s">
        <v>427</v>
      </c>
      <c r="F254" s="20" t="s">
        <v>428</v>
      </c>
      <c r="G254" s="8" t="str">
        <f t="shared" si="3"/>
        <v>FORTUNATO FRANK</v>
      </c>
    </row>
    <row r="255" spans="1:7" x14ac:dyDescent="0.25">
      <c r="A255" s="8">
        <v>42899.989768518521</v>
      </c>
      <c r="B255" t="s">
        <v>528</v>
      </c>
      <c r="C255" t="s">
        <v>532</v>
      </c>
      <c r="D255" s="138">
        <v>2090000</v>
      </c>
      <c r="E255" t="s">
        <v>486</v>
      </c>
      <c r="F255" s="20" t="s">
        <v>192</v>
      </c>
      <c r="G255" s="8" t="str">
        <f t="shared" si="3"/>
        <v>HAITHCOX MICHAEL</v>
      </c>
    </row>
    <row r="256" spans="1:7" x14ac:dyDescent="0.25">
      <c r="A256" s="8">
        <v>42900.010150462964</v>
      </c>
      <c r="B256" t="s">
        <v>443</v>
      </c>
      <c r="C256" t="s">
        <v>552</v>
      </c>
      <c r="D256" s="138">
        <v>2230000</v>
      </c>
      <c r="E256" t="s">
        <v>342</v>
      </c>
      <c r="F256" s="20" t="s">
        <v>192</v>
      </c>
      <c r="G256" s="8" t="str">
        <f t="shared" si="3"/>
        <v>SMITH MICHAEL</v>
      </c>
    </row>
    <row r="257" spans="1:7" x14ac:dyDescent="0.25">
      <c r="A257" s="8">
        <v>42900.016539351855</v>
      </c>
      <c r="B257" t="s">
        <v>453</v>
      </c>
      <c r="C257" t="s">
        <v>553</v>
      </c>
      <c r="D257" s="138">
        <v>3090000</v>
      </c>
      <c r="E257" t="s">
        <v>376</v>
      </c>
      <c r="F257" s="20" t="s">
        <v>377</v>
      </c>
      <c r="G257" s="8" t="str">
        <f t="shared" si="3"/>
        <v>LAMAR NEKESHA</v>
      </c>
    </row>
    <row r="258" spans="1:7" x14ac:dyDescent="0.25">
      <c r="A258" s="8">
        <v>42900.027777777781</v>
      </c>
      <c r="B258" t="s">
        <v>529</v>
      </c>
      <c r="C258" t="s">
        <v>554</v>
      </c>
      <c r="D258" s="138">
        <v>2090000</v>
      </c>
      <c r="E258" t="s">
        <v>486</v>
      </c>
      <c r="F258" s="20" t="s">
        <v>192</v>
      </c>
      <c r="G258" s="8" t="str">
        <f t="shared" si="3"/>
        <v>HAITHCOX MICHAEL</v>
      </c>
    </row>
    <row r="259" spans="1:7" x14ac:dyDescent="0.25">
      <c r="A259" s="8">
        <v>42900.027824074074</v>
      </c>
      <c r="B259" t="s">
        <v>505</v>
      </c>
      <c r="C259" t="s">
        <v>555</v>
      </c>
      <c r="D259" s="138">
        <v>3000000</v>
      </c>
      <c r="E259" t="s">
        <v>427</v>
      </c>
      <c r="F259" s="20" t="s">
        <v>428</v>
      </c>
      <c r="G259" s="8" t="str">
        <f t="shared" ref="G259:G322" si="4">E259&amp;" "&amp;F259</f>
        <v>FORTUNATO FRANK</v>
      </c>
    </row>
    <row r="260" spans="1:7" x14ac:dyDescent="0.25">
      <c r="A260" s="8">
        <v>42900.030798611115</v>
      </c>
      <c r="B260" t="s">
        <v>529</v>
      </c>
      <c r="C260" t="s">
        <v>554</v>
      </c>
      <c r="D260" s="138">
        <v>2090000</v>
      </c>
      <c r="E260" t="s">
        <v>486</v>
      </c>
      <c r="F260" s="20" t="s">
        <v>192</v>
      </c>
      <c r="G260" s="8" t="str">
        <f t="shared" si="4"/>
        <v>HAITHCOX MICHAEL</v>
      </c>
    </row>
    <row r="261" spans="1:7" x14ac:dyDescent="0.25">
      <c r="A261" s="8">
        <v>42900.033437500002</v>
      </c>
      <c r="B261" t="s">
        <v>529</v>
      </c>
      <c r="C261" t="s">
        <v>554</v>
      </c>
      <c r="D261" s="138">
        <v>2090000</v>
      </c>
      <c r="E261" t="s">
        <v>486</v>
      </c>
      <c r="F261" s="20" t="s">
        <v>192</v>
      </c>
      <c r="G261" s="8" t="str">
        <f t="shared" si="4"/>
        <v>HAITHCOX MICHAEL</v>
      </c>
    </row>
    <row r="262" spans="1:7" x14ac:dyDescent="0.25">
      <c r="A262" s="8">
        <v>42900.035266203704</v>
      </c>
      <c r="B262" t="s">
        <v>529</v>
      </c>
      <c r="C262" t="s">
        <v>554</v>
      </c>
      <c r="D262" s="138">
        <v>2090000</v>
      </c>
      <c r="E262" t="s">
        <v>486</v>
      </c>
      <c r="F262" s="20" t="s">
        <v>192</v>
      </c>
      <c r="G262" s="8" t="str">
        <f t="shared" si="4"/>
        <v>HAITHCOX MICHAEL</v>
      </c>
    </row>
    <row r="263" spans="1:7" x14ac:dyDescent="0.25">
      <c r="A263" s="8">
        <v>42900.048715277779</v>
      </c>
      <c r="B263" t="s">
        <v>454</v>
      </c>
      <c r="C263" t="s">
        <v>556</v>
      </c>
      <c r="D263" s="138">
        <v>3090000</v>
      </c>
      <c r="E263" t="s">
        <v>376</v>
      </c>
      <c r="F263" s="20" t="s">
        <v>377</v>
      </c>
      <c r="G263" s="8" t="str">
        <f t="shared" si="4"/>
        <v>LAMAR NEKESHA</v>
      </c>
    </row>
    <row r="264" spans="1:7" x14ac:dyDescent="0.25">
      <c r="A264" s="8">
        <v>42900.050138888888</v>
      </c>
      <c r="B264" t="s">
        <v>444</v>
      </c>
      <c r="C264" t="s">
        <v>557</v>
      </c>
      <c r="D264" s="138">
        <v>2230000</v>
      </c>
      <c r="E264" t="s">
        <v>342</v>
      </c>
      <c r="F264" s="20" t="s">
        <v>192</v>
      </c>
      <c r="G264" s="8" t="str">
        <f t="shared" si="4"/>
        <v>SMITH MICHAEL</v>
      </c>
    </row>
    <row r="265" spans="1:7" x14ac:dyDescent="0.25">
      <c r="A265" s="8">
        <v>42900.051469907405</v>
      </c>
      <c r="B265" t="s">
        <v>444</v>
      </c>
      <c r="C265" t="s">
        <v>557</v>
      </c>
      <c r="D265" s="138">
        <v>2230000</v>
      </c>
      <c r="E265" t="s">
        <v>342</v>
      </c>
      <c r="F265" s="20" t="s">
        <v>192</v>
      </c>
      <c r="G265" s="8" t="str">
        <f t="shared" si="4"/>
        <v>SMITH MICHAEL</v>
      </c>
    </row>
    <row r="266" spans="1:7" x14ac:dyDescent="0.25">
      <c r="A266" s="8">
        <v>42900.068981481483</v>
      </c>
      <c r="B266" t="s">
        <v>498</v>
      </c>
      <c r="C266" t="s">
        <v>558</v>
      </c>
      <c r="D266" s="138">
        <v>3000000</v>
      </c>
      <c r="E266" t="s">
        <v>427</v>
      </c>
      <c r="F266" s="20" t="s">
        <v>428</v>
      </c>
      <c r="G266" s="8" t="str">
        <f t="shared" si="4"/>
        <v>FORTUNATO FRANK</v>
      </c>
    </row>
    <row r="267" spans="1:7" x14ac:dyDescent="0.25">
      <c r="A267" s="8">
        <v>42900.090277777781</v>
      </c>
      <c r="B267" t="s">
        <v>453</v>
      </c>
      <c r="C267" t="s">
        <v>559</v>
      </c>
      <c r="D267" s="138">
        <v>3090000</v>
      </c>
      <c r="E267" t="s">
        <v>376</v>
      </c>
      <c r="F267" s="20" t="s">
        <v>377</v>
      </c>
      <c r="G267" s="8" t="str">
        <f t="shared" si="4"/>
        <v>LAMAR NEKESHA</v>
      </c>
    </row>
    <row r="268" spans="1:7" x14ac:dyDescent="0.25">
      <c r="A268" s="8">
        <v>42879.005439814813</v>
      </c>
      <c r="B268" t="s">
        <v>398</v>
      </c>
      <c r="C268" t="s">
        <v>424</v>
      </c>
      <c r="D268" s="138">
        <v>2680000</v>
      </c>
      <c r="E268" t="s">
        <v>416</v>
      </c>
      <c r="F268" s="20" t="s">
        <v>417</v>
      </c>
      <c r="G268" s="8" t="str">
        <f t="shared" si="4"/>
        <v>DUNCAN SHEILA</v>
      </c>
    </row>
    <row r="269" spans="1:7" x14ac:dyDescent="0.25">
      <c r="A269" s="8">
        <v>42879.011724537035</v>
      </c>
      <c r="B269" t="s">
        <v>340</v>
      </c>
      <c r="C269" t="s">
        <v>430</v>
      </c>
      <c r="D269" s="138">
        <v>2230000</v>
      </c>
      <c r="E269" t="s">
        <v>342</v>
      </c>
      <c r="F269" s="20" t="s">
        <v>192</v>
      </c>
      <c r="G269" s="8" t="str">
        <f t="shared" si="4"/>
        <v>SMITH MICHAEL</v>
      </c>
    </row>
    <row r="270" spans="1:7" x14ac:dyDescent="0.25">
      <c r="A270" s="8">
        <v>42879.018900462965</v>
      </c>
      <c r="B270" t="s">
        <v>426</v>
      </c>
      <c r="C270" t="s">
        <v>431</v>
      </c>
      <c r="D270" s="138">
        <v>2610000</v>
      </c>
      <c r="E270" t="s">
        <v>418</v>
      </c>
      <c r="F270" s="20" t="s">
        <v>419</v>
      </c>
      <c r="G270" s="8" t="str">
        <f t="shared" si="4"/>
        <v>MAGEE KENYA</v>
      </c>
    </row>
    <row r="271" spans="1:7" x14ac:dyDescent="0.25">
      <c r="A271" s="8">
        <v>42879.026886574073</v>
      </c>
      <c r="B271" t="s">
        <v>358</v>
      </c>
      <c r="C271" t="s">
        <v>432</v>
      </c>
      <c r="D271" s="138">
        <v>2140000</v>
      </c>
      <c r="E271" t="s">
        <v>413</v>
      </c>
      <c r="F271" s="20" t="s">
        <v>414</v>
      </c>
      <c r="G271" s="8" t="str">
        <f t="shared" si="4"/>
        <v>ROBINSON KADDIBA</v>
      </c>
    </row>
    <row r="272" spans="1:7" x14ac:dyDescent="0.25">
      <c r="A272" s="8">
        <v>42879.027916666666</v>
      </c>
      <c r="B272" t="s">
        <v>423</v>
      </c>
      <c r="C272" t="s">
        <v>433</v>
      </c>
      <c r="D272" s="138">
        <v>3000000</v>
      </c>
      <c r="E272" t="s">
        <v>427</v>
      </c>
      <c r="F272" s="20" t="s">
        <v>428</v>
      </c>
      <c r="G272" s="8" t="str">
        <f t="shared" si="4"/>
        <v>FORTUNATO FRANK</v>
      </c>
    </row>
    <row r="273" spans="1:7" x14ac:dyDescent="0.25">
      <c r="A273" s="8">
        <v>42879.035393518519</v>
      </c>
      <c r="B273" t="s">
        <v>399</v>
      </c>
      <c r="C273" t="s">
        <v>429</v>
      </c>
      <c r="D273" s="138">
        <v>2680000</v>
      </c>
      <c r="E273" t="s">
        <v>416</v>
      </c>
      <c r="F273" s="20" t="s">
        <v>417</v>
      </c>
      <c r="G273" s="8" t="str">
        <f t="shared" si="4"/>
        <v>DUNCAN SHEILA</v>
      </c>
    </row>
    <row r="274" spans="1:7" x14ac:dyDescent="0.25">
      <c r="A274" s="8">
        <v>42879.048842592594</v>
      </c>
      <c r="B274" t="s">
        <v>339</v>
      </c>
      <c r="C274" t="s">
        <v>434</v>
      </c>
      <c r="D274" s="138">
        <v>2230000</v>
      </c>
      <c r="E274" t="s">
        <v>342</v>
      </c>
      <c r="F274" s="20" t="s">
        <v>192</v>
      </c>
      <c r="G274" s="8" t="str">
        <f t="shared" si="4"/>
        <v>SMITH MICHAEL</v>
      </c>
    </row>
    <row r="275" spans="1:7" x14ac:dyDescent="0.25">
      <c r="A275" s="8">
        <v>42879.059351851851</v>
      </c>
      <c r="B275" t="s">
        <v>422</v>
      </c>
      <c r="C275" t="s">
        <v>435</v>
      </c>
      <c r="D275" s="138">
        <v>2610000</v>
      </c>
      <c r="E275" t="s">
        <v>418</v>
      </c>
      <c r="F275" s="20" t="s">
        <v>419</v>
      </c>
      <c r="G275" s="8" t="str">
        <f t="shared" si="4"/>
        <v>MAGEE KENYA</v>
      </c>
    </row>
    <row r="276" spans="1:7" x14ac:dyDescent="0.25">
      <c r="A276" s="8">
        <v>42879.068622685183</v>
      </c>
      <c r="B276" t="s">
        <v>425</v>
      </c>
      <c r="C276" t="s">
        <v>436</v>
      </c>
      <c r="D276" s="138">
        <v>3000000</v>
      </c>
      <c r="E276" t="s">
        <v>427</v>
      </c>
      <c r="F276" s="20" t="s">
        <v>428</v>
      </c>
      <c r="G276" s="8" t="str">
        <f t="shared" si="4"/>
        <v>FORTUNATO FRANK</v>
      </c>
    </row>
    <row r="277" spans="1:7" x14ac:dyDescent="0.25">
      <c r="A277" s="8">
        <v>42879.089687500003</v>
      </c>
      <c r="B277" t="s">
        <v>426</v>
      </c>
      <c r="C277" t="s">
        <v>437</v>
      </c>
      <c r="D277" s="138">
        <v>2610000</v>
      </c>
      <c r="E277" t="s">
        <v>418</v>
      </c>
      <c r="F277" s="20" t="s">
        <v>419</v>
      </c>
      <c r="G277" s="8" t="str">
        <f t="shared" si="4"/>
        <v>MAGEE KENYA</v>
      </c>
    </row>
    <row r="278" spans="1:7" x14ac:dyDescent="0.25">
      <c r="A278" s="8">
        <v>42872.041689814818</v>
      </c>
      <c r="B278" t="s">
        <v>402</v>
      </c>
      <c r="C278" t="s">
        <v>403</v>
      </c>
      <c r="D278" s="138">
        <v>2970000</v>
      </c>
      <c r="E278" t="s">
        <v>380</v>
      </c>
      <c r="F278" s="20" t="s">
        <v>381</v>
      </c>
      <c r="G278" s="8" t="str">
        <f t="shared" si="4"/>
        <v>GUZMAN DANNY</v>
      </c>
    </row>
    <row r="279" spans="1:7" x14ac:dyDescent="0.25">
      <c r="A279" s="8">
        <v>42872.04792824074</v>
      </c>
      <c r="B279" t="s">
        <v>401</v>
      </c>
      <c r="C279" t="s">
        <v>407</v>
      </c>
      <c r="D279" s="138">
        <v>1810000</v>
      </c>
      <c r="E279" t="s">
        <v>368</v>
      </c>
      <c r="F279" s="20" t="s">
        <v>189</v>
      </c>
      <c r="G279" s="8" t="str">
        <f t="shared" si="4"/>
        <v>NEWELL JAMES</v>
      </c>
    </row>
    <row r="280" spans="1:7" x14ac:dyDescent="0.25">
      <c r="A280" s="8">
        <v>42872.049421296295</v>
      </c>
      <c r="B280" t="s">
        <v>340</v>
      </c>
      <c r="C280" t="s">
        <v>408</v>
      </c>
      <c r="D280" s="138">
        <v>3090000</v>
      </c>
      <c r="E280" t="s">
        <v>376</v>
      </c>
      <c r="F280" s="20" t="s">
        <v>377</v>
      </c>
      <c r="G280" s="8" t="str">
        <f t="shared" si="4"/>
        <v>LAMAR NEKESHA</v>
      </c>
    </row>
    <row r="281" spans="1:7" x14ac:dyDescent="0.25">
      <c r="A281" s="8">
        <v>42872.051990740743</v>
      </c>
      <c r="B281" t="s">
        <v>399</v>
      </c>
      <c r="C281" t="s">
        <v>404</v>
      </c>
      <c r="D281" s="138">
        <v>3010000</v>
      </c>
      <c r="E281" t="s">
        <v>394</v>
      </c>
      <c r="F281" s="20" t="s">
        <v>395</v>
      </c>
      <c r="G281" s="8" t="str">
        <f t="shared" si="4"/>
        <v>SULLIVAN BRANDON</v>
      </c>
    </row>
    <row r="282" spans="1:7" x14ac:dyDescent="0.25">
      <c r="A282" s="8">
        <v>42872.055347222224</v>
      </c>
      <c r="B282" t="s">
        <v>405</v>
      </c>
      <c r="C282" t="s">
        <v>406</v>
      </c>
      <c r="D282" s="138">
        <v>2970000</v>
      </c>
      <c r="E282" t="s">
        <v>380</v>
      </c>
      <c r="F282" s="20" t="s">
        <v>381</v>
      </c>
      <c r="G282" s="8" t="str">
        <f t="shared" si="4"/>
        <v>GUZMAN DANNY</v>
      </c>
    </row>
    <row r="283" spans="1:7" x14ac:dyDescent="0.25">
      <c r="A283" s="8">
        <v>42872.065578703703</v>
      </c>
      <c r="B283" t="s">
        <v>398</v>
      </c>
      <c r="C283" t="s">
        <v>404</v>
      </c>
      <c r="D283" s="138">
        <v>3010000</v>
      </c>
      <c r="E283" t="s">
        <v>394</v>
      </c>
      <c r="F283" s="20" t="s">
        <v>395</v>
      </c>
      <c r="G283" s="8" t="str">
        <f t="shared" si="4"/>
        <v>SULLIVAN BRANDON</v>
      </c>
    </row>
    <row r="284" spans="1:7" x14ac:dyDescent="0.25">
      <c r="A284" s="8">
        <v>42872.066493055558</v>
      </c>
      <c r="B284" t="s">
        <v>400</v>
      </c>
      <c r="C284" t="s">
        <v>409</v>
      </c>
      <c r="D284" s="138">
        <v>3030000</v>
      </c>
      <c r="E284" t="s">
        <v>382</v>
      </c>
      <c r="F284" s="20" t="s">
        <v>367</v>
      </c>
      <c r="G284" s="8" t="str">
        <f t="shared" si="4"/>
        <v>BIRENBAUM THOMAS</v>
      </c>
    </row>
    <row r="285" spans="1:7" x14ac:dyDescent="0.25">
      <c r="A285" s="8">
        <v>42872.067164351851</v>
      </c>
      <c r="B285" t="s">
        <v>398</v>
      </c>
      <c r="C285" t="s">
        <v>404</v>
      </c>
      <c r="D285" s="138">
        <v>3010000</v>
      </c>
      <c r="E285" t="s">
        <v>394</v>
      </c>
      <c r="F285" s="20" t="s">
        <v>395</v>
      </c>
      <c r="G285" s="8" t="str">
        <f t="shared" si="4"/>
        <v>SULLIVAN BRANDON</v>
      </c>
    </row>
    <row r="286" spans="1:7" x14ac:dyDescent="0.25">
      <c r="A286" s="8">
        <v>42872.068761574075</v>
      </c>
      <c r="B286" t="s">
        <v>402</v>
      </c>
      <c r="C286" t="s">
        <v>403</v>
      </c>
      <c r="D286" s="138">
        <v>2970000</v>
      </c>
      <c r="E286" t="s">
        <v>380</v>
      </c>
      <c r="F286" s="20" t="s">
        <v>381</v>
      </c>
      <c r="G286" s="8" t="str">
        <f t="shared" si="4"/>
        <v>GUZMAN DANNY</v>
      </c>
    </row>
    <row r="287" spans="1:7" x14ac:dyDescent="0.25">
      <c r="A287" s="8">
        <v>42872.08258101852</v>
      </c>
      <c r="B287" t="s">
        <v>405</v>
      </c>
      <c r="C287" t="s">
        <v>406</v>
      </c>
      <c r="D287" s="138">
        <v>2970000</v>
      </c>
      <c r="E287" t="s">
        <v>380</v>
      </c>
      <c r="F287" s="20" t="s">
        <v>381</v>
      </c>
      <c r="G287" s="8" t="str">
        <f t="shared" si="4"/>
        <v>GUZMAN DANNY</v>
      </c>
    </row>
    <row r="288" spans="1:7" x14ac:dyDescent="0.25">
      <c r="A288" s="8">
        <v>42872.08861111111</v>
      </c>
      <c r="B288" t="s">
        <v>339</v>
      </c>
      <c r="C288" t="s">
        <v>410</v>
      </c>
      <c r="D288" s="138">
        <v>3090000</v>
      </c>
      <c r="E288" t="s">
        <v>376</v>
      </c>
      <c r="F288" s="20" t="s">
        <v>377</v>
      </c>
      <c r="G288" s="8" t="str">
        <f t="shared" si="4"/>
        <v>LAMAR NEKESHA</v>
      </c>
    </row>
    <row r="289" spans="1:7" x14ac:dyDescent="0.25">
      <c r="A289" s="8">
        <v>42872.095833333333</v>
      </c>
      <c r="B289" t="s">
        <v>402</v>
      </c>
      <c r="C289" t="s">
        <v>403</v>
      </c>
      <c r="D289" s="138">
        <v>2970000</v>
      </c>
      <c r="E289" t="s">
        <v>380</v>
      </c>
      <c r="F289" s="20" t="s">
        <v>381</v>
      </c>
      <c r="G289" s="8" t="str">
        <f t="shared" si="4"/>
        <v>GUZMAN DANNY</v>
      </c>
    </row>
    <row r="290" spans="1:7" x14ac:dyDescent="0.25">
      <c r="A290" s="8">
        <v>42872.099791666667</v>
      </c>
      <c r="B290" t="s">
        <v>399</v>
      </c>
      <c r="C290" t="s">
        <v>404</v>
      </c>
      <c r="D290" s="138">
        <v>3010000</v>
      </c>
      <c r="E290" t="s">
        <v>394</v>
      </c>
      <c r="F290" s="20" t="s">
        <v>395</v>
      </c>
      <c r="G290" s="8" t="str">
        <f t="shared" si="4"/>
        <v>SULLIVAN BRANDON</v>
      </c>
    </row>
    <row r="291" spans="1:7" x14ac:dyDescent="0.25">
      <c r="A291" s="8">
        <v>42872.100324074076</v>
      </c>
      <c r="B291" t="s">
        <v>399</v>
      </c>
      <c r="C291" t="s">
        <v>404</v>
      </c>
      <c r="D291" s="138">
        <v>3010000</v>
      </c>
      <c r="E291" t="s">
        <v>394</v>
      </c>
      <c r="F291" s="20" t="s">
        <v>395</v>
      </c>
      <c r="G291" s="8" t="str">
        <f t="shared" si="4"/>
        <v>SULLIVAN BRANDON</v>
      </c>
    </row>
    <row r="292" spans="1:7" x14ac:dyDescent="0.25">
      <c r="A292" s="8">
        <v>42872.100856481484</v>
      </c>
      <c r="B292" t="s">
        <v>399</v>
      </c>
      <c r="C292" t="s">
        <v>404</v>
      </c>
      <c r="D292" s="138">
        <v>3010000</v>
      </c>
      <c r="E292" t="s">
        <v>394</v>
      </c>
      <c r="F292" s="20" t="s">
        <v>395</v>
      </c>
      <c r="G292" s="8" t="str">
        <f t="shared" si="4"/>
        <v>SULLIVAN BRANDON</v>
      </c>
    </row>
    <row r="293" spans="1:7" x14ac:dyDescent="0.25">
      <c r="A293" s="8">
        <v>42872.1018287037</v>
      </c>
      <c r="B293" t="s">
        <v>399</v>
      </c>
      <c r="C293" t="s">
        <v>404</v>
      </c>
      <c r="D293" s="138">
        <v>3010000</v>
      </c>
      <c r="E293" t="s">
        <v>394</v>
      </c>
      <c r="F293" s="20" t="s">
        <v>395</v>
      </c>
      <c r="G293" s="8" t="str">
        <f t="shared" si="4"/>
        <v>SULLIVAN BRANDON</v>
      </c>
    </row>
    <row r="294" spans="1:7" x14ac:dyDescent="0.25">
      <c r="A294" s="8">
        <v>42872.110578703701</v>
      </c>
      <c r="B294" t="s">
        <v>405</v>
      </c>
      <c r="C294" t="s">
        <v>406</v>
      </c>
      <c r="D294" s="138">
        <v>2970000</v>
      </c>
      <c r="E294" t="s">
        <v>380</v>
      </c>
      <c r="F294" s="20" t="s">
        <v>381</v>
      </c>
      <c r="G294" s="8" t="str">
        <f t="shared" si="4"/>
        <v>GUZMAN DANNY</v>
      </c>
    </row>
    <row r="295" spans="1:7" x14ac:dyDescent="0.25">
      <c r="A295" s="8">
        <v>42864.030914351853</v>
      </c>
      <c r="B295" t="s">
        <v>339</v>
      </c>
      <c r="C295" t="s">
        <v>387</v>
      </c>
      <c r="D295" s="138">
        <v>1800000</v>
      </c>
      <c r="E295" t="s">
        <v>378</v>
      </c>
      <c r="F295" s="20" t="s">
        <v>379</v>
      </c>
      <c r="G295" s="8" t="str">
        <f t="shared" si="4"/>
        <v>CHANDLER KELVIN</v>
      </c>
    </row>
    <row r="296" spans="1:7" x14ac:dyDescent="0.25">
      <c r="A296" s="8">
        <v>42864.036122685182</v>
      </c>
      <c r="B296" t="s">
        <v>366</v>
      </c>
      <c r="C296" t="s">
        <v>388</v>
      </c>
      <c r="D296" s="138">
        <v>3030000</v>
      </c>
      <c r="E296" t="s">
        <v>382</v>
      </c>
      <c r="F296" s="20" t="s">
        <v>367</v>
      </c>
      <c r="G296" s="8" t="str">
        <f t="shared" si="4"/>
        <v>BIRENBAUM THOMAS</v>
      </c>
    </row>
    <row r="297" spans="1:7" x14ac:dyDescent="0.25">
      <c r="A297" s="8">
        <v>42864.042592592596</v>
      </c>
      <c r="B297" t="s">
        <v>375</v>
      </c>
      <c r="C297" t="s">
        <v>371</v>
      </c>
      <c r="D297" s="138">
        <v>2970000</v>
      </c>
      <c r="E297" t="s">
        <v>380</v>
      </c>
      <c r="F297" s="20" t="s">
        <v>381</v>
      </c>
      <c r="G297" s="8" t="str">
        <f t="shared" si="4"/>
        <v>GUZMAN DANNY</v>
      </c>
    </row>
    <row r="298" spans="1:7" x14ac:dyDescent="0.25">
      <c r="A298" s="8">
        <v>42864.048067129632</v>
      </c>
      <c r="B298" t="s">
        <v>358</v>
      </c>
      <c r="C298" t="s">
        <v>389</v>
      </c>
      <c r="D298" s="138">
        <v>2230000</v>
      </c>
      <c r="E298" t="s">
        <v>342</v>
      </c>
      <c r="F298" s="20" t="s">
        <v>192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369</v>
      </c>
      <c r="C299" t="s">
        <v>371</v>
      </c>
      <c r="D299" s="138">
        <v>2970000</v>
      </c>
      <c r="E299" t="s">
        <v>380</v>
      </c>
      <c r="F299" s="20" t="s">
        <v>381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370</v>
      </c>
      <c r="C300" t="s">
        <v>374</v>
      </c>
      <c r="D300" s="138">
        <v>3130000</v>
      </c>
      <c r="E300" t="s">
        <v>385</v>
      </c>
      <c r="F300" s="20" t="s">
        <v>386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369</v>
      </c>
      <c r="C301" t="s">
        <v>371</v>
      </c>
      <c r="D301" s="138">
        <v>2970000</v>
      </c>
      <c r="E301" t="s">
        <v>380</v>
      </c>
      <c r="F301" s="20" t="s">
        <v>381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364</v>
      </c>
      <c r="C302" t="s">
        <v>372</v>
      </c>
      <c r="D302" s="138">
        <v>3040000</v>
      </c>
      <c r="E302" t="s">
        <v>383</v>
      </c>
      <c r="F302" s="20" t="s">
        <v>384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364</v>
      </c>
      <c r="C303" t="s">
        <v>372</v>
      </c>
      <c r="D303" s="138">
        <v>3040000</v>
      </c>
      <c r="E303" t="s">
        <v>383</v>
      </c>
      <c r="F303" s="20" t="s">
        <v>384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341</v>
      </c>
      <c r="C304" t="s">
        <v>390</v>
      </c>
      <c r="D304" s="138">
        <v>3030000</v>
      </c>
      <c r="E304" t="s">
        <v>382</v>
      </c>
      <c r="F304" s="20" t="s">
        <v>367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375</v>
      </c>
      <c r="C305" t="s">
        <v>371</v>
      </c>
      <c r="D305" s="138">
        <v>2970000</v>
      </c>
      <c r="E305" t="s">
        <v>380</v>
      </c>
      <c r="F305" s="20" t="s">
        <v>381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369</v>
      </c>
      <c r="C306" t="s">
        <v>371</v>
      </c>
      <c r="D306" s="138">
        <v>2970000</v>
      </c>
      <c r="E306" t="s">
        <v>380</v>
      </c>
      <c r="F306" s="20" t="s">
        <v>381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365</v>
      </c>
      <c r="C307" t="s">
        <v>372</v>
      </c>
      <c r="D307" s="138">
        <v>3040000</v>
      </c>
      <c r="E307" t="s">
        <v>383</v>
      </c>
      <c r="F307" s="20" t="s">
        <v>384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373</v>
      </c>
      <c r="C308" t="s">
        <v>391</v>
      </c>
      <c r="D308" s="138">
        <v>3130000</v>
      </c>
      <c r="E308" t="s">
        <v>385</v>
      </c>
      <c r="F308" s="20" t="s">
        <v>386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364</v>
      </c>
      <c r="C309" t="s">
        <v>372</v>
      </c>
      <c r="D309" s="138">
        <v>3040000</v>
      </c>
      <c r="E309" t="s">
        <v>383</v>
      </c>
      <c r="F309" s="20" t="s">
        <v>384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375</v>
      </c>
      <c r="C310" t="s">
        <v>371</v>
      </c>
      <c r="D310" s="138">
        <v>2970000</v>
      </c>
      <c r="E310" t="s">
        <v>380</v>
      </c>
      <c r="F310" s="20" t="s">
        <v>381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369</v>
      </c>
      <c r="C311" t="s">
        <v>371</v>
      </c>
      <c r="D311" s="138">
        <v>2970000</v>
      </c>
      <c r="E311" t="s">
        <v>380</v>
      </c>
      <c r="F311" s="20" t="s">
        <v>381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R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8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159</v>
      </c>
      <c r="K1" s="171" t="s">
        <v>157</v>
      </c>
      <c r="L1" s="171" t="s">
        <v>152</v>
      </c>
      <c r="M1" s="171" t="s">
        <v>162</v>
      </c>
      <c r="N1" s="171" t="s">
        <v>845</v>
      </c>
      <c r="O1" s="171" t="s">
        <v>156</v>
      </c>
      <c r="P1" s="171" t="s">
        <v>163</v>
      </c>
      <c r="Q1" s="171" t="s">
        <v>846</v>
      </c>
      <c r="R1" s="171" t="s">
        <v>160</v>
      </c>
    </row>
    <row r="2" spans="1:18" x14ac:dyDescent="0.25">
      <c r="A2" s="172">
        <v>61.26</v>
      </c>
      <c r="B2" s="172">
        <v>0.11</v>
      </c>
      <c r="C2" s="172">
        <v>26.15</v>
      </c>
      <c r="D2" s="8">
        <v>42900</v>
      </c>
      <c r="E2" s="172">
        <v>0.22</v>
      </c>
      <c r="F2" s="172" t="s">
        <v>510</v>
      </c>
      <c r="G2" s="172">
        <v>328.96</v>
      </c>
      <c r="H2" s="172">
        <v>0</v>
      </c>
      <c r="I2" s="172">
        <v>0</v>
      </c>
      <c r="J2" s="172">
        <v>1008.32</v>
      </c>
      <c r="K2" s="172" t="s">
        <v>511</v>
      </c>
      <c r="L2" s="172">
        <v>66.08</v>
      </c>
      <c r="M2" s="172">
        <v>1497420000</v>
      </c>
      <c r="N2" s="172">
        <v>0</v>
      </c>
      <c r="O2" s="172">
        <v>10</v>
      </c>
      <c r="P2" s="172">
        <v>249</v>
      </c>
      <c r="Q2" s="172">
        <v>11.94</v>
      </c>
      <c r="R2" s="172">
        <v>5.85</v>
      </c>
    </row>
    <row r="3" spans="1:18" x14ac:dyDescent="0.25">
      <c r="A3" s="172">
        <v>59.25</v>
      </c>
      <c r="B3" s="172">
        <v>7.0000000000000007E-2</v>
      </c>
      <c r="C3" s="172">
        <v>26.88</v>
      </c>
      <c r="D3" s="8">
        <v>42900.041666666664</v>
      </c>
      <c r="E3" s="172">
        <v>0.24</v>
      </c>
      <c r="F3" s="172" t="s">
        <v>510</v>
      </c>
      <c r="G3" s="172">
        <v>327.94</v>
      </c>
      <c r="H3" s="172">
        <v>0</v>
      </c>
      <c r="I3" s="172">
        <v>0</v>
      </c>
      <c r="J3" s="172">
        <v>1009.17</v>
      </c>
      <c r="K3" s="172" t="s">
        <v>511</v>
      </c>
      <c r="L3" s="172">
        <v>63.89</v>
      </c>
      <c r="M3" s="172">
        <v>1497423600</v>
      </c>
      <c r="N3" s="172">
        <v>0</v>
      </c>
      <c r="O3" s="172">
        <v>10</v>
      </c>
      <c r="P3" s="172">
        <v>259</v>
      </c>
      <c r="Q3" s="172">
        <v>11.35</v>
      </c>
      <c r="R3" s="172">
        <v>5.42</v>
      </c>
    </row>
    <row r="4" spans="1:18" x14ac:dyDescent="0.25">
      <c r="A4" s="172">
        <v>57.3</v>
      </c>
      <c r="B4" s="172">
        <v>0.03</v>
      </c>
      <c r="C4" s="172">
        <v>27.83</v>
      </c>
      <c r="D4" s="8">
        <v>42900.083333333336</v>
      </c>
      <c r="E4" s="172">
        <v>0.27</v>
      </c>
      <c r="F4" s="172" t="s">
        <v>510</v>
      </c>
      <c r="G4" s="172">
        <v>326.70999999999998</v>
      </c>
      <c r="H4" s="172">
        <v>0</v>
      </c>
      <c r="I4" s="172">
        <v>0</v>
      </c>
      <c r="J4" s="172">
        <v>1009.84</v>
      </c>
      <c r="K4" s="172" t="s">
        <v>511</v>
      </c>
      <c r="L4" s="172">
        <v>61.82</v>
      </c>
      <c r="M4" s="172">
        <v>1497427200</v>
      </c>
      <c r="N4" s="172">
        <v>0</v>
      </c>
      <c r="O4" s="172">
        <v>10</v>
      </c>
      <c r="P4" s="172">
        <v>244</v>
      </c>
      <c r="Q4" s="172">
        <v>8.58</v>
      </c>
      <c r="R4" s="172">
        <v>5.18</v>
      </c>
    </row>
    <row r="5" spans="1:18" x14ac:dyDescent="0.25">
      <c r="A5" s="172">
        <v>55.5</v>
      </c>
      <c r="B5" s="172">
        <v>0</v>
      </c>
      <c r="C5" s="172">
        <v>28.25</v>
      </c>
      <c r="D5" s="8">
        <v>42900.125</v>
      </c>
      <c r="E5" s="172">
        <v>0.3</v>
      </c>
      <c r="F5" s="172" t="s">
        <v>510</v>
      </c>
      <c r="G5" s="172">
        <v>325.38</v>
      </c>
      <c r="H5" s="172">
        <v>0</v>
      </c>
      <c r="I5" s="172">
        <v>0</v>
      </c>
      <c r="J5" s="172">
        <v>1010.52</v>
      </c>
      <c r="K5" s="172" t="s">
        <v>511</v>
      </c>
      <c r="L5" s="172">
        <v>60.04</v>
      </c>
      <c r="M5" s="172">
        <v>1497430800</v>
      </c>
      <c r="N5" s="172">
        <v>0</v>
      </c>
      <c r="O5" s="172">
        <v>10</v>
      </c>
      <c r="P5" s="172">
        <v>230</v>
      </c>
      <c r="Q5" s="172">
        <v>7.2</v>
      </c>
      <c r="R5" s="172">
        <v>5.14</v>
      </c>
    </row>
    <row r="6" spans="1:18" x14ac:dyDescent="0.25">
      <c r="A6" s="172">
        <v>53.28</v>
      </c>
      <c r="B6" s="172">
        <v>0</v>
      </c>
      <c r="C6" s="172">
        <v>28.54</v>
      </c>
      <c r="D6" s="8">
        <v>42900.166666666664</v>
      </c>
      <c r="E6" s="172">
        <v>0.32</v>
      </c>
      <c r="F6" s="172" t="s">
        <v>510</v>
      </c>
      <c r="G6" s="172">
        <v>324.04000000000002</v>
      </c>
      <c r="H6" s="172">
        <v>0</v>
      </c>
      <c r="I6" s="172">
        <v>0</v>
      </c>
      <c r="J6" s="172">
        <v>1011.26</v>
      </c>
      <c r="K6" s="172" t="s">
        <v>511</v>
      </c>
      <c r="L6" s="172">
        <v>58.16</v>
      </c>
      <c r="M6" s="172">
        <v>1497434400</v>
      </c>
      <c r="N6" s="172">
        <v>0</v>
      </c>
      <c r="O6" s="172">
        <v>10</v>
      </c>
      <c r="P6" s="172">
        <v>230</v>
      </c>
      <c r="Q6" s="172">
        <v>8.24</v>
      </c>
      <c r="R6" s="172">
        <v>5.68</v>
      </c>
    </row>
    <row r="7" spans="1:18" x14ac:dyDescent="0.25">
      <c r="A7" s="172">
        <v>51.82</v>
      </c>
      <c r="B7" s="172">
        <v>0.02</v>
      </c>
      <c r="C7" s="172">
        <v>28.61</v>
      </c>
      <c r="D7" s="8">
        <v>42900.208333333336</v>
      </c>
      <c r="E7" s="172">
        <v>0.34</v>
      </c>
      <c r="F7" s="172" t="s">
        <v>510</v>
      </c>
      <c r="G7" s="172">
        <v>322.5</v>
      </c>
      <c r="H7" s="172">
        <v>0</v>
      </c>
      <c r="I7" s="172">
        <v>0</v>
      </c>
      <c r="J7" s="172">
        <v>1011.66</v>
      </c>
      <c r="K7" s="172" t="s">
        <v>511</v>
      </c>
      <c r="L7" s="172">
        <v>56.34</v>
      </c>
      <c r="M7" s="172">
        <v>1497438000</v>
      </c>
      <c r="N7" s="172">
        <v>0</v>
      </c>
      <c r="O7" s="172">
        <v>10</v>
      </c>
      <c r="P7" s="172">
        <v>225</v>
      </c>
      <c r="Q7" s="172">
        <v>7.39</v>
      </c>
      <c r="R7" s="172">
        <v>4.88</v>
      </c>
    </row>
    <row r="8" spans="1:18" x14ac:dyDescent="0.25">
      <c r="A8" s="172">
        <v>53.47</v>
      </c>
      <c r="B8" s="172">
        <v>0.03</v>
      </c>
      <c r="C8" s="172">
        <v>30.29</v>
      </c>
      <c r="D8" s="8">
        <v>42900.25</v>
      </c>
      <c r="E8" s="172">
        <v>0.35</v>
      </c>
      <c r="F8" s="172" t="s">
        <v>512</v>
      </c>
      <c r="G8" s="172">
        <v>322.08999999999997</v>
      </c>
      <c r="H8" s="172">
        <v>0</v>
      </c>
      <c r="I8" s="172">
        <v>0</v>
      </c>
      <c r="J8" s="172">
        <v>1011.47</v>
      </c>
      <c r="K8" s="172" t="s">
        <v>511</v>
      </c>
      <c r="L8" s="172">
        <v>58.16</v>
      </c>
      <c r="M8" s="172">
        <v>1497441600</v>
      </c>
      <c r="N8" s="172">
        <v>0</v>
      </c>
      <c r="O8" s="172">
        <v>10</v>
      </c>
      <c r="P8" s="172">
        <v>237</v>
      </c>
      <c r="Q8" s="172">
        <v>7.56</v>
      </c>
      <c r="R8" s="172">
        <v>5.59</v>
      </c>
    </row>
    <row r="9" spans="1:18" x14ac:dyDescent="0.25">
      <c r="A9" s="172">
        <v>58.48</v>
      </c>
      <c r="B9" s="172">
        <v>0.08</v>
      </c>
      <c r="C9" s="172">
        <v>30.79</v>
      </c>
      <c r="D9" s="8">
        <v>42900.291666666664</v>
      </c>
      <c r="E9" s="172">
        <v>0.3</v>
      </c>
      <c r="F9" s="172" t="s">
        <v>512</v>
      </c>
      <c r="G9" s="172">
        <v>320.86</v>
      </c>
      <c r="H9" s="172">
        <v>0</v>
      </c>
      <c r="I9" s="172">
        <v>0</v>
      </c>
      <c r="J9" s="172">
        <v>1011.47</v>
      </c>
      <c r="K9" s="172" t="s">
        <v>511</v>
      </c>
      <c r="L9" s="172">
        <v>62.31</v>
      </c>
      <c r="M9" s="172">
        <v>1497445200</v>
      </c>
      <c r="N9" s="172">
        <v>1</v>
      </c>
      <c r="O9" s="172">
        <v>10</v>
      </c>
      <c r="P9" s="172">
        <v>240</v>
      </c>
      <c r="Q9" s="172">
        <v>6.4</v>
      </c>
      <c r="R9" s="172">
        <v>4.3600000000000003</v>
      </c>
    </row>
    <row r="10" spans="1:18" x14ac:dyDescent="0.25">
      <c r="A10" s="172">
        <v>64.75</v>
      </c>
      <c r="B10" s="172">
        <v>0.01</v>
      </c>
      <c r="C10" s="172">
        <v>30.59</v>
      </c>
      <c r="D10" s="8">
        <v>42900.333333333336</v>
      </c>
      <c r="E10" s="172">
        <v>0.25</v>
      </c>
      <c r="F10" s="172" t="s">
        <v>512</v>
      </c>
      <c r="G10" s="172">
        <v>319.41000000000003</v>
      </c>
      <c r="H10" s="172">
        <v>0</v>
      </c>
      <c r="I10" s="172">
        <v>0</v>
      </c>
      <c r="J10" s="172">
        <v>1011.29</v>
      </c>
      <c r="K10" s="172" t="s">
        <v>511</v>
      </c>
      <c r="L10" s="172">
        <v>68.09</v>
      </c>
      <c r="M10" s="172">
        <v>1497448800</v>
      </c>
      <c r="N10" s="172">
        <v>1</v>
      </c>
      <c r="O10" s="172">
        <v>10</v>
      </c>
      <c r="P10" s="172">
        <v>206</v>
      </c>
      <c r="Q10" s="172">
        <v>10.33</v>
      </c>
      <c r="R10" s="172">
        <v>3.83</v>
      </c>
    </row>
    <row r="11" spans="1:18" x14ac:dyDescent="0.25">
      <c r="A11" s="172">
        <v>70.540000000000006</v>
      </c>
      <c r="B11" s="172">
        <v>0.2</v>
      </c>
      <c r="C11" s="172">
        <v>29.75</v>
      </c>
      <c r="D11" s="8">
        <v>42900.375</v>
      </c>
      <c r="E11" s="172">
        <v>0.2</v>
      </c>
      <c r="F11" s="172" t="s">
        <v>512</v>
      </c>
      <c r="G11" s="172">
        <v>317.95</v>
      </c>
      <c r="H11" s="172">
        <v>0</v>
      </c>
      <c r="I11" s="172">
        <v>0</v>
      </c>
      <c r="J11" s="172">
        <v>1010.55</v>
      </c>
      <c r="K11" s="172" t="s">
        <v>511</v>
      </c>
      <c r="L11" s="172">
        <v>73.67</v>
      </c>
      <c r="M11" s="172">
        <v>1497452400</v>
      </c>
      <c r="N11" s="172">
        <v>2</v>
      </c>
      <c r="O11" s="172">
        <v>10</v>
      </c>
      <c r="P11" s="172">
        <v>216</v>
      </c>
      <c r="Q11" s="172">
        <v>7.04</v>
      </c>
      <c r="R11" s="172">
        <v>3.71</v>
      </c>
    </row>
    <row r="12" spans="1:18" x14ac:dyDescent="0.25">
      <c r="A12" s="172">
        <v>74.33</v>
      </c>
      <c r="B12" s="172">
        <v>0.01</v>
      </c>
      <c r="C12" s="172">
        <v>29.63</v>
      </c>
      <c r="D12" s="8">
        <v>42900.416666666664</v>
      </c>
      <c r="E12" s="172">
        <v>0.17</v>
      </c>
      <c r="F12" s="172" t="s">
        <v>512</v>
      </c>
      <c r="G12" s="172">
        <v>316.08</v>
      </c>
      <c r="H12" s="172">
        <v>0</v>
      </c>
      <c r="I12" s="172">
        <v>0</v>
      </c>
      <c r="J12" s="172">
        <v>1009.61</v>
      </c>
      <c r="K12" s="172" t="s">
        <v>511</v>
      </c>
      <c r="L12" s="172">
        <v>77.33</v>
      </c>
      <c r="M12" s="172">
        <v>1497456000</v>
      </c>
      <c r="N12" s="172">
        <v>5</v>
      </c>
      <c r="O12" s="172">
        <v>10</v>
      </c>
      <c r="P12" s="172">
        <v>196</v>
      </c>
      <c r="Q12" s="172">
        <v>14.69</v>
      </c>
      <c r="R12" s="172">
        <v>3.71</v>
      </c>
    </row>
    <row r="13" spans="1:18" x14ac:dyDescent="0.25">
      <c r="A13" s="172">
        <v>77.510000000000005</v>
      </c>
      <c r="B13" s="172">
        <v>0</v>
      </c>
      <c r="C13" s="172">
        <v>29.34</v>
      </c>
      <c r="D13" s="8">
        <v>42900.458333333336</v>
      </c>
      <c r="E13" s="172">
        <v>0.16</v>
      </c>
      <c r="F13" s="172" t="s">
        <v>512</v>
      </c>
      <c r="G13" s="172">
        <v>314.19</v>
      </c>
      <c r="H13" s="172">
        <v>0</v>
      </c>
      <c r="I13" s="172">
        <v>0</v>
      </c>
      <c r="J13" s="172">
        <v>1008.47</v>
      </c>
      <c r="K13" s="172" t="s">
        <v>511</v>
      </c>
      <c r="L13" s="172">
        <v>80.09</v>
      </c>
      <c r="M13" s="172">
        <v>1497459600</v>
      </c>
      <c r="N13" s="172">
        <v>8</v>
      </c>
      <c r="O13" s="172">
        <v>10</v>
      </c>
      <c r="P13" s="172">
        <v>222</v>
      </c>
      <c r="Q13" s="172">
        <v>14.58</v>
      </c>
      <c r="R13" s="172">
        <v>3.09</v>
      </c>
    </row>
    <row r="14" spans="1:18" x14ac:dyDescent="0.25">
      <c r="A14" s="172">
        <v>80.61</v>
      </c>
      <c r="B14" s="172">
        <v>0</v>
      </c>
      <c r="C14" s="172">
        <v>29.61</v>
      </c>
      <c r="D14" s="8">
        <v>42900.5</v>
      </c>
      <c r="E14" s="172">
        <v>0.15</v>
      </c>
      <c r="F14" s="172" t="s">
        <v>512</v>
      </c>
      <c r="G14" s="172">
        <v>312.72000000000003</v>
      </c>
      <c r="H14" s="172">
        <v>0</v>
      </c>
      <c r="I14" s="172">
        <v>0</v>
      </c>
      <c r="J14" s="172">
        <v>1007.45</v>
      </c>
      <c r="K14" s="172" t="s">
        <v>511</v>
      </c>
      <c r="L14" s="172">
        <v>82.61</v>
      </c>
      <c r="M14" s="172">
        <v>1497463200</v>
      </c>
      <c r="N14" s="172">
        <v>12</v>
      </c>
      <c r="O14" s="172">
        <v>10</v>
      </c>
      <c r="P14" s="172">
        <v>274</v>
      </c>
      <c r="Q14" s="172">
        <v>12.19</v>
      </c>
      <c r="R14" s="172">
        <v>2.23</v>
      </c>
    </row>
    <row r="15" spans="1:18" x14ac:dyDescent="0.25">
      <c r="A15" s="172">
        <v>82.95</v>
      </c>
      <c r="B15" s="172">
        <v>0.01</v>
      </c>
      <c r="C15" s="172">
        <v>29.32</v>
      </c>
      <c r="D15" s="8">
        <v>42900.541666666664</v>
      </c>
      <c r="E15" s="172">
        <v>0.13</v>
      </c>
      <c r="F15" s="172" t="s">
        <v>512</v>
      </c>
      <c r="G15" s="172">
        <v>310.60000000000002</v>
      </c>
      <c r="H15" s="172">
        <v>0</v>
      </c>
      <c r="I15" s="172">
        <v>0</v>
      </c>
      <c r="J15" s="172">
        <v>1006.49</v>
      </c>
      <c r="K15" s="172" t="s">
        <v>511</v>
      </c>
      <c r="L15" s="172">
        <v>84.91</v>
      </c>
      <c r="M15" s="172">
        <v>1497466800</v>
      </c>
      <c r="N15" s="172">
        <v>13</v>
      </c>
      <c r="O15" s="172">
        <v>10</v>
      </c>
      <c r="P15" s="172">
        <v>54</v>
      </c>
      <c r="Q15" s="172">
        <v>13.83</v>
      </c>
      <c r="R15" s="172">
        <v>2.2799999999999998</v>
      </c>
    </row>
    <row r="16" spans="1:18" x14ac:dyDescent="0.25">
      <c r="A16" s="172">
        <v>83.84</v>
      </c>
      <c r="B16" s="172">
        <v>0.06</v>
      </c>
      <c r="C16" s="172">
        <v>29.03</v>
      </c>
      <c r="D16" s="8">
        <v>42900.583333333336</v>
      </c>
      <c r="E16" s="172">
        <v>0.13</v>
      </c>
      <c r="F16" s="172" t="s">
        <v>512</v>
      </c>
      <c r="G16" s="172">
        <v>308.47000000000003</v>
      </c>
      <c r="H16" s="172">
        <v>0</v>
      </c>
      <c r="I16" s="172">
        <v>0</v>
      </c>
      <c r="J16" s="172">
        <v>1005.83</v>
      </c>
      <c r="K16" s="172" t="s">
        <v>511</v>
      </c>
      <c r="L16" s="172">
        <v>86.2</v>
      </c>
      <c r="M16" s="172">
        <v>1497470400</v>
      </c>
      <c r="N16" s="172">
        <v>11</v>
      </c>
      <c r="O16" s="172">
        <v>10</v>
      </c>
      <c r="P16" s="172">
        <v>44</v>
      </c>
      <c r="Q16" s="172">
        <v>14.71</v>
      </c>
      <c r="R16" s="172">
        <v>3.11</v>
      </c>
    </row>
    <row r="17" spans="1:18" x14ac:dyDescent="0.25">
      <c r="A17" s="172">
        <v>83.6</v>
      </c>
      <c r="B17" s="172">
        <v>0.08</v>
      </c>
      <c r="C17" s="172">
        <v>28.91</v>
      </c>
      <c r="D17" s="8">
        <v>42900.625</v>
      </c>
      <c r="E17" s="172">
        <v>0.13</v>
      </c>
      <c r="F17" s="172" t="s">
        <v>512</v>
      </c>
      <c r="G17" s="172">
        <v>307.08999999999997</v>
      </c>
      <c r="H17" s="172">
        <v>0</v>
      </c>
      <c r="I17" s="172">
        <v>0</v>
      </c>
      <c r="J17" s="172">
        <v>1005.31</v>
      </c>
      <c r="K17" s="172" t="s">
        <v>511</v>
      </c>
      <c r="L17" s="172">
        <v>86.38</v>
      </c>
      <c r="M17" s="172">
        <v>1497474000</v>
      </c>
      <c r="N17" s="172">
        <v>8</v>
      </c>
      <c r="O17" s="172">
        <v>10</v>
      </c>
      <c r="P17" s="172">
        <v>26</v>
      </c>
      <c r="Q17" s="172">
        <v>13.8</v>
      </c>
      <c r="R17" s="172">
        <v>3.87</v>
      </c>
    </row>
    <row r="18" spans="1:18" x14ac:dyDescent="0.25">
      <c r="A18" s="172">
        <v>82.97</v>
      </c>
      <c r="B18" s="172">
        <v>0.13</v>
      </c>
      <c r="C18" s="172">
        <v>29.31</v>
      </c>
      <c r="D18" s="8">
        <v>42900.666666666664</v>
      </c>
      <c r="E18" s="172">
        <v>0.13</v>
      </c>
      <c r="F18" s="172" t="s">
        <v>512</v>
      </c>
      <c r="G18" s="172">
        <v>307.10000000000002</v>
      </c>
      <c r="H18" s="172">
        <v>0</v>
      </c>
      <c r="I18" s="172">
        <v>0</v>
      </c>
      <c r="J18" s="172">
        <v>1005.03</v>
      </c>
      <c r="K18" s="172" t="s">
        <v>511</v>
      </c>
      <c r="L18" s="172">
        <v>86.33</v>
      </c>
      <c r="M18" s="172">
        <v>1497477600</v>
      </c>
      <c r="N18" s="172">
        <v>5</v>
      </c>
      <c r="O18" s="172">
        <v>10</v>
      </c>
      <c r="P18" s="172">
        <v>17</v>
      </c>
      <c r="Q18" s="172">
        <v>14.92</v>
      </c>
      <c r="R18" s="172">
        <v>5.07</v>
      </c>
    </row>
    <row r="19" spans="1:18" x14ac:dyDescent="0.25">
      <c r="A19" s="172">
        <v>81.540000000000006</v>
      </c>
      <c r="B19" s="172">
        <v>0.21</v>
      </c>
      <c r="C19" s="172">
        <v>30.43</v>
      </c>
      <c r="D19" s="8">
        <v>42900.708333333336</v>
      </c>
      <c r="E19" s="172">
        <v>0.14000000000000001</v>
      </c>
      <c r="F19" s="172" t="s">
        <v>512</v>
      </c>
      <c r="G19" s="172">
        <v>307.76</v>
      </c>
      <c r="H19" s="172">
        <v>0</v>
      </c>
      <c r="I19" s="172">
        <v>0</v>
      </c>
      <c r="J19" s="172">
        <v>1004.81</v>
      </c>
      <c r="K19" s="172" t="s">
        <v>511</v>
      </c>
      <c r="L19" s="172">
        <v>85.72</v>
      </c>
      <c r="M19" s="172">
        <v>1497481200</v>
      </c>
      <c r="N19" s="172">
        <v>3</v>
      </c>
      <c r="O19" s="172">
        <v>10</v>
      </c>
      <c r="P19" s="172">
        <v>16</v>
      </c>
      <c r="Q19" s="172">
        <v>14.49</v>
      </c>
      <c r="R19" s="172">
        <v>6.76</v>
      </c>
    </row>
    <row r="20" spans="1:18" x14ac:dyDescent="0.25">
      <c r="A20" s="172">
        <v>80.94</v>
      </c>
      <c r="B20" s="172">
        <v>0.24</v>
      </c>
      <c r="C20" s="172">
        <v>32.22</v>
      </c>
      <c r="D20" s="8">
        <v>42900.75</v>
      </c>
      <c r="E20" s="172">
        <v>0.15</v>
      </c>
      <c r="F20" s="172" t="s">
        <v>512</v>
      </c>
      <c r="G20" s="172">
        <v>303.44</v>
      </c>
      <c r="H20" s="172">
        <v>0</v>
      </c>
      <c r="I20" s="172">
        <v>0</v>
      </c>
      <c r="J20" s="172">
        <v>1004.99</v>
      </c>
      <c r="K20" s="172" t="s">
        <v>511</v>
      </c>
      <c r="L20" s="172">
        <v>85.56</v>
      </c>
      <c r="M20" s="172">
        <v>1497484800</v>
      </c>
      <c r="N20" s="172">
        <v>1</v>
      </c>
      <c r="O20" s="172">
        <v>10</v>
      </c>
      <c r="P20" s="172">
        <v>34</v>
      </c>
      <c r="Q20" s="172">
        <v>13.34</v>
      </c>
      <c r="R20" s="172">
        <v>7.88</v>
      </c>
    </row>
    <row r="21" spans="1:18" x14ac:dyDescent="0.25">
      <c r="A21" s="172">
        <v>78.39</v>
      </c>
      <c r="B21" s="172">
        <v>0.22</v>
      </c>
      <c r="C21" s="172">
        <v>33.25</v>
      </c>
      <c r="D21" s="8">
        <v>42900.791666666664</v>
      </c>
      <c r="E21" s="172">
        <v>0.17</v>
      </c>
      <c r="F21" s="172" t="s">
        <v>512</v>
      </c>
      <c r="G21" s="172">
        <v>303.86</v>
      </c>
      <c r="H21" s="172">
        <v>0</v>
      </c>
      <c r="I21" s="172">
        <v>0</v>
      </c>
      <c r="J21" s="172">
        <v>1006</v>
      </c>
      <c r="K21" s="172" t="s">
        <v>511</v>
      </c>
      <c r="L21" s="172">
        <v>83.06</v>
      </c>
      <c r="M21" s="172">
        <v>1497488400</v>
      </c>
      <c r="N21" s="172">
        <v>1</v>
      </c>
      <c r="O21" s="172">
        <v>10</v>
      </c>
      <c r="P21" s="172">
        <v>37</v>
      </c>
      <c r="Q21" s="172">
        <v>9.5299999999999994</v>
      </c>
      <c r="R21" s="172">
        <v>7.96</v>
      </c>
    </row>
    <row r="22" spans="1:18" x14ac:dyDescent="0.25">
      <c r="A22" s="172">
        <v>75.13</v>
      </c>
      <c r="B22" s="172">
        <v>0.12</v>
      </c>
      <c r="C22" s="172">
        <v>33.78</v>
      </c>
      <c r="D22" s="8">
        <v>42900.833333333336</v>
      </c>
      <c r="E22" s="172">
        <v>0.19</v>
      </c>
      <c r="F22" s="172" t="s">
        <v>512</v>
      </c>
      <c r="G22" s="172">
        <v>304.82</v>
      </c>
      <c r="H22" s="172">
        <v>0</v>
      </c>
      <c r="I22" s="172">
        <v>0</v>
      </c>
      <c r="J22" s="172">
        <v>1007.48</v>
      </c>
      <c r="K22" s="172" t="s">
        <v>511</v>
      </c>
      <c r="L22" s="172">
        <v>79.599999999999994</v>
      </c>
      <c r="M22" s="172">
        <v>1497492000</v>
      </c>
      <c r="N22" s="172">
        <v>0</v>
      </c>
      <c r="O22" s="172">
        <v>10</v>
      </c>
      <c r="P22" s="172">
        <v>36</v>
      </c>
      <c r="Q22" s="172">
        <v>9.5299999999999994</v>
      </c>
      <c r="R22" s="172">
        <v>7.41</v>
      </c>
    </row>
    <row r="23" spans="1:18" x14ac:dyDescent="0.25">
      <c r="A23" s="172">
        <v>72.55</v>
      </c>
      <c r="B23" s="172">
        <v>0.04</v>
      </c>
      <c r="C23" s="172">
        <v>35.74</v>
      </c>
      <c r="D23" s="8">
        <v>42900.875</v>
      </c>
      <c r="E23" s="172">
        <v>0.24</v>
      </c>
      <c r="F23" s="172" t="s">
        <v>510</v>
      </c>
      <c r="G23" s="172">
        <v>305.56</v>
      </c>
      <c r="H23" s="172">
        <v>0</v>
      </c>
      <c r="I23" s="172">
        <v>0</v>
      </c>
      <c r="J23" s="172">
        <v>1009.01</v>
      </c>
      <c r="K23" s="172" t="s">
        <v>511</v>
      </c>
      <c r="L23" s="172">
        <v>75.260000000000005</v>
      </c>
      <c r="M23" s="172">
        <v>1497495600</v>
      </c>
      <c r="N23" s="172">
        <v>0</v>
      </c>
      <c r="O23" s="172">
        <v>10</v>
      </c>
      <c r="P23" s="172">
        <v>7</v>
      </c>
      <c r="Q23" s="172">
        <v>5.74</v>
      </c>
      <c r="R23" s="172">
        <v>4.08</v>
      </c>
    </row>
    <row r="24" spans="1:18" x14ac:dyDescent="0.25">
      <c r="A24" s="172">
        <v>69.09</v>
      </c>
      <c r="B24" s="172">
        <v>0.03</v>
      </c>
      <c r="C24" s="172">
        <v>36.33</v>
      </c>
      <c r="D24" s="8">
        <v>42900.916666666664</v>
      </c>
      <c r="E24" s="172">
        <v>0.27</v>
      </c>
      <c r="F24" s="172" t="s">
        <v>510</v>
      </c>
      <c r="G24" s="172">
        <v>305.23</v>
      </c>
      <c r="H24" s="172">
        <v>0</v>
      </c>
      <c r="I24" s="172">
        <v>0</v>
      </c>
      <c r="J24" s="172">
        <v>1009.82</v>
      </c>
      <c r="K24" s="172" t="s">
        <v>511</v>
      </c>
      <c r="L24" s="172">
        <v>72.040000000000006</v>
      </c>
      <c r="M24" s="172">
        <v>1497499200</v>
      </c>
      <c r="N24" s="172">
        <v>0</v>
      </c>
      <c r="O24" s="172">
        <v>10</v>
      </c>
      <c r="P24" s="172">
        <v>13</v>
      </c>
      <c r="Q24" s="172">
        <v>6.82</v>
      </c>
      <c r="R24" s="172">
        <v>4.41</v>
      </c>
    </row>
    <row r="25" spans="1:18" x14ac:dyDescent="0.25">
      <c r="A25" s="172">
        <v>66.569999999999993</v>
      </c>
      <c r="B25" s="172">
        <v>0.02</v>
      </c>
      <c r="C25" s="172">
        <v>36.51</v>
      </c>
      <c r="D25" s="8">
        <v>42900.958333333336</v>
      </c>
      <c r="E25" s="172">
        <v>0.3</v>
      </c>
      <c r="F25" s="172" t="s">
        <v>510</v>
      </c>
      <c r="G25" s="172">
        <v>304.58</v>
      </c>
      <c r="H25" s="172">
        <v>0</v>
      </c>
      <c r="I25" s="172">
        <v>0</v>
      </c>
      <c r="J25" s="172">
        <v>1010.3</v>
      </c>
      <c r="K25" s="172" t="s">
        <v>511</v>
      </c>
      <c r="L25" s="172">
        <v>69.27</v>
      </c>
      <c r="M25" s="172">
        <v>1497502800</v>
      </c>
      <c r="N25" s="172">
        <v>0</v>
      </c>
      <c r="O25" s="172">
        <v>10</v>
      </c>
      <c r="P25" s="172">
        <v>274</v>
      </c>
      <c r="Q25" s="172">
        <v>6.8</v>
      </c>
      <c r="R25" s="172">
        <v>3.76</v>
      </c>
    </row>
    <row r="26" spans="1:18" x14ac:dyDescent="0.25">
      <c r="A26" s="172">
        <v>63.97</v>
      </c>
      <c r="B26" s="172">
        <v>0.01</v>
      </c>
      <c r="C26" s="172">
        <v>36.79</v>
      </c>
      <c r="D26" s="8">
        <v>42901</v>
      </c>
      <c r="E26" s="172">
        <v>0.34</v>
      </c>
      <c r="F26" s="172" t="s">
        <v>510</v>
      </c>
      <c r="G26" s="172">
        <v>304.26</v>
      </c>
      <c r="H26" s="172">
        <v>0</v>
      </c>
      <c r="I26" s="172">
        <v>0</v>
      </c>
      <c r="J26" s="172">
        <v>1010.77</v>
      </c>
      <c r="K26" s="172" t="s">
        <v>511</v>
      </c>
      <c r="L26" s="172">
        <v>66.37</v>
      </c>
      <c r="M26" s="172">
        <v>1497506400</v>
      </c>
      <c r="N26" s="172">
        <v>0</v>
      </c>
      <c r="O26" s="172">
        <v>10</v>
      </c>
      <c r="P26" s="172">
        <v>268</v>
      </c>
      <c r="Q26" s="172">
        <v>7.79</v>
      </c>
      <c r="R26" s="172">
        <v>3.01</v>
      </c>
    </row>
    <row r="27" spans="1:18" x14ac:dyDescent="0.25">
      <c r="A27" s="172">
        <v>61.26</v>
      </c>
      <c r="B27" s="172">
        <v>0.01</v>
      </c>
      <c r="C27" s="172">
        <v>36.43</v>
      </c>
      <c r="D27" s="8">
        <v>42901.041666666664</v>
      </c>
      <c r="E27" s="172">
        <v>0.35</v>
      </c>
      <c r="F27" s="172" t="s">
        <v>510</v>
      </c>
      <c r="G27" s="172">
        <v>304.8</v>
      </c>
      <c r="H27" s="172">
        <v>0</v>
      </c>
      <c r="I27" s="172">
        <v>0</v>
      </c>
      <c r="J27" s="172">
        <v>1011.37</v>
      </c>
      <c r="K27" s="172" t="s">
        <v>511</v>
      </c>
      <c r="L27" s="172">
        <v>64.33</v>
      </c>
      <c r="M27" s="172">
        <v>1497510000</v>
      </c>
      <c r="N27" s="172">
        <v>0</v>
      </c>
      <c r="O27" s="172">
        <v>10</v>
      </c>
      <c r="P27" s="172">
        <v>152</v>
      </c>
      <c r="Q27" s="172">
        <v>7</v>
      </c>
      <c r="R27" s="172">
        <v>4.05</v>
      </c>
    </row>
    <row r="28" spans="1:18" x14ac:dyDescent="0.25">
      <c r="A28" s="172">
        <v>59.76</v>
      </c>
      <c r="B28" s="172">
        <v>0</v>
      </c>
      <c r="C28" s="172">
        <v>36.46</v>
      </c>
      <c r="D28" s="8">
        <v>42901.083333333336</v>
      </c>
      <c r="E28" s="172">
        <v>0.38</v>
      </c>
      <c r="F28" s="172" t="s">
        <v>510</v>
      </c>
      <c r="G28" s="172">
        <v>305.66000000000003</v>
      </c>
      <c r="H28" s="172">
        <v>0</v>
      </c>
      <c r="I28" s="172">
        <v>0</v>
      </c>
      <c r="J28" s="172">
        <v>1011.99</v>
      </c>
      <c r="K28" s="172" t="s">
        <v>511</v>
      </c>
      <c r="L28" s="172">
        <v>62.56</v>
      </c>
      <c r="M28" s="172">
        <v>1497513600</v>
      </c>
      <c r="N28" s="172">
        <v>0</v>
      </c>
      <c r="O28" s="172">
        <v>10</v>
      </c>
      <c r="P28" s="172">
        <v>274</v>
      </c>
      <c r="Q28" s="172">
        <v>7.68</v>
      </c>
      <c r="R28" s="172">
        <v>3.42</v>
      </c>
    </row>
    <row r="29" spans="1:18" x14ac:dyDescent="0.25">
      <c r="A29" s="172">
        <v>58.4</v>
      </c>
      <c r="B29" s="172">
        <v>0</v>
      </c>
      <c r="C29" s="172">
        <v>36.049999999999997</v>
      </c>
      <c r="D29" s="8">
        <v>42901.125</v>
      </c>
      <c r="E29" s="172">
        <v>0.39</v>
      </c>
      <c r="F29" s="172" t="s">
        <v>510</v>
      </c>
      <c r="G29" s="172">
        <v>306.41000000000003</v>
      </c>
      <c r="H29" s="172">
        <v>0</v>
      </c>
      <c r="I29" s="172">
        <v>0</v>
      </c>
      <c r="J29" s="172">
        <v>1012.35</v>
      </c>
      <c r="K29" s="172" t="s">
        <v>511</v>
      </c>
      <c r="L29" s="172">
        <v>61.24</v>
      </c>
      <c r="M29" s="172">
        <v>1497517200</v>
      </c>
      <c r="N29" s="172">
        <v>0</v>
      </c>
      <c r="O29" s="172">
        <v>10</v>
      </c>
      <c r="P29" s="172">
        <v>240</v>
      </c>
      <c r="Q29" s="172">
        <v>6.79</v>
      </c>
      <c r="R29" s="172">
        <v>3.32</v>
      </c>
    </row>
    <row r="30" spans="1:18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8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8"/>
  <sheetViews>
    <sheetView workbookViewId="0"/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334</v>
      </c>
      <c r="U1" s="156"/>
      <c r="V1" s="156"/>
      <c r="W1" s="156"/>
      <c r="X1" s="156"/>
    </row>
    <row r="2" spans="1:32" ht="15.75" thickBot="1" x14ac:dyDescent="0.3">
      <c r="A2" s="12">
        <v>42900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335</v>
      </c>
      <c r="U2" s="155">
        <v>167</v>
      </c>
      <c r="V2" s="155">
        <v>168</v>
      </c>
      <c r="W2" s="155">
        <v>199</v>
      </c>
      <c r="X2" s="155">
        <v>200</v>
      </c>
      <c r="AD2" t="s">
        <v>1008</v>
      </c>
      <c r="AE2" s="56" t="s">
        <v>1011</v>
      </c>
      <c r="AF2" s="56" t="s">
        <v>1012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336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42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337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42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338</v>
      </c>
      <c r="U5" s="155">
        <v>187</v>
      </c>
      <c r="V5" s="155">
        <v>188</v>
      </c>
      <c r="W5" s="155">
        <v>223</v>
      </c>
      <c r="X5" s="155">
        <v>224</v>
      </c>
      <c r="AC5" s="30" t="s">
        <v>1009</v>
      </c>
      <c r="AD5" s="42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2">
        <v>5.65</v>
      </c>
      <c r="AE6" s="42">
        <v>1800</v>
      </c>
      <c r="AF6" s="42">
        <v>1899</v>
      </c>
    </row>
    <row r="7" spans="1:32" x14ac:dyDescent="0.25">
      <c r="C7" s="56"/>
      <c r="F7" t="s">
        <v>439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1010</v>
      </c>
      <c r="AD7" s="42">
        <v>99</v>
      </c>
      <c r="AE7" s="42">
        <v>0</v>
      </c>
      <c r="AF7" s="42">
        <v>99</v>
      </c>
    </row>
    <row r="8" spans="1:32" x14ac:dyDescent="0.25">
      <c r="C8" s="56"/>
      <c r="F8" t="s">
        <v>440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1013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972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973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974</v>
      </c>
      <c r="J20" s="140" t="s">
        <v>87</v>
      </c>
      <c r="M20" s="154" t="s">
        <v>361</v>
      </c>
      <c r="N20" s="154" t="s">
        <v>333</v>
      </c>
      <c r="T20" s="155"/>
      <c r="U20" s="155"/>
      <c r="V20" s="155"/>
      <c r="W20" s="155"/>
      <c r="X20" s="155"/>
    </row>
    <row r="21" spans="3:24" x14ac:dyDescent="0.25">
      <c r="C21" t="s">
        <v>975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976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977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978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979</v>
      </c>
      <c r="J25" s="140" t="s">
        <v>146</v>
      </c>
      <c r="M25" s="154" t="b">
        <v>1</v>
      </c>
    </row>
    <row r="26" spans="3:24" x14ac:dyDescent="0.25">
      <c r="C26" t="s">
        <v>980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C:\Users\stu\Documents\GitHub\eaglep3-reporting\EC\2017-06-14-refined-times.txt</v>
      </c>
    </row>
    <row r="27" spans="3:24" x14ac:dyDescent="0.25">
      <c r="C27" t="s">
        <v>981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C:\Users\stu\Documents\GitHub\eaglep3-reporting\EC\2017-06-14-Enforcements.txt</v>
      </c>
    </row>
    <row r="28" spans="3:24" x14ac:dyDescent="0.25">
      <c r="C28" t="s">
        <v>982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C:\Users\stu\Documents\GitHub\eaglep3-reporting\EC\2017-06-14-Runs-refined.txt</v>
      </c>
    </row>
    <row r="29" spans="3:24" x14ac:dyDescent="0.25">
      <c r="C29" t="s">
        <v>983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C:\Users\stu\Documents\GitHub\eaglep3-reporting\EC\2017-06-14-Trips.txt</v>
      </c>
    </row>
    <row r="30" spans="3:24" x14ac:dyDescent="0.25">
      <c r="C30" t="s">
        <v>984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C:\Users\stu\Documents\GitHub\eaglep3-reporting\EC\2017-06-14-Weather.txt</v>
      </c>
    </row>
    <row r="31" spans="3:24" x14ac:dyDescent="0.25">
      <c r="C31" t="s">
        <v>985</v>
      </c>
      <c r="J31" s="140" t="s">
        <v>196</v>
      </c>
      <c r="M31" s="154" t="s">
        <v>197</v>
      </c>
    </row>
    <row r="32" spans="3:24" x14ac:dyDescent="0.25">
      <c r="C32" t="s">
        <v>986</v>
      </c>
    </row>
    <row r="33" spans="3:3" x14ac:dyDescent="0.25">
      <c r="C33" t="s">
        <v>987</v>
      </c>
    </row>
    <row r="34" spans="3:3" x14ac:dyDescent="0.25">
      <c r="C34" t="s">
        <v>988</v>
      </c>
    </row>
    <row r="35" spans="3:3" x14ac:dyDescent="0.25">
      <c r="C35" t="s">
        <v>989</v>
      </c>
    </row>
    <row r="36" spans="3:3" x14ac:dyDescent="0.25">
      <c r="C36" t="s">
        <v>990</v>
      </c>
    </row>
    <row r="37" spans="3:3" x14ac:dyDescent="0.25">
      <c r="C37" t="s">
        <v>991</v>
      </c>
    </row>
    <row r="38" spans="3:3" x14ac:dyDescent="0.25">
      <c r="C38" t="s">
        <v>992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345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346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233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234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235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236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237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238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239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240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241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242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243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244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245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246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247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248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249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250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251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252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253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254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255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256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257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258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259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260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261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262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263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264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265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266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267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268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269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270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271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272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273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274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275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276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277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278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279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280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281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282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283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284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285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286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287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288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289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290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291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292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293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294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295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296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297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298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299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300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301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302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303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304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305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306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307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308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309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310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311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312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313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314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315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316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317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318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319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320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321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322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323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324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325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326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327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328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329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330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331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332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2017-06-15T16:36:02Z</dcterms:modified>
</cp:coreProperties>
</file>