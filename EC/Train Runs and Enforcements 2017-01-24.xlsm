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Enforcements!$A$6:$AC$36</definedName>
    <definedName name="_xlnm._FilterDatabase" localSheetId="2" hidden="1">'Missing Trips'!$A$2:$J$133</definedName>
    <definedName name="_xlnm._FilterDatabase" localSheetId="0" hidden="1">'Train Runs'!$A$12:$AG$240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9" i="9" l="1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B90" i="9"/>
  <c r="C90" i="9"/>
  <c r="B91" i="9"/>
  <c r="C91" i="9"/>
  <c r="B92" i="9"/>
  <c r="C92" i="9"/>
  <c r="B93" i="9"/>
  <c r="C93" i="9"/>
  <c r="B94" i="9"/>
  <c r="C94" i="9"/>
  <c r="B95" i="9"/>
  <c r="C95" i="9"/>
  <c r="B96" i="9"/>
  <c r="C96" i="9"/>
  <c r="B97" i="9"/>
  <c r="C97" i="9"/>
  <c r="B98" i="9"/>
  <c r="C98" i="9"/>
  <c r="B99" i="9"/>
  <c r="C99" i="9"/>
  <c r="B100" i="9"/>
  <c r="C100" i="9"/>
  <c r="B101" i="9"/>
  <c r="C101" i="9"/>
  <c r="B102" i="9"/>
  <c r="C102" i="9"/>
  <c r="B103" i="9"/>
  <c r="C103" i="9"/>
  <c r="B104" i="9"/>
  <c r="C104" i="9"/>
  <c r="B105" i="9"/>
  <c r="C105" i="9"/>
  <c r="B106" i="9"/>
  <c r="C106" i="9"/>
  <c r="B107" i="9"/>
  <c r="C107" i="9"/>
  <c r="B108" i="9"/>
  <c r="C108" i="9"/>
  <c r="B109" i="9"/>
  <c r="C109" i="9"/>
  <c r="B110" i="9"/>
  <c r="C110" i="9"/>
  <c r="B111" i="9"/>
  <c r="C111" i="9"/>
  <c r="B112" i="9"/>
  <c r="C112" i="9"/>
  <c r="B113" i="9"/>
  <c r="C113" i="9"/>
  <c r="B114" i="9"/>
  <c r="C114" i="9"/>
  <c r="B115" i="9"/>
  <c r="C115" i="9"/>
  <c r="B116" i="9"/>
  <c r="C116" i="9"/>
  <c r="B117" i="9"/>
  <c r="C117" i="9"/>
  <c r="B118" i="9"/>
  <c r="C118" i="9"/>
  <c r="B119" i="9"/>
  <c r="C119" i="9"/>
  <c r="B120" i="9"/>
  <c r="C120" i="9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P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S12" i="3" s="1"/>
  <c r="Y20" i="1"/>
  <c r="Z20" i="1"/>
  <c r="AB20" i="1"/>
  <c r="AC20" i="1"/>
  <c r="AD20" i="1"/>
  <c r="T20" i="1" s="1"/>
  <c r="AE20" i="1"/>
  <c r="R12" i="3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S18" i="3" s="1"/>
  <c r="Y22" i="1"/>
  <c r="Z22" i="1"/>
  <c r="AB22" i="1"/>
  <c r="AC22" i="1"/>
  <c r="AD22" i="1"/>
  <c r="AE22" i="1"/>
  <c r="R18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V24" i="1"/>
  <c r="S21" i="3" s="1"/>
  <c r="Y24" i="1"/>
  <c r="Z24" i="1"/>
  <c r="AB24" i="1"/>
  <c r="AC24" i="1"/>
  <c r="AD24" i="1"/>
  <c r="AG24" i="1" s="1"/>
  <c r="AE24" i="1"/>
  <c r="R21" i="3" s="1"/>
  <c r="AF24" i="1"/>
  <c r="AH24" i="1"/>
  <c r="AM24" i="1"/>
  <c r="AN24" i="1"/>
  <c r="K25" i="1"/>
  <c r="L25" i="1"/>
  <c r="M25" i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S8" i="3" s="1"/>
  <c r="Y35" i="1"/>
  <c r="Z35" i="1"/>
  <c r="AB35" i="1"/>
  <c r="AC35" i="1"/>
  <c r="AD35" i="1"/>
  <c r="AG35" i="1" s="1"/>
  <c r="AE35" i="1"/>
  <c r="R8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G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S31" i="3" s="1"/>
  <c r="Y52" i="1"/>
  <c r="Z52" i="1"/>
  <c r="AB52" i="1"/>
  <c r="AC52" i="1"/>
  <c r="AD52" i="1"/>
  <c r="T52" i="1" s="1"/>
  <c r="AE52" i="1"/>
  <c r="R31" i="3" s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S19" i="3" s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P63" i="1" s="1"/>
  <c r="V63" i="1"/>
  <c r="Y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S10" i="3" s="1"/>
  <c r="Y64" i="1"/>
  <c r="Z64" i="1"/>
  <c r="AB64" i="1"/>
  <c r="AC64" i="1"/>
  <c r="AD64" i="1"/>
  <c r="T64" i="1" s="1"/>
  <c r="AE64" i="1"/>
  <c r="R10" i="3" s="1"/>
  <c r="AF64" i="1"/>
  <c r="AH64" i="1"/>
  <c r="AM64" i="1"/>
  <c r="AN64" i="1"/>
  <c r="K65" i="1"/>
  <c r="L65" i="1"/>
  <c r="M65" i="1"/>
  <c r="N65" i="1" s="1"/>
  <c r="V65" i="1"/>
  <c r="S14" i="3" s="1"/>
  <c r="Y65" i="1"/>
  <c r="Z65" i="1"/>
  <c r="AB65" i="1"/>
  <c r="AC65" i="1"/>
  <c r="AD65" i="1"/>
  <c r="AG65" i="1" s="1"/>
  <c r="AE65" i="1"/>
  <c r="R22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S23" i="3" s="1"/>
  <c r="Y67" i="1"/>
  <c r="Z67" i="1"/>
  <c r="AB67" i="1"/>
  <c r="AC67" i="1"/>
  <c r="AD67" i="1"/>
  <c r="AE67" i="1"/>
  <c r="R23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V75" i="1"/>
  <c r="Y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P78" i="1" s="1"/>
  <c r="V78" i="1"/>
  <c r="S9" i="3" s="1"/>
  <c r="Y78" i="1"/>
  <c r="Z78" i="1"/>
  <c r="AB78" i="1"/>
  <c r="AC78" i="1"/>
  <c r="AD78" i="1"/>
  <c r="T78" i="1" s="1"/>
  <c r="AE78" i="1"/>
  <c r="R9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S27" i="3" s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R17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S28" i="3" s="1"/>
  <c r="Y100" i="1"/>
  <c r="Z100" i="1"/>
  <c r="AB100" i="1"/>
  <c r="AC100" i="1"/>
  <c r="AD100" i="1"/>
  <c r="AG100" i="1" s="1"/>
  <c r="AE100" i="1"/>
  <c r="R28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S15" i="3" s="1"/>
  <c r="Y105" i="1"/>
  <c r="Z105" i="1"/>
  <c r="AB105" i="1"/>
  <c r="AC105" i="1"/>
  <c r="AD105" i="1"/>
  <c r="AG105" i="1" s="1"/>
  <c r="AE105" i="1"/>
  <c r="R15" i="3" s="1"/>
  <c r="AF105" i="1"/>
  <c r="AH105" i="1"/>
  <c r="AM105" i="1"/>
  <c r="AN105" i="1"/>
  <c r="K106" i="1"/>
  <c r="L106" i="1"/>
  <c r="M106" i="1"/>
  <c r="P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S20" i="3" s="1"/>
  <c r="Y110" i="1"/>
  <c r="Z110" i="1"/>
  <c r="AB110" i="1"/>
  <c r="AC110" i="1"/>
  <c r="AD110" i="1"/>
  <c r="AE110" i="1"/>
  <c r="R20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S30" i="3" s="1"/>
  <c r="Y112" i="1"/>
  <c r="Z112" i="1"/>
  <c r="AB112" i="1"/>
  <c r="AC112" i="1"/>
  <c r="AD112" i="1"/>
  <c r="AG112" i="1" s="1"/>
  <c r="AE112" i="1"/>
  <c r="R30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S29" i="3" s="1"/>
  <c r="Y120" i="1"/>
  <c r="Z120" i="1"/>
  <c r="AB120" i="1"/>
  <c r="AC120" i="1"/>
  <c r="AD120" i="1"/>
  <c r="AG120" i="1" s="1"/>
  <c r="AE120" i="1"/>
  <c r="R29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S16" i="3" s="1"/>
  <c r="Y132" i="1"/>
  <c r="Z132" i="1"/>
  <c r="AB132" i="1"/>
  <c r="AC132" i="1"/>
  <c r="AD132" i="1"/>
  <c r="T132" i="1" s="1"/>
  <c r="AE132" i="1"/>
  <c r="R16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R33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S11" i="3" s="1"/>
  <c r="Y155" i="1"/>
  <c r="Z155" i="1"/>
  <c r="AB155" i="1"/>
  <c r="AC155" i="1"/>
  <c r="AD155" i="1"/>
  <c r="AG155" i="1" s="1"/>
  <c r="AE155" i="1"/>
  <c r="R11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57" i="1"/>
  <c r="AM157" i="1"/>
  <c r="AN15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58" i="1"/>
  <c r="AM158" i="1"/>
  <c r="AN15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9" i="1"/>
  <c r="AM159" i="1"/>
  <c r="AN159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60" i="1"/>
  <c r="AM160" i="1"/>
  <c r="AN160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61" i="1"/>
  <c r="AM161" i="1"/>
  <c r="AN161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2" i="1"/>
  <c r="AM162" i="1"/>
  <c r="AN162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3" i="1"/>
  <c r="AM163" i="1"/>
  <c r="AN16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4" i="1"/>
  <c r="AM164" i="1"/>
  <c r="AN164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5" i="1"/>
  <c r="AM165" i="1"/>
  <c r="AN165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6" i="1"/>
  <c r="AM166" i="1"/>
  <c r="AN166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7" i="1"/>
  <c r="AM167" i="1"/>
  <c r="AN167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8" i="1"/>
  <c r="AM168" i="1"/>
  <c r="AN16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9" i="1"/>
  <c r="AM169" i="1"/>
  <c r="AN16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0" i="1"/>
  <c r="AM170" i="1"/>
  <c r="AN170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4" i="1"/>
  <c r="AM174" i="1"/>
  <c r="AN174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5" i="1"/>
  <c r="AM175" i="1"/>
  <c r="AN175" i="1"/>
  <c r="K227" i="1"/>
  <c r="L227" i="1"/>
  <c r="M227" i="1"/>
  <c r="N227" i="1" s="1"/>
  <c r="V227" i="1"/>
  <c r="S56" i="3" s="1"/>
  <c r="Y227" i="1"/>
  <c r="Z227" i="1"/>
  <c r="AB227" i="1"/>
  <c r="AC227" i="1"/>
  <c r="AD227" i="1"/>
  <c r="T227" i="1" s="1"/>
  <c r="AE227" i="1"/>
  <c r="R56" i="3" s="1"/>
  <c r="AF227" i="1"/>
  <c r="AH176" i="1"/>
  <c r="AM176" i="1"/>
  <c r="AN176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7" i="1"/>
  <c r="AM177" i="1"/>
  <c r="AN177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8" i="1"/>
  <c r="AM178" i="1"/>
  <c r="AN178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9" i="1"/>
  <c r="AM179" i="1"/>
  <c r="AN179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0" i="1"/>
  <c r="AM180" i="1"/>
  <c r="AN180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1" i="1"/>
  <c r="AM181" i="1"/>
  <c r="AN181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2" i="1"/>
  <c r="AM182" i="1"/>
  <c r="AN182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3" i="1"/>
  <c r="AM183" i="1"/>
  <c r="AN183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84" i="1"/>
  <c r="AM184" i="1"/>
  <c r="AN18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5" i="1"/>
  <c r="AM185" i="1"/>
  <c r="AN185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6" i="1"/>
  <c r="AM186" i="1"/>
  <c r="AN186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7" i="1"/>
  <c r="AM187" i="1"/>
  <c r="AN18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8" i="1"/>
  <c r="AM188" i="1"/>
  <c r="AN18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9" i="1"/>
  <c r="AM189" i="1"/>
  <c r="AN18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0" i="1"/>
  <c r="AM190" i="1"/>
  <c r="AN19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1" i="1"/>
  <c r="AM191" i="1"/>
  <c r="AN191" i="1"/>
  <c r="K165" i="1"/>
  <c r="L165" i="1"/>
  <c r="M165" i="1"/>
  <c r="N165" i="1" s="1"/>
  <c r="V165" i="1"/>
  <c r="S36" i="3" s="1"/>
  <c r="Y165" i="1"/>
  <c r="Z165" i="1"/>
  <c r="AB165" i="1"/>
  <c r="AC165" i="1"/>
  <c r="AD165" i="1"/>
  <c r="T165" i="1" s="1"/>
  <c r="AE165" i="1"/>
  <c r="R36" i="3" s="1"/>
  <c r="AF165" i="1"/>
  <c r="AH192" i="1"/>
  <c r="AM192" i="1"/>
  <c r="AN19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3" i="1"/>
  <c r="AM193" i="1"/>
  <c r="AN193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4" i="1"/>
  <c r="AM194" i="1"/>
  <c r="AN19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5" i="1"/>
  <c r="AM195" i="1"/>
  <c r="AN195" i="1"/>
  <c r="K169" i="1"/>
  <c r="L169" i="1"/>
  <c r="M169" i="1"/>
  <c r="N169" i="1" s="1"/>
  <c r="V169" i="1"/>
  <c r="S38" i="3" s="1"/>
  <c r="Y169" i="1"/>
  <c r="Z169" i="1"/>
  <c r="AB169" i="1"/>
  <c r="AC169" i="1"/>
  <c r="AD169" i="1"/>
  <c r="T169" i="1" s="1"/>
  <c r="AE169" i="1"/>
  <c r="R38" i="3" s="1"/>
  <c r="AF169" i="1"/>
  <c r="AH196" i="1"/>
  <c r="AM196" i="1"/>
  <c r="AN196" i="1"/>
  <c r="AH197" i="1"/>
  <c r="AM197" i="1"/>
  <c r="AN197" i="1"/>
  <c r="K170" i="1"/>
  <c r="L170" i="1"/>
  <c r="M170" i="1"/>
  <c r="N170" i="1" s="1"/>
  <c r="V170" i="1"/>
  <c r="S45" i="3" s="1"/>
  <c r="Y170" i="1"/>
  <c r="Z170" i="1"/>
  <c r="AB170" i="1"/>
  <c r="AC170" i="1"/>
  <c r="AD170" i="1"/>
  <c r="T170" i="1" s="1"/>
  <c r="AE170" i="1"/>
  <c r="R45" i="3" s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0" i="1"/>
  <c r="AM200" i="1"/>
  <c r="AN200" i="1"/>
  <c r="K173" i="1"/>
  <c r="L173" i="1"/>
  <c r="M173" i="1"/>
  <c r="N173" i="1" s="1"/>
  <c r="V173" i="1"/>
  <c r="S34" i="3" s="1"/>
  <c r="Y173" i="1"/>
  <c r="Z173" i="1"/>
  <c r="AB173" i="1"/>
  <c r="AC173" i="1"/>
  <c r="AD173" i="1"/>
  <c r="AE173" i="1"/>
  <c r="R34" i="3" s="1"/>
  <c r="AF173" i="1"/>
  <c r="AH201" i="1"/>
  <c r="AM201" i="1"/>
  <c r="AN20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2" i="1"/>
  <c r="AM202" i="1"/>
  <c r="AN20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3" i="1"/>
  <c r="AM203" i="1"/>
  <c r="AN20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4" i="1"/>
  <c r="AM204" i="1"/>
  <c r="AN204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5" i="1"/>
  <c r="AM205" i="1"/>
  <c r="AN20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6" i="1"/>
  <c r="AM206" i="1"/>
  <c r="AN206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7" i="1"/>
  <c r="AM207" i="1"/>
  <c r="AN207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8" i="1"/>
  <c r="AM208" i="1"/>
  <c r="AN208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9" i="1"/>
  <c r="AM209" i="1"/>
  <c r="AN209" i="1"/>
  <c r="K182" i="1"/>
  <c r="L182" i="1"/>
  <c r="M182" i="1"/>
  <c r="N182" i="1" s="1"/>
  <c r="V182" i="1"/>
  <c r="S46" i="3" s="1"/>
  <c r="Y182" i="1"/>
  <c r="Z182" i="1"/>
  <c r="AB182" i="1"/>
  <c r="AC182" i="1"/>
  <c r="AD182" i="1"/>
  <c r="T182" i="1" s="1"/>
  <c r="AE182" i="1"/>
  <c r="R46" i="3" s="1"/>
  <c r="AF182" i="1"/>
  <c r="AH210" i="1"/>
  <c r="AM210" i="1"/>
  <c r="AN210" i="1"/>
  <c r="K183" i="1"/>
  <c r="L183" i="1"/>
  <c r="M183" i="1"/>
  <c r="N183" i="1" s="1"/>
  <c r="V183" i="1"/>
  <c r="S41" i="3" s="1"/>
  <c r="Y183" i="1"/>
  <c r="Z183" i="1"/>
  <c r="AB183" i="1"/>
  <c r="AC183" i="1"/>
  <c r="AD183" i="1"/>
  <c r="T183" i="1" s="1"/>
  <c r="AE183" i="1"/>
  <c r="R41" i="3" s="1"/>
  <c r="AF183" i="1"/>
  <c r="AH211" i="1"/>
  <c r="AM211" i="1"/>
  <c r="AN211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12" i="1"/>
  <c r="AM212" i="1"/>
  <c r="AN212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13" i="1"/>
  <c r="AM213" i="1"/>
  <c r="AN21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4" i="1"/>
  <c r="AM214" i="1"/>
  <c r="AN21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5" i="1"/>
  <c r="AM215" i="1"/>
  <c r="AN215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6" i="1"/>
  <c r="AM216" i="1"/>
  <c r="AN216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7" i="1"/>
  <c r="AM217" i="1"/>
  <c r="AN217" i="1"/>
  <c r="K190" i="1"/>
  <c r="L190" i="1"/>
  <c r="M190" i="1"/>
  <c r="N190" i="1" s="1"/>
  <c r="V190" i="1"/>
  <c r="S39" i="3" s="1"/>
  <c r="Y190" i="1"/>
  <c r="Z190" i="1"/>
  <c r="AB190" i="1"/>
  <c r="AC190" i="1"/>
  <c r="AD190" i="1"/>
  <c r="AE190" i="1"/>
  <c r="R39" i="3" s="1"/>
  <c r="AF190" i="1"/>
  <c r="AH218" i="1"/>
  <c r="AM218" i="1"/>
  <c r="AN218" i="1"/>
  <c r="K191" i="1"/>
  <c r="L191" i="1"/>
  <c r="M191" i="1"/>
  <c r="N191" i="1" s="1"/>
  <c r="V191" i="1"/>
  <c r="S42" i="3" s="1"/>
  <c r="Y191" i="1"/>
  <c r="Z191" i="1"/>
  <c r="AB191" i="1"/>
  <c r="AC191" i="1"/>
  <c r="AD191" i="1"/>
  <c r="T191" i="1" s="1"/>
  <c r="AE191" i="1"/>
  <c r="R42" i="3" s="1"/>
  <c r="AF191" i="1"/>
  <c r="AH219" i="1"/>
  <c r="AM219" i="1"/>
  <c r="AN219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20" i="1"/>
  <c r="AM220" i="1"/>
  <c r="AN220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21" i="1"/>
  <c r="AM221" i="1"/>
  <c r="AN221" i="1"/>
  <c r="K194" i="1"/>
  <c r="L194" i="1"/>
  <c r="M194" i="1"/>
  <c r="N194" i="1" s="1"/>
  <c r="V194" i="1"/>
  <c r="S49" i="3" s="1"/>
  <c r="Y194" i="1"/>
  <c r="Z194" i="1"/>
  <c r="AB194" i="1"/>
  <c r="AC194" i="1"/>
  <c r="AD194" i="1"/>
  <c r="T194" i="1" s="1"/>
  <c r="AE194" i="1"/>
  <c r="R49" i="3" s="1"/>
  <c r="AF194" i="1"/>
  <c r="AH222" i="1"/>
  <c r="AM222" i="1"/>
  <c r="AN222" i="1"/>
  <c r="K195" i="1"/>
  <c r="L195" i="1"/>
  <c r="M195" i="1"/>
  <c r="N195" i="1" s="1"/>
  <c r="V195" i="1"/>
  <c r="S43" i="3" s="1"/>
  <c r="Y195" i="1"/>
  <c r="Z195" i="1"/>
  <c r="AB195" i="1"/>
  <c r="AC195" i="1"/>
  <c r="AD195" i="1"/>
  <c r="T195" i="1" s="1"/>
  <c r="AE195" i="1"/>
  <c r="R43" i="3" s="1"/>
  <c r="AF195" i="1"/>
  <c r="AH223" i="1"/>
  <c r="AM223" i="1"/>
  <c r="AN223" i="1"/>
  <c r="K196" i="1"/>
  <c r="L196" i="1"/>
  <c r="M196" i="1"/>
  <c r="N196" i="1" s="1"/>
  <c r="V196" i="1"/>
  <c r="S50" i="3" s="1"/>
  <c r="Y196" i="1"/>
  <c r="Z196" i="1"/>
  <c r="AB196" i="1"/>
  <c r="AC196" i="1"/>
  <c r="AD196" i="1"/>
  <c r="AG196" i="1" s="1"/>
  <c r="AE196" i="1"/>
  <c r="R50" i="3" s="1"/>
  <c r="AF196" i="1"/>
  <c r="AH224" i="1"/>
  <c r="AM224" i="1"/>
  <c r="AN224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5" i="1"/>
  <c r="AM225" i="1"/>
  <c r="AN22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6" i="1"/>
  <c r="AM226" i="1"/>
  <c r="AN226" i="1"/>
  <c r="K199" i="1"/>
  <c r="L199" i="1"/>
  <c r="M199" i="1"/>
  <c r="N199" i="1" s="1"/>
  <c r="V199" i="1"/>
  <c r="S44" i="3" s="1"/>
  <c r="Y199" i="1"/>
  <c r="Z199" i="1"/>
  <c r="AB199" i="1"/>
  <c r="AC199" i="1"/>
  <c r="AD199" i="1"/>
  <c r="T199" i="1" s="1"/>
  <c r="AE199" i="1"/>
  <c r="R44" i="3" s="1"/>
  <c r="AF199" i="1"/>
  <c r="AH227" i="1"/>
  <c r="AM227" i="1"/>
  <c r="AN227" i="1"/>
  <c r="K200" i="1"/>
  <c r="L200" i="1"/>
  <c r="M200" i="1"/>
  <c r="N200" i="1" s="1"/>
  <c r="V200" i="1"/>
  <c r="S51" i="3" s="1"/>
  <c r="Y200" i="1"/>
  <c r="Z200" i="1"/>
  <c r="AB200" i="1"/>
  <c r="AC200" i="1"/>
  <c r="AD200" i="1"/>
  <c r="AG200" i="1" s="1"/>
  <c r="AE200" i="1"/>
  <c r="R51" i="3" s="1"/>
  <c r="AF200" i="1"/>
  <c r="AH228" i="1"/>
  <c r="AM228" i="1"/>
  <c r="AN228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9" i="1"/>
  <c r="AM229" i="1"/>
  <c r="AN229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30" i="1"/>
  <c r="AM230" i="1"/>
  <c r="AN230" i="1"/>
  <c r="K215" i="1"/>
  <c r="L215" i="1"/>
  <c r="M215" i="1"/>
  <c r="N215" i="1" s="1"/>
  <c r="V215" i="1"/>
  <c r="S53" i="3" s="1"/>
  <c r="Y215" i="1"/>
  <c r="Z215" i="1"/>
  <c r="AB215" i="1"/>
  <c r="AC215" i="1"/>
  <c r="AD215" i="1"/>
  <c r="T215" i="1" s="1"/>
  <c r="AE215" i="1"/>
  <c r="R54" i="3" s="1"/>
  <c r="AF215" i="1"/>
  <c r="AH231" i="1"/>
  <c r="AM231" i="1"/>
  <c r="AN231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32" i="1"/>
  <c r="AM232" i="1"/>
  <c r="AN232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33" i="1"/>
  <c r="AM233" i="1"/>
  <c r="AN233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34" i="1"/>
  <c r="AM234" i="1"/>
  <c r="AN234" i="1"/>
  <c r="M12" i="3"/>
  <c r="U12" i="3"/>
  <c r="T12" i="3" s="1"/>
  <c r="V12" i="3"/>
  <c r="W12" i="3"/>
  <c r="X12" i="3"/>
  <c r="AC12" i="3"/>
  <c r="M7" i="3"/>
  <c r="R7" i="3"/>
  <c r="U7" i="3"/>
  <c r="V7" i="3"/>
  <c r="W7" i="3"/>
  <c r="X7" i="3"/>
  <c r="M53" i="3"/>
  <c r="U53" i="3"/>
  <c r="AC53" i="3" s="1"/>
  <c r="V53" i="3"/>
  <c r="W53" i="3"/>
  <c r="X53" i="3"/>
  <c r="M54" i="3"/>
  <c r="T54" i="3"/>
  <c r="U54" i="3"/>
  <c r="AC54" i="3" s="1"/>
  <c r="V54" i="3"/>
  <c r="W54" i="3"/>
  <c r="X54" i="3"/>
  <c r="M55" i="3"/>
  <c r="S55" i="3"/>
  <c r="U55" i="3"/>
  <c r="T55" i="3" s="1"/>
  <c r="V55" i="3"/>
  <c r="W55" i="3"/>
  <c r="X55" i="3"/>
  <c r="AC55" i="3"/>
  <c r="M21" i="3"/>
  <c r="U21" i="3"/>
  <c r="V21" i="3"/>
  <c r="W21" i="3"/>
  <c r="X21" i="3"/>
  <c r="AC21" i="3"/>
  <c r="M8" i="3"/>
  <c r="U8" i="3"/>
  <c r="AC8" i="3" s="1"/>
  <c r="V8" i="3"/>
  <c r="W8" i="3"/>
  <c r="X8" i="3"/>
  <c r="M36" i="3"/>
  <c r="U36" i="3"/>
  <c r="AC36" i="3" s="1"/>
  <c r="V36" i="3"/>
  <c r="W36" i="3"/>
  <c r="X36" i="3"/>
  <c r="M38" i="3"/>
  <c r="U38" i="3"/>
  <c r="T38" i="3" s="1"/>
  <c r="V38" i="3"/>
  <c r="W38" i="3"/>
  <c r="X38" i="3"/>
  <c r="AC38" i="3"/>
  <c r="M31" i="3"/>
  <c r="U31" i="3"/>
  <c r="V31" i="3"/>
  <c r="W31" i="3"/>
  <c r="X31" i="3"/>
  <c r="AC31" i="3"/>
  <c r="M19" i="3"/>
  <c r="R19" i="3"/>
  <c r="U19" i="3"/>
  <c r="AC19" i="3" s="1"/>
  <c r="V19" i="3"/>
  <c r="W19" i="3"/>
  <c r="X19" i="3"/>
  <c r="M10" i="3"/>
  <c r="U10" i="3"/>
  <c r="AC10" i="3" s="1"/>
  <c r="V10" i="3"/>
  <c r="W10" i="3"/>
  <c r="X10" i="3"/>
  <c r="M13" i="3"/>
  <c r="R13" i="3"/>
  <c r="U13" i="3"/>
  <c r="T13" i="3" s="1"/>
  <c r="V13" i="3"/>
  <c r="W13" i="3"/>
  <c r="X13" i="3"/>
  <c r="AC13" i="3"/>
  <c r="M45" i="3"/>
  <c r="U45" i="3"/>
  <c r="V45" i="3"/>
  <c r="W45" i="3"/>
  <c r="X45" i="3"/>
  <c r="M26" i="3"/>
  <c r="R26" i="3"/>
  <c r="U26" i="3"/>
  <c r="AC26" i="3" s="1"/>
  <c r="V26" i="3"/>
  <c r="W26" i="3"/>
  <c r="X26" i="3"/>
  <c r="M22" i="3"/>
  <c r="U22" i="3"/>
  <c r="AC22" i="3" s="1"/>
  <c r="V22" i="3"/>
  <c r="W22" i="3"/>
  <c r="X22" i="3"/>
  <c r="M52" i="3"/>
  <c r="R52" i="3"/>
  <c r="S52" i="3"/>
  <c r="U52" i="3"/>
  <c r="V52" i="3"/>
  <c r="W52" i="3"/>
  <c r="X52" i="3"/>
  <c r="M14" i="3"/>
  <c r="U14" i="3"/>
  <c r="AC14" i="3" s="1"/>
  <c r="V14" i="3"/>
  <c r="W14" i="3"/>
  <c r="X14" i="3"/>
  <c r="M25" i="3"/>
  <c r="U25" i="3"/>
  <c r="AC25" i="3" s="1"/>
  <c r="V25" i="3"/>
  <c r="W25" i="3"/>
  <c r="X25" i="3"/>
  <c r="M23" i="3"/>
  <c r="U23" i="3"/>
  <c r="T23" i="3" s="1"/>
  <c r="V23" i="3"/>
  <c r="W23" i="3"/>
  <c r="X23" i="3"/>
  <c r="M34" i="3"/>
  <c r="U34" i="3"/>
  <c r="V34" i="3"/>
  <c r="W34" i="3"/>
  <c r="X34" i="3"/>
  <c r="AC34" i="3"/>
  <c r="M17" i="3"/>
  <c r="S17" i="3"/>
  <c r="U17" i="3"/>
  <c r="AC17" i="3" s="1"/>
  <c r="V17" i="3"/>
  <c r="W17" i="3"/>
  <c r="X17" i="3"/>
  <c r="M9" i="3"/>
  <c r="U9" i="3"/>
  <c r="AC9" i="3" s="1"/>
  <c r="V9" i="3"/>
  <c r="W9" i="3"/>
  <c r="X9" i="3"/>
  <c r="M32" i="3"/>
  <c r="S32" i="3"/>
  <c r="U32" i="3"/>
  <c r="V32" i="3"/>
  <c r="W32" i="3"/>
  <c r="X32" i="3"/>
  <c r="AC32" i="3"/>
  <c r="M27" i="3"/>
  <c r="R27" i="3"/>
  <c r="U27" i="3"/>
  <c r="AD27" i="3" s="1"/>
  <c r="V27" i="3"/>
  <c r="W27" i="3"/>
  <c r="X27" i="3"/>
  <c r="M15" i="3"/>
  <c r="U15" i="3"/>
  <c r="AC15" i="3" s="1"/>
  <c r="V15" i="3"/>
  <c r="W15" i="3"/>
  <c r="X15" i="3"/>
  <c r="M46" i="3"/>
  <c r="U46" i="3"/>
  <c r="AC46" i="3" s="1"/>
  <c r="V46" i="3"/>
  <c r="W46" i="3"/>
  <c r="X46" i="3"/>
  <c r="M35" i="3"/>
  <c r="U35" i="3"/>
  <c r="AD35" i="3" s="1"/>
  <c r="V35" i="3"/>
  <c r="W35" i="3"/>
  <c r="X35" i="3"/>
  <c r="M28" i="3"/>
  <c r="U28" i="3"/>
  <c r="V28" i="3"/>
  <c r="W28" i="3"/>
  <c r="X28" i="3"/>
  <c r="M41" i="3"/>
  <c r="U41" i="3"/>
  <c r="AC41" i="3" s="1"/>
  <c r="V41" i="3"/>
  <c r="W41" i="3"/>
  <c r="X41" i="3"/>
  <c r="M20" i="3"/>
  <c r="U20" i="3"/>
  <c r="AC20" i="3" s="1"/>
  <c r="V20" i="3"/>
  <c r="W20" i="3"/>
  <c r="X20" i="3"/>
  <c r="M24" i="3"/>
  <c r="U24" i="3"/>
  <c r="T24" i="3" s="1"/>
  <c r="V24" i="3"/>
  <c r="W24" i="3"/>
  <c r="X24" i="3"/>
  <c r="AC24" i="3"/>
  <c r="M30" i="3"/>
  <c r="U30" i="3"/>
  <c r="AD9" i="3" s="1"/>
  <c r="V30" i="3"/>
  <c r="W30" i="3"/>
  <c r="X30" i="3"/>
  <c r="M39" i="3"/>
  <c r="U39" i="3"/>
  <c r="AC39" i="3" s="1"/>
  <c r="V39" i="3"/>
  <c r="W39" i="3"/>
  <c r="X39" i="3"/>
  <c r="M56" i="3"/>
  <c r="U56" i="3"/>
  <c r="AC56" i="3" s="1"/>
  <c r="V56" i="3"/>
  <c r="W56" i="3"/>
  <c r="X56" i="3"/>
  <c r="M47" i="3"/>
  <c r="U47" i="3"/>
  <c r="T47" i="3" s="1"/>
  <c r="V47" i="3"/>
  <c r="W47" i="3"/>
  <c r="X47" i="3"/>
  <c r="AC47" i="3"/>
  <c r="M42" i="3"/>
  <c r="U42" i="3"/>
  <c r="AD56" i="3" s="1"/>
  <c r="V42" i="3"/>
  <c r="W42" i="3"/>
  <c r="X42" i="3"/>
  <c r="AC42" i="3"/>
  <c r="M29" i="3"/>
  <c r="U29" i="3"/>
  <c r="AC29" i="3" s="1"/>
  <c r="V29" i="3"/>
  <c r="W29" i="3"/>
  <c r="Y29" i="3" s="1"/>
  <c r="X29" i="3"/>
  <c r="M48" i="3"/>
  <c r="U48" i="3"/>
  <c r="AC48" i="3" s="1"/>
  <c r="V48" i="3"/>
  <c r="W48" i="3"/>
  <c r="X48" i="3"/>
  <c r="M49" i="3"/>
  <c r="U49" i="3"/>
  <c r="V49" i="3"/>
  <c r="W49" i="3"/>
  <c r="X49" i="3"/>
  <c r="AC49" i="3"/>
  <c r="M50" i="3"/>
  <c r="U50" i="3"/>
  <c r="AD50" i="3" s="1"/>
  <c r="V50" i="3"/>
  <c r="W50" i="3"/>
  <c r="X50" i="3"/>
  <c r="AC50" i="3"/>
  <c r="M43" i="3"/>
  <c r="U43" i="3"/>
  <c r="AC43" i="3" s="1"/>
  <c r="V43" i="3"/>
  <c r="W43" i="3"/>
  <c r="X43" i="3"/>
  <c r="M16" i="3"/>
  <c r="U16" i="3"/>
  <c r="AC16" i="3" s="1"/>
  <c r="V16" i="3"/>
  <c r="W16" i="3"/>
  <c r="X16" i="3"/>
  <c r="M33" i="3"/>
  <c r="S33" i="3"/>
  <c r="U33" i="3"/>
  <c r="T33" i="3" s="1"/>
  <c r="V33" i="3"/>
  <c r="W33" i="3"/>
  <c r="X33" i="3"/>
  <c r="AC33" i="3"/>
  <c r="M51" i="3"/>
  <c r="U51" i="3"/>
  <c r="V51" i="3"/>
  <c r="W51" i="3"/>
  <c r="X51" i="3"/>
  <c r="M37" i="3"/>
  <c r="U37" i="3"/>
  <c r="AC37" i="3" s="1"/>
  <c r="V37" i="3"/>
  <c r="W37" i="3"/>
  <c r="X37" i="3"/>
  <c r="M40" i="3"/>
  <c r="U40" i="3"/>
  <c r="AC40" i="3" s="1"/>
  <c r="V40" i="3"/>
  <c r="W40" i="3"/>
  <c r="X40" i="3"/>
  <c r="AD40" i="3"/>
  <c r="M44" i="3"/>
  <c r="U44" i="3"/>
  <c r="T44" i="3" s="1"/>
  <c r="V44" i="3"/>
  <c r="W44" i="3"/>
  <c r="X44" i="3"/>
  <c r="AC44" i="3"/>
  <c r="M11" i="3"/>
  <c r="U11" i="3"/>
  <c r="V11" i="3"/>
  <c r="W11" i="3"/>
  <c r="X11" i="3"/>
  <c r="M18" i="3"/>
  <c r="U18" i="3"/>
  <c r="T18" i="3" s="1"/>
  <c r="V18" i="3"/>
  <c r="W18" i="3"/>
  <c r="X18" i="3"/>
  <c r="AC18" i="3"/>
  <c r="R32" i="3" l="1"/>
  <c r="S24" i="3"/>
  <c r="S37" i="3"/>
  <c r="R14" i="3"/>
  <c r="AA210" i="1"/>
  <c r="AA208" i="1"/>
  <c r="R25" i="3"/>
  <c r="AA196" i="1"/>
  <c r="W196" i="1" s="1"/>
  <c r="X173" i="1"/>
  <c r="X171" i="1"/>
  <c r="AA162" i="1"/>
  <c r="AA130" i="1"/>
  <c r="Y8" i="3"/>
  <c r="Y39" i="3"/>
  <c r="AD46" i="3"/>
  <c r="AE48" i="3"/>
  <c r="X172" i="1"/>
  <c r="AG103" i="1"/>
  <c r="AI103" i="1" s="1"/>
  <c r="S48" i="3"/>
  <c r="X140" i="1"/>
  <c r="X170" i="1"/>
  <c r="AD11" i="3"/>
  <c r="R37" i="3"/>
  <c r="S25" i="3"/>
  <c r="AD10" i="3"/>
  <c r="Y19" i="3"/>
  <c r="Y54" i="3"/>
  <c r="S54" i="3"/>
  <c r="Y7" i="3"/>
  <c r="AA213" i="1"/>
  <c r="AA151" i="1"/>
  <c r="W151" i="1" s="1"/>
  <c r="X121" i="1"/>
  <c r="X169" i="1"/>
  <c r="AC35" i="3"/>
  <c r="X136" i="1"/>
  <c r="AG133" i="1"/>
  <c r="AI133" i="1" s="1"/>
  <c r="X133" i="1"/>
  <c r="AI131" i="1"/>
  <c r="AA61" i="1"/>
  <c r="W61" i="1" s="1"/>
  <c r="AA20" i="1"/>
  <c r="X141" i="1"/>
  <c r="AD25" i="3"/>
  <c r="AA189" i="1"/>
  <c r="W189" i="1" s="1"/>
  <c r="AA163" i="1"/>
  <c r="AI35" i="1"/>
  <c r="X119" i="1"/>
  <c r="X139" i="1"/>
  <c r="AD44" i="3"/>
  <c r="AE44" i="3"/>
  <c r="R40" i="3"/>
  <c r="AD51" i="3"/>
  <c r="R48" i="3"/>
  <c r="Y27" i="3"/>
  <c r="AA184" i="1"/>
  <c r="W184" i="1" s="1"/>
  <c r="AI79" i="1"/>
  <c r="X17" i="1"/>
  <c r="X142" i="1"/>
  <c r="X138" i="1"/>
  <c r="AD48" i="3"/>
  <c r="AA212" i="1"/>
  <c r="W212" i="1" s="1"/>
  <c r="AI127" i="1"/>
  <c r="AI108" i="1"/>
  <c r="AA60" i="1"/>
  <c r="AA34" i="1"/>
  <c r="X100" i="1"/>
  <c r="X120" i="1"/>
  <c r="X123" i="1"/>
  <c r="Y48" i="3"/>
  <c r="R35" i="3"/>
  <c r="Y26" i="3"/>
  <c r="AA201" i="1"/>
  <c r="W201" i="1" s="1"/>
  <c r="AG145" i="1"/>
  <c r="AI145" i="1" s="1"/>
  <c r="AG91" i="1"/>
  <c r="AI91" i="1" s="1"/>
  <c r="AG37" i="1"/>
  <c r="U37" i="1" s="1"/>
  <c r="S37" i="1" s="1"/>
  <c r="AI31" i="1"/>
  <c r="X122" i="1"/>
  <c r="X118" i="1"/>
  <c r="Y51" i="3"/>
  <c r="AA223" i="1"/>
  <c r="AA221" i="1"/>
  <c r="AG210" i="1"/>
  <c r="W210" i="1" s="1"/>
  <c r="AA203" i="1"/>
  <c r="AA147" i="1"/>
  <c r="W147" i="1" s="1"/>
  <c r="X144" i="1"/>
  <c r="AA132" i="1"/>
  <c r="AA131" i="1"/>
  <c r="W131" i="1" s="1"/>
  <c r="T121" i="1"/>
  <c r="AA120" i="1"/>
  <c r="W120" i="1" s="1"/>
  <c r="AI73" i="1"/>
  <c r="X117" i="1"/>
  <c r="R53" i="3"/>
  <c r="AD16" i="3"/>
  <c r="S35" i="3"/>
  <c r="AA217" i="1"/>
  <c r="W217" i="1" s="1"/>
  <c r="Y50" i="3"/>
  <c r="AD49" i="3"/>
  <c r="S47" i="3"/>
  <c r="Y28" i="3"/>
  <c r="Y14" i="3"/>
  <c r="R55" i="3"/>
  <c r="X194" i="1"/>
  <c r="AA178" i="1"/>
  <c r="W178" i="1" s="1"/>
  <c r="AG164" i="1"/>
  <c r="X164" i="1"/>
  <c r="X160" i="1"/>
  <c r="AG223" i="1"/>
  <c r="T88" i="1"/>
  <c r="U88" i="1" s="1"/>
  <c r="S88" i="1" s="1"/>
  <c r="P24" i="1"/>
  <c r="X102" i="1"/>
  <c r="Y33" i="3"/>
  <c r="AE16" i="3"/>
  <c r="T48" i="3"/>
  <c r="R47" i="3"/>
  <c r="AD20" i="3"/>
  <c r="Y15" i="3"/>
  <c r="S26" i="3"/>
  <c r="Y45" i="3"/>
  <c r="S7" i="3"/>
  <c r="AA214" i="1"/>
  <c r="X190" i="1"/>
  <c r="AA188" i="1"/>
  <c r="W188" i="1" s="1"/>
  <c r="AA173" i="1"/>
  <c r="X213" i="1"/>
  <c r="X148" i="1"/>
  <c r="AG137" i="1"/>
  <c r="AI137" i="1" s="1"/>
  <c r="X129" i="1"/>
  <c r="AA83" i="1"/>
  <c r="W83" i="1" s="1"/>
  <c r="AA79" i="1"/>
  <c r="W79" i="1" s="1"/>
  <c r="AA77" i="1"/>
  <c r="W77" i="1" s="1"/>
  <c r="P74" i="1"/>
  <c r="AA48" i="1"/>
  <c r="W48" i="1" s="1"/>
  <c r="AI43" i="1"/>
  <c r="AA39" i="1"/>
  <c r="W39" i="1" s="1"/>
  <c r="AA36" i="1"/>
  <c r="AA19" i="1"/>
  <c r="AA15" i="1"/>
  <c r="W15" i="1" s="1"/>
  <c r="X101" i="1"/>
  <c r="X104" i="1"/>
  <c r="AG206" i="1"/>
  <c r="AI206" i="1" s="1"/>
  <c r="AA135" i="1"/>
  <c r="AA128" i="1"/>
  <c r="AA118" i="1"/>
  <c r="X114" i="1"/>
  <c r="AA109" i="1"/>
  <c r="W109" i="1" s="1"/>
  <c r="AA70" i="1"/>
  <c r="AA64" i="1"/>
  <c r="X62" i="1"/>
  <c r="AA53" i="1"/>
  <c r="AI51" i="1"/>
  <c r="AA49" i="1"/>
  <c r="AG28" i="1"/>
  <c r="AI28" i="1" s="1"/>
  <c r="X103" i="1"/>
  <c r="S40" i="3"/>
  <c r="Y42" i="3"/>
  <c r="AE46" i="3"/>
  <c r="AD32" i="3"/>
  <c r="S22" i="3"/>
  <c r="S13" i="3"/>
  <c r="AA198" i="1"/>
  <c r="AG202" i="1"/>
  <c r="AI202" i="1" s="1"/>
  <c r="AA123" i="1"/>
  <c r="W123" i="1" s="1"/>
  <c r="AA107" i="1"/>
  <c r="AA58" i="1"/>
  <c r="AG32" i="1"/>
  <c r="AI32" i="1" s="1"/>
  <c r="X32" i="1"/>
  <c r="AG21" i="1"/>
  <c r="U21" i="1" s="1"/>
  <c r="S21" i="1" s="1"/>
  <c r="Y37" i="3"/>
  <c r="T36" i="3"/>
  <c r="AA200" i="1"/>
  <c r="W200" i="1" s="1"/>
  <c r="AA233" i="1"/>
  <c r="X226" i="1"/>
  <c r="AG225" i="1"/>
  <c r="U225" i="1" s="1"/>
  <c r="S225" i="1" s="1"/>
  <c r="AA205" i="1"/>
  <c r="X80" i="1"/>
  <c r="Y30" i="3"/>
  <c r="R24" i="3"/>
  <c r="AD28" i="3"/>
  <c r="Y17" i="3"/>
  <c r="Y34" i="3"/>
  <c r="Y31" i="3"/>
  <c r="Y36" i="3"/>
  <c r="X201" i="1"/>
  <c r="AA193" i="1"/>
  <c r="AA185" i="1"/>
  <c r="AA180" i="1"/>
  <c r="W180" i="1" s="1"/>
  <c r="T178" i="1"/>
  <c r="U178" i="1" s="1"/>
  <c r="S178" i="1" s="1"/>
  <c r="AA164" i="1"/>
  <c r="X234" i="1"/>
  <c r="AG233" i="1"/>
  <c r="AI233" i="1" s="1"/>
  <c r="AG213" i="1"/>
  <c r="W213" i="1" s="1"/>
  <c r="AA206" i="1"/>
  <c r="AA204" i="1"/>
  <c r="AA150" i="1"/>
  <c r="AG129" i="1"/>
  <c r="U129" i="1" s="1"/>
  <c r="S129" i="1" s="1"/>
  <c r="AA124" i="1"/>
  <c r="AA119" i="1"/>
  <c r="W119" i="1" s="1"/>
  <c r="AA116" i="1"/>
  <c r="W116" i="1" s="1"/>
  <c r="AA113" i="1"/>
  <c r="AA104" i="1"/>
  <c r="T102" i="1"/>
  <c r="T84" i="1"/>
  <c r="U84" i="1" s="1"/>
  <c r="S84" i="1" s="1"/>
  <c r="X79" i="1"/>
  <c r="AG62" i="1"/>
  <c r="AI62" i="1" s="1"/>
  <c r="X54" i="1"/>
  <c r="X53" i="1"/>
  <c r="AI47" i="1"/>
  <c r="AA42" i="1"/>
  <c r="AA28" i="1"/>
  <c r="AG25" i="1"/>
  <c r="AI25" i="1" s="1"/>
  <c r="X25" i="1"/>
  <c r="AA23" i="1"/>
  <c r="Y52" i="3"/>
  <c r="AD45" i="3"/>
  <c r="AD13" i="3"/>
  <c r="AE10" i="3"/>
  <c r="Y12" i="3"/>
  <c r="AA192" i="1"/>
  <c r="W192" i="1" s="1"/>
  <c r="AA167" i="1"/>
  <c r="W167" i="1" s="1"/>
  <c r="AA232" i="1"/>
  <c r="AA202" i="1"/>
  <c r="X152" i="1"/>
  <c r="AA136" i="1"/>
  <c r="AA122" i="1"/>
  <c r="AA102" i="1"/>
  <c r="W102" i="1" s="1"/>
  <c r="AA101" i="1"/>
  <c r="W101" i="1" s="1"/>
  <c r="AA99" i="1"/>
  <c r="W99" i="1" s="1"/>
  <c r="AA95" i="1"/>
  <c r="W95" i="1" s="1"/>
  <c r="AA84" i="1"/>
  <c r="W84" i="1" s="1"/>
  <c r="T83" i="1"/>
  <c r="U83" i="1" s="1"/>
  <c r="S83" i="1" s="1"/>
  <c r="AA82" i="1"/>
  <c r="AA80" i="1"/>
  <c r="W80" i="1" s="1"/>
  <c r="T80" i="1"/>
  <c r="U80" i="1" s="1"/>
  <c r="S80" i="1" s="1"/>
  <c r="X61" i="1"/>
  <c r="AA50" i="1"/>
  <c r="W50" i="1" s="1"/>
  <c r="AA33" i="1"/>
  <c r="AA27" i="1"/>
  <c r="AA24" i="1"/>
  <c r="W24" i="1" s="1"/>
  <c r="AG74" i="1"/>
  <c r="U74" i="1" s="1"/>
  <c r="X74" i="1"/>
  <c r="AI24" i="1"/>
  <c r="X24" i="1"/>
  <c r="T105" i="1"/>
  <c r="U105" i="1" s="1"/>
  <c r="S105" i="1" s="1"/>
  <c r="T100" i="1"/>
  <c r="U100" i="1" s="1"/>
  <c r="S100" i="1" s="1"/>
  <c r="X58" i="1"/>
  <c r="U44" i="1"/>
  <c r="S44" i="1" s="1"/>
  <c r="AA18" i="1"/>
  <c r="AA16" i="1"/>
  <c r="AI15" i="1"/>
  <c r="AG218" i="1"/>
  <c r="U218" i="1" s="1"/>
  <c r="S218" i="1" s="1"/>
  <c r="X218" i="1"/>
  <c r="AA216" i="1"/>
  <c r="W216" i="1" s="1"/>
  <c r="AG214" i="1"/>
  <c r="U214" i="1" s="1"/>
  <c r="S214" i="1" s="1"/>
  <c r="X214" i="1"/>
  <c r="AA197" i="1"/>
  <c r="W197" i="1" s="1"/>
  <c r="AA190" i="1"/>
  <c r="AA182" i="1"/>
  <c r="X174" i="1"/>
  <c r="AA172" i="1"/>
  <c r="AA170" i="1"/>
  <c r="AG163" i="1"/>
  <c r="U163" i="1" s="1"/>
  <c r="S163" i="1" s="1"/>
  <c r="AA161" i="1"/>
  <c r="AA159" i="1"/>
  <c r="AA234" i="1"/>
  <c r="T234" i="1"/>
  <c r="AA231" i="1"/>
  <c r="AA229" i="1"/>
  <c r="W229" i="1" s="1"/>
  <c r="AA226" i="1"/>
  <c r="T226" i="1"/>
  <c r="AA224" i="1"/>
  <c r="T212" i="1"/>
  <c r="U212" i="1" s="1"/>
  <c r="S212" i="1" s="1"/>
  <c r="AA211" i="1"/>
  <c r="X156" i="1"/>
  <c r="AA154" i="1"/>
  <c r="AA153" i="1"/>
  <c r="AG149" i="1"/>
  <c r="AI149" i="1" s="1"/>
  <c r="T144" i="1"/>
  <c r="AA143" i="1"/>
  <c r="W143" i="1" s="1"/>
  <c r="T140" i="1"/>
  <c r="X132" i="1"/>
  <c r="AA125" i="1"/>
  <c r="AA115" i="1"/>
  <c r="AG113" i="1"/>
  <c r="AI113" i="1" s="1"/>
  <c r="AA112" i="1"/>
  <c r="W112" i="1" s="1"/>
  <c r="AA100" i="1"/>
  <c r="W100" i="1" s="1"/>
  <c r="T99" i="1"/>
  <c r="U99" i="1" s="1"/>
  <c r="S99" i="1" s="1"/>
  <c r="AA98" i="1"/>
  <c r="AA96" i="1"/>
  <c r="W96" i="1" s="1"/>
  <c r="T96" i="1"/>
  <c r="T95" i="1"/>
  <c r="U95" i="1" s="1"/>
  <c r="S95" i="1" s="1"/>
  <c r="AA94" i="1"/>
  <c r="AA90" i="1"/>
  <c r="AA85" i="1"/>
  <c r="AA73" i="1"/>
  <c r="W73" i="1" s="1"/>
  <c r="AA72" i="1"/>
  <c r="AA68" i="1"/>
  <c r="AA65" i="1"/>
  <c r="AA57" i="1"/>
  <c r="W57" i="1" s="1"/>
  <c r="AA54" i="1"/>
  <c r="AG41" i="1"/>
  <c r="AI41" i="1" s="1"/>
  <c r="AG40" i="1"/>
  <c r="AI40" i="1" s="1"/>
  <c r="X40" i="1"/>
  <c r="AI39" i="1"/>
  <c r="AA35" i="1"/>
  <c r="W35" i="1" s="1"/>
  <c r="X208" i="1"/>
  <c r="T152" i="1"/>
  <c r="X147" i="1"/>
  <c r="X137" i="1"/>
  <c r="AA17" i="1"/>
  <c r="AA195" i="1"/>
  <c r="X186" i="1"/>
  <c r="AA186" i="1"/>
  <c r="X179" i="1"/>
  <c r="AA174" i="1"/>
  <c r="W174" i="1" s="1"/>
  <c r="AG172" i="1"/>
  <c r="AI172" i="1" s="1"/>
  <c r="AG161" i="1"/>
  <c r="AI161" i="1" s="1"/>
  <c r="AG234" i="1"/>
  <c r="AI234" i="1" s="1"/>
  <c r="AG231" i="1"/>
  <c r="U231" i="1" s="1"/>
  <c r="S231" i="1" s="1"/>
  <c r="AG226" i="1"/>
  <c r="AA225" i="1"/>
  <c r="X222" i="1"/>
  <c r="AA207" i="1"/>
  <c r="AG205" i="1"/>
  <c r="AI205" i="1" s="1"/>
  <c r="X205" i="1"/>
  <c r="T156" i="1"/>
  <c r="AA155" i="1"/>
  <c r="W155" i="1" s="1"/>
  <c r="AG153" i="1"/>
  <c r="AI153" i="1" s="1"/>
  <c r="AA149" i="1"/>
  <c r="AG144" i="1"/>
  <c r="AI144" i="1" s="1"/>
  <c r="X143" i="1"/>
  <c r="AG140" i="1"/>
  <c r="AI140" i="1" s="1"/>
  <c r="AA127" i="1"/>
  <c r="W127" i="1" s="1"/>
  <c r="AA117" i="1"/>
  <c r="W117" i="1" s="1"/>
  <c r="AA114" i="1"/>
  <c r="X110" i="1"/>
  <c r="X109" i="1"/>
  <c r="X96" i="1"/>
  <c r="AA91" i="1"/>
  <c r="W91" i="1" s="1"/>
  <c r="AG89" i="1"/>
  <c r="AI89" i="1" s="1"/>
  <c r="AA88" i="1"/>
  <c r="W88" i="1" s="1"/>
  <c r="AA87" i="1"/>
  <c r="W87" i="1" s="1"/>
  <c r="X73" i="1"/>
  <c r="AA69" i="1"/>
  <c r="W69" i="1" s="1"/>
  <c r="X66" i="1"/>
  <c r="AA66" i="1"/>
  <c r="AA63" i="1"/>
  <c r="AA56" i="1"/>
  <c r="AA52" i="1"/>
  <c r="AI50" i="1"/>
  <c r="AA43" i="1"/>
  <c r="W43" i="1" s="1"/>
  <c r="AA41" i="1"/>
  <c r="AA38" i="1"/>
  <c r="AG36" i="1"/>
  <c r="AI36" i="1" s="1"/>
  <c r="X36" i="1"/>
  <c r="AA31" i="1"/>
  <c r="W31" i="1" s="1"/>
  <c r="X28" i="1"/>
  <c r="AI174" i="1"/>
  <c r="W208" i="1"/>
  <c r="AI208" i="1"/>
  <c r="AI167" i="1"/>
  <c r="T197" i="1"/>
  <c r="U197" i="1" s="1"/>
  <c r="S197" i="1" s="1"/>
  <c r="AA191" i="1"/>
  <c r="T190" i="1"/>
  <c r="AA187" i="1"/>
  <c r="T186" i="1"/>
  <c r="AA183" i="1"/>
  <c r="X181" i="1"/>
  <c r="T180" i="1"/>
  <c r="U180" i="1" s="1"/>
  <c r="S180" i="1" s="1"/>
  <c r="AA179" i="1"/>
  <c r="X177" i="1"/>
  <c r="AG175" i="1"/>
  <c r="U175" i="1" s="1"/>
  <c r="X175" i="1"/>
  <c r="AA171" i="1"/>
  <c r="T171" i="1"/>
  <c r="AG170" i="1"/>
  <c r="AG169" i="1"/>
  <c r="U169" i="1" s="1"/>
  <c r="S169" i="1" s="1"/>
  <c r="AG168" i="1"/>
  <c r="U168" i="1" s="1"/>
  <c r="S168" i="1" s="1"/>
  <c r="X168" i="1"/>
  <c r="T167" i="1"/>
  <c r="U167" i="1" s="1"/>
  <c r="S167" i="1" s="1"/>
  <c r="AA166" i="1"/>
  <c r="AA165" i="1"/>
  <c r="AA160" i="1"/>
  <c r="T160" i="1"/>
  <c r="AG159" i="1"/>
  <c r="AG157" i="1"/>
  <c r="AI157" i="1" s="1"/>
  <c r="AG230" i="1"/>
  <c r="U230" i="1" s="1"/>
  <c r="S230" i="1" s="1"/>
  <c r="X230" i="1"/>
  <c r="AI178" i="1"/>
  <c r="T229" i="1"/>
  <c r="U229" i="1" s="1"/>
  <c r="S229" i="1" s="1"/>
  <c r="AA228" i="1"/>
  <c r="AA227" i="1"/>
  <c r="AA222" i="1"/>
  <c r="T222" i="1"/>
  <c r="AG221" i="1"/>
  <c r="U221" i="1" s="1"/>
  <c r="S221" i="1" s="1"/>
  <c r="AG219" i="1"/>
  <c r="U219" i="1" s="1"/>
  <c r="S219" i="1" s="1"/>
  <c r="AG209" i="1"/>
  <c r="U209" i="1" s="1"/>
  <c r="S209" i="1" s="1"/>
  <c r="X209" i="1"/>
  <c r="AG204" i="1"/>
  <c r="U204" i="1" s="1"/>
  <c r="S204" i="1" s="1"/>
  <c r="AG156" i="1"/>
  <c r="AI156" i="1" s="1"/>
  <c r="AG152" i="1"/>
  <c r="AI152" i="1" s="1"/>
  <c r="AG148" i="1"/>
  <c r="AI148" i="1" s="1"/>
  <c r="AI117" i="1"/>
  <c r="AI87" i="1"/>
  <c r="X217" i="1"/>
  <c r="AG198" i="1"/>
  <c r="AI198" i="1" s="1"/>
  <c r="X198" i="1"/>
  <c r="AA194" i="1"/>
  <c r="T193" i="1"/>
  <c r="U193" i="1" s="1"/>
  <c r="S193" i="1" s="1"/>
  <c r="T189" i="1"/>
  <c r="U189" i="1" s="1"/>
  <c r="S189" i="1" s="1"/>
  <c r="T185" i="1"/>
  <c r="U185" i="1" s="1"/>
  <c r="S185" i="1" s="1"/>
  <c r="T174" i="1"/>
  <c r="U174" i="1" s="1"/>
  <c r="S174" i="1" s="1"/>
  <c r="T208" i="1"/>
  <c r="U208" i="1" s="1"/>
  <c r="S208" i="1" s="1"/>
  <c r="X204" i="1"/>
  <c r="X155" i="1"/>
  <c r="X151" i="1"/>
  <c r="AG141" i="1"/>
  <c r="U141" i="1" s="1"/>
  <c r="S141" i="1" s="1"/>
  <c r="AG138" i="1"/>
  <c r="U138" i="1" s="1"/>
  <c r="S138" i="1" s="1"/>
  <c r="T136" i="1"/>
  <c r="AI109" i="1"/>
  <c r="AA215" i="1"/>
  <c r="X197" i="1"/>
  <c r="AG194" i="1"/>
  <c r="AI194" i="1" s="1"/>
  <c r="AG190" i="1"/>
  <c r="AI190" i="1" s="1"/>
  <c r="AG186" i="1"/>
  <c r="AI186" i="1" s="1"/>
  <c r="AG182" i="1"/>
  <c r="AI182" i="1" s="1"/>
  <c r="AA181" i="1"/>
  <c r="W181" i="1" s="1"/>
  <c r="T181" i="1"/>
  <c r="U181" i="1" s="1"/>
  <c r="S181" i="1" s="1"/>
  <c r="AA177" i="1"/>
  <c r="W177" i="1" s="1"/>
  <c r="AA176" i="1"/>
  <c r="AG171" i="1"/>
  <c r="AI171" i="1" s="1"/>
  <c r="AA168" i="1"/>
  <c r="AG165" i="1"/>
  <c r="U165" i="1" s="1"/>
  <c r="S165" i="1" s="1"/>
  <c r="AG160" i="1"/>
  <c r="AA158" i="1"/>
  <c r="AA157" i="1"/>
  <c r="AA230" i="1"/>
  <c r="AG227" i="1"/>
  <c r="U227" i="1" s="1"/>
  <c r="S227" i="1" s="1"/>
  <c r="AG222" i="1"/>
  <c r="AI222" i="1" s="1"/>
  <c r="AA220" i="1"/>
  <c r="AA219" i="1"/>
  <c r="AA209" i="1"/>
  <c r="AG136" i="1"/>
  <c r="AA134" i="1"/>
  <c r="AG132" i="1"/>
  <c r="AG124" i="1"/>
  <c r="X124" i="1"/>
  <c r="AI105" i="1"/>
  <c r="AI99" i="1"/>
  <c r="AI95" i="1"/>
  <c r="AA218" i="1"/>
  <c r="T217" i="1"/>
  <c r="U217" i="1" s="1"/>
  <c r="S217" i="1" s="1"/>
  <c r="T201" i="1"/>
  <c r="U201" i="1" s="1"/>
  <c r="S201" i="1" s="1"/>
  <c r="AA199" i="1"/>
  <c r="X193" i="1"/>
  <c r="X189" i="1"/>
  <c r="X185" i="1"/>
  <c r="W202" i="1"/>
  <c r="AA156" i="1"/>
  <c r="T155" i="1"/>
  <c r="U155" i="1" s="1"/>
  <c r="S155" i="1" s="1"/>
  <c r="AA152" i="1"/>
  <c r="T151" i="1"/>
  <c r="U151" i="1" s="1"/>
  <c r="S151" i="1" s="1"/>
  <c r="AA148" i="1"/>
  <c r="T147" i="1"/>
  <c r="AA146" i="1"/>
  <c r="AA145" i="1"/>
  <c r="W145" i="1" s="1"/>
  <c r="AA144" i="1"/>
  <c r="T143" i="1"/>
  <c r="U143" i="1" s="1"/>
  <c r="S143" i="1" s="1"/>
  <c r="AA142" i="1"/>
  <c r="AA141" i="1"/>
  <c r="AA140" i="1"/>
  <c r="AA139" i="1"/>
  <c r="AA138" i="1"/>
  <c r="AA137" i="1"/>
  <c r="AG128" i="1"/>
  <c r="X128" i="1"/>
  <c r="AI101" i="1"/>
  <c r="AI83" i="1"/>
  <c r="AI48" i="1"/>
  <c r="AA133" i="1"/>
  <c r="AA129" i="1"/>
  <c r="AG121" i="1"/>
  <c r="AG114" i="1"/>
  <c r="T109" i="1"/>
  <c r="U109" i="1" s="1"/>
  <c r="S109" i="1" s="1"/>
  <c r="AA105" i="1"/>
  <c r="W105" i="1" s="1"/>
  <c r="AG97" i="1"/>
  <c r="AI97" i="1" s="1"/>
  <c r="AA93" i="1"/>
  <c r="X88" i="1"/>
  <c r="AG81" i="1"/>
  <c r="U81" i="1" s="1"/>
  <c r="S81" i="1" s="1"/>
  <c r="T79" i="1"/>
  <c r="U79" i="1" s="1"/>
  <c r="S79" i="1" s="1"/>
  <c r="AG78" i="1"/>
  <c r="U78" i="1" s="1"/>
  <c r="S78" i="1" s="1"/>
  <c r="AA74" i="1"/>
  <c r="AG70" i="1"/>
  <c r="U70" i="1" s="1"/>
  <c r="S70" i="1" s="1"/>
  <c r="X70" i="1"/>
  <c r="AA67" i="1"/>
  <c r="X65" i="1"/>
  <c r="AA62" i="1"/>
  <c r="T61" i="1"/>
  <c r="U61" i="1" s="1"/>
  <c r="S61" i="1" s="1"/>
  <c r="AA55" i="1"/>
  <c r="T54" i="1"/>
  <c r="AG53" i="1"/>
  <c r="AA51" i="1"/>
  <c r="W51" i="1" s="1"/>
  <c r="T51" i="1"/>
  <c r="U51" i="1" s="1"/>
  <c r="S51" i="1" s="1"/>
  <c r="X48" i="1"/>
  <c r="AA47" i="1"/>
  <c r="W47" i="1" s="1"/>
  <c r="AA46" i="1"/>
  <c r="AA44" i="1"/>
  <c r="W44" i="1" s="1"/>
  <c r="AG29" i="1"/>
  <c r="U29" i="1" s="1"/>
  <c r="S29" i="1" s="1"/>
  <c r="X29" i="1"/>
  <c r="T24" i="1"/>
  <c r="AA22" i="1"/>
  <c r="AG20" i="1"/>
  <c r="W20" i="1" s="1"/>
  <c r="T17" i="1"/>
  <c r="AG16" i="1"/>
  <c r="AI16" i="1" s="1"/>
  <c r="AG125" i="1"/>
  <c r="W125" i="1" s="1"/>
  <c r="X125" i="1"/>
  <c r="AG118" i="1"/>
  <c r="U118" i="1" s="1"/>
  <c r="S118" i="1" s="1"/>
  <c r="AA111" i="1"/>
  <c r="AA110" i="1"/>
  <c r="T110" i="1"/>
  <c r="AA108" i="1"/>
  <c r="W108" i="1" s="1"/>
  <c r="T108" i="1"/>
  <c r="U108" i="1" s="1"/>
  <c r="S108" i="1" s="1"/>
  <c r="AA106" i="1"/>
  <c r="W106" i="1" s="1"/>
  <c r="AA103" i="1"/>
  <c r="T101" i="1"/>
  <c r="U101" i="1" s="1"/>
  <c r="S101" i="1" s="1"/>
  <c r="AG93" i="1"/>
  <c r="AI93" i="1" s="1"/>
  <c r="AA92" i="1"/>
  <c r="W92" i="1" s="1"/>
  <c r="T92" i="1"/>
  <c r="U92" i="1" s="1"/>
  <c r="S92" i="1" s="1"/>
  <c r="AA89" i="1"/>
  <c r="T87" i="1"/>
  <c r="U87" i="1" s="1"/>
  <c r="S87" i="1" s="1"/>
  <c r="AA86" i="1"/>
  <c r="X84" i="1"/>
  <c r="AA76" i="1"/>
  <c r="W76" i="1" s="1"/>
  <c r="T73" i="1"/>
  <c r="U73" i="1" s="1"/>
  <c r="S73" i="1" s="1"/>
  <c r="X69" i="1"/>
  <c r="T66" i="1"/>
  <c r="AA59" i="1"/>
  <c r="X57" i="1"/>
  <c r="AA37" i="1"/>
  <c r="AA32" i="1"/>
  <c r="T31" i="1"/>
  <c r="U31" i="1" s="1"/>
  <c r="S31" i="1" s="1"/>
  <c r="AA26" i="1"/>
  <c r="AA25" i="1"/>
  <c r="X20" i="1"/>
  <c r="AG17" i="1"/>
  <c r="AI17" i="1" s="1"/>
  <c r="X16" i="1"/>
  <c r="T15" i="1"/>
  <c r="U15" i="1" s="1"/>
  <c r="S15" i="1" s="1"/>
  <c r="AA14" i="1"/>
  <c r="T117" i="1"/>
  <c r="U117" i="1" s="1"/>
  <c r="S117" i="1" s="1"/>
  <c r="AA71" i="1"/>
  <c r="AG66" i="1"/>
  <c r="AI66" i="1" s="1"/>
  <c r="T65" i="1"/>
  <c r="U65" i="1" s="1"/>
  <c r="S65" i="1" s="1"/>
  <c r="T58" i="1"/>
  <c r="AG54" i="1"/>
  <c r="AI54" i="1" s="1"/>
  <c r="X51" i="1"/>
  <c r="T48" i="1"/>
  <c r="U48" i="1" s="1"/>
  <c r="S48" i="1" s="1"/>
  <c r="AA40" i="1"/>
  <c r="AG33" i="1"/>
  <c r="U33" i="1" s="1"/>
  <c r="S33" i="1" s="1"/>
  <c r="AA30" i="1"/>
  <c r="X21" i="1"/>
  <c r="AA126" i="1"/>
  <c r="AA121" i="1"/>
  <c r="T120" i="1"/>
  <c r="U120" i="1" s="1"/>
  <c r="S120" i="1" s="1"/>
  <c r="X113" i="1"/>
  <c r="AG110" i="1"/>
  <c r="U110" i="1" s="1"/>
  <c r="S110" i="1" s="1"/>
  <c r="X108" i="1"/>
  <c r="X106" i="1"/>
  <c r="AA97" i="1"/>
  <c r="X92" i="1"/>
  <c r="AG85" i="1"/>
  <c r="U85" i="1" s="1"/>
  <c r="S85" i="1" s="1"/>
  <c r="AA81" i="1"/>
  <c r="AA78" i="1"/>
  <c r="AI77" i="1"/>
  <c r="T69" i="1"/>
  <c r="U69" i="1" s="1"/>
  <c r="S69" i="1" s="1"/>
  <c r="AG58" i="1"/>
  <c r="T57" i="1"/>
  <c r="U57" i="1" s="1"/>
  <c r="S57" i="1" s="1"/>
  <c r="T47" i="1"/>
  <c r="U47" i="1" s="1"/>
  <c r="S47" i="1" s="1"/>
  <c r="T39" i="1"/>
  <c r="U39" i="1" s="1"/>
  <c r="S39" i="1" s="1"/>
  <c r="T35" i="1"/>
  <c r="U35" i="1" s="1"/>
  <c r="S35" i="1" s="1"/>
  <c r="AI229" i="1"/>
  <c r="AI225" i="1"/>
  <c r="W193" i="1"/>
  <c r="W185" i="1"/>
  <c r="AI217" i="1"/>
  <c r="AI216" i="1"/>
  <c r="AI212" i="1"/>
  <c r="X216" i="1"/>
  <c r="T216" i="1"/>
  <c r="U216" i="1" s="1"/>
  <c r="S216" i="1" s="1"/>
  <c r="X200" i="1"/>
  <c r="T200" i="1"/>
  <c r="U200" i="1" s="1"/>
  <c r="S200" i="1" s="1"/>
  <c r="X196" i="1"/>
  <c r="T196" i="1"/>
  <c r="U196" i="1" s="1"/>
  <c r="S196" i="1" s="1"/>
  <c r="X192" i="1"/>
  <c r="T192" i="1"/>
  <c r="U192" i="1" s="1"/>
  <c r="S192" i="1" s="1"/>
  <c r="X188" i="1"/>
  <c r="T188" i="1"/>
  <c r="U188" i="1" s="1"/>
  <c r="S188" i="1" s="1"/>
  <c r="X184" i="1"/>
  <c r="T184" i="1"/>
  <c r="U184" i="1" s="1"/>
  <c r="S184" i="1" s="1"/>
  <c r="X180" i="1"/>
  <c r="X178" i="1"/>
  <c r="T177" i="1"/>
  <c r="U177" i="1" s="1"/>
  <c r="S177" i="1" s="1"/>
  <c r="AA175" i="1"/>
  <c r="T173" i="1"/>
  <c r="AG173" i="1"/>
  <c r="AI155" i="1"/>
  <c r="AI151" i="1"/>
  <c r="U147" i="1"/>
  <c r="S147" i="1" s="1"/>
  <c r="AI147" i="1"/>
  <c r="AI143" i="1"/>
  <c r="T176" i="1"/>
  <c r="X176" i="1"/>
  <c r="AI200" i="1"/>
  <c r="AI196" i="1"/>
  <c r="AG215" i="1"/>
  <c r="AG199" i="1"/>
  <c r="AG195" i="1"/>
  <c r="AI195" i="1" s="1"/>
  <c r="AG191" i="1"/>
  <c r="AI191" i="1" s="1"/>
  <c r="AG187" i="1"/>
  <c r="AI187" i="1" s="1"/>
  <c r="AG183" i="1"/>
  <c r="AI183" i="1" s="1"/>
  <c r="X182" i="1"/>
  <c r="AG179" i="1"/>
  <c r="AI179" i="1" s="1"/>
  <c r="T179" i="1"/>
  <c r="AG176" i="1"/>
  <c r="AI176" i="1" s="1"/>
  <c r="U172" i="1"/>
  <c r="S172" i="1" s="1"/>
  <c r="X215" i="1"/>
  <c r="X199" i="1"/>
  <c r="X195" i="1"/>
  <c r="X191" i="1"/>
  <c r="X187" i="1"/>
  <c r="X183" i="1"/>
  <c r="AA169" i="1"/>
  <c r="X167" i="1"/>
  <c r="X163" i="1"/>
  <c r="X159" i="1"/>
  <c r="X233" i="1"/>
  <c r="X229" i="1"/>
  <c r="X225" i="1"/>
  <c r="X221" i="1"/>
  <c r="U213" i="1"/>
  <c r="S213" i="1" s="1"/>
  <c r="X212" i="1"/>
  <c r="T134" i="1"/>
  <c r="X134" i="1"/>
  <c r="AG134" i="1"/>
  <c r="AI119" i="1"/>
  <c r="U161" i="1"/>
  <c r="S161" i="1" s="1"/>
  <c r="U157" i="1"/>
  <c r="S157" i="1" s="1"/>
  <c r="U145" i="1"/>
  <c r="S145" i="1" s="1"/>
  <c r="AG166" i="1"/>
  <c r="X165" i="1"/>
  <c r="AG162" i="1"/>
  <c r="X161" i="1"/>
  <c r="AG158" i="1"/>
  <c r="X157" i="1"/>
  <c r="AG232" i="1"/>
  <c r="X231" i="1"/>
  <c r="AG228" i="1"/>
  <c r="AI228" i="1" s="1"/>
  <c r="X227" i="1"/>
  <c r="AG224" i="1"/>
  <c r="AI224" i="1" s="1"/>
  <c r="X223" i="1"/>
  <c r="AG220" i="1"/>
  <c r="AI220" i="1" s="1"/>
  <c r="X219" i="1"/>
  <c r="AI168" i="1"/>
  <c r="AG211" i="1"/>
  <c r="X210" i="1"/>
  <c r="AG207" i="1"/>
  <c r="X206" i="1"/>
  <c r="AG203" i="1"/>
  <c r="AI203" i="1" s="1"/>
  <c r="X202" i="1"/>
  <c r="AG154" i="1"/>
  <c r="X153" i="1"/>
  <c r="AG150" i="1"/>
  <c r="X149" i="1"/>
  <c r="AG146" i="1"/>
  <c r="X145" i="1"/>
  <c r="AG142" i="1"/>
  <c r="AG139" i="1"/>
  <c r="AG135" i="1"/>
  <c r="T135" i="1"/>
  <c r="X135" i="1"/>
  <c r="AI112" i="1"/>
  <c r="X166" i="1"/>
  <c r="AI192" i="1"/>
  <c r="X162" i="1"/>
  <c r="AI188" i="1"/>
  <c r="X158" i="1"/>
  <c r="AI184" i="1"/>
  <c r="X232" i="1"/>
  <c r="AI180" i="1"/>
  <c r="X228" i="1"/>
  <c r="X224" i="1"/>
  <c r="X220" i="1"/>
  <c r="X211" i="1"/>
  <c r="X207" i="1"/>
  <c r="X203" i="1"/>
  <c r="X154" i="1"/>
  <c r="X150" i="1"/>
  <c r="X146" i="1"/>
  <c r="U133" i="1"/>
  <c r="S133" i="1" s="1"/>
  <c r="T130" i="1"/>
  <c r="X130" i="1"/>
  <c r="AG130" i="1"/>
  <c r="AI123" i="1"/>
  <c r="AI120" i="1"/>
  <c r="AI116" i="1"/>
  <c r="X131" i="1"/>
  <c r="T131" i="1"/>
  <c r="U131" i="1" s="1"/>
  <c r="S131" i="1" s="1"/>
  <c r="X127" i="1"/>
  <c r="T127" i="1"/>
  <c r="U127" i="1" s="1"/>
  <c r="S127" i="1" s="1"/>
  <c r="T123" i="1"/>
  <c r="U123" i="1" s="1"/>
  <c r="S123" i="1" s="1"/>
  <c r="T119" i="1"/>
  <c r="U119" i="1" s="1"/>
  <c r="S119" i="1" s="1"/>
  <c r="X116" i="1"/>
  <c r="T116" i="1"/>
  <c r="U116" i="1" s="1"/>
  <c r="S116" i="1" s="1"/>
  <c r="X112" i="1"/>
  <c r="T112" i="1"/>
  <c r="U112" i="1" s="1"/>
  <c r="S112" i="1" s="1"/>
  <c r="AI106" i="1"/>
  <c r="T98" i="1"/>
  <c r="X98" i="1"/>
  <c r="AG98" i="1"/>
  <c r="X99" i="1"/>
  <c r="AI84" i="1"/>
  <c r="AI80" i="1"/>
  <c r="AG126" i="1"/>
  <c r="AG122" i="1"/>
  <c r="AG115" i="1"/>
  <c r="AG111" i="1"/>
  <c r="T107" i="1"/>
  <c r="X107" i="1"/>
  <c r="AG104" i="1"/>
  <c r="X105" i="1"/>
  <c r="AI92" i="1"/>
  <c r="AI76" i="1"/>
  <c r="X126" i="1"/>
  <c r="X115" i="1"/>
  <c r="X111" i="1"/>
  <c r="AG107" i="1"/>
  <c r="T106" i="1"/>
  <c r="U106" i="1" s="1"/>
  <c r="S106" i="1" s="1"/>
  <c r="AI102" i="1"/>
  <c r="U102" i="1"/>
  <c r="S102" i="1" s="1"/>
  <c r="AI100" i="1"/>
  <c r="AI96" i="1"/>
  <c r="U96" i="1"/>
  <c r="S96" i="1" s="1"/>
  <c r="AI88" i="1"/>
  <c r="X95" i="1"/>
  <c r="X91" i="1"/>
  <c r="X87" i="1"/>
  <c r="X83" i="1"/>
  <c r="AG75" i="1"/>
  <c r="X75" i="1"/>
  <c r="AG71" i="1"/>
  <c r="T71" i="1"/>
  <c r="X71" i="1"/>
  <c r="AG63" i="1"/>
  <c r="T63" i="1"/>
  <c r="X63" i="1"/>
  <c r="AG55" i="1"/>
  <c r="T55" i="1"/>
  <c r="X55" i="1"/>
  <c r="T46" i="1"/>
  <c r="X46" i="1"/>
  <c r="AG46" i="1"/>
  <c r="X45" i="1"/>
  <c r="AG45" i="1"/>
  <c r="AI33" i="1"/>
  <c r="AI69" i="1"/>
  <c r="AI61" i="1"/>
  <c r="X31" i="1"/>
  <c r="T30" i="1"/>
  <c r="X30" i="1"/>
  <c r="AG30" i="1"/>
  <c r="X97" i="1"/>
  <c r="AG94" i="1"/>
  <c r="X93" i="1"/>
  <c r="AG90" i="1"/>
  <c r="X89" i="1"/>
  <c r="AG86" i="1"/>
  <c r="X85" i="1"/>
  <c r="AG82" i="1"/>
  <c r="X81" i="1"/>
  <c r="X78" i="1"/>
  <c r="T77" i="1"/>
  <c r="U77" i="1" s="1"/>
  <c r="S77" i="1" s="1"/>
  <c r="AA75" i="1"/>
  <c r="AG67" i="1"/>
  <c r="T67" i="1"/>
  <c r="X67" i="1"/>
  <c r="W65" i="1"/>
  <c r="AG59" i="1"/>
  <c r="T59" i="1"/>
  <c r="X59" i="1"/>
  <c r="T45" i="1"/>
  <c r="X15" i="1"/>
  <c r="T14" i="1"/>
  <c r="AG14" i="1"/>
  <c r="X94" i="1"/>
  <c r="X90" i="1"/>
  <c r="X86" i="1"/>
  <c r="X82" i="1"/>
  <c r="AI81" i="1"/>
  <c r="X77" i="1"/>
  <c r="T76" i="1"/>
  <c r="U76" i="1" s="1"/>
  <c r="S76" i="1" s="1"/>
  <c r="X76" i="1"/>
  <c r="AI65" i="1"/>
  <c r="AI57" i="1"/>
  <c r="X47" i="1"/>
  <c r="AG72" i="1"/>
  <c r="AG68" i="1"/>
  <c r="AG64" i="1"/>
  <c r="AG60" i="1"/>
  <c r="AG56" i="1"/>
  <c r="AG52" i="1"/>
  <c r="AG49" i="1"/>
  <c r="X49" i="1"/>
  <c r="X44" i="1"/>
  <c r="T43" i="1"/>
  <c r="U43" i="1" s="1"/>
  <c r="S43" i="1" s="1"/>
  <c r="T42" i="1"/>
  <c r="X42" i="1"/>
  <c r="AG42" i="1"/>
  <c r="X39" i="1"/>
  <c r="T38" i="1"/>
  <c r="X38" i="1"/>
  <c r="AG38" i="1"/>
  <c r="T22" i="1"/>
  <c r="X22" i="1"/>
  <c r="AG22" i="1"/>
  <c r="X72" i="1"/>
  <c r="X68" i="1"/>
  <c r="X64" i="1"/>
  <c r="X60" i="1"/>
  <c r="X56" i="1"/>
  <c r="X52" i="1"/>
  <c r="AA45" i="1"/>
  <c r="AI44" i="1"/>
  <c r="X43" i="1"/>
  <c r="X35" i="1"/>
  <c r="T34" i="1"/>
  <c r="X34" i="1"/>
  <c r="AG34" i="1"/>
  <c r="AA29" i="1"/>
  <c r="T26" i="1"/>
  <c r="X26" i="1"/>
  <c r="AG26" i="1"/>
  <c r="U24" i="1"/>
  <c r="T50" i="1"/>
  <c r="U50" i="1" s="1"/>
  <c r="S50" i="1" s="1"/>
  <c r="X50" i="1"/>
  <c r="AA21" i="1"/>
  <c r="T18" i="1"/>
  <c r="X18" i="1"/>
  <c r="AG18" i="1"/>
  <c r="X41" i="1"/>
  <c r="X37" i="1"/>
  <c r="X33" i="1"/>
  <c r="AG27" i="1"/>
  <c r="AG23" i="1"/>
  <c r="AG19" i="1"/>
  <c r="X27" i="1"/>
  <c r="X23" i="1"/>
  <c r="X19" i="1"/>
  <c r="AD22" i="3"/>
  <c r="AD33" i="3"/>
  <c r="AE33" i="3"/>
  <c r="T49" i="3"/>
  <c r="T56" i="3"/>
  <c r="T35" i="3"/>
  <c r="T9" i="3"/>
  <c r="AE36" i="3"/>
  <c r="AD21" i="3"/>
  <c r="AD7" i="3"/>
  <c r="AE13" i="3"/>
  <c r="Y11" i="3"/>
  <c r="Y49" i="3"/>
  <c r="AD42" i="3"/>
  <c r="Y56" i="3"/>
  <c r="AD30" i="3"/>
  <c r="Y35" i="3"/>
  <c r="T32" i="3"/>
  <c r="Y9" i="3"/>
  <c r="T25" i="3"/>
  <c r="Y10" i="3"/>
  <c r="AD31" i="3"/>
  <c r="AD36" i="3"/>
  <c r="Y53" i="3"/>
  <c r="AD12" i="3"/>
  <c r="AC23" i="3"/>
  <c r="AE22" i="3"/>
  <c r="Y43" i="3"/>
  <c r="AD24" i="3"/>
  <c r="AE24" i="3"/>
  <c r="Y41" i="3"/>
  <c r="AE35" i="3"/>
  <c r="AC27" i="3"/>
  <c r="Y32" i="3"/>
  <c r="AE9" i="3"/>
  <c r="AD34" i="3"/>
  <c r="Y25" i="3"/>
  <c r="AD52" i="3"/>
  <c r="Y13" i="3"/>
  <c r="AD38" i="3"/>
  <c r="Y21" i="3"/>
  <c r="AD54" i="3"/>
  <c r="AC11" i="3"/>
  <c r="Y40" i="3"/>
  <c r="T16" i="3"/>
  <c r="AE49" i="3"/>
  <c r="Y47" i="3"/>
  <c r="AE56" i="3"/>
  <c r="AC30" i="3"/>
  <c r="Y20" i="3"/>
  <c r="T46" i="3"/>
  <c r="AE32" i="3"/>
  <c r="Y23" i="3"/>
  <c r="AE25" i="3"/>
  <c r="AC52" i="3"/>
  <c r="Y22" i="3"/>
  <c r="T10" i="3"/>
  <c r="AE38" i="3"/>
  <c r="Y55" i="3"/>
  <c r="AE54" i="3"/>
  <c r="AC7" i="3"/>
  <c r="Y44" i="3"/>
  <c r="AE40" i="3"/>
  <c r="AC51" i="3"/>
  <c r="Y16" i="3"/>
  <c r="AD47" i="3"/>
  <c r="AE47" i="3"/>
  <c r="Y24" i="3"/>
  <c r="AE20" i="3"/>
  <c r="AC28" i="3"/>
  <c r="Y46" i="3"/>
  <c r="AD23" i="3"/>
  <c r="AE23" i="3"/>
  <c r="AC45" i="3"/>
  <c r="AD55" i="3"/>
  <c r="AE55" i="3"/>
  <c r="T40" i="3"/>
  <c r="T20" i="3"/>
  <c r="T22" i="3"/>
  <c r="Y38" i="3"/>
  <c r="AE37" i="3"/>
  <c r="AE43" i="3"/>
  <c r="T43" i="3"/>
  <c r="AE19" i="3"/>
  <c r="T19" i="3"/>
  <c r="AE8" i="3"/>
  <c r="T8" i="3"/>
  <c r="AE53" i="3"/>
  <c r="T53" i="3"/>
  <c r="AE11" i="3"/>
  <c r="T11" i="3"/>
  <c r="AD37" i="3"/>
  <c r="AE51" i="3"/>
  <c r="T51" i="3"/>
  <c r="AD43" i="3"/>
  <c r="AE50" i="3"/>
  <c r="T50" i="3"/>
  <c r="AD29" i="3"/>
  <c r="AE42" i="3"/>
  <c r="T42" i="3"/>
  <c r="AD39" i="3"/>
  <c r="AE30" i="3"/>
  <c r="T30" i="3"/>
  <c r="AD41" i="3"/>
  <c r="AE28" i="3"/>
  <c r="T28" i="3"/>
  <c r="AD15" i="3"/>
  <c r="AE27" i="3"/>
  <c r="T27" i="3"/>
  <c r="AD17" i="3"/>
  <c r="AE34" i="3"/>
  <c r="T34" i="3"/>
  <c r="AD14" i="3"/>
  <c r="AE52" i="3"/>
  <c r="T52" i="3"/>
  <c r="AD26" i="3"/>
  <c r="AE45" i="3"/>
  <c r="T45" i="3"/>
  <c r="AD19" i="3"/>
  <c r="AE31" i="3"/>
  <c r="T31" i="3"/>
  <c r="AD8" i="3"/>
  <c r="AE21" i="3"/>
  <c r="T21" i="3"/>
  <c r="AD53" i="3"/>
  <c r="AE7" i="3"/>
  <c r="T7" i="3"/>
  <c r="T37" i="3"/>
  <c r="AE29" i="3"/>
  <c r="T29" i="3"/>
  <c r="AE39" i="3"/>
  <c r="T39" i="3"/>
  <c r="AE41" i="3"/>
  <c r="T41" i="3"/>
  <c r="AE15" i="3"/>
  <c r="T15" i="3"/>
  <c r="AE17" i="3"/>
  <c r="T17" i="3"/>
  <c r="AE14" i="3"/>
  <c r="T14" i="3"/>
  <c r="AE26" i="3"/>
  <c r="T26" i="3"/>
  <c r="AE12" i="3"/>
  <c r="Y18" i="3"/>
  <c r="AI118" i="1" l="1"/>
  <c r="W60" i="1"/>
  <c r="AI209" i="1"/>
  <c r="AI218" i="1"/>
  <c r="U137" i="1"/>
  <c r="S137" i="1" s="1"/>
  <c r="U210" i="1"/>
  <c r="S210" i="1" s="1"/>
  <c r="U182" i="1"/>
  <c r="S182" i="1" s="1"/>
  <c r="U16" i="1"/>
  <c r="S16" i="1" s="1"/>
  <c r="U40" i="1"/>
  <c r="S40" i="1" s="1"/>
  <c r="AI74" i="1"/>
  <c r="W63" i="1"/>
  <c r="AI214" i="1"/>
  <c r="AI221" i="1"/>
  <c r="W85" i="1"/>
  <c r="U91" i="1"/>
  <c r="S91" i="1" s="1"/>
  <c r="W82" i="1"/>
  <c r="W55" i="1"/>
  <c r="W40" i="1"/>
  <c r="U103" i="1"/>
  <c r="S103" i="1" s="1"/>
  <c r="W74" i="1"/>
  <c r="W157" i="1"/>
  <c r="W168" i="1"/>
  <c r="U226" i="1"/>
  <c r="S226" i="1" s="1"/>
  <c r="W33" i="1"/>
  <c r="U89" i="1"/>
  <c r="S89" i="1" s="1"/>
  <c r="W122" i="1"/>
  <c r="W232" i="1"/>
  <c r="U153" i="1"/>
  <c r="S153" i="1" s="1"/>
  <c r="W97" i="1"/>
  <c r="W161" i="1"/>
  <c r="U121" i="1"/>
  <c r="S121" i="1" s="1"/>
  <c r="U160" i="1"/>
  <c r="S160" i="1" s="1"/>
  <c r="W70" i="1"/>
  <c r="U62" i="1"/>
  <c r="S62" i="1" s="1"/>
  <c r="W62" i="1"/>
  <c r="AI226" i="1"/>
  <c r="S175" i="1"/>
  <c r="W156" i="1"/>
  <c r="U140" i="1"/>
  <c r="S140" i="1" s="1"/>
  <c r="AI37" i="1"/>
  <c r="W172" i="1"/>
  <c r="AI78" i="1"/>
  <c r="W90" i="1"/>
  <c r="U125" i="1"/>
  <c r="S125" i="1" s="1"/>
  <c r="W129" i="1"/>
  <c r="W139" i="1"/>
  <c r="AI175" i="1"/>
  <c r="U205" i="1"/>
  <c r="S205" i="1" s="1"/>
  <c r="U171" i="1"/>
  <c r="S171" i="1" s="1"/>
  <c r="U194" i="1"/>
  <c r="S194" i="1" s="1"/>
  <c r="W175" i="1"/>
  <c r="W137" i="1"/>
  <c r="W66" i="1"/>
  <c r="W231" i="1"/>
  <c r="AI21" i="1"/>
  <c r="U41" i="1"/>
  <c r="S41" i="1" s="1"/>
  <c r="W22" i="1"/>
  <c r="W67" i="1"/>
  <c r="W107" i="1"/>
  <c r="AI125" i="1"/>
  <c r="W154" i="1"/>
  <c r="AI160" i="1"/>
  <c r="U149" i="1"/>
  <c r="S149" i="1" s="1"/>
  <c r="U198" i="1"/>
  <c r="S198" i="1" s="1"/>
  <c r="U54" i="1"/>
  <c r="S54" i="1" s="1"/>
  <c r="W37" i="1"/>
  <c r="W103" i="1"/>
  <c r="W53" i="1"/>
  <c r="U233" i="1"/>
  <c r="S233" i="1" s="1"/>
  <c r="AI85" i="1"/>
  <c r="W115" i="1"/>
  <c r="U148" i="1"/>
  <c r="S148" i="1" s="1"/>
  <c r="U222" i="1"/>
  <c r="S222" i="1" s="1"/>
  <c r="U152" i="1"/>
  <c r="S152" i="1" s="1"/>
  <c r="W159" i="1"/>
  <c r="W225" i="1"/>
  <c r="W164" i="1"/>
  <c r="W71" i="1"/>
  <c r="AI110" i="1"/>
  <c r="AI121" i="1"/>
  <c r="AI210" i="1"/>
  <c r="W27" i="1"/>
  <c r="U25" i="1"/>
  <c r="S24" i="1" s="1"/>
  <c r="U202" i="1"/>
  <c r="S202" i="1" s="1"/>
  <c r="W134" i="1"/>
  <c r="AI230" i="1"/>
  <c r="U190" i="1"/>
  <c r="S190" i="1" s="1"/>
  <c r="U58" i="1"/>
  <c r="S58" i="1" s="1"/>
  <c r="U32" i="1"/>
  <c r="S32" i="1" s="1"/>
  <c r="W32" i="1"/>
  <c r="W114" i="1"/>
  <c r="W128" i="1"/>
  <c r="W148" i="1"/>
  <c r="AI29" i="1"/>
  <c r="W29" i="1"/>
  <c r="AI70" i="1"/>
  <c r="U97" i="1"/>
  <c r="S97" i="1" s="1"/>
  <c r="U206" i="1"/>
  <c r="S206" i="1" s="1"/>
  <c r="AI129" i="1"/>
  <c r="W36" i="1"/>
  <c r="W121" i="1"/>
  <c r="W234" i="1"/>
  <c r="W206" i="1"/>
  <c r="AI169" i="1"/>
  <c r="AI164" i="1"/>
  <c r="U164" i="1"/>
  <c r="S164" i="1" s="1"/>
  <c r="W169" i="1"/>
  <c r="AI213" i="1"/>
  <c r="U36" i="1"/>
  <c r="S36" i="1" s="1"/>
  <c r="W223" i="1"/>
  <c r="AI141" i="1"/>
  <c r="W187" i="1"/>
  <c r="U28" i="1"/>
  <c r="S28" i="1" s="1"/>
  <c r="W133" i="1"/>
  <c r="W153" i="1"/>
  <c r="W214" i="1"/>
  <c r="W28" i="1"/>
  <c r="W14" i="1"/>
  <c r="W89" i="1"/>
  <c r="W205" i="1"/>
  <c r="W226" i="1"/>
  <c r="W30" i="1"/>
  <c r="W140" i="1"/>
  <c r="U144" i="1"/>
  <c r="S144" i="1" s="1"/>
  <c r="U156" i="1"/>
  <c r="S156" i="1" s="1"/>
  <c r="W54" i="1"/>
  <c r="W98" i="1"/>
  <c r="W149" i="1"/>
  <c r="W173" i="1"/>
  <c r="W38" i="1"/>
  <c r="AI58" i="1"/>
  <c r="W58" i="1"/>
  <c r="U93" i="1"/>
  <c r="S93" i="1" s="1"/>
  <c r="AI138" i="1"/>
  <c r="W150" i="1"/>
  <c r="U234" i="1"/>
  <c r="S234" i="1" s="1"/>
  <c r="W176" i="1"/>
  <c r="W183" i="1"/>
  <c r="W152" i="1"/>
  <c r="W52" i="1"/>
  <c r="W46" i="1"/>
  <c r="U114" i="1"/>
  <c r="S114" i="1" s="1"/>
  <c r="U223" i="1"/>
  <c r="S223" i="1" s="1"/>
  <c r="U113" i="1"/>
  <c r="S113" i="1" s="1"/>
  <c r="W25" i="1"/>
  <c r="W144" i="1"/>
  <c r="W21" i="1"/>
  <c r="W45" i="1"/>
  <c r="AI114" i="1"/>
  <c r="AI165" i="1"/>
  <c r="W158" i="1"/>
  <c r="U17" i="1"/>
  <c r="S17" i="1" s="1"/>
  <c r="W118" i="1"/>
  <c r="W138" i="1"/>
  <c r="W141" i="1"/>
  <c r="W218" i="1"/>
  <c r="W124" i="1"/>
  <c r="W209" i="1"/>
  <c r="W17" i="1"/>
  <c r="W136" i="1"/>
  <c r="W190" i="1"/>
  <c r="AI163" i="1"/>
  <c r="W233" i="1"/>
  <c r="W199" i="1"/>
  <c r="U186" i="1"/>
  <c r="S186" i="1" s="1"/>
  <c r="W75" i="1"/>
  <c r="W219" i="1"/>
  <c r="W81" i="1"/>
  <c r="W41" i="1"/>
  <c r="W113" i="1"/>
  <c r="W163" i="1"/>
  <c r="W78" i="1"/>
  <c r="W230" i="1"/>
  <c r="W182" i="1"/>
  <c r="W227" i="1"/>
  <c r="U170" i="1"/>
  <c r="S170" i="1" s="1"/>
  <c r="AI170" i="1"/>
  <c r="U132" i="1"/>
  <c r="S132" i="1" s="1"/>
  <c r="AI132" i="1"/>
  <c r="W160" i="1"/>
  <c r="W204" i="1"/>
  <c r="AI199" i="1"/>
  <c r="AI232" i="1"/>
  <c r="U66" i="1"/>
  <c r="S66" i="1" s="1"/>
  <c r="W110" i="1"/>
  <c r="W93" i="1"/>
  <c r="U128" i="1"/>
  <c r="S128" i="1" s="1"/>
  <c r="AI128" i="1"/>
  <c r="W186" i="1"/>
  <c r="W194" i="1"/>
  <c r="W16" i="1"/>
  <c r="W165" i="1"/>
  <c r="W171" i="1"/>
  <c r="U20" i="1"/>
  <c r="S20" i="1" s="1"/>
  <c r="AI20" i="1"/>
  <c r="U53" i="1"/>
  <c r="S53" i="1" s="1"/>
  <c r="AI53" i="1"/>
  <c r="U124" i="1"/>
  <c r="S124" i="1" s="1"/>
  <c r="AI124" i="1"/>
  <c r="U136" i="1"/>
  <c r="S136" i="1" s="1"/>
  <c r="AI136" i="1"/>
  <c r="W132" i="1"/>
  <c r="W222" i="1"/>
  <c r="U159" i="1"/>
  <c r="S159" i="1" s="1"/>
  <c r="AI159" i="1"/>
  <c r="W198" i="1"/>
  <c r="W170" i="1"/>
  <c r="W221" i="1"/>
  <c r="AI49" i="1"/>
  <c r="U49" i="1"/>
  <c r="S49" i="1" s="1"/>
  <c r="U64" i="1"/>
  <c r="S64" i="1" s="1"/>
  <c r="AI64" i="1"/>
  <c r="U86" i="1"/>
  <c r="S86" i="1" s="1"/>
  <c r="AI86" i="1"/>
  <c r="U94" i="1"/>
  <c r="S94" i="1" s="1"/>
  <c r="AI94" i="1"/>
  <c r="U27" i="1"/>
  <c r="S27" i="1" s="1"/>
  <c r="AI27" i="1"/>
  <c r="AI18" i="1"/>
  <c r="U18" i="1"/>
  <c r="S18" i="1" s="1"/>
  <c r="AI26" i="1"/>
  <c r="U26" i="1"/>
  <c r="S26" i="1" s="1"/>
  <c r="U42" i="1"/>
  <c r="S42" i="1" s="1"/>
  <c r="AI42" i="1"/>
  <c r="W42" i="1"/>
  <c r="U52" i="1"/>
  <c r="S52" i="1" s="1"/>
  <c r="AI52" i="1"/>
  <c r="U68" i="1"/>
  <c r="S68" i="1" s="1"/>
  <c r="AI68" i="1"/>
  <c r="AI46" i="1"/>
  <c r="U46" i="1"/>
  <c r="S46" i="1" s="1"/>
  <c r="U63" i="1"/>
  <c r="S63" i="1" s="1"/>
  <c r="AI63" i="1"/>
  <c r="AI75" i="1"/>
  <c r="U75" i="1"/>
  <c r="S74" i="1" s="1"/>
  <c r="U111" i="1"/>
  <c r="S111" i="1" s="1"/>
  <c r="AI111" i="1"/>
  <c r="U126" i="1"/>
  <c r="S126" i="1" s="1"/>
  <c r="AI126" i="1"/>
  <c r="U98" i="1"/>
  <c r="S98" i="1" s="1"/>
  <c r="AI98" i="1"/>
  <c r="W126" i="1"/>
  <c r="U146" i="1"/>
  <c r="S146" i="1" s="1"/>
  <c r="AI146" i="1"/>
  <c r="U207" i="1"/>
  <c r="S207" i="1" s="1"/>
  <c r="AI162" i="1"/>
  <c r="U228" i="1"/>
  <c r="S228" i="1" s="1"/>
  <c r="AI177" i="1"/>
  <c r="U166" i="1"/>
  <c r="S166" i="1" s="1"/>
  <c r="AI193" i="1"/>
  <c r="U134" i="1"/>
  <c r="S134" i="1" s="1"/>
  <c r="AI134" i="1"/>
  <c r="W207" i="1"/>
  <c r="U179" i="1"/>
  <c r="S179" i="1" s="1"/>
  <c r="AI207" i="1"/>
  <c r="U191" i="1"/>
  <c r="S191" i="1" s="1"/>
  <c r="AI219" i="1"/>
  <c r="W191" i="1"/>
  <c r="AI34" i="1"/>
  <c r="U34" i="1"/>
  <c r="S34" i="1" s="1"/>
  <c r="W34" i="1"/>
  <c r="U56" i="1"/>
  <c r="S56" i="1" s="1"/>
  <c r="AI56" i="1"/>
  <c r="U72" i="1"/>
  <c r="S72" i="1" s="1"/>
  <c r="AI72" i="1"/>
  <c r="U59" i="1"/>
  <c r="S59" i="1" s="1"/>
  <c r="AI59" i="1"/>
  <c r="W59" i="1"/>
  <c r="U71" i="1"/>
  <c r="S71" i="1" s="1"/>
  <c r="AI71" i="1"/>
  <c r="W72" i="1"/>
  <c r="U104" i="1"/>
  <c r="S104" i="1" s="1"/>
  <c r="AI104" i="1"/>
  <c r="U115" i="1"/>
  <c r="S115" i="1" s="1"/>
  <c r="AI115" i="1"/>
  <c r="W86" i="1"/>
  <c r="W56" i="1"/>
  <c r="U142" i="1"/>
  <c r="S142" i="1" s="1"/>
  <c r="AI142" i="1"/>
  <c r="U203" i="1"/>
  <c r="S203" i="1" s="1"/>
  <c r="AI158" i="1"/>
  <c r="U224" i="1"/>
  <c r="S224" i="1" s="1"/>
  <c r="AI173" i="1"/>
  <c r="U162" i="1"/>
  <c r="S162" i="1" s="1"/>
  <c r="AI189" i="1"/>
  <c r="W111" i="1"/>
  <c r="W162" i="1"/>
  <c r="U195" i="1"/>
  <c r="S195" i="1" s="1"/>
  <c r="AI223" i="1"/>
  <c r="W142" i="1"/>
  <c r="W146" i="1"/>
  <c r="W203" i="1"/>
  <c r="U173" i="1"/>
  <c r="S173" i="1" s="1"/>
  <c r="AI201" i="1"/>
  <c r="U82" i="1"/>
  <c r="S82" i="1" s="1"/>
  <c r="AI82" i="1"/>
  <c r="U90" i="1"/>
  <c r="S90" i="1" s="1"/>
  <c r="AI90" i="1"/>
  <c r="U19" i="1"/>
  <c r="S19" i="1" s="1"/>
  <c r="W19" i="1"/>
  <c r="AI19" i="1"/>
  <c r="AI22" i="1"/>
  <c r="U22" i="1"/>
  <c r="S22" i="1" s="1"/>
  <c r="W26" i="1"/>
  <c r="AI38" i="1"/>
  <c r="U38" i="1"/>
  <c r="S38" i="1" s="1"/>
  <c r="U60" i="1"/>
  <c r="S60" i="1" s="1"/>
  <c r="AI60" i="1"/>
  <c r="W18" i="1"/>
  <c r="AI14" i="1"/>
  <c r="U14" i="1"/>
  <c r="S14" i="1" s="1"/>
  <c r="U67" i="1"/>
  <c r="S67" i="1" s="1"/>
  <c r="AI67" i="1"/>
  <c r="AI30" i="1"/>
  <c r="U30" i="1"/>
  <c r="S30" i="1" s="1"/>
  <c r="AI45" i="1"/>
  <c r="U45" i="1"/>
  <c r="S45" i="1" s="1"/>
  <c r="W64" i="1"/>
  <c r="U107" i="1"/>
  <c r="S107" i="1" s="1"/>
  <c r="AI107" i="1"/>
  <c r="W68" i="1"/>
  <c r="U135" i="1"/>
  <c r="S135" i="1" s="1"/>
  <c r="AI135" i="1"/>
  <c r="W135" i="1"/>
  <c r="U139" i="1"/>
  <c r="S139" i="1" s="1"/>
  <c r="AI139" i="1"/>
  <c r="U154" i="1"/>
  <c r="S154" i="1" s="1"/>
  <c r="AI154" i="1"/>
  <c r="U220" i="1"/>
  <c r="S220" i="1" s="1"/>
  <c r="U158" i="1"/>
  <c r="S158" i="1" s="1"/>
  <c r="AI185" i="1"/>
  <c r="W220" i="1"/>
  <c r="W224" i="1"/>
  <c r="U176" i="1"/>
  <c r="S176" i="1" s="1"/>
  <c r="AI204" i="1"/>
  <c r="U183" i="1"/>
  <c r="S183" i="1" s="1"/>
  <c r="AI211" i="1"/>
  <c r="U199" i="1"/>
  <c r="S199" i="1" s="1"/>
  <c r="AI227" i="1"/>
  <c r="W166" i="1"/>
  <c r="AI197" i="1"/>
  <c r="W195" i="1"/>
  <c r="U23" i="1"/>
  <c r="S23" i="1" s="1"/>
  <c r="W23" i="1"/>
  <c r="AI23" i="1"/>
  <c r="W49" i="1"/>
  <c r="U55" i="1"/>
  <c r="S55" i="1" s="1"/>
  <c r="AI55" i="1"/>
  <c r="W94" i="1"/>
  <c r="U122" i="1"/>
  <c r="S122" i="1" s="1"/>
  <c r="AI122" i="1"/>
  <c r="W104" i="1"/>
  <c r="U130" i="1"/>
  <c r="S130" i="1" s="1"/>
  <c r="AI130" i="1"/>
  <c r="W130" i="1"/>
  <c r="U150" i="1"/>
  <c r="S150" i="1" s="1"/>
  <c r="AI150" i="1"/>
  <c r="U211" i="1"/>
  <c r="S211" i="1" s="1"/>
  <c r="AI166" i="1"/>
  <c r="U232" i="1"/>
  <c r="S232" i="1" s="1"/>
  <c r="AI181" i="1"/>
  <c r="U187" i="1"/>
  <c r="S187" i="1" s="1"/>
  <c r="AI215" i="1"/>
  <c r="U215" i="1"/>
  <c r="S215" i="1" s="1"/>
  <c r="AI231" i="1"/>
  <c r="W228" i="1"/>
  <c r="W211" i="1"/>
  <c r="W215" i="1"/>
  <c r="W179" i="1"/>
  <c r="B33" i="9"/>
  <c r="B34" i="9"/>
  <c r="C35" i="9" s="1"/>
  <c r="B35" i="9"/>
  <c r="B36" i="9"/>
  <c r="C37" i="9" s="1"/>
  <c r="C36" i="9"/>
  <c r="B37" i="9"/>
  <c r="B38" i="9"/>
  <c r="C38" i="9"/>
  <c r="B39" i="9"/>
  <c r="C40" i="9" s="1"/>
  <c r="B40" i="9"/>
  <c r="B41" i="9"/>
  <c r="B42" i="9"/>
  <c r="C43" i="9" s="1"/>
  <c r="B43" i="9"/>
  <c r="B44" i="9"/>
  <c r="C45" i="9" s="1"/>
  <c r="C44" i="9"/>
  <c r="B45" i="9"/>
  <c r="B46" i="9"/>
  <c r="C46" i="9"/>
  <c r="B47" i="9"/>
  <c r="C48" i="9" s="1"/>
  <c r="B48" i="9"/>
  <c r="B49" i="9"/>
  <c r="B50" i="9"/>
  <c r="C51" i="9" s="1"/>
  <c r="B51" i="9"/>
  <c r="B52" i="9"/>
  <c r="C53" i="9" s="1"/>
  <c r="C52" i="9"/>
  <c r="B53" i="9"/>
  <c r="B54" i="9"/>
  <c r="C54" i="9"/>
  <c r="B55" i="9"/>
  <c r="C56" i="9" s="1"/>
  <c r="B56" i="9"/>
  <c r="B57" i="9"/>
  <c r="B58" i="9"/>
  <c r="C58" i="9" s="1"/>
  <c r="C55" i="9" l="1"/>
  <c r="C47" i="9"/>
  <c r="C39" i="9"/>
  <c r="C57" i="9"/>
  <c r="C50" i="9"/>
  <c r="C49" i="9"/>
  <c r="C42" i="9"/>
  <c r="C41" i="9"/>
  <c r="C34" i="9"/>
  <c r="AD18" i="3"/>
  <c r="AE18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X13" i="1"/>
  <c r="AG13" i="1"/>
  <c r="AI13" i="1" s="1"/>
  <c r="T13" i="1"/>
  <c r="U13" i="1" l="1"/>
  <c r="S13" i="1" s="1"/>
  <c r="W13" i="1"/>
  <c r="M23" i="5" l="1"/>
  <c r="M28" i="5" l="1"/>
  <c r="B31" i="9" l="1"/>
  <c r="B32" i="9"/>
  <c r="C33" i="9" s="1"/>
  <c r="C32" i="9" l="1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L13" i="1" s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21" i="3" s="1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8" i="3" s="1"/>
  <c r="G49" i="4"/>
  <c r="G50" i="4"/>
  <c r="G51" i="4"/>
  <c r="G52" i="4"/>
  <c r="G53" i="4"/>
  <c r="G54" i="4"/>
  <c r="N36" i="3" s="1"/>
  <c r="G55" i="4"/>
  <c r="G56" i="4"/>
  <c r="G57" i="4"/>
  <c r="G58" i="4"/>
  <c r="G59" i="4"/>
  <c r="G60" i="4"/>
  <c r="G61" i="4"/>
  <c r="G62" i="4"/>
  <c r="G63" i="4"/>
  <c r="G64" i="4"/>
  <c r="N31" i="3" s="1"/>
  <c r="G65" i="4"/>
  <c r="G66" i="4"/>
  <c r="G67" i="4"/>
  <c r="N38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10" i="3" s="1"/>
  <c r="G81" i="4"/>
  <c r="G82" i="4"/>
  <c r="N45" i="3" s="1"/>
  <c r="G83" i="4"/>
  <c r="G84" i="4"/>
  <c r="G85" i="4"/>
  <c r="G86" i="4"/>
  <c r="G87" i="4"/>
  <c r="G88" i="4"/>
  <c r="G89" i="4"/>
  <c r="G90" i="4"/>
  <c r="G91" i="4"/>
  <c r="N52" i="3" s="1"/>
  <c r="G92" i="4"/>
  <c r="G93" i="4"/>
  <c r="G94" i="4"/>
  <c r="G95" i="4"/>
  <c r="G96" i="4"/>
  <c r="G97" i="4"/>
  <c r="G98" i="4"/>
  <c r="N23" i="3" s="1"/>
  <c r="G99" i="4"/>
  <c r="G100" i="4"/>
  <c r="G101" i="4"/>
  <c r="G102" i="4"/>
  <c r="N34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N9" i="3" s="1"/>
  <c r="G115" i="4"/>
  <c r="G116" i="4"/>
  <c r="N27" i="3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15" i="3" s="1"/>
  <c r="G140" i="4"/>
  <c r="G141" i="4"/>
  <c r="G142" i="4"/>
  <c r="N28" i="3" s="1"/>
  <c r="G143" i="4"/>
  <c r="G144" i="4"/>
  <c r="G145" i="4"/>
  <c r="G146" i="4"/>
  <c r="G147" i="4"/>
  <c r="N46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N30" i="3" s="1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29" i="3" s="1"/>
  <c r="G181" i="4"/>
  <c r="N56" i="3" s="1"/>
  <c r="G182" i="4"/>
  <c r="G183" i="4"/>
  <c r="G184" i="4"/>
  <c r="G185" i="4"/>
  <c r="G186" i="4"/>
  <c r="N42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16" i="3" s="1"/>
  <c r="G200" i="4"/>
  <c r="G201" i="4"/>
  <c r="N50" i="3" s="1"/>
  <c r="G202" i="4"/>
  <c r="G203" i="4"/>
  <c r="N43" i="3" s="1"/>
  <c r="G204" i="4"/>
  <c r="G205" i="4"/>
  <c r="G206" i="4"/>
  <c r="N33" i="3" s="1"/>
  <c r="G207" i="4"/>
  <c r="G208" i="4"/>
  <c r="G209" i="4"/>
  <c r="G210" i="4"/>
  <c r="G211" i="4"/>
  <c r="G212" i="4"/>
  <c r="G213" i="4"/>
  <c r="N51" i="3" s="1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11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9" i="3" l="1"/>
  <c r="N48" i="3"/>
  <c r="N32" i="3"/>
  <c r="N17" i="3"/>
  <c r="N22" i="3"/>
  <c r="N14" i="3"/>
  <c r="N25" i="3"/>
  <c r="N44" i="3"/>
  <c r="N37" i="3"/>
  <c r="N40" i="3"/>
  <c r="N39" i="3"/>
  <c r="N47" i="3"/>
  <c r="N26" i="3"/>
  <c r="N13" i="3"/>
  <c r="N19" i="3"/>
  <c r="N55" i="3"/>
  <c r="N53" i="3"/>
  <c r="N54" i="3"/>
  <c r="N20" i="3"/>
  <c r="N24" i="3"/>
  <c r="N41" i="3"/>
  <c r="N35" i="3"/>
  <c r="N12" i="3"/>
  <c r="N7" i="3"/>
  <c r="N18" i="3"/>
  <c r="H3" i="6"/>
  <c r="G6" i="6"/>
  <c r="F6" i="6"/>
  <c r="J6" i="6"/>
  <c r="H6" i="6"/>
  <c r="B7" i="6" l="1"/>
  <c r="I7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7" i="6" l="1"/>
  <c r="J7" i="6"/>
  <c r="F7" i="6"/>
  <c r="H7" i="6"/>
  <c r="B8" i="6"/>
  <c r="I8" i="6" s="1"/>
  <c r="G8" i="6" l="1"/>
  <c r="H8" i="6"/>
  <c r="F8" i="6"/>
  <c r="J8" i="6"/>
  <c r="B9" i="6"/>
  <c r="I9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0" i="6" l="1"/>
  <c r="I10" i="6" s="1"/>
  <c r="G9" i="6"/>
  <c r="F9" i="6"/>
  <c r="J9" i="6"/>
  <c r="H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I11" i="6" s="1"/>
  <c r="F10" i="6"/>
  <c r="J10" i="6"/>
  <c r="G10" i="6"/>
  <c r="H10" i="6"/>
  <c r="M30" i="5"/>
  <c r="M29" i="5"/>
  <c r="M27" i="5"/>
  <c r="G11" i="6" l="1"/>
  <c r="J11" i="6"/>
  <c r="F11" i="6"/>
  <c r="H11" i="6"/>
  <c r="B12" i="6"/>
  <c r="I12" i="6" s="1"/>
  <c r="M26" i="5"/>
  <c r="AH13" i="1" l="1"/>
  <c r="G12" i="6"/>
  <c r="H12" i="6"/>
  <c r="F12" i="6"/>
  <c r="J12" i="6"/>
  <c r="B13" i="6"/>
  <c r="I13" i="6" s="1"/>
  <c r="J7" i="1"/>
  <c r="B14" i="6" l="1"/>
  <c r="I14" i="6" s="1"/>
  <c r="G13" i="6"/>
  <c r="F13" i="6"/>
  <c r="J13" i="6"/>
  <c r="H13" i="6"/>
  <c r="X6" i="1"/>
  <c r="W6" i="1"/>
  <c r="V6" i="1"/>
  <c r="S6" i="1"/>
  <c r="R2" i="1"/>
  <c r="I2" i="1"/>
  <c r="O6" i="1"/>
  <c r="N6" i="1"/>
  <c r="M6" i="1"/>
  <c r="J6" i="1"/>
  <c r="F14" i="6" l="1"/>
  <c r="J14" i="6"/>
  <c r="G14" i="6"/>
  <c r="H14" i="6"/>
  <c r="B15" i="6"/>
  <c r="I15" i="6" s="1"/>
  <c r="P3" i="5"/>
  <c r="G15" i="6" l="1"/>
  <c r="J15" i="6"/>
  <c r="F15" i="6"/>
  <c r="H15" i="6"/>
  <c r="B16" i="6"/>
  <c r="I16" i="6" s="1"/>
  <c r="M18" i="5"/>
  <c r="G16" i="6" l="1"/>
  <c r="H16" i="6"/>
  <c r="F16" i="6"/>
  <c r="J16" i="6"/>
  <c r="B17" i="6"/>
  <c r="I17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8" i="6" l="1"/>
  <c r="I18" i="6" s="1"/>
  <c r="G17" i="6"/>
  <c r="F17" i="6"/>
  <c r="J17" i="6"/>
  <c r="H17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19" i="6" l="1"/>
  <c r="I19" i="6" s="1"/>
  <c r="F18" i="6"/>
  <c r="J18" i="6"/>
  <c r="G18" i="6"/>
  <c r="H18" i="6"/>
  <c r="G259" i="4"/>
  <c r="G260" i="4"/>
  <c r="G261" i="4"/>
  <c r="G262" i="4"/>
  <c r="G263" i="4"/>
  <c r="G264" i="4"/>
  <c r="G265" i="4"/>
  <c r="F19" i="6" l="1"/>
  <c r="J19" i="6"/>
  <c r="G19" i="6"/>
  <c r="H19" i="6"/>
  <c r="B20" i="6"/>
  <c r="I20" i="6" s="1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H20" i="6"/>
  <c r="J20" i="6"/>
  <c r="G20" i="6"/>
  <c r="B21" i="6"/>
  <c r="I21" i="6" s="1"/>
  <c r="O2" i="3"/>
  <c r="O3" i="3" s="1"/>
  <c r="F21" i="6" l="1"/>
  <c r="J21" i="6"/>
  <c r="G21" i="6"/>
  <c r="H21" i="6"/>
  <c r="B22" i="6"/>
  <c r="I22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2" i="6" l="1"/>
  <c r="F22" i="6"/>
  <c r="G22" i="6"/>
  <c r="H22" i="6"/>
  <c r="B23" i="6"/>
  <c r="I23" i="6" s="1"/>
  <c r="J8" i="1"/>
  <c r="J4" i="1"/>
  <c r="S8" i="1"/>
  <c r="S4" i="1"/>
  <c r="F23" i="6" l="1"/>
  <c r="J23" i="6"/>
  <c r="H23" i="6"/>
  <c r="G23" i="6"/>
  <c r="B24" i="6"/>
  <c r="I24" i="6" s="1"/>
  <c r="S9" i="1"/>
  <c r="J9" i="1"/>
  <c r="B25" i="6" l="1"/>
  <c r="I25" i="6" s="1"/>
  <c r="F24" i="6"/>
  <c r="G24" i="6"/>
  <c r="J24" i="6"/>
  <c r="H24" i="6"/>
  <c r="S11" i="1"/>
  <c r="A11" i="1"/>
  <c r="B26" i="6" l="1"/>
  <c r="I26" i="6" s="1"/>
  <c r="G25" i="6"/>
  <c r="H25" i="6"/>
  <c r="J25" i="6"/>
  <c r="F25" i="6"/>
  <c r="B1" i="6"/>
  <c r="A5" i="3"/>
  <c r="G26" i="6" l="1"/>
  <c r="F26" i="6"/>
  <c r="J26" i="6"/>
  <c r="H26" i="6"/>
  <c r="B27" i="6"/>
  <c r="I27" i="6" s="1"/>
  <c r="F27" i="6" l="1"/>
  <c r="J27" i="6"/>
  <c r="G27" i="6"/>
  <c r="H27" i="6"/>
  <c r="B28" i="6"/>
  <c r="I28" i="6" s="1"/>
  <c r="B29" i="6" l="1"/>
  <c r="I29" i="6" s="1"/>
  <c r="J28" i="6"/>
  <c r="G28" i="6"/>
  <c r="F28" i="6"/>
  <c r="H28" i="6"/>
  <c r="F29" i="6" l="1"/>
  <c r="G29" i="6"/>
  <c r="H29" i="6"/>
  <c r="J29" i="6"/>
  <c r="B30" i="6"/>
  <c r="I30" i="6" s="1"/>
  <c r="J30" i="6" l="1"/>
  <c r="H30" i="6"/>
  <c r="F30" i="6"/>
  <c r="G30" i="6"/>
  <c r="B31" i="6"/>
  <c r="I31" i="6" s="1"/>
  <c r="B32" i="6" l="1"/>
  <c r="I32" i="6" s="1"/>
  <c r="J31" i="6"/>
  <c r="F31" i="6"/>
  <c r="H31" i="6"/>
  <c r="G31" i="6"/>
  <c r="F32" i="6" l="1"/>
  <c r="G32" i="6"/>
  <c r="H32" i="6"/>
  <c r="J32" i="6"/>
  <c r="B33" i="6"/>
  <c r="I33" i="6" s="1"/>
  <c r="G33" i="6" l="1"/>
  <c r="H33" i="6"/>
  <c r="J33" i="6"/>
  <c r="F33" i="6"/>
  <c r="B34" i="6"/>
  <c r="I34" i="6" s="1"/>
  <c r="F34" i="6" l="1"/>
  <c r="H34" i="6"/>
  <c r="J34" i="6"/>
  <c r="G34" i="6"/>
  <c r="B35" i="6"/>
  <c r="I35" i="6" s="1"/>
  <c r="F35" i="6" l="1"/>
  <c r="J35" i="6"/>
  <c r="G35" i="6"/>
  <c r="H35" i="6"/>
  <c r="B36" i="6"/>
  <c r="I36" i="6" s="1"/>
  <c r="B37" i="6" l="1"/>
  <c r="I37" i="6" s="1"/>
  <c r="F36" i="6"/>
  <c r="H36" i="6"/>
  <c r="J36" i="6"/>
  <c r="G36" i="6"/>
  <c r="F37" i="6" l="1"/>
  <c r="H37" i="6"/>
  <c r="J37" i="6"/>
  <c r="G37" i="6"/>
  <c r="B38" i="6"/>
  <c r="I38" i="6" s="1"/>
  <c r="J38" i="6" l="1"/>
  <c r="H38" i="6"/>
  <c r="F38" i="6"/>
  <c r="G38" i="6"/>
  <c r="B39" i="6"/>
  <c r="I39" i="6" s="1"/>
  <c r="B40" i="6" l="1"/>
  <c r="I40" i="6" s="1"/>
  <c r="F39" i="6"/>
  <c r="G39" i="6"/>
  <c r="H39" i="6"/>
  <c r="J39" i="6"/>
  <c r="B41" i="6" l="1"/>
  <c r="I41" i="6" s="1"/>
  <c r="H40" i="6"/>
  <c r="F40" i="6"/>
  <c r="J40" i="6"/>
  <c r="G40" i="6"/>
  <c r="B42" i="6" l="1"/>
  <c r="I42" i="6" s="1"/>
  <c r="F41" i="6"/>
  <c r="H41" i="6"/>
  <c r="J41" i="6"/>
  <c r="G41" i="6"/>
  <c r="F42" i="6" l="1"/>
  <c r="G42" i="6"/>
  <c r="J42" i="6"/>
  <c r="H42" i="6"/>
  <c r="B43" i="6"/>
  <c r="I43" i="6" s="1"/>
  <c r="F43" i="6" l="1"/>
  <c r="J43" i="6"/>
  <c r="H43" i="6"/>
  <c r="G43" i="6"/>
  <c r="B44" i="6"/>
  <c r="I44" i="6" s="1"/>
  <c r="F44" i="6" l="1"/>
  <c r="H44" i="6"/>
  <c r="G44" i="6"/>
  <c r="J44" i="6"/>
  <c r="B45" i="6"/>
  <c r="I45" i="6" s="1"/>
  <c r="B46" i="6" l="1"/>
  <c r="I46" i="6" s="1"/>
  <c r="G45" i="6"/>
  <c r="F45" i="6"/>
  <c r="H45" i="6"/>
  <c r="J45" i="6"/>
  <c r="J46" i="6" l="1"/>
  <c r="H46" i="6"/>
  <c r="F46" i="6"/>
  <c r="G46" i="6"/>
  <c r="B47" i="6"/>
  <c r="I47" i="6" s="1"/>
  <c r="H47" i="6" l="1"/>
  <c r="J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G50" i="6" l="1"/>
  <c r="F50" i="6"/>
  <c r="H50" i="6"/>
  <c r="J50" i="6"/>
  <c r="B51" i="6"/>
  <c r="I51" i="6" s="1"/>
  <c r="B52" i="6" l="1"/>
  <c r="I52" i="6" s="1"/>
  <c r="J51" i="6"/>
  <c r="G51" i="6"/>
  <c r="F51" i="6"/>
  <c r="H51" i="6"/>
  <c r="B53" i="6" l="1"/>
  <c r="I53" i="6" s="1"/>
  <c r="J52" i="6"/>
  <c r="G52" i="6"/>
  <c r="F52" i="6"/>
  <c r="H52" i="6"/>
  <c r="F53" i="6" l="1"/>
  <c r="H53" i="6"/>
  <c r="J53" i="6"/>
  <c r="G53" i="6"/>
  <c r="B54" i="6"/>
  <c r="I54" i="6" s="1"/>
  <c r="B55" i="6" l="1"/>
  <c r="I55" i="6" s="1"/>
  <c r="F54" i="6"/>
  <c r="G54" i="6"/>
  <c r="J54" i="6"/>
  <c r="H54" i="6"/>
  <c r="G55" i="6" l="1"/>
  <c r="F55" i="6"/>
  <c r="H55" i="6"/>
  <c r="J55" i="6"/>
  <c r="B56" i="6"/>
  <c r="I56" i="6" s="1"/>
  <c r="F56" i="6" l="1"/>
  <c r="J56" i="6"/>
  <c r="G56" i="6"/>
  <c r="H56" i="6"/>
  <c r="B57" i="6"/>
  <c r="I57" i="6" s="1"/>
  <c r="G57" i="6" l="1"/>
  <c r="H57" i="6"/>
  <c r="J57" i="6"/>
  <c r="F57" i="6"/>
  <c r="B58" i="6"/>
  <c r="I58" i="6" s="1"/>
  <c r="B59" i="6" l="1"/>
  <c r="I59" i="6" s="1"/>
  <c r="J58" i="6"/>
  <c r="H58" i="6"/>
  <c r="F58" i="6"/>
  <c r="G58" i="6"/>
  <c r="J59" i="6" l="1"/>
  <c r="G59" i="6"/>
  <c r="F59" i="6"/>
  <c r="H59" i="6"/>
  <c r="B60" i="6"/>
  <c r="I60" i="6" s="1"/>
  <c r="B61" i="6" l="1"/>
  <c r="I61" i="6" s="1"/>
  <c r="G60" i="6"/>
  <c r="J60" i="6"/>
  <c r="F60" i="6"/>
  <c r="H60" i="6"/>
  <c r="F61" i="6" l="1"/>
  <c r="G61" i="6"/>
  <c r="J61" i="6"/>
  <c r="H61" i="6"/>
  <c r="B62" i="6"/>
  <c r="I62" i="6" s="1"/>
  <c r="B63" i="6" l="1"/>
  <c r="I63" i="6" s="1"/>
  <c r="F62" i="6"/>
  <c r="G62" i="6"/>
  <c r="J62" i="6"/>
  <c r="H62" i="6"/>
  <c r="G63" i="6" l="1"/>
  <c r="H63" i="6"/>
  <c r="J63" i="6"/>
  <c r="F63" i="6"/>
  <c r="B64" i="6"/>
  <c r="I64" i="6" s="1"/>
  <c r="B65" i="6" l="1"/>
  <c r="I65" i="6" s="1"/>
  <c r="G64" i="6"/>
  <c r="H64" i="6"/>
  <c r="J64" i="6"/>
  <c r="F64" i="6"/>
  <c r="F65" i="6" l="1"/>
  <c r="G65" i="6"/>
  <c r="H65" i="6"/>
  <c r="J65" i="6"/>
  <c r="B66" i="6"/>
  <c r="I66" i="6" s="1"/>
  <c r="G66" i="6" l="1"/>
  <c r="F66" i="6"/>
  <c r="H66" i="6"/>
  <c r="J66" i="6"/>
  <c r="B67" i="6"/>
  <c r="I67" i="6" s="1"/>
  <c r="B68" i="6" l="1"/>
  <c r="I68" i="6" s="1"/>
  <c r="J67" i="6"/>
  <c r="G67" i="6"/>
  <c r="F67" i="6"/>
  <c r="H67" i="6"/>
  <c r="B69" i="6" l="1"/>
  <c r="I69" i="6" s="1"/>
  <c r="J68" i="6"/>
  <c r="G68" i="6"/>
  <c r="F68" i="6"/>
  <c r="H68" i="6"/>
  <c r="H69" i="6" l="1"/>
  <c r="F69" i="6"/>
  <c r="G69" i="6"/>
  <c r="J69" i="6"/>
  <c r="B70" i="6"/>
  <c r="I70" i="6" s="1"/>
  <c r="B71" i="6" l="1"/>
  <c r="I71" i="6" s="1"/>
  <c r="F70" i="6"/>
  <c r="G70" i="6"/>
  <c r="J70" i="6"/>
  <c r="H70" i="6"/>
  <c r="B72" i="6" l="1"/>
  <c r="I72" i="6" s="1"/>
  <c r="J71" i="6"/>
  <c r="F71" i="6"/>
  <c r="G71" i="6"/>
  <c r="H71" i="6"/>
  <c r="F72" i="6" l="1"/>
  <c r="J72" i="6"/>
  <c r="G72" i="6"/>
  <c r="H72" i="6"/>
  <c r="B73" i="6"/>
  <c r="I73" i="6" s="1"/>
  <c r="H73" i="6" l="1"/>
  <c r="J73" i="6"/>
  <c r="G73" i="6"/>
  <c r="F73" i="6"/>
  <c r="B74" i="6"/>
  <c r="I74" i="6" s="1"/>
  <c r="B75" i="6" l="1"/>
  <c r="I75" i="6" s="1"/>
  <c r="J74" i="6"/>
  <c r="H74" i="6"/>
  <c r="F74" i="6"/>
  <c r="G74" i="6"/>
  <c r="J75" i="6" l="1"/>
  <c r="G75" i="6"/>
  <c r="F75" i="6"/>
  <c r="H75" i="6"/>
  <c r="B76" i="6"/>
  <c r="I76" i="6" s="1"/>
  <c r="G76" i="6" l="1"/>
  <c r="H76" i="6"/>
  <c r="J76" i="6"/>
  <c r="F76" i="6"/>
  <c r="B77" i="6"/>
  <c r="I77" i="6" s="1"/>
  <c r="G77" i="6" l="1"/>
  <c r="F77" i="6"/>
  <c r="H77" i="6"/>
  <c r="J77" i="6"/>
  <c r="B78" i="6"/>
  <c r="I78" i="6" s="1"/>
  <c r="B79" i="6" l="1"/>
  <c r="I79" i="6" s="1"/>
  <c r="J78" i="6"/>
  <c r="F78" i="6"/>
  <c r="H78" i="6"/>
  <c r="G78" i="6"/>
  <c r="B80" i="6" l="1"/>
  <c r="I80" i="6" s="1"/>
  <c r="J79" i="6"/>
  <c r="F79" i="6"/>
  <c r="G79" i="6"/>
  <c r="H79" i="6"/>
  <c r="H80" i="6" l="1"/>
  <c r="G80" i="6"/>
  <c r="F80" i="6"/>
  <c r="J80" i="6"/>
  <c r="B81" i="6"/>
  <c r="I81" i="6" s="1"/>
  <c r="G81" i="6" l="1"/>
  <c r="H81" i="6"/>
  <c r="J81" i="6"/>
  <c r="F81" i="6"/>
  <c r="B82" i="6"/>
  <c r="I82" i="6" s="1"/>
  <c r="B83" i="6" l="1"/>
  <c r="I83" i="6" s="1"/>
  <c r="J82" i="6"/>
  <c r="F82" i="6"/>
  <c r="H82" i="6"/>
  <c r="G82" i="6"/>
  <c r="B84" i="6" l="1"/>
  <c r="I84" i="6" s="1"/>
  <c r="J83" i="6"/>
  <c r="F83" i="6"/>
  <c r="G83" i="6"/>
  <c r="H83" i="6"/>
  <c r="B85" i="6" l="1"/>
  <c r="I85" i="6" s="1"/>
  <c r="J84" i="6"/>
  <c r="F84" i="6"/>
  <c r="G84" i="6"/>
  <c r="H84" i="6"/>
  <c r="J85" i="6" l="1"/>
  <c r="F85" i="6"/>
  <c r="H85" i="6"/>
  <c r="G85" i="6"/>
  <c r="B86" i="6"/>
  <c r="I86" i="6" s="1"/>
  <c r="F86" i="6" l="1"/>
  <c r="J86" i="6"/>
  <c r="H86" i="6"/>
  <c r="G86" i="6"/>
  <c r="B87" i="6"/>
  <c r="I87" i="6" s="1"/>
  <c r="J87" i="6" l="1"/>
  <c r="G87" i="6"/>
  <c r="F87" i="6"/>
  <c r="H87" i="6"/>
  <c r="B88" i="6"/>
  <c r="I88" i="6" s="1"/>
  <c r="B89" i="6" l="1"/>
  <c r="I89" i="6" s="1"/>
  <c r="F88" i="6"/>
  <c r="G88" i="6"/>
  <c r="H88" i="6"/>
  <c r="J88" i="6"/>
  <c r="F89" i="6" l="1"/>
  <c r="G89" i="6"/>
  <c r="H89" i="6"/>
  <c r="J89" i="6"/>
  <c r="B90" i="6"/>
  <c r="I90" i="6" s="1"/>
  <c r="B91" i="6" l="1"/>
  <c r="I91" i="6" s="1"/>
  <c r="J90" i="6"/>
  <c r="F90" i="6"/>
  <c r="G90" i="6"/>
  <c r="H90" i="6"/>
  <c r="F91" i="6" l="1"/>
  <c r="H91" i="6"/>
  <c r="G91" i="6"/>
  <c r="J91" i="6"/>
  <c r="B92" i="6"/>
  <c r="I92" i="6" s="1"/>
  <c r="B93" i="6" l="1"/>
  <c r="I93" i="6" s="1"/>
  <c r="H92" i="6"/>
  <c r="G92" i="6"/>
  <c r="F92" i="6"/>
  <c r="J92" i="6"/>
  <c r="B94" i="6" l="1"/>
  <c r="I94" i="6" s="1"/>
  <c r="J93" i="6"/>
  <c r="H93" i="6"/>
  <c r="F93" i="6"/>
  <c r="G93" i="6"/>
  <c r="J94" i="6" l="1"/>
  <c r="H94" i="6"/>
  <c r="F94" i="6"/>
  <c r="G94" i="6"/>
  <c r="B95" i="6"/>
  <c r="I95" i="6" s="1"/>
  <c r="J95" i="6" l="1"/>
  <c r="F95" i="6"/>
  <c r="H95" i="6"/>
  <c r="G95" i="6"/>
  <c r="B96" i="6"/>
  <c r="I96" i="6" s="1"/>
  <c r="B97" i="6" l="1"/>
  <c r="I97" i="6" s="1"/>
  <c r="F96" i="6"/>
  <c r="J96" i="6"/>
  <c r="G96" i="6"/>
  <c r="H96" i="6"/>
  <c r="B98" i="6" l="1"/>
  <c r="I98" i="6" s="1"/>
  <c r="F97" i="6"/>
  <c r="G97" i="6"/>
  <c r="H97" i="6"/>
  <c r="J97" i="6"/>
  <c r="B99" i="6" l="1"/>
  <c r="I99" i="6" s="1"/>
  <c r="J98" i="6"/>
  <c r="H98" i="6"/>
  <c r="G98" i="6"/>
  <c r="F98" i="6"/>
  <c r="B100" i="6" l="1"/>
  <c r="I100" i="6" s="1"/>
  <c r="H99" i="6"/>
  <c r="J99" i="6"/>
  <c r="F99" i="6"/>
  <c r="G99" i="6"/>
  <c r="G100" i="6" l="1"/>
  <c r="H100" i="6"/>
  <c r="J100" i="6"/>
  <c r="F100" i="6"/>
  <c r="B101" i="6"/>
  <c r="I101" i="6" s="1"/>
  <c r="B102" i="6" l="1"/>
  <c r="I102" i="6" s="1"/>
  <c r="G101" i="6"/>
  <c r="J101" i="6"/>
  <c r="H101" i="6"/>
  <c r="F101" i="6"/>
  <c r="F102" i="6" l="1"/>
  <c r="H102" i="6"/>
  <c r="J102" i="6"/>
  <c r="G102" i="6"/>
  <c r="B103" i="6"/>
  <c r="I103" i="6" s="1"/>
  <c r="H103" i="6" l="1"/>
  <c r="F103" i="6"/>
  <c r="G103" i="6"/>
  <c r="J103" i="6"/>
  <c r="B104" i="6"/>
  <c r="I104" i="6" s="1"/>
  <c r="H104" i="6" l="1"/>
  <c r="G104" i="6"/>
  <c r="F104" i="6"/>
  <c r="J104" i="6"/>
  <c r="B105" i="6"/>
  <c r="I105" i="6" s="1"/>
  <c r="H105" i="6" l="1"/>
  <c r="J105" i="6"/>
  <c r="G105" i="6"/>
  <c r="F105" i="6"/>
  <c r="B106" i="6"/>
  <c r="I106" i="6" s="1"/>
  <c r="J106" i="6" l="1"/>
  <c r="G106" i="6"/>
  <c r="F106" i="6"/>
  <c r="H106" i="6"/>
  <c r="B107" i="6"/>
  <c r="I107" i="6" s="1"/>
  <c r="J107" i="6" l="1"/>
  <c r="F107" i="6"/>
  <c r="H107" i="6"/>
  <c r="G107" i="6"/>
  <c r="B108" i="6"/>
  <c r="I108" i="6" s="1"/>
  <c r="G108" i="6" l="1"/>
  <c r="H108" i="6"/>
  <c r="F108" i="6"/>
  <c r="J108" i="6"/>
  <c r="B109" i="6"/>
  <c r="I109" i="6" s="1"/>
  <c r="B110" i="6" l="1"/>
  <c r="I110" i="6" s="1"/>
  <c r="J109" i="6"/>
  <c r="G109" i="6"/>
  <c r="H109" i="6"/>
  <c r="F109" i="6"/>
  <c r="J110" i="6" l="1"/>
  <c r="F110" i="6"/>
  <c r="H110" i="6"/>
  <c r="G110" i="6"/>
  <c r="B111" i="6"/>
  <c r="I111" i="6" s="1"/>
  <c r="B112" i="6" l="1"/>
  <c r="I112" i="6" s="1"/>
  <c r="J111" i="6"/>
  <c r="G111" i="6"/>
  <c r="H111" i="6"/>
  <c r="F111" i="6"/>
  <c r="B113" i="6" l="1"/>
  <c r="I113" i="6" s="1"/>
  <c r="F112" i="6"/>
  <c r="H112" i="6"/>
  <c r="G112" i="6"/>
  <c r="J112" i="6"/>
  <c r="B114" i="6" l="1"/>
  <c r="I114" i="6" s="1"/>
  <c r="J113" i="6"/>
  <c r="F113" i="6"/>
  <c r="G113" i="6"/>
  <c r="H113" i="6"/>
  <c r="B115" i="6" l="1"/>
  <c r="I115" i="6" s="1"/>
  <c r="J114" i="6"/>
  <c r="H114" i="6"/>
  <c r="G114" i="6"/>
  <c r="F114" i="6"/>
  <c r="G115" i="6" l="1"/>
  <c r="H115" i="6"/>
  <c r="J115" i="6"/>
  <c r="F115" i="6"/>
  <c r="B116" i="6"/>
  <c r="I116" i="6" s="1"/>
  <c r="B117" i="6" l="1"/>
  <c r="I117" i="6" s="1"/>
  <c r="J116" i="6"/>
  <c r="F116" i="6"/>
  <c r="G116" i="6"/>
  <c r="H116" i="6"/>
  <c r="F117" i="6" l="1"/>
  <c r="G117" i="6"/>
  <c r="H117" i="6"/>
  <c r="J117" i="6"/>
  <c r="B118" i="6"/>
  <c r="I118" i="6" s="1"/>
  <c r="F118" i="6" l="1"/>
  <c r="H118" i="6"/>
  <c r="G118" i="6"/>
  <c r="J118" i="6"/>
  <c r="B119" i="6"/>
  <c r="I119" i="6" s="1"/>
  <c r="J119" i="6" l="1"/>
  <c r="H119" i="6"/>
  <c r="F119" i="6"/>
  <c r="G119" i="6"/>
  <c r="B120" i="6"/>
  <c r="I120" i="6" s="1"/>
  <c r="F120" i="6" l="1"/>
  <c r="H120" i="6"/>
  <c r="G120" i="6"/>
  <c r="J120" i="6"/>
  <c r="B121" i="6"/>
  <c r="I121" i="6" s="1"/>
  <c r="F121" i="6" l="1"/>
  <c r="H121" i="6"/>
  <c r="G121" i="6"/>
  <c r="J121" i="6"/>
  <c r="B122" i="6"/>
  <c r="I122" i="6" s="1"/>
  <c r="J122" i="6" l="1"/>
  <c r="F122" i="6"/>
  <c r="G122" i="6"/>
  <c r="H122" i="6"/>
  <c r="B123" i="6"/>
  <c r="I123" i="6" s="1"/>
  <c r="G123" i="6" l="1"/>
  <c r="H123" i="6"/>
  <c r="J123" i="6"/>
  <c r="F123" i="6"/>
  <c r="B124" i="6"/>
  <c r="I124" i="6" s="1"/>
  <c r="B125" i="6" l="1"/>
  <c r="I125" i="6" s="1"/>
  <c r="H124" i="6"/>
  <c r="G124" i="6"/>
  <c r="J124" i="6"/>
  <c r="F124" i="6"/>
  <c r="B126" i="6" l="1"/>
  <c r="I126" i="6" s="1"/>
  <c r="J125" i="6"/>
  <c r="G125" i="6"/>
  <c r="H125" i="6"/>
  <c r="F125" i="6"/>
  <c r="H126" i="6" l="1"/>
  <c r="F126" i="6"/>
  <c r="G126" i="6"/>
  <c r="J126" i="6"/>
  <c r="B127" i="6"/>
  <c r="I127" i="6" s="1"/>
  <c r="F127" i="6" l="1"/>
  <c r="H127" i="6"/>
  <c r="J127" i="6"/>
  <c r="G127" i="6"/>
  <c r="B128" i="6"/>
  <c r="I128" i="6" s="1"/>
  <c r="F128" i="6" l="1"/>
  <c r="G128" i="6"/>
  <c r="J128" i="6"/>
  <c r="H128" i="6"/>
  <c r="B129" i="6"/>
  <c r="I129" i="6" s="1"/>
  <c r="B130" i="6" l="1"/>
  <c r="I130" i="6" s="1"/>
  <c r="H129" i="6"/>
  <c r="J129" i="6"/>
  <c r="F129" i="6"/>
  <c r="G129" i="6"/>
  <c r="B131" i="6" l="1"/>
  <c r="I131" i="6" s="1"/>
  <c r="J130" i="6"/>
  <c r="H130" i="6"/>
  <c r="G130" i="6"/>
  <c r="F130" i="6"/>
  <c r="B133" i="6" l="1"/>
  <c r="I133" i="6" s="1"/>
  <c r="B132" i="6"/>
  <c r="I132" i="6" s="1"/>
  <c r="F131" i="6"/>
  <c r="G131" i="6"/>
  <c r="H131" i="6"/>
  <c r="J131" i="6"/>
  <c r="G132" i="6" l="1"/>
  <c r="H132" i="6"/>
  <c r="J132" i="6"/>
  <c r="F132" i="6"/>
  <c r="J133" i="6"/>
  <c r="F133" i="6"/>
  <c r="G133" i="6"/>
  <c r="H13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<sst xmlns="http://schemas.openxmlformats.org/spreadsheetml/2006/main" count="2798" uniqueCount="1020">
  <si>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</si>
  <si>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</si>
  <si>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</si>
  <si>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</si>
  <si>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</si>
  <si>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</si>
  <si>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</si>
  <si>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</si>
  <si>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</si>
  <si>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</si>
  <si>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</si>
  <si>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</si>
  <si>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</si>
  <si>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</si>
  <si>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</si>
  <si>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</si>
  <si>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</si>
  <si>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</si>
  <si>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</si>
  <si>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</si>
  <si>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</si>
  <si>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</si>
  <si>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</si>
  <si>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</si>
  <si>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</si>
  <si>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</si>
  <si>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</si>
  <si>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</si>
  <si>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</si>
  <si>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</si>
  <si>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</si>
  <si>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</si>
  <si>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</si>
  <si>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</si>
  <si>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</si>
  <si>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</si>
  <si>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</si>
  <si>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</si>
  <si>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</si>
  <si>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</si>
  <si>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</si>
  <si>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</si>
  <si>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</si>
  <si>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</si>
  <si>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</si>
  <si>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</si>
  <si>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</si>
  <si>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</si>
  <si>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</si>
  <si>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</si>
  <si>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</si>
  <si>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</si>
  <si>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</si>
  <si>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</si>
  <si>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</si>
  <si>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</si>
  <si>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</si>
  <si>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</si>
  <si>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</si>
  <si>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</si>
  <si>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</si>
  <si>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</si>
  <si>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</si>
  <si>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</si>
  <si>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</si>
  <si>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</si>
  <si>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</si>
  <si>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</si>
  <si>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</si>
  <si>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</si>
  <si>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</si>
  <si>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</si>
  <si>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</si>
  <si>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</si>
  <si>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</si>
  <si>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</si>
  <si>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</si>
  <si>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</si>
  <si>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</si>
  <si>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</si>
  <si>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</si>
  <si>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</si>
  <si>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</si>
  <si>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</si>
  <si>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</si>
  <si>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</si>
  <si>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</si>
  <si>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</si>
  <si>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</si>
  <si>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</si>
  <si>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</si>
  <si>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</si>
  <si>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</si>
  <si>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</si>
  <si>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</si>
  <si>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</si>
  <si>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</si>
  <si>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</si>
  <si>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</si>
  <si>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</si>
  <si>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</si>
  <si>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</si>
  <si>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</si>
  <si>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</si>
  <si>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</si>
  <si>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</si>
  <si>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</si>
  <si>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</si>
  <si>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</si>
  <si>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</si>
  <si>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</si>
  <si>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</si>
  <si>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</si>
  <si>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</si>
  <si>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</si>
  <si>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</si>
  <si>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</si>
  <si>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</si>
  <si>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</si>
  <si>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</si>
  <si>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</si>
  <si>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</si>
  <si>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</si>
  <si>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</si>
  <si>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</si>
  <si>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</si>
  <si>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</si>
  <si>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</si>
  <si>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</si>
  <si>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</si>
  <si>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</si>
  <si>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</si>
  <si>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</si>
  <si>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</si>
  <si>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</si>
  <si>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</si>
  <si>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</si>
  <si>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</si>
  <si>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</si>
  <si>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</si>
  <si>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</si>
  <si>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</si>
  <si>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</si>
  <si>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</si>
  <si>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</si>
  <si>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</si>
  <si>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</si>
  <si>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</si>
  <si>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</si>
  <si>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</si>
  <si>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</si>
  <si>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</si>
  <si>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</si>
  <si>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</si>
  <si>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</si>
  <si>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</si>
  <si>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</si>
  <si>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</si>
  <si>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</si>
  <si>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</si>
  <si>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</si>
  <si>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</si>
  <si>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</si>
  <si>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</si>
  <si>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</si>
  <si>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</si>
  <si>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</si>
  <si>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</si>
  <si>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</si>
  <si>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</si>
  <si>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</si>
  <si>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</si>
  <si>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</si>
  <si>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</si>
  <si>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</si>
  <si>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</si>
  <si>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</si>
  <si>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</si>
  <si>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</si>
  <si>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</si>
  <si>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</si>
  <si>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</si>
  <si>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</si>
  <si>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</si>
  <si>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</si>
  <si>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</si>
  <si>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</si>
  <si>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</si>
  <si>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</si>
  <si>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</si>
  <si>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</si>
  <si>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</si>
  <si>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</si>
  <si>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</si>
  <si>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</si>
  <si>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</si>
  <si>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</si>
  <si>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</si>
  <si>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</si>
  <si>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</si>
  <si>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</si>
  <si>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</si>
  <si>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</si>
  <si>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</si>
  <si>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</si>
  <si>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</si>
  <si>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</si>
  <si>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</si>
  <si>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</si>
  <si>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</si>
  <si>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</si>
  <si>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</si>
  <si>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</si>
  <si>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</si>
  <si>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</si>
  <si>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</si>
  <si>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</si>
  <si>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</si>
  <si>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</si>
  <si>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</si>
  <si>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</si>
  <si>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</si>
  <si>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</si>
  <si>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</si>
  <si>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</si>
  <si>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</si>
  <si>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</si>
  <si>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</si>
  <si>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</si>
  <si>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</si>
  <si>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</si>
  <si>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204:232987</t>
  </si>
  <si>
    <t>204:233299</t>
  </si>
  <si>
    <t>204:233293</t>
  </si>
  <si>
    <t>rtdc.l.rtdc.4026:itc</t>
  </si>
  <si>
    <t>204:138</t>
  </si>
  <si>
    <t>204:233304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</si>
  <si>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</si>
  <si>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</si>
  <si>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</si>
  <si>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</si>
  <si>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</si>
  <si>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</si>
  <si>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</si>
  <si>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</si>
  <si>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</si>
  <si>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</si>
  <si>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</si>
  <si>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</si>
  <si>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</si>
  <si>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</si>
  <si>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</si>
  <si>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</si>
  <si>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</si>
  <si>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204:466</t>
  </si>
  <si>
    <t>204:233295</t>
  </si>
  <si>
    <t>204:440</t>
  </si>
  <si>
    <t>204:233311</t>
  </si>
  <si>
    <t>rtdc.l.rtdc.4015:itc</t>
  </si>
  <si>
    <t>DAVIS</t>
  </si>
  <si>
    <t>rtdc.l.rtdc.4016:itc</t>
  </si>
  <si>
    <t>rtdc.l.rtdc.4029:itc</t>
  </si>
  <si>
    <t>204:451</t>
  </si>
  <si>
    <t>204:457</t>
  </si>
  <si>
    <t>300:23346</t>
  </si>
  <si>
    <t>STORY</t>
  </si>
  <si>
    <t>SAMANTHA</t>
  </si>
  <si>
    <t>204:460</t>
  </si>
  <si>
    <t>204:232996</t>
  </si>
  <si>
    <t>204:165</t>
  </si>
  <si>
    <t>204:232993</t>
  </si>
  <si>
    <t>204:161</t>
  </si>
  <si>
    <t>rtdc.l.rtdc.4039:itc</t>
  </si>
  <si>
    <t>rtdc.l.rtdc.4007:itc</t>
  </si>
  <si>
    <t>BROWN</t>
  </si>
  <si>
    <t>JACOB</t>
  </si>
  <si>
    <t>204:444</t>
  </si>
  <si>
    <t>300:23302</t>
  </si>
  <si>
    <t>300:58617</t>
  </si>
  <si>
    <t>rtdc.l.rtdc.4025:itc</t>
  </si>
  <si>
    <t>LEVERE</t>
  </si>
  <si>
    <t>CRAIG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</si>
  <si>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</si>
  <si>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</si>
  <si>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</si>
  <si>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</si>
  <si>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</si>
  <si>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</si>
  <si>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</si>
  <si>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</si>
  <si>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</si>
  <si>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</si>
  <si>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</si>
  <si>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</si>
  <si>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</si>
  <si>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</si>
  <si>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</si>
  <si>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</si>
  <si>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204:464</t>
  </si>
  <si>
    <t>204:167</t>
  </si>
  <si>
    <t>204:233310</t>
  </si>
  <si>
    <t>204:685</t>
  </si>
  <si>
    <t>237-20</t>
  </si>
  <si>
    <t>WENDY</t>
  </si>
  <si>
    <t>rtdc.l.rtdc.4043:itc</t>
  </si>
  <si>
    <t>rtdc.l.rtdc.4044:itc</t>
  </si>
  <si>
    <t>ROMERO</t>
  </si>
  <si>
    <t>CHAD</t>
  </si>
  <si>
    <t>SMITH</t>
  </si>
  <si>
    <t>STAMBAUGH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</si>
  <si>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</si>
  <si>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</si>
  <si>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</si>
  <si>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</si>
  <si>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</si>
  <si>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</si>
  <si>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</si>
  <si>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</si>
  <si>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</si>
  <si>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</si>
  <si>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</si>
  <si>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</si>
  <si>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</si>
  <si>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</si>
  <si>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</si>
  <si>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</si>
  <si>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</si>
  <si>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</si>
  <si>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</si>
  <si>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partly-cloudy-night</t>
  </si>
  <si>
    <t>Mostly Cloudy</t>
  </si>
  <si>
    <t>partly-cloudy-day</t>
  </si>
  <si>
    <t>Partly Cloudy</t>
  </si>
  <si>
    <t>204:232988</t>
  </si>
  <si>
    <t>204:232973</t>
  </si>
  <si>
    <t>204:453</t>
  </si>
  <si>
    <t>204:232965</t>
  </si>
  <si>
    <t>204:233329</t>
  </si>
  <si>
    <t>204:475</t>
  </si>
  <si>
    <t>204:473</t>
  </si>
  <si>
    <t>204:233291</t>
  </si>
  <si>
    <t>204:233006</t>
  </si>
  <si>
    <t>204:130</t>
  </si>
  <si>
    <t>204:471</t>
  </si>
  <si>
    <t>rtdc.l.rtdc.4003:itc</t>
  </si>
  <si>
    <t>OUN</t>
  </si>
  <si>
    <t>ZACK</t>
  </si>
  <si>
    <t>MAELZER</t>
  </si>
  <si>
    <t>KURT</t>
  </si>
  <si>
    <t>YORK</t>
  </si>
  <si>
    <t>EDGAR</t>
  </si>
  <si>
    <t>rtdc.l.rtdc.4004:itc</t>
  </si>
  <si>
    <t>LEVIN</t>
  </si>
  <si>
    <t>SCOTT</t>
  </si>
  <si>
    <t>CRAYTON</t>
  </si>
  <si>
    <t>QUNTRELL</t>
  </si>
  <si>
    <t>CHANDLER</t>
  </si>
  <si>
    <t>KELVIN</t>
  </si>
  <si>
    <t>204:233321</t>
  </si>
  <si>
    <t>204:233351</t>
  </si>
  <si>
    <t>204:233315</t>
  </si>
  <si>
    <t>204:233013</t>
  </si>
  <si>
    <t>204:480</t>
  </si>
  <si>
    <t>204:233002</t>
  </si>
  <si>
    <t>204:431</t>
  </si>
  <si>
    <t>204:495</t>
  </si>
  <si>
    <t>204:232980</t>
  </si>
  <si>
    <t>204:232971</t>
  </si>
  <si>
    <t>204:233344</t>
  </si>
  <si>
    <t>300:58931</t>
  </si>
  <si>
    <t>300:58613</t>
  </si>
  <si>
    <t>204:766</t>
  </si>
  <si>
    <t>204:755</t>
  </si>
  <si>
    <t>300:58928</t>
  </si>
  <si>
    <t>204:962</t>
  </si>
  <si>
    <t>204:233278</t>
  </si>
  <si>
    <t>204:233312</t>
  </si>
  <si>
    <t>204:233289</t>
  </si>
  <si>
    <t>204:170</t>
  </si>
  <si>
    <t>Form C</t>
  </si>
  <si>
    <t>Early arrival</t>
  </si>
  <si>
    <t>Banner w/o braking</t>
  </si>
  <si>
    <t>TEMPORARY SPEED RESTRICTION</t>
  </si>
  <si>
    <t>rtdc.l.rtdc.4041:itc</t>
  </si>
  <si>
    <t>242-23</t>
  </si>
  <si>
    <t>rtdc.l.rtdc.4010:itc</t>
  </si>
  <si>
    <t>BONDS</t>
  </si>
  <si>
    <t>REYNALDO</t>
  </si>
  <si>
    <t>SWANSON</t>
  </si>
  <si>
    <t>BRYCE</t>
  </si>
  <si>
    <t>rtdc.l.rtdc.4009:itc</t>
  </si>
  <si>
    <t>MOSES</t>
  </si>
  <si>
    <t>BRADLEY</t>
  </si>
  <si>
    <t>YANAI</t>
  </si>
  <si>
    <t>IAN</t>
  </si>
  <si>
    <t>BERLING</t>
  </si>
  <si>
    <t>GARY</t>
  </si>
  <si>
    <t>rtdc.l.rtdc.4042:itc</t>
  </si>
  <si>
    <t>311-23</t>
  </si>
  <si>
    <t>244-23</t>
  </si>
  <si>
    <t>313-23</t>
  </si>
  <si>
    <t>315-23</t>
  </si>
  <si>
    <t>precipType</t>
  </si>
  <si>
    <t>204:136</t>
  </si>
  <si>
    <t>204:232982</t>
  </si>
  <si>
    <t>204:232963</t>
  </si>
  <si>
    <t>204:233342</t>
  </si>
  <si>
    <t>204:477</t>
  </si>
  <si>
    <t>204:233309</t>
  </si>
  <si>
    <t>204:233303</t>
  </si>
  <si>
    <t>204:438</t>
  </si>
  <si>
    <t>204:233306</t>
  </si>
  <si>
    <t>204:232975</t>
  </si>
  <si>
    <t>204:169</t>
  </si>
  <si>
    <t>204:233001</t>
  </si>
  <si>
    <t>204:1171</t>
  </si>
  <si>
    <t>204:233301</t>
  </si>
  <si>
    <t>204:232969</t>
  </si>
  <si>
    <t>204:232994</t>
  </si>
  <si>
    <t>204:233336</t>
  </si>
  <si>
    <t>204:437</t>
  </si>
  <si>
    <t>204:467</t>
  </si>
  <si>
    <t>204:232964</t>
  </si>
  <si>
    <t>204:233274</t>
  </si>
  <si>
    <t>204:232972</t>
  </si>
  <si>
    <t>204:478</t>
  </si>
  <si>
    <t>204:233272</t>
  </si>
  <si>
    <t>204:232967</t>
  </si>
  <si>
    <t>204:233320</t>
  </si>
  <si>
    <t>204:176</t>
  </si>
  <si>
    <t>300:23310</t>
  </si>
  <si>
    <t>204:450</t>
  </si>
  <si>
    <t>204:936</t>
  </si>
  <si>
    <t>300:58692</t>
  </si>
  <si>
    <t>204:713</t>
  </si>
  <si>
    <t>204:677</t>
  </si>
  <si>
    <t>204:971</t>
  </si>
  <si>
    <t>300:58969</t>
  </si>
  <si>
    <t>204:726</t>
  </si>
  <si>
    <t>204:1020</t>
  </si>
  <si>
    <t>300:58619</t>
  </si>
  <si>
    <t>300:58937</t>
  </si>
  <si>
    <t>204:953</t>
  </si>
  <si>
    <t>300:58621</t>
  </si>
  <si>
    <t>204:643</t>
  </si>
  <si>
    <t>204:951</t>
  </si>
  <si>
    <t>300:58933</t>
  </si>
  <si>
    <t>300:58924</t>
  </si>
  <si>
    <t>300:58611</t>
  </si>
  <si>
    <t>300:58916</t>
  </si>
  <si>
    <t>300:58600</t>
  </si>
  <si>
    <t>start /low /b %USERPROFILE%\Documents\GitHub\eaglep3\Utilities\DownloadLogsFromS3.py --loco 4028 --day 2017-01-24</t>
  </si>
  <si>
    <t>start /low /b %USERPROFILE%\Documents\GitHub\eaglep3\Utilities\DownloadLogsFromS3.py --loco 4039 --day 2017-01-24</t>
  </si>
  <si>
    <t>Onboard in-route failure</t>
  </si>
  <si>
    <t>110-24</t>
  </si>
  <si>
    <t>108-24</t>
  </si>
  <si>
    <t>902-24</t>
  </si>
  <si>
    <t>112-24</t>
  </si>
  <si>
    <t>122-24</t>
  </si>
  <si>
    <t>808-24</t>
  </si>
  <si>
    <t>812-24</t>
  </si>
  <si>
    <t>139-24</t>
  </si>
  <si>
    <t>144-24</t>
  </si>
  <si>
    <t>151-24</t>
  </si>
  <si>
    <t>815-24</t>
  </si>
  <si>
    <t>152-24</t>
  </si>
  <si>
    <t>51-24</t>
  </si>
  <si>
    <t>SWITCH UNKNOWN</t>
  </si>
  <si>
    <t>Track device (7)</t>
  </si>
  <si>
    <t>156-24</t>
  </si>
  <si>
    <t>818-24</t>
  </si>
  <si>
    <t>173-24</t>
  </si>
  <si>
    <t>166-24</t>
  </si>
  <si>
    <t>168-24</t>
  </si>
  <si>
    <t>193-24</t>
  </si>
  <si>
    <t>827-24</t>
  </si>
  <si>
    <t>828-24</t>
  </si>
  <si>
    <t>188-24</t>
  </si>
  <si>
    <t>198-24</t>
  </si>
  <si>
    <t>200-24</t>
  </si>
  <si>
    <t>835-24</t>
  </si>
  <si>
    <t>58-24</t>
  </si>
  <si>
    <t>836-24</t>
  </si>
  <si>
    <t>208-24</t>
  </si>
  <si>
    <t>839-24</t>
  </si>
  <si>
    <t>841-24</t>
  </si>
  <si>
    <t>840-24</t>
  </si>
  <si>
    <t>220-24</t>
  </si>
  <si>
    <t>225-24</t>
  </si>
  <si>
    <t>845-24</t>
  </si>
  <si>
    <t>844-24</t>
  </si>
  <si>
    <t>243-24</t>
  </si>
  <si>
    <t>302-24</t>
  </si>
  <si>
    <t>101-24</t>
  </si>
  <si>
    <t>rtdc.l.rtdc.4017:itc</t>
  </si>
  <si>
    <t>304-24</t>
  </si>
  <si>
    <t>103-24</t>
  </si>
  <si>
    <t>306-24</t>
  </si>
  <si>
    <t>105-24</t>
  </si>
  <si>
    <t>102-24</t>
  </si>
  <si>
    <t>308-24</t>
  </si>
  <si>
    <t>107-24</t>
  </si>
  <si>
    <t>310-24</t>
  </si>
  <si>
    <t>104-24</t>
  </si>
  <si>
    <t>109-24</t>
  </si>
  <si>
    <t>111-24</t>
  </si>
  <si>
    <t>COOLAHAN</t>
  </si>
  <si>
    <t>JOHN</t>
  </si>
  <si>
    <t>901-24</t>
  </si>
  <si>
    <t>800-24</t>
  </si>
  <si>
    <t>106-24</t>
  </si>
  <si>
    <t>113-24</t>
  </si>
  <si>
    <t>115-24</t>
  </si>
  <si>
    <t>ROCHA</t>
  </si>
  <si>
    <t>YAOTL</t>
  </si>
  <si>
    <t>801-24</t>
  </si>
  <si>
    <t>117-24</t>
  </si>
  <si>
    <t>rtdc.l.rtdc.4018:itc</t>
  </si>
  <si>
    <t>119-24</t>
  </si>
  <si>
    <t>CUSHING</t>
  </si>
  <si>
    <t>HARRY</t>
  </si>
  <si>
    <t>802-24</t>
  </si>
  <si>
    <t>114-24</t>
  </si>
  <si>
    <t>121-24</t>
  </si>
  <si>
    <t>803-24</t>
  </si>
  <si>
    <t>116-24</t>
  </si>
  <si>
    <t>123-24</t>
  </si>
  <si>
    <t>805-24</t>
  </si>
  <si>
    <t>804-24</t>
  </si>
  <si>
    <t>118-24</t>
  </si>
  <si>
    <t>120-24</t>
  </si>
  <si>
    <t>125-24</t>
  </si>
  <si>
    <t>SPECTOR</t>
  </si>
  <si>
    <t>127-24</t>
  </si>
  <si>
    <t>806-24</t>
  </si>
  <si>
    <t>129-24</t>
  </si>
  <si>
    <t>807-24</t>
  </si>
  <si>
    <t>124-24</t>
  </si>
  <si>
    <t>131-24</t>
  </si>
  <si>
    <t>809-24</t>
  </si>
  <si>
    <t>133-24</t>
  </si>
  <si>
    <t>126-24</t>
  </si>
  <si>
    <t>135-24</t>
  </si>
  <si>
    <t>128-24</t>
  </si>
  <si>
    <t>137-24</t>
  </si>
  <si>
    <t>810-24</t>
  </si>
  <si>
    <t>130-24</t>
  </si>
  <si>
    <t>811-24</t>
  </si>
  <si>
    <t>132-24</t>
  </si>
  <si>
    <t>903-24</t>
  </si>
  <si>
    <t>134-24</t>
  </si>
  <si>
    <t>136-24</t>
  </si>
  <si>
    <t>141-24</t>
  </si>
  <si>
    <t>143-24</t>
  </si>
  <si>
    <t>138-24</t>
  </si>
  <si>
    <t>145-24</t>
  </si>
  <si>
    <t>813-24</t>
  </si>
  <si>
    <t>140-24</t>
  </si>
  <si>
    <t>147-24</t>
  </si>
  <si>
    <t>142-24</t>
  </si>
  <si>
    <t>149-24</t>
  </si>
  <si>
    <t>146-24</t>
  </si>
  <si>
    <t>50-24</t>
  </si>
  <si>
    <t>148-24</t>
  </si>
  <si>
    <t>155-24</t>
  </si>
  <si>
    <t>816-24</t>
  </si>
  <si>
    <t>150-24</t>
  </si>
  <si>
    <t>157-24</t>
  </si>
  <si>
    <t>DE LA ROSA</t>
  </si>
  <si>
    <t>ALEX</t>
  </si>
  <si>
    <t>159-24</t>
  </si>
  <si>
    <t>HAITHCOX</t>
  </si>
  <si>
    <t>YOUNG</t>
  </si>
  <si>
    <t>ELIZABETH</t>
  </si>
  <si>
    <t>52-24</t>
  </si>
  <si>
    <t>161-24</t>
  </si>
  <si>
    <t>817-24</t>
  </si>
  <si>
    <t>163-24</t>
  </si>
  <si>
    <t>158-24</t>
  </si>
  <si>
    <t>165-24</t>
  </si>
  <si>
    <t>HOLCOMB</t>
  </si>
  <si>
    <t>KAMDEN</t>
  </si>
  <si>
    <t>167-24</t>
  </si>
  <si>
    <t>160-24</t>
  </si>
  <si>
    <t>55-24</t>
  </si>
  <si>
    <t>162-24</t>
  </si>
  <si>
    <t>819-24</t>
  </si>
  <si>
    <t>169-24</t>
  </si>
  <si>
    <t>53-24</t>
  </si>
  <si>
    <t>164-24</t>
  </si>
  <si>
    <t>171-24</t>
  </si>
  <si>
    <t>BRANNON</t>
  </si>
  <si>
    <t>JEFFREY</t>
  </si>
  <si>
    <t>820-24</t>
  </si>
  <si>
    <t>170-24</t>
  </si>
  <si>
    <t>175-24</t>
  </si>
  <si>
    <t>821-24</t>
  </si>
  <si>
    <t>177-24</t>
  </si>
  <si>
    <t>172-24</t>
  </si>
  <si>
    <t>179-24</t>
  </si>
  <si>
    <t>822-24</t>
  </si>
  <si>
    <t>174-24</t>
  </si>
  <si>
    <t>181-24</t>
  </si>
  <si>
    <t>176-24</t>
  </si>
  <si>
    <t>183-24</t>
  </si>
  <si>
    <t>178-24</t>
  </si>
  <si>
    <t>185-24</t>
  </si>
  <si>
    <t>823-24</t>
  </si>
  <si>
    <t>180-24</t>
  </si>
  <si>
    <t>187-24</t>
  </si>
  <si>
    <t>182-24</t>
  </si>
  <si>
    <t>824-24</t>
  </si>
  <si>
    <t>184-24</t>
  </si>
  <si>
    <t>189-24</t>
  </si>
  <si>
    <t>191-24</t>
  </si>
  <si>
    <t>186-24</t>
  </si>
  <si>
    <t>825-24</t>
  </si>
  <si>
    <t>54-24</t>
  </si>
  <si>
    <t>195-24</t>
  </si>
  <si>
    <t>826-24</t>
  </si>
  <si>
    <t>190-24</t>
  </si>
  <si>
    <t>197-24</t>
  </si>
  <si>
    <t>192-24</t>
  </si>
  <si>
    <t>199-24</t>
  </si>
  <si>
    <t>201-24</t>
  </si>
  <si>
    <t>194-24</t>
  </si>
  <si>
    <t>829-24</t>
  </si>
  <si>
    <t>196-24</t>
  </si>
  <si>
    <t>203-24</t>
  </si>
  <si>
    <t>831-24</t>
  </si>
  <si>
    <t>830-24</t>
  </si>
  <si>
    <t>205-24</t>
  </si>
  <si>
    <t>207-24</t>
  </si>
  <si>
    <t>202-24</t>
  </si>
  <si>
    <t>213-24</t>
  </si>
  <si>
    <t>832-24</t>
  </si>
  <si>
    <t>56-24</t>
  </si>
  <si>
    <t>303-24</t>
  </si>
  <si>
    <t>209-24</t>
  </si>
  <si>
    <t>833-24</t>
  </si>
  <si>
    <t>204-24</t>
  </si>
  <si>
    <t>211-24</t>
  </si>
  <si>
    <t>206-24</t>
  </si>
  <si>
    <t>834-24</t>
  </si>
  <si>
    <t>DUNCAN</t>
  </si>
  <si>
    <t>SHEILA</t>
  </si>
  <si>
    <t>59-24</t>
  </si>
  <si>
    <t>215-24</t>
  </si>
  <si>
    <t>75-24</t>
  </si>
  <si>
    <t>210-24</t>
  </si>
  <si>
    <t>837-24</t>
  </si>
  <si>
    <t>217-24</t>
  </si>
  <si>
    <t>212-24</t>
  </si>
  <si>
    <t>214-24</t>
  </si>
  <si>
    <t>219-24</t>
  </si>
  <si>
    <t>838-24</t>
  </si>
  <si>
    <t>216-24</t>
  </si>
  <si>
    <t>77-24</t>
  </si>
  <si>
    <t>221-24</t>
  </si>
  <si>
    <t>218-24</t>
  </si>
  <si>
    <t>906-24</t>
  </si>
  <si>
    <t>305-24</t>
  </si>
  <si>
    <t>223-24</t>
  </si>
  <si>
    <t>307-24</t>
  </si>
  <si>
    <t>222-24</t>
  </si>
  <si>
    <t>227-24</t>
  </si>
  <si>
    <t>843-24</t>
  </si>
  <si>
    <t>224-24</t>
  </si>
  <si>
    <t>842-24</t>
  </si>
  <si>
    <t>226-24</t>
  </si>
  <si>
    <t>229-24</t>
  </si>
  <si>
    <t>231-24</t>
  </si>
  <si>
    <t>228-24</t>
  </si>
  <si>
    <t>233-24</t>
  </si>
  <si>
    <t>230-24</t>
  </si>
  <si>
    <t>847-24</t>
  </si>
  <si>
    <t>235-24</t>
  </si>
  <si>
    <t>232-24</t>
  </si>
  <si>
    <t>908-24</t>
  </si>
  <si>
    <t>234-24</t>
  </si>
  <si>
    <t>237-24</t>
  </si>
  <si>
    <t>239-24</t>
  </si>
  <si>
    <t>236-24</t>
  </si>
  <si>
    <t>241-24</t>
  </si>
  <si>
    <t>238-24</t>
  </si>
  <si>
    <t>240-24</t>
  </si>
  <si>
    <t>61-24</t>
  </si>
  <si>
    <t>MAGEE</t>
  </si>
  <si>
    <t>KENYA</t>
  </si>
  <si>
    <t>309-24</t>
  </si>
  <si>
    <t>242-24</t>
  </si>
  <si>
    <t>311-24</t>
  </si>
  <si>
    <t>244-24</t>
  </si>
  <si>
    <t>61-25</t>
  </si>
  <si>
    <t>313-24</t>
  </si>
  <si>
    <t>60-25</t>
  </si>
  <si>
    <t>315-24</t>
  </si>
  <si>
    <t>precipAccumulation</t>
  </si>
  <si>
    <t>snow</t>
  </si>
  <si>
    <t>Flurries</t>
  </si>
  <si>
    <t>sleet</t>
  </si>
  <si>
    <t>Light Snow</t>
  </si>
  <si>
    <t>cloudy</t>
  </si>
  <si>
    <t>Overcast</t>
  </si>
  <si>
    <t>204:761</t>
  </si>
  <si>
    <t>204:233308</t>
  </si>
  <si>
    <t>204:232672</t>
  </si>
  <si>
    <t>204:786</t>
  </si>
  <si>
    <t>204:232667</t>
  </si>
  <si>
    <t>204:706</t>
  </si>
  <si>
    <t>204:233343</t>
  </si>
  <si>
    <t>204:232702</t>
  </si>
  <si>
    <t>204:18323</t>
  </si>
  <si>
    <t>204:233288</t>
  </si>
  <si>
    <t>204:232984</t>
  </si>
  <si>
    <t>204:1147</t>
  </si>
  <si>
    <t>204:128017</t>
  </si>
  <si>
    <t>204:86352</t>
  </si>
  <si>
    <t>204:765</t>
  </si>
  <si>
    <t>204:233318</t>
  </si>
  <si>
    <t>204:1167</t>
  </si>
  <si>
    <t>204:429</t>
  </si>
  <si>
    <t>204:233000</t>
  </si>
  <si>
    <t>204:710</t>
  </si>
  <si>
    <t>204:233322</t>
  </si>
  <si>
    <t>204:233314</t>
  </si>
  <si>
    <t>204:233261</t>
  </si>
  <si>
    <t>204:233298</t>
  </si>
  <si>
    <t>204:1481</t>
  </si>
  <si>
    <t>204:233017</t>
  </si>
  <si>
    <t>204:134</t>
  </si>
  <si>
    <t>204:233225</t>
  </si>
  <si>
    <t>204:232909</t>
  </si>
  <si>
    <t>204:233319</t>
  </si>
  <si>
    <t>204:232991</t>
  </si>
  <si>
    <t>204:233324</t>
  </si>
  <si>
    <t>204:232990</t>
  </si>
  <si>
    <t>204:1173</t>
  </si>
  <si>
    <t>204:233363</t>
  </si>
  <si>
    <t>204:233055</t>
  </si>
  <si>
    <t>204:233038</t>
  </si>
  <si>
    <t>204:37190</t>
  </si>
  <si>
    <t>204:11863</t>
  </si>
  <si>
    <t>204:276</t>
  </si>
  <si>
    <t>204:233323</t>
  </si>
  <si>
    <t>204:482</t>
  </si>
  <si>
    <t>204:233007</t>
  </si>
  <si>
    <t>204:1177</t>
  </si>
  <si>
    <t>204:570</t>
  </si>
  <si>
    <t>204:200</t>
  </si>
  <si>
    <t>204:293</t>
  </si>
  <si>
    <t>204:233361</t>
  </si>
  <si>
    <t>204:231982</t>
  </si>
  <si>
    <t>204:125</t>
  </si>
  <si>
    <t>204:433</t>
  </si>
  <si>
    <t>204:232950</t>
  </si>
  <si>
    <t>204:303</t>
  </si>
  <si>
    <t>204:509</t>
  </si>
  <si>
    <t>204:641</t>
  </si>
  <si>
    <t>204:1190</t>
  </si>
  <si>
    <t>204:416</t>
  </si>
  <si>
    <t>204:233347</t>
  </si>
  <si>
    <t>204:233042</t>
  </si>
  <si>
    <t>204:233283</t>
  </si>
  <si>
    <t>204:233276</t>
  </si>
  <si>
    <t>204:240</t>
  </si>
  <si>
    <t>204:232998</t>
  </si>
  <si>
    <t>204:233366</t>
  </si>
  <si>
    <t>204:233047</t>
  </si>
  <si>
    <t>204:233285</t>
  </si>
  <si>
    <t>204:232966</t>
  </si>
  <si>
    <t>204:233268</t>
  </si>
  <si>
    <t>204:233281</t>
  </si>
  <si>
    <t>204:232960</t>
  </si>
  <si>
    <t>204:172</t>
  </si>
  <si>
    <t>204:232955</t>
  </si>
  <si>
    <t>204:118</t>
  </si>
  <si>
    <t>204:201</t>
  </si>
  <si>
    <t>300:23120</t>
  </si>
  <si>
    <t>204:1188</t>
  </si>
  <si>
    <t>300:19502</t>
  </si>
  <si>
    <t>204:533</t>
  </si>
  <si>
    <t>300:23293</t>
  </si>
  <si>
    <t>300:23262</t>
  </si>
  <si>
    <t>204:101</t>
  </si>
  <si>
    <t>300:22229</t>
  </si>
  <si>
    <t>300:23291</t>
  </si>
  <si>
    <t>300:23406</t>
  </si>
  <si>
    <t>300:22144</t>
  </si>
  <si>
    <t>204:64</t>
  </si>
  <si>
    <t>300:20968</t>
  </si>
  <si>
    <t>204:1519</t>
  </si>
  <si>
    <t>300:21346</t>
  </si>
  <si>
    <t>204:1158</t>
  </si>
  <si>
    <t>300:24248</t>
  </si>
  <si>
    <t>300:23052</t>
  </si>
  <si>
    <t>204:82</t>
  </si>
  <si>
    <t>204:888</t>
  </si>
  <si>
    <t>204:3445</t>
  </si>
  <si>
    <t>300:23143</t>
  </si>
  <si>
    <t>204:144</t>
  </si>
  <si>
    <t>300:21801</t>
  </si>
  <si>
    <t>204:111322</t>
  </si>
  <si>
    <t>204:10117</t>
  </si>
  <si>
    <t>204:1160</t>
  </si>
  <si>
    <t>204:107604</t>
  </si>
  <si>
    <t>204:10351</t>
  </si>
  <si>
    <t>204:70908</t>
  </si>
  <si>
    <t>204:107598</t>
  </si>
  <si>
    <t>204:111648</t>
  </si>
  <si>
    <t>204:1169</t>
  </si>
  <si>
    <t>300:23301</t>
  </si>
  <si>
    <t>204:606</t>
  </si>
  <si>
    <t>204:738</t>
  </si>
  <si>
    <t>204:1034</t>
  </si>
  <si>
    <t>204:1111</t>
  </si>
  <si>
    <t>300:58944</t>
  </si>
  <si>
    <t>300:58623</t>
  </si>
  <si>
    <t>204:733</t>
  </si>
  <si>
    <t>204:1014</t>
  </si>
  <si>
    <t>300:58935</t>
  </si>
  <si>
    <t>300:58960</t>
  </si>
  <si>
    <t>300:58645</t>
  </si>
  <si>
    <t>204:1042</t>
  </si>
  <si>
    <t>300:58941</t>
  </si>
  <si>
    <t>300:58628</t>
  </si>
  <si>
    <t>204:834</t>
  </si>
  <si>
    <t>204:1006</t>
  </si>
  <si>
    <t>300:58952</t>
  </si>
  <si>
    <t>300:58624</t>
  </si>
  <si>
    <t>300:58973</t>
  </si>
  <si>
    <t>300:58655</t>
  </si>
  <si>
    <t>204:885</t>
  </si>
  <si>
    <t>300:58634</t>
  </si>
  <si>
    <t>300:58630</t>
  </si>
  <si>
    <t>204:748</t>
  </si>
  <si>
    <t>204:1028</t>
  </si>
  <si>
    <t>204:666</t>
  </si>
  <si>
    <t>204:955</t>
  </si>
  <si>
    <t>300:58929</t>
  </si>
  <si>
    <t>204:392</t>
  </si>
  <si>
    <t>300:58990</t>
  </si>
  <si>
    <t>300:58677</t>
  </si>
  <si>
    <t>204:638</t>
  </si>
  <si>
    <t>204:960</t>
  </si>
  <si>
    <t>300:58675</t>
  </si>
  <si>
    <t>204:682</t>
  </si>
  <si>
    <t>204:678</t>
  </si>
  <si>
    <t>300:58984</t>
  </si>
  <si>
    <t>300:58673</t>
  </si>
  <si>
    <t>204:628</t>
  </si>
  <si>
    <t>204:687</t>
  </si>
  <si>
    <t>300:59003</t>
  </si>
  <si>
    <t>300:58608</t>
  </si>
  <si>
    <t>204:657</t>
  </si>
  <si>
    <t>204:1044</t>
  </si>
  <si>
    <t>300:58920</t>
  </si>
  <si>
    <t>300:58982</t>
  </si>
  <si>
    <t>204:932</t>
  </si>
  <si>
    <t>300:30069</t>
  </si>
  <si>
    <t>300:23336</t>
  </si>
  <si>
    <t>204:813</t>
  </si>
  <si>
    <t>204:1119</t>
  </si>
  <si>
    <t>300:24263</t>
  </si>
  <si>
    <t>300:28772</t>
  </si>
  <si>
    <t>300:21750</t>
  </si>
  <si>
    <t>start /low /b %USERPROFILE%\Documents\GitHub\eaglep3\Utilities\DownloadLogsFromS3.py --loco 4026 --day 2017-01-24</t>
  </si>
  <si>
    <t>start /low /b %USERPROFILE%\Documents\GitHub\eaglep3\Utilities\DownloadLogsFromS3.py --loco 4003 --day 2017-01-24</t>
  </si>
  <si>
    <t>start /low /b %USERPROFILE%\Documents\GitHub\eaglep3\Utilities\DownloadLogsFromS3.py --loco 4039 --day 1969-12-31</t>
  </si>
  <si>
    <t>start /low /b %USERPROFILE%\Documents\GitHub\eaglep3\Utilities\DownloadLogsFromS3.py --loco 4040 --day 2017-01-24</t>
  </si>
  <si>
    <t>start /low /b %USERPROFILE%\Documents\GitHub\eaglep3\Utilities\DownloadLogsFromS3.py --loco 4010 --day 2017-01-24</t>
  </si>
  <si>
    <t>start /low /b %USERPROFILE%\Documents\GitHub\eaglep3\Utilities\DownloadLogsFromS3.py --loco 4009 --day 2017-01-24</t>
  </si>
  <si>
    <t>start /low /b %USERPROFILE%\Documents\GitHub\eaglep3\Utilities\DownloadLogsFromS3.py --loco 4003 --day 2017-01-25</t>
  </si>
  <si>
    <t>start /low /b %USERPROFILE%\Documents\GitHub\eaglep3\Utilities\DownloadLogsFromS3.py --loco 4037 --day 2017-01-24</t>
  </si>
  <si>
    <t>start /low /b %USERPROFILE%\Documents\GitHub\eaglep3\Utilities\DownloadLogsFromS3.py --loco 4004 --day 2017-01-25</t>
  </si>
  <si>
    <t>start /low /b %USERPROFILE%\Documents\GitHub\eaglep3\Utilities\DownloadLogsFromS3.py --loco 4038 --day 2017-01-24</t>
  </si>
  <si>
    <t>start /low /b %USERPROFILE%\Documents\GitHub\eaglep3\Utilities\DownloadLogsFromS3.py --loco 4052 --day 2017-01-24</t>
  </si>
  <si>
    <t>start /low /b %USERPROFILE%\Documents\GitHub\eaglep3\Utilities\DownloadLogsFromS3.py --loco 4008 --day 2017-01-25</t>
  </si>
  <si>
    <t>start /low /b %USERPROFILE%\Documents\GitHub\eaglep3\Utilities\DownloadLogsFromS3.py --loco 4028 --day 2017-01-25</t>
  </si>
  <si>
    <t>start /low /b %USERPROFILE%\Documents\GitHub\eaglep3\Utilities\DownloadLogsFromS3.py --loco 4051 --day 2017-01-24</t>
  </si>
  <si>
    <t>start /low /b %USERPROFILE%\Documents\GitHub\eaglep3\Utilities\DownloadLogsFromS3.py --loco 4038 --day 2017-01-25</t>
  </si>
  <si>
    <t>start /low /b %USERPROFILE%\Documents\GitHub\eaglep3\Utilities\DownloadLogsFromS3.py --loco 4041 --day 2017-01-24</t>
  </si>
  <si>
    <t>start /low /b %USERPROFILE%\Documents\GitHub\eaglep3\Utilities\DownloadLogsFromS3.py --loco 4043 --day 2017-01-24</t>
  </si>
  <si>
    <t>start /low /b %USERPROFILE%\Documents\GitHub\eaglep3\Utilities\DownloadLogsFromS3.py --loco 4041 --day 2017-01-25</t>
  </si>
  <si>
    <t>start /low /b %USERPROFILE%\Documents\GitHub\eaglep3\Utilities\DownloadLogsFromS3.py --loco 4044 --day 2017-01-25</t>
  </si>
  <si>
    <t>start /low /b %USERPROFILE%\Documents\GitHub\eaglep3\Utilities\DownloadLogsFromS3.py --loco 4043 --day 2017-01-25</t>
  </si>
  <si>
    <t>start /low /b %USERPROFILE%\Documents\GitHub\eaglep3\Utilities\DownloadLogsFromS3.py --loco 4042 --day 2017-01-24</t>
  </si>
  <si>
    <t>start /low /b %USERPROFILE%\Documents\GitHub\eaglep3\Utilities\DownloadLogsFromS3.py --loco 4044 --day 2017-01-24</t>
  </si>
  <si>
    <t>start /low /b %USERPROFILE%\Documents\GitHub\eaglep3\Utilities\DownloadLogsFromS3.py --loco 4042 --day 2017-01-25</t>
  </si>
  <si>
    <t>Cancelled - mechanical issues</t>
  </si>
  <si>
    <t>Cancelled - Form C delays</t>
  </si>
  <si>
    <t>Wi-MAX data drop</t>
  </si>
  <si>
    <t>Delayed by TMDS freeze</t>
  </si>
  <si>
    <t>TMDS freeze</t>
  </si>
  <si>
    <t>Cut out at Bright for DUS Main 3</t>
  </si>
  <si>
    <t>Departure delayed by Onboard in-route failure</t>
  </si>
  <si>
    <t>Delayed by Form C's</t>
  </si>
  <si>
    <t>40th 4S STOP</t>
  </si>
  <si>
    <t>61st 4S STOP</t>
  </si>
  <si>
    <t>SYS :2017/01/24 12:47:28.716:ENFORCEMENT:Reactive Enforcement Action:  Target Number: 00010047  Target Speed:  70.0  Current Speed:  75.4</t>
  </si>
  <si>
    <t>SYS :2017/01/24 12:47:28.773:ENFORCEMENT:Reactive Enforcement Action:  Target Number: 000100FE  Target Speed:  70.0  Current Speed:  75.4</t>
  </si>
  <si>
    <t>SYS :2017/01/24 12:47:29.543:ENFORCEMENT:Reactive Enforcement Action:  Target Number: 000100FD  Target Speed:  70.0  Current Speed:  75.4</t>
  </si>
  <si>
    <t>SYS :2017/01/24 12:56:10.048:ENFORCEMENT:Predictive Enforcement Action:  Target Number: 0000E006  Target Speed:   0.0  Current Speed:   5.9</t>
  </si>
  <si>
    <t>SYS :2017/01/24 12:56:10.176:ENFORCEMENT:Predictive Enforcement Action:  Target Number: 0000E006  Target Speed:   0.0  Current Speed:   5.6</t>
  </si>
  <si>
    <t>SYS :2017/01/24 12:58:08.054:ENFORCEMENT:Predictive Enforcement Action:  Target Number: 0000E005  Target Speed:   0.0  Current Speed:   1.5</t>
  </si>
  <si>
    <t>SYS :2017/01/24 12:58:08.190:ENFORCEMENT:Predictive Enforcement Action:  Target Number: 0000E005  Target Speed:   0.0  Current Speed:   1.7</t>
  </si>
  <si>
    <t>SYS :2017/01/24 12:59:29.381:ENFORCEMENT:Predictive Enforcement Action:  Target Number: 00001026  Target Speed:   0.0  Current Speed:  15.7</t>
  </si>
  <si>
    <t>SYS :2017/01/24 12:59:29.443:ENFORCEMENT:Predictive Enforcement Action:  Target Number: 00001025  Target Speed:   0.0  Current Speed:  15.7</t>
  </si>
  <si>
    <t>SYS :2017/01/24 13:00:03.438:ENFORCEMENT:Predictive Enforcement Action:  Target Number: 00001025  Target Speed:   0.0  Current Speed:   8.3</t>
  </si>
  <si>
    <t>SYS :2017/01/24 13:00:06.380:ENFORCEMENT:Predictive Enforcement Action:  Target Number: 00001026  Target Speed:   0.0  Current Speed:   8.1</t>
  </si>
  <si>
    <t>SYS :2017/01/24 13:00:36.384:ENFORCEMENT:Predictive Enforcement Action:  Target Number: 00001026  Target Speed:   0.0  Current Speed:   4.0</t>
  </si>
  <si>
    <t>SYS :2017/01/24 13:00:36.440:ENFORCEMENT:Predictive Enforcement Action:  Target Number: 00001025  Target Speed:   0.0  Current Speed:   4.7</t>
  </si>
  <si>
    <t>SYS :2017/01/24 13:11:35.100:ENFORCEMENT:Predictive Enforcement Action:  Target Number: 00006328  Target Speed:   0.0  Current Speed:  16.0</t>
  </si>
  <si>
    <t>SYS :2017/01/24 13:11:35.493:ENFORCEMENT:Predictive Enforcement Action:  Target Number: 00006333  Target Speed:   0.0  Current Speed:  16.0</t>
  </si>
  <si>
    <t>SYS :2017/01/24 13:11:35.643:ENFORCEMENT:Predictive Enforcement Action:  Target Number: 00006318  Target Speed:   0.0  Current Speed:  16.0</t>
  </si>
  <si>
    <t>SYS :2017/01/24 14:12:50.655:ENFORCEMENT:Predictive Enforcement Action:  Target Number: 00001008  Target Speed:   0.0  Current Speed:   7.3</t>
  </si>
  <si>
    <t>SYS :2017/01/24 14:45:01.060:ENFORCEMENT:Predictive Enforcement Action:  Target Number: 0000E008  Target Speed:   0.0  Current Speed:   8.2</t>
  </si>
  <si>
    <t>SYS :2017/01/24 14:45:01.178:ENFORCEMENT:Predictive Enforcement Action:  Target Number: 0000E008  Target Speed:   0.0  Current Speed:   8.2</t>
  </si>
  <si>
    <t>SYS :2017/01/24 14:48:29.450:ENFORCEMENT:Predictive Enforcement Action:  Target Number: 00010185  Target Speed:  30.0  Current Speed:  42.2</t>
  </si>
  <si>
    <t>SYS :2017/01/24 14:48:30.397:ENFORCEMENT:Predictive Enforcement Action:  Target Number: 00010189  Target Speed:  30.0  Current Speed:  41.3</t>
  </si>
  <si>
    <t>SYS :2017/01/24 15:43:14.416:ENFORCEMENT:Reactive Enforcement Action:  Target Number: 00010193  Target Speed:  15.0  Current Speed:  20.8</t>
  </si>
  <si>
    <t>SYS :2017/01/24 15:43:14.463:ENFORCEMENT:Reactive Enforcement Action:  Target Number: 0001018F  Target Speed:  15.0  Current Speed:  20.8</t>
  </si>
  <si>
    <t>SYS :2017/01/24 15:48:55.445:ENFORCEMENT:Predictive Enforcement Action:  Target Number: 00010198  Target Speed:  30.0  Current Speed:  40.2</t>
  </si>
  <si>
    <t>SYS :2017/01/24 16:09:44.744:ENFORCEMENT:Predictive Enforcement Action:  Target Number: 00001015  Target Speed:   0.0  Current Speed:   9.6</t>
  </si>
  <si>
    <t>SYS :2017/01/24 16:09:45.213:ENFORCEMENT:Predictive Enforcement Action:  Target Number: 00001005  Target Speed:   0.0  Current Speed:   9.6</t>
  </si>
  <si>
    <t>SYS :2017/01/24 16:09:45.841:ENFORCEMENT:Predictive Enforcement Action:  Target Number: 00001019  Target Speed:   0.0  Current Speed:   9.6</t>
  </si>
  <si>
    <t>SYS :2017/01/24 16:59:03.669:ENFORCEMENT:Reactive Enforcement Action:  Target Number: 00010085  Target Speed:  55.0  Current Speed:  60.4</t>
  </si>
  <si>
    <t>SYS :2017/01/24 16:59:04.274:ENFORCEMENT:Reactive Enforcement Action:  Target Number: 00010088  Target Speed:  55.0  Current Speed:  60.4</t>
  </si>
  <si>
    <t>SYS :2017/01/24 17:16:05.629:ENFORCEMENT:Predictive Enforcement Action:  Target Number: 0000E008  Target Speed:   0.0  Current Speed:   7.7</t>
  </si>
  <si>
    <t>SYS :2017/01/24 17:32:02.262:ENFORCEMENT:Predictive Enforcement Action:  Target Number: 0000E00C  Target Speed:   0.0  Current Speed:   8.2</t>
  </si>
  <si>
    <t>SYS :2017/01/24 17:32:02.671:ENFORCEMENT:Predictive Enforcement Action:  Target Number: 0000E00C  Target Speed:   0.0  Current Speed:   8.2</t>
  </si>
  <si>
    <t>SYS :2017/01/24 17:36:13.617:ENFORCEMENT:Predictive Enforcement Action:  Target Number: 0000100D  Target Speed:   0.0  Current Speed:   3.7</t>
  </si>
  <si>
    <t>SYS :2017/01/24 17:36:13.753:ENFORCEMENT:Predictive Enforcement Action:  Target Number: 00001005  Target Speed:   0.0  Current Speed:   3.5</t>
  </si>
  <si>
    <t>SYS :2017/01/24 17:36:13.840:ENFORCEMENT:Predictive Enforcement Action:  Target Number: 0000100E  Target Speed:   0.0  Current Speed:   3.7</t>
  </si>
  <si>
    <t>SYS :2017/01/24 17:43:31.654:ENFORCEMENT:Predictive Enforcement Action:  Target Number: 0000100F  Target Speed:   0.0  Current Speed:   5.5</t>
  </si>
  <si>
    <t>SYS :2017/01/24 18:11:24.178:ENFORCEMENT:Predictive Enforcement Action:  Target Number: 0000641F  Target Speed:   0.0  Current Speed:  15.4</t>
  </si>
  <si>
    <t>SYS :2017/01/24 18:11:25.058:ENFORCEMENT:Predictive Enforcement Action:  Target Number: 000063C0  Target Speed:   0.0  Current Speed:  15.4</t>
  </si>
  <si>
    <t>SYS :2017/01/24 18:12:11.056:ENFORCEMENT:Predictive Enforcement Action:  Target Number: 000063C0  Target Speed:   0.0  Current Speed:   5.6</t>
  </si>
  <si>
    <t>SYS :2017/01/24 18:12:11.180:ENFORCEMENT:Predictive Enforcement Action:  Target Number: 0000641F  Target Speed:   0.0  Current Speed:   5.6</t>
  </si>
  <si>
    <t>SYS :2017/01/24 18:30:17.053:ENFORCEMENT:Predictive Enforcement Action:  Target Number: 0000E012  Target Speed:   0.0  Current Speed:   5.7</t>
  </si>
  <si>
    <t>SYS :2017/01/24 18:30:17.190:ENFORCEMENT:Predictive Enforcement Action:  Target Number: 0000E012  Target Speed:   0.0  Current Speed:   5.9</t>
  </si>
  <si>
    <t>SYS :2017/01/24 18:38:03.060:ENFORCEMENT:Reactive Enforcement Action:  Target Number: 00004185  Target Speed:   0.0  Current Speed:  37.2</t>
  </si>
  <si>
    <t>SYS :2017/01/24 18:38:04.185:ENFORCEMENT:Reactive Enforcement Action:  Target Number: 00004184  Target Speed:   0.0  Current Speed:  37.2</t>
  </si>
  <si>
    <t>SYS :2017/01/24 18:40:03.700:ENFORCEMENT:Predictive Enforcement Action:  Target Number: 00006143  Target Speed:   0.0  Current Speed:  12.8</t>
  </si>
  <si>
    <t>SYS :2017/01/24 18:40:03.812:ENFORCEMENT:Predictive Enforcement Action:  Target Number: 0000605A  Target Speed:   0.0  Current Speed:  12.8</t>
  </si>
  <si>
    <t>SYS :2017/01/24 18:40:04.527:ENFORCEMENT:Predictive Enforcement Action:  Target Number: 000062CD  Target Speed:   0.0  Current Speed:  12.8</t>
  </si>
  <si>
    <t>SYS :2017/01/24 18:51:50.503:ENFORCEMENT:Predictive Enforcement Action:  Target Number: 0001701C  Target Speed:   9.0  Current Speed:  14.6</t>
  </si>
  <si>
    <t>SYS :2017/01/24 18:51:50.785:ENFORCEMENT:Predictive Enforcement Action:  Target Number: 0001701C  Target Speed:   9.0  Current Speed:  14.6</t>
  </si>
  <si>
    <t>SYS :2017/01/24 18:51:50.860:ENFORCEMENT:Predictive Enforcement Action:  Target Number: 0001701C  Target Speed:   9.0  Current Speed:  14.6</t>
  </si>
  <si>
    <t>SYS :2017/01/24 20:04:56.730:ENFORCEMENT:Predictive Enforcement Action:  Target Number: 00010125  Target Speed:  40.0  Current Speed:  50.9</t>
  </si>
  <si>
    <t>SYS :2017/01/24 20:19:28.370:ENFORCEMENT:Predictive Enforcement Action:  Target Number: 000100BB  Target Speed:  40.0  Current Speed:  64.7</t>
  </si>
  <si>
    <t>SYS :2017/01/24 20:19:28.669:ENFORCEMENT:Predictive Enforcement Action:  Target Number: 0001000E  Target Speed:  40.0  Current Speed:  64.7</t>
  </si>
  <si>
    <t>SYS :2017/01/24 20:19:29.155:ENFORCEMENT:Predictive Enforcement Action:  Target Number: 000100BB  Target Speed:  40.0  Current Speed:  64.7</t>
  </si>
  <si>
    <t>SYS :2017/01/24 20:22:12.924:ENFORCEMENT:Predictive Enforcement Action:  Target Number: 0000E006  Target Speed:   0.0  Current Speed:  19.0</t>
  </si>
  <si>
    <t>SYS :2017/01/24 20:22:13.432:ENFORCEMENT:Predictive Enforcement Action:  Target Number: 0000E006  Target Speed:   0.0  Current Speed:  19.2</t>
  </si>
  <si>
    <t>SYS :2017/01/24 20:36:06.347:ENFORCEMENT:Predictive Enforcement Action:  Target Number: 0000100B  Target Speed:   0.0  Current Speed:   5.9</t>
  </si>
  <si>
    <t>SYS :2017/01/24 20:36:07.140:ENFORCEMENT:Predictive Enforcement Action:  Target Number: 0000100B  Target Speed:   0.0  Current Speed:   5.9</t>
  </si>
  <si>
    <t>SYS :2017/01/24 20:36:07.261:ENFORCEMENT:Predictive Enforcement Action:  Target Number: 00001001  Target Speed:   0.0  Current Speed:   5.9</t>
  </si>
  <si>
    <t>SYS :2017/01/24 20:43:12.054:ENFORCEMENT:Predictive Enforcement Action:  Target Number: 0000102D  Target Speed:   0.0  Current Speed:   9.1</t>
  </si>
  <si>
    <t>SYS :2017/01/24 22:17:33.339:ENFORCEMENT:Predictive Enforcement Action:  Target Number: 0000100D  Target Speed:   0.0  Current Speed:   3.5</t>
  </si>
  <si>
    <t>SYS :2017/01/24 22:33:57.916:ENFORCEMENT:Predictive Enforcement Action:  Target Number: 0000100D  Target Speed:   0.0  Current Speed:   2.9</t>
  </si>
  <si>
    <t>SYS :2017/01/24 22:39:01.370:ENFORCEMENT:Predictive Enforcement Action:  Target Number: 0000E007  Target Speed:   0.0  Current Speed:  57.5</t>
  </si>
  <si>
    <t>SYS :2017/01/24 22:39:01.389:ENFORCEMENT:Predictive Enforcement Action:  Target Number: 0000E007  Target Speed:   0.0  Current Speed:  57.8</t>
  </si>
  <si>
    <t>SYS :2017/01/24 22:39:01.768:ENFORCEMENT:Predictive Enforcement Action:  Target Number: 0000E007  Target Speed:   0.0  Current Speed:  57.5</t>
  </si>
  <si>
    <t>SYS :2017/01/24 23:07:36.808:ENFORCEMENT:Predictive Enforcement Action:  Target Number: 0000100E  Target Speed:   0.0  Current Speed:   4.0</t>
  </si>
  <si>
    <t>SYS :2017/01/24 23:07:37.915:ENFORCEMENT:Predictive Enforcement Action:  Target Number: 0000100F  Target Speed:   0.0  Current Speed:   3.6</t>
  </si>
  <si>
    <t>SYS :2017/01/24 23:20:26.985:ENFORCEMENT:Predictive Enforcement Action:  Target Number: 0001700C  Target Speed:   9.0  Current Speed:  28.0</t>
  </si>
  <si>
    <t>SYS :2017/01/24 23:20:27.517:ENFORCEMENT:Predictive Enforcement Action:  Target Number: 00017002  Target Speed:   9.0  Current Speed:  27.3</t>
  </si>
  <si>
    <t>SYS :2017/01/24 23:23:23.287:ENFORCEMENT:Predictive Enforcement Action:  Target Number: 00001002  Target Speed:   0.0  Current Speed:   5.2</t>
  </si>
  <si>
    <t>SYS :2017/01/24 23:23:23.317:ENFORCEMENT:Predictive Enforcement Action:  Target Number: 00001002  Target Speed:   0.0  Current Speed:   5.2</t>
  </si>
  <si>
    <t>SYS :2017/01/24 23:23:23.411:ENFORCEMENT:Predictive Enforcement Action:  Target Number: 00001002  Target Speed:   0.0  Current Speed:   5.2</t>
  </si>
  <si>
    <t>SYS :2017/01/24 23:26:17.510:ENFORCEMENT:Predictive Enforcement Action:  Target Number: 00001003  Target Speed:   0.0  Current Speed:   6.3</t>
  </si>
  <si>
    <t>SYS :2017/01/24 23:26:17.918:ENFORCEMENT:Predictive Enforcement Action:  Target Number: 00001010  Target Speed:   0.0  Current Speed:   6.0</t>
  </si>
  <si>
    <t>SYS :2017/01/24 23:26:17.988:ENFORCEMENT:Predictive Enforcement Action:  Target Number: 00001010  Target Speed:   0.0  Current Speed:   6.3</t>
  </si>
  <si>
    <t>SYS :2017/01/24 23:43:58.717:ENFORCEMENT:Reactive Enforcement Action:  Target Number: 00010111  Target Speed:  35.0  Current Speed:  40.6</t>
  </si>
  <si>
    <t>SYS :2017/01/24 23:43:58.823:ENFORCEMENT:Reactive Enforcement Action:  Target Number: 00010093  Target Speed:  35.0  Current Speed:  40.6</t>
  </si>
  <si>
    <t>SYS :2017/01/24 23:43:59.542:ENFORCEMENT:Reactive Enforcement Action:  Target Number: 000101C7  Target Speed:  35.0  Current Speed:  40.6</t>
  </si>
  <si>
    <t>SYS :2017/01/24 23:54:19.700:ENFORCEMENT:Predictive Enforcement Action:  Target Number: 0000622A  Target Speed:   0.0  Current Speed:  11.4</t>
  </si>
  <si>
    <t>SYS :2017/01/24 23:54:19.811:ENFORCEMENT:Predictive Enforcement Action:  Target Number: 00006148  Target Speed:   0.0  Current Speed:  11.4</t>
  </si>
  <si>
    <t>SYS :2017/01/24 23:54:20.526:ENFORCEMENT:Predictive Enforcement Action:  Target Number: 000063B3  Target Speed:   0.0  Current Speed:  11.3</t>
  </si>
  <si>
    <t>SYS :2017/01/25 00:43:06.103:ENFORCEMENT:Predictive Enforcement Action:  Target Number: 0000103A  Target Speed:   0.0  Current Speed:   9.7</t>
  </si>
  <si>
    <t>SYS :2017/01/25 00:43:06.492:ENFORCEMENT:Predictive Enforcement Action:  Target Number: 0000103A  Target Speed:   0.0  Current Speed:   9.7</t>
  </si>
  <si>
    <t>SYS :2017/01/25 00:43:06.635:ENFORCEMENT:Predictive Enforcement Action:  Target Number: 00001037  Target Speed:   0.0  Current Speed:   9.6</t>
  </si>
  <si>
    <t>SYS :2017/01/25 00:55:10.820:ENFORCEMENT:Reactive Enforcement Action:  Target Number: 0000A010  Target Speed:  10.0  Current Speed:  15.6</t>
  </si>
  <si>
    <t>SYS :2017/01/25 00:55:10.932:ENFORCEMENT:Reactive Enforcement Action:  Target Number: 0000A010  Target Speed:  10.0  Current Speed:  15.6</t>
  </si>
  <si>
    <t>SYS :2017/01/25 01:07:54.802:ENFORCEMENT:Predictive Enforcement Action:  Target Number: 00001015  Target Speed:   0.0  Current Speed:   3.1</t>
  </si>
  <si>
    <t>SYS :2017/01/25 01:07:54.913:ENFORCEMENT:Predictive Enforcement Action:  Target Number: 00001016  Target Speed:   0.0  Current Speed:   3.1</t>
  </si>
  <si>
    <t>SYS :2017/01/25 01:26:30.917:ENFORCEMENT:Predictive Enforcement Action:  Target Number: 00001018  Target Speed:   0.0  Current Speed:   3.9</t>
  </si>
  <si>
    <t>SYS :2017/01/25 01:26:33.502:ENFORCEMENT:Predictive Enforcement Action:  Target Number: 0000100B  Target Speed:   0.0  Current Speed:   3.2</t>
  </si>
  <si>
    <t>SYS :2017/01/25 01:26:33.976:ENFORCEMENT:Predictive Enforcement Action:  Target Number: 00001018  Target Speed:   0.0  Current Speed:   3.2</t>
  </si>
  <si>
    <t>SYS :2017/01/25 01:40:44.425:ENFORCEMENT:Predictive Enforcement Action:  Target Number: 0000103C  Target Speed:   0.0  Current Speed:   5.2</t>
  </si>
  <si>
    <t>SYS :2017/01/25 01:40:44.588:ENFORCEMENT:Predictive Enforcement Action:  Target Number: 0000103C  Target Speed:   0.0  Current Speed:   5.2</t>
  </si>
  <si>
    <t>SYS :2017/01/25 02:05:53.808:ENFORCEMENT:Predictive Enforcement Action:  Target Number: 00001018  Target Speed:   0.0  Current Speed:   6.3</t>
  </si>
  <si>
    <t>SYS :2017/01/25 02:05:53.916:ENFORCEMENT:Predictive Enforcement Action:  Target Number: 00001019  Target Speed:   0.0  Current Speed:   6.1</t>
  </si>
  <si>
    <t>SYS :2017/01/25 02:06:55.807:ENFORCEMENT:Predictive Enforcement Action:  Target Number: 00001018  Target Speed:   0.0  Current Speed:   0.9</t>
  </si>
  <si>
    <t>SYS :2017/01/25 02:06:55.916:ENFORCEMENT:Predictive Enforcement Action:  Target Number: 00001019  Target Speed:   0.0  Current Speed:   0.7</t>
  </si>
  <si>
    <t>SYS :2017/01/25 02:34:54.551:ENFORCEMENT:Predictive Enforcement Action:  Target Number: 00001003  Target Speed:   0.0  Current Speed:   5.0</t>
  </si>
  <si>
    <t>SYS :2017/01/25 02:34:54.753:ENFORCEMENT:Predictive Enforcement Action:  Target Number: 0000101C  Target Speed:   0.0  Current Speed:   5.0</t>
  </si>
  <si>
    <t>SYS :2017/01/25 02:34:54.866:ENFORCEMENT:Predictive Enforcement Action:  Target Number: 00001025  Target Speed:   0.0  Current Speed:   5.0</t>
  </si>
  <si>
    <t>SYS :2017/01/25 02:57:26.780:ENFORCEMENT:Predictive Enforcement Action:  Target Number: 0000102F  Target Speed:   0.0  Current Speed:   5.5</t>
  </si>
  <si>
    <t>SYS :2017/01/25 02:57:26.849:ENFORCEMENT:Predictive Enforcement Action:  Target Number: 0000102F  Target Speed:   0.0  Current Speed:   5.5</t>
  </si>
  <si>
    <t>SYS :2017/01/25 02:58:15.069:ENFORCEMENT:Predictive Enforcement Action:  Target Number: 00010154  Target Speed:  30.0  Current Speed:  51.4</t>
  </si>
  <si>
    <t>SYS :2017/01/25 02:58:15.350:ENFORCEMENT:Predictive Enforcement Action:  Target Number: 00010154  Target Speed:  30.0  Current Speed:  51.4</t>
  </si>
  <si>
    <t>SYS :2017/01/25 02:58:15.736:ENFORCEMENT:Predictive Enforcement Action:  Target Number: 00010003  Target Speed:  30.0  Current Speed:  51.4</t>
  </si>
  <si>
    <t>SYS :2017/01/25 03:45:53.249:ENFORCEMENT:Predictive Enforcement Action:  Target Number: 0000100A  Target Speed:   0.0  Current Speed:   4.7</t>
  </si>
  <si>
    <t>SYS :2017/01/25 03:45:53.351:ENFORCEMENT:Predictive Enforcement Action:  Target Number: 00001014  Target Speed:   0.0  Current Speed:   4.7</t>
  </si>
  <si>
    <t>SYS :2017/01/25 03:45:54.141:ENFORCEMENT:Predictive Enforcement Action:  Target Number: 00001014  Target Speed:   0.0  Current Speed:   4.7</t>
  </si>
  <si>
    <t>SYS :2017/01/25 04:36:07.547:ENFORCEMENT:Predictive Enforcement Action:  Target Number: 00001009  Target Speed:   0.0  Current Speed:   5.7</t>
  </si>
  <si>
    <t>SYS :2017/01/25 04:36:07.864:ENFORCEMENT:Predictive Enforcement Action:  Target Number: 0000102B  Target Speed:   0.0  Current Speed:   5.7</t>
  </si>
  <si>
    <t>SYS :2017/01/25 04:36:08.748:ENFORCEMENT:Predictive Enforcement Action:  Target Number: 00001022  Target Speed:   0.0  Current Speed:   5.6</t>
  </si>
  <si>
    <t>SYS :2017/01/25 04:48:16.656:ENFORCEMENT:Reactive Enforcement Action:  Target Number: 0001002C  Target Speed:  40.0  Current Speed:  45.0</t>
  </si>
  <si>
    <t>SYS :2017/01/25 04:48:16.790:ENFORCEMENT:Reactive Enforcement Action:  Target Number: 0001015E  Target Speed:  40.0  Current Speed:  45.0</t>
  </si>
  <si>
    <t>SYS :2017/01/25 04:48:16.869:ENFORCEMENT:Reactive Enforcement Action:  Target Number: 0001015E  Target Speed:  40.0  Current Speed:  45.0</t>
  </si>
  <si>
    <t>SYS :2017/01/25 04:53:50.646:ENFORCEMENT:Reactive Enforcement Action:  Target Number: 0000A003  Target Speed:  10.0  Current Speed:  15.0</t>
  </si>
  <si>
    <t>SYS :2017/01/25 04:53:50.784:ENFORCEMENT:Reactive Enforcement Action:  Target Number: 0000A00E  Target Speed:  10.0  Current Speed:  15.0</t>
  </si>
  <si>
    <t>SYS :2017/01/25 04:53:50.852:ENFORCEMENT:Reactive Enforcement Action:  Target Number: 0000A00E  Target Speed:  10.0  Current Speed:  15.0</t>
  </si>
  <si>
    <t>SYS :2017/01/25 04:56:19.644:ENFORCEMENT:Predictive Enforcement Action:  Target Number: 0000C001  Target Speed:   0.0  Current Speed:  14.6</t>
  </si>
  <si>
    <t>SYS :2017/01/25 04:57:52.781:ENFORCEMENT:Predictive Enforcement Action:  Target Number: 00001036  Target Speed:   0.0  Current Speed:  14.9</t>
  </si>
  <si>
    <t>SYS :2017/01/25 04:57:52.849:ENFORCEMENT:Predictive Enforcement Action:  Target Number: 00001036  Target Speed:   0.0  Current Speed:  14.9</t>
  </si>
  <si>
    <t>Penalty due to CPU1 reboot @ 12:08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</si>
</sst>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4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855468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42759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42759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142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45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COUNTIFS($N$13:$N$9367,"&gt;0",$AG$13:$AG$9367,I1)</f>
        <v>136</v>
      </c>
      <c r="K5" s="41"/>
      <c r="L5" s="41"/>
      <c r="M5" s="42">
        <f>AVERAGEIFS($N$13:$N$9367,$AG$13:$AG$9367,I1)</f>
        <v>43.637745098000295</v>
      </c>
      <c r="N5" s="40">
        <f t="array" ref="N5">MIN(IF($AG$13:$AG$9367=I1,IF(ISNUMBER($N$13:$N$9367),IF($N$13:$N$9367&gt;0,$N$13:$N$9367))))</f>
        <v>35.550000001676381</v>
      </c>
      <c r="O5" s="3">
        <f t="array" ref="O5">MAX(IF($AG$13:$AG$9367=I1,IF(ISNUMBER($N$13:$N$9367),IF($N$13:$N$9367&gt;0,$N$13:$N$9367))))</f>
        <v>61.550000002607703</v>
      </c>
      <c r="P5" s="2"/>
      <c r="R5" s="76" t="s">
        <v>17</v>
      </c>
      <c r="S5" s="52">
        <f>COUNTIFS($N$13:$N$9367,"&gt;0",$AG$13:$AG$9367,R1)</f>
        <v>45</v>
      </c>
      <c r="T5" s="41"/>
      <c r="U5" s="161"/>
      <c r="V5" s="42">
        <f>AVERAGEIFS($N$13:$N$9367,$AG$13:$AG$9367,R1)</f>
        <v>15.607407407136634</v>
      </c>
      <c r="W5" s="40">
        <f t="array" ref="W5">MIN(IF($AG$13:$AG$9367=R1,IF(ISNUMBER($N$13:$N$9367),IF($N$13:$N$9367&gt;0,$N$13:$N$9367))))</f>
        <v>12.933333328692243</v>
      </c>
      <c r="X5" s="166">
        <f t="array" ref="X5">MAX(IF($AG$13:$AG$9367=R1,IF(ISNUMBER($N$13:$N$9367),IF($N$13:$N$9367&gt;0,$N$13:$N$9367))))</f>
        <v>23.699999997625127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COUNT($O$13:$O$122)</f>
        <v>0</v>
      </c>
      <c r="K6" s="41"/>
      <c r="L6" s="41"/>
      <c r="M6" s="42">
        <f>IFERROR(AVERAGE($O$13:$O$122),0)</f>
        <v>0</v>
      </c>
      <c r="N6" s="40">
        <f>MIN($O$13:$O$122)</f>
        <v>0</v>
      </c>
      <c r="O6" s="3">
        <f>MAX($O$13:$O$122)</f>
        <v>0</v>
      </c>
      <c r="P6" s="2"/>
      <c r="R6" s="77" t="s">
        <v>43</v>
      </c>
      <c r="S6" s="52">
        <f>COUNT($O$13:$O$122)</f>
        <v>0</v>
      </c>
      <c r="T6" s="41"/>
      <c r="U6" s="161"/>
      <c r="V6" s="42">
        <f>IFERROR(AVERAGE($O$13:$O$122),0)</f>
        <v>0</v>
      </c>
      <c r="W6" s="40">
        <f>MIN($O$13:$O$122)</f>
        <v>0</v>
      </c>
      <c r="X6" s="166">
        <f>MAX($O$13:$O$122)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COUNTIFS($P$13:$P$9367,"&gt;0",$AG$13:$AG$9367,I1)</f>
        <v>6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COUNTIFS($P$13:$P$9367,"&gt;0",$AG$13:$AG$9367,R1)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136</v>
      </c>
      <c r="K8" s="41"/>
      <c r="L8" s="41"/>
      <c r="M8" s="42">
        <f>M5</f>
        <v>43.637745098000295</v>
      </c>
      <c r="N8" s="40">
        <f>N5</f>
        <v>35.550000001676381</v>
      </c>
      <c r="O8" s="3">
        <f>O5</f>
        <v>61.550000002607703</v>
      </c>
      <c r="P8" s="2"/>
      <c r="R8" s="76" t="s">
        <v>16</v>
      </c>
      <c r="S8" s="52">
        <f>S5</f>
        <v>45</v>
      </c>
      <c r="T8" s="41"/>
      <c r="U8" s="161"/>
      <c r="V8" s="42">
        <f>V5</f>
        <v>15.607407407136634</v>
      </c>
      <c r="W8" s="40">
        <f>W5</f>
        <v>12.933333328692243</v>
      </c>
      <c r="X8" s="166">
        <f>X5</f>
        <v>23.699999997625127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0.95774647887323938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- 2017-01-24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AVERAGE(S13:S88)</f>
        <v>0.9932432432432432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223</v>
      </c>
      <c r="AN12" s="48" t="s">
        <v>248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493</v>
      </c>
      <c r="B13" s="7">
        <v>4007</v>
      </c>
      <c r="C13" s="22" t="s">
        <v>196</v>
      </c>
      <c r="D13" s="22" t="s">
        <v>704</v>
      </c>
      <c r="E13" s="13">
        <v>42759.130613425928</v>
      </c>
      <c r="F13" s="13">
        <v>42759.135636574072</v>
      </c>
      <c r="G13" s="7">
        <v>1</v>
      </c>
      <c r="H13" s="22" t="s">
        <v>705</v>
      </c>
      <c r="I13" s="13">
        <v>42759.167731481481</v>
      </c>
      <c r="J13" s="7">
        <v>0</v>
      </c>
      <c r="K13" s="105" t="str">
        <f t="shared" ref="K13:K76" si="0">IF(ISEVEN(B13),(B13-1)&amp;"/"&amp;B13,B13&amp;"/"&amp;(B13+1))</f>
        <v>4007/4008</v>
      </c>
      <c r="L13" s="22" t="str">
        <f>VLOOKUP(A13,'Trips&amp;Operators'!$C$1:$G$99999,5,FALSE)</f>
        <v>OUN ZACK</v>
      </c>
      <c r="M13" s="6">
        <f t="shared" ref="M13:M76" si="1">I13-F13</f>
        <v>3.2094907408463769E-2</v>
      </c>
      <c r="N13" s="7">
        <f>24*60*SUM($M13:$M13)</f>
        <v>46.216666668187827</v>
      </c>
      <c r="O13" s="7"/>
      <c r="P13" s="7"/>
      <c r="Q13" s="23"/>
      <c r="R13" s="23"/>
      <c r="S13" s="32">
        <f t="shared" ref="S13:S23" si="2">SUM(U13:U13)/IF(AG13="EC",12,1)</f>
        <v>1</v>
      </c>
      <c r="T13" s="47" t="str">
        <f t="shared" ref="T13:T76" si="3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-24T02:08:05-0700',mode:absolute,to:'2017-01-24T05:01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" s="49" t="str">
        <f t="shared" ref="W13:W76" si="5">IF(AA13&lt;IF(AG13="EC",23,5.65),"Y","N")</f>
        <v>N</v>
      </c>
      <c r="X13" s="170" t="e">
        <f t="shared" ref="X13:X44" si="6">VALUE(LEFT(AD13,4))-VALUE(LEFT(AD12,4))</f>
        <v>#VALUE!</v>
      </c>
      <c r="Y13" s="64">
        <f t="shared" ref="Y13:Y44" si="7">RIGHT(D13,LEN(D13)-4)/10000</f>
        <v>7.6100000000000001E-2</v>
      </c>
      <c r="Z13" s="64">
        <f t="shared" ref="Z13:Z44" si="8">RIGHT(H13,LEN(H13)-4)/10000</f>
        <v>23.3308</v>
      </c>
      <c r="AA13" s="64">
        <f t="shared" ref="AA13:AA76" si="9">ABS(Z13-Y13)</f>
        <v>23.2547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0">IF(LEN(A13)=6,"0"&amp;A13,A13)</f>
        <v>0101-24</v>
      </c>
      <c r="AE13" s="8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 &amp; aws s3 cp s3://rtdc.mdm.uploadarchive.raw/RTDC4007/ "%USERPROFILE%\AppData\Local\Temp\OnboardLogs"\RTDC4007\2017-01-25 --exclude "*" --recursive --include "*20170125*" &amp; "%USERPROFILE%\Documents\GitHub\mrs-test-scripts\Headless Mode &amp; Sideloading\WalkAndUnGZ.bat" "%USERPROFILE%\AppData\Local\Temp\OnboardLogs"\RTDC4007\2017-01-25</v>
      </c>
      <c r="AF13" s="84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/stypes="app*4007*20170124*" /stext=" 11:.+((SYSTEM_STATE.+slice.+state.+changed )|(ment ac)|(multiple cpu faults)|(system.+state.+changed )|(\[timeout)|(PRM\|1\|D)|(kpr)|(kdp)|(\|lc)|(penalty))" /e /r /s</v>
      </c>
      <c r="AG13" s="1" t="str">
        <f t="shared" ref="AG13:AG76" si="13">IFERROR(IF(VALUE(LEFT(AD13,2))&lt;=2,"EC",IF(OR(VALUE(LEFT(AD13,2))=8,VALUE(LEFT(AD13,2))=18),"NW","Other")),"Other")</f>
        <v>EC</v>
      </c>
      <c r="AH13" s="8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4007 --swversion DE.1.0.8.0 --startMP 204:761 --initTime 2017-01-24T03:08:05 --startdatetime 2017-01-24T03:15:19 --delay 1 --endMP 204:233308 --enddatetime 2017-01-24T04:01:32 --enforcementcount 0 &gt;&gt;C:\Users\stu\Documents\GitHub\eaglep3-reporting\EC\2017-01-24-refined-times.txt</v>
      </c>
      <c r="AI13" s="11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{"issue":{"subject":"","project_id":79,"tracker_id":40,"status_id":1,"priority_id":2,"assigned_to_id":23,"start_date":"2017-01-24","description":"","custom_fields":[{"id":1,"name":"Subdivision","value":"EC"},{"id":4,"name":"Milepost","value":"23.3308"},{"id":17,"name":"Train ID","value":"101-24"},{"id":16,"name":"Locomotive ID","value":"4007"},{"id":130,"name":"Impact","value":""},{"id":150,"name":"Time of Event (Mountain Time)","value":"04:01:32"},{"id":151,"name":"Denver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6">"start /low /b "&amp;dls3logs&amp;" --loco "&amp;B13&amp;" --day "&amp;TEXT(F13,"YYYY-MM-DD")</f>
        <v>start /low /b %USERPROFILE%\Documents\GitHub\eaglep3\Utilities\DownloadLogsFromS3.py --loco 4007 --day 2017-01-24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"%USERPROFILE%\AppData\Local\Temp\OnboardLogs"\RTDC4007\*4007*20170124* | grep -SE "(Enforcement Action)|(\[TIMEOUT)|(CHR.+\|PRM\|1\|D.+(SWITCH|SIGNAL).+UNKNOWN)" - &gt;&gt; 2017-01-24-UncaughtWiMAX.txt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499</v>
      </c>
      <c r="B14" s="7">
        <v>4037</v>
      </c>
      <c r="C14" s="22" t="s">
        <v>196</v>
      </c>
      <c r="D14" s="22" t="s">
        <v>706</v>
      </c>
      <c r="E14" s="13">
        <v>42759.173356481479</v>
      </c>
      <c r="F14" s="13">
        <v>42759.184918981482</v>
      </c>
      <c r="G14" s="7">
        <v>2</v>
      </c>
      <c r="H14" s="22" t="s">
        <v>200</v>
      </c>
      <c r="I14" s="13">
        <v>42759.216504629629</v>
      </c>
      <c r="J14" s="7">
        <v>0</v>
      </c>
      <c r="K14" s="105" t="str">
        <f t="shared" si="0"/>
        <v>4037/4038</v>
      </c>
      <c r="L14" s="22" t="str">
        <f>VLOOKUP(A14,'Trips&amp;Operators'!$C$1:$G$99999,5,FALSE)</f>
        <v>OUN ZACK</v>
      </c>
      <c r="M14" s="6">
        <f t="shared" si="1"/>
        <v>3.1585648146574385E-2</v>
      </c>
      <c r="N14" s="7">
        <f>24*60*SUM($M14:$M14)</f>
        <v>45.483333331067115</v>
      </c>
      <c r="O14" s="7"/>
      <c r="P14" s="7"/>
      <c r="Q14" s="23"/>
      <c r="R14" s="23"/>
      <c r="S14" s="32">
        <f t="shared" si="2"/>
        <v>1</v>
      </c>
      <c r="T14" s="47" t="str">
        <f t="shared" si="3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4"/>
        <v>https://d0f6bd738d7f1b3e5a7ca70fe4ff75f0.us-east-1.aws.found.io/app/kibana#/discover/Steve-Slow-Train-Analysis-(2080s-and-2083s)?_g=(refreshInterval:(display:Off,pause:!f,section:0,value:0),time:(from:'2017-01-24T03:09:38-0700',mode:absolute,to:'2017-01-24T06:11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" s="49" t="str">
        <f t="shared" si="5"/>
        <v>N</v>
      </c>
      <c r="X14" s="170">
        <f t="shared" si="6"/>
        <v>1</v>
      </c>
      <c r="Y14" s="64">
        <f t="shared" si="7"/>
        <v>23.267199999999999</v>
      </c>
      <c r="Z14" s="64">
        <f t="shared" si="8"/>
        <v>1.4999999999999999E-2</v>
      </c>
      <c r="AA14" s="64">
        <f t="shared" si="9"/>
        <v>23.252199999999998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0"/>
        <v>0102-24</v>
      </c>
      <c r="AE14" s="87" t="str">
        <f t="shared" si="11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14" s="84" t="str">
        <f t="shared" si="12"/>
        <v>"C:\Program Files (x86)\AstroGrep\AstroGrep.exe" /spath="%USERPROFILE%\AppData\Local\Temp\OnboardLogs" /stypes="app*4037*20170124*" /stext=" 12:.+((SYSTEM_STATE.+slice.+state.+changed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88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4037 --swversion DE.1.0.8.0 --startMP 204:232672 --initTime 2017-01-24T04:09:38 --startdatetime 2017-01-24T04:26:17 --delay 2 --endMP 204:150 --enddatetime 2017-01-24T05:11:46 --enforcementcount 0 &gt;&gt;C:\Users\stu\Documents\GitHub\eaglep3-reporting\EC\2017-01-24-refined-times.txt</v>
      </c>
      <c r="AI14" s="115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{"issue":{"subject":"","project_id":79,"tracker_id":40,"status_id":1,"priority_id":2,"assigned_to_id":23,"start_date":"2017-01-24","description":"","custom_fields":[{"id":1,"name":"Subdivision","value":"EC"},{"id":4,"name":"Milepost","value":"0.015"},{"id":17,"name":"Train ID","value":"102-24"},{"id":16,"name":"Locomotive ID","value":"4037"},{"id":130,"name":"Impact","value":""},{"id":150,"name":"Time of Event (Mountain Time)","value":"05:11:46"},{"id":151,"name":"Denver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19">"start /low /b "&amp;dls3logs&amp;" --loco "&amp;B14&amp;" --day "&amp;TEXT(F14,"YYYY-MM-DD")</f>
        <v>start /low /b %USERPROFILE%\Documents\GitHub\eaglep3\Utilities\DownloadLogsFromS3.py --loco 4037 --day 2017-01-24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"%USERPROFILE%\AppData\Local\Temp\OnboardLogs"\RTDC4037\*4037*20170124* | grep -SE "(Enforcement Action)|(\[TIMEOUT)|(CHR.+\|PRM\|1\|D.+(SWITCH|SIGNAL).+UNKNOWN)" - &gt;&gt; 2017-01-24-UncaughtWiMAX.txt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496</v>
      </c>
      <c r="B15" s="7">
        <v>4003</v>
      </c>
      <c r="C15" s="22" t="s">
        <v>196</v>
      </c>
      <c r="D15" s="22" t="s">
        <v>707</v>
      </c>
      <c r="E15" s="13">
        <v>42759.152372685188</v>
      </c>
      <c r="F15" s="13">
        <v>42759.1565625</v>
      </c>
      <c r="G15" s="7">
        <v>1</v>
      </c>
      <c r="H15" s="22" t="s">
        <v>408</v>
      </c>
      <c r="I15" s="13">
        <v>42759.183993055558</v>
      </c>
      <c r="J15" s="7">
        <v>0</v>
      </c>
      <c r="K15" s="105" t="str">
        <f t="shared" si="0"/>
        <v>4003/4004</v>
      </c>
      <c r="L15" s="22" t="str">
        <f>VLOOKUP(A15,'Trips&amp;Operators'!$C$1:$G$99999,5,FALSE)</f>
        <v>MAELZER KURT</v>
      </c>
      <c r="M15" s="6">
        <f t="shared" si="1"/>
        <v>2.7430555557657499E-2</v>
      </c>
      <c r="N15" s="7">
        <f>24*60*SUM($M15:$M15)</f>
        <v>39.500000003026798</v>
      </c>
      <c r="O15" s="7"/>
      <c r="P15" s="7"/>
      <c r="Q15" s="23"/>
      <c r="R15" s="23"/>
      <c r="S15" s="32">
        <f t="shared" si="2"/>
        <v>1</v>
      </c>
      <c r="T15" s="47" t="str">
        <f t="shared" si="3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4"/>
        <v>https://d0f6bd738d7f1b3e5a7ca70fe4ff75f0.us-east-1.aws.found.io/app/kibana#/discover/Steve-Slow-Train-Analysis-(2080s-and-2083s)?_g=(refreshInterval:(display:Off,pause:!f,section:0,value:0),time:(from:'2017-01-24T02:39:25-0700',mode:absolute,to:'2017-01-24T05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" s="49" t="str">
        <f t="shared" si="5"/>
        <v>N</v>
      </c>
      <c r="X15" s="170">
        <f t="shared" si="6"/>
        <v>1</v>
      </c>
      <c r="Y15" s="64">
        <f t="shared" si="7"/>
        <v>7.8600000000000003E-2</v>
      </c>
      <c r="Z15" s="64">
        <f t="shared" si="8"/>
        <v>23.3309</v>
      </c>
      <c r="AA15" s="64">
        <f t="shared" si="9"/>
        <v>23.252299999999998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0"/>
        <v>0103-24</v>
      </c>
      <c r="AE15" s="87" t="str">
        <f t="shared" si="11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15" s="84" t="str">
        <f t="shared" si="12"/>
        <v>"C:\Program Files (x86)\AstroGrep\AstroGrep.exe" /spath="%USERPROFILE%\AppData\Local\Temp\OnboardLogs" /stypes="app*4003*20170124*"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8" t="str">
        <f t="shared" si="17"/>
        <v>"%USERPROFILE%\Documents\GitHub\eaglep3\Utilities\RefineRTDCRunTimes.py" --tripid 103-24 --locoid 4003 --swversion DE.1.0.8.0 --startMP 204:786 --initTime 2017-01-24T03:39:25 --startdatetime 2017-01-24T03:45:27 --delay 1 --endMP 204:233309 --enddatetime 2017-01-24T04:24:57 --enforcementcount 0 &gt;&gt;C:\Users\stu\Documents\GitHub\eaglep3-reporting\EC\2017-01-24-refined-times.txt</v>
      </c>
      <c r="AI15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{"issue":{"subject":"","project_id":79,"tracker_id":40,"status_id":1,"priority_id":2,"assigned_to_id":23,"start_date":"2017-01-24","description":"","custom_fields":[{"id":1,"name":"Subdivision","value":"EC"},{"id":4,"name":"Milepost","value":"23.3309"},{"id":17,"name":"Train ID","value":"103-24"},{"id":16,"name":"Locomotive ID","value":"4003"},{"id":130,"name":"Impact","value":""},{"id":150,"name":"Time of Event (Mountain Time)","value":"04:24:57"},{"id":151,"name":"Denver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19"/>
        <v>start /low /b %USERPROFILE%\Documents\GitHub\eaglep3\Utilities\DownloadLogsFromS3.py --loco 4003 --day 2017-01-24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2017-01-24-UncaughtWiMAX.txt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503</v>
      </c>
      <c r="B16" s="7">
        <v>4017</v>
      </c>
      <c r="C16" s="22" t="s">
        <v>196</v>
      </c>
      <c r="D16" s="22" t="s">
        <v>708</v>
      </c>
      <c r="E16" s="13">
        <v>42759.189583333333</v>
      </c>
      <c r="F16" s="13">
        <v>42759.195613425924</v>
      </c>
      <c r="G16" s="7">
        <v>1</v>
      </c>
      <c r="H16" s="22" t="s">
        <v>205</v>
      </c>
      <c r="I16" s="13">
        <v>42759.226585648146</v>
      </c>
      <c r="J16" s="7">
        <v>0</v>
      </c>
      <c r="K16" s="105" t="str">
        <f t="shared" si="0"/>
        <v>4017/4018</v>
      </c>
      <c r="L16" s="22" t="str">
        <f>VLOOKUP(A16,'Trips&amp;Operators'!$C$1:$G$99999,5,FALSE)</f>
        <v>MAELZER KURT</v>
      </c>
      <c r="M16" s="6">
        <f t="shared" si="1"/>
        <v>3.0972222222771961E-2</v>
      </c>
      <c r="N16" s="7">
        <f>24*60*SUM($M16:$M16)</f>
        <v>44.600000000791624</v>
      </c>
      <c r="O16" s="7"/>
      <c r="P16" s="7"/>
      <c r="Q16" s="23"/>
      <c r="R16" s="23"/>
      <c r="S16" s="32">
        <f t="shared" si="2"/>
        <v>1</v>
      </c>
      <c r="T16" s="47" t="str">
        <f t="shared" si="3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4"/>
        <v>https://d0f6bd738d7f1b3e5a7ca70fe4ff75f0.us-east-1.aws.found.io/app/kibana#/discover/Steve-Slow-Train-Analysis-(2080s-and-2083s)?_g=(refreshInterval:(display:Off,pause:!f,section:0,value:0),time:(from:'2017-01-24T03:33:00-0700',mode:absolute,to:'2017-01-24T06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49" t="str">
        <f t="shared" si="5"/>
        <v>N</v>
      </c>
      <c r="X16" s="170">
        <f t="shared" si="6"/>
        <v>1</v>
      </c>
      <c r="Y16" s="64">
        <f t="shared" si="7"/>
        <v>23.2667</v>
      </c>
      <c r="Z16" s="64">
        <f t="shared" si="8"/>
        <v>1.4500000000000001E-2</v>
      </c>
      <c r="AA16" s="64">
        <f t="shared" si="9"/>
        <v>23.252199999999998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0"/>
        <v>0104-24</v>
      </c>
      <c r="AE16" s="87" t="str">
        <f t="shared" si="11"/>
        <v>aws s3 cp s3://rtdc.mdm.uploadarchive.raw/RTDC4017/ "%USERPROFILE%\AppData\Local\Temp\OnboardLogs"\RTDC4017\2017-01-24 --exclude "*" --recursive --include "*20170124*" &amp; "%USERPROFILE%\Documents\GitHub\mrs-test-scripts\Headless Mode &amp; Sideloading\WalkAndUnGZ.bat" "%USERPROFILE%\AppData\Local\Temp\OnboardLogs"\RTDC4017\2017-01-24 &amp; 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</v>
      </c>
      <c r="AF16" s="84" t="str">
        <f t="shared" si="12"/>
        <v>"C:\Program Files (x86)\AstroGrep\AstroGrep.exe" /spath="%USERPROFILE%\AppData\Local\Temp\OnboardLogs" /stypes="app*4017*20170124*"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8" t="str">
        <f t="shared" si="17"/>
        <v>"%USERPROFILE%\Documents\GitHub\eaglep3\Utilities\RefineRTDCRunTimes.py" --tripid 104-24 --locoid 4017 --swversion DE.1.0.8.0 --startMP 204:232667 --initTime 2017-01-24T04:33:00 --startdatetime 2017-01-24T04:41:41 --delay 1 --endMP 204:145 --enddatetime 2017-01-24T05:26:17 --enforcementcount 0 &gt;&gt;C:\Users\stu\Documents\GitHub\eaglep3-reporting\EC\2017-01-24-refined-times.txt</v>
      </c>
      <c r="AI16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{"issue":{"subject":"","project_id":79,"tracker_id":40,"status_id":1,"priority_id":2,"assigned_to_id":23,"start_date":"2017-01-24","description":"","custom_fields":[{"id":1,"name":"Subdivision","value":"EC"},{"id":4,"name":"Milepost","value":"0.0145"},{"id":17,"name":"Train ID","value":"104-24"},{"id":16,"name":"Locomotive ID","value":"4017"},{"id":130,"name":"Impact","value":""},{"id":150,"name":"Time of Event (Mountain Time)","value":"05:26:17"},{"id":151,"name":"Denver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19"/>
        <v>start /low /b %USERPROFILE%\Documents\GitHub\eaglep3\Utilities\DownloadLogsFromS3.py --loco 4017 --day 2017-01-24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"%USERPROFILE%\AppData\Local\Temp\OnboardLogs"\RTDC4017\*4017*20170124* | grep -SE "(Enforcement Action)|(\[TIMEOUT)|(CHR.+\|PRM\|1\|D.+(SWITCH|SIGNAL).+UNKNOWN)" - &gt;&gt; 2017-01-24-UncaughtWiMAX.txt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498</v>
      </c>
      <c r="B17" s="7">
        <v>4042</v>
      </c>
      <c r="C17" s="22" t="s">
        <v>196</v>
      </c>
      <c r="D17" s="22" t="s">
        <v>709</v>
      </c>
      <c r="E17" s="13">
        <v>42759.168090277781</v>
      </c>
      <c r="F17" s="13">
        <v>42759.177349537036</v>
      </c>
      <c r="G17" s="7">
        <v>2</v>
      </c>
      <c r="H17" s="22" t="s">
        <v>710</v>
      </c>
      <c r="I17" s="13">
        <v>42759.204375000001</v>
      </c>
      <c r="J17" s="7">
        <v>0</v>
      </c>
      <c r="K17" s="105" t="str">
        <f t="shared" si="0"/>
        <v>4041/4042</v>
      </c>
      <c r="L17" s="22" t="str">
        <f>VLOOKUP(A17,'Trips&amp;Operators'!$C$1:$G$99999,5,FALSE)</f>
        <v>YANAI IAN</v>
      </c>
      <c r="M17" s="6">
        <f t="shared" si="1"/>
        <v>2.7025462964957114E-2</v>
      </c>
      <c r="N17" s="7">
        <f>24*60*SUM($M17:$M17)</f>
        <v>38.916666669538245</v>
      </c>
      <c r="O17" s="7"/>
      <c r="P17" s="7"/>
      <c r="Q17" s="23"/>
      <c r="R17" s="23"/>
      <c r="S17" s="32">
        <f t="shared" si="2"/>
        <v>1</v>
      </c>
      <c r="T17" s="47" t="str">
        <f t="shared" si="3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4"/>
        <v>https://d0f6bd738d7f1b3e5a7ca70fe4ff75f0.us-east-1.aws.found.io/app/kibana#/discover/Steve-Slow-Train-Analysis-(2080s-and-2083s)?_g=(refreshInterval:(display:Off,pause:!f,section:0,value:0),time:(from:'2017-01-24T03:02:03-0700',mode:absolute,to:'2017-01-24T05:54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49" t="str">
        <f t="shared" si="5"/>
        <v>N</v>
      </c>
      <c r="X17" s="170">
        <f t="shared" si="6"/>
        <v>1</v>
      </c>
      <c r="Y17" s="64">
        <f t="shared" si="7"/>
        <v>7.0599999999999996E-2</v>
      </c>
      <c r="Z17" s="64">
        <f t="shared" si="8"/>
        <v>23.334299999999999</v>
      </c>
      <c r="AA17" s="64">
        <f t="shared" si="9"/>
        <v>23.2637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0"/>
        <v>0105-24</v>
      </c>
      <c r="AE17" s="87" t="str">
        <f t="shared" si="11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7" s="84" t="str">
        <f t="shared" si="12"/>
        <v>"C:\Program Files (x86)\AstroGrep\AstroGrep.exe" /spath="%USERPROFILE%\AppData\Local\Temp\OnboardLogs" /stypes="app*4042*20170124*"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8" t="str">
        <f t="shared" si="17"/>
        <v>"%USERPROFILE%\Documents\GitHub\eaglep3\Utilities\RefineRTDCRunTimes.py" --tripid 105-24 --locoid 4042 --swversion DE.1.0.8.0 --startMP 204:706 --initTime 2017-01-24T04:02:03 --startdatetime 2017-01-24T04:15:23 --delay 2 --endMP 204:233343 --enddatetime 2017-01-24T04:54:18 --enforcementcount 0 &gt;&gt;C:\Users\stu\Documents\GitHub\eaglep3-reporting\EC\2017-01-24-refined-times.txt</v>
      </c>
      <c r="AI17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{"issue":{"subject":"","project_id":79,"tracker_id":40,"status_id":1,"priority_id":2,"assigned_to_id":23,"start_date":"2017-01-24","description":"","custom_fields":[{"id":1,"name":"Subdivision","value":"EC"},{"id":4,"name":"Milepost","value":"23.3343"},{"id":17,"name":"Train ID","value":"105-24"},{"id":16,"name":"Locomotive ID","value":"4042"},{"id":130,"name":"Impact","value":""},{"id":150,"name":"Time of Event (Mountain Time)","value":"04:54:18"},{"id":151,"name":"Denver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19"/>
        <v>start /low /b %USERPROFILE%\Documents\GitHub\eaglep3\Utilities\DownloadLogsFromS3.py --loco 4042 --day 2017-01-24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"%USERPROFILE%\AppData\Local\Temp\OnboardLogs"\RTDC4042\*4042*20170124* | grep -SE "(Enforcement Action)|(\[TIMEOUT)|(CHR.+\|PRM\|1\|D.+(SWITCH|SIGNAL).+UNKNOWN)" - &gt;&gt; 2017-01-24-UncaughtWiMAX.txt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510</v>
      </c>
      <c r="B18" s="7">
        <v>4026</v>
      </c>
      <c r="C18" s="22" t="s">
        <v>196</v>
      </c>
      <c r="D18" s="22" t="s">
        <v>711</v>
      </c>
      <c r="E18" s="13">
        <v>42759.210914351854</v>
      </c>
      <c r="F18" s="13">
        <v>42759.216261574074</v>
      </c>
      <c r="G18" s="7">
        <v>1</v>
      </c>
      <c r="H18" s="22" t="s">
        <v>712</v>
      </c>
      <c r="I18" s="13">
        <v>42759.243472222224</v>
      </c>
      <c r="J18" s="7">
        <v>0</v>
      </c>
      <c r="K18" s="105" t="str">
        <f t="shared" si="0"/>
        <v>4025/4026</v>
      </c>
      <c r="L18" s="22" t="str">
        <f>VLOOKUP(A18,'Trips&amp;Operators'!$C$1:$G$99999,5,FALSE)</f>
        <v>YANAI IAN</v>
      </c>
      <c r="M18" s="6">
        <f t="shared" si="1"/>
        <v>2.7210648149775807E-2</v>
      </c>
      <c r="N18" s="7"/>
      <c r="O18" s="7"/>
      <c r="P18" s="7">
        <f>24*60*SUM($M18:$M18)</f>
        <v>39.183333335677162</v>
      </c>
      <c r="Q18" s="23"/>
      <c r="R18" s="23" t="s">
        <v>891</v>
      </c>
      <c r="S18" s="32">
        <f t="shared" si="2"/>
        <v>1</v>
      </c>
      <c r="T18" s="47" t="str">
        <f t="shared" si="3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4"/>
        <v>https://d0f6bd738d7f1b3e5a7ca70fe4ff75f0.us-east-1.aws.found.io/app/kibana#/discover/Steve-Slow-Train-Analysis-(2080s-and-2083s)?_g=(refreshInterval:(display:Off,pause:!f,section:0,value:0),time:(from:'2017-01-24T04:03:43-0700',mode:absolute,to:'2017-01-24T06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" s="49" t="str">
        <f t="shared" si="5"/>
        <v>Y</v>
      </c>
      <c r="X18" s="170">
        <f t="shared" si="6"/>
        <v>1</v>
      </c>
      <c r="Y18" s="64">
        <f t="shared" si="7"/>
        <v>23.270199999999999</v>
      </c>
      <c r="Z18" s="64">
        <f t="shared" si="8"/>
        <v>1.8323</v>
      </c>
      <c r="AA18" s="64">
        <f t="shared" si="9"/>
        <v>21.437899999999999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10"/>
        <v>0106-24</v>
      </c>
      <c r="AE18" s="87" t="str">
        <f t="shared" si="11"/>
        <v>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 &amp; aws s3 cp s3://rtdc.mdm.uploadarchive.raw/RTDC4026/ "%USERPROFILE%\AppData\Local\Temp\OnboardLogs"\RTDC4026\2017-01-25 --exclude "*" --recursive --include "*20170125*" &amp; "%USERPROFILE%\Documents\GitHub\mrs-test-scripts\Headless Mode &amp; Sideloading\WalkAndUnGZ.bat" "%USERPROFILE%\AppData\Local\Temp\OnboardLogs"\RTDC4026\2017-01-25</v>
      </c>
      <c r="AF18" s="84" t="str">
        <f t="shared" si="12"/>
        <v>"C:\Program Files (x86)\AstroGrep\AstroGrep.exe" /spath="%USERPROFILE%\AppData\Local\Temp\OnboardLogs" /stypes="app*4026*20170124*" /stext=" 12:.+((SYSTEM_STATE.+slice.+state.+changed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8" t="str">
        <f t="shared" si="17"/>
        <v>"%USERPROFILE%\Documents\GitHub\eaglep3\Utilities\RefineRTDCRunTimes.py" --tripid 106-24 --locoid 4026 --swversion DE.1.0.8.0 --startMP 204:232702 --initTime 2017-01-24T05:03:43 --startdatetime 2017-01-24T05:11:25 --delay 1 --endMP 204:18323 --enddatetime 2017-01-24T05:50:36 --enforcementcount 0 &gt;&gt;C:\Users\stu\Documents\GitHub\eaglep3-reporting\EC\2017-01-24-refined-times.txt</v>
      </c>
      <c r="AI18" s="115" t="str">
        <f t="shared" si="18"/>
        <v>echo {"issue":{"subject":"Wi-MAX data drop","project_id":79,"tracker_id":40,"status_id":1,"priority_id":2,"assigned_to_id":23,"start_date":"2017-01-24","description":"","custom_fields":[{"id":1,"name":"Subdivision","value":"EC"},{"id":4,"name":"Milepost","value":"1.8323"},{"id":17,"name":"Train ID","value":"106-24"},{"id":16,"name":"Locomotive ID","value":"4026"},{"id":130,"name":"Impact","value":""},{"id":150,"name":"Time of Event (Mountain Time)","value":"05:50:36"},{"id":151,"name":"Denver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19"/>
        <v>start /low /b %USERPROFILE%\Documents\GitHub\eaglep3\Utilities\DownloadLogsFromS3.py --loco 4026 --day 2017-01-24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"%USERPROFILE%\AppData\Local\Temp\OnboardLogs"\RTDC4026\*4026*20170124* | grep -SE "(Enforcement Action)|(\[TIMEOUT)|(CHR.+\|PRM\|1\|D.+(SWITCH|SIGNAL).+UNKNOWN)" - &gt;&gt; 2017-01-24-UncaughtWiMAX.txt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501</v>
      </c>
      <c r="B19" s="7">
        <v>4009</v>
      </c>
      <c r="C19" s="22" t="s">
        <v>196</v>
      </c>
      <c r="D19" s="22" t="s">
        <v>335</v>
      </c>
      <c r="E19" s="13">
        <v>42759.184293981481</v>
      </c>
      <c r="F19" s="13">
        <v>42759.187719907408</v>
      </c>
      <c r="G19" s="7">
        <v>1</v>
      </c>
      <c r="H19" s="22" t="s">
        <v>411</v>
      </c>
      <c r="I19" s="13">
        <v>42759.216446759259</v>
      </c>
      <c r="J19" s="7">
        <v>0</v>
      </c>
      <c r="K19" s="105" t="str">
        <f t="shared" si="0"/>
        <v>4009/4010</v>
      </c>
      <c r="L19" s="22" t="str">
        <f>VLOOKUP(A19,'Trips&amp;Operators'!$C$1:$G$99999,5,FALSE)</f>
        <v>BONDS REYNALDO</v>
      </c>
      <c r="M19" s="6">
        <f t="shared" si="1"/>
        <v>2.8726851851388346E-2</v>
      </c>
      <c r="N19" s="7">
        <f>24*60*SUM($M19:$M19)</f>
        <v>41.366666665999219</v>
      </c>
      <c r="O19" s="7"/>
      <c r="P19" s="7"/>
      <c r="Q19" s="23"/>
      <c r="R19" s="23"/>
      <c r="S19" s="32">
        <f t="shared" si="2"/>
        <v>1</v>
      </c>
      <c r="T19" s="47" t="str">
        <f t="shared" si="3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4"/>
        <v>https://d0f6bd738d7f1b3e5a7ca70fe4ff75f0.us-east-1.aws.found.io/app/kibana#/discover/Steve-Slow-Train-Analysis-(2080s-and-2083s)?_g=(refreshInterval:(display:Off,pause:!f,section:0,value:0),time:(from:'2017-01-24T03:25:23-0700',mode:absolute,to:'2017-01-24T06:11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" s="49" t="str">
        <f t="shared" si="5"/>
        <v>N</v>
      </c>
      <c r="X19" s="170">
        <f t="shared" si="6"/>
        <v>1</v>
      </c>
      <c r="Y19" s="64">
        <f t="shared" si="7"/>
        <v>4.53E-2</v>
      </c>
      <c r="Z19" s="64">
        <f t="shared" si="8"/>
        <v>23.3306</v>
      </c>
      <c r="AA19" s="64">
        <f t="shared" si="9"/>
        <v>23.285299999999999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0"/>
        <v>0107-24</v>
      </c>
      <c r="AE19" s="87" t="str">
        <f t="shared" si="11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19" s="84" t="str">
        <f t="shared" si="12"/>
        <v>"C:\Program Files (x86)\AstroGrep\AstroGrep.exe" /spath="%USERPROFILE%\AppData\Local\Temp\OnboardLogs" /stypes="app*4009*20170124*"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8" t="str">
        <f t="shared" si="17"/>
        <v>"%USERPROFILE%\Documents\GitHub\eaglep3\Utilities\RefineRTDCRunTimes.py" --tripid 107-24 --locoid 4009 --swversion DE.1.0.8.0 --startMP 204:453 --initTime 2017-01-24T04:25:23 --startdatetime 2017-01-24T04:30:19 --delay 1 --endMP 204:233306 --enddatetime 2017-01-24T05:11:41 --enforcementcount 0 &gt;&gt;C:\Users\stu\Documents\GitHub\eaglep3-reporting\EC\2017-01-24-refined-times.txt</v>
      </c>
      <c r="AI19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{"issue":{"subject":"","project_id":79,"tracker_id":40,"status_id":1,"priority_id":2,"assigned_to_id":23,"start_date":"2017-01-24","description":"","custom_fields":[{"id":1,"name":"Subdivision","value":"EC"},{"id":4,"name":"Milepost","value":"23.3306"},{"id":17,"name":"Train ID","value":"107-24"},{"id":16,"name":"Locomotive ID","value":"4009"},{"id":130,"name":"Impact","value":""},{"id":150,"name":"Time of Event (Mountain Time)","value":"05:11:41"},{"id":151,"name":"Denver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19"/>
        <v>start /low /b %USERPROFILE%\Documents\GitHub\eaglep3\Utilities\DownloadLogsFromS3.py --loco 4009 --day 2017-01-24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455</v>
      </c>
      <c r="B20" s="7">
        <v>4010</v>
      </c>
      <c r="C20" s="22" t="s">
        <v>196</v>
      </c>
      <c r="D20" s="22" t="s">
        <v>270</v>
      </c>
      <c r="E20" s="13">
        <v>42759.223541666666</v>
      </c>
      <c r="F20" s="13">
        <v>42759.226666666669</v>
      </c>
      <c r="G20" s="7">
        <v>1</v>
      </c>
      <c r="H20" s="22" t="s">
        <v>220</v>
      </c>
      <c r="I20" s="13">
        <v>42759.256122685183</v>
      </c>
      <c r="J20" s="7">
        <v>0</v>
      </c>
      <c r="K20" s="105" t="str">
        <f t="shared" si="0"/>
        <v>4009/4010</v>
      </c>
      <c r="L20" s="22" t="str">
        <f>VLOOKUP(A20,'Trips&amp;Operators'!$C$1:$G$99999,5,FALSE)</f>
        <v>BONDS REYNALDO</v>
      </c>
      <c r="M20" s="6">
        <f t="shared" si="1"/>
        <v>2.9456018513883464E-2</v>
      </c>
      <c r="N20" s="7">
        <f>24*60*SUM($M20:$M20)</f>
        <v>42.416666659992188</v>
      </c>
      <c r="O20" s="7"/>
      <c r="P20" s="7"/>
      <c r="Q20" s="23"/>
      <c r="R20" s="23"/>
      <c r="S20" s="32">
        <f t="shared" si="2"/>
        <v>1</v>
      </c>
      <c r="T20" s="47" t="str">
        <f t="shared" si="3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4"/>
        <v>https://d0f6bd738d7f1b3e5a7ca70fe4ff75f0.us-east-1.aws.found.io/app/kibana#/discover/Steve-Slow-Train-Analysis-(2080s-and-2083s)?_g=(refreshInterval:(display:Off,pause:!f,section:0,value:0),time:(from:'2017-01-24T04:21:54-0700',mode:absolute,to:'2017-01-24T07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" s="49" t="str">
        <f t="shared" si="5"/>
        <v>N</v>
      </c>
      <c r="X20" s="170">
        <f t="shared" si="6"/>
        <v>1</v>
      </c>
      <c r="Y20" s="64">
        <f t="shared" si="7"/>
        <v>23.299299999999999</v>
      </c>
      <c r="Z20" s="64">
        <f t="shared" si="8"/>
        <v>1.52E-2</v>
      </c>
      <c r="AA20" s="64">
        <f t="shared" si="9"/>
        <v>23.284099999999999</v>
      </c>
      <c r="AB20" s="61" t="str">
        <f>VLOOKUP(A20,Enforcements!$C$7:$K$16,8,0)</f>
        <v>Bulletin (2)</v>
      </c>
      <c r="AC20" s="57" t="str">
        <f>VLOOKUP(A20,Enforcements!$C$7:$E$16,3,0)</f>
        <v>GRADE CROSSING</v>
      </c>
      <c r="AD20" s="58" t="str">
        <f t="shared" si="10"/>
        <v>0108-24</v>
      </c>
      <c r="AE20" s="87" t="str">
        <f t="shared" si="11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20" s="84" t="str">
        <f t="shared" si="12"/>
        <v>"C:\Program Files (x86)\AstroGrep\AstroGrep.exe" /spath="%USERPROFILE%\AppData\Local\Temp\OnboardLogs" /stypes="app*4010*20170124*"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8" t="str">
        <f t="shared" si="17"/>
        <v>"%USERPROFILE%\Documents\GitHub\eaglep3\Utilities\RefineRTDCRunTimes.py" --tripid 108-24 --locoid 4010 --swversion DE.1.0.8.0 --startMP 204:232993 --initTime 2017-01-24T05:21:54 --startdatetime 2017-01-24T05:26:24 --delay 1 --endMP 204:152 --enddatetime 2017-01-24T06:08:49 --enforcementcount 0 &gt;&gt;C:\Users\stu\Documents\GitHub\eaglep3-reporting\EC\2017-01-24-refined-times.txt</v>
      </c>
      <c r="AI20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{"issue":{"subject":"","project_id":79,"tracker_id":40,"status_id":1,"priority_id":2,"assigned_to_id":23,"start_date":"2017-01-24","description":"","custom_fields":[{"id":1,"name":"Subdivision","value":"EC"},{"id":4,"name":"Milepost","value":"0.0152"},{"id":17,"name":"Train ID","value":"108-24"},{"id":16,"name":"Locomotive ID","value":"4010"},{"id":130,"name":"Impact","value":""},{"id":150,"name":"Time of Event (Mountain Time)","value":"06:08:49"},{"id":151,"name":"Denver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19"/>
        <v>start /low /b %USERPROFILE%\Documents\GitHub\eaglep3\Utilities\DownloadLogsFromS3.py --loco 4010 --day 2017-01-24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504</v>
      </c>
      <c r="B21" s="7">
        <v>4051</v>
      </c>
      <c r="C21" s="22" t="s">
        <v>196</v>
      </c>
      <c r="D21" s="22" t="s">
        <v>187</v>
      </c>
      <c r="E21" s="13">
        <v>42759.194340277776</v>
      </c>
      <c r="F21" s="13">
        <v>42759.19809027778</v>
      </c>
      <c r="G21" s="7">
        <v>1</v>
      </c>
      <c r="H21" s="22" t="s">
        <v>713</v>
      </c>
      <c r="I21" s="13">
        <v>42759.226863425924</v>
      </c>
      <c r="J21" s="7">
        <v>0</v>
      </c>
      <c r="K21" s="105" t="str">
        <f t="shared" si="0"/>
        <v>4051/4052</v>
      </c>
      <c r="L21" s="22" t="str">
        <f>VLOOKUP(A21,'Trips&amp;Operators'!$C$1:$G$99999,5,FALSE)</f>
        <v>DAVIS WENDY</v>
      </c>
      <c r="M21" s="6">
        <f t="shared" si="1"/>
        <v>2.8773148143955041E-2</v>
      </c>
      <c r="N21" s="7">
        <f>24*60*SUM($M21:$M21)</f>
        <v>41.433333327295259</v>
      </c>
      <c r="O21" s="7"/>
      <c r="P21" s="7"/>
      <c r="Q21" s="23"/>
      <c r="R21" s="23"/>
      <c r="S21" s="32">
        <f t="shared" si="2"/>
        <v>1</v>
      </c>
      <c r="T21" s="47" t="str">
        <f t="shared" si="3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4"/>
        <v>https://d0f6bd738d7f1b3e5a7ca70fe4ff75f0.us-east-1.aws.found.io/app/kibana#/discover/Steve-Slow-Train-Analysis-(2080s-and-2083s)?_g=(refreshInterval:(display:Off,pause:!f,section:0,value:0),time:(from:'2017-01-24T03:39:51-0700',mode:absolute,to:'2017-01-24T06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" s="49" t="str">
        <f t="shared" si="5"/>
        <v>N</v>
      </c>
      <c r="X21" s="170">
        <f t="shared" si="6"/>
        <v>1</v>
      </c>
      <c r="Y21" s="64">
        <f t="shared" si="7"/>
        <v>4.4699999999999997E-2</v>
      </c>
      <c r="Z21" s="64">
        <f t="shared" si="8"/>
        <v>23.328800000000001</v>
      </c>
      <c r="AA21" s="64">
        <f t="shared" si="9"/>
        <v>23.284100000000002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0"/>
        <v>0109-24</v>
      </c>
      <c r="AE21" s="87" t="str">
        <f t="shared" si="11"/>
        <v>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 &amp; aws s3 cp s3://rtdc.mdm.uploadarchive.raw/RTDC4051/ "%USERPROFILE%\AppData\Local\Temp\OnboardLogs"\RTDC4051\2017-01-25 --exclude "*" --recursive --include "*20170125*" &amp; "%USERPROFILE%\Documents\GitHub\mrs-test-scripts\Headless Mode &amp; Sideloading\WalkAndUnGZ.bat" "%USERPROFILE%\AppData\Local\Temp\OnboardLogs"\RTDC4051\2017-01-25</v>
      </c>
      <c r="AF21" s="84" t="str">
        <f t="shared" si="12"/>
        <v>"C:\Program Files (x86)\AstroGrep\AstroGrep.exe" /spath="%USERPROFILE%\AppData\Local\Temp\OnboardLogs" /stypes="app*4051*20170124*"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8" t="str">
        <f t="shared" si="17"/>
        <v>"%USERPROFILE%\Documents\GitHub\eaglep3\Utilities\RefineRTDCRunTimes.py" --tripid 109-24 --locoid 4051 --swversion DE.1.0.8.0 --startMP 204:447 --initTime 2017-01-24T04:39:51 --startdatetime 2017-01-24T04:45:15 --delay 1 --endMP 204:233288 --enddatetime 2017-01-24T05:26:41 --enforcementcount 0 &gt;&gt;C:\Users\stu\Documents\GitHub\eaglep3-reporting\EC\2017-01-24-refined-times.txt</v>
      </c>
      <c r="AI21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{"issue":{"subject":"","project_id":79,"tracker_id":40,"status_id":1,"priority_id":2,"assigned_to_id":23,"start_date":"2017-01-24","description":"","custom_fields":[{"id":1,"name":"Subdivision","value":"EC"},{"id":4,"name":"Milepost","value":"23.3288"},{"id":17,"name":"Train ID","value":"109-24"},{"id":16,"name":"Locomotive ID","value":"4051"},{"id":130,"name":"Impact","value":""},{"id":150,"name":"Time of Event (Mountain Time)","value":"05:26:41"},{"id":151,"name":"Denver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19"/>
        <v>start /low /b %USERPROFILE%\Documents\GitHub\eaglep3\Utilities\DownloadLogsFromS3.py --loco 4051 --day 2017-01-24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454</v>
      </c>
      <c r="B22" s="7">
        <v>4052</v>
      </c>
      <c r="C22" s="22" t="s">
        <v>196</v>
      </c>
      <c r="D22" s="22" t="s">
        <v>714</v>
      </c>
      <c r="E22" s="13">
        <v>42759.233553240738</v>
      </c>
      <c r="F22" s="13">
        <v>42759.236967592595</v>
      </c>
      <c r="G22" s="7">
        <v>1</v>
      </c>
      <c r="H22" s="22" t="s">
        <v>211</v>
      </c>
      <c r="I22" s="13">
        <v>42759.267847222225</v>
      </c>
      <c r="J22" s="7">
        <v>0</v>
      </c>
      <c r="K22" s="105" t="str">
        <f t="shared" si="0"/>
        <v>4051/4052</v>
      </c>
      <c r="L22" s="22" t="str">
        <f>VLOOKUP(A22,'Trips&amp;Operators'!$C$1:$G$99999,5,FALSE)</f>
        <v>DAVIS WENDY</v>
      </c>
      <c r="M22" s="6">
        <f t="shared" si="1"/>
        <v>3.0879629630362615E-2</v>
      </c>
      <c r="N22" s="7">
        <f>24*60*SUM($M22:$M22)</f>
        <v>44.466666667722166</v>
      </c>
      <c r="O22" s="7"/>
      <c r="P22" s="7"/>
      <c r="Q22" s="23"/>
      <c r="R22" s="23"/>
      <c r="S22" s="32">
        <f t="shared" si="2"/>
        <v>1</v>
      </c>
      <c r="T22" s="47" t="str">
        <f t="shared" si="3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4"/>
        <v>https://d0f6bd738d7f1b3e5a7ca70fe4ff75f0.us-east-1.aws.found.io/app/kibana#/discover/Steve-Slow-Train-Analysis-(2080s-and-2083s)?_g=(refreshInterval:(display:Off,pause:!f,section:0,value:0),time:(from:'2017-01-24T04:36:19-0700',mode:absolute,to:'2017-01-24T07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" s="49" t="str">
        <f t="shared" si="5"/>
        <v>N</v>
      </c>
      <c r="X22" s="170">
        <f t="shared" si="6"/>
        <v>1</v>
      </c>
      <c r="Y22" s="64">
        <f t="shared" si="7"/>
        <v>23.298400000000001</v>
      </c>
      <c r="Z22" s="64">
        <f t="shared" si="8"/>
        <v>1.47E-2</v>
      </c>
      <c r="AA22" s="64">
        <f t="shared" si="9"/>
        <v>23.2837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0"/>
        <v>0110-24</v>
      </c>
      <c r="AE22" s="87" t="str">
        <f t="shared" si="11"/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AF22" s="84" t="str">
        <f t="shared" si="12"/>
        <v>"C:\Program Files (x86)\AstroGrep\AstroGrep.exe" /spath="%USERPROFILE%\AppData\Local\Temp\OnboardLogs" /stypes="app*4052*20170124*"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8" t="str">
        <f t="shared" si="17"/>
        <v>"%USERPROFILE%\Documents\GitHub\eaglep3\Utilities\RefineRTDCRunTimes.py" --tripid 110-24 --locoid 4052 --swversion DE.1.0.8.0 --startMP 204:232984 --initTime 2017-01-24T05:36:19 --startdatetime 2017-01-24T05:41:14 --delay 1 --endMP 204:147 --enddatetime 2017-01-24T06:25:42 --enforcementcount 0 &gt;&gt;C:\Users\stu\Documents\GitHub\eaglep3-reporting\EC\2017-01-24-refined-times.txt</v>
      </c>
      <c r="AI22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{"issue":{"subject":"","project_id":79,"tracker_id":40,"status_id":1,"priority_id":2,"assigned_to_id":23,"start_date":"2017-01-24","description":"","custom_fields":[{"id":1,"name":"Subdivision","value":"EC"},{"id":4,"name":"Milepost","value":"0.0147"},{"id":17,"name":"Train ID","value":"110-24"},{"id":16,"name":"Locomotive ID","value":"4052"},{"id":130,"name":"Impact","value":""},{"id":150,"name":"Time of Event (Mountain Time)","value":"06:25:42"},{"id":151,"name":"Denver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19"/>
        <v>start /low /b %USERPROFILE%\Documents\GitHub\eaglep3\Utilities\DownloadLogsFromS3.py --loco 4052 --day 2017-01-24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505</v>
      </c>
      <c r="B23" s="7">
        <v>4027</v>
      </c>
      <c r="C23" s="22" t="s">
        <v>196</v>
      </c>
      <c r="D23" s="22" t="s">
        <v>715</v>
      </c>
      <c r="E23" s="13">
        <v>42759.198854166665</v>
      </c>
      <c r="F23" s="13">
        <v>42759.208668981482</v>
      </c>
      <c r="G23" s="7">
        <v>1</v>
      </c>
      <c r="H23" s="22" t="s">
        <v>377</v>
      </c>
      <c r="I23" s="13">
        <v>42759.240682870368</v>
      </c>
      <c r="J23" s="7">
        <v>0</v>
      </c>
      <c r="K23" s="105" t="str">
        <f t="shared" si="0"/>
        <v>4027/4028</v>
      </c>
      <c r="L23" s="22" t="str">
        <f>VLOOKUP(A23,'Trips&amp;Operators'!$C$1:$G$99999,5,FALSE)</f>
        <v>COOLAHAN JOHN</v>
      </c>
      <c r="M23" s="6">
        <f t="shared" si="1"/>
        <v>3.2013888885558117E-2</v>
      </c>
      <c r="N23" s="7">
        <f>24*60*SUM($M23:$M23)</f>
        <v>46.099999995203689</v>
      </c>
      <c r="O23" s="7"/>
      <c r="P23" s="7"/>
      <c r="Q23" s="23"/>
      <c r="R23" s="23"/>
      <c r="S23" s="32">
        <f t="shared" si="2"/>
        <v>1</v>
      </c>
      <c r="T23" s="47" t="str">
        <f t="shared" si="3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4"/>
        <v>https://d0f6bd738d7f1b3e5a7ca70fe4ff75f0.us-east-1.aws.found.io/app/kibana#/discover/Steve-Slow-Train-Analysis-(2080s-and-2083s)?_g=(refreshInterval:(display:Off,pause:!f,section:0,value:0),time:(from:'2017-01-24T03:46:21-0700',mode:absolute,to:'2017-01-24T06:46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49" t="str">
        <f t="shared" si="5"/>
        <v>N</v>
      </c>
      <c r="X23" s="170">
        <f t="shared" si="6"/>
        <v>1</v>
      </c>
      <c r="Y23" s="64">
        <f t="shared" si="7"/>
        <v>0.1147</v>
      </c>
      <c r="Z23" s="64">
        <f t="shared" si="8"/>
        <v>23.328900000000001</v>
      </c>
      <c r="AA23" s="64">
        <f t="shared" si="9"/>
        <v>23.214200000000002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0"/>
        <v>0111-24</v>
      </c>
      <c r="AE23" s="87" t="str">
        <f t="shared" si="11"/>
        <v>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 &amp; 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</v>
      </c>
      <c r="AF23" s="84" t="str">
        <f t="shared" si="12"/>
        <v>"C:\Program Files (x86)\AstroGrep\AstroGrep.exe" /spath="%USERPROFILE%\AppData\Local\Temp\OnboardLogs" /stypes="app*4027*20170124*"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8" t="str">
        <f t="shared" si="17"/>
        <v>"%USERPROFILE%\Documents\GitHub\eaglep3\Utilities\RefineRTDCRunTimes.py" --tripid 111-24 --locoid 4027 --swversion DE.1.0.8.0 --startMP 204:1147 --initTime 2017-01-24T04:46:21 --startdatetime 2017-01-24T05:00:29 --delay 1 --endMP 204:233289 --enddatetime 2017-01-24T05:46:35 --enforcementcount 0 &gt;&gt;C:\Users\stu\Documents\GitHub\eaglep3-reporting\EC\2017-01-24-refined-times.txt</v>
      </c>
      <c r="AI23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{"issue":{"subject":"","project_id":79,"tracker_id":40,"status_id":1,"priority_id":2,"assigned_to_id":23,"start_date":"2017-01-24","description":"","custom_fields":[{"id":1,"name":"Subdivision","value":"EC"},{"id":4,"name":"Milepost","value":"23.3289"},{"id":17,"name":"Train ID","value":"111-24"},{"id":16,"name":"Locomotive ID","value":"4027"},{"id":130,"name":"Impact","value":""},{"id":150,"name":"Time of Event (Mountain Time)","value":"05:46:35"},{"id":151,"name":"Denver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19"/>
        <v>start /low /b %USERPROFILE%\Documents\GitHub\eaglep3\Utilities\DownloadLogsFromS3.py --loco 4027 --day 2017-01-24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457</v>
      </c>
      <c r="B24" s="7">
        <v>4028</v>
      </c>
      <c r="C24" s="22" t="s">
        <v>196</v>
      </c>
      <c r="D24" s="22" t="s">
        <v>214</v>
      </c>
      <c r="E24" s="13">
        <v>42759.245324074072</v>
      </c>
      <c r="F24" s="13">
        <v>42759.246666666666</v>
      </c>
      <c r="G24" s="7">
        <v>1</v>
      </c>
      <c r="H24" s="22" t="s">
        <v>716</v>
      </c>
      <c r="I24" s="13">
        <v>42759.258935185186</v>
      </c>
      <c r="J24" s="7">
        <v>1</v>
      </c>
      <c r="K24" s="105" t="str">
        <f t="shared" si="0"/>
        <v>4027/4028</v>
      </c>
      <c r="L24" s="22" t="str">
        <f>VLOOKUP(A24,'Trips&amp;Operators'!$C$1:$G$99999,5,FALSE)</f>
        <v>COOLAHAN JOHN</v>
      </c>
      <c r="M24" s="6">
        <f t="shared" si="1"/>
        <v>1.226851851970423E-2</v>
      </c>
      <c r="N24" s="7"/>
      <c r="O24" s="7"/>
      <c r="P24" s="7">
        <f>24*60*SUM($M24:$M25)</f>
        <v>43.666666669305414</v>
      </c>
      <c r="Q24" s="23"/>
      <c r="R24" s="23" t="s">
        <v>893</v>
      </c>
      <c r="S24" s="32">
        <f>SUM(U24:U25)/IF(AG24="EC",12,1)</f>
        <v>0.83333333333333337</v>
      </c>
      <c r="T24" s="47" t="str">
        <f t="shared" si="3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94" t="str">
        <f t="shared" si="4"/>
        <v>https://d0f6bd738d7f1b3e5a7ca70fe4ff75f0.us-east-1.aws.found.io/app/kibana#/discover/Steve-Slow-Train-Analysis-(2080s-and-2083s)?_g=(refreshInterval:(display:Off,pause:!f,section:0,value:0),time:(from:'2017-01-24T04:53:16-0700',mode:absolute,to:'2017-01-24T07:12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" s="49" t="str">
        <f t="shared" si="5"/>
        <v>Y</v>
      </c>
      <c r="X24" s="170">
        <f t="shared" si="6"/>
        <v>1</v>
      </c>
      <c r="Y24" s="64">
        <f t="shared" si="7"/>
        <v>23.297699999999999</v>
      </c>
      <c r="Z24" s="64">
        <f t="shared" si="8"/>
        <v>12.8017</v>
      </c>
      <c r="AA24" s="64">
        <f t="shared" si="9"/>
        <v>10.495999999999999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0"/>
        <v>0112-24</v>
      </c>
      <c r="AE24" s="87" t="str">
        <f t="shared" si="11"/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AF24" s="84" t="str">
        <f t="shared" si="12"/>
        <v>"C:\Program Files (x86)\AstroGrep\AstroGrep.exe" /spath="%USERPROFILE%\AppData\Local\Temp\OnboardLogs" /stypes="app*4028*20170124*"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88" t="str">
        <f t="shared" si="17"/>
        <v>"%USERPROFILE%\Documents\GitHub\eaglep3\Utilities\RefineRTDCRunTimes.py" --tripid 112-24 --locoid 4028 --swversion DE.1.0.8.0 --startMP 204:232977 --initTime 2017-01-24T05:53:16 --startdatetime 2017-01-24T05:55:12 --delay 1 --endMP 204:128017 --enddatetime 2017-01-24T06:12:52 --enforcementcount 1 &gt;&gt;C:\Users\stu\Documents\GitHub\eaglep3-reporting\EC\2017-01-24-refined-times.txt</v>
      </c>
      <c r="AI24" s="115" t="str">
        <f t="shared" si="18"/>
        <v>echo {"issue":{"subject":"TMDS freeze","project_id":79,"tracker_id":40,"status_id":1,"priority_id":2,"assigned_to_id":23,"start_date":"2017-01-24","description":"","custom_fields":[{"id":1,"name":"Subdivision","value":"EC"},{"id":4,"name":"Milepost","value":"12.8017"},{"id":17,"name":"Train ID","value":"112-24"},{"id":16,"name":"Locomotive ID","value":"4028"},{"id":130,"name":"Impact","value":""},{"id":150,"name":"Time of Event (Mountain Time)","value":"06:12:52"},{"id":151,"name":"Denver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19"/>
        <v>start /low /b %USERPROFILE%\Documents\GitHub\eaglep3\Utilities\DownloadLogsFromS3.py --loco 4028 --day 2017-01-24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2017-01-24-UncaughtWiMAX.txt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457</v>
      </c>
      <c r="B25" s="7">
        <v>4028</v>
      </c>
      <c r="C25" s="22" t="s">
        <v>196</v>
      </c>
      <c r="D25" s="22" t="s">
        <v>717</v>
      </c>
      <c r="E25" s="13">
        <v>42759.268495370372</v>
      </c>
      <c r="F25" s="13">
        <v>42759.269293981481</v>
      </c>
      <c r="G25" s="7">
        <v>1</v>
      </c>
      <c r="H25" s="22" t="s">
        <v>378</v>
      </c>
      <c r="I25" s="13">
        <v>42759.287349537037</v>
      </c>
      <c r="J25" s="7">
        <v>0</v>
      </c>
      <c r="K25" s="105" t="str">
        <f t="shared" si="0"/>
        <v>4027/4028</v>
      </c>
      <c r="L25" s="22" t="str">
        <f>VLOOKUP(A25,'Trips&amp;Operators'!$C$1:$G$99999,5,FALSE)</f>
        <v>COOLAHAN JOHN</v>
      </c>
      <c r="M25" s="6">
        <f t="shared" si="1"/>
        <v>1.8055555556202307E-2</v>
      </c>
      <c r="N25" s="7"/>
      <c r="O25" s="7"/>
      <c r="P25" s="7"/>
      <c r="Q25" s="23"/>
      <c r="R25" s="23"/>
      <c r="S25" s="32"/>
      <c r="T25" s="47" t="str">
        <f t="shared" si="3"/>
        <v>Southbound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10</v>
      </c>
      <c r="V25" s="94" t="str">
        <f t="shared" si="4"/>
        <v>https://d0f6bd738d7f1b3e5a7ca70fe4ff75f0.us-east-1.aws.found.io/app/kibana#/discover/Steve-Slow-Train-Analysis-(2080s-and-2083s)?_g=(refreshInterval:(display:Off,pause:!f,section:0,value:0),time:(from:'2017-01-24T05:26:38-0700',mode:absolute,to:'2017-01-24T07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49" t="str">
        <f t="shared" si="5"/>
        <v>Y</v>
      </c>
      <c r="X25" s="170">
        <f t="shared" si="6"/>
        <v>0</v>
      </c>
      <c r="Y25" s="64">
        <f t="shared" si="7"/>
        <v>8.6351999999999993</v>
      </c>
      <c r="Z25" s="64">
        <f t="shared" si="8"/>
        <v>1.7000000000000001E-2</v>
      </c>
      <c r="AA25" s="64">
        <f t="shared" si="9"/>
        <v>8.6181999999999999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0"/>
        <v>0112-24</v>
      </c>
      <c r="AE25" s="87" t="str">
        <f t="shared" si="11"/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AF25" s="84" t="str">
        <f t="shared" si="12"/>
        <v>"C:\Program Files (x86)\AstroGrep\AstroGrep.exe" /spath="%USERPROFILE%\AppData\Local\Temp\OnboardLogs" /stypes="app*4028*20170124*" /stext=" 13:.+((SYSTEM_STATE.+slice.+state.+changed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8" t="str">
        <f t="shared" si="17"/>
        <v>"%USERPROFILE%\Documents\GitHub\eaglep3\Utilities\RefineRTDCRunTimes.py" --tripid 112-24 --locoid 4028 --swversion DE.1.0.8.0 --startMP 204:86352 --initTime 2017-01-24T06:26:38 --startdatetime 2017-01-24T06:27:47 --delay 1 --endMP 204:170 --enddatetime 2017-01-24T06:53:47 --enforcementcount 0 &gt;&gt;C:\Users\stu\Documents\GitHub\eaglep3-reporting\EC\2017-01-24-refined-times.txt</v>
      </c>
      <c r="AI25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{"issue":{"subject":"","project_id":79,"tracker_id":40,"status_id":1,"priority_id":2,"assigned_to_id":23,"start_date":"2017-01-24","description":"","custom_fields":[{"id":1,"name":"Subdivision","value":"EC"},{"id":4,"name":"Milepost","value":"0.017"},{"id":17,"name":"Train ID","value":"112-24"},{"id":16,"name":"Locomotive ID","value":"4028"},{"id":130,"name":"Impact","value":""},{"id":150,"name":"Time of Event (Mountain Time)","value":"06:53:47"},{"id":151,"name":"Denver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19"/>
        <v>start /low /b %USERPROFILE%\Documents\GitHub\eaglep3\Utilities\DownloadLogsFromS3.py --loco 4028 --day 2017-01-24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511</v>
      </c>
      <c r="B26" s="7">
        <v>4007</v>
      </c>
      <c r="C26" s="22" t="s">
        <v>196</v>
      </c>
      <c r="D26" s="22" t="s">
        <v>718</v>
      </c>
      <c r="E26" s="13">
        <v>42759.218692129631</v>
      </c>
      <c r="F26" s="13">
        <v>42759.220937500002</v>
      </c>
      <c r="G26" s="7">
        <v>1</v>
      </c>
      <c r="H26" s="22" t="s">
        <v>719</v>
      </c>
      <c r="I26" s="13">
        <v>42759.251863425925</v>
      </c>
      <c r="J26" s="7">
        <v>0</v>
      </c>
      <c r="K26" s="105" t="str">
        <f t="shared" si="0"/>
        <v>4007/4008</v>
      </c>
      <c r="L26" s="22" t="str">
        <f>VLOOKUP(A26,'Trips&amp;Operators'!$C$1:$G$99999,5,FALSE)</f>
        <v>OUN ZACK</v>
      </c>
      <c r="M26" s="6">
        <f t="shared" si="1"/>
        <v>3.0925925922929309E-2</v>
      </c>
      <c r="N26" s="7">
        <f t="shared" ref="N26:N62" si="20">24*60*SUM($M26:$M26)</f>
        <v>44.533333329018205</v>
      </c>
      <c r="O26" s="7"/>
      <c r="P26" s="7"/>
      <c r="Q26" s="23"/>
      <c r="R26" s="23"/>
      <c r="S26" s="32">
        <f t="shared" ref="S26:S73" si="21">SUM(U26:U26)/IF(AG26="EC",12,1)</f>
        <v>1</v>
      </c>
      <c r="T26" s="47" t="str">
        <f t="shared" si="3"/>
        <v>NorthBound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4"/>
        <v>https://d0f6bd738d7f1b3e5a7ca70fe4ff75f0.us-east-1.aws.found.io/app/kibana#/discover/Steve-Slow-Train-Analysis-(2080s-and-2083s)?_g=(refreshInterval:(display:Off,pause:!f,section:0,value:0),time:(from:'2017-01-24T04:14:55-0700',mode:absolute,to:'2017-01-24T07:02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49" t="str">
        <f t="shared" si="5"/>
        <v>N</v>
      </c>
      <c r="X26" s="170">
        <f t="shared" si="6"/>
        <v>1</v>
      </c>
      <c r="Y26" s="64">
        <f t="shared" si="7"/>
        <v>7.6499999999999999E-2</v>
      </c>
      <c r="Z26" s="64">
        <f t="shared" si="8"/>
        <v>23.331800000000001</v>
      </c>
      <c r="AA26" s="64">
        <f t="shared" si="9"/>
        <v>23.255300000000002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0"/>
        <v>0113-24</v>
      </c>
      <c r="AE26" s="87" t="str">
        <f t="shared" si="11"/>
        <v>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 &amp; aws s3 cp s3://rtdc.mdm.uploadarchive.raw/RTDC4007/ "%USERPROFILE%\AppData\Local\Temp\OnboardLogs"\RTDC4007\2017-01-25 --exclude "*" --recursive --include "*20170125*" &amp; "%USERPROFILE%\Documents\GitHub\mrs-test-scripts\Headless Mode &amp; Sideloading\WalkAndUnGZ.bat" "%USERPROFILE%\AppData\Local\Temp\OnboardLogs"\RTDC4007\2017-01-25</v>
      </c>
      <c r="AF26" s="84" t="str">
        <f t="shared" si="12"/>
        <v>"C:\Program Files (x86)\AstroGrep\AstroGrep.exe" /spath="%USERPROFILE%\AppData\Local\Temp\OnboardLogs" /stypes="app*4007*20170124*" /stext=" 13:.+((SYSTEM_STATE.+slice.+state.+changed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8" t="str">
        <f t="shared" si="17"/>
        <v>"%USERPROFILE%\Documents\GitHub\eaglep3\Utilities\RefineRTDCRunTimes.py" --tripid 113-24 --locoid 4007 --swversion DE.1.0.8.0 --startMP 204:765 --initTime 2017-01-24T05:14:55 --startdatetime 2017-01-24T05:18:09 --delay 1 --endMP 204:233318 --enddatetime 2017-01-24T06:02:41 --enforcementcount 0 &gt;&gt;C:\Users\stu\Documents\GitHub\eaglep3-reporting\EC\2017-01-24-refined-times.txt</v>
      </c>
      <c r="AI26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{"issue":{"subject":"","project_id":79,"tracker_id":40,"status_id":1,"priority_id":2,"assigned_to_id":23,"start_date":"2017-01-24","description":"","custom_fields":[{"id":1,"name":"Subdivision","value":"EC"},{"id":4,"name":"Milepost","value":"23.3318"},{"id":17,"name":"Train ID","value":"113-24"},{"id":16,"name":"Locomotive ID","value":"4007"},{"id":130,"name":"Impact","value":""},{"id":150,"name":"Time of Event (Mountain Time)","value":"06:02:41"},{"id":151,"name":"Denver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19"/>
        <v>start /low /b %USERPROFILE%\Documents\GitHub\eaglep3\Utilities\DownloadLogsFromS3.py --loco 4007 --day 2017-01-24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"%USERPROFILE%\AppData\Local\Temp\OnboardLogs"\RTDC4007\*4007*20170124* | grep -SE "(Enforcement Action)|(\[TIMEOUT)|(CHR.+\|PRM\|1\|D.+(SWITCH|SIGNAL).+UNKNOWN)" - &gt;&gt; 2017-01-24-UncaughtWiMAX.txt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522</v>
      </c>
      <c r="B27" s="7">
        <v>4008</v>
      </c>
      <c r="C27" s="22" t="s">
        <v>196</v>
      </c>
      <c r="D27" s="22" t="s">
        <v>404</v>
      </c>
      <c r="E27" s="13">
        <v>42759.25540509259</v>
      </c>
      <c r="F27" s="13">
        <v>42759.266122685185</v>
      </c>
      <c r="G27" s="7">
        <v>1</v>
      </c>
      <c r="H27" s="22" t="s">
        <v>720</v>
      </c>
      <c r="I27" s="13">
        <v>42759.295844907407</v>
      </c>
      <c r="J27" s="7">
        <v>0</v>
      </c>
      <c r="K27" s="105" t="str">
        <f t="shared" si="0"/>
        <v>4007/4008</v>
      </c>
      <c r="L27" s="22" t="str">
        <f>VLOOKUP(A27,'Trips&amp;Operators'!$C$1:$G$99999,5,FALSE)</f>
        <v>OUN ZACK</v>
      </c>
      <c r="M27" s="6">
        <f t="shared" si="1"/>
        <v>2.9722222221607808E-2</v>
      </c>
      <c r="N27" s="7">
        <f t="shared" si="20"/>
        <v>42.799999999115244</v>
      </c>
      <c r="O27" s="7"/>
      <c r="P27" s="7"/>
      <c r="Q27" s="23"/>
      <c r="R27" s="23"/>
      <c r="S27" s="32">
        <f t="shared" si="21"/>
        <v>1</v>
      </c>
      <c r="T27" s="47" t="str">
        <f t="shared" si="3"/>
        <v>Southbound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4"/>
        <v>https://d0f6bd738d7f1b3e5a7ca70fe4ff75f0.us-east-1.aws.found.io/app/kibana#/discover/Steve-Slow-Train-Analysis-(2080s-and-2083s)?_g=(refreshInterval:(display:Off,pause:!f,section:0,value:0),time:(from:'2017-01-24T05:07:47-0700',mode:absolute,to:'2017-01-24T08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49" t="str">
        <f t="shared" si="5"/>
        <v>N</v>
      </c>
      <c r="X27" s="170">
        <f t="shared" si="6"/>
        <v>1</v>
      </c>
      <c r="Y27" s="64">
        <f t="shared" si="7"/>
        <v>23.298200000000001</v>
      </c>
      <c r="Z27" s="64">
        <f t="shared" si="8"/>
        <v>0.1167</v>
      </c>
      <c r="AA27" s="64">
        <f t="shared" si="9"/>
        <v>23.1815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0"/>
        <v>0114-24</v>
      </c>
      <c r="AE27" s="87" t="str">
        <f t="shared" si="11"/>
        <v>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 &amp; aws s3 cp s3://rtdc.mdm.uploadarchive.raw/RTDC4008/ "%USERPROFILE%\AppData\Local\Temp\OnboardLogs"\RTDC4008\2017-01-25 --exclude "*" --recursive --include "*20170125*" &amp; "%USERPROFILE%\Documents\GitHub\mrs-test-scripts\Headless Mode &amp; Sideloading\WalkAndUnGZ.bat" "%USERPROFILE%\AppData\Local\Temp\OnboardLogs"\RTDC4008\2017-01-25</v>
      </c>
      <c r="AF27" s="84" t="str">
        <f t="shared" si="12"/>
        <v>"C:\Program Files (x86)\AstroGrep\AstroGrep.exe" /spath="%USERPROFILE%\AppData\Local\Temp\OnboardLogs" /stypes="app*4008*20170124*" /stext=" 14:.+((SYSTEM_STATE.+slice.+state.+changed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8" t="str">
        <f t="shared" si="17"/>
        <v>"%USERPROFILE%\Documents\GitHub\eaglep3\Utilities\RefineRTDCRunTimes.py" --tripid 114-24 --locoid 4008 --swversion DE.1.0.8.0 --startMP 204:232982 --initTime 2017-01-24T06:07:47 --startdatetime 2017-01-24T06:23:13 --delay 1 --endMP 204:1167 --enddatetime 2017-01-24T07:06:01 --enforcementcount 0 &gt;&gt;C:\Users\stu\Documents\GitHub\eaglep3-reporting\EC\2017-01-24-refined-times.txt</v>
      </c>
      <c r="AI27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{"issue":{"subject":"","project_id":79,"tracker_id":40,"status_id":1,"priority_id":2,"assigned_to_id":23,"start_date":"2017-01-24","description":"","custom_fields":[{"id":1,"name":"Subdivision","value":"EC"},{"id":4,"name":"Milepost","value":"0.1167"},{"id":17,"name":"Train ID","value":"114-24"},{"id":16,"name":"Locomotive ID","value":"4008"},{"id":130,"name":"Impact","value":""},{"id":150,"name":"Time of Event (Mountain Time)","value":"07:06:01"},{"id":151,"name":"Denver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19"/>
        <v>start /low /b %USERPROFILE%\Documents\GitHub\eaglep3\Utilities\DownloadLogsFromS3.py --loco 4008 --day 2017-01-24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"%USERPROFILE%\AppData\Local\Temp\OnboardLogs"\RTDC4008\*4008*20170124* | grep -SE "(Enforcement Action)|(\[TIMEOUT)|(CHR.+\|PRM\|1\|D.+(SWITCH|SIGNAL).+UNKNOWN)" - &gt;&gt; 2017-01-24-UncaughtWiMAX.txt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512</v>
      </c>
      <c r="B28" s="7">
        <v>4038</v>
      </c>
      <c r="C28" s="22" t="s">
        <v>196</v>
      </c>
      <c r="D28" s="22" t="s">
        <v>721</v>
      </c>
      <c r="E28" s="13">
        <v>42759.22351851852</v>
      </c>
      <c r="F28" s="13">
        <v>42759.229444444441</v>
      </c>
      <c r="G28" s="7">
        <v>1</v>
      </c>
      <c r="H28" s="22" t="s">
        <v>360</v>
      </c>
      <c r="I28" s="13">
        <v>42759.255532407406</v>
      </c>
      <c r="J28" s="7">
        <v>0</v>
      </c>
      <c r="K28" s="105" t="str">
        <f t="shared" si="0"/>
        <v>4037/4038</v>
      </c>
      <c r="L28" s="22" t="str">
        <f>VLOOKUP(A28,'Trips&amp;Operators'!$C$1:$G$99999,5,FALSE)</f>
        <v>ROCHA YAOTL</v>
      </c>
      <c r="M28" s="6">
        <f t="shared" si="1"/>
        <v>2.6087962964083999E-2</v>
      </c>
      <c r="N28" s="7">
        <f t="shared" si="20"/>
        <v>37.566666668280959</v>
      </c>
      <c r="O28" s="7"/>
      <c r="P28" s="7"/>
      <c r="Q28" s="23"/>
      <c r="R28" s="23"/>
      <c r="S28" s="32">
        <f t="shared" si="21"/>
        <v>1</v>
      </c>
      <c r="T28" s="47" t="str">
        <f t="shared" si="3"/>
        <v>NorthBound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4"/>
        <v>https://d0f6bd738d7f1b3e5a7ca70fe4ff75f0.us-east-1.aws.found.io/app/kibana#/discover/Steve-Slow-Train-Analysis-(2080s-and-2083s)?_g=(refreshInterval:(display:Off,pause:!f,section:0,value:0),time:(from:'2017-01-24T04:21:52-0700',mode:absolute,to:'2017-01-24T07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8" s="49" t="str">
        <f t="shared" si="5"/>
        <v>N</v>
      </c>
      <c r="X28" s="170">
        <f t="shared" si="6"/>
        <v>1</v>
      </c>
      <c r="Y28" s="64">
        <f t="shared" si="7"/>
        <v>4.2900000000000001E-2</v>
      </c>
      <c r="Z28" s="64">
        <f t="shared" si="8"/>
        <v>23.331499999999998</v>
      </c>
      <c r="AA28" s="64">
        <f t="shared" si="9"/>
        <v>23.288599999999999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0"/>
        <v>0115-24</v>
      </c>
      <c r="AE28" s="87" t="str">
        <f t="shared" si="11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28" s="84" t="str">
        <f t="shared" si="12"/>
        <v>"C:\Program Files (x86)\AstroGrep\AstroGrep.exe" /spath="%USERPROFILE%\AppData\Local\Temp\OnboardLogs" /stypes="app*4038*20170124*" /stext=" 13:.+((SYSTEM_STATE.+slice.+state.+changed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8" t="str">
        <f t="shared" si="17"/>
        <v>"%USERPROFILE%\Documents\GitHub\eaglep3\Utilities\RefineRTDCRunTimes.py" --tripid 115-24 --locoid 4038 --swversion DE.1.0.8.0 --startMP 204:429 --initTime 2017-01-24T05:21:52 --startdatetime 2017-01-24T05:30:24 --delay 1 --endMP 204:233315 --enddatetime 2017-01-24T06:07:58 --enforcementcount 0 &gt;&gt;C:\Users\stu\Documents\GitHub\eaglep3-reporting\EC\2017-01-24-refined-times.txt</v>
      </c>
      <c r="AI28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{"issue":{"subject":"","project_id":79,"tracker_id":40,"status_id":1,"priority_id":2,"assigned_to_id":23,"start_date":"2017-01-24","description":"","custom_fields":[{"id":1,"name":"Subdivision","value":"EC"},{"id":4,"name":"Milepost","value":"23.3315"},{"id":17,"name":"Train ID","value":"115-24"},{"id":16,"name":"Locomotive ID","value":"4038"},{"id":130,"name":"Impact","value":""},{"id":150,"name":"Time of Event (Mountain Time)","value":"06:07:58"},{"id":151,"name":"Denver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19"/>
        <v>start /low /b %USERPROFILE%\Documents\GitHub\eaglep3\Utilities\DownloadLogsFromS3.py --loco 4038 --day 2017-01-24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"%USERPROFILE%\AppData\Local\Temp\OnboardLogs"\RTDC4038\*4038*20170124* | grep -SE "(Enforcement Action)|(\[TIMEOUT)|(CHR.+\|PRM\|1\|D.+(SWITCH|SIGNAL).+UNKNOWN)" - &gt;&gt; 2017-01-24-UncaughtWiMAX.txt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525</v>
      </c>
      <c r="B29" s="7">
        <v>4037</v>
      </c>
      <c r="C29" s="22" t="s">
        <v>196</v>
      </c>
      <c r="D29" s="22" t="s">
        <v>722</v>
      </c>
      <c r="E29" s="13">
        <v>42759.267777777779</v>
      </c>
      <c r="F29" s="13">
        <v>42759.269120370373</v>
      </c>
      <c r="G29" s="7">
        <v>1</v>
      </c>
      <c r="H29" s="22" t="s">
        <v>186</v>
      </c>
      <c r="I29" s="13">
        <v>42759.300729166665</v>
      </c>
      <c r="J29" s="7">
        <v>0</v>
      </c>
      <c r="K29" s="105" t="str">
        <f t="shared" si="0"/>
        <v>4037/4038</v>
      </c>
      <c r="L29" s="22" t="str">
        <f>VLOOKUP(A29,'Trips&amp;Operators'!$C$1:$G$99999,5,FALSE)</f>
        <v>ROCHA YAOTL</v>
      </c>
      <c r="M29" s="6">
        <f t="shared" si="1"/>
        <v>3.1608796292857733E-2</v>
      </c>
      <c r="N29" s="7">
        <f t="shared" si="20"/>
        <v>45.516666661715135</v>
      </c>
      <c r="O29" s="7"/>
      <c r="P29" s="7"/>
      <c r="Q29" s="23"/>
      <c r="R29" s="23"/>
      <c r="S29" s="32">
        <f t="shared" si="21"/>
        <v>1</v>
      </c>
      <c r="T29" s="47" t="str">
        <f t="shared" si="3"/>
        <v>Southbound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4"/>
        <v>https://d0f6bd738d7f1b3e5a7ca70fe4ff75f0.us-east-1.aws.found.io/app/kibana#/discover/Steve-Slow-Train-Analysis-(2080s-and-2083s)?_g=(refreshInterval:(display:Off,pause:!f,section:0,value:0),time:(from:'2017-01-24T05:25:36-0700',mode:absolute,to:'2017-01-24T08:13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9" s="49" t="str">
        <f t="shared" si="5"/>
        <v>N</v>
      </c>
      <c r="X29" s="170">
        <f t="shared" si="6"/>
        <v>1</v>
      </c>
      <c r="Y29" s="64">
        <f t="shared" si="7"/>
        <v>23.3</v>
      </c>
      <c r="Z29" s="64">
        <f t="shared" si="8"/>
        <v>1.49E-2</v>
      </c>
      <c r="AA29" s="64">
        <f t="shared" si="9"/>
        <v>23.2851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0"/>
        <v>0116-24</v>
      </c>
      <c r="AE29" s="87" t="str">
        <f t="shared" si="11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29" s="84" t="str">
        <f t="shared" si="12"/>
        <v>"C:\Program Files (x86)\AstroGrep\AstroGrep.exe" /spath="%USERPROFILE%\AppData\Local\Temp\OnboardLogs" /stypes="app*4037*20170124*" /stext=" 14:.+((SYSTEM_STATE.+slice.+state.+changed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8" t="str">
        <f t="shared" si="17"/>
        <v>"%USERPROFILE%\Documents\GitHub\eaglep3\Utilities\RefineRTDCRunTimes.py" --tripid 116-24 --locoid 4037 --swversion DE.1.0.8.0 --startMP 204:233000 --initTime 2017-01-24T06:25:36 --startdatetime 2017-01-24T06:27:32 --delay 1 --endMP 204:149 --enddatetime 2017-01-24T07:13:03 --enforcementcount 0 &gt;&gt;C:\Users\stu\Documents\GitHub\eaglep3-reporting\EC\2017-01-24-refined-times.txt</v>
      </c>
      <c r="AI29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{"issue":{"subject":"","project_id":79,"tracker_id":40,"status_id":1,"priority_id":2,"assigned_to_id":23,"start_date":"2017-01-24","description":"","custom_fields":[{"id":1,"name":"Subdivision","value":"EC"},{"id":4,"name":"Milepost","value":"0.0149"},{"id":17,"name":"Train ID","value":"116-24"},{"id":16,"name":"Locomotive ID","value":"4037"},{"id":130,"name":"Impact","value":""},{"id":150,"name":"Time of Event (Mountain Time)","value":"07:13:03"},{"id":151,"name":"Denver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19"/>
        <v>start /low /b %USERPROFILE%\Documents\GitHub\eaglep3\Utilities\DownloadLogsFromS3.py --loco 4037 --day 2017-01-24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"%USERPROFILE%\AppData\Local\Temp\OnboardLogs"\RTDC4037\*4037*20170124* | grep -SE "(Enforcement Action)|(\[TIMEOUT)|(CHR.+\|PRM\|1\|D.+(SWITCH|SIGNAL).+UNKNOWN)" - &gt;&gt; 2017-01-24-UncaughtWiMAX.txt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516</v>
      </c>
      <c r="B30" s="7">
        <v>4003</v>
      </c>
      <c r="C30" s="22" t="s">
        <v>196</v>
      </c>
      <c r="D30" s="22" t="s">
        <v>723</v>
      </c>
      <c r="E30" s="13">
        <v>42759.234178240738</v>
      </c>
      <c r="F30" s="13">
        <v>42759.239976851852</v>
      </c>
      <c r="G30" s="7">
        <v>1</v>
      </c>
      <c r="H30" s="22" t="s">
        <v>724</v>
      </c>
      <c r="I30" s="13">
        <v>42759.282719907409</v>
      </c>
      <c r="J30" s="7">
        <v>0</v>
      </c>
      <c r="K30" s="105" t="str">
        <f t="shared" si="0"/>
        <v>4003/4004</v>
      </c>
      <c r="L30" s="22" t="str">
        <f>VLOOKUP(A30,'Trips&amp;Operators'!$C$1:$G$99999,5,FALSE)</f>
        <v>MAELZER KURT</v>
      </c>
      <c r="M30" s="6">
        <f t="shared" si="1"/>
        <v>4.2743055557366461E-2</v>
      </c>
      <c r="N30" s="7">
        <f t="shared" si="20"/>
        <v>61.550000002607703</v>
      </c>
      <c r="O30" s="7"/>
      <c r="P30" s="7"/>
      <c r="Q30" s="23"/>
      <c r="R30" s="23" t="s">
        <v>892</v>
      </c>
      <c r="S30" s="32">
        <f t="shared" si="21"/>
        <v>1</v>
      </c>
      <c r="T30" s="47" t="str">
        <f t="shared" si="3"/>
        <v>NorthBound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4"/>
        <v>https://d0f6bd738d7f1b3e5a7ca70fe4ff75f0.us-east-1.aws.found.io/app/kibana#/discover/Steve-Slow-Train-Analysis-(2080s-and-2083s)?_g=(refreshInterval:(display:Off,pause:!f,section:0,value:0),time:(from:'2017-01-24T04:37:13-0700',mode:absolute,to:'2017-01-24T07:47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0" s="49" t="str">
        <f t="shared" si="5"/>
        <v>N</v>
      </c>
      <c r="X30" s="170">
        <f t="shared" si="6"/>
        <v>1</v>
      </c>
      <c r="Y30" s="64">
        <f t="shared" si="7"/>
        <v>7.0999999999999994E-2</v>
      </c>
      <c r="Z30" s="64">
        <f t="shared" si="8"/>
        <v>23.3322</v>
      </c>
      <c r="AA30" s="64">
        <f t="shared" si="9"/>
        <v>23.261199999999999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0"/>
        <v>0117-24</v>
      </c>
      <c r="AE30" s="87" t="str">
        <f t="shared" si="11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30" s="84" t="str">
        <f t="shared" si="12"/>
        <v>"C:\Program Files (x86)\AstroGrep\AstroGrep.exe" /spath="%USERPROFILE%\AppData\Local\Temp\OnboardLogs" /stypes="app*4003*20170124*" /stext=" 13:.+((SYSTEM_STATE.+slice.+state.+changed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8" t="str">
        <f t="shared" si="17"/>
        <v>"%USERPROFILE%\Documents\GitHub\eaglep3\Utilities\RefineRTDCRunTimes.py" --tripid 117-24 --locoid 4003 --swversion DE.1.0.8.0 --startMP 204:710 --initTime 2017-01-24T05:37:13 --startdatetime 2017-01-24T05:45:34 --delay 1 --endMP 204:233322 --enddatetime 2017-01-24T06:47:07 --enforcementcount 0 &gt;&gt;C:\Users\stu\Documents\GitHub\eaglep3-reporting\EC\2017-01-24-refined-times.txt</v>
      </c>
      <c r="AI30" s="115" t="str">
        <f t="shared" si="18"/>
        <v>echo {"issue":{"subject":"Delayed by TMDS freeze","project_id":79,"tracker_id":40,"status_id":1,"priority_id":2,"assigned_to_id":23,"start_date":"2017-01-24","description":"","custom_fields":[{"id":1,"name":"Subdivision","value":"EC"},{"id":4,"name":"Milepost","value":"23.3322"},{"id":17,"name":"Train ID","value":"117-24"},{"id":16,"name":"Locomotive ID","value":"4003"},{"id":130,"name":"Impact","value":""},{"id":150,"name":"Time of Event (Mountain Time)","value":"06:47:07"},{"id":151,"name":"Denver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19"/>
        <v>start /low /b %USERPROFILE%\Documents\GitHub\eaglep3\Utilities\DownloadLogsFromS3.py --loco 4003 --day 2017-01-24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529</v>
      </c>
      <c r="B31" s="7">
        <v>4004</v>
      </c>
      <c r="C31" s="22" t="s">
        <v>196</v>
      </c>
      <c r="D31" s="22" t="s">
        <v>418</v>
      </c>
      <c r="E31" s="13">
        <v>42759.284942129627</v>
      </c>
      <c r="F31" s="13">
        <v>42759.286608796298</v>
      </c>
      <c r="G31" s="7">
        <v>1</v>
      </c>
      <c r="H31" s="22" t="s">
        <v>212</v>
      </c>
      <c r="I31" s="13">
        <v>42759.317164351851</v>
      </c>
      <c r="J31" s="7">
        <v>0</v>
      </c>
      <c r="K31" s="105" t="str">
        <f t="shared" si="0"/>
        <v>4003/4004</v>
      </c>
      <c r="L31" s="22" t="str">
        <f>VLOOKUP(A31,'Trips&amp;Operators'!$C$1:$G$99999,5,FALSE)</f>
        <v>MAELZER KURT</v>
      </c>
      <c r="M31" s="6">
        <f t="shared" si="1"/>
        <v>3.0555555553291924E-2</v>
      </c>
      <c r="N31" s="7">
        <f t="shared" si="20"/>
        <v>43.999999996740371</v>
      </c>
      <c r="O31" s="7"/>
      <c r="P31" s="7"/>
      <c r="Q31" s="23"/>
      <c r="R31" s="23"/>
      <c r="S31" s="32">
        <f t="shared" si="21"/>
        <v>1</v>
      </c>
      <c r="T31" s="47" t="str">
        <f t="shared" si="3"/>
        <v>Southbound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4"/>
        <v>https://d0f6bd738d7f1b3e5a7ca70fe4ff75f0.us-east-1.aws.found.io/app/kibana#/discover/Steve-Slow-Train-Analysis-(2080s-and-2083s)?_g=(refreshInterval:(display:Off,pause:!f,section:0,value:0),time:(from:'2017-01-24T05:50:19-0700',mode:absolute,to:'2017-01-24T08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49" t="str">
        <f t="shared" si="5"/>
        <v>N</v>
      </c>
      <c r="X31" s="170">
        <f t="shared" si="6"/>
        <v>1</v>
      </c>
      <c r="Y31" s="64">
        <f t="shared" si="7"/>
        <v>23.299399999999999</v>
      </c>
      <c r="Z31" s="64">
        <f t="shared" si="8"/>
        <v>1.3899999999999999E-2</v>
      </c>
      <c r="AA31" s="64">
        <f t="shared" si="9"/>
        <v>23.285499999999999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0"/>
        <v>0118-24</v>
      </c>
      <c r="AE31" s="87" t="str">
        <f t="shared" si="11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31" s="84" t="str">
        <f t="shared" si="12"/>
        <v>"C:\Program Files (x86)\AstroGrep\AstroGrep.exe" /spath="%USERPROFILE%\AppData\Local\Temp\OnboardLogs" /stypes="app*4004*20170124*" /stext=" 14:.+((SYSTEM_STATE.+slice.+state.+changed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8" t="str">
        <f t="shared" si="17"/>
        <v>"%USERPROFILE%\Documents\GitHub\eaglep3\Utilities\RefineRTDCRunTimes.py" --tripid 118-24 --locoid 4004 --swversion DE.1.0.8.0 --startMP 204:232994 --initTime 2017-01-24T06:50:19 --startdatetime 2017-01-24T06:52:43 --delay 1 --endMP 204:139 --enddatetime 2017-01-24T07:36:43 --enforcementcount 0 &gt;&gt;C:\Users\stu\Documents\GitHub\eaglep3-reporting\EC\2017-01-24-refined-times.txt</v>
      </c>
      <c r="AI31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{"issue":{"subject":"","project_id":79,"tracker_id":40,"status_id":1,"priority_id":2,"assigned_to_id":23,"start_date":"2017-01-24","description":"","custom_fields":[{"id":1,"name":"Subdivision","value":"EC"},{"id":4,"name":"Milepost","value":"0.0139"},{"id":17,"name":"Train ID","value":"118-24"},{"id":16,"name":"Locomotive ID","value":"4004"},{"id":130,"name":"Impact","value":""},{"id":150,"name":"Time of Event (Mountain Time)","value":"07:36:43"},{"id":151,"name":"Denver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19"/>
        <v>start /low /b %USERPROFILE%\Documents\GitHub\eaglep3\Utilities\DownloadLogsFromS3.py --loco 4004 --day 2017-01-24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"%USERPROFILE%\AppData\Local\Temp\OnboardLogs"\RTDC4004\*4004*20170124* | grep -SE "(Enforcement Action)|(\[TIMEOUT)|(CHR.+\|PRM\|1\|D.+(SWITCH|SIGNAL).+UNKNOWN)" - &gt;&gt; 2017-01-24-UncaughtWiMAX.txt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518</v>
      </c>
      <c r="B32" s="7">
        <v>4018</v>
      </c>
      <c r="C32" s="22" t="s">
        <v>196</v>
      </c>
      <c r="D32" s="22" t="s">
        <v>276</v>
      </c>
      <c r="E32" s="13">
        <v>42759.249814814815</v>
      </c>
      <c r="F32" s="13">
        <v>42759.251469907409</v>
      </c>
      <c r="G32" s="7">
        <v>1</v>
      </c>
      <c r="H32" s="22" t="s">
        <v>725</v>
      </c>
      <c r="I32" s="13">
        <v>42759.285752314812</v>
      </c>
      <c r="J32" s="7">
        <v>0</v>
      </c>
      <c r="K32" s="105" t="str">
        <f t="shared" si="0"/>
        <v>4017/4018</v>
      </c>
      <c r="L32" s="22" t="str">
        <f>VLOOKUP(A32,'Trips&amp;Operators'!$C$1:$G$99999,5,FALSE)</f>
        <v>CUSHING HARRY</v>
      </c>
      <c r="M32" s="6">
        <f t="shared" si="1"/>
        <v>3.4282407403225079E-2</v>
      </c>
      <c r="N32" s="7">
        <f t="shared" si="20"/>
        <v>49.366666660644114</v>
      </c>
      <c r="O32" s="7"/>
      <c r="P32" s="7"/>
      <c r="Q32" s="23"/>
      <c r="R32" s="23"/>
      <c r="S32" s="32">
        <f t="shared" si="21"/>
        <v>1</v>
      </c>
      <c r="T32" s="47" t="str">
        <f t="shared" si="3"/>
        <v>NorthBound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4"/>
        <v>https://d0f6bd738d7f1b3e5a7ca70fe4ff75f0.us-east-1.aws.found.io/app/kibana#/discover/Steve-Slow-Train-Analysis-(2080s-and-2083s)?_g=(refreshInterval:(display:Off,pause:!f,section:0,value:0),time:(from:'2017-01-24T04:59:44-0700',mode:absolute,to:'2017-01-24T07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2" s="49" t="str">
        <f t="shared" si="5"/>
        <v>N</v>
      </c>
      <c r="X32" s="170">
        <f t="shared" si="6"/>
        <v>1</v>
      </c>
      <c r="Y32" s="64">
        <f t="shared" si="7"/>
        <v>4.4400000000000002E-2</v>
      </c>
      <c r="Z32" s="64">
        <f t="shared" si="8"/>
        <v>23.331399999999999</v>
      </c>
      <c r="AA32" s="64">
        <f t="shared" si="9"/>
        <v>23.286999999999999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0"/>
        <v>0119-24</v>
      </c>
      <c r="AE32" s="87" t="str">
        <f t="shared" si="11"/>
        <v>aws s3 cp s3://rtdc.mdm.uploadarchive.raw/RTDC4018/ "%USERPROFILE%\AppData\Local\Temp\OnboardLogs"\RTDC4018\2017-01-24 --exclude "*" --recursive --include "*20170124*" &amp; "%USERPROFILE%\Documents\GitHub\mrs-test-scripts\Headless Mode &amp; Sideloading\WalkAndUnGZ.bat" "%USERPROFILE%\AppData\Local\Temp\OnboardLogs"\RTDC4018\2017-01-24 &amp; 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</v>
      </c>
      <c r="AF32" s="84" t="str">
        <f t="shared" si="12"/>
        <v>"C:\Program Files (x86)\AstroGrep\AstroGrep.exe" /spath="%USERPROFILE%\AppData\Local\Temp\OnboardLogs" /stypes="app*4018*20170124*" /stext=" 13:.+((SYSTEM_STATE.+slice.+state.+changed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8" t="str">
        <f t="shared" si="17"/>
        <v>"%USERPROFILE%\Documents\GitHub\eaglep3\Utilities\RefineRTDCRunTimes.py" --tripid 119-24 --locoid 4018 --swversion DE.1.0.8.0 --startMP 204:444 --initTime 2017-01-24T05:59:44 --startdatetime 2017-01-24T06:02:07 --delay 1 --endMP 204:233314 --enddatetime 2017-01-24T06:51:29 --enforcementcount 0 &gt;&gt;C:\Users\stu\Documents\GitHub\eaglep3-reporting\EC\2017-01-24-refined-times.txt</v>
      </c>
      <c r="AI32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{"issue":{"subject":"","project_id":79,"tracker_id":40,"status_id":1,"priority_id":2,"assigned_to_id":23,"start_date":"2017-01-24","description":"","custom_fields":[{"id":1,"name":"Subdivision","value":"EC"},{"id":4,"name":"Milepost","value":"23.3314"},{"id":17,"name":"Train ID","value":"119-24"},{"id":16,"name":"Locomotive ID","value":"4018"},{"id":130,"name":"Impact","value":""},{"id":150,"name":"Time of Event (Mountain Time)","value":"06:51:29"},{"id":151,"name":"Denver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19"/>
        <v>start /low /b %USERPROFILE%\Documents\GitHub\eaglep3\Utilities\DownloadLogsFromS3.py --loco 4018 --day 2017-01-24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"%USERPROFILE%\AppData\Local\Temp\OnboardLogs"\RTDC4018\*4018*20170124* | grep -SE "(Enforcement Action)|(\[TIMEOUT)|(CHR.+\|PRM\|1\|D.+(SWITCH|SIGNAL).+UNKNOWN)" - &gt;&gt; 2017-01-24-UncaughtWiMAX.txt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530</v>
      </c>
      <c r="B33" s="7">
        <v>4017</v>
      </c>
      <c r="C33" s="22" t="s">
        <v>196</v>
      </c>
      <c r="D33" s="22" t="s">
        <v>341</v>
      </c>
      <c r="E33" s="13">
        <v>42759.288645833331</v>
      </c>
      <c r="F33" s="13">
        <v>42759.290081018517</v>
      </c>
      <c r="G33" s="7">
        <v>1</v>
      </c>
      <c r="H33" s="22" t="s">
        <v>271</v>
      </c>
      <c r="I33" s="13">
        <v>42759.322476851848</v>
      </c>
      <c r="J33" s="7">
        <v>0</v>
      </c>
      <c r="K33" s="105" t="str">
        <f t="shared" si="0"/>
        <v>4017/4018</v>
      </c>
      <c r="L33" s="22" t="str">
        <f>VLOOKUP(A33,'Trips&amp;Operators'!$C$1:$G$99999,5,FALSE)</f>
        <v>CUSHING HARRY</v>
      </c>
      <c r="M33" s="6">
        <f t="shared" si="1"/>
        <v>3.2395833331975155E-2</v>
      </c>
      <c r="N33" s="7">
        <f t="shared" si="20"/>
        <v>46.649999998044223</v>
      </c>
      <c r="O33" s="7"/>
      <c r="P33" s="7"/>
      <c r="Q33" s="23"/>
      <c r="R33" s="23"/>
      <c r="S33" s="32">
        <f t="shared" si="21"/>
        <v>1</v>
      </c>
      <c r="T33" s="47" t="str">
        <f t="shared" si="3"/>
        <v>Southbound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4"/>
        <v>https://d0f6bd738d7f1b3e5a7ca70fe4ff75f0.us-east-1.aws.found.io/app/kibana#/discover/Steve-Slow-Train-Analysis-(2080s-and-2083s)?_g=(refreshInterval:(display:Off,pause:!f,section:0,value:0),time:(from:'2017-01-24T05:55:39-0700',mode:absolute,to:'2017-01-24T08:44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3" s="49" t="str">
        <f t="shared" si="5"/>
        <v>N</v>
      </c>
      <c r="X33" s="170">
        <f t="shared" si="6"/>
        <v>1</v>
      </c>
      <c r="Y33" s="64">
        <f t="shared" si="7"/>
        <v>23.300599999999999</v>
      </c>
      <c r="Z33" s="64">
        <f t="shared" si="8"/>
        <v>1.61E-2</v>
      </c>
      <c r="AA33" s="64">
        <f t="shared" si="9"/>
        <v>23.284499999999998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0"/>
        <v>0120-24</v>
      </c>
      <c r="AE33" s="87" t="str">
        <f t="shared" si="11"/>
        <v>aws s3 cp s3://rtdc.mdm.uploadarchive.raw/RTDC4017/ "%USERPROFILE%\AppData\Local\Temp\OnboardLogs"\RTDC4017\2017-01-24 --exclude "*" --recursive --include "*20170124*" &amp; "%USERPROFILE%\Documents\GitHub\mrs-test-scripts\Headless Mode &amp; Sideloading\WalkAndUnGZ.bat" "%USERPROFILE%\AppData\Local\Temp\OnboardLogs"\RTDC4017\2017-01-24 &amp; 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</v>
      </c>
      <c r="AF33" s="84" t="str">
        <f t="shared" si="12"/>
        <v>"C:\Program Files (x86)\AstroGrep\AstroGrep.exe" /spath="%USERPROFILE%\AppData\Local\Temp\OnboardLogs" /stypes="app*4017*20170124*" /stext=" 14:.+((SYSTEM_STATE.+slice.+state.+changed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8" t="str">
        <f t="shared" si="17"/>
        <v>"%USERPROFILE%\Documents\GitHub\eaglep3\Utilities\RefineRTDCRunTimes.py" --tripid 120-24 --locoid 4017 --swversion DE.1.0.8.0 --startMP 204:233006 --initTime 2017-01-24T06:55:39 --startdatetime 2017-01-24T06:57:43 --delay 1 --endMP 204:161 --enddatetime 2017-01-24T07:44:22 --enforcementcount 0 &gt;&gt;C:\Users\stu\Documents\GitHub\eaglep3-reporting\EC\2017-01-24-refined-times.txt</v>
      </c>
      <c r="AI33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{"issue":{"subject":"","project_id":79,"tracker_id":40,"status_id":1,"priority_id":2,"assigned_to_id":23,"start_date":"2017-01-24","description":"","custom_fields":[{"id":1,"name":"Subdivision","value":"EC"},{"id":4,"name":"Milepost","value":"0.0161"},{"id":17,"name":"Train ID","value":"120-24"},{"id":16,"name":"Locomotive ID","value":"4017"},{"id":130,"name":"Impact","value":""},{"id":150,"name":"Time of Event (Mountain Time)","value":"07:44:22"},{"id":151,"name":"Denver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19"/>
        <v>start /low /b %USERPROFILE%\Documents\GitHub\eaglep3\Utilities\DownloadLogsFromS3.py --loco 4017 --day 2017-01-24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"%USERPROFILE%\AppData\Local\Temp\OnboardLogs"\RTDC4017\*4017*20170124* | grep -SE "(Enforcement Action)|(\[TIMEOUT)|(CHR.+\|PRM\|1\|D.+(SWITCH|SIGNAL).+UNKNOWN)" - &gt;&gt; 2017-01-24-UncaughtWiMAX.txt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523</v>
      </c>
      <c r="B34" s="7">
        <v>4009</v>
      </c>
      <c r="C34" s="22" t="s">
        <v>196</v>
      </c>
      <c r="D34" s="22" t="s">
        <v>256</v>
      </c>
      <c r="E34" s="13">
        <v>42759.257673611108</v>
      </c>
      <c r="F34" s="13">
        <v>42759.26390046296</v>
      </c>
      <c r="G34" s="7">
        <v>1</v>
      </c>
      <c r="H34" s="22" t="s">
        <v>726</v>
      </c>
      <c r="I34" s="13">
        <v>42759.294236111113</v>
      </c>
      <c r="J34" s="7">
        <v>0</v>
      </c>
      <c r="K34" s="105" t="str">
        <f t="shared" si="0"/>
        <v>4009/4010</v>
      </c>
      <c r="L34" s="22" t="str">
        <f>VLOOKUP(A34,'Trips&amp;Operators'!$C$1:$G$99999,5,FALSE)</f>
        <v>BONDS REYNALDO</v>
      </c>
      <c r="M34" s="6">
        <f t="shared" si="1"/>
        <v>3.033564815268619E-2</v>
      </c>
      <c r="N34" s="7">
        <f t="shared" si="20"/>
        <v>43.683333339868113</v>
      </c>
      <c r="O34" s="7"/>
      <c r="P34" s="7"/>
      <c r="Q34" s="23"/>
      <c r="R34" s="23"/>
      <c r="S34" s="32">
        <f t="shared" si="21"/>
        <v>1</v>
      </c>
      <c r="T34" s="47" t="str">
        <f t="shared" si="3"/>
        <v>NorthBound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4"/>
        <v>https://d0f6bd738d7f1b3e5a7ca70fe4ff75f0.us-east-1.aws.found.io/app/kibana#/discover/Steve-Slow-Train-Analysis-(2080s-and-2083s)?_g=(refreshInterval:(display:Off,pause:!f,section:0,value:0),time:(from:'2017-01-24T05:11:03-0700',mode:absolute,to:'2017-01-24T08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49" t="str">
        <f t="shared" si="5"/>
        <v>N</v>
      </c>
      <c r="X34" s="170">
        <f t="shared" si="6"/>
        <v>1</v>
      </c>
      <c r="Y34" s="64">
        <f t="shared" si="7"/>
        <v>4.3999999999999997E-2</v>
      </c>
      <c r="Z34" s="64">
        <f t="shared" si="8"/>
        <v>23.3261</v>
      </c>
      <c r="AA34" s="64">
        <f t="shared" si="9"/>
        <v>23.2821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0"/>
        <v>0121-24</v>
      </c>
      <c r="AE34" s="87" t="str">
        <f t="shared" si="11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34" s="84" t="str">
        <f t="shared" si="12"/>
        <v>"C:\Program Files (x86)\AstroGrep\AstroGrep.exe" /spath="%USERPROFILE%\AppData\Local\Temp\OnboardLogs" /stypes="app*4009*20170124*" /stext=" 14:.+((SYSTEM_STATE.+slice.+state.+changed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8" t="str">
        <f t="shared" si="17"/>
        <v>"%USERPROFILE%\Documents\GitHub\eaglep3\Utilities\RefineRTDCRunTimes.py" --tripid 121-24 --locoid 4009 --swversion DE.1.0.8.0 --startMP 204:440 --initTime 2017-01-24T06:11:03 --startdatetime 2017-01-24T06:20:01 --delay 1 --endMP 204:233261 --enddatetime 2017-01-24T07:03:42 --enforcementcount 0 &gt;&gt;C:\Users\stu\Documents\GitHub\eaglep3-reporting\EC\2017-01-24-refined-times.txt</v>
      </c>
      <c r="AI34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{"issue":{"subject":"","project_id":79,"tracker_id":40,"status_id":1,"priority_id":2,"assigned_to_id":23,"start_date":"2017-01-24","description":"","custom_fields":[{"id":1,"name":"Subdivision","value":"EC"},{"id":4,"name":"Milepost","value":"23.3261"},{"id":17,"name":"Train ID","value":"121-24"},{"id":16,"name":"Locomotive ID","value":"4009"},{"id":130,"name":"Impact","value":""},{"id":150,"name":"Time of Event (Mountain Time)","value":"07:03:42"},{"id":151,"name":"Denver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19"/>
        <v>start /low /b %USERPROFILE%\Documents\GitHub\eaglep3\Utilities\DownloadLogsFromS3.py --loco 4009 --day 2017-01-24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458</v>
      </c>
      <c r="B35" s="7">
        <v>4010</v>
      </c>
      <c r="C35" s="22" t="s">
        <v>196</v>
      </c>
      <c r="D35" s="22" t="s">
        <v>417</v>
      </c>
      <c r="E35" s="13">
        <v>42759.298483796294</v>
      </c>
      <c r="F35" s="13">
        <v>42759.299629629626</v>
      </c>
      <c r="G35" s="7">
        <v>0</v>
      </c>
      <c r="H35" s="22" t="s">
        <v>200</v>
      </c>
      <c r="I35" s="13">
        <v>42759.33048611111</v>
      </c>
      <c r="J35" s="7">
        <v>0</v>
      </c>
      <c r="K35" s="105" t="str">
        <f t="shared" si="0"/>
        <v>4009/4010</v>
      </c>
      <c r="L35" s="22" t="str">
        <f>VLOOKUP(A35,'Trips&amp;Operators'!$C$1:$G$99999,5,FALSE)</f>
        <v>BONDS REYNALDO</v>
      </c>
      <c r="M35" s="6">
        <f t="shared" si="1"/>
        <v>3.0856481484079268E-2</v>
      </c>
      <c r="N35" s="7">
        <f t="shared" si="20"/>
        <v>44.433333337074146</v>
      </c>
      <c r="O35" s="7"/>
      <c r="P35" s="7"/>
      <c r="Q35" s="23"/>
      <c r="R35" s="23"/>
      <c r="S35" s="32">
        <f t="shared" si="21"/>
        <v>1</v>
      </c>
      <c r="T35" s="47" t="str">
        <f t="shared" si="3"/>
        <v>Southbound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4"/>
        <v>https://d0f6bd738d7f1b3e5a7ca70fe4ff75f0.us-east-1.aws.found.io/app/kibana#/discover/Steve-Slow-Train-Analysis-(2080s-and-2083s)?_g=(refreshInterval:(display:Off,pause:!f,section:0,value:0),time:(from:'2017-01-24T06:09:49-0700',mode:absolute,to:'2017-01-24T08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49" t="str">
        <f t="shared" si="5"/>
        <v>N</v>
      </c>
      <c r="X35" s="170">
        <f t="shared" si="6"/>
        <v>1</v>
      </c>
      <c r="Y35" s="64">
        <f t="shared" si="7"/>
        <v>23.296900000000001</v>
      </c>
      <c r="Z35" s="64">
        <f t="shared" si="8"/>
        <v>1.4999999999999999E-2</v>
      </c>
      <c r="AA35" s="64">
        <f t="shared" si="9"/>
        <v>23.2819</v>
      </c>
      <c r="AB35" s="61" t="str">
        <f>VLOOKUP(A35,Enforcements!$C$7:$K$16,8,0)</f>
        <v>Bulletin (2)</v>
      </c>
      <c r="AC35" s="57" t="str">
        <f>VLOOKUP(A35,Enforcements!$C$7:$E$16,3,0)</f>
        <v>GRADE CROSSING</v>
      </c>
      <c r="AD35" s="58" t="str">
        <f t="shared" si="10"/>
        <v>0122-24</v>
      </c>
      <c r="AE35" s="87" t="str">
        <f t="shared" si="11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35" s="84" t="str">
        <f t="shared" si="12"/>
        <v>"C:\Program Files (x86)\AstroGrep\AstroGrep.exe" /spath="%USERPROFILE%\AppData\Local\Temp\OnboardLogs" /stypes="app*4010*20170124*"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8" t="str">
        <f t="shared" si="17"/>
        <v>"%USERPROFILE%\Documents\GitHub\eaglep3\Utilities\RefineRTDCRunTimes.py" --tripid 122-24 --locoid 4010 --swversion DE.1.0.8.0 --startMP 204:232969 --initTime 2017-01-24T07:09:49 --startdatetime 2017-01-24T07:11:28 --delay 0 --endMP 204:150 --enddatetime 2017-01-24T07:55:54 --enforcementcount 0 &gt;&gt;C:\Users\stu\Documents\GitHub\eaglep3-reporting\EC\2017-01-24-refined-times.txt</v>
      </c>
      <c r="AI35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{"issue":{"subject":"","project_id":79,"tracker_id":40,"status_id":1,"priority_id":2,"assigned_to_id":23,"start_date":"2017-01-24","description":"","custom_fields":[{"id":1,"name":"Subdivision","value":"EC"},{"id":4,"name":"Milepost","value":"0.015"},{"id":17,"name":"Train ID","value":"122-24"},{"id":16,"name":"Locomotive ID","value":"4010"},{"id":130,"name":"Impact","value":""},{"id":150,"name":"Time of Event (Mountain Time)","value":"07:55:54"},{"id":151,"name":"Denver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19"/>
        <v>start /low /b %USERPROFILE%\Documents\GitHub\eaglep3\Utilities\DownloadLogsFromS3.py --loco 4010 --day 2017-01-24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526</v>
      </c>
      <c r="B36" s="7">
        <v>4051</v>
      </c>
      <c r="C36" s="22" t="s">
        <v>196</v>
      </c>
      <c r="D36" s="22" t="s">
        <v>254</v>
      </c>
      <c r="E36" s="13">
        <v>42759.268807870372</v>
      </c>
      <c r="F36" s="13">
        <v>42759.271006944444</v>
      </c>
      <c r="G36" s="7">
        <v>1</v>
      </c>
      <c r="H36" s="22" t="s">
        <v>727</v>
      </c>
      <c r="I36" s="13">
        <v>42759.301747685182</v>
      </c>
      <c r="J36" s="7">
        <v>0</v>
      </c>
      <c r="K36" s="105" t="str">
        <f t="shared" si="0"/>
        <v>4051/4052</v>
      </c>
      <c r="L36" s="22" t="str">
        <f>VLOOKUP(A36,'Trips&amp;Operators'!$C$1:$G$99999,5,FALSE)</f>
        <v>DAVIS WENDY</v>
      </c>
      <c r="M36" s="6">
        <f t="shared" si="1"/>
        <v>3.0740740738110617E-2</v>
      </c>
      <c r="N36" s="7">
        <f t="shared" si="20"/>
        <v>44.266666662879288</v>
      </c>
      <c r="O36" s="7"/>
      <c r="P36" s="7"/>
      <c r="Q36" s="23"/>
      <c r="R36" s="23"/>
      <c r="S36" s="32">
        <f t="shared" si="21"/>
        <v>1</v>
      </c>
      <c r="T36" s="47" t="str">
        <f t="shared" si="3"/>
        <v>NorthBound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4"/>
        <v>https://d0f6bd738d7f1b3e5a7ca70fe4ff75f0.us-east-1.aws.found.io/app/kibana#/discover/Steve-Slow-Train-Analysis-(2080s-and-2083s)?_g=(refreshInterval:(display:Off,pause:!f,section:0,value:0),time:(from:'2017-01-24T05:27:05-0700',mode:absolute,to:'2017-01-24T08:14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6" s="49" t="str">
        <f t="shared" si="5"/>
        <v>N</v>
      </c>
      <c r="X36" s="170">
        <f t="shared" si="6"/>
        <v>1</v>
      </c>
      <c r="Y36" s="64">
        <f t="shared" si="7"/>
        <v>4.6600000000000003E-2</v>
      </c>
      <c r="Z36" s="64">
        <f t="shared" si="8"/>
        <v>23.329799999999999</v>
      </c>
      <c r="AA36" s="64">
        <f t="shared" si="9"/>
        <v>23.283199999999997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0"/>
        <v>0123-24</v>
      </c>
      <c r="AE36" s="87" t="str">
        <f t="shared" si="11"/>
        <v>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 &amp; aws s3 cp s3://rtdc.mdm.uploadarchive.raw/RTDC4051/ "%USERPROFILE%\AppData\Local\Temp\OnboardLogs"\RTDC4051\2017-01-25 --exclude "*" --recursive --include "*20170125*" &amp; "%USERPROFILE%\Documents\GitHub\mrs-test-scripts\Headless Mode &amp; Sideloading\WalkAndUnGZ.bat" "%USERPROFILE%\AppData\Local\Temp\OnboardLogs"\RTDC4051\2017-01-25</v>
      </c>
      <c r="AF36" s="84" t="str">
        <f t="shared" si="12"/>
        <v>"C:\Program Files (x86)\AstroGrep\AstroGrep.exe" /spath="%USERPROFILE%\AppData\Local\Temp\OnboardLogs" /stypes="app*4051*20170124*" /stext=" 14:.+((SYSTEM_STATE.+slice.+state.+changed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8" t="str">
        <f t="shared" si="17"/>
        <v>"%USERPROFILE%\Documents\GitHub\eaglep3\Utilities\RefineRTDCRunTimes.py" --tripid 123-24 --locoid 4051 --swversion DE.1.0.8.0 --startMP 204:466 --initTime 2017-01-24T06:27:05 --startdatetime 2017-01-24T06:30:15 --delay 1 --endMP 204:233298 --enddatetime 2017-01-24T07:14:31 --enforcementcount 0 &gt;&gt;C:\Users\stu\Documents\GitHub\eaglep3-reporting\EC\2017-01-24-refined-times.txt</v>
      </c>
      <c r="AI36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{"issue":{"subject":"","project_id":79,"tracker_id":40,"status_id":1,"priority_id":2,"assigned_to_id":23,"start_date":"2017-01-24","description":"","custom_fields":[{"id":1,"name":"Subdivision","value":"EC"},{"id":4,"name":"Milepost","value":"23.3298"},{"id":17,"name":"Train ID","value":"123-24"},{"id":16,"name":"Locomotive ID","value":"4051"},{"id":130,"name":"Impact","value":""},{"id":150,"name":"Time of Event (Mountain Time)","value":"07:14:31"},{"id":151,"name":"Denver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19"/>
        <v>start /low /b %USERPROFILE%\Documents\GitHub\eaglep3\Utilities\DownloadLogsFromS3.py --loco 4051 --day 2017-01-24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537</v>
      </c>
      <c r="B37" s="7">
        <v>4052</v>
      </c>
      <c r="C37" s="22" t="s">
        <v>196</v>
      </c>
      <c r="D37" s="22" t="s">
        <v>418</v>
      </c>
      <c r="E37" s="13">
        <v>42759.307511574072</v>
      </c>
      <c r="F37" s="13">
        <v>42759.309918981482</v>
      </c>
      <c r="G37" s="7">
        <v>1</v>
      </c>
      <c r="H37" s="22" t="s">
        <v>403</v>
      </c>
      <c r="I37" s="13">
        <v>42759.341643518521</v>
      </c>
      <c r="J37" s="7">
        <v>0</v>
      </c>
      <c r="K37" s="105" t="str">
        <f t="shared" si="0"/>
        <v>4051/4052</v>
      </c>
      <c r="L37" s="22" t="str">
        <f>VLOOKUP(A37,'Trips&amp;Operators'!$C$1:$G$99999,5,FALSE)</f>
        <v>DAVIS WENDY</v>
      </c>
      <c r="M37" s="6">
        <f t="shared" si="1"/>
        <v>3.1724537038826384E-2</v>
      </c>
      <c r="N37" s="7">
        <f t="shared" si="20"/>
        <v>45.683333335909992</v>
      </c>
      <c r="O37" s="7"/>
      <c r="P37" s="7"/>
      <c r="Q37" s="23"/>
      <c r="R37" s="23"/>
      <c r="S37" s="32">
        <f t="shared" si="21"/>
        <v>1</v>
      </c>
      <c r="T37" s="47" t="str">
        <f t="shared" si="3"/>
        <v>Southbound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4"/>
        <v>https://d0f6bd738d7f1b3e5a7ca70fe4ff75f0.us-east-1.aws.found.io/app/kibana#/discover/Steve-Slow-Train-Analysis-(2080s-and-2083s)?_g=(refreshInterval:(display:Off,pause:!f,section:0,value:0),time:(from:'2017-01-24T06:22:49-0700',mode:absolute,to:'2017-01-24T09:11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49" t="str">
        <f t="shared" si="5"/>
        <v>N</v>
      </c>
      <c r="X37" s="170">
        <f t="shared" si="6"/>
        <v>1</v>
      </c>
      <c r="Y37" s="64">
        <f t="shared" si="7"/>
        <v>23.299399999999999</v>
      </c>
      <c r="Z37" s="64">
        <f t="shared" si="8"/>
        <v>1.3599999999999999E-2</v>
      </c>
      <c r="AA37" s="64">
        <f t="shared" si="9"/>
        <v>23.285799999999998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0"/>
        <v>0124-24</v>
      </c>
      <c r="AE37" s="87" t="str">
        <f t="shared" si="11"/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AF37" s="84" t="str">
        <f t="shared" si="12"/>
        <v>"C:\Program Files (x86)\AstroGrep\AstroGrep.exe" /spath="%USERPROFILE%\AppData\Local\Temp\OnboardLogs" /stypes="app*4052*20170124*" /stext=" 15:.+((SYSTEM_STATE.+slice.+state.+changed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8" t="str">
        <f t="shared" si="17"/>
        <v>"%USERPROFILE%\Documents\GitHub\eaglep3\Utilities\RefineRTDCRunTimes.py" --tripid 124-24 --locoid 4052 --swversion DE.1.0.8.0 --startMP 204:232994 --initTime 2017-01-24T07:22:49 --startdatetime 2017-01-24T07:26:17 --delay 1 --endMP 204:136 --enddatetime 2017-01-24T08:11:58 --enforcementcount 0 &gt;&gt;C:\Users\stu\Documents\GitHub\eaglep3-reporting\EC\2017-01-24-refined-times.txt</v>
      </c>
      <c r="AI37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{"issue":{"subject":"","project_id":79,"tracker_id":40,"status_id":1,"priority_id":2,"assigned_to_id":23,"start_date":"2017-01-24","description":"","custom_fields":[{"id":1,"name":"Subdivision","value":"EC"},{"id":4,"name":"Milepost","value":"0.0136"},{"id":17,"name":"Train ID","value":"124-24"},{"id":16,"name":"Locomotive ID","value":"4052"},{"id":130,"name":"Impact","value":""},{"id":150,"name":"Time of Event (Mountain Time)","value":"08:11:58"},{"id":151,"name":"Denver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19"/>
        <v>start /low /b %USERPROFILE%\Documents\GitHub\eaglep3\Utilities\DownloadLogsFromS3.py --loco 4052 --day 2017-01-24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531</v>
      </c>
      <c r="B38" s="7">
        <v>4042</v>
      </c>
      <c r="C38" s="22" t="s">
        <v>196</v>
      </c>
      <c r="D38" s="22" t="s">
        <v>343</v>
      </c>
      <c r="E38" s="13">
        <v>42759.288912037038</v>
      </c>
      <c r="F38" s="13">
        <v>42759.291990740741</v>
      </c>
      <c r="G38" s="7">
        <v>1</v>
      </c>
      <c r="H38" s="22" t="s">
        <v>719</v>
      </c>
      <c r="I38" s="13">
        <v>42759.323599537034</v>
      </c>
      <c r="J38" s="7">
        <v>0</v>
      </c>
      <c r="K38" s="105" t="str">
        <f t="shared" si="0"/>
        <v>4041/4042</v>
      </c>
      <c r="L38" s="22" t="str">
        <f>VLOOKUP(A38,'Trips&amp;Operators'!$C$1:$G$99999,5,FALSE)</f>
        <v>SPECTOR MICHAEL</v>
      </c>
      <c r="M38" s="6">
        <f t="shared" si="1"/>
        <v>3.1608796292857733E-2</v>
      </c>
      <c r="N38" s="7">
        <f t="shared" si="20"/>
        <v>45.516666661715135</v>
      </c>
      <c r="O38" s="7"/>
      <c r="P38" s="7"/>
      <c r="Q38" s="23"/>
      <c r="R38" s="23"/>
      <c r="S38" s="32">
        <f t="shared" si="21"/>
        <v>1</v>
      </c>
      <c r="T38" s="47" t="str">
        <f t="shared" si="3"/>
        <v>NorthBound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4"/>
        <v>https://d0f6bd738d7f1b3e5a7ca70fe4ff75f0.us-east-1.aws.found.io/app/kibana#/discover/Steve-Slow-Train-Analysis-(2080s-and-2083s)?_g=(refreshInterval:(display:Off,pause:!f,section:0,value:0),time:(from:'2017-01-24T05:56:02-0700',mode:absolute,to:'2017-01-24T08:45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8" s="49" t="str">
        <f t="shared" si="5"/>
        <v>N</v>
      </c>
      <c r="X38" s="170">
        <f t="shared" si="6"/>
        <v>1</v>
      </c>
      <c r="Y38" s="64">
        <f t="shared" si="7"/>
        <v>4.7100000000000003E-2</v>
      </c>
      <c r="Z38" s="64">
        <f t="shared" si="8"/>
        <v>23.331800000000001</v>
      </c>
      <c r="AA38" s="64">
        <f t="shared" si="9"/>
        <v>23.284700000000001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0"/>
        <v>0125-24</v>
      </c>
      <c r="AE38" s="87" t="str">
        <f t="shared" si="11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38" s="84" t="str">
        <f t="shared" si="12"/>
        <v>"C:\Program Files (x86)\AstroGrep\AstroGrep.exe" /spath="%USERPROFILE%\AppData\Local\Temp\OnboardLogs" /stypes="app*4042*20170124*" /stext=" 14:.+((SYSTEM_STATE.+slice.+state.+changed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8" t="str">
        <f t="shared" si="17"/>
        <v>"%USERPROFILE%\Documents\GitHub\eaglep3\Utilities\RefineRTDCRunTimes.py" --tripid 125-24 --locoid 4042 --swversion DE.1.0.8.0 --startMP 204:471 --initTime 2017-01-24T06:56:02 --startdatetime 2017-01-24T07:00:28 --delay 1 --endMP 204:233318 --enddatetime 2017-01-24T07:45:59 --enforcementcount 0 &gt;&gt;C:\Users\stu\Documents\GitHub\eaglep3-reporting\EC\2017-01-24-refined-times.txt</v>
      </c>
      <c r="AI38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{"issue":{"subject":"","project_id":79,"tracker_id":40,"status_id":1,"priority_id":2,"assigned_to_id":23,"start_date":"2017-01-24","description":"","custom_fields":[{"id":1,"name":"Subdivision","value":"EC"},{"id":4,"name":"Milepost","value":"23.3318"},{"id":17,"name":"Train ID","value":"125-24"},{"id":16,"name":"Locomotive ID","value":"4042"},{"id":130,"name":"Impact","value":""},{"id":150,"name":"Time of Event (Mountain Time)","value":"07:45:59"},{"id":151,"name":"Denver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19"/>
        <v>start /low /b %USERPROFILE%\Documents\GitHub\eaglep3\Utilities\DownloadLogsFromS3.py --loco 4042 --day 2017-01-24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"%USERPROFILE%\AppData\Local\Temp\OnboardLogs"\RTDC4042\*4042*20170124* | grep -SE "(Enforcement Action)|(\[TIMEOUT)|(CHR.+\|PRM\|1\|D.+(SWITCH|SIGNAL).+UNKNOWN)" - &gt;&gt; 2017-01-24-UncaughtWiMAX.txt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541</v>
      </c>
      <c r="B39" s="7">
        <v>4041</v>
      </c>
      <c r="C39" s="22" t="s">
        <v>196</v>
      </c>
      <c r="D39" s="22" t="s">
        <v>268</v>
      </c>
      <c r="E39" s="13">
        <v>42759.325682870367</v>
      </c>
      <c r="F39" s="13">
        <v>42759.327546296299</v>
      </c>
      <c r="G39" s="7">
        <v>1</v>
      </c>
      <c r="H39" s="22" t="s">
        <v>415</v>
      </c>
      <c r="I39" s="13">
        <v>42759.359097222223</v>
      </c>
      <c r="J39" s="7">
        <v>0</v>
      </c>
      <c r="K39" s="105" t="str">
        <f t="shared" si="0"/>
        <v>4041/4042</v>
      </c>
      <c r="L39" s="22" t="str">
        <f>VLOOKUP(A39,'Trips&amp;Operators'!$C$1:$G$99999,5,FALSE)</f>
        <v>SPECTOR MICHAEL</v>
      </c>
      <c r="M39" s="6">
        <f t="shared" si="1"/>
        <v>3.1550925923511386E-2</v>
      </c>
      <c r="N39" s="7">
        <f t="shared" si="20"/>
        <v>45.433333329856396</v>
      </c>
      <c r="O39" s="7"/>
      <c r="P39" s="7"/>
      <c r="Q39" s="23"/>
      <c r="R39" s="23"/>
      <c r="S39" s="32">
        <f t="shared" si="21"/>
        <v>1</v>
      </c>
      <c r="T39" s="47" t="str">
        <f t="shared" si="3"/>
        <v>Southbound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4"/>
        <v>https://d0f6bd738d7f1b3e5a7ca70fe4ff75f0.us-east-1.aws.found.io/app/kibana#/discover/Steve-Slow-Train-Analysis-(2080s-and-2083s)?_g=(refreshInterval:(display:Off,pause:!f,section:0,value:0),time:(from:'2017-01-24T06:48:59-0700',mode:absolute,to:'2017-01-24T09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9" s="49" t="str">
        <f t="shared" si="5"/>
        <v>N</v>
      </c>
      <c r="X39" s="170">
        <f t="shared" si="6"/>
        <v>1</v>
      </c>
      <c r="Y39" s="64">
        <f t="shared" si="7"/>
        <v>23.299600000000002</v>
      </c>
      <c r="Z39" s="64">
        <f t="shared" si="8"/>
        <v>0.1171</v>
      </c>
      <c r="AA39" s="64">
        <f t="shared" si="9"/>
        <v>23.182500000000001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0"/>
        <v>0126-24</v>
      </c>
      <c r="AE39" s="87" t="str">
        <f t="shared" si="11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39" s="84" t="str">
        <f t="shared" si="12"/>
        <v>"C:\Program Files (x86)\AstroGrep\AstroGrep.exe" /spath="%USERPROFILE%\AppData\Local\Temp\OnboardLogs" /stypes="app*4041*20170124*" /stext=" 15:.+((SYSTEM_STATE.+slice.+state.+changed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8" t="str">
        <f t="shared" si="17"/>
        <v>"%USERPROFILE%\Documents\GitHub\eaglep3\Utilities\RefineRTDCRunTimes.py" --tripid 126-24 --locoid 4041 --swversion DE.1.0.8.0 --startMP 204:232996 --initTime 2017-01-24T07:48:59 --startdatetime 2017-01-24T07:51:40 --delay 1 --endMP 204:1171 --enddatetime 2017-01-24T08:37:06 --enforcementcount 0 &gt;&gt;C:\Users\stu\Documents\GitHub\eaglep3-reporting\EC\2017-01-24-refined-times.txt</v>
      </c>
      <c r="AI39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{"issue":{"subject":"","project_id":79,"tracker_id":40,"status_id":1,"priority_id":2,"assigned_to_id":23,"start_date":"2017-01-24","description":"","custom_fields":[{"id":1,"name":"Subdivision","value":"EC"},{"id":4,"name":"Milepost","value":"0.1171"},{"id":17,"name":"Train ID","value":"126-24"},{"id":16,"name":"Locomotive ID","value":"4041"},{"id":130,"name":"Impact","value":""},{"id":150,"name":"Time of Event (Mountain Time)","value":"08:37:06"},{"id":151,"name":"Denver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19"/>
        <v>start /low /b %USERPROFILE%\Documents\GitHub\eaglep3\Utilities\DownloadLogsFromS3.py --loco 4041 --day 2017-01-24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533</v>
      </c>
      <c r="B40" s="7">
        <v>4027</v>
      </c>
      <c r="C40" s="22" t="s">
        <v>196</v>
      </c>
      <c r="D40" s="22" t="s">
        <v>365</v>
      </c>
      <c r="E40" s="13">
        <v>42759.291539351849</v>
      </c>
      <c r="F40" s="13">
        <v>42759.296863425923</v>
      </c>
      <c r="G40" s="7">
        <v>3</v>
      </c>
      <c r="H40" s="22" t="s">
        <v>727</v>
      </c>
      <c r="I40" s="13">
        <v>42759.326354166667</v>
      </c>
      <c r="J40" s="7">
        <v>0</v>
      </c>
      <c r="K40" s="105" t="str">
        <f t="shared" si="0"/>
        <v>4027/4028</v>
      </c>
      <c r="L40" s="22" t="str">
        <f>VLOOKUP(A40,'Trips&amp;Operators'!$C$1:$G$99999,5,FALSE)</f>
        <v>COOLAHAN JOHN</v>
      </c>
      <c r="M40" s="6">
        <f t="shared" si="1"/>
        <v>2.9490740744222421E-2</v>
      </c>
      <c r="N40" s="7">
        <f t="shared" si="20"/>
        <v>42.466666671680287</v>
      </c>
      <c r="O40" s="7"/>
      <c r="P40" s="7"/>
      <c r="Q40" s="23"/>
      <c r="R40" s="23"/>
      <c r="S40" s="32">
        <f t="shared" si="21"/>
        <v>1</v>
      </c>
      <c r="T40" s="47" t="str">
        <f t="shared" si="3"/>
        <v>NorthBound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4"/>
        <v>https://d0f6bd738d7f1b3e5a7ca70fe4ff75f0.us-east-1.aws.found.io/app/kibana#/discover/Steve-Slow-Train-Analysis-(2080s-and-2083s)?_g=(refreshInterval:(display:Off,pause:!f,section:0,value:0),time:(from:'2017-01-24T05:59:49-0700',mode:absolute,to:'2017-01-24T08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0" s="49" t="str">
        <f t="shared" si="5"/>
        <v>N</v>
      </c>
      <c r="X40" s="170">
        <f t="shared" si="6"/>
        <v>1</v>
      </c>
      <c r="Y40" s="64">
        <f t="shared" si="7"/>
        <v>4.9500000000000002E-2</v>
      </c>
      <c r="Z40" s="64">
        <f t="shared" si="8"/>
        <v>23.329799999999999</v>
      </c>
      <c r="AA40" s="64">
        <f t="shared" si="9"/>
        <v>23.2803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0"/>
        <v>0127-24</v>
      </c>
      <c r="AE40" s="87" t="str">
        <f t="shared" si="11"/>
        <v>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 &amp; 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</v>
      </c>
      <c r="AF40" s="84" t="str">
        <f t="shared" si="12"/>
        <v>"C:\Program Files (x86)\AstroGrep\AstroGrep.exe" /spath="%USERPROFILE%\AppData\Local\Temp\OnboardLogs" /stypes="app*4027*20170124*" /stext=" 14:.+((SYSTEM_STATE.+slice.+state.+changed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8" t="str">
        <f t="shared" si="17"/>
        <v>"%USERPROFILE%\Documents\GitHub\eaglep3\Utilities\RefineRTDCRunTimes.py" --tripid 127-24 --locoid 4027 --swversion DE.1.0.8.0 --startMP 204:495 --initTime 2017-01-24T06:59:49 --startdatetime 2017-01-24T07:07:29 --delay 3 --endMP 204:233298 --enddatetime 2017-01-24T07:49:57 --enforcementcount 0 &gt;&gt;C:\Users\stu\Documents\GitHub\eaglep3-reporting\EC\2017-01-24-refined-times.txt</v>
      </c>
      <c r="AI40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{"issue":{"subject":"","project_id":79,"tracker_id":40,"status_id":1,"priority_id":2,"assigned_to_id":23,"start_date":"2017-01-24","description":"","custom_fields":[{"id":1,"name":"Subdivision","value":"EC"},{"id":4,"name":"Milepost","value":"23.3298"},{"id":17,"name":"Train ID","value":"127-24"},{"id":16,"name":"Locomotive ID","value":"4027"},{"id":130,"name":"Impact","value":""},{"id":150,"name":"Time of Event (Mountain Time)","value":"07:49:57"},{"id":151,"name":"Denver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19"/>
        <v>start /low /b %USERPROFILE%\Documents\GitHub\eaglep3\Utilities\DownloadLogsFromS3.py --loco 4027 --day 2017-01-24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543</v>
      </c>
      <c r="B41" s="7">
        <v>4028</v>
      </c>
      <c r="C41" s="22" t="s">
        <v>196</v>
      </c>
      <c r="D41" s="22" t="s">
        <v>363</v>
      </c>
      <c r="E41" s="13">
        <v>42759.327731481484</v>
      </c>
      <c r="F41" s="13">
        <v>42759.331087962964</v>
      </c>
      <c r="G41" s="7">
        <v>2</v>
      </c>
      <c r="H41" s="22" t="s">
        <v>186</v>
      </c>
      <c r="I41" s="13">
        <v>42759.361643518518</v>
      </c>
      <c r="J41" s="7">
        <v>0</v>
      </c>
      <c r="K41" s="105" t="str">
        <f t="shared" si="0"/>
        <v>4027/4028</v>
      </c>
      <c r="L41" s="22" t="str">
        <f>VLOOKUP(A41,'Trips&amp;Operators'!$C$1:$G$99999,5,FALSE)</f>
        <v>COOLAHAN JOHN</v>
      </c>
      <c r="M41" s="6">
        <f t="shared" si="1"/>
        <v>3.0555555553291924E-2</v>
      </c>
      <c r="N41" s="7">
        <f t="shared" si="20"/>
        <v>43.999999996740371</v>
      </c>
      <c r="O41" s="7"/>
      <c r="P41" s="7"/>
      <c r="Q41" s="23"/>
      <c r="R41" s="23"/>
      <c r="S41" s="32">
        <f t="shared" si="21"/>
        <v>1</v>
      </c>
      <c r="T41" s="47" t="str">
        <f t="shared" si="3"/>
        <v>Southbound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4"/>
        <v>https://d0f6bd738d7f1b3e5a7ca70fe4ff75f0.us-east-1.aws.found.io/app/kibana#/discover/Steve-Slow-Train-Analysis-(2080s-and-2083s)?_g=(refreshInterval:(display:Off,pause:!f,section:0,value:0),time:(from:'2017-01-24T06:51:56-0700',mode:absolute,to:'2017-01-24T09:40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49" t="str">
        <f t="shared" si="5"/>
        <v>N</v>
      </c>
      <c r="X41" s="170">
        <f t="shared" si="6"/>
        <v>1</v>
      </c>
      <c r="Y41" s="64">
        <f t="shared" si="7"/>
        <v>23.3002</v>
      </c>
      <c r="Z41" s="64">
        <f t="shared" si="8"/>
        <v>1.49E-2</v>
      </c>
      <c r="AA41" s="64">
        <f t="shared" si="9"/>
        <v>23.285299999999999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0"/>
        <v>0128-24</v>
      </c>
      <c r="AE41" s="87" t="str">
        <f t="shared" si="11"/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AF41" s="84" t="str">
        <f t="shared" si="12"/>
        <v>"C:\Program Files (x86)\AstroGrep\AstroGrep.exe" /spath="%USERPROFILE%\AppData\Local\Temp\OnboardLogs" /stypes="app*4028*20170124*" /stext=" 15:.+((SYSTEM_STATE.+slice.+state.+changed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8" t="str">
        <f t="shared" si="17"/>
        <v>"%USERPROFILE%\Documents\GitHub\eaglep3\Utilities\RefineRTDCRunTimes.py" --tripid 128-24 --locoid 4028 --swversion DE.1.0.8.0 --startMP 204:233002 --initTime 2017-01-24T07:51:56 --startdatetime 2017-01-24T07:56:46 --delay 2 --endMP 204:149 --enddatetime 2017-01-24T08:40:46 --enforcementcount 0 &gt;&gt;C:\Users\stu\Documents\GitHub\eaglep3-reporting\EC\2017-01-24-refined-times.txt</v>
      </c>
      <c r="AI41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{"issue":{"subject":"","project_id":79,"tracker_id":40,"status_id":1,"priority_id":2,"assigned_to_id":23,"start_date":"2017-01-24","description":"","custom_fields":[{"id":1,"name":"Subdivision","value":"EC"},{"id":4,"name":"Milepost","value":"0.0149"},{"id":17,"name":"Train ID","value":"128-24"},{"id":16,"name":"Locomotive ID","value":"4028"},{"id":130,"name":"Impact","value":""},{"id":150,"name":"Time of Event (Mountain Time)","value":"08:40:46"},{"id":151,"name":"Denver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19"/>
        <v>start /low /b %USERPROFILE%\Documents\GitHub\eaglep3\Utilities\DownloadLogsFromS3.py --loco 4028 --day 2017-01-24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535</v>
      </c>
      <c r="B42" s="7">
        <v>4038</v>
      </c>
      <c r="C42" s="22" t="s">
        <v>196</v>
      </c>
      <c r="D42" s="22" t="s">
        <v>263</v>
      </c>
      <c r="E42" s="13">
        <v>42759.301655092589</v>
      </c>
      <c r="F42" s="13">
        <v>42759.305011574077</v>
      </c>
      <c r="G42" s="7">
        <v>1</v>
      </c>
      <c r="H42" s="22" t="s">
        <v>255</v>
      </c>
      <c r="I42" s="13">
        <v>42759.33384259259</v>
      </c>
      <c r="J42" s="7">
        <v>0</v>
      </c>
      <c r="K42" s="105" t="str">
        <f t="shared" si="0"/>
        <v>4037/4038</v>
      </c>
      <c r="L42" s="22" t="str">
        <f>VLOOKUP(A42,'Trips&amp;Operators'!$C$1:$G$99999,5,FALSE)</f>
        <v>ROCHA YAOTL</v>
      </c>
      <c r="M42" s="6">
        <f t="shared" si="1"/>
        <v>2.8831018513301387E-2</v>
      </c>
      <c r="N42" s="7">
        <f t="shared" si="20"/>
        <v>41.516666659153998</v>
      </c>
      <c r="O42" s="7"/>
      <c r="P42" s="7"/>
      <c r="Q42" s="23"/>
      <c r="R42" s="23"/>
      <c r="S42" s="32">
        <f t="shared" si="21"/>
        <v>1</v>
      </c>
      <c r="T42" s="47" t="str">
        <f t="shared" si="3"/>
        <v>NorthBound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4"/>
        <v>https://d0f6bd738d7f1b3e5a7ca70fe4ff75f0.us-east-1.aws.found.io/app/kibana#/discover/Steve-Slow-Train-Analysis-(2080s-and-2083s)?_g=(refreshInterval:(display:Off,pause:!f,section:0,value:0),time:(from:'2017-01-24T06:14:23-0700',mode:absolute,to:'2017-01-24T09:00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2" s="49" t="str">
        <f t="shared" si="5"/>
        <v>N</v>
      </c>
      <c r="X42" s="170">
        <f t="shared" si="6"/>
        <v>1</v>
      </c>
      <c r="Y42" s="64">
        <f t="shared" si="7"/>
        <v>4.5699999999999998E-2</v>
      </c>
      <c r="Z42" s="64">
        <f t="shared" si="8"/>
        <v>23.329499999999999</v>
      </c>
      <c r="AA42" s="64">
        <f t="shared" si="9"/>
        <v>23.283799999999999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0"/>
        <v>0129-24</v>
      </c>
      <c r="AE42" s="87" t="str">
        <f t="shared" si="11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42" s="84" t="str">
        <f t="shared" si="12"/>
        <v>"C:\Program Files (x86)\AstroGrep\AstroGrep.exe" /spath="%USERPROFILE%\AppData\Local\Temp\OnboardLogs" /stypes="app*4038*20170124*"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8" t="str">
        <f t="shared" si="17"/>
        <v>"%USERPROFILE%\Documents\GitHub\eaglep3\Utilities\RefineRTDCRunTimes.py" --tripid 129-24 --locoid 4038 --swversion DE.1.0.8.0 --startMP 204:457 --initTime 2017-01-24T07:14:23 --startdatetime 2017-01-24T07:19:13 --delay 1 --endMP 204:233295 --enddatetime 2017-01-24T08:00:44 --enforcementcount 0 &gt;&gt;C:\Users\stu\Documents\GitHub\eaglep3-reporting\EC\2017-01-24-refined-times.txt</v>
      </c>
      <c r="AI42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{"issue":{"subject":"","project_id":79,"tracker_id":40,"status_id":1,"priority_id":2,"assigned_to_id":23,"start_date":"2017-01-24","description":"","custom_fields":[{"id":1,"name":"Subdivision","value":"EC"},{"id":4,"name":"Milepost","value":"23.3295"},{"id":17,"name":"Train ID","value":"129-24"},{"id":16,"name":"Locomotive ID","value":"4038"},{"id":130,"name":"Impact","value":""},{"id":150,"name":"Time of Event (Mountain Time)","value":"08:00:44"},{"id":151,"name":"Denver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19"/>
        <v>start /low /b %USERPROFILE%\Documents\GitHub\eaglep3\Utilities\DownloadLogsFromS3.py --loco 4038 --day 2017-01-24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"%USERPROFILE%\AppData\Local\Temp\OnboardLogs"\RTDC4038\*4038*20170124* | grep -SE "(Enforcement Action)|(\[TIMEOUT)|(CHR.+\|PRM\|1\|D.+(SWITCH|SIGNAL).+UNKNOWN)" - &gt;&gt; 2017-01-24-UncaughtWiMAX.txt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546</v>
      </c>
      <c r="B43" s="7">
        <v>4037</v>
      </c>
      <c r="C43" s="22" t="s">
        <v>196</v>
      </c>
      <c r="D43" s="22" t="s">
        <v>714</v>
      </c>
      <c r="E43" s="13">
        <v>42759.339259259257</v>
      </c>
      <c r="F43" s="13">
        <v>42759.341238425928</v>
      </c>
      <c r="G43" s="7">
        <v>1</v>
      </c>
      <c r="H43" s="22" t="s">
        <v>200</v>
      </c>
      <c r="I43" s="13">
        <v>42759.369120370371</v>
      </c>
      <c r="J43" s="7">
        <v>0</v>
      </c>
      <c r="K43" s="105" t="str">
        <f t="shared" si="0"/>
        <v>4037/4038</v>
      </c>
      <c r="L43" s="22" t="str">
        <f>VLOOKUP(A43,'Trips&amp;Operators'!$C$1:$G$99999,5,FALSE)</f>
        <v>ROCHA YAOTL</v>
      </c>
      <c r="M43" s="6">
        <f t="shared" si="1"/>
        <v>2.7881944442924578E-2</v>
      </c>
      <c r="N43" s="7">
        <f t="shared" si="20"/>
        <v>40.149999997811392</v>
      </c>
      <c r="O43" s="7"/>
      <c r="P43" s="7"/>
      <c r="Q43" s="23"/>
      <c r="R43" s="23"/>
      <c r="S43" s="32">
        <f t="shared" si="21"/>
        <v>1</v>
      </c>
      <c r="T43" s="47" t="str">
        <f t="shared" si="3"/>
        <v>Southbound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4"/>
        <v>https://d0f6bd738d7f1b3e5a7ca70fe4ff75f0.us-east-1.aws.found.io/app/kibana#/discover/Steve-Slow-Train-Analysis-(2080s-and-2083s)?_g=(refreshInterval:(display:Off,pause:!f,section:0,value:0),time:(from:'2017-01-24T07:08:32-0700',mode:absolute,to:'2017-01-24T09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3" s="49" t="str">
        <f t="shared" si="5"/>
        <v>N</v>
      </c>
      <c r="X43" s="170">
        <f t="shared" si="6"/>
        <v>1</v>
      </c>
      <c r="Y43" s="64">
        <f t="shared" si="7"/>
        <v>23.298400000000001</v>
      </c>
      <c r="Z43" s="64">
        <f t="shared" si="8"/>
        <v>1.4999999999999999E-2</v>
      </c>
      <c r="AA43" s="64">
        <f t="shared" si="9"/>
        <v>23.2834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0"/>
        <v>0130-24</v>
      </c>
      <c r="AE43" s="87" t="str">
        <f t="shared" si="11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43" s="84" t="str">
        <f t="shared" si="12"/>
        <v>"C:\Program Files (x86)\AstroGrep\AstroGrep.exe" /spath="%USERPROFILE%\AppData\Local\Temp\OnboardLogs" /stypes="app*4037*20170124*"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8" t="str">
        <f t="shared" si="17"/>
        <v>"%USERPROFILE%\Documents\GitHub\eaglep3\Utilities\RefineRTDCRunTimes.py" --tripid 130-24 --locoid 4037 --swversion DE.1.0.8.0 --startMP 204:232984 --initTime 2017-01-24T08:08:32 --startdatetime 2017-01-24T08:11:23 --delay 1 --endMP 204:150 --enddatetime 2017-01-24T08:51:32 --enforcementcount 0 &gt;&gt;C:\Users\stu\Documents\GitHub\eaglep3-reporting\EC\2017-01-24-refined-times.txt</v>
      </c>
      <c r="AI43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{"issue":{"subject":"","project_id":79,"tracker_id":40,"status_id":1,"priority_id":2,"assigned_to_id":23,"start_date":"2017-01-24","description":"","custom_fields":[{"id":1,"name":"Subdivision","value":"EC"},{"id":4,"name":"Milepost","value":"0.015"},{"id":17,"name":"Train ID","value":"130-24"},{"id":16,"name":"Locomotive ID","value":"4037"},{"id":130,"name":"Impact","value":""},{"id":150,"name":"Time of Event (Mountain Time)","value":"08:51:32"},{"id":151,"name":"Denver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19"/>
        <v>start /low /b %USERPROFILE%\Documents\GitHub\eaglep3\Utilities\DownloadLogsFromS3.py --loco 4037 --day 2017-01-24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"%USERPROFILE%\AppData\Local\Temp\OnboardLogs"\RTDC4037\*4037*20170124* | grep -SE "(Enforcement Action)|(\[TIMEOUT)|(CHR.+\|PRM\|1\|D.+(SWITCH|SIGNAL).+UNKNOWN)" - &gt;&gt; 2017-01-24-UncaughtWiMAX.txt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538</v>
      </c>
      <c r="B44" s="7">
        <v>4007</v>
      </c>
      <c r="C44" s="22" t="s">
        <v>196</v>
      </c>
      <c r="D44" s="22" t="s">
        <v>728</v>
      </c>
      <c r="E44" s="13">
        <v>42759.308877314812</v>
      </c>
      <c r="F44" s="13">
        <v>42759.313530092593</v>
      </c>
      <c r="G44" s="7">
        <v>1</v>
      </c>
      <c r="H44" s="22" t="s">
        <v>300</v>
      </c>
      <c r="I44" s="13">
        <v>42759.345405092594</v>
      </c>
      <c r="J44" s="7">
        <v>0</v>
      </c>
      <c r="K44" s="105" t="str">
        <f t="shared" si="0"/>
        <v>4007/4008</v>
      </c>
      <c r="L44" s="22" t="str">
        <f>VLOOKUP(A44,'Trips&amp;Operators'!$C$1:$G$99999,5,FALSE)</f>
        <v>OUN ZACK</v>
      </c>
      <c r="M44" s="6">
        <f t="shared" si="1"/>
        <v>3.1875000000582077E-2</v>
      </c>
      <c r="N44" s="7">
        <f t="shared" si="20"/>
        <v>45.90000000083819</v>
      </c>
      <c r="O44" s="7"/>
      <c r="P44" s="7"/>
      <c r="Q44" s="23"/>
      <c r="R44" s="23"/>
      <c r="S44" s="32">
        <f t="shared" si="21"/>
        <v>1</v>
      </c>
      <c r="T44" s="47" t="str">
        <f t="shared" si="3"/>
        <v>NorthBound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4"/>
        <v>https://d0f6bd738d7f1b3e5a7ca70fe4ff75f0.us-east-1.aws.found.io/app/kibana#/discover/Steve-Slow-Train-Analysis-(2080s-and-2083s)?_g=(refreshInterval:(display:Off,pause:!f,section:0,value:0),time:(from:'2017-01-24T06:24:47-0700',mode:absolute,to:'2017-01-24T09:17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49" t="str">
        <f t="shared" si="5"/>
        <v>N</v>
      </c>
      <c r="X44" s="170">
        <f t="shared" si="6"/>
        <v>1</v>
      </c>
      <c r="Y44" s="64">
        <f t="shared" si="7"/>
        <v>0.14810000000000001</v>
      </c>
      <c r="Z44" s="64">
        <f t="shared" si="8"/>
        <v>23.331</v>
      </c>
      <c r="AA44" s="64">
        <f t="shared" si="9"/>
        <v>23.1829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0"/>
        <v>0131-24</v>
      </c>
      <c r="AE44" s="87" t="str">
        <f t="shared" si="11"/>
        <v>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 &amp; aws s3 cp s3://rtdc.mdm.uploadarchive.raw/RTDC4007/ "%USERPROFILE%\AppData\Local\Temp\OnboardLogs"\RTDC4007\2017-01-25 --exclude "*" --recursive --include "*20170125*" &amp; "%USERPROFILE%\Documents\GitHub\mrs-test-scripts\Headless Mode &amp; Sideloading\WalkAndUnGZ.bat" "%USERPROFILE%\AppData\Local\Temp\OnboardLogs"\RTDC4007\2017-01-25</v>
      </c>
      <c r="AF44" s="84" t="str">
        <f t="shared" si="12"/>
        <v>"C:\Program Files (x86)\AstroGrep\AstroGrep.exe" /spath="%USERPROFILE%\AppData\Local\Temp\OnboardLogs" /stypes="app*4007*20170124*" /stext=" 15:.+((SYSTEM_STATE.+slice.+state.+changed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88" t="str">
        <f t="shared" si="17"/>
        <v>"%USERPROFILE%\Documents\GitHub\eaglep3\Utilities\RefineRTDCRunTimes.py" --tripid 131-24 --locoid 4007 --swversion DE.1.0.8.0 --startMP 204:1481 --initTime 2017-01-24T07:24:47 --startdatetime 2017-01-24T07:31:29 --delay 1 --endMP 204:233310 --enddatetime 2017-01-24T08:17:23 --enforcementcount 0 &gt;&gt;C:\Users\stu\Documents\GitHub\eaglep3-reporting\EC\2017-01-24-refined-times.txt</v>
      </c>
      <c r="AI44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{"issue":{"subject":"","project_id":79,"tracker_id":40,"status_id":1,"priority_id":2,"assigned_to_id":23,"start_date":"2017-01-24","description":"","custom_fields":[{"id":1,"name":"Subdivision","value":"EC"},{"id":4,"name":"Milepost","value":"23.331"},{"id":17,"name":"Train ID","value":"131-24"},{"id":16,"name":"Locomotive ID","value":"4007"},{"id":130,"name":"Impact","value":""},{"id":150,"name":"Time of Event (Mountain Time)","value":"08:17:23"},{"id":151,"name":"Denver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19"/>
        <v>start /low /b %USERPROFILE%\Documents\GitHub\eaglep3\Utilities\DownloadLogsFromS3.py --loco 4007 --day 2017-01-24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"%USERPROFILE%\AppData\Local\Temp\OnboardLogs"\RTDC4007\*4007*20170124* | grep -SE "(Enforcement Action)|(\[TIMEOUT)|(CHR.+\|PRM\|1\|D.+(SWITCH|SIGNAL).+UNKNOWN)" - &gt;&gt; 2017-01-24-UncaughtWiMAX.txt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548</v>
      </c>
      <c r="B45" s="7">
        <v>4008</v>
      </c>
      <c r="C45" s="22" t="s">
        <v>196</v>
      </c>
      <c r="D45" s="22" t="s">
        <v>729</v>
      </c>
      <c r="E45" s="13">
        <v>42759.347916666666</v>
      </c>
      <c r="F45" s="13">
        <v>42759.3515625</v>
      </c>
      <c r="G45" s="7">
        <v>1</v>
      </c>
      <c r="H45" s="22" t="s">
        <v>730</v>
      </c>
      <c r="I45" s="13">
        <v>42759.383032407408</v>
      </c>
      <c r="J45" s="7">
        <v>0</v>
      </c>
      <c r="K45" s="105" t="str">
        <f t="shared" si="0"/>
        <v>4007/4008</v>
      </c>
      <c r="L45" s="22" t="str">
        <f>VLOOKUP(A45,'Trips&amp;Operators'!$C$1:$G$99999,5,FALSE)</f>
        <v>OUN ZACK</v>
      </c>
      <c r="M45" s="6">
        <f t="shared" si="1"/>
        <v>3.1469907407881692E-2</v>
      </c>
      <c r="N45" s="7">
        <f t="shared" si="20"/>
        <v>45.316666667349637</v>
      </c>
      <c r="O45" s="7"/>
      <c r="P45" s="7"/>
      <c r="Q45" s="23"/>
      <c r="R45" s="23"/>
      <c r="S45" s="32">
        <f t="shared" si="21"/>
        <v>1</v>
      </c>
      <c r="T45" s="47" t="str">
        <f t="shared" si="3"/>
        <v>Southbound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4"/>
        <v>https://d0f6bd738d7f1b3e5a7ca70fe4ff75f0.us-east-1.aws.found.io/app/kibana#/discover/Steve-Slow-Train-Analysis-(2080s-and-2083s)?_g=(refreshInterval:(display:Off,pause:!f,section:0,value:0),time:(from:'2017-01-24T07:21:00-0700',mode:absolute,to:'2017-01-24T10:11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49" t="str">
        <f t="shared" si="5"/>
        <v>N</v>
      </c>
      <c r="X45" s="170">
        <f t="shared" ref="X45:X76" si="22">VALUE(LEFT(AD45,4))-VALUE(LEFT(AD44,4))</f>
        <v>1</v>
      </c>
      <c r="Y45" s="64">
        <f t="shared" ref="Y45:Y76" si="23">RIGHT(D45,LEN(D45)-4)/10000</f>
        <v>23.3017</v>
      </c>
      <c r="Z45" s="64">
        <f t="shared" ref="Z45:Z62" si="24">RIGHT(H45,LEN(H45)-4)/10000</f>
        <v>1.34E-2</v>
      </c>
      <c r="AA45" s="64">
        <f t="shared" si="9"/>
        <v>23.2883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10"/>
        <v>0132-24</v>
      </c>
      <c r="AE45" s="87" t="str">
        <f t="shared" si="11"/>
        <v>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 &amp; aws s3 cp s3://rtdc.mdm.uploadarchive.raw/RTDC4008/ "%USERPROFILE%\AppData\Local\Temp\OnboardLogs"\RTDC4008\2017-01-25 --exclude "*" --recursive --include "*20170125*" &amp; "%USERPROFILE%\Documents\GitHub\mrs-test-scripts\Headless Mode &amp; Sideloading\WalkAndUnGZ.bat" "%USERPROFILE%\AppData\Local\Temp\OnboardLogs"\RTDC4008\2017-01-25</v>
      </c>
      <c r="AF45" s="84" t="str">
        <f t="shared" si="12"/>
        <v>"C:\Program Files (x86)\AstroGrep\AstroGrep.exe" /spath="%USERPROFILE%\AppData\Local\Temp\OnboardLogs" /stypes="app*4008*20170124*" /stext=" 16:.+((SYSTEM_STATE.+slice.+state.+changed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88" t="str">
        <f t="shared" si="17"/>
        <v>"%USERPROFILE%\Documents\GitHub\eaglep3\Utilities\RefineRTDCRunTimes.py" --tripid 132-24 --locoid 4008 --swversion DE.1.0.8.0 --startMP 204:233017 --initTime 2017-01-24T08:21:00 --startdatetime 2017-01-24T08:26:15 --delay 1 --endMP 204:134 --enddatetime 2017-01-24T09:11:34 --enforcementcount 0 &gt;&gt;C:\Users\stu\Documents\GitHub\eaglep3-reporting\EC\2017-01-24-refined-times.txt</v>
      </c>
      <c r="AI45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{"issue":{"subject":"","project_id":79,"tracker_id":40,"status_id":1,"priority_id":2,"assigned_to_id":23,"start_date":"2017-01-24","description":"","custom_fields":[{"id":1,"name":"Subdivision","value":"EC"},{"id":4,"name":"Milepost","value":"0.0134"},{"id":17,"name":"Train ID","value":"132-24"},{"id":16,"name":"Locomotive ID","value":"4008"},{"id":130,"name":"Impact","value":""},{"id":150,"name":"Time of Event (Mountain Time)","value":"09:11:34"},{"id":151,"name":"Denver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19"/>
        <v>start /low /b %USERPROFILE%\Documents\GitHub\eaglep3\Utilities\DownloadLogsFromS3.py --loco 4008 --day 2017-01-24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"%USERPROFILE%\AppData\Local\Temp\OnboardLogs"\RTDC4008\*4008*20170124* | grep -SE "(Enforcement Action)|(\[TIMEOUT)|(CHR.+\|PRM\|1\|D.+(SWITCH|SIGNAL).+UNKNOWN)" - &gt;&gt; 2017-01-24-UncaughtWiMAX.txt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540</v>
      </c>
      <c r="B46" s="7">
        <v>4003</v>
      </c>
      <c r="C46" s="22" t="s">
        <v>196</v>
      </c>
      <c r="D46" s="22" t="s">
        <v>420</v>
      </c>
      <c r="E46" s="13">
        <v>42759.320127314815</v>
      </c>
      <c r="F46" s="13">
        <v>42759.323159722226</v>
      </c>
      <c r="G46" s="7">
        <v>0</v>
      </c>
      <c r="H46" s="22" t="s">
        <v>724</v>
      </c>
      <c r="I46" s="13">
        <v>42759.354328703703</v>
      </c>
      <c r="J46" s="7">
        <v>0</v>
      </c>
      <c r="K46" s="105" t="str">
        <f t="shared" si="0"/>
        <v>4003/4004</v>
      </c>
      <c r="L46" s="22" t="str">
        <f>VLOOKUP(A46,'Trips&amp;Operators'!$C$1:$G$99999,5,FALSE)</f>
        <v>MAELZER KURT</v>
      </c>
      <c r="M46" s="6">
        <f t="shared" si="1"/>
        <v>3.1168981477094349E-2</v>
      </c>
      <c r="N46" s="7">
        <f t="shared" si="20"/>
        <v>44.883333327015862</v>
      </c>
      <c r="O46" s="7"/>
      <c r="P46" s="7"/>
      <c r="Q46" s="23"/>
      <c r="R46" s="23"/>
      <c r="S46" s="32">
        <f t="shared" si="21"/>
        <v>1</v>
      </c>
      <c r="T46" s="47" t="str">
        <f t="shared" si="3"/>
        <v>NorthBound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4"/>
        <v>https://d0f6bd738d7f1b3e5a7ca70fe4ff75f0.us-east-1.aws.found.io/app/kibana#/discover/Steve-Slow-Train-Analysis-(2080s-and-2083s)?_g=(refreshInterval:(display:Off,pause:!f,section:0,value:0),time:(from:'2017-01-24T06:40:59-0700',mode:absolute,to:'2017-01-24T09:30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49" t="str">
        <f t="shared" si="5"/>
        <v>N</v>
      </c>
      <c r="X46" s="170">
        <f t="shared" si="22"/>
        <v>1</v>
      </c>
      <c r="Y46" s="64">
        <f t="shared" si="23"/>
        <v>4.3700000000000003E-2</v>
      </c>
      <c r="Z46" s="64">
        <f t="shared" si="24"/>
        <v>23.3322</v>
      </c>
      <c r="AA46" s="64">
        <f t="shared" si="9"/>
        <v>23.288499999999999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0"/>
        <v>0133-24</v>
      </c>
      <c r="AE46" s="87" t="str">
        <f t="shared" si="11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46" s="84" t="str">
        <f t="shared" si="12"/>
        <v>"C:\Program Files (x86)\AstroGrep\AstroGrep.exe" /spath="%USERPROFILE%\AppData\Local\Temp\OnboardLogs" /stypes="app*4003*20170124*" /stext=" 15:.+((SYSTEM_STATE.+slice.+state.+changed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88" t="str">
        <f t="shared" si="17"/>
        <v>"%USERPROFILE%\Documents\GitHub\eaglep3\Utilities\RefineRTDCRunTimes.py" --tripid 133-24 --locoid 4003 --swversion DE.1.0.8.0 --startMP 204:437 --initTime 2017-01-24T07:40:59 --startdatetime 2017-01-24T07:45:21 --delay 0 --endMP 204:233322 --enddatetime 2017-01-24T08:30:14 --enforcementcount 0 &gt;&gt;C:\Users\stu\Documents\GitHub\eaglep3-reporting\EC\2017-01-24-refined-times.txt</v>
      </c>
      <c r="AI46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{"issue":{"subject":"","project_id":79,"tracker_id":40,"status_id":1,"priority_id":2,"assigned_to_id":23,"start_date":"2017-01-24","description":"","custom_fields":[{"id":1,"name":"Subdivision","value":"EC"},{"id":4,"name":"Milepost","value":"23.3322"},{"id":17,"name":"Train ID","value":"133-24"},{"id":16,"name":"Locomotive ID","value":"4003"},{"id":130,"name":"Impact","value":""},{"id":150,"name":"Time of Event (Mountain Time)","value":"08:30:14"},{"id":151,"name":"Denver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19"/>
        <v>start /low /b %USERPROFILE%\Documents\GitHub\eaglep3\Utilities\DownloadLogsFromS3.py --loco 4003 --day 2017-01-24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550</v>
      </c>
      <c r="B47" s="7">
        <v>4004</v>
      </c>
      <c r="C47" s="22" t="s">
        <v>196</v>
      </c>
      <c r="D47" s="22" t="s">
        <v>268</v>
      </c>
      <c r="E47" s="13">
        <v>42759.3594212963</v>
      </c>
      <c r="F47" s="13">
        <v>42759.362233796295</v>
      </c>
      <c r="G47" s="7">
        <v>1</v>
      </c>
      <c r="H47" s="22" t="s">
        <v>205</v>
      </c>
      <c r="I47" s="13">
        <v>42759.397974537038</v>
      </c>
      <c r="J47" s="7">
        <v>0</v>
      </c>
      <c r="K47" s="105" t="str">
        <f t="shared" si="0"/>
        <v>4003/4004</v>
      </c>
      <c r="L47" s="22" t="str">
        <f>VLOOKUP(A47,'Trips&amp;Operators'!$C$1:$G$99999,5,FALSE)</f>
        <v>MAELZER KURT</v>
      </c>
      <c r="M47" s="6">
        <f t="shared" si="1"/>
        <v>3.574074074276723E-2</v>
      </c>
      <c r="N47" s="7">
        <f t="shared" si="20"/>
        <v>51.466666669584811</v>
      </c>
      <c r="O47" s="7"/>
      <c r="P47" s="7"/>
      <c r="Q47" s="23"/>
      <c r="R47" s="23" t="s">
        <v>896</v>
      </c>
      <c r="S47" s="32">
        <f t="shared" si="21"/>
        <v>1</v>
      </c>
      <c r="T47" s="47" t="str">
        <f t="shared" si="3"/>
        <v>Southbound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4"/>
        <v>https://d0f6bd738d7f1b3e5a7ca70fe4ff75f0.us-east-1.aws.found.io/app/kibana#/discover/Steve-Slow-Train-Analysis-(2080s-and-2083s)?_g=(refreshInterval:(display:Off,pause:!f,section:0,value:0),time:(from:'2017-01-24T07:37:34-0700',mode:absolute,to:'2017-01-24T10:33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7" s="49" t="str">
        <f t="shared" si="5"/>
        <v>N</v>
      </c>
      <c r="X47" s="170">
        <f t="shared" si="22"/>
        <v>1</v>
      </c>
      <c r="Y47" s="64">
        <f t="shared" si="23"/>
        <v>23.299600000000002</v>
      </c>
      <c r="Z47" s="64">
        <f t="shared" si="24"/>
        <v>1.4500000000000001E-2</v>
      </c>
      <c r="AA47" s="64">
        <f t="shared" si="9"/>
        <v>23.2851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0"/>
        <v>0134-24</v>
      </c>
      <c r="AE47" s="87" t="str">
        <f t="shared" si="11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47" s="84" t="str">
        <f t="shared" si="12"/>
        <v>"C:\Program Files (x86)\AstroGrep\AstroGrep.exe" /spath="%USERPROFILE%\AppData\Local\Temp\OnboardLogs" /stypes="app*4004*20170124*" /stext=" 16:.+((SYSTEM_STATE.+slice.+state.+changed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88" t="str">
        <f t="shared" si="17"/>
        <v>"%USERPROFILE%\Documents\GitHub\eaglep3\Utilities\RefineRTDCRunTimes.py" --tripid 134-24 --locoid 4004 --swversion DE.1.0.8.0 --startMP 204:232996 --initTime 2017-01-24T08:37:34 --startdatetime 2017-01-24T08:41:37 --delay 1 --endMP 204:145 --enddatetime 2017-01-24T09:33:05 --enforcementcount 0 &gt;&gt;C:\Users\stu\Documents\GitHub\eaglep3-reporting\EC\2017-01-24-refined-times.txt</v>
      </c>
      <c r="AI47" s="115" t="str">
        <f t="shared" si="18"/>
        <v>echo {"issue":{"subject":"Delayed by Form C's","project_id":79,"tracker_id":40,"status_id":1,"priority_id":2,"assigned_to_id":23,"start_date":"2017-01-24","description":"","custom_fields":[{"id":1,"name":"Subdivision","value":"EC"},{"id":4,"name":"Milepost","value":"0.0145"},{"id":17,"name":"Train ID","value":"134-24"},{"id":16,"name":"Locomotive ID","value":"4004"},{"id":130,"name":"Impact","value":""},{"id":150,"name":"Time of Event (Mountain Time)","value":"09:33:05"},{"id":151,"name":"Denver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19"/>
        <v>start /low /b %USERPROFILE%\Documents\GitHub\eaglep3\Utilities\DownloadLogsFromS3.py --loco 4004 --day 2017-01-24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"%USERPROFILE%\AppData\Local\Temp\OnboardLogs"\RTDC4004\*4004*20170124* | grep -SE "(Enforcement Action)|(\[TIMEOUT)|(CHR.+\|PRM\|1\|D.+(SWITCH|SIGNAL).+UNKNOWN)" - &gt;&gt; 2017-01-24-UncaughtWiMAX.txt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542</v>
      </c>
      <c r="B48" s="7">
        <v>4018</v>
      </c>
      <c r="C48" s="22" t="s">
        <v>196</v>
      </c>
      <c r="D48" s="22" t="s">
        <v>262</v>
      </c>
      <c r="E48" s="13">
        <v>42759.327280092592</v>
      </c>
      <c r="F48" s="13">
        <v>42759.333495370367</v>
      </c>
      <c r="G48" s="7">
        <v>1</v>
      </c>
      <c r="H48" s="22" t="s">
        <v>239</v>
      </c>
      <c r="I48" s="13">
        <v>42759.360868055555</v>
      </c>
      <c r="J48" s="7">
        <v>0</v>
      </c>
      <c r="K48" s="105" t="str">
        <f t="shared" si="0"/>
        <v>4017/4018</v>
      </c>
      <c r="L48" s="22" t="str">
        <f>VLOOKUP(A48,'Trips&amp;Operators'!$C$1:$G$99999,5,FALSE)</f>
        <v>YANAI IAN</v>
      </c>
      <c r="M48" s="6">
        <f t="shared" si="1"/>
        <v>2.7372685188311152E-2</v>
      </c>
      <c r="N48" s="7">
        <f t="shared" si="20"/>
        <v>39.416666671168059</v>
      </c>
      <c r="O48" s="7"/>
      <c r="P48" s="7"/>
      <c r="Q48" s="23"/>
      <c r="R48" s="23"/>
      <c r="S48" s="32">
        <f t="shared" si="21"/>
        <v>1</v>
      </c>
      <c r="T48" s="47" t="str">
        <f t="shared" si="3"/>
        <v>NorthBound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4"/>
        <v>https://d0f6bd738d7f1b3e5a7ca70fe4ff75f0.us-east-1.aws.found.io/app/kibana#/discover/Steve-Slow-Train-Analysis-(2080s-and-2083s)?_g=(refreshInterval:(display:Off,pause:!f,section:0,value:0),time:(from:'2017-01-24T06:51:17-0700',mode:absolute,to:'2017-01-24T09:39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8" s="49" t="str">
        <f t="shared" si="5"/>
        <v>N</v>
      </c>
      <c r="X48" s="170">
        <f t="shared" si="22"/>
        <v>1</v>
      </c>
      <c r="Y48" s="64">
        <f t="shared" si="23"/>
        <v>4.5100000000000001E-2</v>
      </c>
      <c r="Z48" s="64">
        <f t="shared" si="24"/>
        <v>23.329699999999999</v>
      </c>
      <c r="AA48" s="64">
        <f t="shared" si="9"/>
        <v>23.284599999999998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0"/>
        <v>0135-24</v>
      </c>
      <c r="AE48" s="87" t="str">
        <f t="shared" si="11"/>
        <v>aws s3 cp s3://rtdc.mdm.uploadarchive.raw/RTDC4018/ "%USERPROFILE%\AppData\Local\Temp\OnboardLogs"\RTDC4018\2017-01-24 --exclude "*" --recursive --include "*20170124*" &amp; "%USERPROFILE%\Documents\GitHub\mrs-test-scripts\Headless Mode &amp; Sideloading\WalkAndUnGZ.bat" "%USERPROFILE%\AppData\Local\Temp\OnboardLogs"\RTDC4018\2017-01-24 &amp; 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</v>
      </c>
      <c r="AF48" s="84" t="str">
        <f t="shared" si="12"/>
        <v>"C:\Program Files (x86)\AstroGrep\AstroGrep.exe" /spath="%USERPROFILE%\AppData\Local\Temp\OnboardLogs" /stypes="app*4018*20170124*" /stext=" 15:.+((SYSTEM_STATE.+slice.+state.+changed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88" t="str">
        <f t="shared" si="17"/>
        <v>"%USERPROFILE%\Documents\GitHub\eaglep3\Utilities\RefineRTDCRunTimes.py" --tripid 135-24 --locoid 4018 --swversion DE.1.0.8.0 --startMP 204:451 --initTime 2017-01-24T07:51:17 --startdatetime 2017-01-24T08:00:14 --delay 1 --endMP 204:233297 --enddatetime 2017-01-24T08:39:39 --enforcementcount 0 &gt;&gt;C:\Users\stu\Documents\GitHub\eaglep3-reporting\EC\2017-01-24-refined-times.txt</v>
      </c>
      <c r="AI48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{"issue":{"subject":"","project_id":79,"tracker_id":40,"status_id":1,"priority_id":2,"assigned_to_id":23,"start_date":"2017-01-24","description":"","custom_fields":[{"id":1,"name":"Subdivision","value":"EC"},{"id":4,"name":"Milepost","value":"23.3297"},{"id":17,"name":"Train ID","value":"135-24"},{"id":16,"name":"Locomotive ID","value":"4018"},{"id":130,"name":"Impact","value":""},{"id":150,"name":"Time of Event (Mountain Time)","value":"08:39:39"},{"id":151,"name":"Denver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19"/>
        <v>start /low /b %USERPROFILE%\Documents\GitHub\eaglep3\Utilities\DownloadLogsFromS3.py --loco 4018 --day 2017-01-24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"%USERPROFILE%\AppData\Local\Temp\OnboardLogs"\RTDC4018\*4018*20170124* | grep -SE "(Enforcement Action)|(\[TIMEOUT)|(CHR.+\|PRM\|1\|D.+(SWITCH|SIGNAL).+UNKNOWN)" - &gt;&gt; 2017-01-24-UncaughtWiMAX.txt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551</v>
      </c>
      <c r="B49" s="7">
        <v>4017</v>
      </c>
      <c r="C49" s="22" t="s">
        <v>196</v>
      </c>
      <c r="D49" s="22" t="s">
        <v>231</v>
      </c>
      <c r="E49" s="13">
        <v>42759.361909722225</v>
      </c>
      <c r="F49" s="13">
        <v>42759.372395833336</v>
      </c>
      <c r="G49" s="7">
        <v>1</v>
      </c>
      <c r="H49" s="22" t="s">
        <v>271</v>
      </c>
      <c r="I49" s="13">
        <v>42759.405324074076</v>
      </c>
      <c r="J49" s="7">
        <v>0</v>
      </c>
      <c r="K49" s="105" t="str">
        <f t="shared" si="0"/>
        <v>4017/4018</v>
      </c>
      <c r="L49" s="22" t="str">
        <f>VLOOKUP(A49,'Trips&amp;Operators'!$C$1:$G$99999,5,FALSE)</f>
        <v>YANAI IAN</v>
      </c>
      <c r="M49" s="6">
        <f t="shared" si="1"/>
        <v>3.2928240740147885E-2</v>
      </c>
      <c r="N49" s="7">
        <f t="shared" si="20"/>
        <v>47.416666665812954</v>
      </c>
      <c r="O49" s="7"/>
      <c r="P49" s="7"/>
      <c r="Q49" s="23"/>
      <c r="R49" s="23"/>
      <c r="S49" s="32">
        <f t="shared" si="21"/>
        <v>1</v>
      </c>
      <c r="T49" s="47" t="str">
        <f t="shared" si="3"/>
        <v>Southbound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4"/>
        <v>https://d0f6bd738d7f1b3e5a7ca70fe4ff75f0.us-east-1.aws.found.io/app/kibana#/discover/Steve-Slow-Train-Analysis-(2080s-and-2083s)?_g=(refreshInterval:(display:Off,pause:!f,section:0,value:0),time:(from:'2017-01-24T07:41:09-0700',mode:absolute,to:'2017-01-24T10:43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9" s="49" t="str">
        <f t="shared" si="5"/>
        <v>N</v>
      </c>
      <c r="X49" s="170">
        <f t="shared" si="22"/>
        <v>1</v>
      </c>
      <c r="Y49" s="64">
        <f t="shared" si="23"/>
        <v>23.2987</v>
      </c>
      <c r="Z49" s="64">
        <f t="shared" si="24"/>
        <v>1.61E-2</v>
      </c>
      <c r="AA49" s="64">
        <f t="shared" si="9"/>
        <v>23.282599999999999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10"/>
        <v>0136-24</v>
      </c>
      <c r="AE49" s="87" t="str">
        <f t="shared" si="11"/>
        <v>aws s3 cp s3://rtdc.mdm.uploadarchive.raw/RTDC4017/ "%USERPROFILE%\AppData\Local\Temp\OnboardLogs"\RTDC4017\2017-01-24 --exclude "*" --recursive --include "*20170124*" &amp; "%USERPROFILE%\Documents\GitHub\mrs-test-scripts\Headless Mode &amp; Sideloading\WalkAndUnGZ.bat" "%USERPROFILE%\AppData\Local\Temp\OnboardLogs"\RTDC4017\2017-01-24 &amp; 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</v>
      </c>
      <c r="AF49" s="84" t="str">
        <f t="shared" si="12"/>
        <v>"C:\Program Files (x86)\AstroGrep\AstroGrep.exe" /spath="%USERPROFILE%\AppData\Local\Temp\OnboardLogs" /stypes="app*4017*20170124*" /stext=" 16:.+((SYSTEM_STATE.+slice.+state.+changed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88" t="str">
        <f t="shared" si="17"/>
        <v>"%USERPROFILE%\Documents\GitHub\eaglep3\Utilities\RefineRTDCRunTimes.py" --tripid 136-24 --locoid 4017 --swversion DE.1.0.8.0 --startMP 204:232987 --initTime 2017-01-24T08:41:09 --startdatetime 2017-01-24T08:56:15 --delay 1 --endMP 204:161 --enddatetime 2017-01-24T09:43:40 --enforcementcount 0 &gt;&gt;C:\Users\stu\Documents\GitHub\eaglep3-reporting\EC\2017-01-24-refined-times.txt</v>
      </c>
      <c r="AI49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{"issue":{"subject":"","project_id":79,"tracker_id":40,"status_id":1,"priority_id":2,"assigned_to_id":23,"start_date":"2017-01-24","description":"","custom_fields":[{"id":1,"name":"Subdivision","value":"EC"},{"id":4,"name":"Milepost","value":"0.0161"},{"id":17,"name":"Train ID","value":"136-24"},{"id":16,"name":"Locomotive ID","value":"4017"},{"id":130,"name":"Impact","value":""},{"id":150,"name":"Time of Event (Mountain Time)","value":"09:43:40"},{"id":151,"name":"Denver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19"/>
        <v>start /low /b %USERPROFILE%\Documents\GitHub\eaglep3\Utilities\DownloadLogsFromS3.py --loco 4017 --day 2017-01-24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"%USERPROFILE%\AppData\Local\Temp\OnboardLogs"\RTDC4017\*4017*20170124* | grep -SE "(Enforcement Action)|(\[TIMEOUT)|(CHR.+\|PRM\|1\|D.+(SWITCH|SIGNAL).+UNKNOWN)" - &gt;&gt; 2017-01-24-UncaughtWiMAX.txt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544</v>
      </c>
      <c r="B50" s="7">
        <v>4009</v>
      </c>
      <c r="C50" s="22" t="s">
        <v>196</v>
      </c>
      <c r="D50" s="22" t="s">
        <v>187</v>
      </c>
      <c r="E50" s="13">
        <v>42759.336226851854</v>
      </c>
      <c r="F50" s="13">
        <v>42759.344421296293</v>
      </c>
      <c r="G50" s="7">
        <v>2</v>
      </c>
      <c r="H50" s="22" t="s">
        <v>724</v>
      </c>
      <c r="I50" s="13">
        <v>42759.370844907404</v>
      </c>
      <c r="J50" s="7">
        <v>0</v>
      </c>
      <c r="K50" s="105" t="str">
        <f t="shared" si="0"/>
        <v>4009/4010</v>
      </c>
      <c r="L50" s="22" t="str">
        <f>VLOOKUP(A50,'Trips&amp;Operators'!$C$1:$G$99999,5,FALSE)</f>
        <v>SANTIZO D. EDY</v>
      </c>
      <c r="M50" s="6">
        <f t="shared" si="1"/>
        <v>2.6423611110658385E-2</v>
      </c>
      <c r="N50" s="7">
        <f t="shared" si="20"/>
        <v>38.049999999348074</v>
      </c>
      <c r="O50" s="7"/>
      <c r="P50" s="7"/>
      <c r="Q50" s="23"/>
      <c r="R50" s="23"/>
      <c r="S50" s="32">
        <f t="shared" si="21"/>
        <v>1</v>
      </c>
      <c r="T50" s="47" t="str">
        <f t="shared" si="3"/>
        <v>NorthBound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4"/>
        <v>https://d0f6bd738d7f1b3e5a7ca70fe4ff75f0.us-east-1.aws.found.io/app/kibana#/discover/Steve-Slow-Train-Analysis-(2080s-and-2083s)?_g=(refreshInterval:(display:Off,pause:!f,section:0,value:0),time:(from:'2017-01-24T07:04:10-0700',mode:absolute,to:'2017-01-24T09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49" t="str">
        <f t="shared" si="5"/>
        <v>N</v>
      </c>
      <c r="X50" s="170">
        <f t="shared" si="22"/>
        <v>1</v>
      </c>
      <c r="Y50" s="64">
        <f t="shared" si="23"/>
        <v>4.4699999999999997E-2</v>
      </c>
      <c r="Z50" s="64">
        <f t="shared" si="24"/>
        <v>23.3322</v>
      </c>
      <c r="AA50" s="64">
        <f t="shared" si="9"/>
        <v>23.287500000000001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0"/>
        <v>0137-24</v>
      </c>
      <c r="AE50" s="87" t="str">
        <f t="shared" si="11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50" s="84" t="str">
        <f t="shared" si="12"/>
        <v>"C:\Program Files (x86)\AstroGrep\AstroGrep.exe" /spath="%USERPROFILE%\AppData\Local\Temp\OnboardLogs" /stypes="app*4009*20170124*" /stext=" 15:.+((SYSTEM_STATE.+slice.+state.+changed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88" t="str">
        <f t="shared" si="17"/>
        <v>"%USERPROFILE%\Documents\GitHub\eaglep3\Utilities\RefineRTDCRunTimes.py" --tripid 137-24 --locoid 4009 --swversion DE.1.0.8.0 --startMP 204:447 --initTime 2017-01-24T08:04:10 --startdatetime 2017-01-24T08:15:58 --delay 2 --endMP 204:233322 --enddatetime 2017-01-24T08:54:01 --enforcementcount 0 &gt;&gt;C:\Users\stu\Documents\GitHub\eaglep3-reporting\EC\2017-01-24-refined-times.txt</v>
      </c>
      <c r="AI50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{"issue":{"subject":"","project_id":79,"tracker_id":40,"status_id":1,"priority_id":2,"assigned_to_id":23,"start_date":"2017-01-24","description":"","custom_fields":[{"id":1,"name":"Subdivision","value":"EC"},{"id":4,"name":"Milepost","value":"23.3322"},{"id":17,"name":"Train ID","value":"137-24"},{"id":16,"name":"Locomotive ID","value":"4009"},{"id":130,"name":"Impact","value":""},{"id":150,"name":"Time of Event (Mountain Time)","value":"08:54:01"},{"id":151,"name":"Denver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19"/>
        <v>start /low /b %USERPROFILE%\Documents\GitHub\eaglep3\Utilities\DownloadLogsFromS3.py --loco 4009 --day 2017-01-24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554</v>
      </c>
      <c r="B51" s="7">
        <v>4010</v>
      </c>
      <c r="C51" s="22" t="s">
        <v>196</v>
      </c>
      <c r="D51" s="22" t="s">
        <v>414</v>
      </c>
      <c r="E51" s="13">
        <v>42759.378680555557</v>
      </c>
      <c r="F51" s="13">
        <v>42759.382939814815</v>
      </c>
      <c r="G51" s="7">
        <v>1</v>
      </c>
      <c r="H51" s="22" t="s">
        <v>271</v>
      </c>
      <c r="I51" s="13">
        <v>42759.416377314818</v>
      </c>
      <c r="J51" s="7">
        <v>0</v>
      </c>
      <c r="K51" s="105" t="str">
        <f t="shared" si="0"/>
        <v>4009/4010</v>
      </c>
      <c r="L51" s="22" t="str">
        <f>VLOOKUP(A51,'Trips&amp;Operators'!$C$1:$G$99999,5,FALSE)</f>
        <v>SANTIZO D. EDY</v>
      </c>
      <c r="M51" s="6">
        <f t="shared" si="1"/>
        <v>3.3437500002037268E-2</v>
      </c>
      <c r="N51" s="7">
        <f t="shared" si="20"/>
        <v>48.150000002933666</v>
      </c>
      <c r="O51" s="7"/>
      <c r="P51" s="7"/>
      <c r="Q51" s="23"/>
      <c r="R51" s="23"/>
      <c r="S51" s="32">
        <f t="shared" si="21"/>
        <v>1</v>
      </c>
      <c r="T51" s="47" t="str">
        <f t="shared" si="3"/>
        <v>Southbound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4"/>
        <v>https://d0f6bd738d7f1b3e5a7ca70fe4ff75f0.us-east-1.aws.found.io/app/kibana#/discover/Steve-Slow-Train-Analysis-(2080s-and-2083s)?_g=(refreshInterval:(display:Off,pause:!f,section:0,value:0),time:(from:'2017-01-24T08:05:18-0700',mode:absolute,to:'2017-01-24T10:59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49" t="str">
        <f t="shared" si="5"/>
        <v>N</v>
      </c>
      <c r="X51" s="170">
        <f t="shared" si="22"/>
        <v>1</v>
      </c>
      <c r="Y51" s="64">
        <f t="shared" si="23"/>
        <v>23.3001</v>
      </c>
      <c r="Z51" s="64">
        <f t="shared" si="24"/>
        <v>1.61E-2</v>
      </c>
      <c r="AA51" s="64">
        <f t="shared" si="9"/>
        <v>23.283999999999999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10"/>
        <v>0138-24</v>
      </c>
      <c r="AE51" s="87" t="str">
        <f t="shared" si="11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51" s="84" t="str">
        <f t="shared" si="12"/>
        <v>"C:\Program Files (x86)\AstroGrep\AstroGrep.exe" /spath="%USERPROFILE%\AppData\Local\Temp\OnboardLogs" /stypes="app*4010*20170124*" /stext=" 16:.+((SYSTEM_STATE.+slice.+state.+changed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88" t="str">
        <f t="shared" si="17"/>
        <v>"%USERPROFILE%\Documents\GitHub\eaglep3\Utilities\RefineRTDCRunTimes.py" --tripid 138-24 --locoid 4010 --swversion DE.1.0.8.0 --startMP 204:233001 --initTime 2017-01-24T09:05:18 --startdatetime 2017-01-24T09:11:26 --delay 1 --endMP 204:161 --enddatetime 2017-01-24T09:59:35 --enforcementcount 0 &gt;&gt;C:\Users\stu\Documents\GitHub\eaglep3-reporting\EC\2017-01-24-refined-times.txt</v>
      </c>
      <c r="AI51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{"issue":{"subject":"","project_id":79,"tracker_id":40,"status_id":1,"priority_id":2,"assigned_to_id":23,"start_date":"2017-01-24","description":"","custom_fields":[{"id":1,"name":"Subdivision","value":"EC"},{"id":4,"name":"Milepost","value":"0.0161"},{"id":17,"name":"Train ID","value":"138-24"},{"id":16,"name":"Locomotive ID","value":"4010"},{"id":130,"name":"Impact","value":""},{"id":150,"name":"Time of Event (Mountain Time)","value":"09:59:35"},{"id":151,"name":"Denver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19"/>
        <v>start /low /b %USERPROFILE%\Documents\GitHub\eaglep3\Utilities\DownloadLogsFromS3.py --loco 4010 --day 2017-01-24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461</v>
      </c>
      <c r="B52" s="7">
        <v>4051</v>
      </c>
      <c r="C52" s="22" t="s">
        <v>196</v>
      </c>
      <c r="D52" s="22" t="s">
        <v>241</v>
      </c>
      <c r="E52" s="13">
        <v>42759.347500000003</v>
      </c>
      <c r="F52" s="13">
        <v>42759.354351851849</v>
      </c>
      <c r="G52" s="7">
        <v>1</v>
      </c>
      <c r="H52" s="22" t="s">
        <v>731</v>
      </c>
      <c r="I52" s="13">
        <v>42759.381863425922</v>
      </c>
      <c r="J52" s="7">
        <v>0</v>
      </c>
      <c r="K52" s="105" t="str">
        <f t="shared" si="0"/>
        <v>4051/4052</v>
      </c>
      <c r="L52" s="22" t="str">
        <f>VLOOKUP(A52,'Trips&amp;Operators'!$C$1:$G$99999,5,FALSE)</f>
        <v>DAVIS WENDY</v>
      </c>
      <c r="M52" s="6">
        <f t="shared" si="1"/>
        <v>2.7511574073287193E-2</v>
      </c>
      <c r="N52" s="7">
        <f t="shared" si="20"/>
        <v>39.616666665533558</v>
      </c>
      <c r="O52" s="7"/>
      <c r="P52" s="7"/>
      <c r="Q52" s="23"/>
      <c r="R52" s="23"/>
      <c r="S52" s="32">
        <f t="shared" si="21"/>
        <v>1</v>
      </c>
      <c r="T52" s="47" t="str">
        <f t="shared" si="3"/>
        <v>NorthBound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4"/>
        <v>https://d0f6bd738d7f1b3e5a7ca70fe4ff75f0.us-east-1.aws.found.io/app/kibana#/discover/Steve-Slow-Train-Analysis-(2080s-and-2083s)?_g=(refreshInterval:(display:Off,pause:!f,section:0,value:0),time:(from:'2017-01-24T07:20:24-0700',mode:absolute,to:'2017-01-24T10:09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2" s="49" t="str">
        <f t="shared" si="5"/>
        <v>N</v>
      </c>
      <c r="X52" s="170">
        <f t="shared" si="22"/>
        <v>1</v>
      </c>
      <c r="Y52" s="64">
        <f t="shared" si="23"/>
        <v>4.58E-2</v>
      </c>
      <c r="Z52" s="64">
        <f t="shared" si="24"/>
        <v>23.322500000000002</v>
      </c>
      <c r="AA52" s="64">
        <f t="shared" si="9"/>
        <v>23.276700000000002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0"/>
        <v>0139-24</v>
      </c>
      <c r="AE52" s="87" t="str">
        <f t="shared" si="11"/>
        <v>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 &amp; aws s3 cp s3://rtdc.mdm.uploadarchive.raw/RTDC4051/ "%USERPROFILE%\AppData\Local\Temp\OnboardLogs"\RTDC4051\2017-01-25 --exclude "*" --recursive --include "*20170125*" &amp; "%USERPROFILE%\Documents\GitHub\mrs-test-scripts\Headless Mode &amp; Sideloading\WalkAndUnGZ.bat" "%USERPROFILE%\AppData\Local\Temp\OnboardLogs"\RTDC4051\2017-01-25</v>
      </c>
      <c r="AF52" s="84" t="str">
        <f t="shared" si="12"/>
        <v>"C:\Program Files (x86)\AstroGrep\AstroGrep.exe" /spath="%USERPROFILE%\AppData\Local\Temp\OnboardLogs" /stypes="app*4051*20170124*" /stext=" 16:.+((SYSTEM_STATE.+slice.+state.+changed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88" t="str">
        <f t="shared" si="17"/>
        <v>"%USERPROFILE%\Documents\GitHub\eaglep3\Utilities\RefineRTDCRunTimes.py" --tripid 139-24 --locoid 4051 --swversion DE.1.0.8.0 --startMP 204:458 --initTime 2017-01-24T08:20:24 --startdatetime 2017-01-24T08:30:16 --delay 1 --endMP 204:233225 --enddatetime 2017-01-24T09:09:53 --enforcementcount 0 &gt;&gt;C:\Users\stu\Documents\GitHub\eaglep3-reporting\EC\2017-01-24-refined-times.txt</v>
      </c>
      <c r="AI52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{"issue":{"subject":"","project_id":79,"tracker_id":40,"status_id":1,"priority_id":2,"assigned_to_id":23,"start_date":"2017-01-24","description":"","custom_fields":[{"id":1,"name":"Subdivision","value":"EC"},{"id":4,"name":"Milepost","value":"23.3225"},{"id":17,"name":"Train ID","value":"139-24"},{"id":16,"name":"Locomotive ID","value":"4051"},{"id":130,"name":"Impact","value":""},{"id":150,"name":"Time of Event (Mountain Time)","value":"09:09:53"},{"id":151,"name":"Denver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19"/>
        <v>start /low /b %USERPROFILE%\Documents\GitHub\eaglep3\Utilities\DownloadLogsFromS3.py --loco 4051 --day 2017-01-24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557</v>
      </c>
      <c r="B53" s="7">
        <v>4052</v>
      </c>
      <c r="C53" s="22" t="s">
        <v>196</v>
      </c>
      <c r="D53" s="22" t="s">
        <v>732</v>
      </c>
      <c r="E53" s="13">
        <v>42759.38957175926</v>
      </c>
      <c r="F53" s="13">
        <v>42759.393217592595</v>
      </c>
      <c r="G53" s="7">
        <v>1</v>
      </c>
      <c r="H53" s="22" t="s">
        <v>253</v>
      </c>
      <c r="I53" s="13">
        <v>42759.433449074073</v>
      </c>
      <c r="J53" s="7">
        <v>0</v>
      </c>
      <c r="K53" s="105" t="str">
        <f t="shared" si="0"/>
        <v>4051/4052</v>
      </c>
      <c r="L53" s="22" t="str">
        <f>VLOOKUP(A53,'Trips&amp;Operators'!$C$1:$G$99999,5,FALSE)</f>
        <v>DAVIS WENDY</v>
      </c>
      <c r="M53" s="6">
        <f t="shared" si="1"/>
        <v>4.0231481478258502E-2</v>
      </c>
      <c r="N53" s="7">
        <f t="shared" si="20"/>
        <v>57.933333328692243</v>
      </c>
      <c r="O53" s="7"/>
      <c r="P53" s="7"/>
      <c r="Q53" s="23"/>
      <c r="R53" s="23" t="s">
        <v>896</v>
      </c>
      <c r="S53" s="32">
        <f t="shared" si="21"/>
        <v>1</v>
      </c>
      <c r="T53" s="47" t="str">
        <f t="shared" si="3"/>
        <v>Southbound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4"/>
        <v>https://d0f6bd738d7f1b3e5a7ca70fe4ff75f0.us-east-1.aws.found.io/app/kibana#/discover/Steve-Slow-Train-Analysis-(2080s-and-2083s)?_g=(refreshInterval:(display:Off,pause:!f,section:0,value:0),time:(from:'2017-01-24T08:20:59-0700',mode:absolute,to:'2017-01-24T11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3" s="49" t="str">
        <f t="shared" si="5"/>
        <v>N</v>
      </c>
      <c r="X53" s="170">
        <f t="shared" si="22"/>
        <v>1</v>
      </c>
      <c r="Y53" s="64">
        <f t="shared" si="23"/>
        <v>23.290900000000001</v>
      </c>
      <c r="Z53" s="64">
        <f t="shared" si="24"/>
        <v>1.43E-2</v>
      </c>
      <c r="AA53" s="64">
        <f t="shared" si="9"/>
        <v>23.276600000000002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0"/>
        <v>0140-24</v>
      </c>
      <c r="AE53" s="87" t="str">
        <f t="shared" si="11"/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AF53" s="84" t="str">
        <f t="shared" si="12"/>
        <v>"C:\Program Files (x86)\AstroGrep\AstroGrep.exe" /spath="%USERPROFILE%\AppData\Local\Temp\OnboardLogs" /stypes="app*4052*20170124*" /stext=" 17:.+((SYSTEM_STATE.+slice.+state.+changed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88" t="str">
        <f t="shared" si="17"/>
        <v>"%USERPROFILE%\Documents\GitHub\eaglep3\Utilities\RefineRTDCRunTimes.py" --tripid 140-24 --locoid 4052 --swversion DE.1.0.8.0 --startMP 204:232909 --initTime 2017-01-24T09:20:59 --startdatetime 2017-01-24T09:26:14 --delay 1 --endMP 204:143 --enddatetime 2017-01-24T10:24:10 --enforcementcount 0 &gt;&gt;C:\Users\stu\Documents\GitHub\eaglep3-reporting\EC\2017-01-24-refined-times.txt</v>
      </c>
      <c r="AI53" s="115" t="str">
        <f t="shared" si="18"/>
        <v>echo {"issue":{"subject":"Delayed by Form C's","project_id":79,"tracker_id":40,"status_id":1,"priority_id":2,"assigned_to_id":23,"start_date":"2017-01-24","description":"","custom_fields":[{"id":1,"name":"Subdivision","value":"EC"},{"id":4,"name":"Milepost","value":"0.0143"},{"id":17,"name":"Train ID","value":"140-24"},{"id":16,"name":"Locomotive ID","value":"4052"},{"id":130,"name":"Impact","value":""},{"id":150,"name":"Time of Event (Mountain Time)","value":"10:24:10"},{"id":151,"name":"Denver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19"/>
        <v>start /low /b %USERPROFILE%\Documents\GitHub\eaglep3\Utilities\DownloadLogsFromS3.py --loco 4052 --day 2017-01-24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552</v>
      </c>
      <c r="B54" s="7">
        <v>4027</v>
      </c>
      <c r="C54" s="22" t="s">
        <v>196</v>
      </c>
      <c r="D54" s="22" t="s">
        <v>187</v>
      </c>
      <c r="E54" s="13">
        <v>42759.362962962965</v>
      </c>
      <c r="F54" s="13">
        <v>42759.364837962959</v>
      </c>
      <c r="G54" s="7">
        <v>1</v>
      </c>
      <c r="H54" s="22" t="s">
        <v>257</v>
      </c>
      <c r="I54" s="13">
        <v>42759.392129629632</v>
      </c>
      <c r="J54" s="7">
        <v>0</v>
      </c>
      <c r="K54" s="105" t="str">
        <f t="shared" si="0"/>
        <v>4027/4028</v>
      </c>
      <c r="L54" s="22" t="str">
        <f>VLOOKUP(A54,'Trips&amp;Operators'!$C$1:$G$99999,5,FALSE)</f>
        <v>COOLAHAN JOHN</v>
      </c>
      <c r="M54" s="6">
        <f t="shared" si="1"/>
        <v>2.7291666672681458E-2</v>
      </c>
      <c r="N54" s="7">
        <f t="shared" si="20"/>
        <v>39.3000000086613</v>
      </c>
      <c r="O54" s="7"/>
      <c r="P54" s="7"/>
      <c r="Q54" s="23"/>
      <c r="R54" s="23"/>
      <c r="S54" s="32">
        <f t="shared" si="21"/>
        <v>1</v>
      </c>
      <c r="T54" s="47" t="str">
        <f t="shared" si="3"/>
        <v>NorthBound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4"/>
        <v>https://d0f6bd738d7f1b3e5a7ca70fe4ff75f0.us-east-1.aws.found.io/app/kibana#/discover/Steve-Slow-Train-Analysis-(2080s-and-2083s)?_g=(refreshInterval:(display:Off,pause:!f,section:0,value:0),time:(from:'2017-01-24T07:42:40-0700',mode:absolute,to:'2017-01-24T10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4" s="49" t="str">
        <f t="shared" si="5"/>
        <v>N</v>
      </c>
      <c r="X54" s="170">
        <f t="shared" si="22"/>
        <v>1</v>
      </c>
      <c r="Y54" s="64">
        <f t="shared" si="23"/>
        <v>4.4699999999999997E-2</v>
      </c>
      <c r="Z54" s="64">
        <f t="shared" si="24"/>
        <v>23.331099999999999</v>
      </c>
      <c r="AA54" s="64">
        <f t="shared" si="9"/>
        <v>23.2864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0"/>
        <v>0141-24</v>
      </c>
      <c r="AE54" s="87" t="str">
        <f t="shared" si="11"/>
        <v>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 &amp; 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</v>
      </c>
      <c r="AF54" s="84" t="str">
        <f t="shared" si="12"/>
        <v>"C:\Program Files (x86)\AstroGrep\AstroGrep.exe" /spath="%USERPROFILE%\AppData\Local\Temp\OnboardLogs" /stypes="app*4027*20170124*" /stext=" 16:.+((SYSTEM_STATE.+slice.+state.+changed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88" t="str">
        <f t="shared" si="17"/>
        <v>"%USERPROFILE%\Documents\GitHub\eaglep3\Utilities\RefineRTDCRunTimes.py" --tripid 141-24 --locoid 4027 --swversion DE.1.0.8.0 --startMP 204:447 --initTime 2017-01-24T08:42:40 --startdatetime 2017-01-24T08:45:22 --delay 1 --endMP 204:233311 --enddatetime 2017-01-24T09:24:40 --enforcementcount 0 &gt;&gt;C:\Users\stu\Documents\GitHub\eaglep3-reporting\EC\2017-01-24-refined-times.txt</v>
      </c>
      <c r="AI54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{"issue":{"subject":"","project_id":79,"tracker_id":40,"status_id":1,"priority_id":2,"assigned_to_id":23,"start_date":"2017-01-24","description":"","custom_fields":[{"id":1,"name":"Subdivision","value":"EC"},{"id":4,"name":"Milepost","value":"23.3311"},{"id":17,"name":"Train ID","value":"141-24"},{"id":16,"name":"Locomotive ID","value":"4027"},{"id":130,"name":"Impact","value":""},{"id":150,"name":"Time of Event (Mountain Time)","value":"09:24:40"},{"id":151,"name":"Denver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19"/>
        <v>start /low /b %USERPROFILE%\Documents\GitHub\eaglep3\Utilities\DownloadLogsFromS3.py --loco 4027 --day 2017-01-24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559</v>
      </c>
      <c r="B55" s="7">
        <v>4028</v>
      </c>
      <c r="C55" s="22" t="s">
        <v>196</v>
      </c>
      <c r="D55" s="22" t="s">
        <v>333</v>
      </c>
      <c r="E55" s="13">
        <v>42759.399386574078</v>
      </c>
      <c r="F55" s="13">
        <v>42759.403761574074</v>
      </c>
      <c r="G55" s="7">
        <v>2</v>
      </c>
      <c r="H55" s="22" t="s">
        <v>238</v>
      </c>
      <c r="I55" s="13">
        <v>42759.437939814816</v>
      </c>
      <c r="J55" s="7">
        <v>0</v>
      </c>
      <c r="K55" s="105" t="str">
        <f t="shared" si="0"/>
        <v>4027/4028</v>
      </c>
      <c r="L55" s="22" t="str">
        <f>VLOOKUP(A55,'Trips&amp;Operators'!$C$1:$G$99999,5,FALSE)</f>
        <v>COOLAHAN JOHN</v>
      </c>
      <c r="M55" s="6">
        <f t="shared" si="1"/>
        <v>3.4178240741312038E-2</v>
      </c>
      <c r="N55" s="7">
        <f t="shared" si="20"/>
        <v>49.216666667489335</v>
      </c>
      <c r="O55" s="7"/>
      <c r="P55" s="7"/>
      <c r="Q55" s="23"/>
      <c r="R55" s="23"/>
      <c r="S55" s="32">
        <f t="shared" si="21"/>
        <v>1</v>
      </c>
      <c r="T55" s="47" t="str">
        <f t="shared" si="3"/>
        <v>Southbound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4"/>
        <v>https://d0f6bd738d7f1b3e5a7ca70fe4ff75f0.us-east-1.aws.found.io/app/kibana#/discover/Steve-Slow-Train-Analysis-(2080s-and-2083s)?_g=(refreshInterval:(display:Off,pause:!f,section:0,value:0),time:(from:'2017-01-24T08:35:07-0700',mode:absolute,to:'2017-01-24T11:30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49" t="str">
        <f t="shared" si="5"/>
        <v>N</v>
      </c>
      <c r="X55" s="170">
        <f t="shared" si="22"/>
        <v>1</v>
      </c>
      <c r="Y55" s="64">
        <f t="shared" si="23"/>
        <v>23.2988</v>
      </c>
      <c r="Z55" s="64">
        <f t="shared" si="24"/>
        <v>1.54E-2</v>
      </c>
      <c r="AA55" s="64">
        <f t="shared" si="9"/>
        <v>23.2834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0"/>
        <v>0142-24</v>
      </c>
      <c r="AE55" s="87" t="str">
        <f t="shared" si="11"/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AF55" s="84" t="str">
        <f t="shared" si="12"/>
        <v>"C:\Program Files (x86)\AstroGrep\AstroGrep.exe" /spath="%USERPROFILE%\AppData\Local\Temp\OnboardLogs" /stypes="app*4028*20170124*" /stext=" 17:.+((SYSTEM_STATE.+slice.+state.+changed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88" t="str">
        <f t="shared" si="17"/>
        <v>"%USERPROFILE%\Documents\GitHub\eaglep3\Utilities\RefineRTDCRunTimes.py" --tripid 142-24 --locoid 4028 --swversion DE.1.0.8.0 --startMP 204:232988 --initTime 2017-01-24T09:35:07 --startdatetime 2017-01-24T09:41:25 --delay 2 --endMP 204:154 --enddatetime 2017-01-24T10:30:38 --enforcementcount 0 &gt;&gt;C:\Users\stu\Documents\GitHub\eaglep3-reporting\EC\2017-01-24-refined-times.txt</v>
      </c>
      <c r="AI55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{"issue":{"subject":"","project_id":79,"tracker_id":40,"status_id":1,"priority_id":2,"assigned_to_id":23,"start_date":"2017-01-24","description":"","custom_fields":[{"id":1,"name":"Subdivision","value":"EC"},{"id":4,"name":"Milepost","value":"0.0154"},{"id":17,"name":"Train ID","value":"142-24"},{"id":16,"name":"Locomotive ID","value":"4028"},{"id":130,"name":"Impact","value":""},{"id":150,"name":"Time of Event (Mountain Time)","value":"10:30:38"},{"id":151,"name":"Denver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19"/>
        <v>start /low /b %USERPROFILE%\Documents\GitHub\eaglep3\Utilities\DownloadLogsFromS3.py --loco 4028 --day 2017-01-24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553</v>
      </c>
      <c r="B56" s="7">
        <v>4038</v>
      </c>
      <c r="C56" s="22" t="s">
        <v>196</v>
      </c>
      <c r="D56" s="22" t="s">
        <v>240</v>
      </c>
      <c r="E56" s="13">
        <v>42759.371157407404</v>
      </c>
      <c r="F56" s="13">
        <v>42759.375937500001</v>
      </c>
      <c r="G56" s="7">
        <v>1</v>
      </c>
      <c r="H56" s="22" t="s">
        <v>733</v>
      </c>
      <c r="I56" s="13">
        <v>42759.403182870374</v>
      </c>
      <c r="J56" s="7">
        <v>0</v>
      </c>
      <c r="K56" s="105" t="str">
        <f t="shared" si="0"/>
        <v>4037/4038</v>
      </c>
      <c r="L56" s="22" t="str">
        <f>VLOOKUP(A56,'Trips&amp;Operators'!$C$1:$G$99999,5,FALSE)</f>
        <v>ROCHA YAOTL</v>
      </c>
      <c r="M56" s="6">
        <f t="shared" si="1"/>
        <v>2.7245370372838806E-2</v>
      </c>
      <c r="N56" s="7">
        <f t="shared" si="20"/>
        <v>39.233333336887881</v>
      </c>
      <c r="O56" s="7"/>
      <c r="P56" s="7"/>
      <c r="Q56" s="23"/>
      <c r="R56" s="23"/>
      <c r="S56" s="32">
        <f t="shared" si="21"/>
        <v>1</v>
      </c>
      <c r="T56" s="47" t="str">
        <f t="shared" si="3"/>
        <v>NorthBound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4"/>
        <v>https://d0f6bd738d7f1b3e5a7ca70fe4ff75f0.us-east-1.aws.found.io/app/kibana#/discover/Steve-Slow-Train-Analysis-(2080s-and-2083s)?_g=(refreshInterval:(display:Off,pause:!f,section:0,value:0),time:(from:'2017-01-24T07:54:28-0700',mode:absolute,to:'2017-01-24T10:40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6" s="49" t="str">
        <f t="shared" si="5"/>
        <v>N</v>
      </c>
      <c r="X56" s="170">
        <f t="shared" si="22"/>
        <v>1</v>
      </c>
      <c r="Y56" s="64">
        <f t="shared" si="23"/>
        <v>4.4200000000000003E-2</v>
      </c>
      <c r="Z56" s="64">
        <f t="shared" si="24"/>
        <v>23.331900000000001</v>
      </c>
      <c r="AA56" s="64">
        <f t="shared" si="9"/>
        <v>23.287700000000001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0"/>
        <v>0143-24</v>
      </c>
      <c r="AE56" s="87" t="str">
        <f t="shared" si="11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56" s="84" t="str">
        <f t="shared" si="12"/>
        <v>"C:\Program Files (x86)\AstroGrep\AstroGrep.exe" /spath="%USERPROFILE%\AppData\Local\Temp\OnboardLogs" /stypes="app*4038*20170124*" /stext=" 16:.+((SYSTEM_STATE.+slice.+state.+changed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88" t="str">
        <f t="shared" si="17"/>
        <v>"%USERPROFILE%\Documents\GitHub\eaglep3\Utilities\RefineRTDCRunTimes.py" --tripid 143-24 --locoid 4038 --swversion DE.1.0.8.0 --startMP 204:442 --initTime 2017-01-24T08:54:28 --startdatetime 2017-01-24T09:01:21 --delay 1 --endMP 204:233319 --enddatetime 2017-01-24T09:40:35 --enforcementcount 0 &gt;&gt;C:\Users\stu\Documents\GitHub\eaglep3-reporting\EC\2017-01-24-refined-times.txt</v>
      </c>
      <c r="AI56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{"issue":{"subject":"","project_id":79,"tracker_id":40,"status_id":1,"priority_id":2,"assigned_to_id":23,"start_date":"2017-01-24","description":"","custom_fields":[{"id":1,"name":"Subdivision","value":"EC"},{"id":4,"name":"Milepost","value":"23.3319"},{"id":17,"name":"Train ID","value":"143-24"},{"id":16,"name":"Locomotive ID","value":"4038"},{"id":130,"name":"Impact","value":""},{"id":150,"name":"Time of Event (Mountain Time)","value":"09:40:35"},{"id":151,"name":"Denver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19"/>
        <v>start /low /b %USERPROFILE%\Documents\GitHub\eaglep3\Utilities\DownloadLogsFromS3.py --loco 4038 --day 2017-01-24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"%USERPROFILE%\AppData\Local\Temp\OnboardLogs"\RTDC4038\*4038*20170124* | grep -SE "(Enforcement Action)|(\[TIMEOUT)|(CHR.+\|PRM\|1\|D.+(SWITCH|SIGNAL).+UNKNOWN)" - &gt;&gt; 2017-01-24-UncaughtWiMAX.txt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462</v>
      </c>
      <c r="B57" s="7">
        <v>4037</v>
      </c>
      <c r="C57" s="22" t="s">
        <v>196</v>
      </c>
      <c r="D57" s="22" t="s">
        <v>734</v>
      </c>
      <c r="E57" s="13">
        <v>42759.413310185184</v>
      </c>
      <c r="F57" s="13">
        <v>42759.414548611108</v>
      </c>
      <c r="G57" s="7">
        <v>1</v>
      </c>
      <c r="H57" s="22" t="s">
        <v>299</v>
      </c>
      <c r="I57" s="13">
        <v>42759.446967592594</v>
      </c>
      <c r="J57" s="7">
        <v>0</v>
      </c>
      <c r="K57" s="105" t="str">
        <f t="shared" si="0"/>
        <v>4037/4038</v>
      </c>
      <c r="L57" s="22" t="str">
        <f>VLOOKUP(A57,'Trips&amp;Operators'!$C$1:$G$99999,5,FALSE)</f>
        <v>ROCHA YAOTL</v>
      </c>
      <c r="M57" s="6">
        <f t="shared" si="1"/>
        <v>3.2418981485534459E-2</v>
      </c>
      <c r="N57" s="7">
        <f t="shared" si="20"/>
        <v>46.683333339169621</v>
      </c>
      <c r="O57" s="7"/>
      <c r="P57" s="7"/>
      <c r="Q57" s="23"/>
      <c r="R57" s="23"/>
      <c r="S57" s="32">
        <f t="shared" si="21"/>
        <v>1</v>
      </c>
      <c r="T57" s="47" t="str">
        <f t="shared" si="3"/>
        <v>Southbound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4"/>
        <v>https://d0f6bd738d7f1b3e5a7ca70fe4ff75f0.us-east-1.aws.found.io/app/kibana#/discover/Steve-Slow-Train-Analysis-(2080s-and-2083s)?_g=(refreshInterval:(display:Off,pause:!f,section:0,value:0),time:(from:'2017-01-24T08:55:10-0700',mode:absolute,to:'2017-01-24T11:43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7" s="49" t="str">
        <f t="shared" si="5"/>
        <v>N</v>
      </c>
      <c r="X57" s="170">
        <f t="shared" si="22"/>
        <v>1</v>
      </c>
      <c r="Y57" s="64">
        <f t="shared" si="23"/>
        <v>23.299099999999999</v>
      </c>
      <c r="Z57" s="64">
        <f t="shared" si="24"/>
        <v>1.67E-2</v>
      </c>
      <c r="AA57" s="64">
        <f t="shared" si="9"/>
        <v>23.282399999999999</v>
      </c>
      <c r="AB57" s="61" t="str">
        <f>VLOOKUP(A57,Enforcements!$C$7:$K$16,8,0)</f>
        <v>Bulletin (2)</v>
      </c>
      <c r="AC57" s="57" t="str">
        <f>VLOOKUP(A57,Enforcements!$C$7:$E$16,3,0)</f>
        <v>GRADE CROSSING</v>
      </c>
      <c r="AD57" s="58" t="str">
        <f t="shared" si="10"/>
        <v>0144-24</v>
      </c>
      <c r="AE57" s="87" t="str">
        <f t="shared" si="11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57" s="84" t="str">
        <f t="shared" si="12"/>
        <v>"C:\Program Files (x86)\AstroGrep\AstroGrep.exe" /spath="%USERPROFILE%\AppData\Local\Temp\OnboardLogs" /stypes="app*4037*20170124*" /stext=" 17:.+((SYSTEM_STATE.+slice.+state.+changed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88" t="str">
        <f t="shared" si="17"/>
        <v>"%USERPROFILE%\Documents\GitHub\eaglep3\Utilities\RefineRTDCRunTimes.py" --tripid 144-24 --locoid 4037 --swversion DE.1.0.8.0 --startMP 204:232991 --initTime 2017-01-24T09:55:10 --startdatetime 2017-01-24T09:56:57 --delay 1 --endMP 204:167 --enddatetime 2017-01-24T10:43:38 --enforcementcount 0 &gt;&gt;C:\Users\stu\Documents\GitHub\eaglep3-reporting\EC\2017-01-24-refined-times.txt</v>
      </c>
      <c r="AI57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{"issue":{"subject":"","project_id":79,"tracker_id":40,"status_id":1,"priority_id":2,"assigned_to_id":23,"start_date":"2017-01-24","description":"","custom_fields":[{"id":1,"name":"Subdivision","value":"EC"},{"id":4,"name":"Milepost","value":"0.0167"},{"id":17,"name":"Train ID","value":"144-24"},{"id":16,"name":"Locomotive ID","value":"4037"},{"id":130,"name":"Impact","value":""},{"id":150,"name":"Time of Event (Mountain Time)","value":"10:43:38"},{"id":151,"name":"Denver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19"/>
        <v>start /low /b %USERPROFILE%\Documents\GitHub\eaglep3\Utilities\DownloadLogsFromS3.py --loco 4037 --day 2017-01-24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"%USERPROFILE%\AppData\Local\Temp\OnboardLogs"\RTDC4037\*4037*20170124* | grep -SE "(Enforcement Action)|(\[TIMEOUT)|(CHR.+\|PRM\|1\|D.+(SWITCH|SIGNAL).+UNKNOWN)" - &gt;&gt; 2017-01-24-UncaughtWiMAX.txt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555</v>
      </c>
      <c r="B58" s="7">
        <v>4007</v>
      </c>
      <c r="C58" s="22" t="s">
        <v>196</v>
      </c>
      <c r="D58" s="22" t="s">
        <v>256</v>
      </c>
      <c r="E58" s="13">
        <v>42759.384687500002</v>
      </c>
      <c r="F58" s="13">
        <v>42759.386145833334</v>
      </c>
      <c r="G58" s="7">
        <v>1</v>
      </c>
      <c r="H58" s="22" t="s">
        <v>735</v>
      </c>
      <c r="I58" s="13">
        <v>42759.418182870373</v>
      </c>
      <c r="J58" s="7">
        <v>0</v>
      </c>
      <c r="K58" s="105" t="str">
        <f t="shared" si="0"/>
        <v>4007/4008</v>
      </c>
      <c r="L58" s="22" t="str">
        <f>VLOOKUP(A58,'Trips&amp;Operators'!$C$1:$G$99999,5,FALSE)</f>
        <v>OUN ZACK</v>
      </c>
      <c r="M58" s="6">
        <f t="shared" si="1"/>
        <v>3.2037037039117422E-2</v>
      </c>
      <c r="N58" s="7">
        <f t="shared" si="20"/>
        <v>46.133333336329088</v>
      </c>
      <c r="O58" s="7"/>
      <c r="P58" s="7"/>
      <c r="Q58" s="23"/>
      <c r="R58" s="23"/>
      <c r="S58" s="32">
        <f t="shared" si="21"/>
        <v>1</v>
      </c>
      <c r="T58" s="47" t="str">
        <f t="shared" si="3"/>
        <v>NorthBound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4"/>
        <v>https://d0f6bd738d7f1b3e5a7ca70fe4ff75f0.us-east-1.aws.found.io/app/kibana#/discover/Steve-Slow-Train-Analysis-(2080s-and-2083s)?_g=(refreshInterval:(display:Off,pause:!f,section:0,value:0),time:(from:'2017-01-24T08:13:57-0700',mode:absolute,to:'2017-01-24T11:02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49" t="str">
        <f t="shared" si="5"/>
        <v>N</v>
      </c>
      <c r="X58" s="170">
        <f t="shared" si="22"/>
        <v>1</v>
      </c>
      <c r="Y58" s="64">
        <f t="shared" si="23"/>
        <v>4.3999999999999997E-2</v>
      </c>
      <c r="Z58" s="64">
        <f t="shared" si="24"/>
        <v>23.3324</v>
      </c>
      <c r="AA58" s="64">
        <f t="shared" si="9"/>
        <v>23.288399999999999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0"/>
        <v>0145-24</v>
      </c>
      <c r="AE58" s="87" t="str">
        <f t="shared" si="11"/>
        <v>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 &amp; aws s3 cp s3://rtdc.mdm.uploadarchive.raw/RTDC4007/ "%USERPROFILE%\AppData\Local\Temp\OnboardLogs"\RTDC4007\2017-01-25 --exclude "*" --recursive --include "*20170125*" &amp; "%USERPROFILE%\Documents\GitHub\mrs-test-scripts\Headless Mode &amp; Sideloading\WalkAndUnGZ.bat" "%USERPROFILE%\AppData\Local\Temp\OnboardLogs"\RTDC4007\2017-01-25</v>
      </c>
      <c r="AF58" s="84" t="str">
        <f t="shared" si="12"/>
        <v>"C:\Program Files (x86)\AstroGrep\AstroGrep.exe" /spath="%USERPROFILE%\AppData\Local\Temp\OnboardLogs" /stypes="app*4007*20170124*" /stext=" 17:.+((SYSTEM_STATE.+slice.+state.+changed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88" t="str">
        <f t="shared" si="17"/>
        <v>"%USERPROFILE%\Documents\GitHub\eaglep3\Utilities\RefineRTDCRunTimes.py" --tripid 145-24 --locoid 4007 --swversion DE.1.0.8.0 --startMP 204:440 --initTime 2017-01-24T09:13:57 --startdatetime 2017-01-24T09:16:03 --delay 1 --endMP 204:233324 --enddatetime 2017-01-24T10:02:11 --enforcementcount 0 &gt;&gt;C:\Users\stu\Documents\GitHub\eaglep3-reporting\EC\2017-01-24-refined-times.txt</v>
      </c>
      <c r="AI58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{"issue":{"subject":"","project_id":79,"tracker_id":40,"status_id":1,"priority_id":2,"assigned_to_id":23,"start_date":"2017-01-24","description":"","custom_fields":[{"id":1,"name":"Subdivision","value":"EC"},{"id":4,"name":"Milepost","value":"23.3324"},{"id":17,"name":"Train ID","value":"145-24"},{"id":16,"name":"Locomotive ID","value":"4007"},{"id":130,"name":"Impact","value":""},{"id":150,"name":"Time of Event (Mountain Time)","value":"10:02:11"},{"id":151,"name":"Denver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19"/>
        <v>start /low /b %USERPROFILE%\Documents\GitHub\eaglep3\Utilities\DownloadLogsFromS3.py --loco 4007 --day 2017-01-24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"%USERPROFILE%\AppData\Local\Temp\OnboardLogs"\RTDC4007\*4007*20170124* | grep -SE "(Enforcement Action)|(\[TIMEOUT)|(CHR.+\|PRM\|1\|D.+(SWITCH|SIGNAL).+UNKNOWN)" - &gt;&gt; 2017-01-24-UncaughtWiMAX.txt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561</v>
      </c>
      <c r="B59" s="7">
        <v>4008</v>
      </c>
      <c r="C59" s="22" t="s">
        <v>196</v>
      </c>
      <c r="D59" s="22" t="s">
        <v>736</v>
      </c>
      <c r="E59" s="13">
        <v>42759.421712962961</v>
      </c>
      <c r="F59" s="13">
        <v>42759.424618055556</v>
      </c>
      <c r="G59" s="7">
        <v>1</v>
      </c>
      <c r="H59" s="22" t="s">
        <v>429</v>
      </c>
      <c r="I59" s="13">
        <v>42759.457025462965</v>
      </c>
      <c r="J59" s="7">
        <v>0</v>
      </c>
      <c r="K59" s="105" t="str">
        <f t="shared" si="0"/>
        <v>4007/4008</v>
      </c>
      <c r="L59" s="22" t="str">
        <f>VLOOKUP(A59,'Trips&amp;Operators'!$C$1:$G$99999,5,FALSE)</f>
        <v>OUN ZACK</v>
      </c>
      <c r="M59" s="6">
        <f t="shared" si="1"/>
        <v>3.2407407408754807E-2</v>
      </c>
      <c r="N59" s="7">
        <f t="shared" si="20"/>
        <v>46.666666668606922</v>
      </c>
      <c r="O59" s="7"/>
      <c r="P59" s="7"/>
      <c r="Q59" s="23"/>
      <c r="R59" s="23"/>
      <c r="S59" s="32">
        <f t="shared" si="21"/>
        <v>1</v>
      </c>
      <c r="T59" s="47" t="str">
        <f t="shared" si="3"/>
        <v>Southbound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4"/>
        <v>https://d0f6bd738d7f1b3e5a7ca70fe4ff75f0.us-east-1.aws.found.io/app/kibana#/discover/Steve-Slow-Train-Analysis-(2080s-and-2083s)?_g=(refreshInterval:(display:Off,pause:!f,section:0,value:0),time:(from:'2017-01-24T09:07:16-0700',mode:absolute,to:'2017-01-24T11:58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9" s="49" t="str">
        <f t="shared" si="5"/>
        <v>N</v>
      </c>
      <c r="X59" s="170">
        <f t="shared" si="22"/>
        <v>1</v>
      </c>
      <c r="Y59" s="64">
        <f t="shared" si="23"/>
        <v>23.298999999999999</v>
      </c>
      <c r="Z59" s="64">
        <f t="shared" si="24"/>
        <v>1.7600000000000001E-2</v>
      </c>
      <c r="AA59" s="64">
        <f t="shared" si="9"/>
        <v>23.281399999999998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10"/>
        <v>0146-24</v>
      </c>
      <c r="AE59" s="87" t="str">
        <f t="shared" si="11"/>
        <v>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 &amp; aws s3 cp s3://rtdc.mdm.uploadarchive.raw/RTDC4008/ "%USERPROFILE%\AppData\Local\Temp\OnboardLogs"\RTDC4008\2017-01-25 --exclude "*" --recursive --include "*20170125*" &amp; "%USERPROFILE%\Documents\GitHub\mrs-test-scripts\Headless Mode &amp; Sideloading\WalkAndUnGZ.bat" "%USERPROFILE%\AppData\Local\Temp\OnboardLogs"\RTDC4008\2017-01-25</v>
      </c>
      <c r="AF59" s="84" t="str">
        <f t="shared" si="12"/>
        <v>"C:\Program Files (x86)\AstroGrep\AstroGrep.exe" /spath="%USERPROFILE%\AppData\Local\Temp\OnboardLogs" /stypes="app*4008*20170124*" /stext=" 17:.+((SYSTEM_STATE.+slice.+state.+changed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88" t="str">
        <f t="shared" si="17"/>
        <v>"%USERPROFILE%\Documents\GitHub\eaglep3\Utilities\RefineRTDCRunTimes.py" --tripid 146-24 --locoid 4008 --swversion DE.1.0.8.0 --startMP 204:232990 --initTime 2017-01-24T10:07:16 --startdatetime 2017-01-24T10:11:27 --delay 1 --endMP 204:176 --enddatetime 2017-01-24T10:58:07 --enforcementcount 0 &gt;&gt;C:\Users\stu\Documents\GitHub\eaglep3-reporting\EC\2017-01-24-refined-times.txt</v>
      </c>
      <c r="AI59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{"issue":{"subject":"","project_id":79,"tracker_id":40,"status_id":1,"priority_id":2,"assigned_to_id":23,"start_date":"2017-01-24","description":"","custom_fields":[{"id":1,"name":"Subdivision","value":"EC"},{"id":4,"name":"Milepost","value":"0.0176"},{"id":17,"name":"Train ID","value":"146-24"},{"id":16,"name":"Locomotive ID","value":"4008"},{"id":130,"name":"Impact","value":""},{"id":150,"name":"Time of Event (Mountain Time)","value":"10:58:07"},{"id":151,"name":"Denver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19"/>
        <v>start /low /b %USERPROFILE%\Documents\GitHub\eaglep3\Utilities\DownloadLogsFromS3.py --loco 4008 --day 2017-01-24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"%USERPROFILE%\AppData\Local\Temp\OnboardLogs"\RTDC4008\*4008*20170124* | grep -SE "(Enforcement Action)|(\[TIMEOUT)|(CHR.+\|PRM\|1\|D.+(SWITCH|SIGNAL).+UNKNOWN)" - &gt;&gt; 2017-01-24-UncaughtWiMAX.txt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558</v>
      </c>
      <c r="B60" s="7">
        <v>4003</v>
      </c>
      <c r="C60" s="22" t="s">
        <v>196</v>
      </c>
      <c r="D60" s="22" t="s">
        <v>335</v>
      </c>
      <c r="E60" s="13">
        <v>42759.39943287037</v>
      </c>
      <c r="F60" s="13">
        <v>42759.400925925926</v>
      </c>
      <c r="G60" s="7">
        <v>1</v>
      </c>
      <c r="H60" s="22" t="s">
        <v>337</v>
      </c>
      <c r="I60" s="13">
        <v>42759.433148148149</v>
      </c>
      <c r="J60" s="7">
        <v>0</v>
      </c>
      <c r="K60" s="105" t="str">
        <f t="shared" si="0"/>
        <v>4003/4004</v>
      </c>
      <c r="L60" s="22" t="str">
        <f>VLOOKUP(A60,'Trips&amp;Operators'!$C$1:$G$99999,5,FALSE)</f>
        <v>MAELZER KURT</v>
      </c>
      <c r="M60" s="6">
        <f t="shared" si="1"/>
        <v>3.2222222223936114E-2</v>
      </c>
      <c r="N60" s="7">
        <f t="shared" si="20"/>
        <v>46.400000002468005</v>
      </c>
      <c r="O60" s="7"/>
      <c r="P60" s="7"/>
      <c r="Q60" s="23"/>
      <c r="R60" s="23"/>
      <c r="S60" s="32">
        <f t="shared" si="21"/>
        <v>1</v>
      </c>
      <c r="T60" s="47" t="str">
        <f t="shared" si="3"/>
        <v>NorthBound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4"/>
        <v>https://d0f6bd738d7f1b3e5a7ca70fe4ff75f0.us-east-1.aws.found.io/app/kibana#/discover/Steve-Slow-Train-Analysis-(2080s-and-2083s)?_g=(refreshInterval:(display:Off,pause:!f,section:0,value:0),time:(from:'2017-01-24T08:35:11-0700',mode:absolute,to:'2017-01-24T11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49" t="str">
        <f t="shared" si="5"/>
        <v>N</v>
      </c>
      <c r="X60" s="170">
        <f t="shared" si="22"/>
        <v>1</v>
      </c>
      <c r="Y60" s="64">
        <f t="shared" si="23"/>
        <v>4.53E-2</v>
      </c>
      <c r="Z60" s="64">
        <f t="shared" si="24"/>
        <v>23.332899999999999</v>
      </c>
      <c r="AA60" s="64">
        <f t="shared" si="9"/>
        <v>23.287599999999998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0"/>
        <v>0147-24</v>
      </c>
      <c r="AE60" s="87" t="str">
        <f t="shared" si="11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60" s="84" t="str">
        <f t="shared" si="12"/>
        <v>"C:\Program Files (x86)\AstroGrep\AstroGrep.exe" /spath="%USERPROFILE%\AppData\Local\Temp\OnboardLogs" /stypes="app*4003*20170124*" /stext=" 17:.+((SYSTEM_STATE.+slice.+state.+changed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88" t="str">
        <f t="shared" si="17"/>
        <v>"%USERPROFILE%\Documents\GitHub\eaglep3\Utilities\RefineRTDCRunTimes.py" --tripid 147-24 --locoid 4003 --swversion DE.1.0.8.0 --startMP 204:453 --initTime 2017-01-24T09:35:11 --startdatetime 2017-01-24T09:37:20 --delay 1 --endMP 204:233329 --enddatetime 2017-01-24T10:23:44 --enforcementcount 0 &gt;&gt;C:\Users\stu\Documents\GitHub\eaglep3-reporting\EC\2017-01-24-refined-times.txt</v>
      </c>
      <c r="AI60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{"issue":{"subject":"","project_id":79,"tracker_id":40,"status_id":1,"priority_id":2,"assigned_to_id":23,"start_date":"2017-01-24","description":"","custom_fields":[{"id":1,"name":"Subdivision","value":"EC"},{"id":4,"name":"Milepost","value":"23.3329"},{"id":17,"name":"Train ID","value":"147-24"},{"id":16,"name":"Locomotive ID","value":"4003"},{"id":130,"name":"Impact","value":""},{"id":150,"name":"Time of Event (Mountain Time)","value":"10:23:44"},{"id":151,"name":"Denver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19"/>
        <v>start /low /b %USERPROFILE%\Documents\GitHub\eaglep3\Utilities\DownloadLogsFromS3.py --loco 4003 --day 2017-01-24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563</v>
      </c>
      <c r="B61" s="7">
        <v>4004</v>
      </c>
      <c r="C61" s="22" t="s">
        <v>196</v>
      </c>
      <c r="D61" s="22" t="s">
        <v>270</v>
      </c>
      <c r="E61" s="13">
        <v>42759.434756944444</v>
      </c>
      <c r="F61" s="13">
        <v>42759.436944444446</v>
      </c>
      <c r="G61" s="7">
        <v>0</v>
      </c>
      <c r="H61" s="22" t="s">
        <v>186</v>
      </c>
      <c r="I61" s="13">
        <v>42759.466863425929</v>
      </c>
      <c r="J61" s="7">
        <v>0</v>
      </c>
      <c r="K61" s="105" t="str">
        <f t="shared" si="0"/>
        <v>4003/4004</v>
      </c>
      <c r="L61" s="22" t="str">
        <f>VLOOKUP(A61,'Trips&amp;Operators'!$C$1:$G$99999,5,FALSE)</f>
        <v>MAELZER KURT</v>
      </c>
      <c r="M61" s="6">
        <f t="shared" si="1"/>
        <v>2.9918981483206153E-2</v>
      </c>
      <c r="N61" s="7">
        <f t="shared" si="20"/>
        <v>43.08333333581686</v>
      </c>
      <c r="O61" s="7"/>
      <c r="P61" s="7"/>
      <c r="Q61" s="23"/>
      <c r="R61" s="23"/>
      <c r="S61" s="32">
        <f t="shared" si="21"/>
        <v>1</v>
      </c>
      <c r="T61" s="47" t="str">
        <f t="shared" si="3"/>
        <v>Southbound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4"/>
        <v>https://d0f6bd738d7f1b3e5a7ca70fe4ff75f0.us-east-1.aws.found.io/app/kibana#/discover/Steve-Slow-Train-Analysis-(2080s-and-2083s)?_g=(refreshInterval:(display:Off,pause:!f,section:0,value:0),time:(from:'2017-01-24T09:26:03-0700',mode:absolute,to:'2017-01-24T12:12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1" s="49" t="str">
        <f t="shared" si="5"/>
        <v>N</v>
      </c>
      <c r="X61" s="170">
        <f t="shared" si="22"/>
        <v>1</v>
      </c>
      <c r="Y61" s="64">
        <f t="shared" si="23"/>
        <v>23.299299999999999</v>
      </c>
      <c r="Z61" s="64">
        <f t="shared" si="24"/>
        <v>1.49E-2</v>
      </c>
      <c r="AA61" s="64">
        <f t="shared" si="9"/>
        <v>23.284399999999998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10"/>
        <v>0148-24</v>
      </c>
      <c r="AE61" s="87" t="str">
        <f t="shared" si="11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61" s="84" t="str">
        <f t="shared" si="12"/>
        <v>"C:\Program Files (x86)\AstroGrep\AstroGrep.exe" /spath="%USERPROFILE%\AppData\Local\Temp\OnboardLogs" /stypes="app*4004*20170124*" /stext=" 18:.+((SYSTEM_STATE.+slice.+state.+changed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88" t="str">
        <f t="shared" si="17"/>
        <v>"%USERPROFILE%\Documents\GitHub\eaglep3\Utilities\RefineRTDCRunTimes.py" --tripid 148-24 --locoid 4004 --swversion DE.1.0.8.0 --startMP 204:232993 --initTime 2017-01-24T10:26:03 --startdatetime 2017-01-24T10:29:12 --delay 0 --endMP 204:149 --enddatetime 2017-01-24T11:12:17 --enforcementcount 0 &gt;&gt;C:\Users\stu\Documents\GitHub\eaglep3-reporting\EC\2017-01-24-refined-times.txt</v>
      </c>
      <c r="AI61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{"issue":{"subject":"","project_id":79,"tracker_id":40,"status_id":1,"priority_id":2,"assigned_to_id":23,"start_date":"2017-01-24","description":"","custom_fields":[{"id":1,"name":"Subdivision","value":"EC"},{"id":4,"name":"Milepost","value":"0.0149"},{"id":17,"name":"Train ID","value":"148-24"},{"id":16,"name":"Locomotive ID","value":"4004"},{"id":130,"name":"Impact","value":""},{"id":150,"name":"Time of Event (Mountain Time)","value":"11:12:17"},{"id":151,"name":"Denver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19"/>
        <v>start /low /b %USERPROFILE%\Documents\GitHub\eaglep3\Utilities\DownloadLogsFromS3.py --loco 4004 --day 2017-01-24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"%USERPROFILE%\AppData\Local\Temp\OnboardLogs"\RTDC4004\*4004*20170124* | grep -SE "(Enforcement Action)|(\[TIMEOUT)|(CHR.+\|PRM\|1\|D.+(SWITCH|SIGNAL).+UNKNOWN)" - &gt;&gt; 2017-01-24-UncaughtWiMAX.txt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560</v>
      </c>
      <c r="B62" s="7">
        <v>4018</v>
      </c>
      <c r="C62" s="22" t="s">
        <v>196</v>
      </c>
      <c r="D62" s="22" t="s">
        <v>276</v>
      </c>
      <c r="E62" s="13">
        <v>42759.406030092592</v>
      </c>
      <c r="F62" s="13">
        <v>42759.407222222224</v>
      </c>
      <c r="G62" s="7">
        <v>1</v>
      </c>
      <c r="H62" s="22" t="s">
        <v>239</v>
      </c>
      <c r="I62" s="13">
        <v>42759.440416666665</v>
      </c>
      <c r="J62" s="7">
        <v>0</v>
      </c>
      <c r="K62" s="105" t="str">
        <f t="shared" si="0"/>
        <v>4017/4018</v>
      </c>
      <c r="L62" s="22" t="str">
        <f>VLOOKUP(A62,'Trips&amp;Operators'!$C$1:$G$99999,5,FALSE)</f>
        <v>YANAI IAN</v>
      </c>
      <c r="M62" s="6">
        <f t="shared" si="1"/>
        <v>3.3194444440596271E-2</v>
      </c>
      <c r="N62" s="7">
        <f t="shared" si="20"/>
        <v>47.799999994458631</v>
      </c>
      <c r="O62" s="7"/>
      <c r="P62" s="7"/>
      <c r="Q62" s="23"/>
      <c r="R62" s="23"/>
      <c r="S62" s="32">
        <f t="shared" si="21"/>
        <v>1</v>
      </c>
      <c r="T62" s="47" t="str">
        <f t="shared" si="3"/>
        <v>NorthBound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4"/>
        <v>https://d0f6bd738d7f1b3e5a7ca70fe4ff75f0.us-east-1.aws.found.io/app/kibana#/discover/Steve-Slow-Train-Analysis-(2080s-and-2083s)?_g=(refreshInterval:(display:Off,pause:!f,section:0,value:0),time:(from:'2017-01-24T08:44:41-0700',mode:absolute,to:'2017-01-24T11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49" t="str">
        <f t="shared" si="5"/>
        <v>N</v>
      </c>
      <c r="X62" s="170">
        <f t="shared" si="22"/>
        <v>1</v>
      </c>
      <c r="Y62" s="64">
        <f t="shared" si="23"/>
        <v>4.4400000000000002E-2</v>
      </c>
      <c r="Z62" s="64">
        <f t="shared" si="24"/>
        <v>23.329699999999999</v>
      </c>
      <c r="AA62" s="64">
        <f t="shared" si="9"/>
        <v>23.285299999999999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0"/>
        <v>0149-24</v>
      </c>
      <c r="AE62" s="87" t="str">
        <f t="shared" si="11"/>
        <v>aws s3 cp s3://rtdc.mdm.uploadarchive.raw/RTDC4018/ "%USERPROFILE%\AppData\Local\Temp\OnboardLogs"\RTDC4018\2017-01-24 --exclude "*" --recursive --include "*20170124*" &amp; "%USERPROFILE%\Documents\GitHub\mrs-test-scripts\Headless Mode &amp; Sideloading\WalkAndUnGZ.bat" "%USERPROFILE%\AppData\Local\Temp\OnboardLogs"\RTDC4018\2017-01-24 &amp; 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</v>
      </c>
      <c r="AF62" s="84" t="str">
        <f t="shared" si="12"/>
        <v>"C:\Program Files (x86)\AstroGrep\AstroGrep.exe" /spath="%USERPROFILE%\AppData\Local\Temp\OnboardLogs" /stypes="app*4018*20170124*" /stext=" 17:.+((SYSTEM_STATE.+slice.+state.+changed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88" t="str">
        <f t="shared" si="17"/>
        <v>"%USERPROFILE%\Documents\GitHub\eaglep3\Utilities\RefineRTDCRunTimes.py" --tripid 149-24 --locoid 4018 --swversion DE.1.0.8.0 --startMP 204:444 --initTime 2017-01-24T09:44:41 --startdatetime 2017-01-24T09:46:24 --delay 1 --endMP 204:233297 --enddatetime 2017-01-24T10:34:12 --enforcementcount 0 &gt;&gt;C:\Users\stu\Documents\GitHub\eaglep3-reporting\EC\2017-01-24-refined-times.txt</v>
      </c>
      <c r="AI62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{"issue":{"subject":"","project_id":79,"tracker_id":40,"status_id":1,"priority_id":2,"assigned_to_id":23,"start_date":"2017-01-24","description":"","custom_fields":[{"id":1,"name":"Subdivision","value":"EC"},{"id":4,"name":"Milepost","value":"23.3297"},{"id":17,"name":"Train ID","value":"149-24"},{"id":16,"name":"Locomotive ID","value":"4018"},{"id":130,"name":"Impact","value":""},{"id":150,"name":"Time of Event (Mountain Time)","value":"10:34:12"},{"id":151,"name":"Denver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19"/>
        <v>start /low /b %USERPROFILE%\Documents\GitHub\eaglep3\Utilities\DownloadLogsFromS3.py --loco 4018 --day 2017-01-24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"%USERPROFILE%\AppData\Local\Temp\OnboardLogs"\RTDC4018\*4018*20170124* | grep -SE "(Enforcement Action)|(\[TIMEOUT)|(CHR.+\|PRM\|1\|D.+(SWITCH|SIGNAL).+UNKNOWN)" - &gt;&gt; 2017-01-24-UncaughtWiMAX.txt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566</v>
      </c>
      <c r="B63" s="7">
        <v>4017</v>
      </c>
      <c r="C63" s="22" t="s">
        <v>196</v>
      </c>
      <c r="D63" s="22" t="s">
        <v>217</v>
      </c>
      <c r="E63" s="13">
        <v>42759.443460648145</v>
      </c>
      <c r="F63" s="13">
        <v>42759.445381944446</v>
      </c>
      <c r="G63" s="7">
        <v>1</v>
      </c>
      <c r="H63" s="22" t="s">
        <v>737</v>
      </c>
      <c r="I63" s="13">
        <v>42759.470949074072</v>
      </c>
      <c r="J63" s="7">
        <v>0</v>
      </c>
      <c r="K63" s="105" t="str">
        <f t="shared" si="0"/>
        <v>4017/4018</v>
      </c>
      <c r="L63" s="22" t="str">
        <f>VLOOKUP(A63,'Trips&amp;Operators'!$C$1:$G$99999,5,FALSE)</f>
        <v>YANAI IAN</v>
      </c>
      <c r="M63" s="6">
        <f t="shared" si="1"/>
        <v>2.5567129625414964E-2</v>
      </c>
      <c r="N63" s="7"/>
      <c r="O63" s="7"/>
      <c r="P63" s="7">
        <f>24*60*SUM($M63:$M63)</f>
        <v>36.816666660597548</v>
      </c>
      <c r="Q63" s="23"/>
      <c r="R63" s="23" t="s">
        <v>453</v>
      </c>
      <c r="S63" s="32">
        <f t="shared" si="21"/>
        <v>0.83333333333333337</v>
      </c>
      <c r="T63" s="47" t="str">
        <f t="shared" si="3"/>
        <v>Southbound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10</v>
      </c>
      <c r="V63" s="94" t="str">
        <f t="shared" si="4"/>
        <v>https://d0f6bd738d7f1b3e5a7ca70fe4ff75f0.us-east-1.aws.found.io/app/kibana#/discover/Steve-Slow-Train-Analysis-(2080s-and-2083s)?_g=(refreshInterval:(display:Off,pause:!f,section:0,value:0),time:(from:'2017-01-24T09:38:35-0700',mode:absolute,to:'2017-01-24T12:18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49" t="str">
        <f t="shared" si="5"/>
        <v>Y</v>
      </c>
      <c r="X63" s="170">
        <f t="shared" si="22"/>
        <v>1</v>
      </c>
      <c r="Y63" s="64">
        <f t="shared" si="23"/>
        <v>23.2986</v>
      </c>
      <c r="Z63" s="64">
        <v>3.31</v>
      </c>
      <c r="AA63" s="64">
        <f t="shared" si="9"/>
        <v>19.988600000000002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0"/>
        <v>0150-24</v>
      </c>
      <c r="AE63" s="87" t="str">
        <f t="shared" si="11"/>
        <v>aws s3 cp s3://rtdc.mdm.uploadarchive.raw/RTDC4017/ "%USERPROFILE%\AppData\Local\Temp\OnboardLogs"\RTDC4017\2017-01-24 --exclude "*" --recursive --include "*20170124*" &amp; "%USERPROFILE%\Documents\GitHub\mrs-test-scripts\Headless Mode &amp; Sideloading\WalkAndUnGZ.bat" "%USERPROFILE%\AppData\Local\Temp\OnboardLogs"\RTDC4017\2017-01-24 &amp; 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</v>
      </c>
      <c r="AF63" s="84" t="str">
        <f t="shared" si="12"/>
        <v>"C:\Program Files (x86)\AstroGrep\AstroGrep.exe" /spath="%USERPROFILE%\AppData\Local\Temp\OnboardLogs" /stypes="app*4017*20170124*" /stext=" 18:.+((SYSTEM_STATE.+slice.+state.+changed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88" t="str">
        <f t="shared" si="17"/>
        <v>"%USERPROFILE%\Documents\GitHub\eaglep3\Utilities\RefineRTDCRunTimes.py" --tripid 150-24 --locoid 4017 --swversion DE.1.0.8.0 --startMP 204:232986 --initTime 2017-01-24T10:38:35 --startdatetime 2017-01-24T10:41:21 --delay 1 --endMP 204:1173 --enddatetime 2017-01-24T11:18:10 --enforcementcount 0 &gt;&gt;C:\Users\stu\Documents\GitHub\eaglep3-reporting\EC\2017-01-24-refined-times.txt</v>
      </c>
      <c r="AI63" s="115" t="str">
        <f t="shared" si="18"/>
        <v>echo {"issue":{"subject":"Onboard in-route failure","project_id":79,"tracker_id":40,"status_id":1,"priority_id":2,"assigned_to_id":23,"start_date":"2017-01-24","description":"","custom_fields":[{"id":1,"name":"Subdivision","value":"EC"},{"id":4,"name":"Milepost","value":"3.31"},{"id":17,"name":"Train ID","value":"150-24"},{"id":16,"name":"Locomotive ID","value":"4017"},{"id":130,"name":"Impact","value":""},{"id":150,"name":"Time of Event (Mountain Time)","value":"11:18:10"},{"id":151,"name":"Denver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19"/>
        <v>start /low /b %USERPROFILE%\Documents\GitHub\eaglep3\Utilities\DownloadLogsFromS3.py --loco 4017 --day 2017-01-24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"%USERPROFILE%\AppData\Local\Temp\OnboardLogs"\RTDC4017\*4017*20170124* | grep -SE "(Enforcement Action)|(\[TIMEOUT)|(CHR.+\|PRM\|1\|D.+(SWITCH|SIGNAL).+UNKNOWN)" - &gt;&gt; 2017-01-24-UncaughtWiMAX.txt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463</v>
      </c>
      <c r="B64" s="7">
        <v>4009</v>
      </c>
      <c r="C64" s="22" t="s">
        <v>196</v>
      </c>
      <c r="D64" s="22" t="s">
        <v>421</v>
      </c>
      <c r="E64" s="13">
        <v>42759.419340277775</v>
      </c>
      <c r="F64" s="13">
        <v>42759.421087962961</v>
      </c>
      <c r="G64" s="7">
        <v>1</v>
      </c>
      <c r="H64" s="22" t="s">
        <v>738</v>
      </c>
      <c r="I64" s="13">
        <v>42759.454062500001</v>
      </c>
      <c r="J64" s="7">
        <v>0</v>
      </c>
      <c r="K64" s="105" t="str">
        <f t="shared" si="0"/>
        <v>4009/4010</v>
      </c>
      <c r="L64" s="22" t="str">
        <f>VLOOKUP(A64,'Trips&amp;Operators'!$C$1:$G$99999,5,FALSE)</f>
        <v>BONDS REYNALDO</v>
      </c>
      <c r="M64" s="6">
        <f t="shared" si="1"/>
        <v>3.2974537039990537E-2</v>
      </c>
      <c r="N64" s="7">
        <f t="shared" ref="N64:N73" si="25">24*60*SUM($M64:$M64)</f>
        <v>47.483333337586373</v>
      </c>
      <c r="O64" s="7"/>
      <c r="P64" s="7"/>
      <c r="Q64" s="23"/>
      <c r="R64" s="23"/>
      <c r="S64" s="32">
        <f t="shared" si="21"/>
        <v>1</v>
      </c>
      <c r="T64" s="47" t="str">
        <f t="shared" si="3"/>
        <v>NorthBound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4"/>
        <v>https://d0f6bd738d7f1b3e5a7ca70fe4ff75f0.us-east-1.aws.found.io/app/kibana#/discover/Steve-Slow-Train-Analysis-(2080s-and-2083s)?_g=(refreshInterval:(display:Off,pause:!f,section:0,value:0),time:(from:'2017-01-24T09:03:51-0700',mode:absolute,to:'2017-01-24T11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4" s="49" t="str">
        <f t="shared" si="5"/>
        <v>N</v>
      </c>
      <c r="X64" s="170">
        <f t="shared" si="22"/>
        <v>1</v>
      </c>
      <c r="Y64" s="64">
        <f t="shared" si="23"/>
        <v>4.6699999999999998E-2</v>
      </c>
      <c r="Z64" s="64">
        <f t="shared" ref="Z64:Z74" si="26">RIGHT(H64,LEN(H64)-4)/10000</f>
        <v>23.336300000000001</v>
      </c>
      <c r="AA64" s="64">
        <f t="shared" si="9"/>
        <v>23.2896</v>
      </c>
      <c r="AB64" s="61" t="str">
        <f>VLOOKUP(A64,Enforcements!$C$7:$K$16,8,0)</f>
        <v>Bulletin (2)</v>
      </c>
      <c r="AC64" s="57" t="str">
        <f>VLOOKUP(A64,Enforcements!$C$7:$E$16,3,0)</f>
        <v>GRADE CROSSING</v>
      </c>
      <c r="AD64" s="58" t="str">
        <f t="shared" si="10"/>
        <v>0151-24</v>
      </c>
      <c r="AE64" s="87" t="str">
        <f t="shared" si="11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64" s="84" t="str">
        <f t="shared" si="12"/>
        <v>"C:\Program Files (x86)\AstroGrep\AstroGrep.exe" /spath="%USERPROFILE%\AppData\Local\Temp\OnboardLogs" /stypes="app*4009*20170124*" /stext=" 17:.+((SYSTEM_STATE.+slice.+state.+changed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88" t="str">
        <f t="shared" si="17"/>
        <v>"%USERPROFILE%\Documents\GitHub\eaglep3\Utilities\RefineRTDCRunTimes.py" --tripid 151-24 --locoid 4009 --swversion DE.1.0.8.0 --startMP 204:467 --initTime 2017-01-24T10:03:51 --startdatetime 2017-01-24T10:06:22 --delay 1 --endMP 204:233363 --enddatetime 2017-01-24T10:53:51 --enforcementcount 0 &gt;&gt;C:\Users\stu\Documents\GitHub\eaglep3-reporting\EC\2017-01-24-refined-times.txt</v>
      </c>
      <c r="AI64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{"issue":{"subject":"","project_id":79,"tracker_id":40,"status_id":1,"priority_id":2,"assigned_to_id":23,"start_date":"2017-01-24","description":"","custom_fields":[{"id":1,"name":"Subdivision","value":"EC"},{"id":4,"name":"Milepost","value":"23.3363"},{"id":17,"name":"Train ID","value":"151-24"},{"id":16,"name":"Locomotive ID","value":"4009"},{"id":130,"name":"Impact","value":""},{"id":150,"name":"Time of Event (Mountain Time)","value":"10:53:51"},{"id":151,"name":"Denver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19"/>
        <v>start /low /b %USERPROFILE%\Documents\GitHub\eaglep3\Utilities\DownloadLogsFromS3.py --loco 4009 --day 2017-01-24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465</v>
      </c>
      <c r="B65" s="7">
        <v>4010</v>
      </c>
      <c r="C65" s="22" t="s">
        <v>196</v>
      </c>
      <c r="D65" s="22" t="s">
        <v>739</v>
      </c>
      <c r="E65" s="13">
        <v>42759.455289351848</v>
      </c>
      <c r="F65" s="13">
        <v>42759.456828703704</v>
      </c>
      <c r="G65" s="7">
        <v>1</v>
      </c>
      <c r="H65" s="22" t="s">
        <v>253</v>
      </c>
      <c r="I65" s="13">
        <v>42759.488715277781</v>
      </c>
      <c r="J65" s="7">
        <v>0</v>
      </c>
      <c r="K65" s="105" t="str">
        <f t="shared" si="0"/>
        <v>4009/4010</v>
      </c>
      <c r="L65" s="22" t="str">
        <f>VLOOKUP(A65,'Trips&amp;Operators'!$C$1:$G$99999,5,FALSE)</f>
        <v>BONDS REYNALDO</v>
      </c>
      <c r="M65" s="6">
        <f t="shared" si="1"/>
        <v>3.1886574077361729E-2</v>
      </c>
      <c r="N65" s="7">
        <f t="shared" si="25"/>
        <v>45.91666667140089</v>
      </c>
      <c r="O65" s="7"/>
      <c r="P65" s="7"/>
      <c r="Q65" s="23"/>
      <c r="R65" s="23"/>
      <c r="S65" s="32">
        <f t="shared" si="21"/>
        <v>1</v>
      </c>
      <c r="T65" s="47" t="str">
        <f t="shared" si="3"/>
        <v>Southbound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4"/>
        <v>https://d0f6bd738d7f1b3e5a7ca70fe4ff75f0.us-east-1.aws.found.io/app/kibana#/discover/Steve-Slow-Train-Analysis-(2080s-and-2083s)?_g=(refreshInterval:(display:Off,pause:!f,section:0,value:0),time:(from:'2017-01-24T09:55:37-0700',mode:absolute,to:'2017-01-24T12:43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5" s="49" t="str">
        <f t="shared" si="5"/>
        <v>N</v>
      </c>
      <c r="X65" s="170">
        <f t="shared" si="22"/>
        <v>1</v>
      </c>
      <c r="Y65" s="64">
        <f t="shared" si="23"/>
        <v>23.305499999999999</v>
      </c>
      <c r="Z65" s="64">
        <f t="shared" si="26"/>
        <v>1.43E-2</v>
      </c>
      <c r="AA65" s="64">
        <f t="shared" si="9"/>
        <v>23.2912</v>
      </c>
      <c r="AB65" s="61" t="str">
        <f>VLOOKUP(A65,Enforcements!$C$7:$K$16,8,0)</f>
        <v>Bulletin (2)</v>
      </c>
      <c r="AC65" s="57" t="str">
        <f>VLOOKUP(A65,Enforcements!$C$7:$E$16,3,0)</f>
        <v>GRADE CROSSING</v>
      </c>
      <c r="AD65" s="58" t="str">
        <f t="shared" si="10"/>
        <v>0152-24</v>
      </c>
      <c r="AE65" s="87" t="str">
        <f t="shared" si="11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65" s="84" t="str">
        <f t="shared" si="12"/>
        <v>"C:\Program Files (x86)\AstroGrep\AstroGrep.exe" /spath="%USERPROFILE%\AppData\Local\Temp\OnboardLogs" /stypes="app*4010*20170124*" /stext=" 18:.+((SYSTEM_STATE.+slice.+state.+changed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88" t="str">
        <f t="shared" si="17"/>
        <v>"%USERPROFILE%\Documents\GitHub\eaglep3\Utilities\RefineRTDCRunTimes.py" --tripid 152-24 --locoid 4010 --swversion DE.1.0.8.0 --startMP 204:233055 --initTime 2017-01-24T10:55:37 --startdatetime 2017-01-24T10:57:50 --delay 1 --endMP 204:143 --enddatetime 2017-01-24T11:43:45 --enforcementcount 0 &gt;&gt;C:\Users\stu\Documents\GitHub\eaglep3-reporting\EC\2017-01-24-refined-times.txt</v>
      </c>
      <c r="AI65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{"issue":{"subject":"","project_id":79,"tracker_id":40,"status_id":1,"priority_id":2,"assigned_to_id":23,"start_date":"2017-01-24","description":"","custom_fields":[{"id":1,"name":"Subdivision","value":"EC"},{"id":4,"name":"Milepost","value":"0.0143"},{"id":17,"name":"Train ID","value":"152-24"},{"id":16,"name":"Locomotive ID","value":"4010"},{"id":130,"name":"Impact","value":""},{"id":150,"name":"Time of Event (Mountain Time)","value":"11:43:45"},{"id":151,"name":"Denver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19"/>
        <v>start /low /b %USERPROFILE%\Documents\GitHub\eaglep3\Utilities\DownloadLogsFromS3.py --loco 4010 --day 2017-01-24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564</v>
      </c>
      <c r="B66" s="7">
        <v>4051</v>
      </c>
      <c r="C66" s="22" t="s">
        <v>196</v>
      </c>
      <c r="D66" s="22" t="s">
        <v>410</v>
      </c>
      <c r="E66" s="13">
        <v>42759.435474537036</v>
      </c>
      <c r="F66" s="13">
        <v>42759.438472222224</v>
      </c>
      <c r="G66" s="7">
        <v>1</v>
      </c>
      <c r="H66" s="22" t="s">
        <v>233</v>
      </c>
      <c r="I66" s="13">
        <v>42759.469733796293</v>
      </c>
      <c r="J66" s="7">
        <v>0</v>
      </c>
      <c r="K66" s="105" t="str">
        <f t="shared" si="0"/>
        <v>4051/4052</v>
      </c>
      <c r="L66" s="22" t="str">
        <f>VLOOKUP(A66,'Trips&amp;Operators'!$C$1:$G$99999,5,FALSE)</f>
        <v>YORK EDGAR</v>
      </c>
      <c r="M66" s="6">
        <f t="shared" si="1"/>
        <v>3.1261574069503695E-2</v>
      </c>
      <c r="N66" s="7">
        <f t="shared" si="25"/>
        <v>45.01666666008532</v>
      </c>
      <c r="O66" s="7"/>
      <c r="P66" s="7"/>
      <c r="Q66" s="23"/>
      <c r="R66" s="23"/>
      <c r="S66" s="32">
        <f t="shared" si="21"/>
        <v>1</v>
      </c>
      <c r="T66" s="47" t="str">
        <f t="shared" si="3"/>
        <v>NorthBound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4"/>
        <v>https://d0f6bd738d7f1b3e5a7ca70fe4ff75f0.us-east-1.aws.found.io/app/kibana#/discover/Steve-Slow-Train-Analysis-(2080s-and-2083s)?_g=(refreshInterval:(display:Off,pause:!f,section:0,value:0),time:(from:'2017-01-24T09:27:05-0700',mode:absolute,to:'2017-01-24T12:16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49" t="str">
        <f t="shared" si="5"/>
        <v>N</v>
      </c>
      <c r="X66" s="170">
        <f t="shared" si="22"/>
        <v>3</v>
      </c>
      <c r="Y66" s="64">
        <f t="shared" si="23"/>
        <v>4.3799999999999999E-2</v>
      </c>
      <c r="Z66" s="64">
        <f t="shared" si="26"/>
        <v>23.3293</v>
      </c>
      <c r="AA66" s="64">
        <f t="shared" si="9"/>
        <v>23.285499999999999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0"/>
        <v>0155-24</v>
      </c>
      <c r="AE66" s="87" t="str">
        <f t="shared" si="11"/>
        <v>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 &amp; aws s3 cp s3://rtdc.mdm.uploadarchive.raw/RTDC4051/ "%USERPROFILE%\AppData\Local\Temp\OnboardLogs"\RTDC4051\2017-01-25 --exclude "*" --recursive --include "*20170125*" &amp; "%USERPROFILE%\Documents\GitHub\mrs-test-scripts\Headless Mode &amp; Sideloading\WalkAndUnGZ.bat" "%USERPROFILE%\AppData\Local\Temp\OnboardLogs"\RTDC4051\2017-01-25</v>
      </c>
      <c r="AF66" s="84" t="str">
        <f t="shared" si="12"/>
        <v>"C:\Program Files (x86)\AstroGrep\AstroGrep.exe" /spath="%USERPROFILE%\AppData\Local\Temp\OnboardLogs" /stypes="app*4051*20170124*" /stext=" 18:.+((SYSTEM_STATE.+slice.+state.+changed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88" t="str">
        <f t="shared" si="17"/>
        <v>"%USERPROFILE%\Documents\GitHub\eaglep3\Utilities\RefineRTDCRunTimes.py" --tripid 155-24 --locoid 4051 --swversion DE.1.0.8.0 --startMP 204:438 --initTime 2017-01-24T10:27:05 --startdatetime 2017-01-24T10:31:24 --delay 1 --endMP 204:233293 --enddatetime 2017-01-24T11:16:25 --enforcementcount 0 &gt;&gt;C:\Users\stu\Documents\GitHub\eaglep3-reporting\EC\2017-01-24-refined-times.txt</v>
      </c>
      <c r="AI66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{"issue":{"subject":"","project_id":79,"tracker_id":40,"status_id":1,"priority_id":2,"assigned_to_id":23,"start_date":"2017-01-24","description":"","custom_fields":[{"id":1,"name":"Subdivision","value":"EC"},{"id":4,"name":"Milepost","value":"23.3293"},{"id":17,"name":"Train ID","value":"155-24"},{"id":16,"name":"Locomotive ID","value":"4051"},{"id":130,"name":"Impact","value":""},{"id":150,"name":"Time of Event (Mountain Time)","value":"11:16:25"},{"id":151,"name":"Denver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19"/>
        <v>start /low /b %USERPROFILE%\Documents\GitHub\eaglep3\Utilities\DownloadLogsFromS3.py --loco 4051 --day 2017-01-24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469</v>
      </c>
      <c r="B67" s="7">
        <v>4052</v>
      </c>
      <c r="C67" s="22" t="s">
        <v>196</v>
      </c>
      <c r="D67" s="22" t="s">
        <v>367</v>
      </c>
      <c r="E67" s="13">
        <v>42759.471053240741</v>
      </c>
      <c r="F67" s="13">
        <v>42759.476631944446</v>
      </c>
      <c r="G67" s="7">
        <v>1</v>
      </c>
      <c r="H67" s="22" t="s">
        <v>220</v>
      </c>
      <c r="I67" s="13">
        <v>42759.505567129629</v>
      </c>
      <c r="J67" s="7">
        <v>0</v>
      </c>
      <c r="K67" s="105" t="str">
        <f t="shared" si="0"/>
        <v>4051/4052</v>
      </c>
      <c r="L67" s="22" t="str">
        <f>VLOOKUP(A67,'Trips&amp;Operators'!$C$1:$G$99999,5,FALSE)</f>
        <v>YORK EDGAR</v>
      </c>
      <c r="M67" s="6">
        <f t="shared" si="1"/>
        <v>2.8935185182490386E-2</v>
      </c>
      <c r="N67" s="7">
        <f t="shared" si="25"/>
        <v>41.666666662786156</v>
      </c>
      <c r="O67" s="7"/>
      <c r="P67" s="7"/>
      <c r="Q67" s="23"/>
      <c r="R67" s="23"/>
      <c r="S67" s="32">
        <f t="shared" si="21"/>
        <v>1</v>
      </c>
      <c r="T67" s="47" t="str">
        <f t="shared" si="3"/>
        <v>Southbound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4"/>
        <v>https://d0f6bd738d7f1b3e5a7ca70fe4ff75f0.us-east-1.aws.found.io/app/kibana#/discover/Steve-Slow-Train-Analysis-(2080s-and-2083s)?_g=(refreshInterval:(display:Off,pause:!f,section:0,value:0),time:(from:'2017-01-24T10:18:19-0700',mode:absolute,to:'2017-01-24T13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7" s="49" t="str">
        <f t="shared" si="5"/>
        <v>N</v>
      </c>
      <c r="X67" s="170">
        <f t="shared" si="22"/>
        <v>1</v>
      </c>
      <c r="Y67" s="64">
        <f t="shared" si="23"/>
        <v>23.2971</v>
      </c>
      <c r="Z67" s="64">
        <f t="shared" si="26"/>
        <v>1.52E-2</v>
      </c>
      <c r="AA67" s="64">
        <f t="shared" si="9"/>
        <v>23.2819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0"/>
        <v>0156-24</v>
      </c>
      <c r="AE67" s="87" t="str">
        <f t="shared" si="11"/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AF67" s="84" t="str">
        <f t="shared" si="12"/>
        <v>"C:\Program Files (x86)\AstroGrep\AstroGrep.exe" /spath="%USERPROFILE%\AppData\Local\Temp\OnboardLogs" /stypes="app*4052*20170124*" /stext=" 19:.+((SYSTEM_STATE.+slice.+state.+changed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88" t="str">
        <f t="shared" si="17"/>
        <v>"%USERPROFILE%\Documents\GitHub\eaglep3\Utilities\RefineRTDCRunTimes.py" --tripid 156-24 --locoid 4052 --swversion DE.1.0.8.0 --startMP 204:232971 --initTime 2017-01-24T11:18:19 --startdatetime 2017-01-24T11:26:21 --delay 1 --endMP 204:152 --enddatetime 2017-01-24T12:08:01 --enforcementcount 0 &gt;&gt;C:\Users\stu\Documents\GitHub\eaglep3-reporting\EC\2017-01-24-refined-times.txt</v>
      </c>
      <c r="AI67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{"issue":{"subject":"","project_id":79,"tracker_id":40,"status_id":1,"priority_id":2,"assigned_to_id":23,"start_date":"2017-01-24","description":"","custom_fields":[{"id":1,"name":"Subdivision","value":"EC"},{"id":4,"name":"Milepost","value":"0.0152"},{"id":17,"name":"Train ID","value":"156-24"},{"id":16,"name":"Locomotive ID","value":"4052"},{"id":130,"name":"Impact","value":""},{"id":150,"name":"Time of Event (Mountain Time)","value":"12:08:01"},{"id":151,"name":"Denver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19"/>
        <v>start /low /b %USERPROFILE%\Documents\GitHub\eaglep3\Utilities\DownloadLogsFromS3.py --loco 4052 --day 2017-01-24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567</v>
      </c>
      <c r="B68" s="7">
        <v>4027</v>
      </c>
      <c r="C68" s="22" t="s">
        <v>196</v>
      </c>
      <c r="D68" s="22" t="s">
        <v>276</v>
      </c>
      <c r="E68" s="13">
        <v>42759.447800925926</v>
      </c>
      <c r="F68" s="13">
        <v>42759.449340277781</v>
      </c>
      <c r="G68" s="7">
        <v>1</v>
      </c>
      <c r="H68" s="22" t="s">
        <v>360</v>
      </c>
      <c r="I68" s="13">
        <v>42759.47828703704</v>
      </c>
      <c r="J68" s="7">
        <v>0</v>
      </c>
      <c r="K68" s="105" t="str">
        <f t="shared" si="0"/>
        <v>4027/4028</v>
      </c>
      <c r="L68" s="22" t="str">
        <f>VLOOKUP(A68,'Trips&amp;Operators'!$C$1:$G$99999,5,FALSE)</f>
        <v>DE LA ROSA ALEX</v>
      </c>
      <c r="M68" s="6">
        <f t="shared" si="1"/>
        <v>2.8946759259270038E-2</v>
      </c>
      <c r="N68" s="7">
        <f t="shared" si="25"/>
        <v>41.683333333348855</v>
      </c>
      <c r="O68" s="7"/>
      <c r="P68" s="7"/>
      <c r="Q68" s="23"/>
      <c r="R68" s="23"/>
      <c r="S68" s="32">
        <f t="shared" si="21"/>
        <v>1</v>
      </c>
      <c r="T68" s="47" t="str">
        <f t="shared" si="3"/>
        <v>NorthBound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4"/>
        <v>https://d0f6bd738d7f1b3e5a7ca70fe4ff75f0.us-east-1.aws.found.io/app/kibana#/discover/Steve-Slow-Train-Analysis-(2080s-and-2083s)?_g=(refreshInterval:(display:Off,pause:!f,section:0,value:0),time:(from:'2017-01-24T09:44:50-0700',mode:absolute,to:'2017-01-24T12:28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8" s="49" t="str">
        <f t="shared" si="5"/>
        <v>N</v>
      </c>
      <c r="X68" s="170">
        <f t="shared" si="22"/>
        <v>1</v>
      </c>
      <c r="Y68" s="64">
        <f t="shared" si="23"/>
        <v>4.4400000000000002E-2</v>
      </c>
      <c r="Z68" s="64">
        <f t="shared" si="26"/>
        <v>23.331499999999998</v>
      </c>
      <c r="AA68" s="64">
        <f t="shared" si="9"/>
        <v>23.287099999999999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0"/>
        <v>0157-24</v>
      </c>
      <c r="AE68" s="87" t="str">
        <f t="shared" si="11"/>
        <v>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 &amp; 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</v>
      </c>
      <c r="AF68" s="84" t="str">
        <f t="shared" si="12"/>
        <v>"C:\Program Files (x86)\AstroGrep\AstroGrep.exe" /spath="%USERPROFILE%\AppData\Local\Temp\OnboardLogs" /stypes="app*4027*20170124*" /stext=" 18:.+((SYSTEM_STATE.+slice.+state.+changed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88" t="str">
        <f t="shared" si="17"/>
        <v>"%USERPROFILE%\Documents\GitHub\eaglep3\Utilities\RefineRTDCRunTimes.py" --tripid 157-24 --locoid 4027 --swversion DE.1.0.8.0 --startMP 204:444 --initTime 2017-01-24T10:44:50 --startdatetime 2017-01-24T10:47:03 --delay 1 --endMP 204:233315 --enddatetime 2017-01-24T11:28:44 --enforcementcount 0 &gt;&gt;C:\Users\stu\Documents\GitHub\eaglep3-reporting\EC\2017-01-24-refined-times.txt</v>
      </c>
      <c r="AI68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{"issue":{"subject":"","project_id":79,"tracker_id":40,"status_id":1,"priority_id":2,"assigned_to_id":23,"start_date":"2017-01-24","description":"","custom_fields":[{"id":1,"name":"Subdivision","value":"EC"},{"id":4,"name":"Milepost","value":"23.3315"},{"id":17,"name":"Train ID","value":"157-24"},{"id":16,"name":"Locomotive ID","value":"4027"},{"id":130,"name":"Impact","value":""},{"id":150,"name":"Time of Event (Mountain Time)","value":"11:28:44"},{"id":151,"name":"Denver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19"/>
        <v>start /low /b %USERPROFILE%\Documents\GitHub\eaglep3\Utilities\DownloadLogsFromS3.py --loco 4027 --day 2017-01-24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2017-01-24-UncaughtWiMAX.txt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578</v>
      </c>
      <c r="B69" s="7">
        <v>4028</v>
      </c>
      <c r="C69" s="22" t="s">
        <v>196</v>
      </c>
      <c r="D69" s="22" t="s">
        <v>734</v>
      </c>
      <c r="E69" s="13">
        <v>42759.482627314814</v>
      </c>
      <c r="F69" s="13">
        <v>42759.48709490741</v>
      </c>
      <c r="G69" s="7">
        <v>2</v>
      </c>
      <c r="H69" s="22" t="s">
        <v>215</v>
      </c>
      <c r="I69" s="13">
        <v>42759.519988425927</v>
      </c>
      <c r="J69" s="7">
        <v>0</v>
      </c>
      <c r="K69" s="105" t="str">
        <f t="shared" si="0"/>
        <v>4027/4028</v>
      </c>
      <c r="L69" s="22" t="str">
        <f>VLOOKUP(A69,'Trips&amp;Operators'!$C$1:$G$99999,5,FALSE)</f>
        <v>DE LA ROSA ALEX</v>
      </c>
      <c r="M69" s="6">
        <f t="shared" si="1"/>
        <v>3.2893518517084885E-2</v>
      </c>
      <c r="N69" s="7">
        <f t="shared" si="25"/>
        <v>47.366666664602235</v>
      </c>
      <c r="O69" s="7"/>
      <c r="P69" s="7"/>
      <c r="Q69" s="23"/>
      <c r="R69" s="23"/>
      <c r="S69" s="32">
        <f t="shared" si="21"/>
        <v>1</v>
      </c>
      <c r="T69" s="47" t="str">
        <f t="shared" si="3"/>
        <v>Southbound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4"/>
        <v>https://d0f6bd738d7f1b3e5a7ca70fe4ff75f0.us-east-1.aws.found.io/app/kibana#/discover/Steve-Slow-Train-Analysis-(2080s-and-2083s)?_g=(refreshInterval:(display:Off,pause:!f,section:0,value:0),time:(from:'2017-01-24T10:34:59-0700',mode:absolute,to:'2017-01-24T13:28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9" s="49" t="str">
        <f t="shared" si="5"/>
        <v>N</v>
      </c>
      <c r="X69" s="170">
        <f t="shared" si="22"/>
        <v>1</v>
      </c>
      <c r="Y69" s="64">
        <f t="shared" si="23"/>
        <v>23.299099999999999</v>
      </c>
      <c r="Z69" s="64">
        <f t="shared" si="26"/>
        <v>1.6E-2</v>
      </c>
      <c r="AA69" s="64">
        <f t="shared" si="9"/>
        <v>23.283100000000001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0"/>
        <v>0158-24</v>
      </c>
      <c r="AE69" s="87" t="str">
        <f t="shared" si="11"/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AF69" s="84" t="str">
        <f t="shared" si="12"/>
        <v>"C:\Program Files (x86)\AstroGrep\AstroGrep.exe" /spath="%USERPROFILE%\AppData\Local\Temp\OnboardLogs" /stypes="app*4028*20170124*" /stext=" 19:.+((SYSTEM_STATE.+slice.+state.+changed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88" t="str">
        <f t="shared" si="17"/>
        <v>"%USERPROFILE%\Documents\GitHub\eaglep3\Utilities\RefineRTDCRunTimes.py" --tripid 158-24 --locoid 4028 --swversion DE.1.0.8.0 --startMP 204:232991 --initTime 2017-01-24T11:34:59 --startdatetime 2017-01-24T11:41:25 --delay 2 --endMP 204:160 --enddatetime 2017-01-24T12:28:47 --enforcementcount 0 &gt;&gt;C:\Users\stu\Documents\GitHub\eaglep3-reporting\EC\2017-01-24-refined-times.txt</v>
      </c>
      <c r="AI69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{"issue":{"subject":"","project_id":79,"tracker_id":40,"status_id":1,"priority_id":2,"assigned_to_id":23,"start_date":"2017-01-24","description":"","custom_fields":[{"id":1,"name":"Subdivision","value":"EC"},{"id":4,"name":"Milepost","value":"0.016"},{"id":17,"name":"Train ID","value":"158-24"},{"id":16,"name":"Locomotive ID","value":"4028"},{"id":130,"name":"Impact","value":""},{"id":150,"name":"Time of Event (Mountain Time)","value":"12:28:47"},{"id":151,"name":"Denver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19"/>
        <v>start /low /b %USERPROFILE%\Documents\GitHub\eaglep3\Utilities\DownloadLogsFromS3.py --loco 4028 --day 2017-01-24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570</v>
      </c>
      <c r="B70" s="7">
        <v>4038</v>
      </c>
      <c r="C70" s="22" t="s">
        <v>196</v>
      </c>
      <c r="D70" s="22" t="s">
        <v>298</v>
      </c>
      <c r="E70" s="13">
        <v>42759.448437500003</v>
      </c>
      <c r="F70" s="13">
        <v>42759.458715277775</v>
      </c>
      <c r="G70" s="7">
        <v>2</v>
      </c>
      <c r="H70" s="22" t="s">
        <v>359</v>
      </c>
      <c r="I70" s="13">
        <v>42759.48946759259</v>
      </c>
      <c r="J70" s="7">
        <v>0</v>
      </c>
      <c r="K70" s="105" t="str">
        <f t="shared" si="0"/>
        <v>4037/4038</v>
      </c>
      <c r="L70" s="22" t="str">
        <f>VLOOKUP(A70,'Trips&amp;Operators'!$C$1:$G$99999,5,FALSE)</f>
        <v>HAITHCOX MICHAEL</v>
      </c>
      <c r="M70" s="6">
        <f t="shared" si="1"/>
        <v>3.0752314814890269E-2</v>
      </c>
      <c r="N70" s="7">
        <f t="shared" si="25"/>
        <v>44.283333333441988</v>
      </c>
      <c r="O70" s="7"/>
      <c r="P70" s="7"/>
      <c r="Q70" s="23"/>
      <c r="R70" s="23"/>
      <c r="S70" s="32">
        <f t="shared" si="21"/>
        <v>1</v>
      </c>
      <c r="T70" s="47" t="str">
        <f t="shared" si="3"/>
        <v>NorthBound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4"/>
        <v>https://d0f6bd738d7f1b3e5a7ca70fe4ff75f0.us-east-1.aws.found.io/app/kibana#/discover/Steve-Slow-Train-Analysis-(2080s-and-2083s)?_g=(refreshInterval:(display:Off,pause:!f,section:0,value:0),time:(from:'2017-01-24T09:45:45-0700',mode:absolute,to:'2017-01-24T12:44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70" s="49" t="str">
        <f t="shared" si="5"/>
        <v>N</v>
      </c>
      <c r="X70" s="170">
        <f t="shared" si="22"/>
        <v>1</v>
      </c>
      <c r="Y70" s="64">
        <f t="shared" si="23"/>
        <v>4.6399999999999997E-2</v>
      </c>
      <c r="Z70" s="64">
        <f t="shared" si="26"/>
        <v>23.335100000000001</v>
      </c>
      <c r="AA70" s="64">
        <f t="shared" si="9"/>
        <v>23.288700000000002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0"/>
        <v>0159-24</v>
      </c>
      <c r="AE70" s="87" t="str">
        <f t="shared" si="11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70" s="84" t="str">
        <f t="shared" si="12"/>
        <v>"C:\Program Files (x86)\AstroGrep\AstroGrep.exe" /spath="%USERPROFILE%\AppData\Local\Temp\OnboardLogs" /stypes="app*4038*20170124*" /stext=" 18:.+((SYSTEM_STATE.+slice.+state.+changed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88" t="str">
        <f t="shared" si="17"/>
        <v>"%USERPROFILE%\Documents\GitHub\eaglep3\Utilities\RefineRTDCRunTimes.py" --tripid 159-24 --locoid 4038 --swversion DE.1.0.8.0 --startMP 204:464 --initTime 2017-01-24T10:45:45 --startdatetime 2017-01-24T11:00:33 --delay 2 --endMP 204:233351 --enddatetime 2017-01-24T11:44:50 --enforcementcount 0 &gt;&gt;C:\Users\stu\Documents\GitHub\eaglep3-reporting\EC\2017-01-24-refined-times.txt</v>
      </c>
      <c r="AI70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{"issue":{"subject":"","project_id":79,"tracker_id":40,"status_id":1,"priority_id":2,"assigned_to_id":23,"start_date":"2017-01-24","description":"","custom_fields":[{"id":1,"name":"Subdivision","value":"EC"},{"id":4,"name":"Milepost","value":"23.3351"},{"id":17,"name":"Train ID","value":"159-24"},{"id":16,"name":"Locomotive ID","value":"4038"},{"id":130,"name":"Impact","value":""},{"id":150,"name":"Time of Event (Mountain Time)","value":"11:44:50"},{"id":151,"name":"Denver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19"/>
        <v>start /low /b %USERPROFILE%\Documents\GitHub\eaglep3\Utilities\DownloadLogsFromS3.py --loco 4038 --day 2017-01-24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"%USERPROFILE%\AppData\Local\Temp\OnboardLogs"\RTDC4038\*4038*20170124* | grep -SE "(Enforcement Action)|(\[TIMEOUT)|(CHR.+\|PRM\|1\|D.+(SWITCH|SIGNAL).+UNKNOWN)" - &gt;&gt; 2017-01-24-UncaughtWiMAX.txt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583</v>
      </c>
      <c r="B71" s="7">
        <v>4037</v>
      </c>
      <c r="C71" s="22" t="s">
        <v>196</v>
      </c>
      <c r="D71" s="22" t="s">
        <v>740</v>
      </c>
      <c r="E71" s="13">
        <v>42759.493842592594</v>
      </c>
      <c r="F71" s="13">
        <v>42759.497395833336</v>
      </c>
      <c r="G71" s="7">
        <v>1</v>
      </c>
      <c r="H71" s="22" t="s">
        <v>200</v>
      </c>
      <c r="I71" s="13">
        <v>42759.532349537039</v>
      </c>
      <c r="J71" s="7">
        <v>0</v>
      </c>
      <c r="K71" s="105" t="str">
        <f t="shared" si="0"/>
        <v>4037/4038</v>
      </c>
      <c r="L71" s="22" t="str">
        <f>VLOOKUP(A71,'Trips&amp;Operators'!$C$1:$G$99999,5,FALSE)</f>
        <v>HAITHCOX MICHAEL</v>
      </c>
      <c r="M71" s="6">
        <f t="shared" si="1"/>
        <v>3.4953703703649808E-2</v>
      </c>
      <c r="N71" s="7">
        <f t="shared" si="25"/>
        <v>50.333333333255723</v>
      </c>
      <c r="O71" s="7"/>
      <c r="P71" s="7"/>
      <c r="Q71" s="23"/>
      <c r="R71" s="23"/>
      <c r="S71" s="32">
        <f t="shared" si="21"/>
        <v>1</v>
      </c>
      <c r="T71" s="47" t="str">
        <f t="shared" si="3"/>
        <v>Southbound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4"/>
        <v>https://d0f6bd738d7f1b3e5a7ca70fe4ff75f0.us-east-1.aws.found.io/app/kibana#/discover/Steve-Slow-Train-Analysis-(2080s-and-2083s)?_g=(refreshInterval:(display:Off,pause:!f,section:0,value:0),time:(from:'2017-01-24T10:51:08-0700',mode:absolute,to:'2017-01-24T13:46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71" s="49" t="str">
        <f t="shared" si="5"/>
        <v>N</v>
      </c>
      <c r="X71" s="170">
        <f t="shared" si="22"/>
        <v>1</v>
      </c>
      <c r="Y71" s="64">
        <f t="shared" si="23"/>
        <v>23.303799999999999</v>
      </c>
      <c r="Z71" s="64">
        <f t="shared" si="26"/>
        <v>1.4999999999999999E-2</v>
      </c>
      <c r="AA71" s="64">
        <f t="shared" si="9"/>
        <v>23.288799999999998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0"/>
        <v>0160-24</v>
      </c>
      <c r="AE71" s="87" t="str">
        <f t="shared" si="11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71" s="84" t="str">
        <f t="shared" si="12"/>
        <v>"C:\Program Files (x86)\AstroGrep\AstroGrep.exe" /spath="%USERPROFILE%\AppData\Local\Temp\OnboardLogs" /stypes="app*4037*20170124*" /stext=" 19:.+((SYSTEM_STATE.+slice.+state.+changed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88" t="str">
        <f t="shared" si="17"/>
        <v>"%USERPROFILE%\Documents\GitHub\eaglep3\Utilities\RefineRTDCRunTimes.py" --tripid 160-24 --locoid 4037 --swversion DE.1.0.8.0 --startMP 204:233038 --initTime 2017-01-24T11:51:08 --startdatetime 2017-01-24T11:56:15 --delay 1 --endMP 204:150 --enddatetime 2017-01-24T12:46:35 --enforcementcount 0 &gt;&gt;C:\Users\stu\Documents\GitHub\eaglep3-reporting\EC\2017-01-24-refined-times.txt</v>
      </c>
      <c r="AI71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{"issue":{"subject":"","project_id":79,"tracker_id":40,"status_id":1,"priority_id":2,"assigned_to_id":23,"start_date":"2017-01-24","description":"","custom_fields":[{"id":1,"name":"Subdivision","value":"EC"},{"id":4,"name":"Milepost","value":"0.015"},{"id":17,"name":"Train ID","value":"160-24"},{"id":16,"name":"Locomotive ID","value":"4037"},{"id":130,"name":"Impact","value":""},{"id":150,"name":"Time of Event (Mountain Time)","value":"12:46:35"},{"id":151,"name":"Denver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19"/>
        <v>start /low /b %USERPROFILE%\Documents\GitHub\eaglep3\Utilities\DownloadLogsFromS3.py --loco 4037 --day 2017-01-24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"%USERPROFILE%\AppData\Local\Temp\OnboardLogs"\RTDC4037\*4037*20170124* | grep -SE "(Enforcement Action)|(\[TIMEOUT)|(CHR.+\|PRM\|1\|D.+(SWITCH|SIGNAL).+UNKNOWN)" - &gt;&gt; 2017-01-24-UncaughtWiMAX.txt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575</v>
      </c>
      <c r="B72" s="7">
        <v>4007</v>
      </c>
      <c r="C72" s="22" t="s">
        <v>196</v>
      </c>
      <c r="D72" s="22" t="s">
        <v>298</v>
      </c>
      <c r="E72" s="13">
        <v>42759.461516203701</v>
      </c>
      <c r="F72" s="13">
        <v>42759.468923611108</v>
      </c>
      <c r="G72" s="7">
        <v>2</v>
      </c>
      <c r="H72" s="22" t="s">
        <v>360</v>
      </c>
      <c r="I72" s="13">
        <v>42759.498761574076</v>
      </c>
      <c r="J72" s="7">
        <v>0</v>
      </c>
      <c r="K72" s="105" t="str">
        <f t="shared" si="0"/>
        <v>4007/4008</v>
      </c>
      <c r="L72" s="22" t="str">
        <f>VLOOKUP(A72,'Trips&amp;Operators'!$C$1:$G$99999,5,FALSE)</f>
        <v>SWANSON BRYCE</v>
      </c>
      <c r="M72" s="6">
        <f t="shared" si="1"/>
        <v>2.9837962967576459E-2</v>
      </c>
      <c r="N72" s="7">
        <f t="shared" si="25"/>
        <v>42.966666673310101</v>
      </c>
      <c r="O72" s="7"/>
      <c r="P72" s="7"/>
      <c r="Q72" s="23"/>
      <c r="R72" s="23"/>
      <c r="S72" s="32">
        <f t="shared" si="21"/>
        <v>1</v>
      </c>
      <c r="T72" s="47" t="str">
        <f t="shared" si="3"/>
        <v>NorthBound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4"/>
        <v>https://d0f6bd738d7f1b3e5a7ca70fe4ff75f0.us-east-1.aws.found.io/app/kibana#/discover/Steve-Slow-Train-Analysis-(2080s-and-2083s)?_g=(refreshInterval:(display:Off,pause:!f,section:0,value:0),time:(from:'2017-01-24T10:04:35-0700',mode:absolute,to:'2017-01-24T12:58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2" s="49" t="str">
        <f t="shared" si="5"/>
        <v>N</v>
      </c>
      <c r="X72" s="170">
        <f t="shared" si="22"/>
        <v>1</v>
      </c>
      <c r="Y72" s="64">
        <f t="shared" si="23"/>
        <v>4.6399999999999997E-2</v>
      </c>
      <c r="Z72" s="64">
        <f t="shared" si="26"/>
        <v>23.331499999999998</v>
      </c>
      <c r="AA72" s="64">
        <f t="shared" si="9"/>
        <v>23.2851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0"/>
        <v>0161-24</v>
      </c>
      <c r="AE72" s="87" t="str">
        <f t="shared" si="11"/>
        <v>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 &amp; aws s3 cp s3://rtdc.mdm.uploadarchive.raw/RTDC4007/ "%USERPROFILE%\AppData\Local\Temp\OnboardLogs"\RTDC4007\2017-01-25 --exclude "*" --recursive --include "*20170125*" &amp; "%USERPROFILE%\Documents\GitHub\mrs-test-scripts\Headless Mode &amp; Sideloading\WalkAndUnGZ.bat" "%USERPROFILE%\AppData\Local\Temp\OnboardLogs"\RTDC4007\2017-01-25</v>
      </c>
      <c r="AF72" s="84" t="str">
        <f t="shared" si="12"/>
        <v>"C:\Program Files (x86)\AstroGrep\AstroGrep.exe" /spath="%USERPROFILE%\AppData\Local\Temp\OnboardLogs" /stypes="app*4007*20170124*" /stext=" 18:.+((SYSTEM_STATE.+slice.+state.+changed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88" t="str">
        <f t="shared" si="17"/>
        <v>"%USERPROFILE%\Documents\GitHub\eaglep3\Utilities\RefineRTDCRunTimes.py" --tripid 161-24 --locoid 4007 --swversion DE.1.0.8.0 --startMP 204:464 --initTime 2017-01-24T11:04:35 --startdatetime 2017-01-24T11:15:15 --delay 2 --endMP 204:233315 --enddatetime 2017-01-24T11:58:13 --enforcementcount 0 &gt;&gt;C:\Users\stu\Documents\GitHub\eaglep3-reporting\EC\2017-01-24-refined-times.txt</v>
      </c>
      <c r="AI72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{"issue":{"subject":"","project_id":79,"tracker_id":40,"status_id":1,"priority_id":2,"assigned_to_id":23,"start_date":"2017-01-24","description":"","custom_fields":[{"id":1,"name":"Subdivision","value":"EC"},{"id":4,"name":"Milepost","value":"23.3315"},{"id":17,"name":"Train ID","value":"161-24"},{"id":16,"name":"Locomotive ID","value":"4007"},{"id":130,"name":"Impact","value":""},{"id":150,"name":"Time of Event (Mountain Time)","value":"11:58:13"},{"id":151,"name":"Denver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19"/>
        <v>start /low /b %USERPROFILE%\Documents\GitHub\eaglep3\Utilities\DownloadLogsFromS3.py --loco 4007 --day 2017-01-24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"%USERPROFILE%\AppData\Local\Temp\OnboardLogs"\RTDC4007\*4007*20170124* | grep -SE "(Enforcement Action)|(\[TIMEOUT)|(CHR.+\|PRM\|1\|D.+(SWITCH|SIGNAL).+UNKNOWN)" - &gt;&gt; 2017-01-24-UncaughtWiMAX.txt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585</v>
      </c>
      <c r="B73" s="7">
        <v>4008</v>
      </c>
      <c r="C73" s="22" t="s">
        <v>196</v>
      </c>
      <c r="D73" s="22" t="s">
        <v>418</v>
      </c>
      <c r="E73" s="13">
        <v>42759.501296296294</v>
      </c>
      <c r="F73" s="13">
        <v>42759.507824074077</v>
      </c>
      <c r="G73" s="7">
        <v>1</v>
      </c>
      <c r="H73" s="22" t="s">
        <v>238</v>
      </c>
      <c r="I73" s="13">
        <v>42759.540914351855</v>
      </c>
      <c r="J73" s="7">
        <v>0</v>
      </c>
      <c r="K73" s="105" t="str">
        <f t="shared" si="0"/>
        <v>4007/4008</v>
      </c>
      <c r="L73" s="22" t="str">
        <f>VLOOKUP(A73,'Trips&amp;Operators'!$C$1:$G$99999,5,FALSE)</f>
        <v>SWANSON BRYCE</v>
      </c>
      <c r="M73" s="6">
        <f t="shared" si="1"/>
        <v>3.309027777868323E-2</v>
      </c>
      <c r="N73" s="7">
        <f t="shared" si="25"/>
        <v>47.650000001303852</v>
      </c>
      <c r="O73" s="7"/>
      <c r="P73" s="7"/>
      <c r="Q73" s="23"/>
      <c r="R73" s="23"/>
      <c r="S73" s="32">
        <f t="shared" si="21"/>
        <v>1</v>
      </c>
      <c r="T73" s="47" t="str">
        <f t="shared" si="3"/>
        <v>Southbound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4"/>
        <v>https://d0f6bd738d7f1b3e5a7ca70fe4ff75f0.us-east-1.aws.found.io/app/kibana#/discover/Steve-Slow-Train-Analysis-(2080s-and-2083s)?_g=(refreshInterval:(display:Off,pause:!f,section:0,value:0),time:(from:'2017-01-24T11:01:52-0700',mode:absolute,to:'2017-01-24T13:58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3" s="49" t="str">
        <f t="shared" si="5"/>
        <v>N</v>
      </c>
      <c r="X73" s="170">
        <f t="shared" si="22"/>
        <v>1</v>
      </c>
      <c r="Y73" s="64">
        <f t="shared" si="23"/>
        <v>23.299399999999999</v>
      </c>
      <c r="Z73" s="64">
        <f t="shared" si="26"/>
        <v>1.54E-2</v>
      </c>
      <c r="AA73" s="64">
        <f t="shared" si="9"/>
        <v>23.283999999999999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0"/>
        <v>0162-24</v>
      </c>
      <c r="AE73" s="87" t="str">
        <f t="shared" si="11"/>
        <v>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 &amp; aws s3 cp s3://rtdc.mdm.uploadarchive.raw/RTDC4008/ "%USERPROFILE%\AppData\Local\Temp\OnboardLogs"\RTDC4008\2017-01-25 --exclude "*" --recursive --include "*20170125*" &amp; "%USERPROFILE%\Documents\GitHub\mrs-test-scripts\Headless Mode &amp; Sideloading\WalkAndUnGZ.bat" "%USERPROFILE%\AppData\Local\Temp\OnboardLogs"\RTDC4008\2017-01-25</v>
      </c>
      <c r="AF73" s="84" t="str">
        <f t="shared" si="12"/>
        <v>"C:\Program Files (x86)\AstroGrep\AstroGrep.exe" /spath="%USERPROFILE%\AppData\Local\Temp\OnboardLogs" /stypes="app*4008*20170124*" /stext=" 19:.+((SYSTEM_STATE.+slice.+state.+changed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88" t="str">
        <f t="shared" si="17"/>
        <v>"%USERPROFILE%\Documents\GitHub\eaglep3\Utilities\RefineRTDCRunTimes.py" --tripid 162-24 --locoid 4008 --swversion DE.1.0.8.0 --startMP 204:232994 --initTime 2017-01-24T12:01:52 --startdatetime 2017-01-24T12:11:16 --delay 1 --endMP 204:154 --enddatetime 2017-01-24T12:58:55 --enforcementcount 0 &gt;&gt;C:\Users\stu\Documents\GitHub\eaglep3-reporting\EC\2017-01-24-refined-times.txt</v>
      </c>
      <c r="AI73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{"issue":{"subject":"","project_id":79,"tracker_id":40,"status_id":1,"priority_id":2,"assigned_to_id":23,"start_date":"2017-01-24","description":"","custom_fields":[{"id":1,"name":"Subdivision","value":"EC"},{"id":4,"name":"Milepost","value":"0.0154"},{"id":17,"name":"Train ID","value":"162-24"},{"id":16,"name":"Locomotive ID","value":"4008"},{"id":130,"name":"Impact","value":""},{"id":150,"name":"Time of Event (Mountain Time)","value":"12:58:55"},{"id":151,"name":"Denver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19"/>
        <v>start /low /b %USERPROFILE%\Documents\GitHub\eaglep3\Utilities\DownloadLogsFromS3.py --loco 4008 --day 2017-01-24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"%USERPROFILE%\AppData\Local\Temp\OnboardLogs"\RTDC4008\*4008*20170124* | grep -SE "(Enforcement Action)|(\[TIMEOUT)|(CHR.+\|PRM\|1\|D.+(SWITCH|SIGNAL).+UNKNOWN)" - &gt;&gt; 2017-01-24-UncaughtWiMAX.txt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577</v>
      </c>
      <c r="B74" s="7">
        <v>4003</v>
      </c>
      <c r="C74" s="22" t="s">
        <v>196</v>
      </c>
      <c r="D74" s="22" t="s">
        <v>741</v>
      </c>
      <c r="E74" s="13">
        <v>42759.495405092595</v>
      </c>
      <c r="F74" s="13">
        <v>42759.497025462966</v>
      </c>
      <c r="G74" s="7">
        <v>1</v>
      </c>
      <c r="H74" s="22" t="s">
        <v>713</v>
      </c>
      <c r="I74" s="13">
        <v>42759.515879629631</v>
      </c>
      <c r="J74" s="7">
        <v>0</v>
      </c>
      <c r="K74" s="105" t="str">
        <f t="shared" si="0"/>
        <v>4003/4004</v>
      </c>
      <c r="L74" s="22" t="str">
        <f>VLOOKUP(A74,'Trips&amp;Operators'!$C$1:$G$99999,5,FALSE)</f>
        <v>LEVERE CRAIG</v>
      </c>
      <c r="M74" s="6">
        <f t="shared" si="1"/>
        <v>1.8854166664823424E-2</v>
      </c>
      <c r="N74" s="7"/>
      <c r="O74" s="7"/>
      <c r="P74" s="7">
        <f>24*60*SUM($M74:$M75)</f>
        <v>36.283333328319713</v>
      </c>
      <c r="Q74" s="23"/>
      <c r="R74" s="23" t="s">
        <v>453</v>
      </c>
      <c r="S74" s="32">
        <f>SUM(U74:U75)/IF(AG74="EC",12,1)</f>
        <v>0.83333333333333337</v>
      </c>
      <c r="T74" s="47" t="str">
        <f t="shared" si="3"/>
        <v>NorthBound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9</v>
      </c>
      <c r="V74" s="94" t="str">
        <f t="shared" si="4"/>
        <v>https://d0f6bd738d7f1b3e5a7ca70fe4ff75f0.us-east-1.aws.found.io/app/kibana#/discover/Steve-Slow-Train-Analysis-(2080s-and-2083s)?_g=(refreshInterval:(display:Off,pause:!f,section:0,value:0),time:(from:'2017-01-24T10:53:23-0700',mode:absolute,to:'2017-01-24T13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49" t="str">
        <f t="shared" si="5"/>
        <v>Y</v>
      </c>
      <c r="X74" s="170">
        <f t="shared" si="22"/>
        <v>1</v>
      </c>
      <c r="Y74" s="64">
        <f t="shared" si="23"/>
        <v>3.7189999999999999</v>
      </c>
      <c r="Z74" s="64">
        <f t="shared" si="26"/>
        <v>23.328800000000001</v>
      </c>
      <c r="AA74" s="64">
        <f t="shared" si="9"/>
        <v>19.6098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0"/>
        <v>0163-24</v>
      </c>
      <c r="AE74" s="87" t="str">
        <f t="shared" si="11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74" s="84" t="str">
        <f t="shared" si="12"/>
        <v>"C:\Program Files (x86)\AstroGrep\AstroGrep.exe" /spath="%USERPROFILE%\AppData\Local\Temp\OnboardLogs" /stypes="app*4003*20170124*" /stext=" 19:.+((SYSTEM_STATE.+slice.+state.+changed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88" t="str">
        <f t="shared" si="17"/>
        <v>"%USERPROFILE%\Documents\GitHub\eaglep3\Utilities\RefineRTDCRunTimes.py" --tripid 163-24 --locoid 4003 --swversion DE.1.0.8.0 --startMP 204:37190 --initTime 2017-01-24T11:53:23 --startdatetime 2017-01-24T11:55:43 --delay 1 --endMP 204:233288 --enddatetime 2017-01-24T12:22:52 --enforcementcount 0 &gt;&gt;C:\Users\stu\Documents\GitHub\eaglep3-reporting\EC\2017-01-24-refined-times.txt</v>
      </c>
      <c r="AI74" s="115" t="str">
        <f t="shared" si="18"/>
        <v>echo {"issue":{"subject":"Onboard in-route failure","project_id":79,"tracker_id":40,"status_id":1,"priority_id":2,"assigned_to_id":23,"start_date":"2017-01-24","description":"","custom_fields":[{"id":1,"name":"Subdivision","value":"EC"},{"id":4,"name":"Milepost","value":"23.3288"},{"id":17,"name":"Train ID","value":"163-24"},{"id":16,"name":"Locomotive ID","value":"4003"},{"id":130,"name":"Impact","value":""},{"id":150,"name":"Time of Event (Mountain Time)","value":"12:22:52"},{"id":151,"name":"Denver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19"/>
        <v>start /low /b %USERPROFILE%\Documents\GitHub\eaglep3\Utilities\DownloadLogsFromS3.py --loco 4003 --day 2017-01-24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2017-01-24-UncaughtWiMAX.txt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577</v>
      </c>
      <c r="B75" s="7">
        <v>4003</v>
      </c>
      <c r="C75" s="22" t="s">
        <v>196</v>
      </c>
      <c r="D75" s="22" t="s">
        <v>335</v>
      </c>
      <c r="E75" s="13">
        <v>42759.473946759259</v>
      </c>
      <c r="F75" s="13">
        <v>42759.481956018521</v>
      </c>
      <c r="G75" s="7">
        <v>1</v>
      </c>
      <c r="H75" s="22" t="s">
        <v>713</v>
      </c>
      <c r="I75" s="13">
        <v>42759.488298611112</v>
      </c>
      <c r="J75" s="7">
        <v>0</v>
      </c>
      <c r="K75" s="105" t="str">
        <f t="shared" si="0"/>
        <v>4003/4004</v>
      </c>
      <c r="L75" s="22" t="str">
        <f>VLOOKUP(A75,'Trips&amp;Operators'!$C$1:$G$99999,5,FALSE)</f>
        <v>LEVERE CRAIG</v>
      </c>
      <c r="M75" s="6">
        <f t="shared" si="1"/>
        <v>6.3425925909541547E-3</v>
      </c>
      <c r="N75" s="7"/>
      <c r="O75" s="7"/>
      <c r="P75" s="7"/>
      <c r="Q75" s="23"/>
      <c r="R75" s="23"/>
      <c r="S75" s="32"/>
      <c r="T75" s="47" t="str">
        <f t="shared" si="3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</v>
      </c>
      <c r="V75" s="94" t="str">
        <f t="shared" si="4"/>
        <v>https://d0f6bd738d7f1b3e5a7ca70fe4ff75f0.us-east-1.aws.found.io/app/kibana#/discover/Steve-Slow-Train-Analysis-(2080s-and-2083s)?_g=(refreshInterval:(display:Off,pause:!f,section:0,value:0),time:(from:'2017-01-24T10:22:29-0700',mode:absolute,to:'2017-01-24T12:43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5" s="49" t="str">
        <f t="shared" si="5"/>
        <v>Y</v>
      </c>
      <c r="X75" s="170">
        <f t="shared" si="22"/>
        <v>0</v>
      </c>
      <c r="Y75" s="64">
        <f t="shared" si="23"/>
        <v>4.53E-2</v>
      </c>
      <c r="Z75" s="64">
        <v>2.9</v>
      </c>
      <c r="AA75" s="64">
        <f t="shared" si="9"/>
        <v>2.8546999999999998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0"/>
        <v>0163-24</v>
      </c>
      <c r="AE75" s="87" t="str">
        <f t="shared" si="11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75" s="84" t="str">
        <f t="shared" si="12"/>
        <v>"C:\Program Files (x86)\AstroGrep\AstroGrep.exe" /spath="%USERPROFILE%\AppData\Local\Temp\OnboardLogs" /stypes="app*4003*20170124*" /stext=" 18:.+((SYSTEM_STATE.+slice.+state.+changed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88" t="str">
        <f t="shared" si="17"/>
        <v>"%USERPROFILE%\Documents\GitHub\eaglep3\Utilities\RefineRTDCRunTimes.py" --tripid 163-24 --locoid 4003 --swversion DE.1.0.8.0 --startMP 204:453 --initTime 2017-01-24T11:22:29 --startdatetime 2017-01-24T11:34:01 --delay 1 --endMP 204:233288 --enddatetime 2017-01-24T11:43:09 --enforcementcount 0 &gt;&gt;C:\Users\stu\Documents\GitHub\eaglep3-reporting\EC\2017-01-24-refined-times.txt</v>
      </c>
      <c r="AI75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{"issue":{"subject":"","project_id":79,"tracker_id":40,"status_id":1,"priority_id":2,"assigned_to_id":23,"start_date":"2017-01-24","description":"","custom_fields":[{"id":1,"name":"Subdivision","value":"EC"},{"id":4,"name":"Milepost","value":"2.9"},{"id":17,"name":"Train ID","value":"163-24"},{"id":16,"name":"Locomotive ID","value":"4003"},{"id":130,"name":"Impact","value":""},{"id":150,"name":"Time of Event (Mountain Time)","value":"11:43:09"},{"id":151,"name":"Denver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19"/>
        <v>start /low /b %USERPROFILE%\Documents\GitHub\eaglep3\Utilities\DownloadLogsFromS3.py --loco 4003 --day 2017-01-24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589</v>
      </c>
      <c r="B76" s="7">
        <v>4004</v>
      </c>
      <c r="C76" s="22" t="s">
        <v>196</v>
      </c>
      <c r="D76" s="22" t="s">
        <v>334</v>
      </c>
      <c r="E76" s="13">
        <v>42759.518958333334</v>
      </c>
      <c r="F76" s="13">
        <v>42759.520694444444</v>
      </c>
      <c r="G76" s="7">
        <v>1</v>
      </c>
      <c r="H76" s="22" t="s">
        <v>215</v>
      </c>
      <c r="I76" s="13">
        <v>42759.553333333337</v>
      </c>
      <c r="J76" s="7">
        <v>0</v>
      </c>
      <c r="K76" s="105" t="str">
        <f t="shared" si="0"/>
        <v>4003/4004</v>
      </c>
      <c r="L76" s="22" t="str">
        <f>VLOOKUP(A76,'Trips&amp;Operators'!$C$1:$G$99999,5,FALSE)</f>
        <v>LEVERE CRAIG</v>
      </c>
      <c r="M76" s="6">
        <f t="shared" si="1"/>
        <v>3.2638888893416151E-2</v>
      </c>
      <c r="N76" s="7">
        <f>24*60*SUM($M76:$M76)</f>
        <v>47.000000006519258</v>
      </c>
      <c r="O76" s="7"/>
      <c r="P76" s="7"/>
      <c r="Q76" s="23"/>
      <c r="R76" s="23"/>
      <c r="S76" s="32">
        <f t="shared" ref="S76:S107" si="27">SUM(U76:U76)/IF(AG76="EC",12,1)</f>
        <v>1</v>
      </c>
      <c r="T76" s="47" t="str">
        <f t="shared" si="3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4"/>
        <v>https://d0f6bd738d7f1b3e5a7ca70fe4ff75f0.us-east-1.aws.found.io/app/kibana#/discover/Steve-Slow-Train-Analysis-(2080s-and-2083s)?_g=(refreshInterval:(display:Off,pause:!f,section:0,value:0),time:(from:'2017-01-24T11:27:18-0700',mode:absolute,to:'2017-01-24T14:16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6" s="49" t="str">
        <f t="shared" si="5"/>
        <v>N</v>
      </c>
      <c r="X76" s="170">
        <f t="shared" si="22"/>
        <v>1</v>
      </c>
      <c r="Y76" s="64">
        <f t="shared" si="23"/>
        <v>23.2973</v>
      </c>
      <c r="Z76" s="64">
        <f t="shared" ref="Z76:Z107" si="28">RIGHT(H76,LEN(H76)-4)/10000</f>
        <v>1.6E-2</v>
      </c>
      <c r="AA76" s="64">
        <f t="shared" si="9"/>
        <v>23.281300000000002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10"/>
        <v>0164-24</v>
      </c>
      <c r="AE76" s="87" t="str">
        <f t="shared" si="11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76" s="84" t="str">
        <f t="shared" si="12"/>
        <v>"C:\Program Files (x86)\AstroGrep\AstroGrep.exe" /spath="%USERPROFILE%\AppData\Local\Temp\OnboardLogs" /stypes="app*4004*20170124*" /stext=" 20:.+((SYSTEM_STATE.+slice.+state.+changed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88" t="str">
        <f t="shared" si="17"/>
        <v>"%USERPROFILE%\Documents\GitHub\eaglep3\Utilities\RefineRTDCRunTimes.py" --tripid 164-24 --locoid 4004 --swversion DE.1.0.8.0 --startMP 204:232973 --initTime 2017-01-24T12:27:18 --startdatetime 2017-01-24T12:29:48 --delay 1 --endMP 204:160 --enddatetime 2017-01-24T13:16:48 --enforcementcount 0 &gt;&gt;C:\Users\stu\Documents\GitHub\eaglep3-reporting\EC\2017-01-24-refined-times.txt</v>
      </c>
      <c r="AI76" s="115" t="str">
        <f t="shared" si="18"/>
        <v>echo {"issue":{"subject":"","project_id":79,"tracker_id":40,"status_id":1,"priority_id":2,"assigned_to_id":23,"start_date":"2017-01-24","description":"","custom_fields":[{"id":1,"name":"Subdivision","value":"EC"},{"id":4,"name":"Milepost","value":"0.016"},{"id":17,"name":"Train ID","value":"164-24"},{"id":16,"name":"Locomotive ID","value":"4004"},{"id":130,"name":"Impact","value":""},{"id":150,"name":"Time of Event (Mountain Time)","value":"13:16:48"},{"id":151,"name":"Denver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19"/>
        <v>start /low /b %USERPROFILE%\Documents\GitHub\eaglep3\Utilities\DownloadLogsFromS3.py --loco 4004 --day 2017-01-24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"%USERPROFILE%\AppData\Local\Temp\OnboardLogs"\RTDC4004\*4004*20170124* | grep -SE "(Enforcement Action)|(\[TIMEOUT)|(CHR.+\|PRM\|1\|D.+(SWITCH|SIGNAL).+UNKNOWN)" - &gt;&gt; 2017-01-24-UncaughtWiMAX.txt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579</v>
      </c>
      <c r="B77" s="7">
        <v>4025</v>
      </c>
      <c r="C77" s="22" t="s">
        <v>196</v>
      </c>
      <c r="D77" s="22" t="s">
        <v>276</v>
      </c>
      <c r="E77" s="13">
        <v>42759.483252314814</v>
      </c>
      <c r="F77" s="13">
        <v>42759.490034722221</v>
      </c>
      <c r="G77" s="7">
        <v>1</v>
      </c>
      <c r="H77" s="22" t="s">
        <v>358</v>
      </c>
      <c r="I77" s="13">
        <v>42759.52306712963</v>
      </c>
      <c r="J77" s="7">
        <v>0</v>
      </c>
      <c r="K77" s="105" t="str">
        <f t="shared" ref="K77:K140" si="29">IF(ISEVEN(B77),(B77-1)&amp;"/"&amp;B77,B77&amp;"/"&amp;(B77+1))</f>
        <v>4025/4026</v>
      </c>
      <c r="L77" s="22" t="str">
        <f>VLOOKUP(A77,'Trips&amp;Operators'!$C$1:$G$99999,5,FALSE)</f>
        <v>HOLCOMB KAMDEN</v>
      </c>
      <c r="M77" s="6">
        <f t="shared" ref="M77:M140" si="30">I77-F77</f>
        <v>3.3032407409336884E-2</v>
      </c>
      <c r="N77" s="7">
        <f>24*60*SUM($M77:$M77)</f>
        <v>47.566666669445112</v>
      </c>
      <c r="O77" s="7"/>
      <c r="P77" s="7"/>
      <c r="Q77" s="23"/>
      <c r="R77" s="23" t="s">
        <v>1019</v>
      </c>
      <c r="S77" s="32">
        <f t="shared" si="27"/>
        <v>1</v>
      </c>
      <c r="T77" s="47" t="str">
        <f t="shared" ref="T77:T140" si="31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-24T10:35:53-0700',mode:absolute,to:'2017-01-24T13:33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7" s="49" t="str">
        <f t="shared" ref="W77:W140" si="33">IF(AA77&lt;IF(AG77="EC",23,5.65),"Y","N")</f>
        <v>N</v>
      </c>
      <c r="X77" s="170">
        <f t="shared" ref="X77:X99" si="34">VALUE(LEFT(AD77,4))-VALUE(LEFT(AD76,4))</f>
        <v>1</v>
      </c>
      <c r="Y77" s="64">
        <f t="shared" ref="Y77:Y108" si="35">RIGHT(D77,LEN(D77)-4)/10000</f>
        <v>4.4400000000000002E-2</v>
      </c>
      <c r="Z77" s="64">
        <f t="shared" si="28"/>
        <v>23.332100000000001</v>
      </c>
      <c r="AA77" s="64">
        <f t="shared" ref="AA77:AA140" si="36">ABS(Z77-Y77)</f>
        <v>23.287700000000001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37">IF(LEN(A77)=6,"0"&amp;A77,A77)</f>
        <v>0165-24</v>
      </c>
      <c r="AE77" s="8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 &amp; aws s3 cp s3://rtdc.mdm.uploadarchive.raw/RTDC4025/ "%USERPROFILE%\AppData\Local\Temp\OnboardLogs"\RTDC4025\2017-01-25 --exclude "*" --recursive --include "*20170125*" &amp; "%USERPROFILE%\Documents\GitHub\mrs-test-scripts\Headless Mode &amp; Sideloading\WalkAndUnGZ.bat" "%USERPROFILE%\AppData\Local\Temp\OnboardLogs"\RTDC4025\2017-01-25</v>
      </c>
      <c r="AF77" s="84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/stypes="app*4025*20170124*" /stext=" 19:.+((SYSTEM_STATE.+slice.+state.+changed )|(ment ac)|(multiple cpu faults)|(system.+state.+changed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88" t="str">
        <f t="shared" si="17"/>
        <v>"%USERPROFILE%\Documents\GitHub\eaglep3\Utilities\RefineRTDCRunTimes.py" --tripid 165-24 --locoid 4025 --swversion DE.1.0.8.0 --startMP 204:444 --initTime 2017-01-24T11:35:53 --startdatetime 2017-01-24T11:45:39 --delay 1 --endMP 204:233321 --enddatetime 2017-01-24T12:33:13 --enforcementcount 0 &gt;&gt;C:\Users\stu\Documents\GitHub\eaglep3-reporting\EC\2017-01-24-refined-times.txt</v>
      </c>
      <c r="AI77" s="115" t="str">
        <f t="shared" si="18"/>
        <v>echo {"issue":{"subject":"Penalty due to CPU1 reboot @ 12:08","project_id":79,"tracker_id":40,"status_id":1,"priority_id":2,"assigned_to_id":23,"start_date":"2017-01-24","description":"","custom_fields":[{"id":1,"name":"Subdivision","value":"EC"},{"id":4,"name":"Milepost","value":"23.3321"},{"id":17,"name":"Train ID","value":"165-24"},{"id":16,"name":"Locomotive ID","value":"4025"},{"id":130,"name":"Impact","value":""},{"id":150,"name":"Time of Event (Mountain Time)","value":"12:33:13"},{"id":151,"name":"Denver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19"/>
        <v>start /low /b %USERPROFILE%\Documents\GitHub\eaglep3\Utilities\DownloadLogsFromS3.py --loco 4025 --day 2017-01-24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"%USERPROFILE%\AppData\Local\Temp\OnboardLogs"\RTDC4025\*4025*20170124* | grep -SE "(Enforcement Action)|(\[TIMEOUT)|(CHR.+\|PRM\|1\|D.+(SWITCH|SIGNAL).+UNKNOWN)" - &gt;&gt; 2017-01-24-UncaughtWiMAX.txt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472</v>
      </c>
      <c r="B78" s="7">
        <v>4026</v>
      </c>
      <c r="C78" s="22" t="s">
        <v>196</v>
      </c>
      <c r="D78" s="22" t="s">
        <v>341</v>
      </c>
      <c r="E78" s="13">
        <v>42759.525590277779</v>
      </c>
      <c r="F78" s="13">
        <v>42759.529143518521</v>
      </c>
      <c r="G78" s="7">
        <v>1</v>
      </c>
      <c r="H78" s="22" t="s">
        <v>742</v>
      </c>
      <c r="I78" s="13">
        <v>42759.562488425923</v>
      </c>
      <c r="J78" s="7">
        <v>0</v>
      </c>
      <c r="K78" s="105" t="str">
        <f t="shared" si="29"/>
        <v>4025/4026</v>
      </c>
      <c r="L78" s="22" t="str">
        <f>VLOOKUP(A78,'Trips&amp;Operators'!$C$1:$G$99999,5,FALSE)</f>
        <v>HOLCOMB KAMDEN</v>
      </c>
      <c r="M78" s="6">
        <f t="shared" si="30"/>
        <v>3.3344907402351964E-2</v>
      </c>
      <c r="N78" s="7"/>
      <c r="O78" s="7"/>
      <c r="P78" s="7">
        <f>24*60*SUM($M78:$M78)</f>
        <v>48.016666659386829</v>
      </c>
      <c r="Q78" s="23"/>
      <c r="R78" s="23" t="s">
        <v>894</v>
      </c>
      <c r="S78" s="32">
        <f t="shared" si="27"/>
        <v>1</v>
      </c>
      <c r="T78" s="47" t="str">
        <f t="shared" si="31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2"/>
        <v>https://d0f6bd738d7f1b3e5a7ca70fe4ff75f0.us-east-1.aws.found.io/app/kibana#/discover/Steve-Slow-Train-Analysis-(2080s-and-2083s)?_g=(refreshInterval:(display:Off,pause:!f,section:0,value:0),time:(from:'2017-01-24T11:36:51-0700',mode:absolute,to:'2017-01-24T14:29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49" t="str">
        <f t="shared" si="33"/>
        <v>Y</v>
      </c>
      <c r="X78" s="170">
        <f t="shared" si="34"/>
        <v>1</v>
      </c>
      <c r="Y78" s="64">
        <f t="shared" si="35"/>
        <v>23.300599999999999</v>
      </c>
      <c r="Z78" s="64">
        <f t="shared" si="28"/>
        <v>1.1862999999999999</v>
      </c>
      <c r="AA78" s="64">
        <f t="shared" si="36"/>
        <v>22.1143</v>
      </c>
      <c r="AB78" s="61" t="str">
        <f>VLOOKUP(A78,Enforcements!$C$7:$K$16,8,0)</f>
        <v>Bulletin (2)</v>
      </c>
      <c r="AC78" s="57" t="str">
        <f>VLOOKUP(A78,Enforcements!$C$7:$E$16,3,0)</f>
        <v>GRADE CROSSING</v>
      </c>
      <c r="AD78" s="58" t="str">
        <f t="shared" si="37"/>
        <v>0166-24</v>
      </c>
      <c r="AE78" s="87" t="str">
        <f t="shared" si="38"/>
        <v>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 &amp; aws s3 cp s3://rtdc.mdm.uploadarchive.raw/RTDC4026/ "%USERPROFILE%\AppData\Local\Temp\OnboardLogs"\RTDC4026\2017-01-25 --exclude "*" --recursive --include "*20170125*" &amp; "%USERPROFILE%\Documents\GitHub\mrs-test-scripts\Headless Mode &amp; Sideloading\WalkAndUnGZ.bat" "%USERPROFILE%\AppData\Local\Temp\OnboardLogs"\RTDC4026\2017-01-25</v>
      </c>
      <c r="AF78" s="84" t="str">
        <f t="shared" si="39"/>
        <v>"C:\Program Files (x86)\AstroGrep\AstroGrep.exe" /spath="%USERPROFILE%\AppData\Local\Temp\OnboardLogs" /stypes="app*4026*20170124*" /stext=" 20:.+((SYSTEM_STATE.+slice.+state.+changed )|(ment ac)|(multiple cpu faults)|(system.+state.+changed )|(\[timeout)|(PRM\|1\|D)|(kpr)|(kdp)|(\|lc)|(penalty))" /e /r /s</v>
      </c>
      <c r="AG78" s="1" t="str">
        <f t="shared" si="40"/>
        <v>EC</v>
      </c>
      <c r="AH78" s="88" t="str">
        <f t="shared" ref="AH78:AH138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166-24 --locoid 4026 --swversion DE.1.0.8.0 --startMP 204:233006 --initTime 2017-01-24T12:36:51 --startdatetime 2017-01-24T12:41:58 --delay 1 --endMP 204:11863 --enddatetime 2017-01-24T13:29:59 --enforcementcount 0 &gt;&gt;C:\Users\stu\Documents\GitHub\eaglep3-reporting\EC\2017-01-24-refined-times.txt</v>
      </c>
      <c r="AI78" s="115" t="str">
        <f t="shared" ref="AI78:AI138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{"issue":{"subject":"Cut out at Bright for DUS Main 3","project_id":79,"tracker_id":40,"status_id":1,"priority_id":2,"assigned_to_id":23,"start_date":"2017-01-24","description":"","custom_fields":[{"id":1,"name":"Subdivision","value":"EC"},{"id":4,"name":"Milepost","value":"1.1863"},{"id":17,"name":"Train ID","value":"166-24"},{"id":16,"name":"Locomotive ID","value":"4026"},{"id":130,"name":"Impact","value":""},{"id":150,"name":"Time of Event (Mountain Time)","value":"13:29:59"},{"id":151,"name":"Denver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38" si="43">"start /low /b "&amp;dls3logs&amp;" --loco "&amp;B78&amp;" --day "&amp;TEXT(F78,"YYYY-MM-DD")</f>
        <v>start /low /b %USERPROFILE%\Documents\GitHub\eaglep3\Utilities\DownloadLogsFromS3.py --loco 4026 --day 2017-01-24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"%USERPROFILE%\AppData\Local\Temp\OnboardLogs"\RTDC4026\*4026*20170124* | grep -SE "(Enforcement Action)|(\[TIMEOUT)|(CHR.+\|PRM\|1\|D.+(SWITCH|SIGNAL).+UNKNOWN)" - &gt;&gt; 2017-01-24-UncaughtWiMAX.txt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582</v>
      </c>
      <c r="B79" s="7">
        <v>4009</v>
      </c>
      <c r="C79" s="22" t="s">
        <v>196</v>
      </c>
      <c r="D79" s="22" t="s">
        <v>335</v>
      </c>
      <c r="E79" s="13">
        <v>42759.491562499999</v>
      </c>
      <c r="F79" s="13">
        <v>42759.500219907408</v>
      </c>
      <c r="G79" s="7">
        <v>2</v>
      </c>
      <c r="H79" s="22" t="s">
        <v>375</v>
      </c>
      <c r="I79" s="13">
        <v>42759.528483796297</v>
      </c>
      <c r="J79" s="7">
        <v>0</v>
      </c>
      <c r="K79" s="105" t="str">
        <f t="shared" si="29"/>
        <v>4009/4010</v>
      </c>
      <c r="L79" s="22" t="str">
        <f>VLOOKUP(A79,'Trips&amp;Operators'!$C$1:$G$99999,5,FALSE)</f>
        <v>CRAYTON QUNTRELL</v>
      </c>
      <c r="M79" s="6">
        <f t="shared" si="30"/>
        <v>2.8263888889341615E-2</v>
      </c>
      <c r="N79" s="7">
        <f t="shared" ref="N79:N105" si="44">24*60*SUM($M79:$M79)</f>
        <v>40.700000000651926</v>
      </c>
      <c r="O79" s="7"/>
      <c r="P79" s="7"/>
      <c r="Q79" s="23"/>
      <c r="R79" s="23"/>
      <c r="S79" s="32">
        <f t="shared" si="27"/>
        <v>1</v>
      </c>
      <c r="T79" s="47" t="str">
        <f t="shared" si="31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2"/>
        <v>https://d0f6bd738d7f1b3e5a7ca70fe4ff75f0.us-east-1.aws.found.io/app/kibana#/discover/Steve-Slow-Train-Analysis-(2080s-and-2083s)?_g=(refreshInterval:(display:Off,pause:!f,section:0,value:0),time:(from:'2017-01-24T10:47:51-0700',mode:absolute,to:'2017-01-24T13:41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9" s="49" t="str">
        <f t="shared" si="33"/>
        <v>N</v>
      </c>
      <c r="X79" s="170">
        <f t="shared" si="34"/>
        <v>1</v>
      </c>
      <c r="Y79" s="64">
        <f t="shared" si="35"/>
        <v>4.53E-2</v>
      </c>
      <c r="Z79" s="64">
        <f t="shared" si="28"/>
        <v>23.3278</v>
      </c>
      <c r="AA79" s="64">
        <f t="shared" si="36"/>
        <v>23.282499999999999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37"/>
        <v>0167-24</v>
      </c>
      <c r="AE79" s="87" t="str">
        <f t="shared" si="38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79" s="84" t="str">
        <f t="shared" si="39"/>
        <v>"C:\Program Files (x86)\AstroGrep\AstroGrep.exe" /spath="%USERPROFILE%\AppData\Local\Temp\OnboardLogs" /stypes="app*4009*20170124*" /stext=" 19:.+((SYSTEM_STATE.+slice.+state.+changed )|(ment ac)|(multiple cpu faults)|(system.+state.+changed )|(\[timeout)|(PRM\|1\|D)|(kpr)|(kdp)|(\|lc)|(penalty))" /e /r /s</v>
      </c>
      <c r="AG79" s="1" t="str">
        <f t="shared" si="40"/>
        <v>EC</v>
      </c>
      <c r="AH79" s="88" t="str">
        <f t="shared" si="41"/>
        <v>"%USERPROFILE%\Documents\GitHub\eaglep3\Utilities\RefineRTDCRunTimes.py" --tripid 167-24 --locoid 4009 --swversion DE.1.0.8.0 --startMP 204:453 --initTime 2017-01-24T11:47:51 --startdatetime 2017-01-24T12:00:19 --delay 2 --endMP 204:233278 --enddatetime 2017-01-24T12:41:01 --enforcementcount 0 &gt;&gt;C:\Users\stu\Documents\GitHub\eaglep3-reporting\EC\2017-01-24-refined-times.txt</v>
      </c>
      <c r="AI79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{"issue":{"subject":"","project_id":79,"tracker_id":40,"status_id":1,"priority_id":2,"assigned_to_id":23,"start_date":"2017-01-24","description":"","custom_fields":[{"id":1,"name":"Subdivision","value":"EC"},{"id":4,"name":"Milepost","value":"23.3278"},{"id":17,"name":"Train ID","value":"167-24"},{"id":16,"name":"Locomotive ID","value":"4009"},{"id":130,"name":"Impact","value":""},{"id":150,"name":"Time of Event (Mountain Time)","value":"12:41:01"},{"id":151,"name":"Denver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43"/>
        <v>start /low /b %USERPROFILE%\Documents\GitHub\eaglep3\Utilities\DownloadLogsFromS3.py --loco 4009 --day 2017-01-24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2017-01-24-UncaughtWiMAX.txt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473</v>
      </c>
      <c r="B80" s="7">
        <v>4010</v>
      </c>
      <c r="C80" s="22" t="s">
        <v>196</v>
      </c>
      <c r="D80" s="22" t="s">
        <v>404</v>
      </c>
      <c r="E80" s="13">
        <v>42759.531469907408</v>
      </c>
      <c r="F80" s="13">
        <v>42759.539479166669</v>
      </c>
      <c r="G80" s="7">
        <v>2</v>
      </c>
      <c r="H80" s="22" t="s">
        <v>743</v>
      </c>
      <c r="I80" s="13">
        <v>42759.571759259263</v>
      </c>
      <c r="J80" s="7">
        <v>0</v>
      </c>
      <c r="K80" s="105" t="str">
        <f t="shared" si="29"/>
        <v>4009/4010</v>
      </c>
      <c r="L80" s="22" t="str">
        <f>VLOOKUP(A80,'Trips&amp;Operators'!$C$1:$G$99999,5,FALSE)</f>
        <v>CRAYTON QUNTRELL</v>
      </c>
      <c r="M80" s="6">
        <f t="shared" si="30"/>
        <v>3.2280092593282461E-2</v>
      </c>
      <c r="N80" s="7">
        <f t="shared" si="44"/>
        <v>46.483333334326744</v>
      </c>
      <c r="O80" s="7"/>
      <c r="P80" s="7"/>
      <c r="Q80" s="23"/>
      <c r="R80" s="23"/>
      <c r="S80" s="32">
        <f t="shared" si="27"/>
        <v>1</v>
      </c>
      <c r="T80" s="47" t="str">
        <f t="shared" si="31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2"/>
        <v>https://d0f6bd738d7f1b3e5a7ca70fe4ff75f0.us-east-1.aws.found.io/app/kibana#/discover/Steve-Slow-Train-Analysis-(2080s-and-2083s)?_g=(refreshInterval:(display:Off,pause:!f,section:0,value:0),time:(from:'2017-01-24T11:45:19-0700',mode:absolute,to:'2017-01-24T14:43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49" t="str">
        <f t="shared" si="33"/>
        <v>N</v>
      </c>
      <c r="X80" s="170">
        <f t="shared" si="34"/>
        <v>1</v>
      </c>
      <c r="Y80" s="64">
        <f t="shared" si="35"/>
        <v>23.298200000000001</v>
      </c>
      <c r="Z80" s="64">
        <f t="shared" si="28"/>
        <v>2.76E-2</v>
      </c>
      <c r="AA80" s="64">
        <f t="shared" si="36"/>
        <v>23.270600000000002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37"/>
        <v>0168-24</v>
      </c>
      <c r="AE80" s="87" t="str">
        <f t="shared" si="38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80" s="84" t="str">
        <f t="shared" si="39"/>
        <v>"C:\Program Files (x86)\AstroGrep\AstroGrep.exe" /spath="%USERPROFILE%\AppData\Local\Temp\OnboardLogs" /stypes="app*4010*20170124*" /stext=" 20:.+((SYSTEM_STATE.+slice.+state.+changed )|(ment ac)|(multiple cpu faults)|(system.+state.+changed )|(\[timeout)|(PRM\|1\|D)|(kpr)|(kdp)|(\|lc)|(penalty))" /e /r /s</v>
      </c>
      <c r="AG80" s="1" t="str">
        <f t="shared" si="40"/>
        <v>EC</v>
      </c>
      <c r="AH80" s="88" t="str">
        <f t="shared" si="41"/>
        <v>"%USERPROFILE%\Documents\GitHub\eaglep3\Utilities\RefineRTDCRunTimes.py" --tripid 168-24 --locoid 4010 --swversion DE.1.0.8.0 --startMP 204:232982 --initTime 2017-01-24T12:45:19 --startdatetime 2017-01-24T12:56:51 --delay 2 --endMP 204:276 --enddatetime 2017-01-24T13:43:20 --enforcementcount 0 &gt;&gt;C:\Users\stu\Documents\GitHub\eaglep3-reporting\EC\2017-01-24-refined-times.txt</v>
      </c>
      <c r="AI80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{"issue":{"subject":"","project_id":79,"tracker_id":40,"status_id":1,"priority_id":2,"assigned_to_id":23,"start_date":"2017-01-24","description":"","custom_fields":[{"id":1,"name":"Subdivision","value":"EC"},{"id":4,"name":"Milepost","value":"0.0276"},{"id":17,"name":"Train ID","value":"168-24"},{"id":16,"name":"Locomotive ID","value":"4010"},{"id":130,"name":"Impact","value":""},{"id":150,"name":"Time of Event (Mountain Time)","value":"13:43:20"},{"id":151,"name":"Denver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43"/>
        <v>start /low /b %USERPROFILE%\Documents\GitHub\eaglep3\Utilities\DownloadLogsFromS3.py --loco 4010 --day 2017-01-24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1" customFormat="1" x14ac:dyDescent="0.25">
      <c r="A81" s="34" t="s">
        <v>587</v>
      </c>
      <c r="B81" s="7">
        <v>4051</v>
      </c>
      <c r="C81" s="22" t="s">
        <v>196</v>
      </c>
      <c r="D81" s="22" t="s">
        <v>339</v>
      </c>
      <c r="E81" s="13">
        <v>42759.508148148147</v>
      </c>
      <c r="F81" s="13">
        <v>42759.510648148149</v>
      </c>
      <c r="G81" s="7">
        <v>2</v>
      </c>
      <c r="H81" s="22" t="s">
        <v>744</v>
      </c>
      <c r="I81" s="13">
        <v>42759.539861111109</v>
      </c>
      <c r="J81" s="7">
        <v>0</v>
      </c>
      <c r="K81" s="105" t="str">
        <f t="shared" si="29"/>
        <v>4051/4052</v>
      </c>
      <c r="L81" s="22" t="str">
        <f>VLOOKUP(A81,'Trips&amp;Operators'!$C$1:$G$99999,5,FALSE)</f>
        <v>ROMERO CHAD</v>
      </c>
      <c r="M81" s="6">
        <f t="shared" si="30"/>
        <v>2.9212962959718425E-2</v>
      </c>
      <c r="N81" s="7">
        <f t="shared" si="44"/>
        <v>42.066666661994532</v>
      </c>
      <c r="O81" s="7"/>
      <c r="P81" s="7"/>
      <c r="Q81" s="23"/>
      <c r="R81" s="23"/>
      <c r="S81" s="32">
        <f t="shared" si="27"/>
        <v>1</v>
      </c>
      <c r="T81" s="47" t="str">
        <f t="shared" si="31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2"/>
        <v>https://d0f6bd738d7f1b3e5a7ca70fe4ff75f0.us-east-1.aws.found.io/app/kibana#/discover/Steve-Slow-Train-Analysis-(2080s-and-2083s)?_g=(refreshInterval:(display:Off,pause:!f,section:0,value:0),time:(from:'2017-01-24T11:11:44-0700',mode:absolute,to:'2017-01-24T13:57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1" s="49" t="str">
        <f t="shared" si="33"/>
        <v>N</v>
      </c>
      <c r="X81" s="170">
        <f t="shared" si="34"/>
        <v>1</v>
      </c>
      <c r="Y81" s="64">
        <f t="shared" si="35"/>
        <v>4.7300000000000002E-2</v>
      </c>
      <c r="Z81" s="64">
        <f t="shared" si="28"/>
        <v>23.3323</v>
      </c>
      <c r="AA81" s="64">
        <f t="shared" si="36"/>
        <v>23.285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37"/>
        <v>0169-24</v>
      </c>
      <c r="AE81" s="87" t="str">
        <f t="shared" si="38"/>
        <v>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 &amp; aws s3 cp s3://rtdc.mdm.uploadarchive.raw/RTDC4051/ "%USERPROFILE%\AppData\Local\Temp\OnboardLogs"\RTDC4051\2017-01-25 --exclude "*" --recursive --include "*20170125*" &amp; "%USERPROFILE%\Documents\GitHub\mrs-test-scripts\Headless Mode &amp; Sideloading\WalkAndUnGZ.bat" "%USERPROFILE%\AppData\Local\Temp\OnboardLogs"\RTDC4051\2017-01-25</v>
      </c>
      <c r="AF81" s="84" t="str">
        <f t="shared" si="39"/>
        <v>"C:\Program Files (x86)\AstroGrep\AstroGrep.exe" /spath="%USERPROFILE%\AppData\Local\Temp\OnboardLogs" /stypes="app*4051*20170124*" /stext=" 19:.+((SYSTEM_STATE.+slice.+state.+changed )|(ment ac)|(multiple cpu faults)|(system.+state.+changed )|(\[timeout)|(PRM\|1\|D)|(kpr)|(kdp)|(\|lc)|(penalty))" /e /r /s</v>
      </c>
      <c r="AG81" s="1" t="str">
        <f t="shared" si="40"/>
        <v>EC</v>
      </c>
      <c r="AH81" s="88" t="str">
        <f t="shared" si="41"/>
        <v>"%USERPROFILE%\Documents\GitHub\eaglep3\Utilities\RefineRTDCRunTimes.py" --tripid 169-24 --locoid 4051 --swversion DE.1.0.8.0 --startMP 204:473 --initTime 2017-01-24T12:11:44 --startdatetime 2017-01-24T12:15:20 --delay 2 --endMP 204:233323 --enddatetime 2017-01-24T12:57:24 --enforcementcount 0 &gt;&gt;C:\Users\stu\Documents\GitHub\eaglep3-reporting\EC\2017-01-24-refined-times.txt</v>
      </c>
      <c r="AI81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{"issue":{"subject":"","project_id":79,"tracker_id":40,"status_id":1,"priority_id":2,"assigned_to_id":23,"start_date":"2017-01-24","description":"","custom_fields":[{"id":1,"name":"Subdivision","value":"EC"},{"id":4,"name":"Milepost","value":"23.3323"},{"id":17,"name":"Train ID","value":"169-24"},{"id":16,"name":"Locomotive ID","value":"4051"},{"id":130,"name":"Impact","value":""},{"id":150,"name":"Time of Event (Mountain Time)","value":"12:57:24"},{"id":151,"name":"Denver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43"/>
        <v>start /low /b %USERPROFILE%\Documents\GitHub\eaglep3\Utilities\DownloadLogsFromS3.py --loco 4051 --day 2017-01-24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2017-01-24-UncaughtWiMAX.txt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594</v>
      </c>
      <c r="B82" s="7">
        <v>4052</v>
      </c>
      <c r="C82" s="22" t="s">
        <v>196</v>
      </c>
      <c r="D82" s="22" t="s">
        <v>361</v>
      </c>
      <c r="E82" s="13">
        <v>42759.54142361111</v>
      </c>
      <c r="F82" s="13">
        <v>42759.54959490741</v>
      </c>
      <c r="G82" s="7">
        <v>1</v>
      </c>
      <c r="H82" s="22" t="s">
        <v>235</v>
      </c>
      <c r="I82" s="13">
        <v>42759.578136574077</v>
      </c>
      <c r="J82" s="7">
        <v>0</v>
      </c>
      <c r="K82" s="105" t="str">
        <f t="shared" si="29"/>
        <v>4051/4052</v>
      </c>
      <c r="L82" s="22" t="str">
        <f>VLOOKUP(A82,'Trips&amp;Operators'!$C$1:$G$99999,5,FALSE)</f>
        <v>ROMERO CHAD</v>
      </c>
      <c r="M82" s="6">
        <f t="shared" si="30"/>
        <v>2.8541666666569654E-2</v>
      </c>
      <c r="N82" s="7">
        <f t="shared" si="44"/>
        <v>41.099999999860302</v>
      </c>
      <c r="O82" s="7"/>
      <c r="P82" s="7"/>
      <c r="Q82" s="23"/>
      <c r="R82" s="23"/>
      <c r="S82" s="32">
        <f t="shared" si="27"/>
        <v>1</v>
      </c>
      <c r="T82" s="47" t="str">
        <f t="shared" si="31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2"/>
        <v>https://d0f6bd738d7f1b3e5a7ca70fe4ff75f0.us-east-1.aws.found.io/app/kibana#/discover/Steve-Slow-Train-Analysis-(2080s-and-2083s)?_g=(refreshInterval:(display:Off,pause:!f,section:0,value:0),time:(from:'2017-01-24T11:59:39-0700',mode:absolute,to:'2017-01-24T14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2" s="49" t="str">
        <f t="shared" si="33"/>
        <v>N</v>
      </c>
      <c r="X82" s="170">
        <f t="shared" si="34"/>
        <v>1</v>
      </c>
      <c r="Y82" s="64">
        <f t="shared" si="35"/>
        <v>23.301300000000001</v>
      </c>
      <c r="Z82" s="64">
        <f t="shared" si="28"/>
        <v>1.38E-2</v>
      </c>
      <c r="AA82" s="64">
        <f t="shared" si="36"/>
        <v>23.287500000000001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37"/>
        <v>0170-24</v>
      </c>
      <c r="AE82" s="87" t="str">
        <f t="shared" si="38"/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AF82" s="84" t="str">
        <f t="shared" si="39"/>
        <v>"C:\Program Files (x86)\AstroGrep\AstroGrep.exe" /spath="%USERPROFILE%\AppData\Local\Temp\OnboardLogs" /stypes="app*4052*20170124*" /stext=" 20:.+((SYSTEM_STATE.+slice.+state.+changed )|(ment ac)|(multiple cpu faults)|(system.+state.+changed )|(\[timeout)|(PRM\|1\|D)|(kpr)|(kdp)|(\|lc)|(penalty))" /e /r /s</v>
      </c>
      <c r="AG82" s="1" t="str">
        <f t="shared" si="40"/>
        <v>EC</v>
      </c>
      <c r="AH82" s="88" t="str">
        <f t="shared" si="41"/>
        <v>"%USERPROFILE%\Documents\GitHub\eaglep3\Utilities\RefineRTDCRunTimes.py" --tripid 170-24 --locoid 4052 --swversion DE.1.0.8.0 --startMP 204:233013 --initTime 2017-01-24T12:59:39 --startdatetime 2017-01-24T13:11:25 --delay 1 --endMP 204:138 --enddatetime 2017-01-24T13:52:31 --enforcementcount 0 &gt;&gt;C:\Users\stu\Documents\GitHub\eaglep3-reporting\EC\2017-01-24-refined-times.txt</v>
      </c>
      <c r="AI82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{"issue":{"subject":"","project_id":79,"tracker_id":40,"status_id":1,"priority_id":2,"assigned_to_id":23,"start_date":"2017-01-24","description":"","custom_fields":[{"id":1,"name":"Subdivision","value":"EC"},{"id":4,"name":"Milepost","value":"0.0138"},{"id":17,"name":"Train ID","value":"170-24"},{"id":16,"name":"Locomotive ID","value":"4052"},{"id":130,"name":"Impact","value":""},{"id":150,"name":"Time of Event (Mountain Time)","value":"13:52:31"},{"id":151,"name":"Denver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43"/>
        <v>start /low /b %USERPROFILE%\Documents\GitHub\eaglep3\Utilities\DownloadLogsFromS3.py --loco 4052 --day 2017-01-24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2017-01-24-UncaughtWiMAX.txt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590</v>
      </c>
      <c r="B83" s="7">
        <v>4027</v>
      </c>
      <c r="C83" s="22" t="s">
        <v>196</v>
      </c>
      <c r="D83" s="22" t="s">
        <v>745</v>
      </c>
      <c r="E83" s="13">
        <v>42759.52202546296</v>
      </c>
      <c r="F83" s="13">
        <v>42759.523622685185</v>
      </c>
      <c r="G83" s="7">
        <v>1</v>
      </c>
      <c r="H83" s="22" t="s">
        <v>416</v>
      </c>
      <c r="I83" s="13">
        <v>42759.55431712963</v>
      </c>
      <c r="J83" s="7">
        <v>0</v>
      </c>
      <c r="K83" s="105" t="str">
        <f t="shared" si="29"/>
        <v>4027/4028</v>
      </c>
      <c r="L83" s="22" t="str">
        <f>VLOOKUP(A83,'Trips&amp;Operators'!$C$1:$G$99999,5,FALSE)</f>
        <v>BRANNON JEFFREY</v>
      </c>
      <c r="M83" s="6">
        <f t="shared" si="30"/>
        <v>3.0694444445543922E-2</v>
      </c>
      <c r="N83" s="7">
        <f t="shared" si="44"/>
        <v>44.200000001583248</v>
      </c>
      <c r="O83" s="7"/>
      <c r="P83" s="7"/>
      <c r="Q83" s="23"/>
      <c r="R83" s="23"/>
      <c r="S83" s="32">
        <f t="shared" si="27"/>
        <v>1</v>
      </c>
      <c r="T83" s="47" t="str">
        <f t="shared" si="31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2"/>
        <v>https://d0f6bd738d7f1b3e5a7ca70fe4ff75f0.us-east-1.aws.found.io/app/kibana#/discover/Steve-Slow-Train-Analysis-(2080s-and-2083s)?_g=(refreshInterval:(display:Off,pause:!f,section:0,value:0),time:(from:'2017-01-24T11:31:43-0700',mode:absolute,to:'2017-01-24T14:18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3" s="49" t="str">
        <f t="shared" si="33"/>
        <v>N</v>
      </c>
      <c r="X83" s="170">
        <f t="shared" si="34"/>
        <v>1</v>
      </c>
      <c r="Y83" s="64">
        <f t="shared" si="35"/>
        <v>4.82E-2</v>
      </c>
      <c r="Z83" s="64">
        <f t="shared" si="28"/>
        <v>23.330100000000002</v>
      </c>
      <c r="AA83" s="64">
        <f t="shared" si="36"/>
        <v>23.2819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37"/>
        <v>0171-24</v>
      </c>
      <c r="AE83" s="87" t="str">
        <f t="shared" si="38"/>
        <v>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 &amp; 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</v>
      </c>
      <c r="AF83" s="84" t="str">
        <f t="shared" si="39"/>
        <v>"C:\Program Files (x86)\AstroGrep\AstroGrep.exe" /spath="%USERPROFILE%\AppData\Local\Temp\OnboardLogs" /stypes="app*4027*20170124*" /stext=" 20:.+((SYSTEM_STATE.+slice.+state.+changed )|(ment ac)|(multiple cpu faults)|(system.+state.+changed )|(\[timeout)|(PRM\|1\|D)|(kpr)|(kdp)|(\|lc)|(penalty))" /e /r /s</v>
      </c>
      <c r="AG83" s="1" t="str">
        <f t="shared" si="40"/>
        <v>EC</v>
      </c>
      <c r="AH83" s="88" t="str">
        <f t="shared" si="41"/>
        <v>"%USERPROFILE%\Documents\GitHub\eaglep3\Utilities\RefineRTDCRunTimes.py" --tripid 171-24 --locoid 4027 --swversion DE.1.0.8.0 --startMP 204:482 --initTime 2017-01-24T12:31:43 --startdatetime 2017-01-24T12:34:01 --delay 1 --endMP 204:233301 --enddatetime 2017-01-24T13:18:13 --enforcementcount 0 &gt;&gt;C:\Users\stu\Documents\GitHub\eaglep3-reporting\EC\2017-01-24-refined-times.txt</v>
      </c>
      <c r="AI83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{"issue":{"subject":"","project_id":79,"tracker_id":40,"status_id":1,"priority_id":2,"assigned_to_id":23,"start_date":"2017-01-24","description":"","custom_fields":[{"id":1,"name":"Subdivision","value":"EC"},{"id":4,"name":"Milepost","value":"23.3301"},{"id":17,"name":"Train ID","value":"171-24"},{"id":16,"name":"Locomotive ID","value":"4027"},{"id":130,"name":"Impact","value":""},{"id":150,"name":"Time of Event (Mountain Time)","value":"13:18:13"},{"id":151,"name":"Denver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43"/>
        <v>start /low /b %USERPROFILE%\Documents\GitHub\eaglep3\Utilities\DownloadLogsFromS3.py --loco 4027 --day 2017-01-24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2017-01-24-UncaughtWiMAX.txt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598</v>
      </c>
      <c r="B84" s="7">
        <v>4028</v>
      </c>
      <c r="C84" s="22" t="s">
        <v>196</v>
      </c>
      <c r="D84" s="22" t="s">
        <v>333</v>
      </c>
      <c r="E84" s="13">
        <v>42759.555578703701</v>
      </c>
      <c r="F84" s="13">
        <v>42759.560648148145</v>
      </c>
      <c r="G84" s="7">
        <v>1</v>
      </c>
      <c r="H84" s="22" t="s">
        <v>186</v>
      </c>
      <c r="I84" s="13">
        <v>42759.590173611112</v>
      </c>
      <c r="J84" s="7">
        <v>0</v>
      </c>
      <c r="K84" s="105" t="str">
        <f t="shared" si="29"/>
        <v>4027/4028</v>
      </c>
      <c r="L84" s="22" t="str">
        <f>VLOOKUP(A84,'Trips&amp;Operators'!$C$1:$G$99999,5,FALSE)</f>
        <v>BRANNON JEFFREY</v>
      </c>
      <c r="M84" s="6">
        <f t="shared" si="30"/>
        <v>2.9525462967285421E-2</v>
      </c>
      <c r="N84" s="7">
        <f t="shared" si="44"/>
        <v>42.516666672891006</v>
      </c>
      <c r="O84" s="7"/>
      <c r="P84" s="7"/>
      <c r="Q84" s="23"/>
      <c r="R84" s="23"/>
      <c r="S84" s="32">
        <f t="shared" si="27"/>
        <v>1</v>
      </c>
      <c r="T84" s="47" t="str">
        <f t="shared" si="31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2"/>
        <v>https://d0f6bd738d7f1b3e5a7ca70fe4ff75f0.us-east-1.aws.found.io/app/kibana#/discover/Steve-Slow-Train-Analysis-(2080s-and-2083s)?_g=(refreshInterval:(display:Off,pause:!f,section:0,value:0),time:(from:'2017-01-24T12:20:02-0700',mode:absolute,to:'2017-01-24T15:09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4" s="49" t="str">
        <f t="shared" si="33"/>
        <v>N</v>
      </c>
      <c r="X84" s="170">
        <f t="shared" si="34"/>
        <v>1</v>
      </c>
      <c r="Y84" s="64">
        <f t="shared" si="35"/>
        <v>23.2988</v>
      </c>
      <c r="Z84" s="64">
        <f t="shared" si="28"/>
        <v>1.49E-2</v>
      </c>
      <c r="AA84" s="64">
        <f t="shared" si="36"/>
        <v>23.283899999999999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37"/>
        <v>0172-24</v>
      </c>
      <c r="AE84" s="87" t="str">
        <f t="shared" si="38"/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AF84" s="84" t="str">
        <f t="shared" si="39"/>
        <v>"C:\Program Files (x86)\AstroGrep\AstroGrep.exe" /spath="%USERPROFILE%\AppData\Local\Temp\OnboardLogs" /stypes="app*4028*20170124*" /stext=" 21:.+((SYSTEM_STATE.+slice.+state.+changed )|(ment ac)|(multiple cpu faults)|(system.+state.+changed )|(\[timeout)|(PRM\|1\|D)|(kpr)|(kdp)|(\|lc)|(penalty))" /e /r /s</v>
      </c>
      <c r="AG84" s="1" t="str">
        <f t="shared" si="40"/>
        <v>EC</v>
      </c>
      <c r="AH84" s="88" t="str">
        <f t="shared" si="41"/>
        <v>"%USERPROFILE%\Documents\GitHub\eaglep3\Utilities\RefineRTDCRunTimes.py" --tripid 172-24 --locoid 4028 --swversion DE.1.0.8.0 --startMP 204:232988 --initTime 2017-01-24T13:20:02 --startdatetime 2017-01-24T13:27:20 --delay 1 --endMP 204:149 --enddatetime 2017-01-24T14:09:51 --enforcementcount 0 &gt;&gt;C:\Users\stu\Documents\GitHub\eaglep3-reporting\EC\2017-01-24-refined-times.txt</v>
      </c>
      <c r="AI84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{"issue":{"subject":"","project_id":79,"tracker_id":40,"status_id":1,"priority_id":2,"assigned_to_id":23,"start_date":"2017-01-24","description":"","custom_fields":[{"id":1,"name":"Subdivision","value":"EC"},{"id":4,"name":"Milepost","value":"0.0149"},{"id":17,"name":"Train ID","value":"172-24"},{"id":16,"name":"Locomotive ID","value":"4028"},{"id":130,"name":"Impact","value":""},{"id":150,"name":"Time of Event (Mountain Time)","value":"14:09:51"},{"id":151,"name":"Denver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43"/>
        <v>start /low /b %USERPROFILE%\Documents\GitHub\eaglep3\Utilities\DownloadLogsFromS3.py --loco 4028 --day 2017-01-24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2017-01-24-UncaughtWiMAX.txt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4" t="s">
        <v>471</v>
      </c>
      <c r="B85" s="7">
        <v>4038</v>
      </c>
      <c r="C85" s="22" t="s">
        <v>196</v>
      </c>
      <c r="D85" s="22" t="s">
        <v>276</v>
      </c>
      <c r="E85" s="13">
        <v>42759.533518518518</v>
      </c>
      <c r="F85" s="13">
        <v>42759.534930555557</v>
      </c>
      <c r="G85" s="7">
        <v>1</v>
      </c>
      <c r="H85" s="22" t="s">
        <v>233</v>
      </c>
      <c r="I85" s="13">
        <v>42759.566840277781</v>
      </c>
      <c r="J85" s="7">
        <v>0</v>
      </c>
      <c r="K85" s="105" t="str">
        <f t="shared" si="29"/>
        <v>4037/4038</v>
      </c>
      <c r="L85" s="22" t="str">
        <f>VLOOKUP(A85,'Trips&amp;Operators'!$C$1:$G$99999,5,FALSE)</f>
        <v>HAITHCOX MICHAEL</v>
      </c>
      <c r="M85" s="6">
        <f t="shared" si="30"/>
        <v>3.1909722223645076E-2</v>
      </c>
      <c r="N85" s="7">
        <f t="shared" si="44"/>
        <v>45.95000000204891</v>
      </c>
      <c r="O85" s="7"/>
      <c r="P85" s="7"/>
      <c r="Q85" s="23"/>
      <c r="R85" s="23"/>
      <c r="S85" s="32">
        <f t="shared" si="27"/>
        <v>1</v>
      </c>
      <c r="T85" s="47" t="str">
        <f t="shared" si="31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2"/>
        <v>https://d0f6bd738d7f1b3e5a7ca70fe4ff75f0.us-east-1.aws.found.io/app/kibana#/discover/Steve-Slow-Train-Analysis-(2080s-and-2083s)?_g=(refreshInterval:(display:Off,pause:!f,section:0,value:0),time:(from:'2017-01-24T11:48:16-0700',mode:absolute,to:'2017-01-24T14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5" s="49" t="str">
        <f t="shared" si="33"/>
        <v>N</v>
      </c>
      <c r="X85" s="170">
        <f t="shared" si="34"/>
        <v>1</v>
      </c>
      <c r="Y85" s="64">
        <f t="shared" si="35"/>
        <v>4.4400000000000002E-2</v>
      </c>
      <c r="Z85" s="64">
        <f t="shared" si="28"/>
        <v>23.3293</v>
      </c>
      <c r="AA85" s="64">
        <f t="shared" si="36"/>
        <v>23.2849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37"/>
        <v>0173-24</v>
      </c>
      <c r="AE85" s="87" t="str">
        <f t="shared" si="38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85" s="84" t="str">
        <f t="shared" si="39"/>
        <v>"C:\Program Files (x86)\AstroGrep\AstroGrep.exe" /spath="%USERPROFILE%\AppData\Local\Temp\OnboardLogs" /stypes="app*4038*20170124*" /stext=" 20:.+((SYSTEM_STATE.+slice.+state.+changed )|(ment ac)|(multiple cpu faults)|(system.+state.+changed )|(\[timeout)|(PRM\|1\|D)|(kpr)|(kdp)|(\|lc)|(penalty))" /e /r /s</v>
      </c>
      <c r="AG85" s="1" t="str">
        <f t="shared" si="40"/>
        <v>EC</v>
      </c>
      <c r="AH85" s="88" t="str">
        <f t="shared" si="41"/>
        <v>"%USERPROFILE%\Documents\GitHub\eaglep3\Utilities\RefineRTDCRunTimes.py" --tripid 173-24 --locoid 4038 --swversion DE.1.0.8.0 --startMP 204:444 --initTime 2017-01-24T12:48:16 --startdatetime 2017-01-24T12:50:18 --delay 1 --endMP 204:233293 --enddatetime 2017-01-24T13:36:15 --enforcementcount 0 &gt;&gt;C:\Users\stu\Documents\GitHub\eaglep3-reporting\EC\2017-01-24-refined-times.txt</v>
      </c>
      <c r="AI85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{"issue":{"subject":"","project_id":79,"tracker_id":40,"status_id":1,"priority_id":2,"assigned_to_id":23,"start_date":"2017-01-24","description":"","custom_fields":[{"id":1,"name":"Subdivision","value":"EC"},{"id":4,"name":"Milepost","value":"23.3293"},{"id":17,"name":"Train ID","value":"173-24"},{"id":16,"name":"Locomotive ID","value":"4038"},{"id":130,"name":"Impact","value":""},{"id":150,"name":"Time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43"/>
        <v>start /low /b %USERPROFILE%\Documents\GitHub\eaglep3\Utilities\DownloadLogsFromS3.py --loco 4038 --day 2017-01-24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"%USERPROFILE%\AppData\Local\Temp\OnboardLogs"\RTDC4038\*4038*20170124* | grep -SE "(Enforcement Action)|(\[TIMEOUT)|(CHR.+\|PRM\|1\|D.+(SWITCH|SIGNAL).+UNKNOWN)" - &gt;&gt; 2017-01-24-UncaughtWiMAX.txt</v>
      </c>
    </row>
    <row r="86" spans="1:91" x14ac:dyDescent="0.25">
      <c r="A86" s="34" t="s">
        <v>601</v>
      </c>
      <c r="B86" s="7">
        <v>4037</v>
      </c>
      <c r="C86" s="22" t="s">
        <v>196</v>
      </c>
      <c r="D86" s="22" t="s">
        <v>422</v>
      </c>
      <c r="E86" s="13">
        <v>42759.569490740738</v>
      </c>
      <c r="F86" s="13">
        <v>42759.570833333331</v>
      </c>
      <c r="G86" s="7">
        <v>1</v>
      </c>
      <c r="H86" s="22" t="s">
        <v>342</v>
      </c>
      <c r="I86" s="13">
        <v>42759.601886574077</v>
      </c>
      <c r="J86" s="7">
        <v>0</v>
      </c>
      <c r="K86" s="105" t="str">
        <f t="shared" si="29"/>
        <v>4037/4038</v>
      </c>
      <c r="L86" s="22" t="str">
        <f>VLOOKUP(A86,'Trips&amp;Operators'!$C$1:$G$99999,5,FALSE)</f>
        <v>HAITHCOX MICHAEL</v>
      </c>
      <c r="M86" s="6">
        <f t="shared" si="30"/>
        <v>3.1053240745677613E-2</v>
      </c>
      <c r="N86" s="7">
        <f t="shared" si="44"/>
        <v>44.716666673775762</v>
      </c>
      <c r="O86" s="7"/>
      <c r="P86" s="7"/>
      <c r="Q86" s="23"/>
      <c r="R86" s="23"/>
      <c r="S86" s="32">
        <f t="shared" si="27"/>
        <v>1</v>
      </c>
      <c r="T86" s="47" t="str">
        <f t="shared" si="31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2"/>
        <v>https://d0f6bd738d7f1b3e5a7ca70fe4ff75f0.us-east-1.aws.found.io/app/kibana#/discover/Steve-Slow-Train-Analysis-(2080s-and-2083s)?_g=(refreshInterval:(display:Off,pause:!f,section:0,value:0),time:(from:'2017-01-24T12:40:04-0700',mode:absolute,to:'2017-01-24T15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6" s="49" t="str">
        <f t="shared" si="33"/>
        <v>N</v>
      </c>
      <c r="X86" s="170">
        <f t="shared" si="34"/>
        <v>1</v>
      </c>
      <c r="Y86" s="64">
        <f t="shared" si="35"/>
        <v>23.296399999999998</v>
      </c>
      <c r="Z86" s="64">
        <f t="shared" si="28"/>
        <v>1.2999999999999999E-2</v>
      </c>
      <c r="AA86" s="64">
        <f t="shared" si="36"/>
        <v>23.283399999999997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37"/>
        <v>0174-24</v>
      </c>
      <c r="AE86" s="87" t="str">
        <f t="shared" si="38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86" s="84" t="str">
        <f t="shared" si="39"/>
        <v>"C:\Program Files (x86)\AstroGrep\AstroGrep.exe" /spath="%USERPROFILE%\AppData\Local\Temp\OnboardLogs" /stypes="app*4037*20170124*" /stext=" 21:.+((SYSTEM_STATE.+slice.+state.+changed )|(ment ac)|(multiple cpu faults)|(system.+state.+changed )|(\[timeout)|(PRM\|1\|D)|(kpr)|(kdp)|(\|lc)|(penalty))" /e /r /s</v>
      </c>
      <c r="AG86" s="1" t="str">
        <f t="shared" si="40"/>
        <v>EC</v>
      </c>
      <c r="AH86" s="88" t="str">
        <f t="shared" si="41"/>
        <v>"%USERPROFILE%\Documents\GitHub\eaglep3\Utilities\RefineRTDCRunTimes.py" --tripid 174-24 --locoid 4037 --swversion DE.1.0.8.0 --startMP 204:232964 --initTime 2017-01-24T13:40:04 --startdatetime 2017-01-24T13:42:00 --delay 1 --endMP 204:130 --enddatetime 2017-01-24T14:26:43 --enforcementcount 0 &gt;&gt;C:\Users\stu\Documents\GitHub\eaglep3-reporting\EC\2017-01-24-refined-times.txt</v>
      </c>
      <c r="AI86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{"issue":{"subject":"","project_id":79,"tracker_id":40,"status_id":1,"priority_id":2,"assigned_to_id":23,"start_date":"2017-01-24","description":"","custom_fields":[{"id":1,"name":"Subdivision","value":"EC"},{"id":4,"name":"Milepost","value":"0.013"},{"id":17,"name":"Train ID","value":"174-24"},{"id":16,"name":"Locomotive ID","value":"4037"},{"id":130,"name":"Impact","value":""},{"id":150,"name":"Time of Event (Mountain Time)","value":"14:26:43"},{"id":151,"name":"Denver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43"/>
        <v>start /low /b %USERPROFILE%\Documents\GitHub\eaglep3\Utilities\DownloadLogsFromS3.py --loco 4037 --day 2017-01-24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"%USERPROFILE%\AppData\Local\Temp\OnboardLogs"\RTDC4037\*4037*20170124* | grep -SE "(Enforcement Action)|(\[TIMEOUT)|(CHR.+\|PRM\|1\|D.+(SWITCH|SIGNAL).+UNKNOWN)" - &gt;&gt; 2017-01-24-UncaughtWiMAX.txt</v>
      </c>
    </row>
    <row r="87" spans="1:91" s="21" customFormat="1" x14ac:dyDescent="0.25">
      <c r="A87" s="34" t="s">
        <v>595</v>
      </c>
      <c r="B87" s="7">
        <v>4007</v>
      </c>
      <c r="C87" s="22" t="s">
        <v>196</v>
      </c>
      <c r="D87" s="22" t="s">
        <v>298</v>
      </c>
      <c r="E87" s="13">
        <v>42759.542372685188</v>
      </c>
      <c r="F87" s="13">
        <v>42759.543842592589</v>
      </c>
      <c r="G87" s="7">
        <v>1</v>
      </c>
      <c r="H87" s="22" t="s">
        <v>428</v>
      </c>
      <c r="I87" s="13">
        <v>42759.574814814812</v>
      </c>
      <c r="J87" s="7">
        <v>0</v>
      </c>
      <c r="K87" s="105" t="str">
        <f t="shared" si="29"/>
        <v>4007/4008</v>
      </c>
      <c r="L87" s="22" t="str">
        <f>VLOOKUP(A87,'Trips&amp;Operators'!$C$1:$G$99999,5,FALSE)</f>
        <v>SWANSON BRYCE</v>
      </c>
      <c r="M87" s="6">
        <f t="shared" si="30"/>
        <v>3.0972222222771961E-2</v>
      </c>
      <c r="N87" s="7">
        <f t="shared" si="44"/>
        <v>44.600000000791624</v>
      </c>
      <c r="O87" s="7"/>
      <c r="P87" s="7"/>
      <c r="Q87" s="23"/>
      <c r="R87" s="23"/>
      <c r="S87" s="32">
        <f t="shared" si="27"/>
        <v>1</v>
      </c>
      <c r="T87" s="47" t="str">
        <f t="shared" si="31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2"/>
        <v>https://d0f6bd738d7f1b3e5a7ca70fe4ff75f0.us-east-1.aws.found.io/app/kibana#/discover/Steve-Slow-Train-Analysis-(2080s-and-2083s)?_g=(refreshInterval:(display:Off,pause:!f,section:0,value:0),time:(from:'2017-01-24T12:01:01-0700',mode:absolute,to:'2017-01-24T14:47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49" t="str">
        <f t="shared" si="33"/>
        <v>N</v>
      </c>
      <c r="X87" s="170">
        <f t="shared" si="34"/>
        <v>1</v>
      </c>
      <c r="Y87" s="64">
        <f t="shared" si="35"/>
        <v>4.6399999999999997E-2</v>
      </c>
      <c r="Z87" s="64">
        <f t="shared" si="28"/>
        <v>23.332000000000001</v>
      </c>
      <c r="AA87" s="64">
        <f t="shared" si="36"/>
        <v>23.285600000000002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37"/>
        <v>0175-24</v>
      </c>
      <c r="AE87" s="87" t="str">
        <f t="shared" si="38"/>
        <v>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 &amp; aws s3 cp s3://rtdc.mdm.uploadarchive.raw/RTDC4007/ "%USERPROFILE%\AppData\Local\Temp\OnboardLogs"\RTDC4007\2017-01-25 --exclude "*" --recursive --include "*20170125*" &amp; "%USERPROFILE%\Documents\GitHub\mrs-test-scripts\Headless Mode &amp; Sideloading\WalkAndUnGZ.bat" "%USERPROFILE%\AppData\Local\Temp\OnboardLogs"\RTDC4007\2017-01-25</v>
      </c>
      <c r="AF87" s="84" t="str">
        <f t="shared" si="39"/>
        <v>"C:\Program Files (x86)\AstroGrep\AstroGrep.exe" /spath="%USERPROFILE%\AppData\Local\Temp\OnboardLogs" /stypes="app*4007*20170124*" /stext=" 20:.+((SYSTEM_STATE.+slice.+state.+changed )|(ment ac)|(multiple cpu faults)|(system.+state.+changed )|(\[timeout)|(PRM\|1\|D)|(kpr)|(kdp)|(\|lc)|(penalty))" /e /r /s</v>
      </c>
      <c r="AG87" s="1" t="str">
        <f t="shared" si="40"/>
        <v>EC</v>
      </c>
      <c r="AH87" s="88" t="str">
        <f t="shared" si="41"/>
        <v>"%USERPROFILE%\Documents\GitHub\eaglep3\Utilities\RefineRTDCRunTimes.py" --tripid 175-24 --locoid 4007 --swversion DE.1.0.8.0 --startMP 204:464 --initTime 2017-01-24T13:01:01 --startdatetime 2017-01-24T13:03:08 --delay 1 --endMP 204:233320 --enddatetime 2017-01-24T13:47:44 --enforcementcount 0 &gt;&gt;C:\Users\stu\Documents\GitHub\eaglep3-reporting\EC\2017-01-24-refined-times.txt</v>
      </c>
      <c r="AI87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{"issue":{"subject":"","project_id":79,"tracker_id":40,"status_id":1,"priority_id":2,"assigned_to_id":23,"start_date":"2017-01-24","description":"","custom_fields":[{"id":1,"name":"Subdivision","value":"EC"},{"id":4,"name":"Milepost","value":"23.332"},{"id":17,"name":"Train ID","value":"175-24"},{"id":16,"name":"Locomotive ID","value":"4007"},{"id":130,"name":"Impact","value":""},{"id":150,"name":"Time of Event (Mountain Time)","value":"13:47:44"},{"id":151,"name":"Denver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43"/>
        <v>start /low /b %USERPROFILE%\Documents\GitHub\eaglep3\Utilities\DownloadLogsFromS3.py --loco 4007 --day 2017-01-24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"%USERPROFILE%\AppData\Local\Temp\OnboardLogs"\RTDC4007\*4007*20170124* | grep -SE "(Enforcement Action)|(\[TIMEOUT)|(CHR.+\|PRM\|1\|D.+(SWITCH|SIGNAL).+UNKNOWN)" - &gt;&gt; 2017-01-24-UncaughtWiMAX.txt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603</v>
      </c>
      <c r="B88" s="7">
        <v>4008</v>
      </c>
      <c r="C88" s="22" t="s">
        <v>196</v>
      </c>
      <c r="D88" s="22" t="s">
        <v>746</v>
      </c>
      <c r="E88" s="13">
        <v>42759.577048611114</v>
      </c>
      <c r="F88" s="13">
        <v>42759.580810185187</v>
      </c>
      <c r="G88" s="7">
        <v>1</v>
      </c>
      <c r="H88" s="22" t="s">
        <v>342</v>
      </c>
      <c r="I88" s="13">
        <v>42759.612303240741</v>
      </c>
      <c r="J88" s="7">
        <v>0</v>
      </c>
      <c r="K88" s="105" t="str">
        <f t="shared" si="29"/>
        <v>4007/4008</v>
      </c>
      <c r="L88" s="22" t="str">
        <f>VLOOKUP(A88,'Trips&amp;Operators'!$C$1:$G$99999,5,FALSE)</f>
        <v>SWANSON BRYCE</v>
      </c>
      <c r="M88" s="6">
        <f t="shared" si="30"/>
        <v>3.1493055554165039E-2</v>
      </c>
      <c r="N88" s="7">
        <f t="shared" si="44"/>
        <v>45.349999997997656</v>
      </c>
      <c r="O88" s="7"/>
      <c r="P88" s="7"/>
      <c r="Q88" s="23"/>
      <c r="R88" s="23"/>
      <c r="S88" s="32">
        <f t="shared" si="27"/>
        <v>1</v>
      </c>
      <c r="T88" s="47" t="str">
        <f t="shared" si="31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2"/>
        <v>https://d0f6bd738d7f1b3e5a7ca70fe4ff75f0.us-east-1.aws.found.io/app/kibana#/discover/Steve-Slow-Train-Analysis-(2080s-and-2083s)?_g=(refreshInterval:(display:Off,pause:!f,section:0,value:0),time:(from:'2017-01-24T12:50:57-0700',mode:absolute,to:'2017-01-24T15:41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8" s="49" t="str">
        <f t="shared" si="33"/>
        <v>N</v>
      </c>
      <c r="X88" s="170">
        <f t="shared" si="34"/>
        <v>1</v>
      </c>
      <c r="Y88" s="64">
        <f t="shared" si="35"/>
        <v>23.300699999999999</v>
      </c>
      <c r="Z88" s="64">
        <f t="shared" si="28"/>
        <v>1.2999999999999999E-2</v>
      </c>
      <c r="AA88" s="64">
        <f t="shared" si="36"/>
        <v>23.287699999999997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37"/>
        <v>0176-24</v>
      </c>
      <c r="AE88" s="87" t="str">
        <f t="shared" si="38"/>
        <v>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 &amp; aws s3 cp s3://rtdc.mdm.uploadarchive.raw/RTDC4008/ "%USERPROFILE%\AppData\Local\Temp\OnboardLogs"\RTDC4008\2017-01-25 --exclude "*" --recursive --include "*20170125*" &amp; "%USERPROFILE%\Documents\GitHub\mrs-test-scripts\Headless Mode &amp; Sideloading\WalkAndUnGZ.bat" "%USERPROFILE%\AppData\Local\Temp\OnboardLogs"\RTDC4008\2017-01-25</v>
      </c>
      <c r="AF88" s="84" t="str">
        <f t="shared" si="39"/>
        <v>"C:\Program Files (x86)\AstroGrep\AstroGrep.exe" /spath="%USERPROFILE%\AppData\Local\Temp\OnboardLogs" /stypes="app*4008*20170124*" /stext=" 21:.+((SYSTEM_STATE.+slice.+state.+changed )|(ment ac)|(multiple cpu faults)|(system.+state.+changed )|(\[timeout)|(PRM\|1\|D)|(kpr)|(kdp)|(\|lc)|(penalty))" /e /r /s</v>
      </c>
      <c r="AG88" s="1" t="str">
        <f t="shared" si="40"/>
        <v>EC</v>
      </c>
      <c r="AH88" s="88" t="str">
        <f t="shared" si="41"/>
        <v>"%USERPROFILE%\Documents\GitHub\eaglep3\Utilities\RefineRTDCRunTimes.py" --tripid 176-24 --locoid 4008 --swversion DE.1.0.8.0 --startMP 204:233007 --initTime 2017-01-24T13:50:57 --startdatetime 2017-01-24T13:56:22 --delay 1 --endMP 204:130 --enddatetime 2017-01-24T14:41:43 --enforcementcount 0 &gt;&gt;C:\Users\stu\Documents\GitHub\eaglep3-reporting\EC\2017-01-24-refined-times.txt</v>
      </c>
      <c r="AI88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{"issue":{"subject":"","project_id":79,"tracker_id":40,"status_id":1,"priority_id":2,"assigned_to_id":23,"start_date":"2017-01-24","description":"","custom_fields":[{"id":1,"name":"Subdivision","value":"EC"},{"id":4,"name":"Milepost","value":"0.013"},{"id":17,"name":"Train ID","value":"176-24"},{"id":16,"name":"Locomotive ID","value":"4008"},{"id":130,"name":"Impact","value":""},{"id":150,"name":"Time of Event (Mountain Time)","value":"14:41:43"},{"id":151,"name":"Denver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43"/>
        <v>start /low /b %USERPROFILE%\Documents\GitHub\eaglep3\Utilities\DownloadLogsFromS3.py --loco 4008 --day 2017-01-24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"%USERPROFILE%\AppData\Local\Temp\OnboardLogs"\RTDC4008\*4008*20170124* | grep -SE "(Enforcement Action)|(\[TIMEOUT)|(CHR.+\|PRM\|1\|D.+(SWITCH|SIGNAL).+UNKNOWN)" - &gt;&gt; 2017-01-24-UncaughtWiMAX.txt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597</v>
      </c>
      <c r="B89" s="7">
        <v>4003</v>
      </c>
      <c r="C89" s="22" t="s">
        <v>196</v>
      </c>
      <c r="D89" s="22" t="s">
        <v>230</v>
      </c>
      <c r="E89" s="13">
        <v>42759.554247685184</v>
      </c>
      <c r="F89" s="13">
        <v>42759.555937500001</v>
      </c>
      <c r="G89" s="7">
        <v>1</v>
      </c>
      <c r="H89" s="22" t="s">
        <v>744</v>
      </c>
      <c r="I89" s="13">
        <v>42759.586643518516</v>
      </c>
      <c r="J89" s="7">
        <v>0</v>
      </c>
      <c r="K89" s="105" t="str">
        <f t="shared" si="29"/>
        <v>4003/4004</v>
      </c>
      <c r="L89" s="22" t="str">
        <f>VLOOKUP(A89,'Trips&amp;Operators'!$C$1:$G$99999,5,FALSE)</f>
        <v>LEVERE CRAIG</v>
      </c>
      <c r="M89" s="6">
        <f t="shared" si="30"/>
        <v>3.0706018515047617E-2</v>
      </c>
      <c r="N89" s="7">
        <f t="shared" si="44"/>
        <v>44.216666661668569</v>
      </c>
      <c r="O89" s="7"/>
      <c r="P89" s="7"/>
      <c r="Q89" s="23"/>
      <c r="R89" s="23"/>
      <c r="S89" s="32">
        <f t="shared" si="27"/>
        <v>1</v>
      </c>
      <c r="T89" s="47" t="str">
        <f t="shared" si="31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2"/>
        <v>https://d0f6bd738d7f1b3e5a7ca70fe4ff75f0.us-east-1.aws.found.io/app/kibana#/discover/Steve-Slow-Train-Analysis-(2080s-and-2083s)?_g=(refreshInterval:(display:Off,pause:!f,section:0,value:0),time:(from:'2017-01-24T12:18:07-0700',mode:absolute,to:'2017-01-24T15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9" s="49" t="str">
        <f t="shared" si="33"/>
        <v>N</v>
      </c>
      <c r="X89" s="170">
        <f t="shared" si="34"/>
        <v>1</v>
      </c>
      <c r="Y89" s="64">
        <f t="shared" si="35"/>
        <v>4.6899999999999997E-2</v>
      </c>
      <c r="Z89" s="64">
        <f t="shared" si="28"/>
        <v>23.3323</v>
      </c>
      <c r="AA89" s="64">
        <f t="shared" si="36"/>
        <v>23.285399999999999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37"/>
        <v>0177-24</v>
      </c>
      <c r="AE89" s="87" t="str">
        <f t="shared" si="38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89" s="84" t="str">
        <f t="shared" si="39"/>
        <v>"C:\Program Files (x86)\AstroGrep\AstroGrep.exe" /spath="%USERPROFILE%\AppData\Local\Temp\OnboardLogs" /stypes="app*4003*20170124*" /stext=" 21:.+((SYSTEM_STATE.+slice.+state.+changed )|(ment ac)|(multiple cpu faults)|(system.+state.+changed )|(\[timeout)|(PRM\|1\|D)|(kpr)|(kdp)|(\|lc)|(penalty))" /e /r /s</v>
      </c>
      <c r="AG89" s="1" t="str">
        <f t="shared" si="40"/>
        <v>EC</v>
      </c>
      <c r="AH89" s="88" t="str">
        <f t="shared" si="41"/>
        <v>"%USERPROFILE%\Documents\GitHub\eaglep3\Utilities\RefineRTDCRunTimes.py" --tripid 177-24 --locoid 4003 --swversion DE.1.0.8.0 --startMP 204:469 --initTime 2017-01-24T13:18:07 --startdatetime 2017-01-24T13:20:33 --delay 1 --endMP 204:233323 --enddatetime 2017-01-24T14:04:46 --enforcementcount 0 &gt;&gt;C:\Users\stu\Documents\GitHub\eaglep3-reporting\EC\2017-01-24-refined-times.txt</v>
      </c>
      <c r="AI89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{"issue":{"subject":"","project_id":79,"tracker_id":40,"status_id":1,"priority_id":2,"assigned_to_id":23,"start_date":"2017-01-24","description":"","custom_fields":[{"id":1,"name":"Subdivision","value":"EC"},{"id":4,"name":"Milepost","value":"23.3323"},{"id":17,"name":"Train ID","value":"177-24"},{"id":16,"name":"Locomotive ID","value":"4003"},{"id":130,"name":"Impact","value":""},{"id":150,"name":"Time of Event (Mountain Time)","value":"14:04:46"},{"id":151,"name":"Denver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43"/>
        <v>start /low /b %USERPROFILE%\Documents\GitHub\eaglep3\Utilities\DownloadLogsFromS3.py --loco 4003 --day 2017-01-24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2017-01-24-UncaughtWiMAX.txt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605</v>
      </c>
      <c r="B90" s="7">
        <v>4004</v>
      </c>
      <c r="C90" s="22" t="s">
        <v>196</v>
      </c>
      <c r="D90" s="22" t="s">
        <v>341</v>
      </c>
      <c r="E90" s="13">
        <v>42759.589212962965</v>
      </c>
      <c r="F90" s="13">
        <v>42759.591273148151</v>
      </c>
      <c r="G90" s="7">
        <v>1</v>
      </c>
      <c r="H90" s="22" t="s">
        <v>238</v>
      </c>
      <c r="I90" s="13">
        <v>42759.623344907406</v>
      </c>
      <c r="J90" s="7">
        <v>0</v>
      </c>
      <c r="K90" s="105" t="str">
        <f t="shared" si="29"/>
        <v>4003/4004</v>
      </c>
      <c r="L90" s="22" t="str">
        <f>VLOOKUP(A90,'Trips&amp;Operators'!$C$1:$G$99999,5,FALSE)</f>
        <v>LEVERE CRAIG</v>
      </c>
      <c r="M90" s="6">
        <f t="shared" si="30"/>
        <v>3.2071759254904464E-2</v>
      </c>
      <c r="N90" s="7">
        <f t="shared" si="44"/>
        <v>46.183333327062428</v>
      </c>
      <c r="O90" s="7"/>
      <c r="P90" s="7"/>
      <c r="Q90" s="23"/>
      <c r="R90" s="23"/>
      <c r="S90" s="32">
        <f t="shared" si="27"/>
        <v>1</v>
      </c>
      <c r="T90" s="47" t="str">
        <f t="shared" si="31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2"/>
        <v>https://d0f6bd738d7f1b3e5a7ca70fe4ff75f0.us-east-1.aws.found.io/app/kibana#/discover/Steve-Slow-Train-Analysis-(2080s-and-2083s)?_g=(refreshInterval:(display:Off,pause:!f,section:0,value:0),time:(from:'2017-01-24T13:08:28-0700',mode:absolute,to:'2017-01-24T15:57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0" s="49" t="str">
        <f t="shared" si="33"/>
        <v>N</v>
      </c>
      <c r="X90" s="170">
        <f t="shared" si="34"/>
        <v>1</v>
      </c>
      <c r="Y90" s="64">
        <f t="shared" si="35"/>
        <v>23.300599999999999</v>
      </c>
      <c r="Z90" s="64">
        <f t="shared" si="28"/>
        <v>1.54E-2</v>
      </c>
      <c r="AA90" s="64">
        <f t="shared" si="36"/>
        <v>23.2852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37"/>
        <v>0178-24</v>
      </c>
      <c r="AE90" s="87" t="str">
        <f t="shared" si="38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90" s="84" t="str">
        <f t="shared" si="39"/>
        <v>"C:\Program Files (x86)\AstroGrep\AstroGrep.exe" /spath="%USERPROFILE%\AppData\Local\Temp\OnboardLogs" /stypes="app*4004*20170124*" /stext=" 21:.+((SYSTEM_STATE.+slice.+state.+changed )|(ment ac)|(multiple cpu faults)|(system.+state.+changed )|(\[timeout)|(PRM\|1\|D)|(kpr)|(kdp)|(\|lc)|(penalty))" /e /r /s</v>
      </c>
      <c r="AG90" s="1" t="str">
        <f t="shared" si="40"/>
        <v>EC</v>
      </c>
      <c r="AH90" s="88" t="str">
        <f t="shared" si="41"/>
        <v>"%USERPROFILE%\Documents\GitHub\eaglep3\Utilities\RefineRTDCRunTimes.py" --tripid 178-24 --locoid 4004 --swversion DE.1.0.8.0 --startMP 204:233006 --initTime 2017-01-24T14:08:28 --startdatetime 2017-01-24T14:11:26 --delay 1 --endMP 204:154 --enddatetime 2017-01-24T14:57:37 --enforcementcount 0 &gt;&gt;C:\Users\stu\Documents\GitHub\eaglep3-reporting\EC\2017-01-24-refined-times.txt</v>
      </c>
      <c r="AI90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{"issue":{"subject":"","project_id":79,"tracker_id":40,"status_id":1,"priority_id":2,"assigned_to_id":23,"start_date":"2017-01-24","description":"","custom_fields":[{"id":1,"name":"Subdivision","value":"EC"},{"id":4,"name":"Milepost","value":"0.0154"},{"id":17,"name":"Train ID","value":"178-24"},{"id":16,"name":"Locomotive ID","value":"4004"},{"id":130,"name":"Impact","value":""},{"id":150,"name":"Time of Event (Mountain Time)","value":"14:57:37"},{"id":151,"name":"Denver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43"/>
        <v>start /low /b %USERPROFILE%\Documents\GitHub\eaglep3\Utilities\DownloadLogsFromS3.py --loco 4004 --day 2017-01-24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"%USERPROFILE%\AppData\Local\Temp\OnboardLogs"\RTDC4004\*4004*20170124* | grep -SE "(Enforcement Action)|(\[TIMEOUT)|(CHR.+\|PRM\|1\|D.+(SWITCH|SIGNAL).+UNKNOWN)" - &gt;&gt; 2017-01-24-UncaughtWiMAX.txt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599</v>
      </c>
      <c r="B91" s="7">
        <v>4018</v>
      </c>
      <c r="C91" s="22" t="s">
        <v>196</v>
      </c>
      <c r="D91" s="22" t="s">
        <v>747</v>
      </c>
      <c r="E91" s="13">
        <v>42759.560659722221</v>
      </c>
      <c r="F91" s="13">
        <v>42759.563449074078</v>
      </c>
      <c r="G91" s="7">
        <v>1</v>
      </c>
      <c r="H91" s="22" t="s">
        <v>408</v>
      </c>
      <c r="I91" s="13">
        <v>42759.595601851855</v>
      </c>
      <c r="J91" s="7">
        <v>0</v>
      </c>
      <c r="K91" s="105" t="str">
        <f t="shared" si="29"/>
        <v>4017/4018</v>
      </c>
      <c r="L91" s="22" t="str">
        <f>VLOOKUP(A91,'Trips&amp;Operators'!$C$1:$G$99999,5,FALSE)</f>
        <v>DE LA ROSA ALEX</v>
      </c>
      <c r="M91" s="6">
        <f t="shared" si="30"/>
        <v>3.2152777777810115E-2</v>
      </c>
      <c r="N91" s="7">
        <f t="shared" si="44"/>
        <v>46.300000000046566</v>
      </c>
      <c r="O91" s="7"/>
      <c r="P91" s="7"/>
      <c r="Q91" s="23"/>
      <c r="R91" s="23"/>
      <c r="S91" s="32">
        <f t="shared" si="27"/>
        <v>1</v>
      </c>
      <c r="T91" s="47" t="str">
        <f t="shared" si="31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2"/>
        <v>https://d0f6bd738d7f1b3e5a7ca70fe4ff75f0.us-east-1.aws.found.io/app/kibana#/discover/Steve-Slow-Train-Analysis-(2080s-and-2083s)?_g=(refreshInterval:(display:Off,pause:!f,section:0,value:0),time:(from:'2017-01-24T12:27:21-0700',mode:absolute,to:'2017-01-24T15:17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49" t="str">
        <f t="shared" si="33"/>
        <v>N</v>
      </c>
      <c r="X91" s="170">
        <f t="shared" si="34"/>
        <v>1</v>
      </c>
      <c r="Y91" s="64">
        <f t="shared" si="35"/>
        <v>0.1177</v>
      </c>
      <c r="Z91" s="64">
        <f t="shared" si="28"/>
        <v>23.3309</v>
      </c>
      <c r="AA91" s="64">
        <f t="shared" si="36"/>
        <v>23.213200000000001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37"/>
        <v>0179-24</v>
      </c>
      <c r="AE91" s="87" t="str">
        <f t="shared" si="38"/>
        <v>aws s3 cp s3://rtdc.mdm.uploadarchive.raw/RTDC4018/ "%USERPROFILE%\AppData\Local\Temp\OnboardLogs"\RTDC4018\2017-01-24 --exclude "*" --recursive --include "*20170124*" &amp; "%USERPROFILE%\Documents\GitHub\mrs-test-scripts\Headless Mode &amp; Sideloading\WalkAndUnGZ.bat" "%USERPROFILE%\AppData\Local\Temp\OnboardLogs"\RTDC4018\2017-01-24 &amp; 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</v>
      </c>
      <c r="AF91" s="84" t="str">
        <f t="shared" si="39"/>
        <v>"C:\Program Files (x86)\AstroGrep\AstroGrep.exe" /spath="%USERPROFILE%\AppData\Local\Temp\OnboardLogs" /stypes="app*4018*20170124*" /stext=" 21:.+((SYSTEM_STATE.+slice.+state.+changed )|(ment ac)|(multiple cpu faults)|(system.+state.+changed )|(\[timeout)|(PRM\|1\|D)|(kpr)|(kdp)|(\|lc)|(penalty))" /e /r /s</v>
      </c>
      <c r="AG91" s="1" t="str">
        <f t="shared" si="40"/>
        <v>EC</v>
      </c>
      <c r="AH91" s="88" t="str">
        <f t="shared" si="41"/>
        <v>"%USERPROFILE%\Documents\GitHub\eaglep3\Utilities\RefineRTDCRunTimes.py" --tripid 179-24 --locoid 4018 --swversion DE.1.0.8.0 --startMP 204:1177 --initTime 2017-01-24T13:27:21 --startdatetime 2017-01-24T13:31:22 --delay 1 --endMP 204:233309 --enddatetime 2017-01-24T14:17:40 --enforcementcount 0 &gt;&gt;C:\Users\stu\Documents\GitHub\eaglep3-reporting\EC\2017-01-24-refined-times.txt</v>
      </c>
      <c r="AI91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{"issue":{"subject":"","project_id":79,"tracker_id":40,"status_id":1,"priority_id":2,"assigned_to_id":23,"start_date":"2017-01-24","description":"","custom_fields":[{"id":1,"name":"Subdivision","value":"EC"},{"id":4,"name":"Milepost","value":"23.3309"},{"id":17,"name":"Train ID","value":"179-24"},{"id":16,"name":"Locomotive ID","value":"4018"},{"id":130,"name":"Impact","value":""},{"id":150,"name":"Time of Event (Mountain Time)","value":"14:17:40"},{"id":151,"name":"Denver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43"/>
        <v>start /low /b %USERPROFILE%\Documents\GitHub\eaglep3\Utilities\DownloadLogsFromS3.py --loco 4018 --day 2017-01-24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"%USERPROFILE%\AppData\Local\Temp\OnboardLogs"\RTDC4018\*4018*20170124* | grep -SE "(Enforcement Action)|(\[TIMEOUT)|(CHR.+\|PRM\|1\|D.+(SWITCH|SIGNAL).+UNKNOWN)" - &gt;&gt; 2017-01-24-UncaughtWiMAX.txt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608</v>
      </c>
      <c r="B92" s="7">
        <v>4017</v>
      </c>
      <c r="C92" s="22" t="s">
        <v>196</v>
      </c>
      <c r="D92" s="22" t="s">
        <v>367</v>
      </c>
      <c r="E92" s="13">
        <v>42759.596909722219</v>
      </c>
      <c r="F92" s="13">
        <v>42759.602060185185</v>
      </c>
      <c r="G92" s="7">
        <v>2</v>
      </c>
      <c r="H92" s="22" t="s">
        <v>737</v>
      </c>
      <c r="I92" s="13">
        <v>42759.634375000001</v>
      </c>
      <c r="J92" s="7">
        <v>0</v>
      </c>
      <c r="K92" s="105" t="str">
        <f t="shared" si="29"/>
        <v>4017/4018</v>
      </c>
      <c r="L92" s="22" t="str">
        <f>VLOOKUP(A92,'Trips&amp;Operators'!$C$1:$G$99999,5,FALSE)</f>
        <v>DE LA ROSA ALEX</v>
      </c>
      <c r="M92" s="6">
        <f t="shared" si="30"/>
        <v>3.2314814816345461E-2</v>
      </c>
      <c r="N92" s="7">
        <f t="shared" si="44"/>
        <v>46.533333335537463</v>
      </c>
      <c r="O92" s="7"/>
      <c r="P92" s="7"/>
      <c r="Q92" s="23"/>
      <c r="R92" s="23"/>
      <c r="S92" s="32">
        <f t="shared" si="27"/>
        <v>1</v>
      </c>
      <c r="T92" s="47" t="str">
        <f t="shared" si="31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2"/>
        <v>https://d0f6bd738d7f1b3e5a7ca70fe4ff75f0.us-east-1.aws.found.io/app/kibana#/discover/Steve-Slow-Train-Analysis-(2080s-and-2083s)?_g=(refreshInterval:(display:Off,pause:!f,section:0,value:0),time:(from:'2017-01-24T13:19:33-0700',mode:absolute,to:'2017-01-24T16:13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49" t="str">
        <f t="shared" si="33"/>
        <v>N</v>
      </c>
      <c r="X92" s="170">
        <f t="shared" si="34"/>
        <v>1</v>
      </c>
      <c r="Y92" s="64">
        <f t="shared" si="35"/>
        <v>23.2971</v>
      </c>
      <c r="Z92" s="64">
        <f t="shared" si="28"/>
        <v>0.1173</v>
      </c>
      <c r="AA92" s="64">
        <f t="shared" si="36"/>
        <v>23.1798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37"/>
        <v>0180-24</v>
      </c>
      <c r="AE92" s="87" t="str">
        <f t="shared" si="38"/>
        <v>aws s3 cp s3://rtdc.mdm.uploadarchive.raw/RTDC4017/ "%USERPROFILE%\AppData\Local\Temp\OnboardLogs"\RTDC4017\2017-01-24 --exclude "*" --recursive --include "*20170124*" &amp; "%USERPROFILE%\Documents\GitHub\mrs-test-scripts\Headless Mode &amp; Sideloading\WalkAndUnGZ.bat" "%USERPROFILE%\AppData\Local\Temp\OnboardLogs"\RTDC4017\2017-01-24 &amp; 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</v>
      </c>
      <c r="AF92" s="84" t="str">
        <f t="shared" si="39"/>
        <v>"C:\Program Files (x86)\AstroGrep\AstroGrep.exe" /spath="%USERPROFILE%\AppData\Local\Temp\OnboardLogs" /stypes="app*4017*20170124*" /stext=" 22:.+((SYSTEM_STATE.+slice.+state.+changed )|(ment ac)|(multiple cpu faults)|(system.+state.+changed )|(\[timeout)|(PRM\|1\|D)|(kpr)|(kdp)|(\|lc)|(penalty))" /e /r /s</v>
      </c>
      <c r="AG92" s="1" t="str">
        <f t="shared" si="40"/>
        <v>EC</v>
      </c>
      <c r="AH92" s="88" t="str">
        <f t="shared" si="41"/>
        <v>"%USERPROFILE%\Documents\GitHub\eaglep3\Utilities\RefineRTDCRunTimes.py" --tripid 180-24 --locoid 4017 --swversion DE.1.0.8.0 --startMP 204:232971 --initTime 2017-01-24T14:19:33 --startdatetime 2017-01-24T14:26:58 --delay 2 --endMP 204:1173 --enddatetime 2017-01-24T15:13:30 --enforcementcount 0 &gt;&gt;C:\Users\stu\Documents\GitHub\eaglep3-reporting\EC\2017-01-24-refined-times.txt</v>
      </c>
      <c r="AI92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{"issue":{"subject":"","project_id":79,"tracker_id":40,"status_id":1,"priority_id":2,"assigned_to_id":23,"start_date":"2017-01-24","description":"","custom_fields":[{"id":1,"name":"Subdivision","value":"EC"},{"id":4,"name":"Milepost","value":"0.1173"},{"id":17,"name":"Train ID","value":"180-24"},{"id":16,"name":"Locomotive ID","value":"4017"},{"id":130,"name":"Impact","value":""},{"id":150,"name":"Time of Event (Mountain Time)","value":"15:13:30"},{"id":151,"name":"Denver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43"/>
        <v>start /low /b %USERPROFILE%\Documents\GitHub\eaglep3\Utilities\DownloadLogsFromS3.py --loco 4017 --day 2017-01-24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"%USERPROFILE%\AppData\Local\Temp\OnboardLogs"\RTDC4017\*4017*20170124* | grep -SE "(Enforcement Action)|(\[TIMEOUT)|(CHR.+\|PRM\|1\|D.+(SWITCH|SIGNAL).+UNKNOWN)" - &gt;&gt; 2017-01-24-UncaughtWiMAX.txt</v>
      </c>
    </row>
    <row r="93" spans="1:91" s="21" customFormat="1" x14ac:dyDescent="0.25">
      <c r="A93" s="34" t="s">
        <v>602</v>
      </c>
      <c r="B93" s="7">
        <v>4009</v>
      </c>
      <c r="C93" s="22" t="s">
        <v>196</v>
      </c>
      <c r="D93" s="22" t="s">
        <v>748</v>
      </c>
      <c r="E93" s="13">
        <v>42759.572870370372</v>
      </c>
      <c r="F93" s="13">
        <v>42759.574305555558</v>
      </c>
      <c r="G93" s="7">
        <v>1</v>
      </c>
      <c r="H93" s="22" t="s">
        <v>725</v>
      </c>
      <c r="I93" s="13">
        <v>42759.606354166666</v>
      </c>
      <c r="J93" s="7">
        <v>0</v>
      </c>
      <c r="K93" s="105" t="str">
        <f t="shared" si="29"/>
        <v>4009/4010</v>
      </c>
      <c r="L93" s="22" t="str">
        <f>VLOOKUP(A93,'Trips&amp;Operators'!$C$1:$G$99999,5,FALSE)</f>
        <v>CRAYTON QUNTRELL</v>
      </c>
      <c r="M93" s="6">
        <f t="shared" si="30"/>
        <v>3.2048611108621117E-2</v>
      </c>
      <c r="N93" s="7">
        <f t="shared" si="44"/>
        <v>46.149999996414408</v>
      </c>
      <c r="O93" s="7"/>
      <c r="P93" s="7"/>
      <c r="Q93" s="23"/>
      <c r="R93" s="23"/>
      <c r="S93" s="32">
        <f t="shared" si="27"/>
        <v>1</v>
      </c>
      <c r="T93" s="47" t="str">
        <f t="shared" si="31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2"/>
        <v>https://d0f6bd738d7f1b3e5a7ca70fe4ff75f0.us-east-1.aws.found.io/app/kibana#/discover/Steve-Slow-Train-Analysis-(2080s-and-2083s)?_g=(refreshInterval:(display:Off,pause:!f,section:0,value:0),time:(from:'2017-01-24T12:44:56-0700',mode:absolute,to:'2017-01-24T15:33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3" s="49" t="str">
        <f t="shared" si="33"/>
        <v>N</v>
      </c>
      <c r="X93" s="170">
        <f t="shared" si="34"/>
        <v>1</v>
      </c>
      <c r="Y93" s="64">
        <f t="shared" si="35"/>
        <v>5.7000000000000002E-2</v>
      </c>
      <c r="Z93" s="64">
        <f t="shared" si="28"/>
        <v>23.331399999999999</v>
      </c>
      <c r="AA93" s="64">
        <f t="shared" si="36"/>
        <v>23.2744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37"/>
        <v>0181-24</v>
      </c>
      <c r="AE93" s="87" t="str">
        <f t="shared" si="38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93" s="84" t="str">
        <f t="shared" si="39"/>
        <v>"C:\Program Files (x86)\AstroGrep\AstroGrep.exe" /spath="%USERPROFILE%\AppData\Local\Temp\OnboardLogs" /stypes="app*4009*20170124*" /stext=" 21:.+((SYSTEM_STATE.+slice.+state.+changed )|(ment ac)|(multiple cpu faults)|(system.+state.+changed )|(\[timeout)|(PRM\|1\|D)|(kpr)|(kdp)|(\|lc)|(penalty))" /e /r /s</v>
      </c>
      <c r="AG93" s="1" t="str">
        <f t="shared" si="40"/>
        <v>EC</v>
      </c>
      <c r="AH93" s="88" t="str">
        <f t="shared" si="41"/>
        <v>"%USERPROFILE%\Documents\GitHub\eaglep3\Utilities\RefineRTDCRunTimes.py" --tripid 181-24 --locoid 4009 --swversion DE.1.0.8.0 --startMP 204:570 --initTime 2017-01-24T13:44:56 --startdatetime 2017-01-24T13:47:00 --delay 1 --endMP 204:233314 --enddatetime 2017-01-24T14:33:09 --enforcementcount 0 &gt;&gt;C:\Users\stu\Documents\GitHub\eaglep3-reporting\EC\2017-01-24-refined-times.txt</v>
      </c>
      <c r="AI93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{"issue":{"subject":"","project_id":79,"tracker_id":40,"status_id":1,"priority_id":2,"assigned_to_id":23,"start_date":"2017-01-24","description":"","custom_fields":[{"id":1,"name":"Subdivision","value":"EC"},{"id":4,"name":"Milepost","value":"23.3314"},{"id":17,"name":"Train ID","value":"181-24"},{"id":16,"name":"Locomotive ID","value":"4009"},{"id":130,"name":"Impact","value":""},{"id":150,"name":"Time of Event (Mountain Time)","value":"14:33:09"},{"id":151,"name":"Denver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43"/>
        <v>start /low /b %USERPROFILE%\Documents\GitHub\eaglep3\Utilities\DownloadLogsFromS3.py --loco 4009 --day 2017-01-24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2017-01-24-UncaughtWiMAX.txt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610</v>
      </c>
      <c r="B94" s="7">
        <v>4010</v>
      </c>
      <c r="C94" s="22" t="s">
        <v>196</v>
      </c>
      <c r="D94" s="22" t="s">
        <v>270</v>
      </c>
      <c r="E94" s="13">
        <v>42759.608680555553</v>
      </c>
      <c r="F94" s="13">
        <v>42759.612083333333</v>
      </c>
      <c r="G94" s="7">
        <v>1</v>
      </c>
      <c r="H94" s="22" t="s">
        <v>749</v>
      </c>
      <c r="I94" s="13">
        <v>42759.642835648148</v>
      </c>
      <c r="J94" s="7">
        <v>0</v>
      </c>
      <c r="K94" s="105" t="str">
        <f t="shared" si="29"/>
        <v>4009/4010</v>
      </c>
      <c r="L94" s="22" t="str">
        <f>VLOOKUP(A94,'Trips&amp;Operators'!$C$1:$G$99999,5,FALSE)</f>
        <v>CRAYTON QUNTRELL</v>
      </c>
      <c r="M94" s="6">
        <f t="shared" si="30"/>
        <v>3.0752314814890269E-2</v>
      </c>
      <c r="N94" s="7">
        <f t="shared" si="44"/>
        <v>44.283333333441988</v>
      </c>
      <c r="O94" s="7"/>
      <c r="P94" s="7"/>
      <c r="Q94" s="23"/>
      <c r="R94" s="23"/>
      <c r="S94" s="32">
        <f t="shared" si="27"/>
        <v>1</v>
      </c>
      <c r="T94" s="47" t="str">
        <f t="shared" si="31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2"/>
        <v>https://d0f6bd738d7f1b3e5a7ca70fe4ff75f0.us-east-1.aws.found.io/app/kibana#/discover/Steve-Slow-Train-Analysis-(2080s-and-2083s)?_g=(refreshInterval:(display:Off,pause:!f,section:0,value:0),time:(from:'2017-01-24T13:36:30-0700',mode:absolute,to:'2017-01-24T16:25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49" t="str">
        <f t="shared" si="33"/>
        <v>N</v>
      </c>
      <c r="X94" s="170">
        <f t="shared" si="34"/>
        <v>1</v>
      </c>
      <c r="Y94" s="64">
        <f t="shared" si="35"/>
        <v>23.299299999999999</v>
      </c>
      <c r="Z94" s="64">
        <f t="shared" si="28"/>
        <v>0.02</v>
      </c>
      <c r="AA94" s="64">
        <f t="shared" si="36"/>
        <v>23.279299999999999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37"/>
        <v>0182-24</v>
      </c>
      <c r="AE94" s="87" t="str">
        <f t="shared" si="38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94" s="84" t="str">
        <f t="shared" si="39"/>
        <v>"C:\Program Files (x86)\AstroGrep\AstroGrep.exe" /spath="%USERPROFILE%\AppData\Local\Temp\OnboardLogs" /stypes="app*4010*20170124*" /stext=" 22:.+((SYSTEM_STATE.+slice.+state.+changed )|(ment ac)|(multiple cpu faults)|(system.+state.+changed )|(\[timeout)|(PRM\|1\|D)|(kpr)|(kdp)|(\|lc)|(penalty))" /e /r /s</v>
      </c>
      <c r="AG94" s="1" t="str">
        <f t="shared" si="40"/>
        <v>EC</v>
      </c>
      <c r="AH94" s="88" t="str">
        <f t="shared" si="41"/>
        <v>"%USERPROFILE%\Documents\GitHub\eaglep3\Utilities\RefineRTDCRunTimes.py" --tripid 182-24 --locoid 4010 --swversion DE.1.0.8.0 --startMP 204:232993 --initTime 2017-01-24T14:36:30 --startdatetime 2017-01-24T14:41:24 --delay 1 --endMP 204:200 --enddatetime 2017-01-24T15:25:41 --enforcementcount 0 &gt;&gt;C:\Users\stu\Documents\GitHub\eaglep3-reporting\EC\2017-01-24-refined-times.txt</v>
      </c>
      <c r="AI94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{"issue":{"subject":"","project_id":79,"tracker_id":40,"status_id":1,"priority_id":2,"assigned_to_id":23,"start_date":"2017-01-24","description":"","custom_fields":[{"id":1,"name":"Subdivision","value":"EC"},{"id":4,"name":"Milepost","value":"0.02"},{"id":17,"name":"Train ID","value":"182-24"},{"id":16,"name":"Locomotive ID","value":"4010"},{"id":130,"name":"Impact","value":""},{"id":150,"name":"Time of Event (Mountain Time)","value":"15:25:41"},{"id":151,"name":"Denver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43"/>
        <v>start /low /b %USERPROFILE%\Documents\GitHub\eaglep3\Utilities\DownloadLogsFromS3.py --loco 4010 --day 2017-01-24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604</v>
      </c>
      <c r="B95" s="7">
        <v>4051</v>
      </c>
      <c r="C95" s="22" t="s">
        <v>196</v>
      </c>
      <c r="D95" s="22" t="s">
        <v>335</v>
      </c>
      <c r="E95" s="13">
        <v>42759.579305555555</v>
      </c>
      <c r="F95" s="13">
        <v>42759.583483796298</v>
      </c>
      <c r="G95" s="7">
        <v>1</v>
      </c>
      <c r="H95" s="22" t="s">
        <v>416</v>
      </c>
      <c r="I95" s="13">
        <v>42759.611701388887</v>
      </c>
      <c r="J95" s="7">
        <v>0</v>
      </c>
      <c r="K95" s="105" t="str">
        <f t="shared" si="29"/>
        <v>4051/4052</v>
      </c>
      <c r="L95" s="22" t="str">
        <f>VLOOKUP(A95,'Trips&amp;Operators'!$C$1:$G$99999,5,FALSE)</f>
        <v>ROMERO CHAD</v>
      </c>
      <c r="M95" s="6">
        <f t="shared" si="30"/>
        <v>2.8217592589498963E-2</v>
      </c>
      <c r="N95" s="7">
        <f t="shared" si="44"/>
        <v>40.633333328878507</v>
      </c>
      <c r="O95" s="7"/>
      <c r="P95" s="7"/>
      <c r="Q95" s="23"/>
      <c r="R95" s="23"/>
      <c r="S95" s="32">
        <f t="shared" si="27"/>
        <v>1</v>
      </c>
      <c r="T95" s="47" t="str">
        <f t="shared" si="31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2"/>
        <v>https://d0f6bd738d7f1b3e5a7ca70fe4ff75f0.us-east-1.aws.found.io/app/kibana#/discover/Steve-Slow-Train-Analysis-(2080s-and-2083s)?_g=(refreshInterval:(display:Off,pause:!f,section:0,value:0),time:(from:'2017-01-24T12:54:12-0700',mode:absolute,to:'2017-01-24T15:40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5" s="49" t="str">
        <f t="shared" si="33"/>
        <v>N</v>
      </c>
      <c r="X95" s="170">
        <f t="shared" si="34"/>
        <v>1</v>
      </c>
      <c r="Y95" s="64">
        <f t="shared" si="35"/>
        <v>4.53E-2</v>
      </c>
      <c r="Z95" s="64">
        <f t="shared" si="28"/>
        <v>23.330100000000002</v>
      </c>
      <c r="AA95" s="64">
        <f t="shared" si="36"/>
        <v>23.284800000000001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37"/>
        <v>0183-24</v>
      </c>
      <c r="AE95" s="87" t="str">
        <f t="shared" si="38"/>
        <v>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 &amp; aws s3 cp s3://rtdc.mdm.uploadarchive.raw/RTDC4051/ "%USERPROFILE%\AppData\Local\Temp\OnboardLogs"\RTDC4051\2017-01-25 --exclude "*" --recursive --include "*20170125*" &amp; "%USERPROFILE%\Documents\GitHub\mrs-test-scripts\Headless Mode &amp; Sideloading\WalkAndUnGZ.bat" "%USERPROFILE%\AppData\Local\Temp\OnboardLogs"\RTDC4051\2017-01-25</v>
      </c>
      <c r="AF95" s="84" t="str">
        <f t="shared" si="39"/>
        <v>"C:\Program Files (x86)\AstroGrep\AstroGrep.exe" /spath="%USERPROFILE%\AppData\Local\Temp\OnboardLogs" /stypes="app*4051*20170124*" /stext=" 21:.+((SYSTEM_STATE.+slice.+state.+changed )|(ment ac)|(multiple cpu faults)|(system.+state.+changed )|(\[timeout)|(PRM\|1\|D)|(kpr)|(kdp)|(\|lc)|(penalty))" /e /r /s</v>
      </c>
      <c r="AG95" s="1" t="str">
        <f t="shared" si="40"/>
        <v>EC</v>
      </c>
      <c r="AH95" s="88" t="str">
        <f t="shared" si="41"/>
        <v>"%USERPROFILE%\Documents\GitHub\eaglep3\Utilities\RefineRTDCRunTimes.py" --tripid 183-24 --locoid 4051 --swversion DE.1.0.8.0 --startMP 204:453 --initTime 2017-01-24T13:54:12 --startdatetime 2017-01-24T14:00:13 --delay 1 --endMP 204:233301 --enddatetime 2017-01-24T14:40:51 --enforcementcount 0 &gt;&gt;C:\Users\stu\Documents\GitHub\eaglep3-reporting\EC\2017-01-24-refined-times.txt</v>
      </c>
      <c r="AI95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{"issue":{"subject":"","project_id":79,"tracker_id":40,"status_id":1,"priority_id":2,"assigned_to_id":23,"start_date":"2017-01-24","description":"","custom_fields":[{"id":1,"name":"Subdivision","value":"EC"},{"id":4,"name":"Milepost","value":"23.3301"},{"id":17,"name":"Train ID","value":"183-24"},{"id":16,"name":"Locomotive ID","value":"4051"},{"id":130,"name":"Impact","value":""},{"id":150,"name":"Time of Event (Mountain Time)","value":"14:40:51"},{"id":151,"name":"Denver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43"/>
        <v>start /low /b %USERPROFILE%\Documents\GitHub\eaglep3\Utilities\DownloadLogsFromS3.py --loco 4051 --day 2017-01-24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2017-01-24-UncaughtWiMAX.txt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612</v>
      </c>
      <c r="B96" s="7">
        <v>4052</v>
      </c>
      <c r="C96" s="22" t="s">
        <v>196</v>
      </c>
      <c r="D96" s="22" t="s">
        <v>366</v>
      </c>
      <c r="E96" s="13">
        <v>42759.612812500003</v>
      </c>
      <c r="F96" s="13">
        <v>42759.622384259259</v>
      </c>
      <c r="G96" s="7">
        <v>1</v>
      </c>
      <c r="H96" s="22" t="s">
        <v>403</v>
      </c>
      <c r="I96" s="13">
        <v>42759.651608796295</v>
      </c>
      <c r="J96" s="7">
        <v>0</v>
      </c>
      <c r="K96" s="105" t="str">
        <f t="shared" si="29"/>
        <v>4051/4052</v>
      </c>
      <c r="L96" s="22" t="str">
        <f>VLOOKUP(A96,'Trips&amp;Operators'!$C$1:$G$99999,5,FALSE)</f>
        <v>ROMERO CHAD</v>
      </c>
      <c r="M96" s="6">
        <f t="shared" si="30"/>
        <v>2.9224537036498077E-2</v>
      </c>
      <c r="N96" s="7">
        <f t="shared" si="44"/>
        <v>42.083333332557231</v>
      </c>
      <c r="O96" s="7"/>
      <c r="P96" s="7"/>
      <c r="Q96" s="23"/>
      <c r="R96" s="23"/>
      <c r="S96" s="32">
        <f t="shared" si="27"/>
        <v>1</v>
      </c>
      <c r="T96" s="47" t="str">
        <f t="shared" si="31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2"/>
        <v>https://d0f6bd738d7f1b3e5a7ca70fe4ff75f0.us-east-1.aws.found.io/app/kibana#/discover/Steve-Slow-Train-Analysis-(2080s-and-2083s)?_g=(refreshInterval:(display:Off,pause:!f,section:0,value:0),time:(from:'2017-01-24T13:42:27-0700',mode:absolute,to:'2017-01-24T16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49" t="str">
        <f t="shared" si="33"/>
        <v>N</v>
      </c>
      <c r="X96" s="170">
        <f t="shared" si="34"/>
        <v>1</v>
      </c>
      <c r="Y96" s="64">
        <f t="shared" si="35"/>
        <v>23.297999999999998</v>
      </c>
      <c r="Z96" s="64">
        <f t="shared" si="28"/>
        <v>1.3599999999999999E-2</v>
      </c>
      <c r="AA96" s="64">
        <f t="shared" si="36"/>
        <v>23.284399999999998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37"/>
        <v>0184-24</v>
      </c>
      <c r="AE96" s="87" t="str">
        <f t="shared" si="38"/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AF96" s="84" t="str">
        <f t="shared" si="39"/>
        <v>"C:\Program Files (x86)\AstroGrep\AstroGrep.exe" /spath="%USERPROFILE%\AppData\Local\Temp\OnboardLogs" /stypes="app*4052*20170124*" /stext=" 22:.+((SYSTEM_STATE.+slice.+state.+changed )|(ment ac)|(multiple cpu faults)|(system.+state.+changed )|(\[timeout)|(PRM\|1\|D)|(kpr)|(kdp)|(\|lc)|(penalty))" /e /r /s</v>
      </c>
      <c r="AG96" s="1" t="str">
        <f t="shared" si="40"/>
        <v>EC</v>
      </c>
      <c r="AH96" s="88" t="str">
        <f t="shared" si="41"/>
        <v>"%USERPROFILE%\Documents\GitHub\eaglep3\Utilities\RefineRTDCRunTimes.py" --tripid 184-24 --locoid 4052 --swversion DE.1.0.8.0 --startMP 204:232980 --initTime 2017-01-24T14:42:27 --startdatetime 2017-01-24T14:56:14 --delay 1 --endMP 204:136 --enddatetime 2017-01-24T15:38:19 --enforcementcount 0 &gt;&gt;C:\Users\stu\Documents\GitHub\eaglep3-reporting\EC\2017-01-24-refined-times.txt</v>
      </c>
      <c r="AI96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{"issue":{"subject":"","project_id":79,"tracker_id":40,"status_id":1,"priority_id":2,"assigned_to_id":23,"start_date":"2017-01-24","description":"","custom_fields":[{"id":1,"name":"Subdivision","value":"EC"},{"id":4,"name":"Milepost","value":"0.0136"},{"id":17,"name":"Train ID","value":"184-24"},{"id":16,"name":"Locomotive ID","value":"4052"},{"id":130,"name":"Impact","value":""},{"id":150,"name":"Time of Event (Mountain Time)","value":"15:38:19"},{"id":151,"name":"Denver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43"/>
        <v>start /low /b %USERPROFILE%\Documents\GitHub\eaglep3\Utilities\DownloadLogsFromS3.py --loco 4052 --day 2017-01-24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606</v>
      </c>
      <c r="B97" s="7">
        <v>4027</v>
      </c>
      <c r="C97" s="22" t="s">
        <v>196</v>
      </c>
      <c r="D97" s="22" t="s">
        <v>187</v>
      </c>
      <c r="E97" s="13">
        <v>42759.591226851851</v>
      </c>
      <c r="F97" s="13">
        <v>42759.593900462962</v>
      </c>
      <c r="G97" s="7">
        <v>1</v>
      </c>
      <c r="H97" s="22" t="s">
        <v>416</v>
      </c>
      <c r="I97" s="13">
        <v>42759.627824074072</v>
      </c>
      <c r="J97" s="7">
        <v>0</v>
      </c>
      <c r="K97" s="105" t="str">
        <f t="shared" si="29"/>
        <v>4027/4028</v>
      </c>
      <c r="L97" s="22" t="str">
        <f>VLOOKUP(A97,'Trips&amp;Operators'!$C$1:$G$99999,5,FALSE)</f>
        <v>BRANNON JEFFREY</v>
      </c>
      <c r="M97" s="6">
        <f t="shared" si="30"/>
        <v>3.3923611110367347E-2</v>
      </c>
      <c r="N97" s="7">
        <f t="shared" si="44"/>
        <v>48.849999998928979</v>
      </c>
      <c r="O97" s="7"/>
      <c r="P97" s="7"/>
      <c r="Q97" s="23"/>
      <c r="R97" s="23"/>
      <c r="S97" s="32">
        <f t="shared" si="27"/>
        <v>1</v>
      </c>
      <c r="T97" s="47" t="str">
        <f t="shared" si="31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2"/>
        <v>https://d0f6bd738d7f1b3e5a7ca70fe4ff75f0.us-east-1.aws.found.io/app/kibana#/discover/Steve-Slow-Train-Analysis-(2080s-and-2083s)?_g=(refreshInterval:(display:Off,pause:!f,section:0,value:0),time:(from:'2017-01-24T13:11:22-0700',mode:absolute,to:'2017-01-24T16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49" t="str">
        <f t="shared" si="33"/>
        <v>N</v>
      </c>
      <c r="X97" s="170">
        <f t="shared" si="34"/>
        <v>1</v>
      </c>
      <c r="Y97" s="64">
        <f t="shared" si="35"/>
        <v>4.4699999999999997E-2</v>
      </c>
      <c r="Z97" s="64">
        <f t="shared" si="28"/>
        <v>23.330100000000002</v>
      </c>
      <c r="AA97" s="64">
        <f t="shared" si="36"/>
        <v>23.285400000000003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37"/>
        <v>0185-24</v>
      </c>
      <c r="AE97" s="87" t="str">
        <f t="shared" si="38"/>
        <v>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 &amp; 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</v>
      </c>
      <c r="AF97" s="84" t="str">
        <f t="shared" si="39"/>
        <v>"C:\Program Files (x86)\AstroGrep\AstroGrep.exe" /spath="%USERPROFILE%\AppData\Local\Temp\OnboardLogs" /stypes="app*4027*20170124*" /stext=" 22:.+((SYSTEM_STATE.+slice.+state.+changed )|(ment ac)|(multiple cpu faults)|(system.+state.+changed )|(\[timeout)|(PRM\|1\|D)|(kpr)|(kdp)|(\|lc)|(penalty))" /e /r /s</v>
      </c>
      <c r="AG97" s="1" t="str">
        <f t="shared" si="40"/>
        <v>EC</v>
      </c>
      <c r="AH97" s="88" t="str">
        <f t="shared" si="41"/>
        <v>"%USERPROFILE%\Documents\GitHub\eaglep3\Utilities\RefineRTDCRunTimes.py" --tripid 185-24 --locoid 4027 --swversion DE.1.0.8.0 --startMP 204:447 --initTime 2017-01-24T14:11:22 --startdatetime 2017-01-24T14:15:13 --delay 1 --endMP 204:233301 --enddatetime 2017-01-24T15:04:04 --enforcementcount 0 &gt;&gt;C:\Users\stu\Documents\GitHub\eaglep3-reporting\EC\2017-01-24-refined-times.txt</v>
      </c>
      <c r="AI97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{"issue":{"subject":"","project_id":79,"tracker_id":40,"status_id":1,"priority_id":2,"assigned_to_id":23,"start_date":"2017-01-24","description":"","custom_fields":[{"id":1,"name":"Subdivision","value":"EC"},{"id":4,"name":"Milepost","value":"23.3301"},{"id":17,"name":"Train ID","value":"185-24"},{"id":16,"name":"Locomotive ID","value":"4027"},{"id":130,"name":"Impact","value":""},{"id":150,"name":"Time of Event (Mountain Time)","value":"15:04:04"},{"id":151,"name":"Denver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43"/>
        <v>start /low /b %USERPROFILE%\Documents\GitHub\eaglep3\Utilities\DownloadLogsFromS3.py --loco 4027 --day 2017-01-24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2017-01-24-UncaughtWiMAX.txt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615</v>
      </c>
      <c r="B98" s="7">
        <v>4028</v>
      </c>
      <c r="C98" s="22" t="s">
        <v>196</v>
      </c>
      <c r="D98" s="22" t="s">
        <v>217</v>
      </c>
      <c r="E98" s="13">
        <v>42759.630185185182</v>
      </c>
      <c r="F98" s="13">
        <v>42759.6328587963</v>
      </c>
      <c r="G98" s="7">
        <v>1</v>
      </c>
      <c r="H98" s="22" t="s">
        <v>750</v>
      </c>
      <c r="I98" s="13">
        <v>42759.662789351853</v>
      </c>
      <c r="J98" s="7">
        <v>0</v>
      </c>
      <c r="K98" s="105" t="str">
        <f t="shared" si="29"/>
        <v>4027/4028</v>
      </c>
      <c r="L98" s="22" t="str">
        <f>VLOOKUP(A98,'Trips&amp;Operators'!$C$1:$G$99999,5,FALSE)</f>
        <v>BRANNON JEFFREY</v>
      </c>
      <c r="M98" s="6">
        <f t="shared" si="30"/>
        <v>2.9930555552709848E-2</v>
      </c>
      <c r="N98" s="7">
        <f t="shared" si="44"/>
        <v>43.099999995902181</v>
      </c>
      <c r="O98" s="7"/>
      <c r="P98" s="7"/>
      <c r="Q98" s="23"/>
      <c r="R98" s="23"/>
      <c r="S98" s="32">
        <f t="shared" si="27"/>
        <v>1</v>
      </c>
      <c r="T98" s="47" t="str">
        <f t="shared" si="31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2"/>
        <v>https://d0f6bd738d7f1b3e5a7ca70fe4ff75f0.us-east-1.aws.found.io/app/kibana#/discover/Steve-Slow-Train-Analysis-(2080s-and-2083s)?_g=(refreshInterval:(display:Off,pause:!f,section:0,value:0),time:(from:'2017-01-24T14:07:28-0700',mode:absolute,to:'2017-01-24T16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8" s="49" t="str">
        <f t="shared" si="33"/>
        <v>N</v>
      </c>
      <c r="X98" s="170">
        <f t="shared" si="34"/>
        <v>1</v>
      </c>
      <c r="Y98" s="64">
        <f t="shared" si="35"/>
        <v>23.2986</v>
      </c>
      <c r="Z98" s="64">
        <f t="shared" si="28"/>
        <v>2.93E-2</v>
      </c>
      <c r="AA98" s="64">
        <f t="shared" si="36"/>
        <v>23.269300000000001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37"/>
        <v>0186-24</v>
      </c>
      <c r="AE98" s="87" t="str">
        <f t="shared" si="38"/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AF98" s="84" t="str">
        <f t="shared" si="39"/>
        <v>"C:\Program Files (x86)\AstroGrep\AstroGrep.exe" /spath="%USERPROFILE%\AppData\Local\Temp\OnboardLogs" /stypes="app*4028*20170124*" /stext=" 22:.+((SYSTEM_STATE.+slice.+state.+changed )|(ment ac)|(multiple cpu faults)|(system.+state.+changed )|(\[timeout)|(PRM\|1\|D)|(kpr)|(kdp)|(\|lc)|(penalty))" /e /r /s</v>
      </c>
      <c r="AG98" s="1" t="str">
        <f t="shared" si="40"/>
        <v>EC</v>
      </c>
      <c r="AH98" s="88" t="str">
        <f t="shared" si="41"/>
        <v>"%USERPROFILE%\Documents\GitHub\eaglep3\Utilities\RefineRTDCRunTimes.py" --tripid 186-24 --locoid 4028 --swversion DE.1.0.8.0 --startMP 204:232986 --initTime 2017-01-24T15:07:28 --startdatetime 2017-01-24T15:11:19 --delay 1 --endMP 204:293 --enddatetime 2017-01-24T15:54:25 --enforcementcount 0 &gt;&gt;C:\Users\stu\Documents\GitHub\eaglep3-reporting\EC\2017-01-24-refined-times.txt</v>
      </c>
      <c r="AI98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{"issue":{"subject":"","project_id":79,"tracker_id":40,"status_id":1,"priority_id":2,"assigned_to_id":23,"start_date":"2017-01-24","description":"","custom_fields":[{"id":1,"name":"Subdivision","value":"EC"},{"id":4,"name":"Milepost","value":"0.0293"},{"id":17,"name":"Train ID","value":"186-24"},{"id":16,"name":"Locomotive ID","value":"4028"},{"id":130,"name":"Impact","value":""},{"id":150,"name":"Time of Event (Mountain Time)","value":"15:54:25"},{"id":151,"name":"Denver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43"/>
        <v>start /low /b %USERPROFILE%\Documents\GitHub\eaglep3\Utilities\DownloadLogsFromS3.py --loco 4028 --day 2017-01-24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2017-01-24-UncaughtWiMAX.txt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609</v>
      </c>
      <c r="B99" s="7">
        <v>4038</v>
      </c>
      <c r="C99" s="22" t="s">
        <v>196</v>
      </c>
      <c r="D99" s="22" t="s">
        <v>267</v>
      </c>
      <c r="E99" s="13">
        <v>42759.603379629632</v>
      </c>
      <c r="F99" s="13">
        <v>42759.604687500003</v>
      </c>
      <c r="G99" s="7">
        <v>1</v>
      </c>
      <c r="H99" s="22" t="s">
        <v>751</v>
      </c>
      <c r="I99" s="13">
        <v>42759.637233796297</v>
      </c>
      <c r="J99" s="7">
        <v>0</v>
      </c>
      <c r="K99" s="105" t="str">
        <f t="shared" si="29"/>
        <v>4037/4038</v>
      </c>
      <c r="L99" s="22" t="str">
        <f>VLOOKUP(A99,'Trips&amp;Operators'!$C$1:$G$99999,5,FALSE)</f>
        <v>HAITHCOX MICHAEL</v>
      </c>
      <c r="M99" s="6">
        <f t="shared" si="30"/>
        <v>3.2546296293730848E-2</v>
      </c>
      <c r="N99" s="7">
        <f t="shared" si="44"/>
        <v>46.86666666297242</v>
      </c>
      <c r="O99" s="7"/>
      <c r="P99" s="7"/>
      <c r="Q99" s="23"/>
      <c r="R99" s="23"/>
      <c r="S99" s="32">
        <f t="shared" si="27"/>
        <v>1</v>
      </c>
      <c r="T99" s="47" t="str">
        <f t="shared" si="31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2"/>
        <v>https://d0f6bd738d7f1b3e5a7ca70fe4ff75f0.us-east-1.aws.found.io/app/kibana#/discover/Steve-Slow-Train-Analysis-(2080s-and-2083s)?_g=(refreshInterval:(display:Off,pause:!f,section:0,value:0),time:(from:'2017-01-24T13:28:52-0700',mode:absolute,to:'2017-01-24T16:17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9" s="49" t="str">
        <f t="shared" si="33"/>
        <v>N</v>
      </c>
      <c r="X99" s="170">
        <f t="shared" si="34"/>
        <v>1</v>
      </c>
      <c r="Y99" s="64">
        <f t="shared" si="35"/>
        <v>4.5999999999999999E-2</v>
      </c>
      <c r="Z99" s="64">
        <f t="shared" si="28"/>
        <v>23.336099999999998</v>
      </c>
      <c r="AA99" s="64">
        <f t="shared" si="36"/>
        <v>23.290099999999999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37"/>
        <v>0187-24</v>
      </c>
      <c r="AE99" s="87" t="str">
        <f t="shared" si="38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99" s="84" t="str">
        <f t="shared" si="39"/>
        <v>"C:\Program Files (x86)\AstroGrep\AstroGrep.exe" /spath="%USERPROFILE%\AppData\Local\Temp\OnboardLogs" /stypes="app*4038*20170124*" /stext=" 22:.+((SYSTEM_STATE.+slice.+state.+changed )|(ment ac)|(multiple cpu faults)|(system.+state.+changed )|(\[timeout)|(PRM\|1\|D)|(kpr)|(kdp)|(\|lc)|(penalty))" /e /r /s</v>
      </c>
      <c r="AG99" s="1" t="str">
        <f t="shared" si="40"/>
        <v>EC</v>
      </c>
      <c r="AH99" s="88" t="str">
        <f t="shared" si="41"/>
        <v>"%USERPROFILE%\Documents\GitHub\eaglep3\Utilities\RefineRTDCRunTimes.py" --tripid 187-24 --locoid 4038 --swversion DE.1.0.8.0 --startMP 204:460 --initTime 2017-01-24T14:28:52 --startdatetime 2017-01-24T14:30:45 --delay 1 --endMP 204:233361 --enddatetime 2017-01-24T15:17:37 --enforcementcount 0 &gt;&gt;C:\Users\stu\Documents\GitHub\eaglep3-reporting\EC\2017-01-24-refined-times.txt</v>
      </c>
      <c r="AI99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{"issue":{"subject":"","project_id":79,"tracker_id":40,"status_id":1,"priority_id":2,"assigned_to_id":23,"start_date":"2017-01-24","description":"","custom_fields":[{"id":1,"name":"Subdivision","value":"EC"},{"id":4,"name":"Milepost","value":"23.3361"},{"id":17,"name":"Train ID","value":"187-24"},{"id":16,"name":"Locomotive ID","value":"4038"},{"id":130,"name":"Impact","value":""},{"id":150,"name":"Time of Event (Mountain Time)","value":"15:17:37"},{"id":151,"name":"Denver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43"/>
        <v>start /low /b %USERPROFILE%\Documents\GitHub\eaglep3\Utilities\DownloadLogsFromS3.py --loco 4038 --day 2017-01-24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"%USERPROFILE%\AppData\Local\Temp\OnboardLogs"\RTDC4038\*4038*20170124* | grep -SE "(Enforcement Action)|(\[TIMEOUT)|(CHR.+\|PRM\|1\|D.+(SWITCH|SIGNAL).+UNKNOWN)" - &gt;&gt; 2017-01-24-UncaughtWiMAX.txt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477</v>
      </c>
      <c r="B100" s="7">
        <v>4037</v>
      </c>
      <c r="C100" s="22" t="s">
        <v>196</v>
      </c>
      <c r="D100" s="22" t="s">
        <v>752</v>
      </c>
      <c r="E100" s="13">
        <v>42759.6483912037</v>
      </c>
      <c r="F100" s="13">
        <v>42759.643321759257</v>
      </c>
      <c r="G100" s="7">
        <v>2</v>
      </c>
      <c r="H100" s="22" t="s">
        <v>753</v>
      </c>
      <c r="I100" s="13">
        <v>42759.682997685188</v>
      </c>
      <c r="J100" s="7">
        <v>0</v>
      </c>
      <c r="K100" s="105" t="str">
        <f t="shared" si="29"/>
        <v>4037/4038</v>
      </c>
      <c r="L100" s="22" t="str">
        <f>VLOOKUP(A100,'Trips&amp;Operators'!$C$1:$G$99999,5,FALSE)</f>
        <v>HAITHCOX MICHAEL</v>
      </c>
      <c r="M100" s="6">
        <f t="shared" si="30"/>
        <v>3.9675925931078382E-2</v>
      </c>
      <c r="N100" s="7">
        <f t="shared" si="44"/>
        <v>57.13333334075287</v>
      </c>
      <c r="O100" s="7"/>
      <c r="P100" s="7"/>
      <c r="Q100" s="23"/>
      <c r="R100" s="23" t="s">
        <v>895</v>
      </c>
      <c r="S100" s="32">
        <f t="shared" si="27"/>
        <v>1</v>
      </c>
      <c r="T100" s="47" t="str">
        <f t="shared" si="31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2"/>
        <v>https://d0f6bd738d7f1b3e5a7ca70fe4ff75f0.us-east-1.aws.found.io/app/kibana#/discover/Steve-Slow-Train-Analysis-(2080s-and-2083s)?_g=(refreshInterval:(display:Off,pause:!f,section:0,value:0),time:(from:'2017-01-24T14:33:41-0700',mode:absolute,to:'2017-01-24T17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00" s="49" t="str">
        <f t="shared" si="33"/>
        <v>N</v>
      </c>
      <c r="X100" s="170">
        <f t="shared" ref="X100:X104" si="45">VALUE(LEFT(AD100,4))-VALUE(LEFT(AD99,4))</f>
        <v>1</v>
      </c>
      <c r="Y100" s="64">
        <f t="shared" si="35"/>
        <v>23.1982</v>
      </c>
      <c r="Z100" s="64">
        <f t="shared" si="28"/>
        <v>1.2500000000000001E-2</v>
      </c>
      <c r="AA100" s="64">
        <f t="shared" si="36"/>
        <v>23.185700000000001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37"/>
        <v>0188-24</v>
      </c>
      <c r="AE100" s="87" t="str">
        <f t="shared" si="38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100" s="84" t="str">
        <f t="shared" si="39"/>
        <v>"C:\Program Files (x86)\AstroGrep\AstroGrep.exe" /spath="%USERPROFILE%\AppData\Local\Temp\OnboardLogs" /stypes="app*4037*20170124*" /stext=" 23:.+((SYSTEM_STATE.+slice.+state.+changed )|(ment ac)|(multiple cpu faults)|(system.+state.+changed )|(\[timeout)|(PRM\|1\|D)|(kpr)|(kdp)|(\|lc)|(penalty))" /e /r /s</v>
      </c>
      <c r="AG100" s="1" t="str">
        <f t="shared" si="40"/>
        <v>EC</v>
      </c>
      <c r="AH100" s="88" t="str">
        <f t="shared" si="41"/>
        <v>"%USERPROFILE%\Documents\GitHub\eaglep3\Utilities\RefineRTDCRunTimes.py" --tripid 188-24 --locoid 4037 --swversion DE.1.0.8.0 --startMP 204:231982 --initTime 2017-01-24T15:33:41 --startdatetime 2017-01-24T15:26:23 --delay 2 --endMP 204:125 --enddatetime 2017-01-24T16:23:31 --enforcementcount 0 &gt;&gt;C:\Users\stu\Documents\GitHub\eaglep3-reporting\EC\2017-01-24-refined-times.txt</v>
      </c>
      <c r="AI100" s="115" t="str">
        <f t="shared" si="42"/>
        <v>echo {"issue":{"subject":"Departure delayed by Onboard in-route failure","project_id":79,"tracker_id":40,"status_id":1,"priority_id":2,"assigned_to_id":23,"start_date":"2017-01-24","description":"","custom_fields":[{"id":1,"name":"Subdivision","value":"EC"},{"id":4,"name":"Milepost","value":"0.0125"},{"id":17,"name":"Train ID","value":"188-24"},{"id":16,"name":"Locomotive ID","value":"4037"},{"id":130,"name":"Impact","value":""},{"id":150,"name":"Time of Event (Mountain Time)","value":"16:23:31"},{"id":151,"name":"Denver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43"/>
        <v>start /low /b %USERPROFILE%\Documents\GitHub\eaglep3\Utilities\DownloadLogsFromS3.py --loco 4037 --day 2017-01-24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"%USERPROFILE%\AppData\Local\Temp\OnboardLogs"\RTDC4037\*4037*20170124* | grep -SE "(Enforcement Action)|(\[TIMEOUT)|(CHR.+\|PRM\|1\|D.+(SWITCH|SIGNAL).+UNKNOWN)" - &gt;&gt; 2017-01-24-UncaughtWiMAX.txt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613</v>
      </c>
      <c r="B101" s="7">
        <v>4007</v>
      </c>
      <c r="C101" s="22" t="s">
        <v>196</v>
      </c>
      <c r="D101" s="22" t="s">
        <v>754</v>
      </c>
      <c r="E101" s="13">
        <v>42759.614120370374</v>
      </c>
      <c r="F101" s="13">
        <v>42759.615671296298</v>
      </c>
      <c r="G101" s="7">
        <v>1</v>
      </c>
      <c r="H101" s="22" t="s">
        <v>375</v>
      </c>
      <c r="I101" s="13">
        <v>42759.648715277777</v>
      </c>
      <c r="J101" s="7">
        <v>0</v>
      </c>
      <c r="K101" s="105" t="str">
        <f t="shared" si="29"/>
        <v>4007/4008</v>
      </c>
      <c r="L101" s="22" t="str">
        <f>VLOOKUP(A101,'Trips&amp;Operators'!$C$1:$G$99999,5,FALSE)</f>
        <v>SWANSON BRYCE</v>
      </c>
      <c r="M101" s="6">
        <f t="shared" si="30"/>
        <v>3.3043981478840578E-2</v>
      </c>
      <c r="N101" s="7">
        <f t="shared" si="44"/>
        <v>47.583333329530433</v>
      </c>
      <c r="O101" s="7"/>
      <c r="P101" s="7"/>
      <c r="Q101" s="23"/>
      <c r="R101" s="23"/>
      <c r="S101" s="32">
        <f t="shared" si="27"/>
        <v>1</v>
      </c>
      <c r="T101" s="47" t="str">
        <f t="shared" si="31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2"/>
        <v>https://d0f6bd738d7f1b3e5a7ca70fe4ff75f0.us-east-1.aws.found.io/app/kibana#/discover/Steve-Slow-Train-Analysis-(2080s-and-2083s)?_g=(refreshInterval:(display:Off,pause:!f,section:0,value:0),time:(from:'2017-01-24T13:44:20-0700',mode:absolute,to:'2017-01-24T16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49" t="str">
        <f t="shared" si="33"/>
        <v>N</v>
      </c>
      <c r="X101" s="170">
        <f t="shared" si="45"/>
        <v>1</v>
      </c>
      <c r="Y101" s="64">
        <f t="shared" si="35"/>
        <v>4.3299999999999998E-2</v>
      </c>
      <c r="Z101" s="64">
        <f t="shared" si="28"/>
        <v>23.3278</v>
      </c>
      <c r="AA101" s="64">
        <f t="shared" si="36"/>
        <v>23.284500000000001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37"/>
        <v>0189-24</v>
      </c>
      <c r="AE101" s="87" t="str">
        <f t="shared" si="38"/>
        <v>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 &amp; aws s3 cp s3://rtdc.mdm.uploadarchive.raw/RTDC4007/ "%USERPROFILE%\AppData\Local\Temp\OnboardLogs"\RTDC4007\2017-01-25 --exclude "*" --recursive --include "*20170125*" &amp; "%USERPROFILE%\Documents\GitHub\mrs-test-scripts\Headless Mode &amp; Sideloading\WalkAndUnGZ.bat" "%USERPROFILE%\AppData\Local\Temp\OnboardLogs"\RTDC4007\2017-01-25</v>
      </c>
      <c r="AF101" s="84" t="str">
        <f t="shared" si="39"/>
        <v>"C:\Program Files (x86)\AstroGrep\AstroGrep.exe" /spath="%USERPROFILE%\AppData\Local\Temp\OnboardLogs" /stypes="app*4007*20170124*" /stext=" 22:.+((SYSTEM_STATE.+slice.+state.+changed )|(ment ac)|(multiple cpu faults)|(system.+state.+changed )|(\[timeout)|(PRM\|1\|D)|(kpr)|(kdp)|(\|lc)|(penalty))" /e /r /s</v>
      </c>
      <c r="AG101" s="1" t="str">
        <f t="shared" si="40"/>
        <v>EC</v>
      </c>
      <c r="AH101" s="88" t="str">
        <f t="shared" si="41"/>
        <v>"%USERPROFILE%\Documents\GitHub\eaglep3\Utilities\RefineRTDCRunTimes.py" --tripid 189-24 --locoid 4007 --swversion DE.1.0.8.0 --startMP 204:433 --initTime 2017-01-24T14:44:20 --startdatetime 2017-01-24T14:46:34 --delay 1 --endMP 204:233278 --enddatetime 2017-01-24T15:34:09 --enforcementcount 0 &gt;&gt;C:\Users\stu\Documents\GitHub\eaglep3-reporting\EC\2017-01-24-refined-times.txt</v>
      </c>
      <c r="AI101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{"issue":{"subject":"","project_id":79,"tracker_id":40,"status_id":1,"priority_id":2,"assigned_to_id":23,"start_date":"2017-01-24","description":"","custom_fields":[{"id":1,"name":"Subdivision","value":"EC"},{"id":4,"name":"Milepost","value":"23.3278"},{"id":17,"name":"Train ID","value":"189-24"},{"id":16,"name":"Locomotive ID","value":"4007"},{"id":130,"name":"Impact","value":""},{"id":150,"name":"Time of Event (Mountain Time)","value":"15:34:09"},{"id":151,"name":"Denver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43"/>
        <v>start /low /b %USERPROFILE%\Documents\GitHub\eaglep3\Utilities\DownloadLogsFromS3.py --loco 4007 --day 2017-01-24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"%USERPROFILE%\AppData\Local\Temp\OnboardLogs"\RTDC4007\*4007*20170124* | grep -SE "(Enforcement Action)|(\[TIMEOUT)|(CHR.+\|PRM\|1\|D.+(SWITCH|SIGNAL).+UNKNOWN)" - &gt;&gt; 2017-01-24-UncaughtWiMAX.txt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4" t="s">
        <v>620</v>
      </c>
      <c r="B102" s="7">
        <v>4008</v>
      </c>
      <c r="C102" s="22" t="s">
        <v>196</v>
      </c>
      <c r="D102" s="22" t="s">
        <v>755</v>
      </c>
      <c r="E102" s="13">
        <v>42759.652546296296</v>
      </c>
      <c r="F102" s="13">
        <v>42759.654027777775</v>
      </c>
      <c r="G102" s="7">
        <v>1</v>
      </c>
      <c r="H102" s="22" t="s">
        <v>737</v>
      </c>
      <c r="I102" s="13">
        <v>42759.687141203707</v>
      </c>
      <c r="J102" s="7">
        <v>0</v>
      </c>
      <c r="K102" s="105" t="str">
        <f t="shared" si="29"/>
        <v>4007/4008</v>
      </c>
      <c r="L102" s="22" t="str">
        <f>VLOOKUP(A102,'Trips&amp;Operators'!$C$1:$G$99999,5,FALSE)</f>
        <v>SWANSON BRYCE</v>
      </c>
      <c r="M102" s="6">
        <f t="shared" si="30"/>
        <v>3.3113425932242535E-2</v>
      </c>
      <c r="N102" s="7">
        <f t="shared" si="44"/>
        <v>47.68333334242925</v>
      </c>
      <c r="O102" s="7"/>
      <c r="P102" s="7"/>
      <c r="Q102" s="23"/>
      <c r="R102" s="23"/>
      <c r="S102" s="32">
        <f t="shared" si="27"/>
        <v>1</v>
      </c>
      <c r="T102" s="47" t="str">
        <f t="shared" si="31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2"/>
        <v>https://d0f6bd738d7f1b3e5a7ca70fe4ff75f0.us-east-1.aws.found.io/app/kibana#/discover/Steve-Slow-Train-Analysis-(2080s-and-2083s)?_g=(refreshInterval:(display:Off,pause:!f,section:0,value:0),time:(from:'2017-01-24T14:39:40-0700',mode:absolute,to:'2017-01-24T17:29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2" s="49" t="str">
        <f t="shared" si="33"/>
        <v>N</v>
      </c>
      <c r="X102" s="170">
        <f t="shared" si="45"/>
        <v>1</v>
      </c>
      <c r="Y102" s="64">
        <f t="shared" si="35"/>
        <v>23.295000000000002</v>
      </c>
      <c r="Z102" s="64">
        <f t="shared" si="28"/>
        <v>0.1173</v>
      </c>
      <c r="AA102" s="64">
        <f t="shared" si="36"/>
        <v>23.177700000000002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37"/>
        <v>0190-24</v>
      </c>
      <c r="AE102" s="87" t="str">
        <f t="shared" si="38"/>
        <v>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 &amp; aws s3 cp s3://rtdc.mdm.uploadarchive.raw/RTDC4008/ "%USERPROFILE%\AppData\Local\Temp\OnboardLogs"\RTDC4008\2017-01-25 --exclude "*" --recursive --include "*20170125*" &amp; "%USERPROFILE%\Documents\GitHub\mrs-test-scripts\Headless Mode &amp; Sideloading\WalkAndUnGZ.bat" "%USERPROFILE%\AppData\Local\Temp\OnboardLogs"\RTDC4008\2017-01-25</v>
      </c>
      <c r="AF102" s="84" t="str">
        <f t="shared" si="39"/>
        <v>"C:\Program Files (x86)\AstroGrep\AstroGrep.exe" /spath="%USERPROFILE%\AppData\Local\Temp\OnboardLogs" /stypes="app*4008*20170124*" /stext=" 23:.+((SYSTEM_STATE.+slice.+state.+changed )|(ment ac)|(multiple cpu faults)|(system.+state.+changed )|(\[timeout)|(PRM\|1\|D)|(kpr)|(kdp)|(\|lc)|(penalty))" /e /r /s</v>
      </c>
      <c r="AG102" s="1" t="str">
        <f t="shared" si="40"/>
        <v>EC</v>
      </c>
      <c r="AH102" s="88" t="str">
        <f t="shared" si="41"/>
        <v>"%USERPROFILE%\Documents\GitHub\eaglep3\Utilities\RefineRTDCRunTimes.py" --tripid 190-24 --locoid 4008 --swversion DE.1.0.8.0 --startMP 204:232950 --initTime 2017-01-24T15:39:40 --startdatetime 2017-01-24T15:41:48 --delay 1 --endMP 204:1173 --enddatetime 2017-01-24T16:29:29 --enforcementcount 0 &gt;&gt;C:\Users\stu\Documents\GitHub\eaglep3-reporting\EC\2017-01-24-refined-times.txt</v>
      </c>
      <c r="AI102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{"issue":{"subject":"","project_id":79,"tracker_id":40,"status_id":1,"priority_id":2,"assigned_to_id":23,"start_date":"2017-01-24","description":"","custom_fields":[{"id":1,"name":"Subdivision","value":"EC"},{"id":4,"name":"Milepost","value":"0.1173"},{"id":17,"name":"Train ID","value":"190-24"},{"id":16,"name":"Locomotive ID","value":"4008"},{"id":130,"name":"Impact","value":""},{"id":150,"name":"Time of Event (Mountain Time)","value":"16:29:29"},{"id":151,"name":"Denver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43"/>
        <v>start /low /b %USERPROFILE%\Documents\GitHub\eaglep3\Utilities\DownloadLogsFromS3.py --loco 4008 --day 2017-01-24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"%USERPROFILE%\AppData\Local\Temp\OnboardLogs"\RTDC4008\*4008*20170124* | grep -SE "(Enforcement Action)|(\[TIMEOUT)|(CHR.+\|PRM\|1\|D.+(SWITCH|SIGNAL).+UNKNOWN)" - &gt;&gt; 2017-01-24-UncaughtWiMAX.txt</v>
      </c>
    </row>
    <row r="103" spans="1:91" s="21" customFormat="1" x14ac:dyDescent="0.25">
      <c r="A103" s="34" t="s">
        <v>614</v>
      </c>
      <c r="B103" s="7">
        <v>4003</v>
      </c>
      <c r="C103" s="22" t="s">
        <v>196</v>
      </c>
      <c r="D103" s="22" t="s">
        <v>343</v>
      </c>
      <c r="E103" s="13">
        <v>42759.624525462961</v>
      </c>
      <c r="F103" s="13">
        <v>42759.626030092593</v>
      </c>
      <c r="G103" s="7">
        <v>1</v>
      </c>
      <c r="H103" s="22" t="s">
        <v>239</v>
      </c>
      <c r="I103" s="13">
        <v>42759.658831018518</v>
      </c>
      <c r="J103" s="7">
        <v>0</v>
      </c>
      <c r="K103" s="105" t="str">
        <f t="shared" si="29"/>
        <v>4003/4004</v>
      </c>
      <c r="L103" s="22" t="str">
        <f>VLOOKUP(A103,'Trips&amp;Operators'!$C$1:$G$99999,5,FALSE)</f>
        <v>LEVERE CRAIG</v>
      </c>
      <c r="M103" s="6">
        <f t="shared" si="30"/>
        <v>3.2800925924675539E-2</v>
      </c>
      <c r="N103" s="7">
        <f t="shared" si="44"/>
        <v>47.233333331532776</v>
      </c>
      <c r="O103" s="7"/>
      <c r="P103" s="7"/>
      <c r="Q103" s="23"/>
      <c r="R103" s="23"/>
      <c r="S103" s="32">
        <f t="shared" si="27"/>
        <v>1</v>
      </c>
      <c r="T103" s="47" t="str">
        <f t="shared" si="31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2"/>
        <v>https://d0f6bd738d7f1b3e5a7ca70fe4ff75f0.us-east-1.aws.found.io/app/kibana#/discover/Steve-Slow-Train-Analysis-(2080s-and-2083s)?_g=(refreshInterval:(display:Off,pause:!f,section:0,value:0),time:(from:'2017-01-24T13:59:19-0700',mode:absolute,to:'2017-01-24T16:48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3" s="49" t="str">
        <f t="shared" si="33"/>
        <v>N</v>
      </c>
      <c r="X103" s="170">
        <f t="shared" si="45"/>
        <v>1</v>
      </c>
      <c r="Y103" s="64">
        <f t="shared" si="35"/>
        <v>4.7100000000000003E-2</v>
      </c>
      <c r="Z103" s="64">
        <f t="shared" si="28"/>
        <v>23.329699999999999</v>
      </c>
      <c r="AA103" s="64">
        <f t="shared" si="36"/>
        <v>23.282599999999999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37"/>
        <v>0191-24</v>
      </c>
      <c r="AE103" s="87" t="str">
        <f t="shared" si="38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103" s="84" t="str">
        <f t="shared" si="39"/>
        <v>"C:\Program Files (x86)\AstroGrep\AstroGrep.exe" /spath="%USERPROFILE%\AppData\Local\Temp\OnboardLogs" /stypes="app*4003*20170124*" /stext=" 22:.+((SYSTEM_STATE.+slice.+state.+changed )|(ment ac)|(multiple cpu faults)|(system.+state.+changed )|(\[timeout)|(PRM\|1\|D)|(kpr)|(kdp)|(\|lc)|(penalty))" /e /r /s</v>
      </c>
      <c r="AG103" s="1" t="str">
        <f t="shared" si="40"/>
        <v>EC</v>
      </c>
      <c r="AH103" s="88" t="str">
        <f t="shared" si="41"/>
        <v>"%USERPROFILE%\Documents\GitHub\eaglep3\Utilities\RefineRTDCRunTimes.py" --tripid 191-24 --locoid 4003 --swversion DE.1.0.8.0 --startMP 204:471 --initTime 2017-01-24T14:59:19 --startdatetime 2017-01-24T15:01:29 --delay 1 --endMP 204:233297 --enddatetime 2017-01-24T15:48:43 --enforcementcount 0 &gt;&gt;C:\Users\stu\Documents\GitHub\eaglep3-reporting\EC\2017-01-24-refined-times.txt</v>
      </c>
      <c r="AI103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{"issue":{"subject":"","project_id":79,"tracker_id":40,"status_id":1,"priority_id":2,"assigned_to_id":23,"start_date":"2017-01-24","description":"","custom_fields":[{"id":1,"name":"Subdivision","value":"EC"},{"id":4,"name":"Milepost","value":"23.3297"},{"id":17,"name":"Train ID","value":"191-24"},{"id":16,"name":"Locomotive ID","value":"4003"},{"id":130,"name":"Impact","value":""},{"id":150,"name":"Time of Event (Mountain Time)","value":"15:48:43"},{"id":151,"name":"Denver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43"/>
        <v>start /low /b %USERPROFILE%\Documents\GitHub\eaglep3\Utilities\DownloadLogsFromS3.py --loco 4003 --day 2017-01-24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2017-01-24-UncaughtWiMAX.txt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622</v>
      </c>
      <c r="B104" s="7">
        <v>4004</v>
      </c>
      <c r="C104" s="22" t="s">
        <v>196</v>
      </c>
      <c r="D104" s="22" t="s">
        <v>417</v>
      </c>
      <c r="E104" s="13">
        <v>42759.661851851852</v>
      </c>
      <c r="F104" s="13">
        <v>42759.664803240739</v>
      </c>
      <c r="G104" s="7">
        <v>1</v>
      </c>
      <c r="H104" s="22" t="s">
        <v>378</v>
      </c>
      <c r="I104" s="13">
        <v>42759.694340277776</v>
      </c>
      <c r="J104" s="7">
        <v>0</v>
      </c>
      <c r="K104" s="105" t="str">
        <f t="shared" si="29"/>
        <v>4003/4004</v>
      </c>
      <c r="L104" s="22" t="str">
        <f>VLOOKUP(A104,'Trips&amp;Operators'!$C$1:$G$99999,5,FALSE)</f>
        <v>LEVERE CRAIG</v>
      </c>
      <c r="M104" s="6">
        <f t="shared" si="30"/>
        <v>2.9537037036789116E-2</v>
      </c>
      <c r="N104" s="7">
        <f t="shared" si="44"/>
        <v>42.533333332976326</v>
      </c>
      <c r="O104" s="7"/>
      <c r="P104" s="7"/>
      <c r="Q104" s="23"/>
      <c r="R104" s="23"/>
      <c r="S104" s="32">
        <f t="shared" si="27"/>
        <v>1</v>
      </c>
      <c r="T104" s="47" t="str">
        <f t="shared" si="31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2"/>
        <v>https://d0f6bd738d7f1b3e5a7ca70fe4ff75f0.us-east-1.aws.found.io/app/kibana#/discover/Steve-Slow-Train-Analysis-(2080s-and-2083s)?_g=(refreshInterval:(display:Off,pause:!f,section:0,value:0),time:(from:'2017-01-24T14:53:04-0700',mode:absolute,to:'2017-01-24T17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4" s="49" t="str">
        <f t="shared" si="33"/>
        <v>N</v>
      </c>
      <c r="X104" s="170">
        <f t="shared" si="45"/>
        <v>1</v>
      </c>
      <c r="Y104" s="64">
        <f t="shared" si="35"/>
        <v>23.296900000000001</v>
      </c>
      <c r="Z104" s="64">
        <f t="shared" si="28"/>
        <v>1.7000000000000001E-2</v>
      </c>
      <c r="AA104" s="64">
        <f t="shared" si="36"/>
        <v>23.279900000000001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37"/>
        <v>0192-24</v>
      </c>
      <c r="AE104" s="87" t="str">
        <f t="shared" si="38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104" s="84" t="str">
        <f t="shared" si="39"/>
        <v>"C:\Program Files (x86)\AstroGrep\AstroGrep.exe" /spath="%USERPROFILE%\AppData\Local\Temp\OnboardLogs" /stypes="app*4004*20170124*" /stext=" 23:.+((SYSTEM_STATE.+slice.+state.+changed )|(ment ac)|(multiple cpu faults)|(system.+state.+changed )|(\[timeout)|(PRM\|1\|D)|(kpr)|(kdp)|(\|lc)|(penalty))" /e /r /s</v>
      </c>
      <c r="AG104" s="1" t="str">
        <f t="shared" si="40"/>
        <v>EC</v>
      </c>
      <c r="AH104" s="88" t="str">
        <f t="shared" si="41"/>
        <v>"%USERPROFILE%\Documents\GitHub\eaglep3\Utilities\RefineRTDCRunTimes.py" --tripid 192-24 --locoid 4004 --swversion DE.1.0.8.0 --startMP 204:232969 --initTime 2017-01-24T15:53:04 --startdatetime 2017-01-24T15:57:19 --delay 1 --endMP 204:170 --enddatetime 2017-01-24T16:39:51 --enforcementcount 0 &gt;&gt;C:\Users\stu\Documents\GitHub\eaglep3-reporting\EC\2017-01-24-refined-times.txt</v>
      </c>
      <c r="AI104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{"issue":{"subject":"","project_id":79,"tracker_id":40,"status_id":1,"priority_id":2,"assigned_to_id":23,"start_date":"2017-01-24","description":"","custom_fields":[{"id":1,"name":"Subdivision","value":"EC"},{"id":4,"name":"Milepost","value":"0.017"},{"id":17,"name":"Train ID","value":"192-24"},{"id":16,"name":"Locomotive ID","value":"4004"},{"id":130,"name":"Impact","value":""},{"id":150,"name":"Time of Event (Mountain Time)","value":"16:39:51"},{"id":151,"name":"Denver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43"/>
        <v>start /low /b %USERPROFILE%\Documents\GitHub\eaglep3\Utilities\DownloadLogsFromS3.py --loco 4004 --day 2017-01-24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"%USERPROFILE%\AppData\Local\Temp\OnboardLogs"\RTDC4004\*4004*20170124* | grep -SE "(Enforcement Action)|(\[TIMEOUT)|(CHR.+\|PRM\|1\|D.+(SWITCH|SIGNAL).+UNKNOWN)" - &gt;&gt; 2017-01-24-UncaughtWiMAX.txt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474</v>
      </c>
      <c r="B105" s="7">
        <v>4040</v>
      </c>
      <c r="C105" s="22" t="s">
        <v>196</v>
      </c>
      <c r="D105" s="22" t="s">
        <v>756</v>
      </c>
      <c r="E105" s="13">
        <v>42759.629710648151</v>
      </c>
      <c r="F105" s="13">
        <v>42759.635706018518</v>
      </c>
      <c r="G105" s="7">
        <v>1</v>
      </c>
      <c r="H105" s="22" t="s">
        <v>406</v>
      </c>
      <c r="I105" s="13">
        <v>42759.667430555557</v>
      </c>
      <c r="J105" s="7">
        <v>0</v>
      </c>
      <c r="K105" s="105" t="str">
        <f t="shared" si="29"/>
        <v>4039/4040</v>
      </c>
      <c r="L105" s="22" t="str">
        <f>VLOOKUP(A105,'Trips&amp;Operators'!$C$1:$G$99999,5,FALSE)</f>
        <v>HOLCOMB KAMDEN</v>
      </c>
      <c r="M105" s="6">
        <f t="shared" si="30"/>
        <v>3.1724537038826384E-2</v>
      </c>
      <c r="N105" s="7">
        <f t="shared" si="44"/>
        <v>45.683333335909992</v>
      </c>
      <c r="O105" s="7"/>
      <c r="P105" s="7"/>
      <c r="Q105" s="23"/>
      <c r="R105" s="23"/>
      <c r="S105" s="32">
        <f t="shared" si="27"/>
        <v>1</v>
      </c>
      <c r="T105" s="47" t="str">
        <f t="shared" si="31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2"/>
        <v>https://d0f6bd738d7f1b3e5a7ca70fe4ff75f0.us-east-1.aws.found.io/app/kibana#/discover/Steve-Slow-Train-Analysis-(2080s-and-2083s)?_g=(refreshInterval:(display:Off,pause:!f,section:0,value:0),time:(from:'2017-01-24T14:06:47-0700',mode:absolute,to:'2017-01-24T17:01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49" t="str">
        <f t="shared" si="33"/>
        <v>N</v>
      </c>
      <c r="X105" s="170">
        <f t="shared" ref="X105:X116" si="46">VALUE(LEFT(AD105,4))-VALUE(LEFT(AD104,4))</f>
        <v>1</v>
      </c>
      <c r="Y105" s="64">
        <f t="shared" si="35"/>
        <v>3.0300000000000001E-2</v>
      </c>
      <c r="Z105" s="64">
        <f t="shared" si="28"/>
        <v>23.334199999999999</v>
      </c>
      <c r="AA105" s="64">
        <f t="shared" si="36"/>
        <v>23.303899999999999</v>
      </c>
      <c r="AB105" s="61" t="str">
        <f>VLOOKUP(A105,Enforcements!$C$7:$K$16,8,0)</f>
        <v>Bulletin (2)</v>
      </c>
      <c r="AC105" s="57" t="str">
        <f>VLOOKUP(A105,Enforcements!$C$7:$E$16,3,0)</f>
        <v>GRADE CROSSING</v>
      </c>
      <c r="AD105" s="58" t="str">
        <f t="shared" si="37"/>
        <v>0193-24</v>
      </c>
      <c r="AE105" s="87" t="str">
        <f t="shared" si="38"/>
        <v>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 &amp; 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</v>
      </c>
      <c r="AF105" s="84" t="str">
        <f t="shared" si="39"/>
        <v>"C:\Program Files (x86)\AstroGrep\AstroGrep.exe" /spath="%USERPROFILE%\AppData\Local\Temp\OnboardLogs" /stypes="app*4040*20170124*" /stext=" 23:.+((SYSTEM_STATE.+slice.+state.+changed )|(ment ac)|(multiple cpu faults)|(system.+state.+changed )|(\[timeout)|(PRM\|1\|D)|(kpr)|(kdp)|(\|lc)|(penalty))" /e /r /s</v>
      </c>
      <c r="AG105" s="1" t="str">
        <f t="shared" si="40"/>
        <v>EC</v>
      </c>
      <c r="AH105" s="88" t="str">
        <f t="shared" si="41"/>
        <v>"%USERPROFILE%\Documents\GitHub\eaglep3\Utilities\RefineRTDCRunTimes.py" --tripid 193-24 --locoid 4040 --swversion DE.1.0.8.0 --startMP 204:303 --initTime 2017-01-24T15:06:47 --startdatetime 2017-01-24T15:15:25 --delay 1 --endMP 204:233342 --enddatetime 2017-01-24T16:01:06 --enforcementcount 0 &gt;&gt;C:\Users\stu\Documents\GitHub\eaglep3-reporting\EC\2017-01-24-refined-times.txt</v>
      </c>
      <c r="AI105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{"issue":{"subject":"","project_id":79,"tracker_id":40,"status_id":1,"priority_id":2,"assigned_to_id":23,"start_date":"2017-01-24","description":"","custom_fields":[{"id":1,"name":"Subdivision","value":"EC"},{"id":4,"name":"Milepost","value":"23.3342"},{"id":17,"name":"Train ID","value":"193-24"},{"id":16,"name":"Locomotive ID","value":"4040"},{"id":130,"name":"Impact","value":""},{"id":150,"name":"Time of Event (Mountain Time)","value":"16:01:06"},{"id":151,"name":"Denver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43"/>
        <v>start /low /b %USERPROFILE%\Documents\GitHub\eaglep3\Utilities\DownloadLogsFromS3.py --loco 4040 --day 2017-01-24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625</v>
      </c>
      <c r="B106" s="7">
        <v>4039</v>
      </c>
      <c r="C106" s="22" t="s">
        <v>196</v>
      </c>
      <c r="D106" s="22" t="s">
        <v>722</v>
      </c>
      <c r="E106" s="13">
        <v>42759.670648148145</v>
      </c>
      <c r="F106" s="13">
        <v>42759.672789351855</v>
      </c>
      <c r="G106" s="7">
        <v>3</v>
      </c>
      <c r="H106" s="22" t="s">
        <v>722</v>
      </c>
      <c r="I106" s="13">
        <v>42759.673483796294</v>
      </c>
      <c r="J106" s="7">
        <v>0</v>
      </c>
      <c r="K106" s="105" t="str">
        <f t="shared" si="29"/>
        <v>4039/4040</v>
      </c>
      <c r="L106" s="22" t="str">
        <f>VLOOKUP(A106,'Trips&amp;Operators'!$C$1:$G$99999,5,FALSE)</f>
        <v>HOLCOMB KAMDEN</v>
      </c>
      <c r="M106" s="6">
        <f t="shared" si="30"/>
        <v>6.9444443943211809E-4</v>
      </c>
      <c r="N106" s="7"/>
      <c r="O106" s="7"/>
      <c r="P106" s="7">
        <f>24*60*SUM($M106:$M106)</f>
        <v>0.99999999278225005</v>
      </c>
      <c r="Q106" s="23"/>
      <c r="R106" s="23" t="s">
        <v>453</v>
      </c>
      <c r="S106" s="32">
        <f t="shared" si="27"/>
        <v>0</v>
      </c>
      <c r="T106" s="47" t="str">
        <f t="shared" si="31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94" t="str">
        <f t="shared" si="32"/>
        <v>https://d0f6bd738d7f1b3e5a7ca70fe4ff75f0.us-east-1.aws.found.io/app/kibana#/discover/Steve-Slow-Train-Analysis-(2080s-and-2083s)?_g=(refreshInterval:(display:Off,pause:!f,section:0,value:0),time:(from:'2017-01-24T15:05:44-0700',mode:absolute,to:'2017-01-24T17:09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49" t="str">
        <f t="shared" si="33"/>
        <v>Y</v>
      </c>
      <c r="X106" s="170">
        <f t="shared" si="46"/>
        <v>1</v>
      </c>
      <c r="Y106" s="64">
        <f t="shared" si="35"/>
        <v>23.3</v>
      </c>
      <c r="Z106" s="64">
        <f t="shared" si="28"/>
        <v>23.3</v>
      </c>
      <c r="AA106" s="64">
        <f t="shared" si="36"/>
        <v>0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37"/>
        <v>0194-24</v>
      </c>
      <c r="AE106" s="87" t="str">
        <f t="shared" si="38"/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AF106" s="84" t="str">
        <f t="shared" si="39"/>
        <v>"C:\Program Files (x86)\AstroGrep\AstroGrep.exe" /spath="%USERPROFILE%\AppData\Local\Temp\OnboardLogs" /stypes="app*4039*20170124*" /stext=" 23:.+((SYSTEM_STATE.+slice.+state.+changed )|(ment ac)|(multiple cpu faults)|(system.+state.+changed )|(\[timeout)|(PRM\|1\|D)|(kpr)|(kdp)|(\|lc)|(penalty))" /e /r /s</v>
      </c>
      <c r="AG106" s="1" t="str">
        <f t="shared" si="40"/>
        <v>EC</v>
      </c>
      <c r="AH106" s="88" t="str">
        <f t="shared" si="41"/>
        <v>"%USERPROFILE%\Documents\GitHub\eaglep3\Utilities\RefineRTDCRunTimes.py" --tripid 194-24 --locoid 4039 --swversion DE.1.0.8.0 --startMP 204:233000 --initTime 2017-01-24T16:05:44 --startdatetime 2017-01-24T16:08:49 --delay 3 --endMP 204:233000 --enddatetime 2017-01-24T16:09:49 --enforcementcount 0 &gt;&gt;C:\Users\stu\Documents\GitHub\eaglep3-reporting\EC\2017-01-24-refined-times.txt</v>
      </c>
      <c r="AI106" s="115" t="str">
        <f t="shared" si="42"/>
        <v>echo {"issue":{"subject":"Onboard in-route failure","project_id":79,"tracker_id":40,"status_id":1,"priority_id":2,"assigned_to_id":23,"start_date":"2017-01-24","description":"","custom_fields":[{"id":1,"name":"Subdivision","value":"EC"},{"id":4,"name":"Milepost","value":"23.3"},{"id":17,"name":"Train ID","value":"194-24"},{"id":16,"name":"Locomotive ID","value":"4039"},{"id":130,"name":"Impact","value":""},{"id":150,"name":"Time of Event (Mountain Time)","value":"16:09:49"},{"id":151,"name":"Denver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43"/>
        <v>start /low /b %USERPROFILE%\Documents\GitHub\eaglep3\Utilities\DownloadLogsFromS3.py --loco 4039 --day 2017-01-24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618</v>
      </c>
      <c r="B107" s="7">
        <v>4009</v>
      </c>
      <c r="C107" s="22" t="s">
        <v>196</v>
      </c>
      <c r="D107" s="22" t="s">
        <v>757</v>
      </c>
      <c r="E107" s="13">
        <v>42759.64402777778</v>
      </c>
      <c r="F107" s="13">
        <v>42759.646145833336</v>
      </c>
      <c r="G107" s="7">
        <v>1</v>
      </c>
      <c r="H107" s="22" t="s">
        <v>733</v>
      </c>
      <c r="I107" s="13">
        <v>42759.679513888892</v>
      </c>
      <c r="J107" s="7">
        <v>0</v>
      </c>
      <c r="K107" s="105" t="str">
        <f t="shared" si="29"/>
        <v>4009/4010</v>
      </c>
      <c r="L107" s="22" t="str">
        <f>VLOOKUP(A107,'Trips&amp;Operators'!$C$1:$G$99999,5,FALSE)</f>
        <v>CRAYTON QUNTRELL</v>
      </c>
      <c r="M107" s="6">
        <f t="shared" si="30"/>
        <v>3.3368055555911269E-2</v>
      </c>
      <c r="N107" s="7">
        <f t="shared" ref="N107:N138" si="47">24*60*SUM($M107:$M107)</f>
        <v>48.050000000512227</v>
      </c>
      <c r="O107" s="7"/>
      <c r="P107" s="7"/>
      <c r="Q107" s="23"/>
      <c r="R107" s="23"/>
      <c r="S107" s="32">
        <f t="shared" si="27"/>
        <v>1</v>
      </c>
      <c r="T107" s="47" t="str">
        <f t="shared" si="31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2"/>
        <v>https://d0f6bd738d7f1b3e5a7ca70fe4ff75f0.us-east-1.aws.found.io/app/kibana#/discover/Steve-Slow-Train-Analysis-(2080s-and-2083s)?_g=(refreshInterval:(display:Off,pause:!f,section:0,value:0),time:(from:'2017-01-24T14:27:24-0700',mode:absolute,to:'2017-01-24T17:18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7" s="49" t="str">
        <f t="shared" si="33"/>
        <v>N</v>
      </c>
      <c r="X107" s="170">
        <f t="shared" si="46"/>
        <v>1</v>
      </c>
      <c r="Y107" s="64">
        <f t="shared" si="35"/>
        <v>5.0900000000000001E-2</v>
      </c>
      <c r="Z107" s="64">
        <f t="shared" si="28"/>
        <v>23.331900000000001</v>
      </c>
      <c r="AA107" s="64">
        <f t="shared" si="36"/>
        <v>23.281000000000002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37"/>
        <v>0195-24</v>
      </c>
      <c r="AE107" s="87" t="str">
        <f t="shared" si="38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107" s="84" t="str">
        <f t="shared" si="39"/>
        <v>"C:\Program Files (x86)\AstroGrep\AstroGrep.exe" /spath="%USERPROFILE%\AppData\Local\Temp\OnboardLogs" /stypes="app*4009*20170124*" /stext=" 23:.+((SYSTEM_STATE.+slice.+state.+changed )|(ment ac)|(multiple cpu faults)|(system.+state.+changed )|(\[timeout)|(PRM\|1\|D)|(kpr)|(kdp)|(\|lc)|(penalty))" /e /r /s</v>
      </c>
      <c r="AG107" s="1" t="str">
        <f t="shared" si="40"/>
        <v>EC</v>
      </c>
      <c r="AH107" s="88" t="str">
        <f t="shared" si="41"/>
        <v>"%USERPROFILE%\Documents\GitHub\eaglep3\Utilities\RefineRTDCRunTimes.py" --tripid 195-24 --locoid 4009 --swversion DE.1.0.8.0 --startMP 204:509 --initTime 2017-01-24T15:27:24 --startdatetime 2017-01-24T15:30:27 --delay 1 --endMP 204:233319 --enddatetime 2017-01-24T16:18:30 --enforcementcount 0 &gt;&gt;C:\Users\stu\Documents\GitHub\eaglep3-reporting\EC\2017-01-24-refined-times.txt</v>
      </c>
      <c r="AI107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{"issue":{"subject":"","project_id":79,"tracker_id":40,"status_id":1,"priority_id":2,"assigned_to_id":23,"start_date":"2017-01-24","description":"","custom_fields":[{"id":1,"name":"Subdivision","value":"EC"},{"id":4,"name":"Milepost","value":"23.3319"},{"id":17,"name":"Train ID","value":"195-24"},{"id":16,"name":"Locomotive ID","value":"4009"},{"id":130,"name":"Impact","value":""},{"id":150,"name":"Time of Event (Mountain Time)","value":"16:18:30"},{"id":151,"name":"Denver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43"/>
        <v>start /low /b %USERPROFILE%\Documents\GitHub\eaglep3\Utilities\DownloadLogsFromS3.py --loco 4009 --day 2017-01-24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627</v>
      </c>
      <c r="B108" s="7">
        <v>4010</v>
      </c>
      <c r="C108" s="22" t="s">
        <v>196</v>
      </c>
      <c r="D108" s="22" t="s">
        <v>268</v>
      </c>
      <c r="E108" s="13">
        <v>42759.682372685187</v>
      </c>
      <c r="F108" s="13">
        <v>42759.685034722221</v>
      </c>
      <c r="G108" s="7">
        <v>1</v>
      </c>
      <c r="H108" s="22" t="s">
        <v>220</v>
      </c>
      <c r="I108" s="13">
        <v>42759.714594907404</v>
      </c>
      <c r="J108" s="7">
        <v>0</v>
      </c>
      <c r="K108" s="105" t="str">
        <f t="shared" si="29"/>
        <v>4009/4010</v>
      </c>
      <c r="L108" s="22" t="str">
        <f>VLOOKUP(A108,'Trips&amp;Operators'!$C$1:$G$99999,5,FALSE)</f>
        <v>CRAYTON QUNTRELL</v>
      </c>
      <c r="M108" s="6">
        <f t="shared" si="30"/>
        <v>2.9560185183072463E-2</v>
      </c>
      <c r="N108" s="7">
        <f t="shared" si="47"/>
        <v>42.566666663624346</v>
      </c>
      <c r="O108" s="7"/>
      <c r="P108" s="7"/>
      <c r="Q108" s="23"/>
      <c r="R108" s="23"/>
      <c r="S108" s="32">
        <f t="shared" ref="S108:S139" si="48">SUM(U108:U108)/IF(AG108="EC",12,1)</f>
        <v>1</v>
      </c>
      <c r="T108" s="47" t="str">
        <f t="shared" si="31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2"/>
        <v>https://d0f6bd738d7f1b3e5a7ca70fe4ff75f0.us-east-1.aws.found.io/app/kibana#/discover/Steve-Slow-Train-Analysis-(2080s-and-2083s)?_g=(refreshInterval:(display:Off,pause:!f,section:0,value:0),time:(from:'2017-01-24T15:22:37-0700',mode:absolute,to:'2017-01-24T18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49" t="str">
        <f t="shared" si="33"/>
        <v>N</v>
      </c>
      <c r="X108" s="170">
        <f t="shared" si="46"/>
        <v>1</v>
      </c>
      <c r="Y108" s="64">
        <f t="shared" si="35"/>
        <v>23.299600000000002</v>
      </c>
      <c r="Z108" s="64">
        <f t="shared" ref="Z108:Z138" si="49">RIGHT(H108,LEN(H108)-4)/10000</f>
        <v>1.52E-2</v>
      </c>
      <c r="AA108" s="64">
        <f t="shared" si="36"/>
        <v>23.284400000000002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37"/>
        <v>0196-24</v>
      </c>
      <c r="AE108" s="87" t="str">
        <f t="shared" si="38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108" s="84" t="str">
        <f t="shared" si="39"/>
        <v>"C:\Program Files (x86)\AstroGrep\AstroGrep.exe" /spath="%USERPROFILE%\AppData\Local\Temp\OnboardLogs" /stypes="app*4010*20170125*" /stext=" 00:.+((SYSTEM_STATE.+slice.+state.+changed )|(ment ac)|(multiple cpu faults)|(system.+state.+changed )|(\[timeout)|(PRM\|1\|D)|(kpr)|(kdp)|(\|lc)|(penalty))" /e /r /s</v>
      </c>
      <c r="AG108" s="1" t="str">
        <f t="shared" si="40"/>
        <v>EC</v>
      </c>
      <c r="AH108" s="88" t="str">
        <f t="shared" si="41"/>
        <v>"%USERPROFILE%\Documents\GitHub\eaglep3\Utilities\RefineRTDCRunTimes.py" --tripid 196-24 --locoid 4010 --swversion DE.1.0.8.0 --startMP 204:232996 --initTime 2017-01-24T16:22:37 --startdatetime 2017-01-24T16:26:27 --delay 1 --endMP 204:152 --enddatetime 2017-01-24T17:09:01 --enforcementcount 0 &gt;&gt;C:\Users\stu\Documents\GitHub\eaglep3-reporting\EC\2017-01-24-refined-times.txt</v>
      </c>
      <c r="AI108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{"issue":{"subject":"","project_id":79,"tracker_id":40,"status_id":1,"priority_id":2,"assigned_to_id":23,"start_date":"2017-01-24","description":"","custom_fields":[{"id":1,"name":"Subdivision","value":"EC"},{"id":4,"name":"Milepost","value":"0.0152"},{"id":17,"name":"Train ID","value":"196-24"},{"id":16,"name":"Locomotive ID","value":"4010"},{"id":130,"name":"Impact","value":""},{"id":150,"name":"Time of Event (Mountain Time)","value":"17:09:01"},{"id":151,"name":"Denver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43"/>
        <v>start /low /b %USERPROFILE%\Documents\GitHub\eaglep3\Utilities\DownloadLogsFromS3.py --loco 4010 --day 2017-01-24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2017-01-24-UncaughtWiMAX.txt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621</v>
      </c>
      <c r="B109" s="7">
        <v>4051</v>
      </c>
      <c r="C109" s="22" t="s">
        <v>196</v>
      </c>
      <c r="D109" s="22" t="s">
        <v>254</v>
      </c>
      <c r="E109" s="13">
        <v>42759.65284722222</v>
      </c>
      <c r="F109" s="13">
        <v>42759.656550925924</v>
      </c>
      <c r="G109" s="7">
        <v>1</v>
      </c>
      <c r="H109" s="22" t="s">
        <v>733</v>
      </c>
      <c r="I109" s="13">
        <v>42759.689398148148</v>
      </c>
      <c r="J109" s="7">
        <v>0</v>
      </c>
      <c r="K109" s="105" t="str">
        <f t="shared" si="29"/>
        <v>4051/4052</v>
      </c>
      <c r="L109" s="22" t="str">
        <f>VLOOKUP(A109,'Trips&amp;Operators'!$C$1:$G$99999,5,FALSE)</f>
        <v>ROMERO CHAD</v>
      </c>
      <c r="M109" s="6">
        <f t="shared" si="30"/>
        <v>3.2847222224518191E-2</v>
      </c>
      <c r="N109" s="7">
        <f t="shared" si="47"/>
        <v>47.300000003306195</v>
      </c>
      <c r="O109" s="7"/>
      <c r="P109" s="7"/>
      <c r="Q109" s="23"/>
      <c r="R109" s="23"/>
      <c r="S109" s="32">
        <f t="shared" si="48"/>
        <v>1</v>
      </c>
      <c r="T109" s="47" t="str">
        <f t="shared" si="31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2"/>
        <v>https://d0f6bd738d7f1b3e5a7ca70fe4ff75f0.us-east-1.aws.found.io/app/kibana#/discover/Steve-Slow-Train-Analysis-(2080s-and-2083s)?_g=(refreshInterval:(display:Off,pause:!f,section:0,value:0),time:(from:'2017-01-24T14:40:06-0700',mode:absolute,to:'2017-01-24T17:32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9" s="49" t="str">
        <f t="shared" si="33"/>
        <v>N</v>
      </c>
      <c r="X109" s="170">
        <f t="shared" si="46"/>
        <v>1</v>
      </c>
      <c r="Y109" s="64">
        <f t="shared" ref="Y109:Y138" si="50">RIGHT(D109,LEN(D109)-4)/10000</f>
        <v>4.6600000000000003E-2</v>
      </c>
      <c r="Z109" s="64">
        <f t="shared" si="49"/>
        <v>23.331900000000001</v>
      </c>
      <c r="AA109" s="64">
        <f t="shared" si="36"/>
        <v>23.285299999999999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37"/>
        <v>0197-24</v>
      </c>
      <c r="AE109" s="87" t="str">
        <f t="shared" si="38"/>
        <v>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 &amp; aws s3 cp s3://rtdc.mdm.uploadarchive.raw/RTDC4051/ "%USERPROFILE%\AppData\Local\Temp\OnboardLogs"\RTDC4051\2017-01-25 --exclude "*" --recursive --include "*20170125*" &amp; "%USERPROFILE%\Documents\GitHub\mrs-test-scripts\Headless Mode &amp; Sideloading\WalkAndUnGZ.bat" "%USERPROFILE%\AppData\Local\Temp\OnboardLogs"\RTDC4051\2017-01-25</v>
      </c>
      <c r="AF109" s="84" t="str">
        <f t="shared" si="39"/>
        <v>"C:\Program Files (x86)\AstroGrep\AstroGrep.exe" /spath="%USERPROFILE%\AppData\Local\Temp\OnboardLogs" /stypes="app*4051*20170124*" /stext=" 23:.+((SYSTEM_STATE.+slice.+state.+changed )|(ment ac)|(multiple cpu faults)|(system.+state.+changed )|(\[timeout)|(PRM\|1\|D)|(kpr)|(kdp)|(\|lc)|(penalty))" /e /r /s</v>
      </c>
      <c r="AG109" s="1" t="str">
        <f t="shared" si="40"/>
        <v>EC</v>
      </c>
      <c r="AH109" s="88" t="str">
        <f t="shared" si="41"/>
        <v>"%USERPROFILE%\Documents\GitHub\eaglep3\Utilities\RefineRTDCRunTimes.py" --tripid 197-24 --locoid 4051 --swversion DE.1.0.8.0 --startMP 204:466 --initTime 2017-01-24T15:40:06 --startdatetime 2017-01-24T15:45:26 --delay 1 --endMP 204:233319 --enddatetime 2017-01-24T16:32:44 --enforcementcount 0 &gt;&gt;C:\Users\stu\Documents\GitHub\eaglep3-reporting\EC\2017-01-24-refined-times.txt</v>
      </c>
      <c r="AI109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{"issue":{"subject":"","project_id":79,"tracker_id":40,"status_id":1,"priority_id":2,"assigned_to_id":23,"start_date":"2017-01-24","description":"","custom_fields":[{"id":1,"name":"Subdivision","value":"EC"},{"id":4,"name":"Milepost","value":"23.3319"},{"id":17,"name":"Train ID","value":"197-24"},{"id":16,"name":"Locomotive ID","value":"4051"},{"id":130,"name":"Impact","value":""},{"id":150,"name":"Time of Event (Mountain Time)","value":"16:32:44"},{"id":151,"name":"Denver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43"/>
        <v>start /low /b %USERPROFILE%\Documents\GitHub\eaglep3\Utilities\DownloadLogsFromS3.py --loco 4051 --day 2017-01-24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478</v>
      </c>
      <c r="B110" s="7">
        <v>4052</v>
      </c>
      <c r="C110" s="22" t="s">
        <v>196</v>
      </c>
      <c r="D110" s="22" t="s">
        <v>268</v>
      </c>
      <c r="E110" s="13">
        <v>42759.690960648149</v>
      </c>
      <c r="F110" s="13">
        <v>42759.695763888885</v>
      </c>
      <c r="G110" s="7">
        <v>1</v>
      </c>
      <c r="H110" s="22" t="s">
        <v>205</v>
      </c>
      <c r="I110" s="13">
        <v>42759.72552083333</v>
      </c>
      <c r="J110" s="7">
        <v>0</v>
      </c>
      <c r="K110" s="105" t="str">
        <f t="shared" si="29"/>
        <v>4051/4052</v>
      </c>
      <c r="L110" s="22" t="str">
        <f>VLOOKUP(A110,'Trips&amp;Operators'!$C$1:$G$99999,5,FALSE)</f>
        <v>ROMERO CHAD</v>
      </c>
      <c r="M110" s="6">
        <f t="shared" si="30"/>
        <v>2.9756944444670808E-2</v>
      </c>
      <c r="N110" s="7">
        <f t="shared" si="47"/>
        <v>42.850000000325963</v>
      </c>
      <c r="O110" s="7"/>
      <c r="P110" s="7"/>
      <c r="Q110" s="23"/>
      <c r="R110" s="23"/>
      <c r="S110" s="32">
        <f t="shared" si="48"/>
        <v>1</v>
      </c>
      <c r="T110" s="47" t="str">
        <f t="shared" si="31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2"/>
        <v>https://d0f6bd738d7f1b3e5a7ca70fe4ff75f0.us-east-1.aws.found.io/app/kibana#/discover/Steve-Slow-Train-Analysis-(2080s-and-2083s)?_g=(refreshInterval:(display:Off,pause:!f,section:0,value:0),time:(from:'2017-01-24T15:34:59-0700',mode:absolute,to:'2017-01-24T18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49" t="str">
        <f t="shared" si="33"/>
        <v>N</v>
      </c>
      <c r="X110" s="170">
        <f t="shared" si="46"/>
        <v>1</v>
      </c>
      <c r="Y110" s="64">
        <f t="shared" si="50"/>
        <v>23.299600000000002</v>
      </c>
      <c r="Z110" s="64">
        <f t="shared" si="49"/>
        <v>1.4500000000000001E-2</v>
      </c>
      <c r="AA110" s="64">
        <f t="shared" si="36"/>
        <v>23.2851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37"/>
        <v>0198-24</v>
      </c>
      <c r="AE110" s="87" t="str">
        <f t="shared" si="38"/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AF110" s="84" t="str">
        <f t="shared" si="39"/>
        <v>"C:\Program Files (x86)\AstroGrep\AstroGrep.exe" /spath="%USERPROFILE%\AppData\Local\Temp\OnboardLogs" /stypes="app*4052*20170125*" /stext=" 00:.+((SYSTEM_STATE.+slice.+state.+changed )|(ment ac)|(multiple cpu faults)|(system.+state.+changed )|(\[timeout)|(PRM\|1\|D)|(kpr)|(kdp)|(\|lc)|(penalty))" /e /r /s</v>
      </c>
      <c r="AG110" s="1" t="str">
        <f t="shared" si="40"/>
        <v>EC</v>
      </c>
      <c r="AH110" s="88" t="str">
        <f t="shared" si="41"/>
        <v>"%USERPROFILE%\Documents\GitHub\eaglep3\Utilities\RefineRTDCRunTimes.py" --tripid 198-24 --locoid 4052 --swversion DE.1.0.8.0 --startMP 204:232996 --initTime 2017-01-24T16:34:59 --startdatetime 2017-01-24T16:41:54 --delay 1 --endMP 204:145 --enddatetime 2017-01-24T17:24:45 --enforcementcount 0 &gt;&gt;C:\Users\stu\Documents\GitHub\eaglep3-reporting\EC\2017-01-24-refined-times.txt</v>
      </c>
      <c r="AI110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{"issue":{"subject":"","project_id":79,"tracker_id":40,"status_id":1,"priority_id":2,"assigned_to_id":23,"start_date":"2017-01-24","description":"","custom_fields":[{"id":1,"name":"Subdivision","value":"EC"},{"id":4,"name":"Milepost","value":"0.0145"},{"id":17,"name":"Train ID","value":"198-24"},{"id":16,"name":"Locomotive ID","value":"4052"},{"id":130,"name":"Impact","value":""},{"id":150,"name":"Time of Event (Mountain Time)","value":"17:24:45"},{"id":151,"name":"Denver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43"/>
        <v>start /low /b %USERPROFILE%\Documents\GitHub\eaglep3\Utilities\DownloadLogsFromS3.py --loco 4052 --day 2017-01-24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"%USERPROFILE%\AppData\Local\Temp\OnboardLogs"\RTDC4052\*4052*20170125* | grep -SE "(Enforcement Action)|(\[TIMEOUT)|(CHR.+\|PRM\|1\|D.+(SWITCH|SIGNAL).+UNKNOWN)" - &gt;&gt; 2017-01-24-UncaughtWiMAX.txt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623</v>
      </c>
      <c r="B111" s="7">
        <v>4027</v>
      </c>
      <c r="C111" s="22" t="s">
        <v>196</v>
      </c>
      <c r="D111" s="22" t="s">
        <v>758</v>
      </c>
      <c r="E111" s="13">
        <v>42759.664224537039</v>
      </c>
      <c r="F111" s="13">
        <v>42759.666898148149</v>
      </c>
      <c r="G111" s="7">
        <v>1</v>
      </c>
      <c r="H111" s="22" t="s">
        <v>377</v>
      </c>
      <c r="I111" s="13">
        <v>42759.694247685184</v>
      </c>
      <c r="J111" s="7">
        <v>0</v>
      </c>
      <c r="K111" s="105" t="str">
        <f t="shared" si="29"/>
        <v>4027/4028</v>
      </c>
      <c r="L111" s="22" t="str">
        <f>VLOOKUP(A111,'Trips&amp;Operators'!$C$1:$G$99999,5,FALSE)</f>
        <v>BRANNON JEFFREY</v>
      </c>
      <c r="M111" s="6">
        <f t="shared" si="30"/>
        <v>2.7349537034751847E-2</v>
      </c>
      <c r="N111" s="7">
        <f t="shared" si="47"/>
        <v>39.38333333004266</v>
      </c>
      <c r="O111" s="7"/>
      <c r="P111" s="7"/>
      <c r="Q111" s="23"/>
      <c r="R111" s="23"/>
      <c r="S111" s="32">
        <f t="shared" si="48"/>
        <v>1</v>
      </c>
      <c r="T111" s="47" t="str">
        <f t="shared" si="31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2"/>
        <v>https://d0f6bd738d7f1b3e5a7ca70fe4ff75f0.us-east-1.aws.found.io/app/kibana#/discover/Steve-Slow-Train-Analysis-(2080s-and-2083s)?_g=(refreshInterval:(display:Off,pause:!f,section:0,value:0),time:(from:'2017-01-24T14:56:29-0700',mode:absolute,to:'2017-01-24T17:39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49" t="str">
        <f t="shared" si="33"/>
        <v>N</v>
      </c>
      <c r="X111" s="170">
        <f t="shared" si="46"/>
        <v>1</v>
      </c>
      <c r="Y111" s="64">
        <f t="shared" si="50"/>
        <v>6.4100000000000004E-2</v>
      </c>
      <c r="Z111" s="64">
        <f t="shared" si="49"/>
        <v>23.328900000000001</v>
      </c>
      <c r="AA111" s="64">
        <f t="shared" si="36"/>
        <v>23.264800000000001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37"/>
        <v>0199-24</v>
      </c>
      <c r="AE111" s="87" t="str">
        <f t="shared" si="38"/>
        <v>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 &amp; 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</v>
      </c>
      <c r="AF111" s="84" t="str">
        <f t="shared" si="39"/>
        <v>"C:\Program Files (x86)\AstroGrep\AstroGrep.exe" /spath="%USERPROFILE%\AppData\Local\Temp\OnboardLogs" /stypes="app*4027*20170124*" /stext=" 23:.+((SYSTEM_STATE.+slice.+state.+changed )|(ment ac)|(multiple cpu faults)|(system.+state.+changed )|(\[timeout)|(PRM\|1\|D)|(kpr)|(kdp)|(\|lc)|(penalty))" /e /r /s</v>
      </c>
      <c r="AG111" s="1" t="str">
        <f t="shared" si="40"/>
        <v>EC</v>
      </c>
      <c r="AH111" s="88" t="str">
        <f t="shared" si="41"/>
        <v>"%USERPROFILE%\Documents\GitHub\eaglep3\Utilities\RefineRTDCRunTimes.py" --tripid 199-24 --locoid 4027 --swversion DE.1.0.8.0 --startMP 204:641 --initTime 2017-01-24T15:56:29 --startdatetime 2017-01-24T16:00:20 --delay 1 --endMP 204:233289 --enddatetime 2017-01-24T16:39:43 --enforcementcount 0 &gt;&gt;C:\Users\stu\Documents\GitHub\eaglep3-reporting\EC\2017-01-24-refined-times.txt</v>
      </c>
      <c r="AI111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{"issue":{"subject":"","project_id":79,"tracker_id":40,"status_id":1,"priority_id":2,"assigned_to_id":23,"start_date":"2017-01-24","description":"","custom_fields":[{"id":1,"name":"Subdivision","value":"EC"},{"id":4,"name":"Milepost","value":"23.3289"},{"id":17,"name":"Train ID","value":"199-24"},{"id":16,"name":"Locomotive ID","value":"4027"},{"id":130,"name":"Impact","value":""},{"id":150,"name":"Time of Event (Mountain Time)","value":"16:39:43"},{"id":151,"name":"Denver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43"/>
        <v>start /low /b %USERPROFILE%\Documents\GitHub\eaglep3\Utilities\DownloadLogsFromS3.py --loco 4027 --day 2017-01-24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479</v>
      </c>
      <c r="B112" s="7">
        <v>4028</v>
      </c>
      <c r="C112" s="22" t="s">
        <v>196</v>
      </c>
      <c r="D112" s="22" t="s">
        <v>412</v>
      </c>
      <c r="E112" s="13">
        <v>42759.702569444446</v>
      </c>
      <c r="F112" s="13">
        <v>42759.705717592595</v>
      </c>
      <c r="G112" s="7">
        <v>1</v>
      </c>
      <c r="H112" s="22" t="s">
        <v>759</v>
      </c>
      <c r="I112" s="13">
        <v>42759.738356481481</v>
      </c>
      <c r="J112" s="7">
        <v>0</v>
      </c>
      <c r="K112" s="105" t="str">
        <f t="shared" si="29"/>
        <v>4027/4028</v>
      </c>
      <c r="L112" s="22" t="str">
        <f>VLOOKUP(A112,'Trips&amp;Operators'!$C$1:$G$99999,5,FALSE)</f>
        <v>BRANNON JEFFREY</v>
      </c>
      <c r="M112" s="6">
        <f t="shared" si="30"/>
        <v>3.2638888886140194E-2</v>
      </c>
      <c r="N112" s="7">
        <f t="shared" si="47"/>
        <v>46.999999996041879</v>
      </c>
      <c r="O112" s="7"/>
      <c r="P112" s="7"/>
      <c r="Q112" s="23"/>
      <c r="R112" s="23"/>
      <c r="S112" s="32">
        <f t="shared" si="48"/>
        <v>1</v>
      </c>
      <c r="T112" s="47" t="str">
        <f t="shared" si="31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2"/>
        <v>https://d0f6bd738d7f1b3e5a7ca70fe4ff75f0.us-east-1.aws.found.io/app/kibana#/discover/Steve-Slow-Train-Analysis-(2080s-and-2083s)?_g=(refreshInterval:(display:Off,pause:!f,section:0,value:0),time:(from:'2017-01-24T15:51:42-0700',mode:absolute,to:'2017-01-24T18:43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49" t="str">
        <f t="shared" si="33"/>
        <v>N</v>
      </c>
      <c r="X112" s="170">
        <f t="shared" si="46"/>
        <v>1</v>
      </c>
      <c r="Y112" s="64">
        <f t="shared" si="50"/>
        <v>23.297499999999999</v>
      </c>
      <c r="Z112" s="64">
        <f t="shared" si="49"/>
        <v>0.11899999999999999</v>
      </c>
      <c r="AA112" s="64">
        <f t="shared" si="36"/>
        <v>23.1785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37"/>
        <v>0200-24</v>
      </c>
      <c r="AE112" s="87" t="str">
        <f t="shared" si="38"/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AF112" s="84" t="str">
        <f t="shared" si="39"/>
        <v>"C:\Program Files (x86)\AstroGrep\AstroGrep.exe" /spath="%USERPROFILE%\AppData\Local\Temp\OnboardLogs" /stypes="app*4028*20170125*" /stext=" 00:.+((SYSTEM_STATE.+slice.+state.+changed )|(ment ac)|(multiple cpu faults)|(system.+state.+changed )|(\[timeout)|(PRM\|1\|D)|(kpr)|(kdp)|(\|lc)|(penalty))" /e /r /s</v>
      </c>
      <c r="AG112" s="1" t="str">
        <f t="shared" si="40"/>
        <v>EC</v>
      </c>
      <c r="AH112" s="88" t="str">
        <f t="shared" si="41"/>
        <v>"%USERPROFILE%\Documents\GitHub\eaglep3\Utilities\RefineRTDCRunTimes.py" --tripid 200-24 --locoid 4028 --swversion DE.1.0.8.0 --startMP 204:232975 --initTime 2017-01-24T16:51:42 --startdatetime 2017-01-24T16:56:14 --delay 1 --endMP 204:1190 --enddatetime 2017-01-24T17:43:14 --enforcementcount 0 &gt;&gt;C:\Users\stu\Documents\GitHub\eaglep3-reporting\EC\2017-01-24-refined-times.txt</v>
      </c>
      <c r="AI112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{"issue":{"subject":"","project_id":79,"tracker_id":40,"status_id":1,"priority_id":2,"assigned_to_id":23,"start_date":"2017-01-24","description":"","custom_fields":[{"id":1,"name":"Subdivision","value":"EC"},{"id":4,"name":"Milepost","value":"0.119"},{"id":17,"name":"Train ID","value":"200-24"},{"id":16,"name":"Locomotive ID","value":"4028"},{"id":130,"name":"Impact","value":""},{"id":150,"name":"Time of Event (Mountain Time)","value":"17:43:14"},{"id":151,"name":"Denver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43"/>
        <v>start /low /b %USERPROFILE%\Documents\GitHub\eaglep3\Utilities\DownloadLogsFromS3.py --loco 4028 --day 2017-01-24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"%USERPROFILE%\AppData\Local\Temp\OnboardLogs"\RTDC4028\*4028*20170125* | grep -SE "(Enforcement Action)|(\[TIMEOUT)|(CHR.+\|PRM\|1\|D.+(SWITCH|SIGNAL).+UNKNOWN)" - &gt;&gt; 2017-01-24-UncaughtWiMAX.txt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624</v>
      </c>
      <c r="B113" s="7">
        <v>4018</v>
      </c>
      <c r="C113" s="22" t="s">
        <v>196</v>
      </c>
      <c r="D113" s="22" t="s">
        <v>421</v>
      </c>
      <c r="E113" s="13">
        <v>42759.668749999997</v>
      </c>
      <c r="F113" s="13">
        <v>42759.677268518521</v>
      </c>
      <c r="G113" s="7">
        <v>1</v>
      </c>
      <c r="H113" s="22" t="s">
        <v>376</v>
      </c>
      <c r="I113" s="13">
        <v>42759.704513888886</v>
      </c>
      <c r="J113" s="7">
        <v>0</v>
      </c>
      <c r="K113" s="105" t="str">
        <f t="shared" si="29"/>
        <v>4017/4018</v>
      </c>
      <c r="L113" s="22" t="str">
        <f>VLOOKUP(A113,'Trips&amp;Operators'!$C$1:$G$99999,5,FALSE)</f>
        <v>DE LA ROSA ALEX</v>
      </c>
      <c r="M113" s="6">
        <f t="shared" si="30"/>
        <v>2.7245370365562849E-2</v>
      </c>
      <c r="N113" s="7">
        <f t="shared" si="47"/>
        <v>39.233333326410502</v>
      </c>
      <c r="O113" s="7"/>
      <c r="P113" s="7"/>
      <c r="Q113" s="23"/>
      <c r="R113" s="23"/>
      <c r="S113" s="32">
        <f t="shared" si="48"/>
        <v>1</v>
      </c>
      <c r="T113" s="47" t="str">
        <f t="shared" si="31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2"/>
        <v>https://d0f6bd738d7f1b3e5a7ca70fe4ff75f0.us-east-1.aws.found.io/app/kibana#/discover/Steve-Slow-Train-Analysis-(2080s-and-2083s)?_g=(refreshInterval:(display:Off,pause:!f,section:0,value:0),time:(from:'2017-01-24T15:03:00-0700',mode:absolute,to:'2017-01-24T17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49" t="str">
        <f t="shared" si="33"/>
        <v>N</v>
      </c>
      <c r="X113" s="170">
        <f t="shared" si="46"/>
        <v>1</v>
      </c>
      <c r="Y113" s="64">
        <f t="shared" si="50"/>
        <v>4.6699999999999998E-2</v>
      </c>
      <c r="Z113" s="64">
        <f t="shared" si="49"/>
        <v>23.331199999999999</v>
      </c>
      <c r="AA113" s="64">
        <f t="shared" si="36"/>
        <v>23.284499999999998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37"/>
        <v>0201-24</v>
      </c>
      <c r="AE113" s="87" t="str">
        <f t="shared" si="38"/>
        <v>aws s3 cp s3://rtdc.mdm.uploadarchive.raw/RTDC4018/ "%USERPROFILE%\AppData\Local\Temp\OnboardLogs"\RTDC4018\2017-01-24 --exclude "*" --recursive --include "*20170124*" &amp; "%USERPROFILE%\Documents\GitHub\mrs-test-scripts\Headless Mode &amp; Sideloading\WalkAndUnGZ.bat" "%USERPROFILE%\AppData\Local\Temp\OnboardLogs"\RTDC4018\2017-01-24 &amp; 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</v>
      </c>
      <c r="AF113" s="84" t="str">
        <f t="shared" si="39"/>
        <v>"C:\Program Files (x86)\AstroGrep\AstroGrep.exe" /spath="%USERPROFILE%\AppData\Local\Temp\OnboardLogs" /stypes="app*4018*20170124*" /stext=" 23:.+((SYSTEM_STATE.+slice.+state.+changed )|(ment ac)|(multiple cpu faults)|(system.+state.+changed )|(\[timeout)|(PRM\|1\|D)|(kpr)|(kdp)|(\|lc)|(penalty))" /e /r /s</v>
      </c>
      <c r="AG113" s="1" t="str">
        <f t="shared" si="40"/>
        <v>EC</v>
      </c>
      <c r="AH113" s="88" t="str">
        <f t="shared" si="41"/>
        <v>"%USERPROFILE%\Documents\GitHub\eaglep3\Utilities\RefineRTDCRunTimes.py" --tripid 201-24 --locoid 4018 --swversion DE.1.0.8.0 --startMP 204:467 --initTime 2017-01-24T16:03:00 --startdatetime 2017-01-24T16:15:16 --delay 1 --endMP 204:233312 --enddatetime 2017-01-24T16:54:30 --enforcementcount 0 &gt;&gt;C:\Users\stu\Documents\GitHub\eaglep3-reporting\EC\2017-01-24-refined-times.txt</v>
      </c>
      <c r="AI113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{"issue":{"subject":"","project_id":79,"tracker_id":40,"status_id":1,"priority_id":2,"assigned_to_id":23,"start_date":"2017-01-24","description":"","custom_fields":[{"id":1,"name":"Subdivision","value":"EC"},{"id":4,"name":"Milepost","value":"23.3312"},{"id":17,"name":"Train ID","value":"201-24"},{"id":16,"name":"Locomotive ID","value":"4018"},{"id":130,"name":"Impact","value":""},{"id":150,"name":"Time of Event (Mountain Time)","value":"16:54:30"},{"id":151,"name":"Denver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43"/>
        <v>start /low /b %USERPROFILE%\Documents\GitHub\eaglep3\Utilities\DownloadLogsFromS3.py --loco 4018 --day 2017-01-24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"%USERPROFILE%\AppData\Local\Temp\OnboardLogs"\RTDC4018\*4018*20170124* | grep -SE "(Enforcement Action)|(\[TIMEOUT)|(CHR.+\|PRM\|1\|D.+(SWITCH|SIGNAL).+UNKNOWN)" - &gt;&gt; 2017-01-24-UncaughtWiMAX.txt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633</v>
      </c>
      <c r="B114" s="7">
        <v>4017</v>
      </c>
      <c r="C114" s="22" t="s">
        <v>196</v>
      </c>
      <c r="D114" s="22" t="s">
        <v>231</v>
      </c>
      <c r="E114" s="13">
        <v>42759.7109837963</v>
      </c>
      <c r="F114" s="13">
        <v>42759.716168981482</v>
      </c>
      <c r="G114" s="7">
        <v>1</v>
      </c>
      <c r="H114" s="22" t="s">
        <v>269</v>
      </c>
      <c r="I114" s="13">
        <v>42759.746574074074</v>
      </c>
      <c r="J114" s="7">
        <v>0</v>
      </c>
      <c r="K114" s="105" t="str">
        <f t="shared" si="29"/>
        <v>4017/4018</v>
      </c>
      <c r="L114" s="22" t="str">
        <f>VLOOKUP(A114,'Trips&amp;Operators'!$C$1:$G$99999,5,FALSE)</f>
        <v>DE LA ROSA ALEX</v>
      </c>
      <c r="M114" s="6">
        <f t="shared" si="30"/>
        <v>3.0405092591536231E-2</v>
      </c>
      <c r="N114" s="7">
        <f t="shared" si="47"/>
        <v>43.783333331812173</v>
      </c>
      <c r="O114" s="7"/>
      <c r="P114" s="7"/>
      <c r="Q114" s="23"/>
      <c r="R114" s="23"/>
      <c r="S114" s="32">
        <f t="shared" si="48"/>
        <v>1</v>
      </c>
      <c r="T114" s="47" t="str">
        <f t="shared" si="31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2"/>
        <v>https://d0f6bd738d7f1b3e5a7ca70fe4ff75f0.us-east-1.aws.found.io/app/kibana#/discover/Steve-Slow-Train-Analysis-(2080s-and-2083s)?_g=(refreshInterval:(display:Off,pause:!f,section:0,value:0),time:(from:'2017-01-24T16:03:49-0700',mode:absolute,to:'2017-01-24T18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49" t="str">
        <f t="shared" si="33"/>
        <v>N</v>
      </c>
      <c r="X114" s="170">
        <f t="shared" si="46"/>
        <v>1</v>
      </c>
      <c r="Y114" s="64">
        <f t="shared" si="50"/>
        <v>23.2987</v>
      </c>
      <c r="Z114" s="64">
        <f t="shared" si="49"/>
        <v>1.6500000000000001E-2</v>
      </c>
      <c r="AA114" s="64">
        <f t="shared" si="36"/>
        <v>23.2822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37"/>
        <v>0202-24</v>
      </c>
      <c r="AE114" s="87" t="str">
        <f t="shared" si="38"/>
        <v>aws s3 cp s3://rtdc.mdm.uploadarchive.raw/RTDC4017/ "%USERPROFILE%\AppData\Local\Temp\OnboardLogs"\RTDC4017\2017-01-24 --exclude "*" --recursive --include "*20170124*" &amp; "%USERPROFILE%\Documents\GitHub\mrs-test-scripts\Headless Mode &amp; Sideloading\WalkAndUnGZ.bat" "%USERPROFILE%\AppData\Local\Temp\OnboardLogs"\RTDC4017\2017-01-24 &amp; 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</v>
      </c>
      <c r="AF114" s="84" t="str">
        <f t="shared" si="39"/>
        <v>"C:\Program Files (x86)\AstroGrep\AstroGrep.exe" /spath="%USERPROFILE%\AppData\Local\Temp\OnboardLogs" /stypes="app*4017*20170125*" /stext=" 00:.+((SYSTEM_STATE.+slice.+state.+changed )|(ment ac)|(multiple cpu faults)|(system.+state.+changed )|(\[timeout)|(PRM\|1\|D)|(kpr)|(kdp)|(\|lc)|(penalty))" /e /r /s</v>
      </c>
      <c r="AG114" s="1" t="str">
        <f t="shared" si="40"/>
        <v>EC</v>
      </c>
      <c r="AH114" s="88" t="str">
        <f t="shared" si="41"/>
        <v>"%USERPROFILE%\Documents\GitHub\eaglep3\Utilities\RefineRTDCRunTimes.py" --tripid 202-24 --locoid 4017 --swversion DE.1.0.8.0 --startMP 204:232987 --initTime 2017-01-24T17:03:49 --startdatetime 2017-01-24T17:11:17 --delay 1 --endMP 204:165 --enddatetime 2017-01-24T17:55:04 --enforcementcount 0 &gt;&gt;C:\Users\stu\Documents\GitHub\eaglep3-reporting\EC\2017-01-24-refined-times.txt</v>
      </c>
      <c r="AI114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{"issue":{"subject":"","project_id":79,"tracker_id":40,"status_id":1,"priority_id":2,"assigned_to_id":23,"start_date":"2017-01-24","description":"","custom_fields":[{"id":1,"name":"Subdivision","value":"EC"},{"id":4,"name":"Milepost","value":"0.0165"},{"id":17,"name":"Train ID","value":"202-24"},{"id":16,"name":"Locomotive ID","value":"4017"},{"id":130,"name":"Impact","value":""},{"id":150,"name":"Time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43"/>
        <v>start /low /b %USERPROFILE%\Documents\GitHub\eaglep3\Utilities\DownloadLogsFromS3.py --loco 4017 --day 2017-01-24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2017-01-24-UncaughtWiMAX.txt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628</v>
      </c>
      <c r="B115" s="7">
        <v>4038</v>
      </c>
      <c r="C115" s="22" t="s">
        <v>196</v>
      </c>
      <c r="D115" s="22" t="s">
        <v>760</v>
      </c>
      <c r="E115" s="13">
        <v>42759.686192129629</v>
      </c>
      <c r="F115" s="13">
        <v>42759.687847222223</v>
      </c>
      <c r="G115" s="7">
        <v>1</v>
      </c>
      <c r="H115" s="22" t="s">
        <v>761</v>
      </c>
      <c r="I115" s="13">
        <v>42759.716481481482</v>
      </c>
      <c r="J115" s="7">
        <v>0</v>
      </c>
      <c r="K115" s="105" t="str">
        <f t="shared" si="29"/>
        <v>4037/4038</v>
      </c>
      <c r="L115" s="22" t="str">
        <f>VLOOKUP(A115,'Trips&amp;Operators'!$C$1:$G$99999,5,FALSE)</f>
        <v>HAITHCOX MICHAEL</v>
      </c>
      <c r="M115" s="6">
        <f t="shared" si="30"/>
        <v>2.8634259258979E-2</v>
      </c>
      <c r="N115" s="7">
        <f t="shared" si="47"/>
        <v>41.23333333292976</v>
      </c>
      <c r="O115" s="7"/>
      <c r="P115" s="7"/>
      <c r="Q115" s="23"/>
      <c r="R115" s="23"/>
      <c r="S115" s="32">
        <f t="shared" si="48"/>
        <v>1</v>
      </c>
      <c r="T115" s="47" t="str">
        <f t="shared" si="31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2"/>
        <v>https://d0f6bd738d7f1b3e5a7ca70fe4ff75f0.us-east-1.aws.found.io/app/kibana#/discover/Steve-Slow-Train-Analysis-(2080s-and-2083s)?_g=(refreshInterval:(display:Off,pause:!f,section:0,value:0),time:(from:'2017-01-24T15:28:07-0700',mode:absolute,to:'2017-01-24T18:11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15" s="49" t="str">
        <f t="shared" si="33"/>
        <v>N</v>
      </c>
      <c r="X115" s="170">
        <f t="shared" si="46"/>
        <v>1</v>
      </c>
      <c r="Y115" s="64">
        <f t="shared" si="50"/>
        <v>4.1599999999999998E-2</v>
      </c>
      <c r="Z115" s="64">
        <f t="shared" si="49"/>
        <v>23.334700000000002</v>
      </c>
      <c r="AA115" s="64">
        <f t="shared" si="36"/>
        <v>23.293100000000003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37"/>
        <v>0203-24</v>
      </c>
      <c r="AE115" s="87" t="str">
        <f t="shared" si="38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115" s="84" t="str">
        <f t="shared" si="39"/>
        <v>"C:\Program Files (x86)\AstroGrep\AstroGrep.exe" /spath="%USERPROFILE%\AppData\Local\Temp\OnboardLogs" /stypes="app*4038*20170125*" /stext=" 00:.+((SYSTEM_STATE.+slice.+state.+changed )|(ment ac)|(multiple cpu faults)|(system.+state.+changed )|(\[timeout)|(PRM\|1\|D)|(kpr)|(kdp)|(\|lc)|(penalty))" /e /r /s</v>
      </c>
      <c r="AG115" s="1" t="str">
        <f t="shared" si="40"/>
        <v>EC</v>
      </c>
      <c r="AH115" s="88" t="str">
        <f t="shared" si="41"/>
        <v>"%USERPROFILE%\Documents\GitHub\eaglep3\Utilities\RefineRTDCRunTimes.py" --tripid 203-24 --locoid 4038 --swversion DE.1.0.8.0 --startMP 204:416 --initTime 2017-01-24T16:28:07 --startdatetime 2017-01-24T16:30:30 --delay 1 --endMP 204:233347 --enddatetime 2017-01-24T17:11:44 --enforcementcount 0 &gt;&gt;C:\Users\stu\Documents\GitHub\eaglep3-reporting\EC\2017-01-24-refined-times.txt</v>
      </c>
      <c r="AI115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{"issue":{"subject":"","project_id":79,"tracker_id":40,"status_id":1,"priority_id":2,"assigned_to_id":23,"start_date":"2017-01-24","description":"","custom_fields":[{"id":1,"name":"Subdivision","value":"EC"},{"id":4,"name":"Milepost","value":"23.3347"},{"id":17,"name":"Train ID","value":"203-24"},{"id":16,"name":"Locomotive ID","value":"4038"},{"id":130,"name":"Impact","value":""},{"id":150,"name":"Time of Event (Mountain Time)","value":"17:11:44"},{"id":151,"name":"Denver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43"/>
        <v>start /low /b %USERPROFILE%\Documents\GitHub\eaglep3\Utilities\DownloadLogsFromS3.py --loco 4038 --day 2017-01-24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"%USERPROFILE%\AppData\Local\Temp\OnboardLogs"\RTDC4038\*4038*20170124* | grep -SE "(Enforcement Action)|(\[TIMEOUT)|(CHR.+\|PRM\|1\|D.+(SWITCH|SIGNAL).+UNKNOWN)" - &gt;&gt; 2017-01-24-UncaughtWiMAX.txt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640</v>
      </c>
      <c r="B116" s="7">
        <v>4037</v>
      </c>
      <c r="C116" s="22" t="s">
        <v>196</v>
      </c>
      <c r="D116" s="22" t="s">
        <v>762</v>
      </c>
      <c r="E116" s="13">
        <v>42759.721099537041</v>
      </c>
      <c r="F116" s="13">
        <v>42759.726585648146</v>
      </c>
      <c r="G116" s="7">
        <v>1</v>
      </c>
      <c r="H116" s="22" t="s">
        <v>186</v>
      </c>
      <c r="I116" s="13">
        <v>42759.758206018516</v>
      </c>
      <c r="J116" s="7">
        <v>0</v>
      </c>
      <c r="K116" s="105" t="str">
        <f t="shared" si="29"/>
        <v>4037/4038</v>
      </c>
      <c r="L116" s="22" t="str">
        <f>VLOOKUP(A116,'Trips&amp;Operators'!$C$1:$G$99999,5,FALSE)</f>
        <v>HAITHCOX MICHAEL</v>
      </c>
      <c r="M116" s="6">
        <f t="shared" si="30"/>
        <v>3.1620370369637385E-2</v>
      </c>
      <c r="N116" s="7">
        <f t="shared" si="47"/>
        <v>45.533333332277834</v>
      </c>
      <c r="O116" s="7"/>
      <c r="P116" s="7"/>
      <c r="Q116" s="23"/>
      <c r="R116" s="23"/>
      <c r="S116" s="32">
        <f t="shared" si="48"/>
        <v>1</v>
      </c>
      <c r="T116" s="47" t="str">
        <f t="shared" si="31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2"/>
        <v>https://d0f6bd738d7f1b3e5a7ca70fe4ff75f0.us-east-1.aws.found.io/app/kibana#/discover/Steve-Slow-Train-Analysis-(2080s-and-2083s)?_g=(refreshInterval:(display:Off,pause:!f,section:0,value:0),time:(from:'2017-01-24T16:18:23-0700',mode:absolute,to:'2017-01-24T19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6" s="49" t="str">
        <f t="shared" si="33"/>
        <v>N</v>
      </c>
      <c r="X116" s="170">
        <f t="shared" si="46"/>
        <v>1</v>
      </c>
      <c r="Y116" s="64">
        <f t="shared" si="50"/>
        <v>23.304200000000002</v>
      </c>
      <c r="Z116" s="64">
        <f t="shared" si="49"/>
        <v>1.49E-2</v>
      </c>
      <c r="AA116" s="64">
        <f t="shared" si="36"/>
        <v>23.289300000000001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37"/>
        <v>0204-24</v>
      </c>
      <c r="AE116" s="87" t="str">
        <f t="shared" si="38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116" s="84" t="str">
        <f t="shared" si="39"/>
        <v>"C:\Program Files (x86)\AstroGrep\AstroGrep.exe" /spath="%USERPROFILE%\AppData\Local\Temp\OnboardLogs" /stypes="app*4037*20170125*" /stext=" 01:.+((SYSTEM_STATE.+slice.+state.+changed )|(ment ac)|(multiple cpu faults)|(system.+state.+changed )|(\[timeout)|(PRM\|1\|D)|(kpr)|(kdp)|(\|lc)|(penalty))" /e /r /s</v>
      </c>
      <c r="AG116" s="1" t="str">
        <f t="shared" si="40"/>
        <v>EC</v>
      </c>
      <c r="AH116" s="88" t="str">
        <f t="shared" si="41"/>
        <v>"%USERPROFILE%\Documents\GitHub\eaglep3\Utilities\RefineRTDCRunTimes.py" --tripid 204-24 --locoid 4037 --swversion DE.1.0.8.0 --startMP 204:233042 --initTime 2017-01-24T17:18:23 --startdatetime 2017-01-24T17:26:17 --delay 1 --endMP 204:149 --enddatetime 2017-01-24T18:11:49 --enforcementcount 0 &gt;&gt;C:\Users\stu\Documents\GitHub\eaglep3-reporting\EC\2017-01-24-refined-times.txt</v>
      </c>
      <c r="AI116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{"issue":{"subject":"","project_id":79,"tracker_id":40,"status_id":1,"priority_id":2,"assigned_to_id":23,"start_date":"2017-01-24","description":"","custom_fields":[{"id":1,"name":"Subdivision","value":"EC"},{"id":4,"name":"Milepost","value":"0.0149"},{"id":17,"name":"Train ID","value":"204-24"},{"id":16,"name":"Locomotive ID","value":"4037"},{"id":130,"name":"Impact","value":""},{"id":150,"name":"Time of Event (Mountain Time)","value":"18:11:49"},{"id":151,"name":"Denver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43"/>
        <v>start /low /b %USERPROFILE%\Documents\GitHub\eaglep3\Utilities\DownloadLogsFromS3.py --loco 4037 --day 2017-01-24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"%USERPROFILE%\AppData\Local\Temp\OnboardLogs"\RTDC4037\*4037*20170125* | grep -SE "(Enforcement Action)|(\[TIMEOUT)|(CHR.+\|PRM\|1\|D.+(SWITCH|SIGNAL).+UNKNOWN)" - &gt;&gt; 2017-01-24-UncaughtWiMAX.txt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631</v>
      </c>
      <c r="B117" s="7">
        <v>4003</v>
      </c>
      <c r="C117" s="22" t="s">
        <v>196</v>
      </c>
      <c r="D117" s="22" t="s">
        <v>276</v>
      </c>
      <c r="E117" s="13">
        <v>42759.695532407408</v>
      </c>
      <c r="F117" s="13">
        <v>42759.698171296295</v>
      </c>
      <c r="G117" s="7">
        <v>1</v>
      </c>
      <c r="H117" s="22" t="s">
        <v>733</v>
      </c>
      <c r="I117" s="13">
        <v>42759.725439814814</v>
      </c>
      <c r="J117" s="7">
        <v>0</v>
      </c>
      <c r="K117" s="105" t="str">
        <f t="shared" si="29"/>
        <v>4003/4004</v>
      </c>
      <c r="L117" s="22" t="str">
        <f>VLOOKUP(A117,'Trips&amp;Operators'!$C$1:$G$99999,5,FALSE)</f>
        <v>LEVERE CRAIG</v>
      </c>
      <c r="M117" s="6">
        <f t="shared" si="30"/>
        <v>2.7268518519122154E-2</v>
      </c>
      <c r="N117" s="7">
        <f t="shared" si="47"/>
        <v>39.266666667535901</v>
      </c>
      <c r="O117" s="7"/>
      <c r="P117" s="7"/>
      <c r="Q117" s="23"/>
      <c r="R117" s="23"/>
      <c r="S117" s="32">
        <f t="shared" si="48"/>
        <v>1</v>
      </c>
      <c r="T117" s="47" t="str">
        <f t="shared" si="31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2"/>
        <v>https://d0f6bd738d7f1b3e5a7ca70fe4ff75f0.us-east-1.aws.found.io/app/kibana#/discover/Steve-Slow-Train-Analysis-(2080s-and-2083s)?_g=(refreshInterval:(display:Off,pause:!f,section:0,value:0),time:(from:'2017-01-24T15:41:34-0700',mode:absolute,to:'2017-01-24T18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49" t="str">
        <f t="shared" si="33"/>
        <v>N</v>
      </c>
      <c r="X117" s="170">
        <f t="shared" ref="X117:X123" si="51">VALUE(LEFT(AD117,4))-VALUE(LEFT(AD116,4))</f>
        <v>1</v>
      </c>
      <c r="Y117" s="64">
        <f t="shared" si="50"/>
        <v>4.4400000000000002E-2</v>
      </c>
      <c r="Z117" s="64">
        <f t="shared" si="49"/>
        <v>23.331900000000001</v>
      </c>
      <c r="AA117" s="64">
        <f t="shared" si="36"/>
        <v>23.287500000000001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37"/>
        <v>0205-24</v>
      </c>
      <c r="AE117" s="87" t="str">
        <f t="shared" si="38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117" s="84" t="str">
        <f t="shared" si="39"/>
        <v>"C:\Program Files (x86)\AstroGrep\AstroGrep.exe" /spath="%USERPROFILE%\AppData\Local\Temp\OnboardLogs" /stypes="app*4003*20170125*" /stext=" 00:.+((SYSTEM_STATE.+slice.+state.+changed )|(ment ac)|(multiple cpu faults)|(system.+state.+changed )|(\[timeout)|(PRM\|1\|D)|(kpr)|(kdp)|(\|lc)|(penalty))" /e /r /s</v>
      </c>
      <c r="AG117" s="1" t="str">
        <f t="shared" si="40"/>
        <v>EC</v>
      </c>
      <c r="AH117" s="88" t="str">
        <f t="shared" si="41"/>
        <v>"%USERPROFILE%\Documents\GitHub\eaglep3\Utilities\RefineRTDCRunTimes.py" --tripid 205-24 --locoid 4003 --swversion DE.1.0.8.0 --startMP 204:444 --initTime 2017-01-24T16:41:34 --startdatetime 2017-01-24T16:45:22 --delay 1 --endMP 204:233319 --enddatetime 2017-01-24T17:24:38 --enforcementcount 0 &gt;&gt;C:\Users\stu\Documents\GitHub\eaglep3-reporting\EC\2017-01-24-refined-times.txt</v>
      </c>
      <c r="AI117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{"issue":{"subject":"","project_id":79,"tracker_id":40,"status_id":1,"priority_id":2,"assigned_to_id":23,"start_date":"2017-01-24","description":"","custom_fields":[{"id":1,"name":"Subdivision","value":"EC"},{"id":4,"name":"Milepost","value":"23.3319"},{"id":17,"name":"Train ID","value":"205-24"},{"id":16,"name":"Locomotive ID","value":"4003"},{"id":130,"name":"Impact","value":""},{"id":150,"name":"Time of Event (Mountain Time)","value":"17:24:38"},{"id":151,"name":"Denver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43"/>
        <v>start /low /b %USERPROFILE%\Documents\GitHub\eaglep3\Utilities\DownloadLogsFromS3.py --loco 4003 --day 2017-01-24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"%USERPROFILE%\AppData\Local\Temp\OnboardLogs"\RTDC4003\*4003*20170125* | grep -SE "(Enforcement Action)|(\[TIMEOUT)|(CHR.+\|PRM\|1\|D.+(SWITCH|SIGNAL).+UNKNOWN)" - &gt;&gt; 2017-01-24-UncaughtWiMAX.txt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642</v>
      </c>
      <c r="B118" s="7">
        <v>4004</v>
      </c>
      <c r="C118" s="22" t="s">
        <v>196</v>
      </c>
      <c r="D118" s="22" t="s">
        <v>722</v>
      </c>
      <c r="E118" s="13">
        <v>42759.729826388888</v>
      </c>
      <c r="F118" s="13">
        <v>42759.737060185187</v>
      </c>
      <c r="G118" s="7">
        <v>1</v>
      </c>
      <c r="H118" s="22" t="s">
        <v>297</v>
      </c>
      <c r="I118" s="13">
        <v>42759.768680555557</v>
      </c>
      <c r="J118" s="7">
        <v>0</v>
      </c>
      <c r="K118" s="105" t="str">
        <f t="shared" si="29"/>
        <v>4003/4004</v>
      </c>
      <c r="L118" s="22" t="str">
        <f>VLOOKUP(A118,'Trips&amp;Operators'!$C$1:$G$99999,5,FALSE)</f>
        <v>LEVERE CRAIG</v>
      </c>
      <c r="M118" s="6">
        <f t="shared" si="30"/>
        <v>3.1620370369637385E-2</v>
      </c>
      <c r="N118" s="7">
        <f t="shared" si="47"/>
        <v>45.533333332277834</v>
      </c>
      <c r="O118" s="7"/>
      <c r="P118" s="7"/>
      <c r="Q118" s="23"/>
      <c r="R118" s="23"/>
      <c r="S118" s="32">
        <f t="shared" si="48"/>
        <v>1</v>
      </c>
      <c r="T118" s="47" t="str">
        <f t="shared" si="31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2"/>
        <v>https://d0f6bd738d7f1b3e5a7ca70fe4ff75f0.us-east-1.aws.found.io/app/kibana#/discover/Steve-Slow-Train-Analysis-(2080s-and-2083s)?_g=(refreshInterval:(display:Off,pause:!f,section:0,value:0),time:(from:'2017-01-24T16:30:57-0700',mode:absolute,to:'2017-01-24T19:26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49" t="str">
        <f t="shared" si="33"/>
        <v>N</v>
      </c>
      <c r="X118" s="170">
        <f t="shared" si="51"/>
        <v>1</v>
      </c>
      <c r="Y118" s="64">
        <f t="shared" si="50"/>
        <v>23.3</v>
      </c>
      <c r="Z118" s="64">
        <f t="shared" si="49"/>
        <v>1.41E-2</v>
      </c>
      <c r="AA118" s="64">
        <f t="shared" si="36"/>
        <v>23.285900000000002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37"/>
        <v>0206-24</v>
      </c>
      <c r="AE118" s="87" t="str">
        <f t="shared" si="38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118" s="84" t="str">
        <f t="shared" si="39"/>
        <v>"C:\Program Files (x86)\AstroGrep\AstroGrep.exe" /spath="%USERPROFILE%\AppData\Local\Temp\OnboardLogs" /stypes="app*4004*20170125*" /stext=" 01:.+((SYSTEM_STATE.+slice.+state.+changed )|(ment ac)|(multiple cpu faults)|(system.+state.+changed )|(\[timeout)|(PRM\|1\|D)|(kpr)|(kdp)|(\|lc)|(penalty))" /e /r /s</v>
      </c>
      <c r="AG118" s="1" t="str">
        <f t="shared" si="40"/>
        <v>EC</v>
      </c>
      <c r="AH118" s="88" t="str">
        <f t="shared" si="41"/>
        <v>"%USERPROFILE%\Documents\GitHub\eaglep3\Utilities\RefineRTDCRunTimes.py" --tripid 206-24 --locoid 4004 --swversion DE.1.0.8.0 --startMP 204:233000 --initTime 2017-01-24T17:30:57 --startdatetime 2017-01-24T17:41:22 --delay 1 --endMP 204:141 --enddatetime 2017-01-24T18:26:54 --enforcementcount 0 &gt;&gt;C:\Users\stu\Documents\GitHub\eaglep3-reporting\EC\2017-01-24-refined-times.txt</v>
      </c>
      <c r="AI118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{"issue":{"subject":"","project_id":79,"tracker_id":40,"status_id":1,"priority_id":2,"assigned_to_id":23,"start_date":"2017-01-24","description":"","custom_fields":[{"id":1,"name":"Subdivision","value":"EC"},{"id":4,"name":"Milepost","value":"0.0141"},{"id":17,"name":"Train ID","value":"206-24"},{"id":16,"name":"Locomotive ID","value":"4004"},{"id":130,"name":"Impact","value":""},{"id":150,"name":"Time of Event (Mountain Time)","value":"18:26:54"},{"id":151,"name":"Denver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43"/>
        <v>start /low /b %USERPROFILE%\Documents\GitHub\eaglep3\Utilities\DownloadLogsFromS3.py --loco 4004 --day 2017-01-24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"%USERPROFILE%\AppData\Local\Temp\OnboardLogs"\RTDC4004\*4004*20170125* | grep -SE "(Enforcement Action)|(\[TIMEOUT)|(CHR.+\|PRM\|1\|D.+(SWITCH|SIGNAL).+UNKNOWN)" - &gt;&gt; 2017-01-24-UncaughtWiMAX.txt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4" t="s">
        <v>632</v>
      </c>
      <c r="B119" s="7">
        <v>4007</v>
      </c>
      <c r="C119" s="22" t="s">
        <v>196</v>
      </c>
      <c r="D119" s="22" t="s">
        <v>407</v>
      </c>
      <c r="E119" s="13">
        <v>42759.700057870374</v>
      </c>
      <c r="F119" s="13">
        <v>42759.708599537036</v>
      </c>
      <c r="G119" s="7">
        <v>1</v>
      </c>
      <c r="H119" s="22" t="s">
        <v>340</v>
      </c>
      <c r="I119" s="13">
        <v>42759.73578703704</v>
      </c>
      <c r="J119" s="7">
        <v>0</v>
      </c>
      <c r="K119" s="105" t="str">
        <f t="shared" si="29"/>
        <v>4007/4008</v>
      </c>
      <c r="L119" s="22" t="str">
        <f>VLOOKUP(A119,'Trips&amp;Operators'!$C$1:$G$99999,5,FALSE)</f>
        <v>SWANSON BRYCE</v>
      </c>
      <c r="M119" s="6">
        <f t="shared" si="30"/>
        <v>2.718750000349246E-2</v>
      </c>
      <c r="N119" s="7">
        <f t="shared" si="47"/>
        <v>39.150000005029142</v>
      </c>
      <c r="O119" s="7"/>
      <c r="P119" s="7"/>
      <c r="Q119" s="23"/>
      <c r="R119" s="23"/>
      <c r="S119" s="32">
        <f t="shared" si="48"/>
        <v>1</v>
      </c>
      <c r="T119" s="47" t="str">
        <f t="shared" si="31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2"/>
        <v>https://d0f6bd738d7f1b3e5a7ca70fe4ff75f0.us-east-1.aws.found.io/app/kibana#/discover/Steve-Slow-Train-Analysis-(2080s-and-2083s)?_g=(refreshInterval:(display:Off,pause:!f,section:0,value:0),time:(from:'2017-01-24T15:48:05-0700',mode:absolute,to:'2017-01-24T18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9" s="49" t="str">
        <f t="shared" si="33"/>
        <v>N</v>
      </c>
      <c r="X119" s="170">
        <f t="shared" si="51"/>
        <v>1</v>
      </c>
      <c r="Y119" s="64">
        <f t="shared" si="50"/>
        <v>4.7699999999999999E-2</v>
      </c>
      <c r="Z119" s="64">
        <f t="shared" si="49"/>
        <v>23.3291</v>
      </c>
      <c r="AA119" s="64">
        <f t="shared" si="36"/>
        <v>23.281400000000001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37"/>
        <v>0207-24</v>
      </c>
      <c r="AE119" s="87" t="str">
        <f t="shared" si="38"/>
        <v>aws s3 cp s3://rtdc.mdm.uploadarchive.raw/RTDC4007/ "%USERPROFILE%\AppData\Local\Temp\OnboardLogs"\RTDC4007\2017-01-24 --exclude "*" --recursive --include "*20170124*" &amp; "%USERPROFILE%\Documents\GitHub\mrs-test-scripts\Headless Mode &amp; Sideloading\WalkAndUnGZ.bat" "%USERPROFILE%\AppData\Local\Temp\OnboardLogs"\RTDC4007\2017-01-24 &amp; aws s3 cp s3://rtdc.mdm.uploadarchive.raw/RTDC4007/ "%USERPROFILE%\AppData\Local\Temp\OnboardLogs"\RTDC4007\2017-01-25 --exclude "*" --recursive --include "*20170125*" &amp; "%USERPROFILE%\Documents\GitHub\mrs-test-scripts\Headless Mode &amp; Sideloading\WalkAndUnGZ.bat" "%USERPROFILE%\AppData\Local\Temp\OnboardLogs"\RTDC4007\2017-01-25</v>
      </c>
      <c r="AF119" s="84" t="str">
        <f t="shared" si="39"/>
        <v>"C:\Program Files (x86)\AstroGrep\AstroGrep.exe" /spath="%USERPROFILE%\AppData\Local\Temp\OnboardLogs" /stypes="app*4007*20170125*" /stext=" 00:.+((SYSTEM_STATE.+slice.+state.+changed )|(ment ac)|(multiple cpu faults)|(system.+state.+changed )|(\[timeout)|(PRM\|1\|D)|(kpr)|(kdp)|(\|lc)|(penalty))" /e /r /s</v>
      </c>
      <c r="AG119" s="1" t="str">
        <f t="shared" si="40"/>
        <v>EC</v>
      </c>
      <c r="AH119" s="88" t="str">
        <f t="shared" si="41"/>
        <v>"%USERPROFILE%\Documents\GitHub\eaglep3\Utilities\RefineRTDCRunTimes.py" --tripid 207-24 --locoid 4007 --swversion DE.1.0.8.0 --startMP 204:477 --initTime 2017-01-24T16:48:05 --startdatetime 2017-01-24T17:00:23 --delay 1 --endMP 204:233291 --enddatetime 2017-01-24T17:39:32 --enforcementcount 0 &gt;&gt;C:\Users\stu\Documents\GitHub\eaglep3-reporting\EC\2017-01-24-refined-times.txt</v>
      </c>
      <c r="AI119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{"issue":{"subject":"","project_id":79,"tracker_id":40,"status_id":1,"priority_id":2,"assigned_to_id":23,"start_date":"2017-01-24","description":"","custom_fields":[{"id":1,"name":"Subdivision","value":"EC"},{"id":4,"name":"Milepost","value":"23.3291"},{"id":17,"name":"Train ID","value":"207-24"},{"id":16,"name":"Locomotive ID","value":"4007"},{"id":130,"name":"Impact","value":""},{"id":150,"name":"Time of Event (Mountain Time)","value":"17:39:32"},{"id":151,"name":"Denver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43"/>
        <v>start /low /b %USERPROFILE%\Documents\GitHub\eaglep3\Utilities\DownloadLogsFromS3.py --loco 4007 --day 2017-01-24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"%USERPROFILE%\AppData\Local\Temp\OnboardLogs"\RTDC4007\*4007*20170125* | grep -SE "(Enforcement Action)|(\[TIMEOUT)|(CHR.+\|PRM\|1\|D.+(SWITCH|SIGNAL).+UNKNOWN)" - &gt;&gt; 2017-01-24-UncaughtWiMAX.txt</v>
      </c>
    </row>
    <row r="120" spans="1:91" s="21" customFormat="1" x14ac:dyDescent="0.25">
      <c r="A120" s="34" t="s">
        <v>483</v>
      </c>
      <c r="B120" s="7">
        <v>4008</v>
      </c>
      <c r="C120" s="22" t="s">
        <v>196</v>
      </c>
      <c r="D120" s="22" t="s">
        <v>214</v>
      </c>
      <c r="E120" s="13">
        <v>42759.73909722222</v>
      </c>
      <c r="F120" s="13">
        <v>42759.747499999998</v>
      </c>
      <c r="G120" s="7">
        <v>1</v>
      </c>
      <c r="H120" s="22" t="s">
        <v>205</v>
      </c>
      <c r="I120" s="13">
        <v>42759.778368055559</v>
      </c>
      <c r="J120" s="7">
        <v>0</v>
      </c>
      <c r="K120" s="105" t="str">
        <f t="shared" si="29"/>
        <v>4007/4008</v>
      </c>
      <c r="L120" s="22" t="str">
        <f>VLOOKUP(A120,'Trips&amp;Operators'!$C$1:$G$99999,5,FALSE)</f>
        <v>SWANSON BRYCE</v>
      </c>
      <c r="M120" s="6">
        <f t="shared" si="30"/>
        <v>3.086805556085892E-2</v>
      </c>
      <c r="N120" s="7">
        <f t="shared" si="47"/>
        <v>44.450000007636845</v>
      </c>
      <c r="O120" s="7"/>
      <c r="P120" s="7"/>
      <c r="Q120" s="23"/>
      <c r="R120" s="23"/>
      <c r="S120" s="32">
        <f t="shared" si="48"/>
        <v>1</v>
      </c>
      <c r="T120" s="47" t="str">
        <f t="shared" si="31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2"/>
        <v>https://d0f6bd738d7f1b3e5a7ca70fe4ff75f0.us-east-1.aws.found.io/app/kibana#/discover/Steve-Slow-Train-Analysis-(2080s-and-2083s)?_g=(refreshInterval:(display:Off,pause:!f,section:0,value:0),time:(from:'2017-01-24T16:44:18-0700',mode:absolute,to:'2017-01-24T19:40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49" t="str">
        <f t="shared" si="33"/>
        <v>N</v>
      </c>
      <c r="X120" s="170">
        <f t="shared" si="51"/>
        <v>1</v>
      </c>
      <c r="Y120" s="64">
        <f t="shared" si="50"/>
        <v>23.297699999999999</v>
      </c>
      <c r="Z120" s="64">
        <f t="shared" si="49"/>
        <v>1.4500000000000001E-2</v>
      </c>
      <c r="AA120" s="64">
        <f t="shared" si="36"/>
        <v>23.283199999999997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37"/>
        <v>0208-24</v>
      </c>
      <c r="AE120" s="87" t="str">
        <f t="shared" si="38"/>
        <v>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 &amp; aws s3 cp s3://rtdc.mdm.uploadarchive.raw/RTDC4008/ "%USERPROFILE%\AppData\Local\Temp\OnboardLogs"\RTDC4008\2017-01-25 --exclude "*" --recursive --include "*20170125*" &amp; "%USERPROFILE%\Documents\GitHub\mrs-test-scripts\Headless Mode &amp; Sideloading\WalkAndUnGZ.bat" "%USERPROFILE%\AppData\Local\Temp\OnboardLogs"\RTDC4008\2017-01-25</v>
      </c>
      <c r="AF120" s="84" t="str">
        <f t="shared" si="39"/>
        <v>"C:\Program Files (x86)\AstroGrep\AstroGrep.exe" /spath="%USERPROFILE%\AppData\Local\Temp\OnboardLogs" /stypes="app*4008*20170125*" /stext=" 01:.+((SYSTEM_STATE.+slice.+state.+changed )|(ment ac)|(multiple cpu faults)|(system.+state.+changed )|(\[timeout)|(PRM\|1\|D)|(kpr)|(kdp)|(\|lc)|(penalty))" /e /r /s</v>
      </c>
      <c r="AG120" s="1" t="str">
        <f t="shared" si="40"/>
        <v>EC</v>
      </c>
      <c r="AH120" s="88" t="str">
        <f t="shared" si="41"/>
        <v>"%USERPROFILE%\Documents\GitHub\eaglep3\Utilities\RefineRTDCRunTimes.py" --tripid 208-24 --locoid 4008 --swversion DE.1.0.8.0 --startMP 204:232977 --initTime 2017-01-24T17:44:18 --startdatetime 2017-01-24T17:56:24 --delay 1 --endMP 204:145 --enddatetime 2017-01-24T18:40:51 --enforcementcount 0 &gt;&gt;C:\Users\stu\Documents\GitHub\eaglep3-reporting\EC\2017-01-24-refined-times.txt</v>
      </c>
      <c r="AI120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{"issue":{"subject":"","project_id":79,"tracker_id":40,"status_id":1,"priority_id":2,"assigned_to_id":23,"start_date":"2017-01-24","description":"","custom_fields":[{"id":1,"name":"Subdivision","value":"EC"},{"id":4,"name":"Milepost","value":"0.0145"},{"id":17,"name":"Train ID","value":"208-24"},{"id":16,"name":"Locomotive ID","value":"4008"},{"id":130,"name":"Impact","value":""},{"id":150,"name":"Time of Event (Mountain Time)","value":"18:40:51"},{"id":151,"name":"Denver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43"/>
        <v>start /low /b %USERPROFILE%\Documents\GitHub\eaglep3\Utilities\DownloadLogsFromS3.py --loco 4008 --day 2017-01-24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"%USERPROFILE%\AppData\Local\Temp\OnboardLogs"\RTDC4008\*4008*20170125* | grep -SE "(Enforcement Action)|(\[TIMEOUT)|(CHR.+\|PRM\|1\|D.+(SWITCH|SIGNAL).+UNKNOWN)" - &gt;&gt; 2017-01-24-UncaughtWiMAX.txt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 s="34" t="s">
        <v>638</v>
      </c>
      <c r="B121" s="7">
        <v>4009</v>
      </c>
      <c r="C121" s="22" t="s">
        <v>196</v>
      </c>
      <c r="D121" s="22" t="s">
        <v>745</v>
      </c>
      <c r="E121" s="13">
        <v>42759.717812499999</v>
      </c>
      <c r="F121" s="13">
        <v>42759.719212962962</v>
      </c>
      <c r="G121" s="7">
        <v>1</v>
      </c>
      <c r="H121" s="22" t="s">
        <v>763</v>
      </c>
      <c r="I121" s="13">
        <v>42759.74659722222</v>
      </c>
      <c r="J121" s="7">
        <v>0</v>
      </c>
      <c r="K121" s="105" t="str">
        <f t="shared" si="29"/>
        <v>4009/4010</v>
      </c>
      <c r="L121" s="22" t="str">
        <f>VLOOKUP(A121,'Trips&amp;Operators'!$C$1:$G$99999,5,FALSE)</f>
        <v>CHANDLER KELVIN</v>
      </c>
      <c r="M121" s="6">
        <f t="shared" si="30"/>
        <v>2.7384259257814847E-2</v>
      </c>
      <c r="N121" s="7">
        <f t="shared" si="47"/>
        <v>39.43333333125338</v>
      </c>
      <c r="O121" s="7"/>
      <c r="P121" s="7"/>
      <c r="Q121" s="23"/>
      <c r="R121" s="23"/>
      <c r="S121" s="32">
        <f t="shared" si="48"/>
        <v>1</v>
      </c>
      <c r="T121" s="47" t="str">
        <f t="shared" si="31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2"/>
        <v>https://d0f6bd738d7f1b3e5a7ca70fe4ff75f0.us-east-1.aws.found.io/app/kibana#/discover/Steve-Slow-Train-Analysis-(2080s-and-2083s)?_g=(refreshInterval:(display:Off,pause:!f,section:0,value:0),time:(from:'2017-01-24T16:13:39-0700',mode:absolute,to:'2017-01-24T18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1" s="49" t="str">
        <f t="shared" si="33"/>
        <v>N</v>
      </c>
      <c r="X121" s="170">
        <f t="shared" si="51"/>
        <v>1</v>
      </c>
      <c r="Y121" s="64">
        <f t="shared" si="50"/>
        <v>4.82E-2</v>
      </c>
      <c r="Z121" s="64">
        <f t="shared" si="49"/>
        <v>23.328299999999999</v>
      </c>
      <c r="AA121" s="64">
        <f t="shared" si="36"/>
        <v>23.280099999999997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37"/>
        <v>0209-24</v>
      </c>
      <c r="AE121" s="87" t="str">
        <f t="shared" si="38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121" s="84" t="str">
        <f t="shared" si="39"/>
        <v>"C:\Program Files (x86)\AstroGrep\AstroGrep.exe" /spath="%USERPROFILE%\AppData\Local\Temp\OnboardLogs" /stypes="app*4009*20170125*" /stext=" 00:.+((SYSTEM_STATE.+slice.+state.+changed )|(ment ac)|(multiple cpu faults)|(system.+state.+changed )|(\[timeout)|(PRM\|1\|D)|(kpr)|(kdp)|(\|lc)|(penalty))" /e /r /s</v>
      </c>
      <c r="AG121" s="1" t="str">
        <f t="shared" si="40"/>
        <v>EC</v>
      </c>
      <c r="AH121" s="88" t="str">
        <f t="shared" si="41"/>
        <v>"%USERPROFILE%\Documents\GitHub\eaglep3\Utilities\RefineRTDCRunTimes.py" --tripid 209-24 --locoid 4009 --swversion DE.1.0.8.0 --startMP 204:482 --initTime 2017-01-24T17:13:39 --startdatetime 2017-01-24T17:15:40 --delay 1 --endMP 204:233283 --enddatetime 2017-01-24T17:55:06 --enforcementcount 0 &gt;&gt;C:\Users\stu\Documents\GitHub\eaglep3-reporting\EC\2017-01-24-refined-times.txt</v>
      </c>
      <c r="AI121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{"issue":{"subject":"","project_id":79,"tracker_id":40,"status_id":1,"priority_id":2,"assigned_to_id":23,"start_date":"2017-01-24","description":"","custom_fields":[{"id":1,"name":"Subdivision","value":"EC"},{"id":4,"name":"Milepost","value":"23.3283"},{"id":17,"name":"Train ID","value":"209-24"},{"id":16,"name":"Locomotive ID","value":"4009"},{"id":130,"name":"Impact","value":""},{"id":150,"name":"Time of Event (Mountain Time)","value":"17:55:06"},{"id":151,"name":"Denver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43"/>
        <v>start /low /b %USERPROFILE%\Documents\GitHub\eaglep3\Utilities\DownloadLogsFromS3.py --loco 4009 --day 2017-01-24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"%USERPROFILE%\AppData\Local\Temp\OnboardLogs"\RTDC4009\*4009*20170125* | grep -SE "(Enforcement Action)|(\[TIMEOUT)|(CHR.+\|PRM\|1\|D.+(SWITCH|SIGNAL).+UNKNOWN)" - &gt;&gt; 2017-01-24-UncaughtWiMAX.txt</v>
      </c>
    </row>
    <row r="122" spans="1:91" s="21" customFormat="1" x14ac:dyDescent="0.25">
      <c r="A122" s="34" t="s">
        <v>649</v>
      </c>
      <c r="B122" s="7">
        <v>4010</v>
      </c>
      <c r="C122" s="22" t="s">
        <v>196</v>
      </c>
      <c r="D122" s="22" t="s">
        <v>424</v>
      </c>
      <c r="E122" s="13">
        <v>42759.756215277775</v>
      </c>
      <c r="F122" s="13">
        <v>42759.757916666669</v>
      </c>
      <c r="G122" s="7">
        <v>1</v>
      </c>
      <c r="H122" s="22" t="s">
        <v>215</v>
      </c>
      <c r="I122" s="13">
        <v>42759.787164351852</v>
      </c>
      <c r="J122" s="7">
        <v>0</v>
      </c>
      <c r="K122" s="105" t="str">
        <f t="shared" si="29"/>
        <v>4009/4010</v>
      </c>
      <c r="L122" s="22" t="str">
        <f>VLOOKUP(A122,'Trips&amp;Operators'!$C$1:$G$99999,5,FALSE)</f>
        <v>CHANDLER KELVIN</v>
      </c>
      <c r="M122" s="6">
        <f t="shared" si="30"/>
        <v>2.9247685182781424E-2</v>
      </c>
      <c r="N122" s="7">
        <f t="shared" si="47"/>
        <v>42.116666663205251</v>
      </c>
      <c r="O122" s="7"/>
      <c r="P122" s="7"/>
      <c r="Q122" s="23"/>
      <c r="R122" s="23"/>
      <c r="S122" s="32">
        <f t="shared" si="48"/>
        <v>1</v>
      </c>
      <c r="T122" s="47" t="str">
        <f t="shared" si="31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2"/>
        <v>https://d0f6bd738d7f1b3e5a7ca70fe4ff75f0.us-east-1.aws.found.io/app/kibana#/discover/Steve-Slow-Train-Analysis-(2080s-and-2083s)?_g=(refreshInterval:(display:Off,pause:!f,section:0,value:0),time:(from:'2017-01-24T17:08:57-0700',mode:absolute,to:'2017-01-24T19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49" t="str">
        <f t="shared" si="33"/>
        <v>N</v>
      </c>
      <c r="X122" s="170">
        <f t="shared" si="51"/>
        <v>1</v>
      </c>
      <c r="Y122" s="64">
        <f t="shared" si="50"/>
        <v>23.2972</v>
      </c>
      <c r="Z122" s="64">
        <f t="shared" si="49"/>
        <v>1.6E-2</v>
      </c>
      <c r="AA122" s="64">
        <f t="shared" si="36"/>
        <v>23.281200000000002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37"/>
        <v>0210-24</v>
      </c>
      <c r="AE122" s="87" t="str">
        <f t="shared" si="38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122" s="84" t="str">
        <f t="shared" si="39"/>
        <v>"C:\Program Files (x86)\AstroGrep\AstroGrep.exe" /spath="%USERPROFILE%\AppData\Local\Temp\OnboardLogs" /stypes="app*4010*20170125*" /stext=" 01:.+((SYSTEM_STATE.+slice.+state.+changed )|(ment ac)|(multiple cpu faults)|(system.+state.+changed )|(\[timeout)|(PRM\|1\|D)|(kpr)|(kdp)|(\|lc)|(penalty))" /e /r /s</v>
      </c>
      <c r="AG122" s="1" t="str">
        <f t="shared" si="40"/>
        <v>EC</v>
      </c>
      <c r="AH122" s="88" t="str">
        <f t="shared" si="41"/>
        <v>"%USERPROFILE%\Documents\GitHub\eaglep3\Utilities\RefineRTDCRunTimes.py" --tripid 210-24 --locoid 4010 --swversion DE.1.0.8.0 --startMP 204:232972 --initTime 2017-01-24T18:08:57 --startdatetime 2017-01-24T18:11:24 --delay 1 --endMP 204:160 --enddatetime 2017-01-24T18:53:31 --enforcementcount 0 &gt;&gt;C:\Users\stu\Documents\GitHub\eaglep3-reporting\EC\2017-01-24-refined-times.txt</v>
      </c>
      <c r="AI122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{"issue":{"subject":"","project_id":79,"tracker_id":40,"status_id":1,"priority_id":2,"assigned_to_id":23,"start_date":"2017-01-24","description":"","custom_fields":[{"id":1,"name":"Subdivision","value":"EC"},{"id":4,"name":"Milepost","value":"0.016"},{"id":17,"name":"Train ID","value":"210-24"},{"id":16,"name":"Locomotive ID","value":"4010"},{"id":130,"name":"Impact","value":""},{"id":150,"name":"Time of Event (Mountain Time)","value":"18:53:31"},{"id":151,"name":"Denver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43"/>
        <v>start /low /b %USERPROFILE%\Documents\GitHub\eaglep3\Utilities\DownloadLogsFromS3.py --loco 4010 --day 2017-01-24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"%USERPROFILE%\AppData\Local\Temp\OnboardLogs"\RTDC4010\*4010*20170125* | grep -SE "(Enforcement Action)|(\[TIMEOUT)|(CHR.+\|PRM\|1\|D.+(SWITCH|SIGNAL).+UNKNOWN)" - &gt;&gt; 2017-01-24-UncaughtWiMAX.txt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641</v>
      </c>
      <c r="B123" s="7">
        <v>4051</v>
      </c>
      <c r="C123" s="22" t="s">
        <v>196</v>
      </c>
      <c r="D123" s="22" t="s">
        <v>263</v>
      </c>
      <c r="E123" s="13">
        <v>42759.726574074077</v>
      </c>
      <c r="F123" s="13">
        <v>42759.729560185187</v>
      </c>
      <c r="G123" s="7">
        <v>1</v>
      </c>
      <c r="H123" s="22" t="s">
        <v>764</v>
      </c>
      <c r="I123" s="13">
        <v>42759.756226851852</v>
      </c>
      <c r="J123" s="7">
        <v>0</v>
      </c>
      <c r="K123" s="105" t="str">
        <f t="shared" si="29"/>
        <v>4051/4052</v>
      </c>
      <c r="L123" s="22" t="str">
        <f>VLOOKUP(A123,'Trips&amp;Operators'!$C$1:$G$99999,5,FALSE)</f>
        <v>CRAYTON QUNTRELL</v>
      </c>
      <c r="M123" s="6">
        <f t="shared" si="30"/>
        <v>2.6666666664823424E-2</v>
      </c>
      <c r="N123" s="7">
        <f t="shared" si="47"/>
        <v>38.399999997345731</v>
      </c>
      <c r="O123" s="7"/>
      <c r="P123" s="7"/>
      <c r="Q123" s="23"/>
      <c r="R123" s="23"/>
      <c r="S123" s="32">
        <f t="shared" si="48"/>
        <v>1</v>
      </c>
      <c r="T123" s="47" t="str">
        <f t="shared" si="31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2"/>
        <v>https://d0f6bd738d7f1b3e5a7ca70fe4ff75f0.us-east-1.aws.found.io/app/kibana#/discover/Steve-Slow-Train-Analysis-(2080s-and-2083s)?_g=(refreshInterval:(display:Off,pause:!f,section:0,value:0),time:(from:'2017-01-24T16:26:16-0700',mode:absolute,to:'2017-01-24T19:08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3" s="49" t="str">
        <f t="shared" si="33"/>
        <v>N</v>
      </c>
      <c r="X123" s="170">
        <f t="shared" si="51"/>
        <v>1</v>
      </c>
      <c r="Y123" s="64">
        <f t="shared" si="50"/>
        <v>4.5699999999999998E-2</v>
      </c>
      <c r="Z123" s="64">
        <f t="shared" si="49"/>
        <v>23.3276</v>
      </c>
      <c r="AA123" s="64">
        <f t="shared" si="36"/>
        <v>23.2819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37"/>
        <v>0211-24</v>
      </c>
      <c r="AE123" s="87" t="str">
        <f t="shared" si="38"/>
        <v>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 &amp; aws s3 cp s3://rtdc.mdm.uploadarchive.raw/RTDC4051/ "%USERPROFILE%\AppData\Local\Temp\OnboardLogs"\RTDC4051\2017-01-25 --exclude "*" --recursive --include "*20170125*" &amp; "%USERPROFILE%\Documents\GitHub\mrs-test-scripts\Headless Mode &amp; Sideloading\WalkAndUnGZ.bat" "%USERPROFILE%\AppData\Local\Temp\OnboardLogs"\RTDC4051\2017-01-25</v>
      </c>
      <c r="AF123" s="84" t="str">
        <f t="shared" si="39"/>
        <v>"C:\Program Files (x86)\AstroGrep\AstroGrep.exe" /spath="%USERPROFILE%\AppData\Local\Temp\OnboardLogs" /stypes="app*4051*20170125*" /stext=" 01:.+((SYSTEM_STATE.+slice.+state.+changed )|(ment ac)|(multiple cpu faults)|(system.+state.+changed )|(\[timeout)|(PRM\|1\|D)|(kpr)|(kdp)|(\|lc)|(penalty))" /e /r /s</v>
      </c>
      <c r="AG123" s="1" t="str">
        <f t="shared" si="40"/>
        <v>EC</v>
      </c>
      <c r="AH123" s="88" t="str">
        <f t="shared" si="41"/>
        <v>"%USERPROFILE%\Documents\GitHub\eaglep3\Utilities\RefineRTDCRunTimes.py" --tripid 211-24 --locoid 4051 --swversion DE.1.0.8.0 --startMP 204:457 --initTime 2017-01-24T17:26:16 --startdatetime 2017-01-24T17:30:34 --delay 1 --endMP 204:233276 --enddatetime 2017-01-24T18:08:58 --enforcementcount 0 &gt;&gt;C:\Users\stu\Documents\GitHub\eaglep3-reporting\EC\2017-01-24-refined-times.txt</v>
      </c>
      <c r="AI123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{"issue":{"subject":"","project_id":79,"tracker_id":40,"status_id":1,"priority_id":2,"assigned_to_id":23,"start_date":"2017-01-24","description":"","custom_fields":[{"id":1,"name":"Subdivision","value":"EC"},{"id":4,"name":"Milepost","value":"23.3276"},{"id":17,"name":"Train ID","value":"211-24"},{"id":16,"name":"Locomotive ID","value":"4051"},{"id":130,"name":"Impact","value":""},{"id":150,"name":"Time of Event (Mountain Time)","value":"18:08:58"},{"id":151,"name":"Denver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43"/>
        <v>start /low /b %USERPROFILE%\Documents\GitHub\eaglep3\Utilities\DownloadLogsFromS3.py --loco 4051 --day 2017-01-24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"%USERPROFILE%\AppData\Local\Temp\OnboardLogs"\RTDC4051\*4051*20170125* | grep -SE "(Enforcement Action)|(\[TIMEOUT)|(CHR.+\|PRM\|1\|D.+(SWITCH|SIGNAL).+UNKNOWN)" - &gt;&gt; 2017-01-24-UncaughtWiMAX.txt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652</v>
      </c>
      <c r="B124" s="7">
        <v>4052</v>
      </c>
      <c r="C124" s="22" t="s">
        <v>196</v>
      </c>
      <c r="D124" s="22" t="s">
        <v>405</v>
      </c>
      <c r="E124" s="13">
        <v>42759.763240740744</v>
      </c>
      <c r="F124" s="13">
        <v>42759.76829861111</v>
      </c>
      <c r="G124" s="7">
        <v>1</v>
      </c>
      <c r="H124" s="22" t="s">
        <v>765</v>
      </c>
      <c r="I124" s="13">
        <v>42759.798958333333</v>
      </c>
      <c r="J124" s="7">
        <v>0</v>
      </c>
      <c r="K124" s="105" t="str">
        <f t="shared" si="29"/>
        <v>4051/4052</v>
      </c>
      <c r="L124" s="22" t="str">
        <f>VLOOKUP(A124,'Trips&amp;Operators'!$C$1:$G$99999,5,FALSE)</f>
        <v>CRAYTON QUNTRELL</v>
      </c>
      <c r="M124" s="6">
        <f t="shared" si="30"/>
        <v>3.0659722222480923E-2</v>
      </c>
      <c r="N124" s="7">
        <f t="shared" si="47"/>
        <v>44.150000000372529</v>
      </c>
      <c r="O124" s="7"/>
      <c r="P124" s="7"/>
      <c r="Q124" s="23"/>
      <c r="R124" s="23"/>
      <c r="S124" s="32">
        <f t="shared" si="48"/>
        <v>1</v>
      </c>
      <c r="T124" s="47" t="str">
        <f t="shared" si="31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2"/>
        <v>https://d0f6bd738d7f1b3e5a7ca70fe4ff75f0.us-east-1.aws.found.io/app/kibana#/discover/Steve-Slow-Train-Analysis-(2080s-and-2083s)?_g=(refreshInterval:(display:Off,pause:!f,section:0,value:0),time:(from:'2017-01-24T17:19:04-0700',mode:absolute,to:'2017-01-24T20:10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49" t="str">
        <f t="shared" si="33"/>
        <v>N</v>
      </c>
      <c r="X124" s="170">
        <f t="shared" ref="X124:X137" si="52">VALUE(LEFT(AD124,4))-VALUE(LEFT(AD123,4))</f>
        <v>1</v>
      </c>
      <c r="Y124" s="64">
        <f t="shared" si="50"/>
        <v>23.296299999999999</v>
      </c>
      <c r="Z124" s="64">
        <f t="shared" si="49"/>
        <v>2.4E-2</v>
      </c>
      <c r="AA124" s="64">
        <f t="shared" si="36"/>
        <v>23.272299999999998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37"/>
        <v>0212-24</v>
      </c>
      <c r="AE124" s="87" t="str">
        <f t="shared" si="38"/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AF124" s="84" t="str">
        <f t="shared" si="39"/>
        <v>"C:\Program Files (x86)\AstroGrep\AstroGrep.exe" /spath="%USERPROFILE%\AppData\Local\Temp\OnboardLogs" /stypes="app*4052*20170125*" /stext=" 02:.+((SYSTEM_STATE.+slice.+state.+changed )|(ment ac)|(multiple cpu faults)|(system.+state.+changed )|(\[timeout)|(PRM\|1\|D)|(kpr)|(kdp)|(\|lc)|(penalty))" /e /r /s</v>
      </c>
      <c r="AG124" s="1" t="str">
        <f t="shared" si="40"/>
        <v>EC</v>
      </c>
      <c r="AH124" s="88" t="str">
        <f t="shared" si="41"/>
        <v>"%USERPROFILE%\Documents\GitHub\eaglep3\Utilities\RefineRTDCRunTimes.py" --tripid 212-24 --locoid 4052 --swversion DE.1.0.8.0 --startMP 204:232963 --initTime 2017-01-24T18:19:04 --startdatetime 2017-01-24T18:26:21 --delay 1 --endMP 204:240 --enddatetime 2017-01-24T19:10:30 --enforcementcount 0 &gt;&gt;C:\Users\stu\Documents\GitHub\eaglep3-reporting\EC\2017-01-24-refined-times.txt</v>
      </c>
      <c r="AI124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{"issue":{"subject":"","project_id":79,"tracker_id":40,"status_id":1,"priority_id":2,"assigned_to_id":23,"start_date":"2017-01-24","description":"","custom_fields":[{"id":1,"name":"Subdivision","value":"EC"},{"id":4,"name":"Milepost","value":"0.024"},{"id":17,"name":"Train ID","value":"212-24"},{"id":16,"name":"Locomotive ID","value":"4052"},{"id":130,"name":"Impact","value":""},{"id":150,"name":"Time of Event (Mountain Time)","value":"19:10:30"},{"id":151,"name":"Denver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43"/>
        <v>start /low /b %USERPROFILE%\Documents\GitHub\eaglep3\Utilities\DownloadLogsFromS3.py --loco 4052 --day 2017-01-24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"%USERPROFILE%\AppData\Local\Temp\OnboardLogs"\RTDC4052\*4052*20170125* | grep -SE "(Enforcement Action)|(\[TIMEOUT)|(CHR.+\|PRM\|1\|D.+(SWITCH|SIGNAL).+UNKNOWN)" - &gt;&gt; 2017-01-24-UncaughtWiMAX.txt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634</v>
      </c>
      <c r="B125" s="7">
        <v>4025</v>
      </c>
      <c r="C125" s="22" t="s">
        <v>196</v>
      </c>
      <c r="D125" s="22" t="s">
        <v>343</v>
      </c>
      <c r="E125" s="13">
        <v>42759.734803240739</v>
      </c>
      <c r="F125" s="13">
        <v>42759.739803240744</v>
      </c>
      <c r="G125" s="7">
        <v>1</v>
      </c>
      <c r="H125" s="22" t="s">
        <v>360</v>
      </c>
      <c r="I125" s="13">
        <v>42759.765405092592</v>
      </c>
      <c r="J125" s="7">
        <v>0</v>
      </c>
      <c r="K125" s="105" t="str">
        <f t="shared" si="29"/>
        <v>4025/4026</v>
      </c>
      <c r="L125" s="22" t="str">
        <f>VLOOKUP(A125,'Trips&amp;Operators'!$C$1:$G$99999,5,FALSE)</f>
        <v>NEWELL JAMES</v>
      </c>
      <c r="M125" s="6">
        <f t="shared" si="30"/>
        <v>2.5601851848477963E-2</v>
      </c>
      <c r="N125" s="7">
        <f t="shared" si="47"/>
        <v>36.866666661808267</v>
      </c>
      <c r="O125" s="7"/>
      <c r="P125" s="7"/>
      <c r="Q125" s="23"/>
      <c r="R125" s="23"/>
      <c r="S125" s="32">
        <f t="shared" si="48"/>
        <v>1</v>
      </c>
      <c r="T125" s="47" t="str">
        <f t="shared" si="31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2"/>
        <v>https://d0f6bd738d7f1b3e5a7ca70fe4ff75f0.us-east-1.aws.found.io/app/kibana#/discover/Steve-Slow-Train-Analysis-(2080s-and-2083s)?_g=(refreshInterval:(display:Off,pause:!f,section:0,value:0),time:(from:'2017-01-24T16:38:07-0700',mode:absolute,to:'2017-01-24T19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5" s="49" t="str">
        <f t="shared" si="33"/>
        <v>N</v>
      </c>
      <c r="X125" s="170">
        <f t="shared" si="52"/>
        <v>1</v>
      </c>
      <c r="Y125" s="64">
        <f t="shared" si="50"/>
        <v>4.7100000000000003E-2</v>
      </c>
      <c r="Z125" s="64">
        <f t="shared" si="49"/>
        <v>23.331499999999998</v>
      </c>
      <c r="AA125" s="64">
        <f t="shared" si="36"/>
        <v>23.284399999999998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37"/>
        <v>0213-24</v>
      </c>
      <c r="AE125" s="87" t="str">
        <f t="shared" si="38"/>
        <v>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 &amp; aws s3 cp s3://rtdc.mdm.uploadarchive.raw/RTDC4025/ "%USERPROFILE%\AppData\Local\Temp\OnboardLogs"\RTDC4025\2017-01-25 --exclude "*" --recursive --include "*20170125*" &amp; "%USERPROFILE%\Documents\GitHub\mrs-test-scripts\Headless Mode &amp; Sideloading\WalkAndUnGZ.bat" "%USERPROFILE%\AppData\Local\Temp\OnboardLogs"\RTDC4025\2017-01-25</v>
      </c>
      <c r="AF125" s="84" t="str">
        <f t="shared" si="39"/>
        <v>"C:\Program Files (x86)\AstroGrep\AstroGrep.exe" /spath="%USERPROFILE%\AppData\Local\Temp\OnboardLogs" /stypes="app*4025*20170125*" /stext=" 01:.+((SYSTEM_STATE.+slice.+state.+changed )|(ment ac)|(multiple cpu faults)|(system.+state.+changed )|(\[timeout)|(PRM\|1\|D)|(kpr)|(kdp)|(\|lc)|(penalty))" /e /r /s</v>
      </c>
      <c r="AG125" s="1" t="str">
        <f t="shared" si="40"/>
        <v>EC</v>
      </c>
      <c r="AH125" s="88" t="str">
        <f t="shared" si="41"/>
        <v>"%USERPROFILE%\Documents\GitHub\eaglep3\Utilities\RefineRTDCRunTimes.py" --tripid 213-24 --locoid 4025 --swversion DE.1.0.8.0 --startMP 204:471 --initTime 2017-01-24T17:38:07 --startdatetime 2017-01-24T17:45:19 --delay 1 --endMP 204:233315 --enddatetime 2017-01-24T18:22:11 --enforcementcount 0 &gt;&gt;C:\Users\stu\Documents\GitHub\eaglep3-reporting\EC\2017-01-24-refined-times.txt</v>
      </c>
      <c r="AI125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{"issue":{"subject":"","project_id":79,"tracker_id":40,"status_id":1,"priority_id":2,"assigned_to_id":23,"start_date":"2017-01-24","description":"","custom_fields":[{"id":1,"name":"Subdivision","value":"EC"},{"id":4,"name":"Milepost","value":"23.3315"},{"id":17,"name":"Train ID","value":"213-24"},{"id":16,"name":"Locomotive ID","value":"4025"},{"id":130,"name":"Impact","value":""},{"id":150,"name":"Time of Event (Mountain Time)","value":"18:22:11"},{"id":151,"name":"Denver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43"/>
        <v>start /low /b %USERPROFILE%\Documents\GitHub\eaglep3\Utilities\DownloadLogsFromS3.py --loco 4025 --day 2017-01-24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"%USERPROFILE%\AppData\Local\Temp\OnboardLogs"\RTDC4025\*4025*20170125* | grep -SE "(Enforcement Action)|(\[TIMEOUT)|(CHR.+\|PRM\|1\|D.+(SWITCH|SIGNAL).+UNKNOWN)" - &gt;&gt; 2017-01-24-UncaughtWiMAX.txt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653</v>
      </c>
      <c r="B126" s="7">
        <v>4026</v>
      </c>
      <c r="C126" s="22" t="s">
        <v>196</v>
      </c>
      <c r="D126" s="22" t="s">
        <v>766</v>
      </c>
      <c r="E126" s="13">
        <v>42759.769606481481</v>
      </c>
      <c r="F126" s="13">
        <v>42759.778634259259</v>
      </c>
      <c r="G126" s="7">
        <v>1</v>
      </c>
      <c r="H126" s="22" t="s">
        <v>186</v>
      </c>
      <c r="I126" s="13">
        <v>42759.806342592594</v>
      </c>
      <c r="J126" s="7">
        <v>0</v>
      </c>
      <c r="K126" s="105" t="str">
        <f t="shared" si="29"/>
        <v>4025/4026</v>
      </c>
      <c r="L126" s="22" t="str">
        <f>VLOOKUP(A126,'Trips&amp;Operators'!$C$1:$G$99999,5,FALSE)</f>
        <v>NEWELL JAMES</v>
      </c>
      <c r="M126" s="6">
        <f t="shared" si="30"/>
        <v>2.7708333334885538E-2</v>
      </c>
      <c r="N126" s="7">
        <f t="shared" si="47"/>
        <v>39.900000002235174</v>
      </c>
      <c r="O126" s="7"/>
      <c r="P126" s="7"/>
      <c r="Q126" s="23"/>
      <c r="R126" s="23"/>
      <c r="S126" s="32">
        <f t="shared" si="48"/>
        <v>1</v>
      </c>
      <c r="T126" s="47" t="str">
        <f t="shared" si="31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2"/>
        <v>https://d0f6bd738d7f1b3e5a7ca70fe4ff75f0.us-east-1.aws.found.io/app/kibana#/discover/Steve-Slow-Train-Analysis-(2080s-and-2083s)?_g=(refreshInterval:(display:Off,pause:!f,section:0,value:0),time:(from:'2017-01-24T17:28:14-0700',mode:absolute,to:'2017-01-24T20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6" s="49" t="str">
        <f t="shared" si="33"/>
        <v>N</v>
      </c>
      <c r="X126" s="170">
        <f t="shared" si="52"/>
        <v>1</v>
      </c>
      <c r="Y126" s="64">
        <f t="shared" si="50"/>
        <v>23.299800000000001</v>
      </c>
      <c r="Z126" s="64">
        <f t="shared" si="49"/>
        <v>1.49E-2</v>
      </c>
      <c r="AA126" s="64">
        <f t="shared" si="36"/>
        <v>23.2849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37"/>
        <v>0214-24</v>
      </c>
      <c r="AE126" s="87" t="str">
        <f t="shared" si="38"/>
        <v>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 &amp; aws s3 cp s3://rtdc.mdm.uploadarchive.raw/RTDC4026/ "%USERPROFILE%\AppData\Local\Temp\OnboardLogs"\RTDC4026\2017-01-25 --exclude "*" --recursive --include "*20170125*" &amp; "%USERPROFILE%\Documents\GitHub\mrs-test-scripts\Headless Mode &amp; Sideloading\WalkAndUnGZ.bat" "%USERPROFILE%\AppData\Local\Temp\OnboardLogs"\RTDC4026\2017-01-25</v>
      </c>
      <c r="AF126" s="84" t="str">
        <f t="shared" si="39"/>
        <v>"C:\Program Files (x86)\AstroGrep\AstroGrep.exe" /spath="%USERPROFILE%\AppData\Local\Temp\OnboardLogs" /stypes="app*4026*20170125*" /stext=" 02:.+((SYSTEM_STATE.+slice.+state.+changed )|(ment ac)|(multiple cpu faults)|(system.+state.+changed )|(\[timeout)|(PRM\|1\|D)|(kpr)|(kdp)|(\|lc)|(penalty))" /e /r /s</v>
      </c>
      <c r="AG126" s="1" t="str">
        <f t="shared" si="40"/>
        <v>EC</v>
      </c>
      <c r="AH126" s="88" t="str">
        <f t="shared" si="41"/>
        <v>"%USERPROFILE%\Documents\GitHub\eaglep3\Utilities\RefineRTDCRunTimes.py" --tripid 214-24 --locoid 4026 --swversion DE.1.0.8.0 --startMP 204:232998 --initTime 2017-01-24T18:28:14 --startdatetime 2017-01-24T18:41:14 --delay 1 --endMP 204:149 --enddatetime 2017-01-24T19:21:08 --enforcementcount 0 &gt;&gt;C:\Users\stu\Documents\GitHub\eaglep3-reporting\EC\2017-01-24-refined-times.txt</v>
      </c>
      <c r="AI126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{"issue":{"subject":"","project_id":79,"tracker_id":40,"status_id":1,"priority_id":2,"assigned_to_id":23,"start_date":"2017-01-24","description":"","custom_fields":[{"id":1,"name":"Subdivision","value":"EC"},{"id":4,"name":"Milepost","value":"0.0149"},{"id":17,"name":"Train ID","value":"214-24"},{"id":16,"name":"Locomotive ID","value":"4026"},{"id":130,"name":"Impact","value":""},{"id":150,"name":"Time of Event (Mountain Time)","value":"19:21:08"},{"id":151,"name":"Denver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43"/>
        <v>start /low /b %USERPROFILE%\Documents\GitHub\eaglep3\Utilities\DownloadLogsFromS3.py --loco 4026 --day 2017-01-24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"%USERPROFILE%\AppData\Local\Temp\OnboardLogs"\RTDC4026\*4026*20170125* | grep -SE "(Enforcement Action)|(\[TIMEOUT)|(CHR.+\|PRM\|1\|D.+(SWITCH|SIGNAL).+UNKNOWN)" - &gt;&gt; 2017-01-24-UncaughtWiMAX.txt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647</v>
      </c>
      <c r="B127" s="7">
        <v>4018</v>
      </c>
      <c r="C127" s="22" t="s">
        <v>196</v>
      </c>
      <c r="D127" s="22" t="s">
        <v>216</v>
      </c>
      <c r="E127" s="13">
        <v>42759.748252314814</v>
      </c>
      <c r="F127" s="13">
        <v>42759.750185185185</v>
      </c>
      <c r="G127" s="7">
        <v>1</v>
      </c>
      <c r="H127" s="22" t="s">
        <v>409</v>
      </c>
      <c r="I127" s="13">
        <v>42759.777418981481</v>
      </c>
      <c r="J127" s="7">
        <v>0</v>
      </c>
      <c r="K127" s="105" t="str">
        <f t="shared" si="29"/>
        <v>4017/4018</v>
      </c>
      <c r="L127" s="22" t="str">
        <f>VLOOKUP(A127,'Trips&amp;Operators'!$C$1:$G$99999,5,FALSE)</f>
        <v>BRANNON JEFFREY</v>
      </c>
      <c r="M127" s="6">
        <f t="shared" si="30"/>
        <v>2.7233796296059154E-2</v>
      </c>
      <c r="N127" s="7">
        <f t="shared" si="47"/>
        <v>39.216666666325182</v>
      </c>
      <c r="O127" s="7"/>
      <c r="P127" s="7"/>
      <c r="Q127" s="23"/>
      <c r="R127" s="23"/>
      <c r="S127" s="32">
        <f t="shared" si="48"/>
        <v>1</v>
      </c>
      <c r="T127" s="47" t="str">
        <f t="shared" si="31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2"/>
        <v>https://d0f6bd738d7f1b3e5a7ca70fe4ff75f0.us-east-1.aws.found.io/app/kibana#/discover/Steve-Slow-Train-Analysis-(2080s-and-2083s)?_g=(refreshInterval:(display:Off,pause:!f,section:0,value:0),time:(from:'2017-01-24T16:57:29-0700',mode:absolute,to:'2017-01-24T19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49" t="str">
        <f t="shared" si="33"/>
        <v>N</v>
      </c>
      <c r="X127" s="170">
        <f t="shared" si="52"/>
        <v>1</v>
      </c>
      <c r="Y127" s="64">
        <f t="shared" si="50"/>
        <v>4.6199999999999998E-2</v>
      </c>
      <c r="Z127" s="64">
        <f t="shared" si="49"/>
        <v>23.330300000000001</v>
      </c>
      <c r="AA127" s="64">
        <f t="shared" si="36"/>
        <v>23.284100000000002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37"/>
        <v>0215-24</v>
      </c>
      <c r="AE127" s="87" t="str">
        <f t="shared" si="38"/>
        <v>aws s3 cp s3://rtdc.mdm.uploadarchive.raw/RTDC4018/ "%USERPROFILE%\AppData\Local\Temp\OnboardLogs"\RTDC4018\2017-01-24 --exclude "*" --recursive --include "*20170124*" &amp; "%USERPROFILE%\Documents\GitHub\mrs-test-scripts\Headless Mode &amp; Sideloading\WalkAndUnGZ.bat" "%USERPROFILE%\AppData\Local\Temp\OnboardLogs"\RTDC4018\2017-01-24 &amp; 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</v>
      </c>
      <c r="AF127" s="84" t="str">
        <f t="shared" si="39"/>
        <v>"C:\Program Files (x86)\AstroGrep\AstroGrep.exe" /spath="%USERPROFILE%\AppData\Local\Temp\OnboardLogs" /stypes="app*4018*20170125*" /stext=" 01:.+((SYSTEM_STATE.+slice.+state.+changed )|(ment ac)|(multiple cpu faults)|(system.+state.+changed )|(\[timeout)|(PRM\|1\|D)|(kpr)|(kdp)|(\|lc)|(penalty))" /e /r /s</v>
      </c>
      <c r="AG127" s="1" t="str">
        <f t="shared" si="40"/>
        <v>EC</v>
      </c>
      <c r="AH127" s="88" t="str">
        <f t="shared" si="41"/>
        <v>"%USERPROFILE%\Documents\GitHub\eaglep3\Utilities\RefineRTDCRunTimes.py" --tripid 215-24 --locoid 4018 --swversion DE.1.0.8.0 --startMP 204:462 --initTime 2017-01-24T17:57:29 --startdatetime 2017-01-24T18:00:16 --delay 1 --endMP 204:233303 --enddatetime 2017-01-24T18:39:29 --enforcementcount 0 &gt;&gt;C:\Users\stu\Documents\GitHub\eaglep3-reporting\EC\2017-01-24-refined-times.txt</v>
      </c>
      <c r="AI127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{"issue":{"subject":"","project_id":79,"tracker_id":40,"status_id":1,"priority_id":2,"assigned_to_id":23,"start_date":"2017-01-24","description":"","custom_fields":[{"id":1,"name":"Subdivision","value":"EC"},{"id":4,"name":"Milepost","value":"23.3303"},{"id":17,"name":"Train ID","value":"215-24"},{"id":16,"name":"Locomotive ID","value":"4018"},{"id":130,"name":"Impact","value":""},{"id":150,"name":"Time of Event (Mountain Time)","value":"18:39:29"},{"id":151,"name":"Denver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43"/>
        <v>start /low /b %USERPROFILE%\Documents\GitHub\eaglep3\Utilities\DownloadLogsFromS3.py --loco 4018 --day 2017-01-24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"%USERPROFILE%\AppData\Local\Temp\OnboardLogs"\RTDC4018\*4018*20170125* | grep -SE "(Enforcement Action)|(\[TIMEOUT)|(CHR.+\|PRM\|1\|D.+(SWITCH|SIGNAL).+UNKNOWN)" - &gt;&gt; 2017-01-24-UncaughtWiMAX.txt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656</v>
      </c>
      <c r="B128" s="7">
        <v>4017</v>
      </c>
      <c r="C128" s="22" t="s">
        <v>196</v>
      </c>
      <c r="D128" s="22" t="s">
        <v>214</v>
      </c>
      <c r="E128" s="13">
        <v>42759.782395833332</v>
      </c>
      <c r="F128" s="13">
        <v>42759.789050925923</v>
      </c>
      <c r="G128" s="7">
        <v>1</v>
      </c>
      <c r="H128" s="22" t="s">
        <v>253</v>
      </c>
      <c r="I128" s="13">
        <v>42759.817511574074</v>
      </c>
      <c r="J128" s="7">
        <v>0</v>
      </c>
      <c r="K128" s="105" t="str">
        <f t="shared" si="29"/>
        <v>4017/4018</v>
      </c>
      <c r="L128" s="22" t="str">
        <f>VLOOKUP(A128,'Trips&amp;Operators'!$C$1:$G$99999,5,FALSE)</f>
        <v>BRANNON JEFFREY</v>
      </c>
      <c r="M128" s="6">
        <f t="shared" si="30"/>
        <v>2.846064815093996E-2</v>
      </c>
      <c r="N128" s="7">
        <f t="shared" si="47"/>
        <v>40.983333337353542</v>
      </c>
      <c r="O128" s="7"/>
      <c r="P128" s="7"/>
      <c r="Q128" s="23"/>
      <c r="R128" s="23"/>
      <c r="S128" s="32">
        <f t="shared" si="48"/>
        <v>1</v>
      </c>
      <c r="T128" s="47" t="str">
        <f t="shared" si="31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2"/>
        <v>https://d0f6bd738d7f1b3e5a7ca70fe4ff75f0.us-east-1.aws.found.io/app/kibana#/discover/Steve-Slow-Train-Analysis-(2080s-and-2083s)?_g=(refreshInterval:(display:Off,pause:!f,section:0,value:0),time:(from:'2017-01-24T17:46:39-0700',mode:absolute,to:'2017-01-24T20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49" t="str">
        <f t="shared" si="33"/>
        <v>N</v>
      </c>
      <c r="X128" s="170">
        <f t="shared" si="52"/>
        <v>1</v>
      </c>
      <c r="Y128" s="64">
        <f t="shared" si="50"/>
        <v>23.297699999999999</v>
      </c>
      <c r="Z128" s="64">
        <f t="shared" si="49"/>
        <v>1.43E-2</v>
      </c>
      <c r="AA128" s="64">
        <f t="shared" si="36"/>
        <v>23.2834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37"/>
        <v>0216-24</v>
      </c>
      <c r="AE128" s="87" t="str">
        <f t="shared" si="38"/>
        <v>aws s3 cp s3://rtdc.mdm.uploadarchive.raw/RTDC4017/ "%USERPROFILE%\AppData\Local\Temp\OnboardLogs"\RTDC4017\2017-01-24 --exclude "*" --recursive --include "*20170124*" &amp; "%USERPROFILE%\Documents\GitHub\mrs-test-scripts\Headless Mode &amp; Sideloading\WalkAndUnGZ.bat" "%USERPROFILE%\AppData\Local\Temp\OnboardLogs"\RTDC4017\2017-01-24 &amp; 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</v>
      </c>
      <c r="AF128" s="84" t="str">
        <f t="shared" si="39"/>
        <v>"C:\Program Files (x86)\AstroGrep\AstroGrep.exe" /spath="%USERPROFILE%\AppData\Local\Temp\OnboardLogs" /stypes="app*4017*20170125*" /stext=" 02:.+((SYSTEM_STATE.+slice.+state.+changed )|(ment ac)|(multiple cpu faults)|(system.+state.+changed )|(\[timeout)|(PRM\|1\|D)|(kpr)|(kdp)|(\|lc)|(penalty))" /e /r /s</v>
      </c>
      <c r="AG128" s="1" t="str">
        <f t="shared" si="40"/>
        <v>EC</v>
      </c>
      <c r="AH128" s="88" t="str">
        <f t="shared" si="41"/>
        <v>"%USERPROFILE%\Documents\GitHub\eaglep3\Utilities\RefineRTDCRunTimes.py" --tripid 216-24 --locoid 4017 --swversion DE.1.0.8.0 --startMP 204:232977 --initTime 2017-01-24T18:46:39 --startdatetime 2017-01-24T18:56:14 --delay 1 --endMP 204:143 --enddatetime 2017-01-24T19:37:13 --enforcementcount 0 &gt;&gt;C:\Users\stu\Documents\GitHub\eaglep3-reporting\EC\2017-01-24-refined-times.txt</v>
      </c>
      <c r="AI128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{"issue":{"subject":"","project_id":79,"tracker_id":40,"status_id":1,"priority_id":2,"assigned_to_id":23,"start_date":"2017-01-24","description":"","custom_fields":[{"id":1,"name":"Subdivision","value":"EC"},{"id":4,"name":"Milepost","value":"0.0143"},{"id":17,"name":"Train ID","value":"216-24"},{"id":16,"name":"Locomotive ID","value":"4017"},{"id":130,"name":"Impact","value":""},{"id":150,"name":"Time of Event (Mountain Time)","value":"19:37:13"},{"id":151,"name":"Denver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43"/>
        <v>start /low /b %USERPROFILE%\Documents\GitHub\eaglep3\Utilities\DownloadLogsFromS3.py --loco 4017 --day 2017-01-24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651</v>
      </c>
      <c r="B129" s="7">
        <v>4038</v>
      </c>
      <c r="C129" s="22" t="s">
        <v>196</v>
      </c>
      <c r="D129" s="22" t="s">
        <v>241</v>
      </c>
      <c r="E129" s="13">
        <v>42759.761053240742</v>
      </c>
      <c r="F129" s="13">
        <v>42759.763449074075</v>
      </c>
      <c r="G129" s="7">
        <v>2</v>
      </c>
      <c r="H129" s="22" t="s">
        <v>419</v>
      </c>
      <c r="I129" s="13">
        <v>42759.793171296296</v>
      </c>
      <c r="J129" s="7">
        <v>0</v>
      </c>
      <c r="K129" s="105" t="str">
        <f t="shared" si="29"/>
        <v>4037/4038</v>
      </c>
      <c r="L129" s="22" t="str">
        <f>VLOOKUP(A129,'Trips&amp;Operators'!$C$1:$G$99999,5,FALSE)</f>
        <v>STORY SAMANTHA</v>
      </c>
      <c r="M129" s="6">
        <f t="shared" si="30"/>
        <v>2.9722222221607808E-2</v>
      </c>
      <c r="N129" s="7">
        <f t="shared" si="47"/>
        <v>42.799999999115244</v>
      </c>
      <c r="O129" s="7"/>
      <c r="P129" s="7"/>
      <c r="Q129" s="23"/>
      <c r="R129" s="23"/>
      <c r="S129" s="32">
        <f t="shared" si="48"/>
        <v>1</v>
      </c>
      <c r="T129" s="47" t="str">
        <f t="shared" si="31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2"/>
        <v>https://d0f6bd738d7f1b3e5a7ca70fe4ff75f0.us-east-1.aws.found.io/app/kibana#/discover/Steve-Slow-Train-Analysis-(2080s-and-2083s)?_g=(refreshInterval:(display:Off,pause:!f,section:0,value:0),time:(from:'2017-01-24T17:15:55-0700',mode:absolute,to:'2017-01-24T20:02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9" s="49" t="str">
        <f t="shared" si="33"/>
        <v>N</v>
      </c>
      <c r="X129" s="170">
        <f t="shared" si="52"/>
        <v>1</v>
      </c>
      <c r="Y129" s="64">
        <f t="shared" si="50"/>
        <v>4.58E-2</v>
      </c>
      <c r="Z129" s="64">
        <f t="shared" si="49"/>
        <v>23.333600000000001</v>
      </c>
      <c r="AA129" s="64">
        <f t="shared" si="36"/>
        <v>23.287800000000001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37"/>
        <v>0217-24</v>
      </c>
      <c r="AE129" s="87" t="str">
        <f t="shared" si="38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129" s="84" t="str">
        <f t="shared" si="39"/>
        <v>"C:\Program Files (x86)\AstroGrep\AstroGrep.exe" /spath="%USERPROFILE%\AppData\Local\Temp\OnboardLogs" /stypes="app*4038*20170125*" /stext=" 02:.+((SYSTEM_STATE.+slice.+state.+changed )|(ment ac)|(multiple cpu faults)|(system.+state.+changed )|(\[timeout)|(PRM\|1\|D)|(kpr)|(kdp)|(\|lc)|(penalty))" /e /r /s</v>
      </c>
      <c r="AG129" s="1" t="str">
        <f t="shared" si="40"/>
        <v>EC</v>
      </c>
      <c r="AH129" s="88" t="str">
        <f t="shared" si="41"/>
        <v>"%USERPROFILE%\Documents\GitHub\eaglep3\Utilities\RefineRTDCRunTimes.py" --tripid 217-24 --locoid 4038 --swversion DE.1.0.8.0 --startMP 204:458 --initTime 2017-01-24T18:15:55 --startdatetime 2017-01-24T18:19:22 --delay 2 --endMP 204:233336 --enddatetime 2017-01-24T19:02:10 --enforcementcount 0 &gt;&gt;C:\Users\stu\Documents\GitHub\eaglep3-reporting\EC\2017-01-24-refined-times.txt</v>
      </c>
      <c r="AI129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{"issue":{"subject":"","project_id":79,"tracker_id":40,"status_id":1,"priority_id":2,"assigned_to_id":23,"start_date":"2017-01-24","description":"","custom_fields":[{"id":1,"name":"Subdivision","value":"EC"},{"id":4,"name":"Milepost","value":"23.3336"},{"id":17,"name":"Train ID","value":"217-24"},{"id":16,"name":"Locomotive ID","value":"4038"},{"id":130,"name":"Impact","value":""},{"id":150,"name":"Time of Event (Mountain Time)","value":"19:02:10"},{"id":151,"name":"Denver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43"/>
        <v>start /low /b %USERPROFILE%\Documents\GitHub\eaglep3\Utilities\DownloadLogsFromS3.py --loco 4038 --day 2017-01-24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"%USERPROFILE%\AppData\Local\Temp\OnboardLogs"\RTDC4038\*4038*20170125* | grep -SE "(Enforcement Action)|(\[TIMEOUT)|(CHR.+\|PRM\|1\|D.+(SWITCH|SIGNAL).+UNKNOWN)" - &gt;&gt; 2017-01-24-UncaughtWiMAX.txt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659</v>
      </c>
      <c r="B130" s="7">
        <v>4037</v>
      </c>
      <c r="C130" s="22" t="s">
        <v>196</v>
      </c>
      <c r="D130" s="22" t="s">
        <v>427</v>
      </c>
      <c r="E130" s="13">
        <v>42759.795034722221</v>
      </c>
      <c r="F130" s="13">
        <v>42759.79960648148</v>
      </c>
      <c r="G130" s="7">
        <v>2</v>
      </c>
      <c r="H130" s="22" t="s">
        <v>269</v>
      </c>
      <c r="I130" s="13">
        <v>42759.826874999999</v>
      </c>
      <c r="J130" s="7">
        <v>0</v>
      </c>
      <c r="K130" s="105" t="str">
        <f t="shared" si="29"/>
        <v>4037/4038</v>
      </c>
      <c r="L130" s="22" t="str">
        <f>VLOOKUP(A130,'Trips&amp;Operators'!$C$1:$G$99999,5,FALSE)</f>
        <v>STORY SAMANTHA</v>
      </c>
      <c r="M130" s="6">
        <f t="shared" si="30"/>
        <v>2.7268518519122154E-2</v>
      </c>
      <c r="N130" s="7">
        <f t="shared" si="47"/>
        <v>39.266666667535901</v>
      </c>
      <c r="O130" s="7"/>
      <c r="P130" s="7"/>
      <c r="Q130" s="23"/>
      <c r="R130" s="23"/>
      <c r="S130" s="32">
        <f t="shared" si="48"/>
        <v>1</v>
      </c>
      <c r="T130" s="47" t="str">
        <f t="shared" si="31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2"/>
        <v>https://d0f6bd738d7f1b3e5a7ca70fe4ff75f0.us-east-1.aws.found.io/app/kibana#/discover/Steve-Slow-Train-Analysis-(2080s-and-2083s)?_g=(refreshInterval:(display:Off,pause:!f,section:0,value:0),time:(from:'2017-01-24T18:04:51-0700',mode:absolute,to:'2017-01-24T20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30" s="49" t="str">
        <f t="shared" si="33"/>
        <v>N</v>
      </c>
      <c r="X130" s="170">
        <f t="shared" si="52"/>
        <v>1</v>
      </c>
      <c r="Y130" s="64">
        <f t="shared" si="50"/>
        <v>23.296700000000001</v>
      </c>
      <c r="Z130" s="64">
        <f t="shared" si="49"/>
        <v>1.6500000000000001E-2</v>
      </c>
      <c r="AA130" s="64">
        <f t="shared" si="36"/>
        <v>23.280200000000001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37"/>
        <v>0218-24</v>
      </c>
      <c r="AE130" s="87" t="str">
        <f t="shared" si="38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130" s="84" t="str">
        <f t="shared" si="39"/>
        <v>"C:\Program Files (x86)\AstroGrep\AstroGrep.exe" /spath="%USERPROFILE%\AppData\Local\Temp\OnboardLogs" /stypes="app*4037*20170125*" /stext=" 02:.+((SYSTEM_STATE.+slice.+state.+changed )|(ment ac)|(multiple cpu faults)|(system.+state.+changed )|(\[timeout)|(PRM\|1\|D)|(kpr)|(kdp)|(\|lc)|(penalty))" /e /r /s</v>
      </c>
      <c r="AG130" s="1" t="str">
        <f t="shared" si="40"/>
        <v>EC</v>
      </c>
      <c r="AH130" s="88" t="str">
        <f t="shared" si="41"/>
        <v>"%USERPROFILE%\Documents\GitHub\eaglep3\Utilities\RefineRTDCRunTimes.py" --tripid 218-24 --locoid 4037 --swversion DE.1.0.8.0 --startMP 204:232967 --initTime 2017-01-24T19:04:51 --startdatetime 2017-01-24T19:11:26 --delay 2 --endMP 204:165 --enddatetime 2017-01-24T19:50:42 --enforcementcount 0 &gt;&gt;C:\Users\stu\Documents\GitHub\eaglep3-reporting\EC\2017-01-24-refined-times.txt</v>
      </c>
      <c r="AI130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{"issue":{"subject":"","project_id":79,"tracker_id":40,"status_id":1,"priority_id":2,"assigned_to_id":23,"start_date":"2017-01-24","description":"","custom_fields":[{"id":1,"name":"Subdivision","value":"EC"},{"id":4,"name":"Milepost","value":"0.0165"},{"id":17,"name":"Train ID","value":"218-24"},{"id":16,"name":"Locomotive ID","value":"4037"},{"id":130,"name":"Impact","value":""},{"id":150,"name":"Time of Event (Mountain Time)","value":"19:50:42"},{"id":151,"name":"Denver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43"/>
        <v>start /low /b %USERPROFILE%\Documents\GitHub\eaglep3\Utilities\DownloadLogsFromS3.py --loco 4037 --day 2017-01-24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"%USERPROFILE%\AppData\Local\Temp\OnboardLogs"\RTDC4037\*4037*20170125* | grep -SE "(Enforcement Action)|(\[TIMEOUT)|(CHR.+\|PRM\|1\|D.+(SWITCH|SIGNAL).+UNKNOWN)" - &gt;&gt; 2017-01-24-UncaughtWiMAX.txt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654</v>
      </c>
      <c r="B131" s="7">
        <v>4003</v>
      </c>
      <c r="C131" s="22" t="s">
        <v>196</v>
      </c>
      <c r="D131" s="22" t="s">
        <v>267</v>
      </c>
      <c r="E131" s="13">
        <v>42759.770416666666</v>
      </c>
      <c r="F131" s="13">
        <v>42759.772233796299</v>
      </c>
      <c r="G131" s="7">
        <v>1</v>
      </c>
      <c r="H131" s="22" t="s">
        <v>368</v>
      </c>
      <c r="I131" s="13">
        <v>42759.7969212963</v>
      </c>
      <c r="J131" s="7">
        <v>0</v>
      </c>
      <c r="K131" s="105" t="str">
        <f t="shared" si="29"/>
        <v>4003/4004</v>
      </c>
      <c r="L131" s="22" t="str">
        <f>VLOOKUP(A131,'Trips&amp;Operators'!$C$1:$G$99999,5,FALSE)</f>
        <v>STAMBAUGH JAMES</v>
      </c>
      <c r="M131" s="6">
        <f t="shared" si="30"/>
        <v>2.4687500001164153E-2</v>
      </c>
      <c r="N131" s="7">
        <f t="shared" si="47"/>
        <v>35.550000001676381</v>
      </c>
      <c r="O131" s="7"/>
      <c r="P131" s="7"/>
      <c r="Q131" s="23"/>
      <c r="R131" s="23"/>
      <c r="S131" s="32">
        <f t="shared" si="48"/>
        <v>1</v>
      </c>
      <c r="T131" s="47" t="str">
        <f t="shared" si="31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2"/>
        <v>https://d0f6bd738d7f1b3e5a7ca70fe4ff75f0.us-east-1.aws.found.io/app/kibana#/discover/Steve-Slow-Train-Analysis-(2080s-and-2083s)?_g=(refreshInterval:(display:Off,pause:!f,section:0,value:0),time:(from:'2017-01-24T17:29:24-0700',mode:absolute,to:'2017-01-24T20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49" t="str">
        <f t="shared" si="33"/>
        <v>N</v>
      </c>
      <c r="X131" s="170">
        <f t="shared" si="52"/>
        <v>1</v>
      </c>
      <c r="Y131" s="64">
        <f t="shared" si="50"/>
        <v>4.5999999999999999E-2</v>
      </c>
      <c r="Z131" s="64">
        <f t="shared" si="49"/>
        <v>23.334399999999999</v>
      </c>
      <c r="AA131" s="64">
        <f t="shared" si="36"/>
        <v>23.288399999999999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37"/>
        <v>0219-24</v>
      </c>
      <c r="AE131" s="87" t="str">
        <f t="shared" si="38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131" s="84" t="str">
        <f t="shared" si="39"/>
        <v>"C:\Program Files (x86)\AstroGrep\AstroGrep.exe" /spath="%USERPROFILE%\AppData\Local\Temp\OnboardLogs" /stypes="app*4003*20170125*" /stext=" 02:.+((SYSTEM_STATE.+slice.+state.+changed )|(ment ac)|(multiple cpu faults)|(system.+state.+changed )|(\[timeout)|(PRM\|1\|D)|(kpr)|(kdp)|(\|lc)|(penalty))" /e /r /s</v>
      </c>
      <c r="AG131" s="1" t="str">
        <f t="shared" si="40"/>
        <v>EC</v>
      </c>
      <c r="AH131" s="88" t="str">
        <f t="shared" si="41"/>
        <v>"%USERPROFILE%\Documents\GitHub\eaglep3\Utilities\RefineRTDCRunTimes.py" --tripid 219-24 --locoid 4003 --swversion DE.1.0.8.0 --startMP 204:460 --initTime 2017-01-24T18:29:24 --startdatetime 2017-01-24T18:32:01 --delay 1 --endMP 204:233344 --enddatetime 2017-01-24T19:07:34 --enforcementcount 0 &gt;&gt;C:\Users\stu\Documents\GitHub\eaglep3-reporting\EC\2017-01-24-refined-times.txt</v>
      </c>
      <c r="AI131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{"issue":{"subject":"","project_id":79,"tracker_id":40,"status_id":1,"priority_id":2,"assigned_to_id":23,"start_date":"2017-01-24","description":"","custom_fields":[{"id":1,"name":"Subdivision","value":"EC"},{"id":4,"name":"Milepost","value":"23.3344"},{"id":17,"name":"Train ID","value":"219-24"},{"id":16,"name":"Locomotive ID","value":"4003"},{"id":130,"name":"Impact","value":""},{"id":150,"name":"Time of Event (Mountain Time)","value":"19:07:34"},{"id":151,"name":"Denver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43"/>
        <v>start /low /b %USERPROFILE%\Documents\GitHub\eaglep3\Utilities\DownloadLogsFromS3.py --loco 4003 --day 2017-01-24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"%USERPROFILE%\AppData\Local\Temp\OnboardLogs"\RTDC4003\*4003*20170125* | grep -SE "(Enforcement Action)|(\[TIMEOUT)|(CHR.+\|PRM\|1\|D.+(SWITCH|SIGNAL).+UNKNOWN)" - &gt;&gt; 2017-01-24-UncaughtWiMAX.txt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487</v>
      </c>
      <c r="B132" s="7">
        <v>4004</v>
      </c>
      <c r="C132" s="22" t="s">
        <v>196</v>
      </c>
      <c r="D132" s="22" t="s">
        <v>740</v>
      </c>
      <c r="E132" s="13">
        <v>42759.799340277779</v>
      </c>
      <c r="F132" s="13">
        <v>42759.810011574074</v>
      </c>
      <c r="G132" s="7">
        <v>1</v>
      </c>
      <c r="H132" s="22" t="s">
        <v>235</v>
      </c>
      <c r="I132" s="13">
        <v>42759.837523148148</v>
      </c>
      <c r="J132" s="7">
        <v>0</v>
      </c>
      <c r="K132" s="105" t="str">
        <f t="shared" si="29"/>
        <v>4003/4004</v>
      </c>
      <c r="L132" s="22" t="str">
        <f>VLOOKUP(A132,'Trips&amp;Operators'!$C$1:$G$99999,5,FALSE)</f>
        <v>STAMBAUGH JAMES</v>
      </c>
      <c r="M132" s="6">
        <f t="shared" si="30"/>
        <v>2.7511574073287193E-2</v>
      </c>
      <c r="N132" s="7">
        <f t="shared" si="47"/>
        <v>39.616666665533558</v>
      </c>
      <c r="O132" s="7"/>
      <c r="P132" s="7"/>
      <c r="Q132" s="23"/>
      <c r="R132" s="23"/>
      <c r="S132" s="32">
        <f t="shared" si="48"/>
        <v>1</v>
      </c>
      <c r="T132" s="47" t="str">
        <f t="shared" si="31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2"/>
        <v>https://d0f6bd738d7f1b3e5a7ca70fe4ff75f0.us-east-1.aws.found.io/app/kibana#/discover/Steve-Slow-Train-Analysis-(2080s-and-2083s)?_g=(refreshInterval:(display:Off,pause:!f,section:0,value:0),time:(from:'2017-01-24T18:11:03-0700',mode:absolute,to:'2017-01-24T21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2" s="49" t="str">
        <f t="shared" si="33"/>
        <v>N</v>
      </c>
      <c r="X132" s="170">
        <f t="shared" si="52"/>
        <v>1</v>
      </c>
      <c r="Y132" s="64">
        <f t="shared" si="50"/>
        <v>23.303799999999999</v>
      </c>
      <c r="Z132" s="64">
        <f t="shared" si="49"/>
        <v>1.38E-2</v>
      </c>
      <c r="AA132" s="64">
        <f t="shared" si="36"/>
        <v>23.29</v>
      </c>
      <c r="AB132" s="61" t="str">
        <f>VLOOKUP(A132,Enforcements!$C$7:$K$16,8,0)</f>
        <v>Speed (6)</v>
      </c>
      <c r="AC132" s="57" t="str">
        <f>VLOOKUP(A132,Enforcements!$C$7:$E$16,3,0)</f>
        <v>PERMANENT SPEED RESTRICTION</v>
      </c>
      <c r="AD132" s="58" t="str">
        <f t="shared" si="37"/>
        <v>0220-24</v>
      </c>
      <c r="AE132" s="87" t="str">
        <f t="shared" si="38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132" s="84" t="str">
        <f t="shared" si="39"/>
        <v>"C:\Program Files (x86)\AstroGrep\AstroGrep.exe" /spath="%USERPROFILE%\AppData\Local\Temp\OnboardLogs" /stypes="app*4004*20170125*" /stext=" 03:.+((SYSTEM_STATE.+slice.+state.+changed )|(ment ac)|(multiple cpu faults)|(system.+state.+changed )|(\[timeout)|(PRM\|1\|D)|(kpr)|(kdp)|(\|lc)|(penalty))" /e /r /s</v>
      </c>
      <c r="AG132" s="1" t="str">
        <f t="shared" si="40"/>
        <v>EC</v>
      </c>
      <c r="AH132" s="88" t="str">
        <f t="shared" si="41"/>
        <v>"%USERPROFILE%\Documents\GitHub\eaglep3\Utilities\RefineRTDCRunTimes.py" --tripid 220-24 --locoid 4004 --swversion DE.1.0.8.0 --startMP 204:233038 --initTime 2017-01-24T19:11:03 --startdatetime 2017-01-24T19:26:25 --delay 1 --endMP 204:138 --enddatetime 2017-01-24T20:06:02 --enforcementcount 0 &gt;&gt;C:\Users\stu\Documents\GitHub\eaglep3-reporting\EC\2017-01-24-refined-times.txt</v>
      </c>
      <c r="AI132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{"issue":{"subject":"","project_id":79,"tracker_id":40,"status_id":1,"priority_id":2,"assigned_to_id":23,"start_date":"2017-01-24","description":"","custom_fields":[{"id":1,"name":"Subdivision","value":"EC"},{"id":4,"name":"Milepost","value":"0.0138"},{"id":17,"name":"Train ID","value":"220-24"},{"id":16,"name":"Locomotive ID","value":"4004"},{"id":130,"name":"Impact","value":""},{"id":150,"name":"Time of Event (Mountain Time)","value":"20:06:02"},{"id":151,"name":"Denver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43"/>
        <v>start /low /b %USERPROFILE%\Documents\GitHub\eaglep3\Utilities\DownloadLogsFromS3.py --loco 4004 --day 2017-01-24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"%USERPROFILE%\AppData\Local\Temp\OnboardLogs"\RTDC4004\*4004*20170125* | grep -SE "(Enforcement Action)|(\[TIMEOUT)|(CHR.+\|PRM\|1\|D.+(SWITCH|SIGNAL).+UNKNOWN)" - &gt;&gt; 2017-01-24-UncaughtWiMAX.txt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658</v>
      </c>
      <c r="B133" s="7">
        <v>4009</v>
      </c>
      <c r="C133" s="22" t="s">
        <v>196</v>
      </c>
      <c r="D133" s="22" t="s">
        <v>262</v>
      </c>
      <c r="E133" s="13">
        <v>42759.78974537037</v>
      </c>
      <c r="F133" s="13">
        <v>42759.791909722226</v>
      </c>
      <c r="G133" s="7">
        <v>1</v>
      </c>
      <c r="H133" s="22" t="s">
        <v>423</v>
      </c>
      <c r="I133" s="13">
        <v>42759.817743055559</v>
      </c>
      <c r="J133" s="7">
        <v>0</v>
      </c>
      <c r="K133" s="105" t="str">
        <f t="shared" si="29"/>
        <v>4009/4010</v>
      </c>
      <c r="L133" s="22" t="str">
        <f>VLOOKUP(A133,'Trips&amp;Operators'!$C$1:$G$99999,5,FALSE)</f>
        <v>CHANDLER KELVIN</v>
      </c>
      <c r="M133" s="6">
        <f t="shared" si="30"/>
        <v>2.5833333333139308E-2</v>
      </c>
      <c r="N133" s="7">
        <f t="shared" si="47"/>
        <v>37.199999999720603</v>
      </c>
      <c r="O133" s="7"/>
      <c r="P133" s="7"/>
      <c r="Q133" s="23"/>
      <c r="R133" s="23"/>
      <c r="S133" s="32">
        <f t="shared" si="48"/>
        <v>1</v>
      </c>
      <c r="T133" s="47" t="str">
        <f t="shared" si="31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2"/>
        <v>https://d0f6bd738d7f1b3e5a7ca70fe4ff75f0.us-east-1.aws.found.io/app/kibana#/discover/Steve-Slow-Train-Analysis-(2080s-and-2083s)?_g=(refreshInterval:(display:Off,pause:!f,section:0,value:0),time:(from:'2017-01-24T17:57:14-0700',mode:absolute,to:'2017-01-24T20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3" s="49" t="str">
        <f t="shared" si="33"/>
        <v>N</v>
      </c>
      <c r="X133" s="170">
        <f t="shared" si="52"/>
        <v>1</v>
      </c>
      <c r="Y133" s="64">
        <f t="shared" si="50"/>
        <v>4.5100000000000001E-2</v>
      </c>
      <c r="Z133" s="64">
        <f t="shared" si="49"/>
        <v>23.327400000000001</v>
      </c>
      <c r="AA133" s="64">
        <f t="shared" si="36"/>
        <v>23.282299999999999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37"/>
        <v>0221-24</v>
      </c>
      <c r="AE133" s="87" t="str">
        <f t="shared" si="38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133" s="84" t="str">
        <f t="shared" si="39"/>
        <v>"C:\Program Files (x86)\AstroGrep\AstroGrep.exe" /spath="%USERPROFILE%\AppData\Local\Temp\OnboardLogs" /stypes="app*4009*20170125*" /stext=" 02:.+((SYSTEM_STATE.+slice.+state.+changed )|(ment ac)|(multiple cpu faults)|(system.+state.+changed )|(\[timeout)|(PRM\|1\|D)|(kpr)|(kdp)|(\|lc)|(penalty))" /e /r /s</v>
      </c>
      <c r="AG133" s="1" t="str">
        <f t="shared" si="40"/>
        <v>EC</v>
      </c>
      <c r="AH133" s="88" t="str">
        <f t="shared" si="41"/>
        <v>"%USERPROFILE%\Documents\GitHub\eaglep3\Utilities\RefineRTDCRunTimes.py" --tripid 221-24 --locoid 4009 --swversion DE.1.0.8.0 --startMP 204:451 --initTime 2017-01-24T18:57:14 --startdatetime 2017-01-24T19:00:21 --delay 1 --endMP 204:233274 --enddatetime 2017-01-24T19:37:33 --enforcementcount 0 &gt;&gt;C:\Users\stu\Documents\GitHub\eaglep3-reporting\EC\2017-01-24-refined-times.txt</v>
      </c>
      <c r="AI133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{"issue":{"subject":"","project_id":79,"tracker_id":40,"status_id":1,"priority_id":2,"assigned_to_id":23,"start_date":"2017-01-24","description":"","custom_fields":[{"id":1,"name":"Subdivision","value":"EC"},{"id":4,"name":"Milepost","value":"23.3274"},{"id":17,"name":"Train ID","value":"221-24"},{"id":16,"name":"Locomotive ID","value":"4009"},{"id":130,"name":"Impact","value":""},{"id":150,"name":"Time of Event (Mountain Time)","value":"19:37:33"},{"id":151,"name":"Denver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43"/>
        <v>start /low /b %USERPROFILE%\Documents\GitHub\eaglep3\Utilities\DownloadLogsFromS3.py --loco 4009 --day 2017-01-24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"%USERPROFILE%\AppData\Local\Temp\OnboardLogs"\RTDC4009\*4009*20170125* | grep -SE "(Enforcement Action)|(\[TIMEOUT)|(CHR.+\|PRM\|1\|D.+(SWITCH|SIGNAL).+UNKNOWN)" - &gt;&gt; 2017-01-24-UncaughtWiMAX.txt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664</v>
      </c>
      <c r="B134" s="7">
        <v>4010</v>
      </c>
      <c r="C134" s="22" t="s">
        <v>196</v>
      </c>
      <c r="D134" s="22" t="s">
        <v>214</v>
      </c>
      <c r="E134" s="13">
        <v>42759.828888888886</v>
      </c>
      <c r="F134" s="13">
        <v>42759.831157407411</v>
      </c>
      <c r="G134" s="7">
        <v>1</v>
      </c>
      <c r="H134" s="22" t="s">
        <v>220</v>
      </c>
      <c r="I134" s="13">
        <v>42759.859375</v>
      </c>
      <c r="J134" s="7">
        <v>0</v>
      </c>
      <c r="K134" s="105" t="str">
        <f t="shared" si="29"/>
        <v>4009/4010</v>
      </c>
      <c r="L134" s="22" t="str">
        <f>VLOOKUP(A134,'Trips&amp;Operators'!$C$1:$G$99999,5,FALSE)</f>
        <v>CHANDLER KELVIN</v>
      </c>
      <c r="M134" s="6">
        <f t="shared" si="30"/>
        <v>2.8217592589498963E-2</v>
      </c>
      <c r="N134" s="7">
        <f t="shared" si="47"/>
        <v>40.633333328878507</v>
      </c>
      <c r="O134" s="7"/>
      <c r="P134" s="7"/>
      <c r="Q134" s="23"/>
      <c r="R134" s="23"/>
      <c r="S134" s="32">
        <f t="shared" si="48"/>
        <v>1</v>
      </c>
      <c r="T134" s="47" t="str">
        <f t="shared" si="31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2"/>
        <v>https://d0f6bd738d7f1b3e5a7ca70fe4ff75f0.us-east-1.aws.found.io/app/kibana#/discover/Steve-Slow-Train-Analysis-(2080s-and-2083s)?_g=(refreshInterval:(display:Off,pause:!f,section:0,value:0),time:(from:'2017-01-24T18:53:36-0700',mode:absolute,to:'2017-01-24T21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4" s="49" t="str">
        <f t="shared" si="33"/>
        <v>N</v>
      </c>
      <c r="X134" s="170">
        <f t="shared" si="52"/>
        <v>1</v>
      </c>
      <c r="Y134" s="64">
        <f t="shared" si="50"/>
        <v>23.297699999999999</v>
      </c>
      <c r="Z134" s="64">
        <f t="shared" si="49"/>
        <v>1.52E-2</v>
      </c>
      <c r="AA134" s="64">
        <f t="shared" si="36"/>
        <v>23.282499999999999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37"/>
        <v>0222-24</v>
      </c>
      <c r="AE134" s="87" t="str">
        <f t="shared" si="38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134" s="84" t="str">
        <f t="shared" si="39"/>
        <v>"C:\Program Files (x86)\AstroGrep\AstroGrep.exe" /spath="%USERPROFILE%\AppData\Local\Temp\OnboardLogs" /stypes="app*4010*20170125*" /stext=" 03:.+((SYSTEM_STATE.+slice.+state.+changed )|(ment ac)|(multiple cpu faults)|(system.+state.+changed )|(\[timeout)|(PRM\|1\|D)|(kpr)|(kdp)|(\|lc)|(penalty))" /e /r /s</v>
      </c>
      <c r="AG134" s="1" t="str">
        <f t="shared" si="40"/>
        <v>EC</v>
      </c>
      <c r="AH134" s="88" t="str">
        <f t="shared" si="41"/>
        <v>"%USERPROFILE%\Documents\GitHub\eaglep3\Utilities\RefineRTDCRunTimes.py" --tripid 222-24 --locoid 4010 --swversion DE.1.0.8.0 --startMP 204:232977 --initTime 2017-01-24T19:53:36 --startdatetime 2017-01-24T19:56:52 --delay 1 --endMP 204:152 --enddatetime 2017-01-24T20:37:30 --enforcementcount 0 &gt;&gt;C:\Users\stu\Documents\GitHub\eaglep3-reporting\EC\2017-01-24-refined-times.txt</v>
      </c>
      <c r="AI134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{"issue":{"subject":"","project_id":79,"tracker_id":40,"status_id":1,"priority_id":2,"assigned_to_id":23,"start_date":"2017-01-24","description":"","custom_fields":[{"id":1,"name":"Subdivision","value":"EC"},{"id":4,"name":"Milepost","value":"0.0152"},{"id":17,"name":"Train ID","value":"222-24"},{"id":16,"name":"Locomotive ID","value":"4010"},{"id":130,"name":"Impact","value":""},{"id":150,"name":"Time of Event (Mountain Time)","value":"20:37:30"},{"id":151,"name":"Denver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43"/>
        <v>start /low /b %USERPROFILE%\Documents\GitHub\eaglep3\Utilities\DownloadLogsFromS3.py --loco 4010 --day 2017-01-24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"%USERPROFILE%\AppData\Local\Temp\OnboardLogs"\RTDC4010\*4010*20170125* | grep -SE "(Enforcement Action)|(\[TIMEOUT)|(CHR.+\|PRM\|1\|D.+(SWITCH|SIGNAL).+UNKNOWN)" - &gt;&gt; 2017-01-24-UncaughtWiMAX.txt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662</v>
      </c>
      <c r="B135" s="7">
        <v>4025</v>
      </c>
      <c r="C135" s="22" t="s">
        <v>196</v>
      </c>
      <c r="D135" s="22" t="s">
        <v>219</v>
      </c>
      <c r="E135" s="13">
        <v>42759.807453703703</v>
      </c>
      <c r="F135" s="13">
        <v>42759.812662037039</v>
      </c>
      <c r="G135" s="7">
        <v>1</v>
      </c>
      <c r="H135" s="22" t="s">
        <v>411</v>
      </c>
      <c r="I135" s="13">
        <v>42759.838969907411</v>
      </c>
      <c r="J135" s="7">
        <v>0</v>
      </c>
      <c r="K135" s="105" t="str">
        <f t="shared" si="29"/>
        <v>4025/4026</v>
      </c>
      <c r="L135" s="22" t="str">
        <f>VLOOKUP(A135,'Trips&amp;Operators'!$C$1:$G$99999,5,FALSE)</f>
        <v>NEWELL JAMES</v>
      </c>
      <c r="M135" s="6">
        <f t="shared" si="30"/>
        <v>2.6307870371965691E-2</v>
      </c>
      <c r="N135" s="7">
        <f t="shared" si="47"/>
        <v>37.883333335630596</v>
      </c>
      <c r="O135" s="7"/>
      <c r="P135" s="7"/>
      <c r="Q135" s="23"/>
      <c r="R135" s="23"/>
      <c r="S135" s="32">
        <f t="shared" si="48"/>
        <v>1</v>
      </c>
      <c r="T135" s="47" t="str">
        <f t="shared" si="31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2"/>
        <v>https://d0f6bd738d7f1b3e5a7ca70fe4ff75f0.us-east-1.aws.found.io/app/kibana#/discover/Steve-Slow-Train-Analysis-(2080s-and-2083s)?_g=(refreshInterval:(display:Off,pause:!f,section:0,value:0),time:(from:'2017-01-24T18:22:44-0700',mode:absolute,to:'2017-01-24T21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5" s="49" t="str">
        <f t="shared" si="33"/>
        <v>N</v>
      </c>
      <c r="X135" s="170">
        <f t="shared" si="52"/>
        <v>1</v>
      </c>
      <c r="Y135" s="64">
        <f t="shared" si="50"/>
        <v>4.4900000000000002E-2</v>
      </c>
      <c r="Z135" s="64">
        <f t="shared" si="49"/>
        <v>23.3306</v>
      </c>
      <c r="AA135" s="64">
        <f t="shared" si="36"/>
        <v>23.285700000000002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37"/>
        <v>0223-24</v>
      </c>
      <c r="AE135" s="87" t="str">
        <f t="shared" si="38"/>
        <v>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 &amp; aws s3 cp s3://rtdc.mdm.uploadarchive.raw/RTDC4025/ "%USERPROFILE%\AppData\Local\Temp\OnboardLogs"\RTDC4025\2017-01-25 --exclude "*" --recursive --include "*20170125*" &amp; "%USERPROFILE%\Documents\GitHub\mrs-test-scripts\Headless Mode &amp; Sideloading\WalkAndUnGZ.bat" "%USERPROFILE%\AppData\Local\Temp\OnboardLogs"\RTDC4025\2017-01-25</v>
      </c>
      <c r="AF135" s="84" t="str">
        <f t="shared" si="39"/>
        <v>"C:\Program Files (x86)\AstroGrep\AstroGrep.exe" /spath="%USERPROFILE%\AppData\Local\Temp\OnboardLogs" /stypes="app*4025*20170125*" /stext=" 03:.+((SYSTEM_STATE.+slice.+state.+changed )|(ment ac)|(multiple cpu faults)|(system.+state.+changed )|(\[timeout)|(PRM\|1\|D)|(kpr)|(kdp)|(\|lc)|(penalty))" /e /r /s</v>
      </c>
      <c r="AG135" s="1" t="str">
        <f t="shared" si="40"/>
        <v>EC</v>
      </c>
      <c r="AH135" s="88" t="str">
        <f t="shared" si="41"/>
        <v>"%USERPROFILE%\Documents\GitHub\eaglep3\Utilities\RefineRTDCRunTimes.py" --tripid 223-24 --locoid 4025 --swversion DE.1.0.8.0 --startMP 204:449 --initTime 2017-01-24T19:22:44 --startdatetime 2017-01-24T19:30:14 --delay 1 --endMP 204:233306 --enddatetime 2017-01-24T20:08:07 --enforcementcount 0 &gt;&gt;C:\Users\stu\Documents\GitHub\eaglep3-reporting\EC\2017-01-24-refined-times.txt</v>
      </c>
      <c r="AI135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{"issue":{"subject":"","project_id":79,"tracker_id":40,"status_id":1,"priority_id":2,"assigned_to_id":23,"start_date":"2017-01-24","description":"","custom_fields":[{"id":1,"name":"Subdivision","value":"EC"},{"id":4,"name":"Milepost","value":"23.3306"},{"id":17,"name":"Train ID","value":"223-24"},{"id":16,"name":"Locomotive ID","value":"4025"},{"id":130,"name":"Impact","value":""},{"id":150,"name":"Time of Event (Mountain Time)","value":"20:08:07"},{"id":151,"name":"Denver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43"/>
        <v>start /low /b %USERPROFILE%\Documents\GitHub\eaglep3\Utilities\DownloadLogsFromS3.py --loco 4025 --day 2017-01-24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"%USERPROFILE%\AppData\Local\Temp\OnboardLogs"\RTDC4025\*4025*20170125* | grep -SE "(Enforcement Action)|(\[TIMEOUT)|(CHR.+\|PRM\|1\|D.+(SWITCH|SIGNAL).+UNKNOWN)" - &gt;&gt; 2017-01-24-UncaughtWiMAX.txt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667</v>
      </c>
      <c r="B136" s="7">
        <v>4026</v>
      </c>
      <c r="C136" s="22" t="s">
        <v>196</v>
      </c>
      <c r="D136" s="22" t="s">
        <v>270</v>
      </c>
      <c r="E136" s="13">
        <v>42759.845636574071</v>
      </c>
      <c r="F136" s="13">
        <v>42759.851585648146</v>
      </c>
      <c r="G136" s="7">
        <v>1</v>
      </c>
      <c r="H136" s="22" t="s">
        <v>211</v>
      </c>
      <c r="I136" s="13">
        <v>42759.878819444442</v>
      </c>
      <c r="J136" s="7">
        <v>0</v>
      </c>
      <c r="K136" s="105" t="str">
        <f t="shared" si="29"/>
        <v>4025/4026</v>
      </c>
      <c r="L136" s="22" t="str">
        <f>VLOOKUP(A136,'Trips&amp;Operators'!$C$1:$G$99999,5,FALSE)</f>
        <v>NEWELL JAMES</v>
      </c>
      <c r="M136" s="6">
        <f t="shared" si="30"/>
        <v>2.7233796296059154E-2</v>
      </c>
      <c r="N136" s="7">
        <f t="shared" si="47"/>
        <v>39.216666666325182</v>
      </c>
      <c r="O136" s="7"/>
      <c r="P136" s="7"/>
      <c r="Q136" s="23"/>
      <c r="R136" s="23"/>
      <c r="S136" s="32">
        <f t="shared" si="48"/>
        <v>1</v>
      </c>
      <c r="T136" s="47" t="str">
        <f t="shared" si="31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2"/>
        <v>https://d0f6bd738d7f1b3e5a7ca70fe4ff75f0.us-east-1.aws.found.io/app/kibana#/discover/Steve-Slow-Train-Analysis-(2080s-and-2083s)?_g=(refreshInterval:(display:Off,pause:!f,section:0,value:0),time:(from:'2017-01-24T19:17:43-0700',mode:absolute,to:'2017-01-24T22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6" s="49" t="str">
        <f t="shared" si="33"/>
        <v>N</v>
      </c>
      <c r="X136" s="170">
        <f t="shared" si="52"/>
        <v>1</v>
      </c>
      <c r="Y136" s="64">
        <f t="shared" si="50"/>
        <v>23.299299999999999</v>
      </c>
      <c r="Z136" s="64">
        <f t="shared" si="49"/>
        <v>1.47E-2</v>
      </c>
      <c r="AA136" s="64">
        <f t="shared" si="36"/>
        <v>23.284599999999998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37"/>
        <v>0224-24</v>
      </c>
      <c r="AE136" s="87" t="str">
        <f t="shared" si="38"/>
        <v>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 &amp; aws s3 cp s3://rtdc.mdm.uploadarchive.raw/RTDC4026/ "%USERPROFILE%\AppData\Local\Temp\OnboardLogs"\RTDC4026\2017-01-25 --exclude "*" --recursive --include "*20170125*" &amp; "%USERPROFILE%\Documents\GitHub\mrs-test-scripts\Headless Mode &amp; Sideloading\WalkAndUnGZ.bat" "%USERPROFILE%\AppData\Local\Temp\OnboardLogs"\RTDC4026\2017-01-25</v>
      </c>
      <c r="AF136" s="84" t="str">
        <f t="shared" si="39"/>
        <v>"C:\Program Files (x86)\AstroGrep\AstroGrep.exe" /spath="%USERPROFILE%\AppData\Local\Temp\OnboardLogs" /stypes="app*4026*20170125*" /stext=" 04:.+((SYSTEM_STATE.+slice.+state.+changed )|(ment ac)|(multiple cpu faults)|(system.+state.+changed )|(\[timeout)|(PRM\|1\|D)|(kpr)|(kdp)|(\|lc)|(penalty))" /e /r /s</v>
      </c>
      <c r="AG136" s="1" t="str">
        <f t="shared" si="40"/>
        <v>EC</v>
      </c>
      <c r="AH136" s="88" t="str">
        <f t="shared" si="41"/>
        <v>"%USERPROFILE%\Documents\GitHub\eaglep3\Utilities\RefineRTDCRunTimes.py" --tripid 224-24 --locoid 4026 --swversion DE.1.0.8.0 --startMP 204:232993 --initTime 2017-01-24T20:17:43 --startdatetime 2017-01-24T20:26:17 --delay 1 --endMP 204:147 --enddatetime 2017-01-24T21:05:30 --enforcementcount 0 &gt;&gt;C:\Users\stu\Documents\GitHub\eaglep3-reporting\EC\2017-01-24-refined-times.txt</v>
      </c>
      <c r="AI136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{"issue":{"subject":"","project_id":79,"tracker_id":40,"status_id":1,"priority_id":2,"assigned_to_id":23,"start_date":"2017-01-24","description":"","custom_fields":[{"id":1,"name":"Subdivision","value":"EC"},{"id":4,"name":"Milepost","value":"0.0147"},{"id":17,"name":"Train ID","value":"224-24"},{"id":16,"name":"Locomotive ID","value":"4026"},{"id":130,"name":"Impact","value":""},{"id":150,"name":"Time of Event (Mountain Time)","value":"21:05:30"},{"id":151,"name":"Denver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43"/>
        <v>start /low /b %USERPROFILE%\Documents\GitHub\eaglep3\Utilities\DownloadLogsFromS3.py --loco 4026 --day 2017-01-24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"%USERPROFILE%\AppData\Local\Temp\OnboardLogs"\RTDC4026\*4026*20170125* | grep -SE "(Enforcement Action)|(\[TIMEOUT)|(CHR.+\|PRM\|1\|D.+(SWITCH|SIGNAL).+UNKNOWN)" - &gt;&gt; 2017-01-24-UncaughtWiMAX.txt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488</v>
      </c>
      <c r="B137" s="7">
        <v>4038</v>
      </c>
      <c r="C137" s="22" t="s">
        <v>196</v>
      </c>
      <c r="D137" s="22" t="s">
        <v>421</v>
      </c>
      <c r="E137" s="13">
        <v>42759.83084490741</v>
      </c>
      <c r="F137" s="13">
        <v>42759.833553240744</v>
      </c>
      <c r="G137" s="7">
        <v>1</v>
      </c>
      <c r="H137" s="22" t="s">
        <v>767</v>
      </c>
      <c r="I137" s="13">
        <v>42759.865266203706</v>
      </c>
      <c r="J137" s="7">
        <v>0</v>
      </c>
      <c r="K137" s="105" t="str">
        <f t="shared" si="29"/>
        <v>4037/4038</v>
      </c>
      <c r="L137" s="22" t="str">
        <f>VLOOKUP(A137,'Trips&amp;Operators'!$C$1:$G$99999,5,FALSE)</f>
        <v>STORY SAMANTHA</v>
      </c>
      <c r="M137" s="6">
        <f t="shared" si="30"/>
        <v>3.1712962962046731E-2</v>
      </c>
      <c r="N137" s="7">
        <f t="shared" si="47"/>
        <v>45.666666665347293</v>
      </c>
      <c r="O137" s="7"/>
      <c r="P137" s="7"/>
      <c r="Q137" s="23"/>
      <c r="R137" s="23"/>
      <c r="S137" s="32">
        <f t="shared" si="48"/>
        <v>1</v>
      </c>
      <c r="T137" s="47" t="str">
        <f t="shared" si="31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2"/>
        <v>https://d0f6bd738d7f1b3e5a7ca70fe4ff75f0.us-east-1.aws.found.io/app/kibana#/discover/Steve-Slow-Train-Analysis-(2080s-and-2083s)?_g=(refreshInterval:(display:Off,pause:!f,section:0,value:0),time:(from:'2017-01-24T18:56:25-0700',mode:absolute,to:'2017-01-24T21:45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7" s="49" t="str">
        <f t="shared" si="33"/>
        <v>N</v>
      </c>
      <c r="X137" s="170">
        <f t="shared" si="52"/>
        <v>1</v>
      </c>
      <c r="Y137" s="64">
        <f t="shared" si="50"/>
        <v>4.6699999999999998E-2</v>
      </c>
      <c r="Z137" s="64">
        <f t="shared" si="49"/>
        <v>23.336600000000001</v>
      </c>
      <c r="AA137" s="64">
        <f t="shared" si="36"/>
        <v>23.289899999999999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37"/>
        <v>0225-24</v>
      </c>
      <c r="AE137" s="87" t="str">
        <f t="shared" si="38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137" s="84" t="str">
        <f t="shared" si="39"/>
        <v>"C:\Program Files (x86)\AstroGrep\AstroGrep.exe" /spath="%USERPROFILE%\AppData\Local\Temp\OnboardLogs" /stypes="app*4038*20170125*" /stext=" 03:.+((SYSTEM_STATE.+slice.+state.+changed )|(ment ac)|(multiple cpu faults)|(system.+state.+changed )|(\[timeout)|(PRM\|1\|D)|(kpr)|(kdp)|(\|lc)|(penalty))" /e /r /s</v>
      </c>
      <c r="AG137" s="1" t="str">
        <f t="shared" si="40"/>
        <v>EC</v>
      </c>
      <c r="AH137" s="88" t="str">
        <f t="shared" si="41"/>
        <v>"%USERPROFILE%\Documents\GitHub\eaglep3\Utilities\RefineRTDCRunTimes.py" --tripid 225-24 --locoid 4038 --swversion DE.1.0.8.0 --startMP 204:467 --initTime 2017-01-24T19:56:25 --startdatetime 2017-01-24T20:00:19 --delay 1 --endMP 204:233366 --enddatetime 2017-01-24T20:45:59 --enforcementcount 0 &gt;&gt;C:\Users\stu\Documents\GitHub\eaglep3-reporting\EC\2017-01-24-refined-times.txt</v>
      </c>
      <c r="AI137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{"issue":{"subject":"","project_id":79,"tracker_id":40,"status_id":1,"priority_id":2,"assigned_to_id":23,"start_date":"2017-01-24","description":"","custom_fields":[{"id":1,"name":"Subdivision","value":"EC"},{"id":4,"name":"Milepost","value":"23.3366"},{"id":17,"name":"Train ID","value":"225-24"},{"id":16,"name":"Locomotive ID","value":"4038"},{"id":130,"name":"Impact","value":""},{"id":150,"name":"Time of Event (Mountain Time)","value":"20:45:59"},{"id":151,"name":"Denver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43"/>
        <v>start /low /b %USERPROFILE%\Documents\GitHub\eaglep3\Utilities\DownloadLogsFromS3.py --loco 4038 --day 2017-01-24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"%USERPROFILE%\AppData\Local\Temp\OnboardLogs"\RTDC4038\*4038*20170125* | grep -SE "(Enforcement Action)|(\[TIMEOUT)|(CHR.+\|PRM\|1\|D.+(SWITCH|SIGNAL).+UNKNOWN)" - &gt;&gt; 2017-01-24-UncaughtWiMAX.txt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669</v>
      </c>
      <c r="B138" s="7">
        <v>4037</v>
      </c>
      <c r="C138" s="22" t="s">
        <v>196</v>
      </c>
      <c r="D138" s="22" t="s">
        <v>768</v>
      </c>
      <c r="E138" s="13">
        <v>42759.86922453704</v>
      </c>
      <c r="F138" s="13">
        <v>42759.872534722221</v>
      </c>
      <c r="G138" s="7">
        <v>1</v>
      </c>
      <c r="H138" s="22" t="s">
        <v>186</v>
      </c>
      <c r="I138" s="13">
        <v>42759.900266203702</v>
      </c>
      <c r="J138" s="7">
        <v>0</v>
      </c>
      <c r="K138" s="105" t="str">
        <f t="shared" si="29"/>
        <v>4037/4038</v>
      </c>
      <c r="L138" s="22" t="str">
        <f>VLOOKUP(A138,'Trips&amp;Operators'!$C$1:$G$99999,5,FALSE)</f>
        <v>STORY SAMANTHA</v>
      </c>
      <c r="M138" s="6">
        <f t="shared" si="30"/>
        <v>2.7731481481168885E-2</v>
      </c>
      <c r="N138" s="7">
        <f t="shared" si="47"/>
        <v>39.933333332883194</v>
      </c>
      <c r="O138" s="7"/>
      <c r="P138" s="7"/>
      <c r="Q138" s="23"/>
      <c r="R138" s="23"/>
      <c r="S138" s="32">
        <f t="shared" si="48"/>
        <v>1</v>
      </c>
      <c r="T138" s="47" t="str">
        <f t="shared" si="31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2"/>
        <v>https://d0f6bd738d7f1b3e5a7ca70fe4ff75f0.us-east-1.aws.found.io/app/kibana#/discover/Steve-Slow-Train-Analysis-(2080s-and-2083s)?_g=(refreshInterval:(display:Off,pause:!f,section:0,value:0),time:(from:'2017-01-24T19:51:41-0700',mode:absolute,to:'2017-01-24T22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38" s="49" t="str">
        <f t="shared" si="33"/>
        <v>N</v>
      </c>
      <c r="X138" s="170">
        <f t="shared" ref="X138:X142" si="53">VALUE(LEFT(AD138,4))-VALUE(LEFT(AD137,4))</f>
        <v>1</v>
      </c>
      <c r="Y138" s="64">
        <f t="shared" si="50"/>
        <v>23.3047</v>
      </c>
      <c r="Z138" s="64">
        <f t="shared" si="49"/>
        <v>1.49E-2</v>
      </c>
      <c r="AA138" s="64">
        <f t="shared" si="36"/>
        <v>23.2898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37"/>
        <v>0226-24</v>
      </c>
      <c r="AE138" s="87" t="str">
        <f t="shared" si="38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138" s="84" t="str">
        <f t="shared" si="39"/>
        <v>"C:\Program Files (x86)\AstroGrep\AstroGrep.exe" /spath="%USERPROFILE%\AppData\Local\Temp\OnboardLogs" /stypes="app*4037*20170125*" /stext=" 04:.+((SYSTEM_STATE.+slice.+state.+changed )|(ment ac)|(multiple cpu faults)|(system.+state.+changed )|(\[timeout)|(PRM\|1\|D)|(kpr)|(kdp)|(\|lc)|(penalty))" /e /r /s</v>
      </c>
      <c r="AG138" s="1" t="str">
        <f t="shared" si="40"/>
        <v>EC</v>
      </c>
      <c r="AH138" s="88" t="str">
        <f t="shared" si="41"/>
        <v>"%USERPROFILE%\Documents\GitHub\eaglep3\Utilities\RefineRTDCRunTimes.py" --tripid 226-24 --locoid 4037 --swversion DE.1.0.8.0 --startMP 204:233047 --initTime 2017-01-24T20:51:41 --startdatetime 2017-01-24T20:56:27 --delay 1 --endMP 204:149 --enddatetime 2017-01-24T21:36:23 --enforcementcount 0 &gt;&gt;C:\Users\stu\Documents\GitHub\eaglep3-reporting\EC\2017-01-24-refined-times.txt</v>
      </c>
      <c r="AI138" s="115" t="str">
        <f t="shared" si="42"/>
        <v>echo {"issue":{"subject":"","project_id":79,"tracker_id":40,"status_id":1,"priority_id":2,"assigned_to_id":23,"start_date":"2017-01-24","description":"","custom_fields":[{"id":1,"name":"Subdivision","value":"EC"},{"id":4,"name":"Milepost","value":"0.0149"},{"id":17,"name":"Train ID","value":"226-24"},{"id":16,"name":"Locomotive ID","value":"4037"},{"id":130,"name":"Impact","value":""},{"id":150,"name":"Time of Event (Mountain Time)","value":"21:36:23"},{"id":151,"name":"Denver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43"/>
        <v>start /low /b %USERPROFILE%\Documents\GitHub\eaglep3\Utilities\DownloadLogsFromS3.py --loco 4037 --day 2017-01-24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"%USERPROFILE%\AppData\Local\Temp\OnboardLogs"\RTDC4037\*4037*20170125* | grep -SE "(Enforcement Action)|(\[TIMEOUT)|(CHR.+\|PRM\|1\|D.+(SWITCH|SIGNAL).+UNKNOWN)" - &gt;&gt; 2017-01-24-UncaughtWiMAX.txt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665</v>
      </c>
      <c r="B139" s="7">
        <v>4003</v>
      </c>
      <c r="C139" s="22" t="s">
        <v>196</v>
      </c>
      <c r="D139" s="22" t="s">
        <v>262</v>
      </c>
      <c r="E139" s="13">
        <v>42759.839444444442</v>
      </c>
      <c r="F139" s="13">
        <v>42759.855092592596</v>
      </c>
      <c r="G139" s="7">
        <v>15</v>
      </c>
      <c r="H139" s="22" t="s">
        <v>335</v>
      </c>
      <c r="I139" s="13">
        <v>42759.885868055557</v>
      </c>
      <c r="J139" s="7">
        <v>0</v>
      </c>
      <c r="K139" s="105" t="str">
        <f t="shared" si="29"/>
        <v>4003/4004</v>
      </c>
      <c r="L139" s="22" t="str">
        <f>VLOOKUP(A139,'Trips&amp;Operators'!$C$1:$G$99999,5,FALSE)</f>
        <v>STAMBAUGH JAMES</v>
      </c>
      <c r="M139" s="6">
        <f t="shared" si="30"/>
        <v>3.0775462961173616E-2</v>
      </c>
      <c r="N139" s="7">
        <f t="shared" ref="N139:N170" si="54">24*60*SUM($M139:$M139)</f>
        <v>44.316666664090008</v>
      </c>
      <c r="O139" s="7"/>
      <c r="P139" s="7"/>
      <c r="Q139" s="23"/>
      <c r="R139" s="23"/>
      <c r="S139" s="32">
        <f t="shared" si="48"/>
        <v>1</v>
      </c>
      <c r="T139" s="47" t="str">
        <f t="shared" si="31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2"/>
        <v>https://d0f6bd738d7f1b3e5a7ca70fe4ff75f0.us-east-1.aws.found.io/app/kibana#/discover/Steve-Slow-Train-Analysis-(2080s-and-2083s)?_g=(refreshInterval:(display:Off,pause:!f,section:0,value:0),time:(from:'2017-01-24T19:08:48-0700',mode:absolute,to:'2017-01-24T22:15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49" t="str">
        <f t="shared" si="33"/>
        <v>N</v>
      </c>
      <c r="X139" s="170">
        <f t="shared" si="53"/>
        <v>1</v>
      </c>
      <c r="Y139" s="64">
        <v>4.6699999999999998E-2</v>
      </c>
      <c r="Z139" s="64">
        <v>23.336600000000001</v>
      </c>
      <c r="AA139" s="64">
        <f t="shared" si="36"/>
        <v>23.289899999999999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37"/>
        <v>0227-24</v>
      </c>
      <c r="AE139" s="87" t="str">
        <f t="shared" si="38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139" s="84" t="str">
        <f t="shared" si="39"/>
        <v>"C:\Program Files (x86)\AstroGrep\AstroGrep.exe" /spath="%USERPROFILE%\AppData\Local\Temp\OnboardLogs" /stypes="app*4003*20170125*" /stext=" 04:.+((SYSTEM_STATE.+slice.+state.+changed )|(ment ac)|(multiple cpu faults)|(system.+state.+changed )|(\[timeout)|(PRM\|1\|D)|(kpr)|(kdp)|(\|lc)|(penalty))" /e /r /s</v>
      </c>
      <c r="AG139" s="1" t="str">
        <f t="shared" si="40"/>
        <v>EC</v>
      </c>
      <c r="AH139" s="88" t="str">
        <f t="shared" ref="AH139:AH200" si="55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227-24 --locoid 4003 --swversion DE.1.0.8.0 --startMP 204:451 --initTime 2017-01-24T20:08:48 --startdatetime 2017-01-24T20:31:20 --delay 15 --endMP 204:453 --enddatetime 2017-01-24T21:15:39 --enforcementcount 0 &gt;&gt;C:\Users\stu\Documents\GitHub\eaglep3-reporting\EC\2017-01-24-refined-times.txt</v>
      </c>
      <c r="AI139" s="115" t="str">
        <f t="shared" ref="AI139:AI200" si="56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{"issue":{"subject":"","project_id":79,"tracker_id":40,"status_id":1,"priority_id":2,"assigned_to_id":23,"start_date":"2017-01-24","description":"","custom_fields":[{"id":1,"name":"Subdivision","value":"EC"},{"id":4,"name":"Milepost","value":"23.3366"},{"id":17,"name":"Train ID","value":"227-24"},{"id":16,"name":"Locomotive ID","value":"4003"},{"id":130,"name":"Impact","value":""},{"id":150,"name":"Time of Event (Mountain Time)","value":"21:15:39"},{"id":151,"name":"Denver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ref="AM139:AM200" si="57">"start /low /b "&amp;dls3logs&amp;" --loco "&amp;B139&amp;" --day "&amp;TEXT(F139,"YYYY-MM-DD")</f>
        <v>start /low /b %USERPROFILE%\Documents\GitHub\eaglep3\Utilities\DownloadLogsFromS3.py --loco 4003 --day 2017-01-24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"%USERPROFILE%\AppData\Local\Temp\OnboardLogs"\RTDC4003\*4003*20170125* | grep -SE "(Enforcement Action)|(\[TIMEOUT)|(CHR.+\|PRM\|1\|D.+(SWITCH|SIGNAL).+UNKNOWN)" - &gt;&gt; 2017-01-24-UncaughtWiMAX.txt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672</v>
      </c>
      <c r="B140" s="7">
        <v>4004</v>
      </c>
      <c r="C140" s="22" t="s">
        <v>196</v>
      </c>
      <c r="D140" s="22" t="s">
        <v>722</v>
      </c>
      <c r="E140" s="13">
        <v>42759.892164351855</v>
      </c>
      <c r="F140" s="13">
        <v>42759.893587962964</v>
      </c>
      <c r="G140" s="7">
        <v>1</v>
      </c>
      <c r="H140" s="22" t="s">
        <v>238</v>
      </c>
      <c r="I140" s="13">
        <v>42759.920254629629</v>
      </c>
      <c r="J140" s="7">
        <v>0</v>
      </c>
      <c r="K140" s="105" t="str">
        <f t="shared" si="29"/>
        <v>4003/4004</v>
      </c>
      <c r="L140" s="22" t="str">
        <f>VLOOKUP(A140,'Trips&amp;Operators'!$C$1:$G$99999,5,FALSE)</f>
        <v>STAMBAUGH JAMES</v>
      </c>
      <c r="M140" s="6">
        <f t="shared" si="30"/>
        <v>2.6666666664823424E-2</v>
      </c>
      <c r="N140" s="7">
        <f t="shared" si="54"/>
        <v>38.399999997345731</v>
      </c>
      <c r="O140" s="7"/>
      <c r="P140" s="7"/>
      <c r="Q140" s="23"/>
      <c r="R140" s="23"/>
      <c r="S140" s="32">
        <f t="shared" ref="S140:S171" si="58">SUM(U140:U140)/IF(AG140="EC",12,1)</f>
        <v>1</v>
      </c>
      <c r="T140" s="47" t="str">
        <f t="shared" si="31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2"/>
        <v>https://d0f6bd738d7f1b3e5a7ca70fe4ff75f0.us-east-1.aws.found.io/app/kibana#/discover/Steve-Slow-Train-Analysis-(2080s-and-2083s)?_g=(refreshInterval:(display:Off,pause:!f,section:0,value:0),time:(from:'2017-01-24T20:24:43-0700',mode:absolute,to:'2017-01-24T23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0" s="49" t="str">
        <f t="shared" si="33"/>
        <v>N</v>
      </c>
      <c r="X140" s="170">
        <f t="shared" si="53"/>
        <v>1</v>
      </c>
      <c r="Y140" s="64">
        <f t="shared" ref="Y140:Y171" si="59">RIGHT(D140,LEN(D140)-4)/10000</f>
        <v>23.3</v>
      </c>
      <c r="Z140" s="64">
        <f t="shared" ref="Z140:Z171" si="60">RIGHT(H140,LEN(H140)-4)/10000</f>
        <v>1.54E-2</v>
      </c>
      <c r="AA140" s="64">
        <f t="shared" si="36"/>
        <v>23.284600000000001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37"/>
        <v>0228-24</v>
      </c>
      <c r="AE140" s="87" t="str">
        <f t="shared" si="38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140" s="84" t="str">
        <f t="shared" si="39"/>
        <v>"C:\Program Files (x86)\AstroGrep\AstroGrep.exe" /spath="%USERPROFILE%\AppData\Local\Temp\OnboardLogs" /stypes="app*4004*20170125*" /stext=" 05:.+((SYSTEM_STATE.+slice.+state.+changed )|(ment ac)|(multiple cpu faults)|(system.+state.+changed )|(\[timeout)|(PRM\|1\|D)|(kpr)|(kdp)|(\|lc)|(penalty))" /e /r /s</v>
      </c>
      <c r="AG140" s="1" t="str">
        <f t="shared" si="40"/>
        <v>EC</v>
      </c>
      <c r="AH140" s="88" t="str">
        <f t="shared" si="55"/>
        <v>"%USERPROFILE%\Documents\GitHub\eaglep3\Utilities\RefineRTDCRunTimes.py" --tripid 228-24 --locoid 4004 --swversion DE.1.0.8.0 --startMP 204:233000 --initTime 2017-01-24T21:24:43 --startdatetime 2017-01-24T21:26:46 --delay 1 --endMP 204:154 --enddatetime 2017-01-24T22:05:10 --enforcementcount 0 &gt;&gt;C:\Users\stu\Documents\GitHub\eaglep3-reporting\EC\2017-01-24-refined-times.txt</v>
      </c>
      <c r="AI140" s="115" t="str">
        <f t="shared" si="56"/>
        <v>echo {"issue":{"subject":"","project_id":79,"tracker_id":40,"status_id":1,"priority_id":2,"assigned_to_id":23,"start_date":"2017-01-24","description":"","custom_fields":[{"id":1,"name":"Subdivision","value":"EC"},{"id":4,"name":"Milepost","value":"0.0154"},{"id":17,"name":"Train ID","value":"228-24"},{"id":16,"name":"Locomotive ID","value":"4004"},{"id":130,"name":"Impact","value":""},{"id":150,"name":"Time of Event (Mountain Time)","value":"22:05:10"},{"id":151,"name":"Denver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57"/>
        <v>start /low /b %USERPROFILE%\Documents\GitHub\eaglep3\Utilities\DownloadLogsFromS3.py --loco 4004 --day 2017-01-24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"%USERPROFILE%\AppData\Local\Temp\OnboardLogs"\RTDC4004\*4004*20170125* | grep -SE "(Enforcement Action)|(\[TIMEOUT)|(CHR.+\|PRM\|1\|D.+(SWITCH|SIGNAL).+UNKNOWN)" - &gt;&gt; 2017-01-24-UncaughtWiMAX.txt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670</v>
      </c>
      <c r="B141" s="7">
        <v>4009</v>
      </c>
      <c r="C141" s="22" t="s">
        <v>196</v>
      </c>
      <c r="D141" s="22" t="s">
        <v>362</v>
      </c>
      <c r="E141" s="13">
        <v>42759.873923611114</v>
      </c>
      <c r="F141" s="13">
        <v>42759.875520833331</v>
      </c>
      <c r="G141" s="7">
        <v>1</v>
      </c>
      <c r="H141" s="22" t="s">
        <v>769</v>
      </c>
      <c r="I141" s="13">
        <v>42759.907858796294</v>
      </c>
      <c r="J141" s="7">
        <v>0</v>
      </c>
      <c r="K141" s="105" t="str">
        <f t="shared" ref="K141:K204" si="61">IF(ISEVEN(B141),(B141-1)&amp;"/"&amp;B141,B141&amp;"/"&amp;(B141+1))</f>
        <v>4009/4010</v>
      </c>
      <c r="L141" s="22" t="str">
        <f>VLOOKUP(A141,'Trips&amp;Operators'!$C$1:$G$99999,5,FALSE)</f>
        <v>CHANDLER KELVIN</v>
      </c>
      <c r="M141" s="6">
        <f t="shared" ref="M141:M204" si="62">I141-F141</f>
        <v>3.2337962962628808E-2</v>
      </c>
      <c r="N141" s="7">
        <f t="shared" si="54"/>
        <v>46.566666666185483</v>
      </c>
      <c r="O141" s="7"/>
      <c r="P141" s="7"/>
      <c r="Q141" s="23"/>
      <c r="R141" s="23"/>
      <c r="S141" s="32">
        <f t="shared" si="58"/>
        <v>1</v>
      </c>
      <c r="T141" s="47" t="str">
        <f t="shared" ref="T141:T204" si="63"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-24T19:58:27-0700',mode:absolute,to:'2017-01-24T22:47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1" s="49" t="str">
        <f t="shared" ref="W141:W204" si="65">IF(AA141&lt;IF(AG141="EC",23,5.65),"Y","N")</f>
        <v>N</v>
      </c>
      <c r="X141" s="170">
        <f t="shared" si="53"/>
        <v>1</v>
      </c>
      <c r="Y141" s="64">
        <f t="shared" si="59"/>
        <v>4.8000000000000001E-2</v>
      </c>
      <c r="Z141" s="64">
        <f t="shared" si="60"/>
        <v>23.328499999999998</v>
      </c>
      <c r="AA141" s="64">
        <f t="shared" ref="AA141:AA204" si="66">ABS(Z141-Y141)</f>
        <v>23.2805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4" si="67">IF(LEN(A141)=6,"0"&amp;A141,A141)</f>
        <v>0229-24</v>
      </c>
      <c r="AE141" s="87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141" s="84" t="str">
        <f t="shared" ref="AF141:AF204" si="6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/stypes="app*4009*20170125*" /stext=" 04:.+((SYSTEM_STATE.+slice.+state.+changed )|(ment ac)|(multiple cpu faults)|(system.+state.+changed )|(\[timeout)|(PRM\|1\|D)|(kpr)|(kdp)|(\|lc)|(penalty))" /e /r /s</v>
      </c>
      <c r="AG141" s="1" t="str">
        <f t="shared" ref="AG141:AG204" si="70">IFERROR(IF(VALUE(LEFT(AD141,2))&lt;=2,"EC",IF(OR(VALUE(LEFT(AD141,2))=8,VALUE(LEFT(AD141,2))=18),"NW","Other")),"Other")</f>
        <v>EC</v>
      </c>
      <c r="AH141" s="88" t="str">
        <f t="shared" si="55"/>
        <v>"%USERPROFILE%\Documents\GitHub\eaglep3\Utilities\RefineRTDCRunTimes.py" --tripid 229-24 --locoid 4009 --swversion DE.1.0.8.0 --startMP 204:480 --initTime 2017-01-24T20:58:27 --startdatetime 2017-01-24T21:00:45 --delay 1 --endMP 204:233285 --enddatetime 2017-01-24T21:47:19 --enforcementcount 0 &gt;&gt;C:\Users\stu\Documents\GitHub\eaglep3-reporting\EC\2017-01-24-refined-times.txt</v>
      </c>
      <c r="AI141" s="115" t="str">
        <f t="shared" si="56"/>
        <v>echo {"issue":{"subject":"","project_id":79,"tracker_id":40,"status_id":1,"priority_id":2,"assigned_to_id":23,"start_date":"2017-01-24","description":"","custom_fields":[{"id":1,"name":"Subdivision","value":"EC"},{"id":4,"name":"Milepost","value":"23.3285"},{"id":17,"name":"Train ID","value":"229-24"},{"id":16,"name":"Locomotive ID","value":"4009"},{"id":130,"name":"Impact","value":""},{"id":150,"name":"Time of Event (Mountain Time)","value":"21:47:19"},{"id":151,"name":"Denver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57"/>
        <v>start /low /b %USERPROFILE%\Documents\GitHub\eaglep3\Utilities\DownloadLogsFromS3.py --loco 4009 --day 2017-01-24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"%USERPROFILE%\AppData\Local\Temp\OnboardLogs"\RTDC4009\*4009*20170125* | grep -SE "(Enforcement Action)|(\[TIMEOUT)|(CHR.+\|PRM\|1\|D.+(SWITCH|SIGNAL).+UNKNOWN)" - &gt;&gt; 2017-01-24-UncaughtWiMAX.txt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674</v>
      </c>
      <c r="B142" s="7">
        <v>4010</v>
      </c>
      <c r="C142" s="22" t="s">
        <v>196</v>
      </c>
      <c r="D142" s="22" t="s">
        <v>770</v>
      </c>
      <c r="E142" s="13">
        <v>42759.912870370368</v>
      </c>
      <c r="F142" s="13">
        <v>42759.914189814815</v>
      </c>
      <c r="G142" s="7">
        <v>1</v>
      </c>
      <c r="H142" s="22" t="s">
        <v>413</v>
      </c>
      <c r="I142" s="13">
        <v>42759.942442129628</v>
      </c>
      <c r="J142" s="7">
        <v>0</v>
      </c>
      <c r="K142" s="105" t="str">
        <f t="shared" si="61"/>
        <v>4009/4010</v>
      </c>
      <c r="L142" s="22" t="str">
        <f>VLOOKUP(A142,'Trips&amp;Operators'!$C$1:$G$99999,5,FALSE)</f>
        <v>CHANDLER KELVIN</v>
      </c>
      <c r="M142" s="6">
        <f t="shared" si="62"/>
        <v>2.8252314812561963E-2</v>
      </c>
      <c r="N142" s="7">
        <f t="shared" si="54"/>
        <v>40.683333330089226</v>
      </c>
      <c r="O142" s="7"/>
      <c r="P142" s="7"/>
      <c r="Q142" s="23"/>
      <c r="R142" s="23"/>
      <c r="S142" s="32">
        <f t="shared" si="58"/>
        <v>1</v>
      </c>
      <c r="T142" s="47" t="str">
        <f t="shared" si="63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64"/>
        <v>https://d0f6bd738d7f1b3e5a7ca70fe4ff75f0.us-east-1.aws.found.io/app/kibana#/discover/Steve-Slow-Train-Analysis-(2080s-and-2083s)?_g=(refreshInterval:(display:Off,pause:!f,section:0,value:0),time:(from:'2017-01-24T20:54:32-0700',mode:absolute,to:'2017-01-24T23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2" s="49" t="str">
        <f t="shared" si="65"/>
        <v>N</v>
      </c>
      <c r="X142" s="170">
        <f t="shared" si="53"/>
        <v>1</v>
      </c>
      <c r="Y142" s="64">
        <f t="shared" si="59"/>
        <v>23.296600000000002</v>
      </c>
      <c r="Z142" s="64">
        <f t="shared" si="60"/>
        <v>1.6899999999999998E-2</v>
      </c>
      <c r="AA142" s="64">
        <f t="shared" si="66"/>
        <v>23.279700000000002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67"/>
        <v>0230-24</v>
      </c>
      <c r="AE142" s="87" t="str">
        <f t="shared" si="68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142" s="84" t="str">
        <f t="shared" si="69"/>
        <v>"C:\Program Files (x86)\AstroGrep\AstroGrep.exe" /spath="%USERPROFILE%\AppData\Local\Temp\OnboardLogs" /stypes="app*4010*20170125*" /stext=" 05:.+((SYSTEM_STATE.+slice.+state.+changed )|(ment ac)|(multiple cpu faults)|(system.+state.+changed )|(\[timeout)|(PRM\|1\|D)|(kpr)|(kdp)|(\|lc)|(penalty))" /e /r /s</v>
      </c>
      <c r="AG142" s="1" t="str">
        <f t="shared" si="70"/>
        <v>EC</v>
      </c>
      <c r="AH142" s="88" t="str">
        <f t="shared" si="55"/>
        <v>"%USERPROFILE%\Documents\GitHub\eaglep3\Utilities\RefineRTDCRunTimes.py" --tripid 230-24 --locoid 4010 --swversion DE.1.0.8.0 --startMP 204:232966 --initTime 2017-01-24T21:54:32 --startdatetime 2017-01-24T21:56:26 --delay 1 --endMP 204:169 --enddatetime 2017-01-24T22:37:07 --enforcementcount 0 &gt;&gt;C:\Users\stu\Documents\GitHub\eaglep3-reporting\EC\2017-01-24-refined-times.txt</v>
      </c>
      <c r="AI142" s="115" t="str">
        <f t="shared" si="56"/>
        <v>echo {"issue":{"subject":"","project_id":79,"tracker_id":40,"status_id":1,"priority_id":2,"assigned_to_id":23,"start_date":"2017-01-24","description":"","custom_fields":[{"id":1,"name":"Subdivision","value":"EC"},{"id":4,"name":"Milepost","value":"0.0169"},{"id":17,"name":"Train ID","value":"230-24"},{"id":16,"name":"Locomotive ID","value":"4010"},{"id":130,"name":"Impact","value":""},{"id":150,"name":"Time of Event (Mountain Time)","value":"22:37:07"},{"id":151,"name":"Denver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si="57"/>
        <v>start /low /b %USERPROFILE%\Documents\GitHub\eaglep3\Utilities\DownloadLogsFromS3.py --loco 4010 --day 2017-01-24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"%USERPROFILE%\AppData\Local\Temp\OnboardLogs"\RTDC4010\*4010*20170125* | grep -SE "(Enforcement Action)|(\[TIMEOUT)|(CHR.+\|PRM\|1\|D.+(SWITCH|SIGNAL).+UNKNOWN)" - &gt;&gt; 2017-01-24-UncaughtWiMAX.txt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671</v>
      </c>
      <c r="B143" s="7">
        <v>4025</v>
      </c>
      <c r="C143" s="22" t="s">
        <v>196</v>
      </c>
      <c r="D143" s="22" t="s">
        <v>425</v>
      </c>
      <c r="E143" s="13">
        <v>42759.88244212963</v>
      </c>
      <c r="F143" s="13">
        <v>42759.895995370367</v>
      </c>
      <c r="G143" s="7">
        <v>1</v>
      </c>
      <c r="H143" s="22" t="s">
        <v>360</v>
      </c>
      <c r="I143" s="13">
        <v>42759.927673611113</v>
      </c>
      <c r="J143" s="7">
        <v>0</v>
      </c>
      <c r="K143" s="105" t="str">
        <f t="shared" si="61"/>
        <v>4025/4026</v>
      </c>
      <c r="L143" s="22" t="str">
        <f>VLOOKUP(A143,'Trips&amp;Operators'!$C$1:$G$99999,5,FALSE)</f>
        <v>NEWELL JAMES</v>
      </c>
      <c r="M143" s="6">
        <f t="shared" si="62"/>
        <v>3.1678240746259689E-2</v>
      </c>
      <c r="N143" s="7">
        <f t="shared" si="54"/>
        <v>45.616666674613953</v>
      </c>
      <c r="O143" s="7"/>
      <c r="P143" s="7"/>
      <c r="Q143" s="23"/>
      <c r="R143" s="23"/>
      <c r="S143" s="32">
        <f t="shared" si="58"/>
        <v>1</v>
      </c>
      <c r="T143" s="47" t="str">
        <f t="shared" si="63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64"/>
        <v>https://d0f6bd738d7f1b3e5a7ca70fe4ff75f0.us-east-1.aws.found.io/app/kibana#/discover/Steve-Slow-Train-Analysis-(2080s-and-2083s)?_g=(refreshInterval:(display:Off,pause:!f,section:0,value:0),time:(from:'2017-01-24T20:10:43-0700',mode:absolute,to:'2017-01-24T23:15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3" s="49" t="str">
        <f t="shared" si="65"/>
        <v>N</v>
      </c>
      <c r="X143" s="170">
        <f t="shared" ref="X143:X168" si="71">VALUE(LEFT(AD143,4))-VALUE(LEFT(AD142,4))</f>
        <v>1</v>
      </c>
      <c r="Y143" s="64">
        <f t="shared" si="59"/>
        <v>4.7800000000000002E-2</v>
      </c>
      <c r="Z143" s="64">
        <f t="shared" si="60"/>
        <v>23.331499999999998</v>
      </c>
      <c r="AA143" s="64">
        <f t="shared" si="66"/>
        <v>23.2837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67"/>
        <v>0231-24</v>
      </c>
      <c r="AE143" s="87" t="str">
        <f t="shared" si="68"/>
        <v>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 &amp; aws s3 cp s3://rtdc.mdm.uploadarchive.raw/RTDC4025/ "%USERPROFILE%\AppData\Local\Temp\OnboardLogs"\RTDC4025\2017-01-25 --exclude "*" --recursive --include "*20170125*" &amp; "%USERPROFILE%\Documents\GitHub\mrs-test-scripts\Headless Mode &amp; Sideloading\WalkAndUnGZ.bat" "%USERPROFILE%\AppData\Local\Temp\OnboardLogs"\RTDC4025\2017-01-25</v>
      </c>
      <c r="AF143" s="84" t="str">
        <f t="shared" si="69"/>
        <v>"C:\Program Files (x86)\AstroGrep\AstroGrep.exe" /spath="%USERPROFILE%\AppData\Local\Temp\OnboardLogs" /stypes="app*4025*20170125*" /stext=" 05:.+((SYSTEM_STATE.+slice.+state.+changed )|(ment ac)|(multiple cpu faults)|(system.+state.+changed )|(\[timeout)|(PRM\|1\|D)|(kpr)|(kdp)|(\|lc)|(penalty))" /e /r /s</v>
      </c>
      <c r="AG143" s="1" t="str">
        <f t="shared" si="70"/>
        <v>EC</v>
      </c>
      <c r="AH143" s="88" t="str">
        <f t="shared" si="55"/>
        <v>"%USERPROFILE%\Documents\GitHub\eaglep3\Utilities\RefineRTDCRunTimes.py" --tripid 231-24 --locoid 4025 --swversion DE.1.0.8.0 --startMP 204:478 --initTime 2017-01-24T21:10:43 --startdatetime 2017-01-24T21:30:14 --delay 1 --endMP 204:233315 --enddatetime 2017-01-24T22:15:51 --enforcementcount 0 &gt;&gt;C:\Users\stu\Documents\GitHub\eaglep3-reporting\EC\2017-01-24-refined-times.txt</v>
      </c>
      <c r="AI143" s="115" t="str">
        <f t="shared" si="56"/>
        <v>echo {"issue":{"subject":"","project_id":79,"tracker_id":40,"status_id":1,"priority_id":2,"assigned_to_id":23,"start_date":"2017-01-24","description":"","custom_fields":[{"id":1,"name":"Subdivision","value":"EC"},{"id":4,"name":"Milepost","value":"23.3315"},{"id":17,"name":"Train ID","value":"231-24"},{"id":16,"name":"Locomotive ID","value":"4025"},{"id":130,"name":"Impact","value":""},{"id":150,"name":"Time of Event (Mountain Time)","value":"22:15:51"},{"id":151,"name":"Denver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7"/>
        <v>start /low /b %USERPROFILE%\Documents\GitHub\eaglep3\Utilities\DownloadLogsFromS3.py --loco 4025 --day 2017-01-24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"%USERPROFILE%\AppData\Local\Temp\OnboardLogs"\RTDC4025\*4025*20170125* | grep -SE "(Enforcement Action)|(\[TIMEOUT)|(CHR.+\|PRM\|1\|D.+(SWITCH|SIGNAL).+UNKNOWN)" - &gt;&gt; 2017-01-24-UncaughtWiMAX.txt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677</v>
      </c>
      <c r="B144" s="7">
        <v>4026</v>
      </c>
      <c r="C144" s="22" t="s">
        <v>196</v>
      </c>
      <c r="D144" s="22" t="s">
        <v>734</v>
      </c>
      <c r="E144" s="13">
        <v>42759.931493055556</v>
      </c>
      <c r="F144" s="13">
        <v>42759.934884259259</v>
      </c>
      <c r="G144" s="7">
        <v>1</v>
      </c>
      <c r="H144" s="22" t="s">
        <v>221</v>
      </c>
      <c r="I144" s="13">
        <v>42759.96329861111</v>
      </c>
      <c r="J144" s="7">
        <v>0</v>
      </c>
      <c r="K144" s="105" t="str">
        <f t="shared" si="61"/>
        <v>4025/4026</v>
      </c>
      <c r="L144" s="22" t="str">
        <f>VLOOKUP(A144,'Trips&amp;Operators'!$C$1:$G$99999,5,FALSE)</f>
        <v>NEWELL JAMES</v>
      </c>
      <c r="M144" s="6">
        <f t="shared" si="62"/>
        <v>2.8414351851097308E-2</v>
      </c>
      <c r="N144" s="7">
        <f t="shared" si="54"/>
        <v>40.916666665580124</v>
      </c>
      <c r="O144" s="7"/>
      <c r="P144" s="7"/>
      <c r="Q144" s="23"/>
      <c r="R144" s="23"/>
      <c r="S144" s="32">
        <f t="shared" si="58"/>
        <v>1</v>
      </c>
      <c r="T144" s="47" t="str">
        <f t="shared" si="63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64"/>
        <v>https://d0f6bd738d7f1b3e5a7ca70fe4ff75f0.us-east-1.aws.found.io/app/kibana#/discover/Steve-Slow-Train-Analysis-(2080s-and-2083s)?_g=(refreshInterval:(display:Off,pause:!f,section:0,value:0),time:(from:'2017-01-24T21:21:21-0700',mode:absolute,to:'2017-01-25T00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4" s="49" t="str">
        <f t="shared" si="65"/>
        <v>N</v>
      </c>
      <c r="X144" s="170">
        <f t="shared" si="71"/>
        <v>1</v>
      </c>
      <c r="Y144" s="64">
        <f t="shared" si="59"/>
        <v>23.299099999999999</v>
      </c>
      <c r="Z144" s="64">
        <f t="shared" si="60"/>
        <v>1.5800000000000002E-2</v>
      </c>
      <c r="AA144" s="64">
        <f t="shared" si="66"/>
        <v>23.283300000000001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67"/>
        <v>0232-24</v>
      </c>
      <c r="AE144" s="87" t="str">
        <f t="shared" si="68"/>
        <v>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 &amp; aws s3 cp s3://rtdc.mdm.uploadarchive.raw/RTDC4026/ "%USERPROFILE%\AppData\Local\Temp\OnboardLogs"\RTDC4026\2017-01-25 --exclude "*" --recursive --include "*20170125*" &amp; "%USERPROFILE%\Documents\GitHub\mrs-test-scripts\Headless Mode &amp; Sideloading\WalkAndUnGZ.bat" "%USERPROFILE%\AppData\Local\Temp\OnboardLogs"\RTDC4026\2017-01-25</v>
      </c>
      <c r="AF144" s="84" t="str">
        <f t="shared" si="69"/>
        <v>"C:\Program Files (x86)\AstroGrep\AstroGrep.exe" /spath="%USERPROFILE%\AppData\Local\Temp\OnboardLogs" /stypes="app*4026*20170125*" /stext=" 06:.+((SYSTEM_STATE.+slice.+state.+changed )|(ment ac)|(multiple cpu faults)|(system.+state.+changed )|(\[timeout)|(PRM\|1\|D)|(kpr)|(kdp)|(\|lc)|(penalty))" /e /r /s</v>
      </c>
      <c r="AG144" s="1" t="str">
        <f t="shared" si="70"/>
        <v>EC</v>
      </c>
      <c r="AH144" s="88" t="str">
        <f t="shared" si="55"/>
        <v>"%USERPROFILE%\Documents\GitHub\eaglep3\Utilities\RefineRTDCRunTimes.py" --tripid 232-24 --locoid 4026 --swversion DE.1.0.8.0 --startMP 204:232991 --initTime 2017-01-24T22:21:21 --startdatetime 2017-01-24T22:26:14 --delay 1 --endMP 204:158 --enddatetime 2017-01-24T23:07:09 --enforcementcount 0 &gt;&gt;C:\Users\stu\Documents\GitHub\eaglep3-reporting\EC\2017-01-24-refined-times.txt</v>
      </c>
      <c r="AI144" s="115" t="str">
        <f t="shared" si="56"/>
        <v>echo {"issue":{"subject":"","project_id":79,"tracker_id":40,"status_id":1,"priority_id":2,"assigned_to_id":23,"start_date":"2017-01-24","description":"","custom_fields":[{"id":1,"name":"Subdivision","value":"EC"},{"id":4,"name":"Milepost","value":"0.0158"},{"id":17,"name":"Train ID","value":"232-24"},{"id":16,"name":"Locomotive ID","value":"4026"},{"id":130,"name":"Impact","value":""},{"id":150,"name":"Time of Event (Mountain Time)","value":"23:07:09"},{"id":151,"name":"Denver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7"/>
        <v>start /low /b %USERPROFILE%\Documents\GitHub\eaglep3\Utilities\DownloadLogsFromS3.py --loco 4026 --day 2017-01-24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"%USERPROFILE%\AppData\Local\Temp\OnboardLogs"\RTDC4026\*4026*20170125* | grep -SE "(Enforcement Action)|(\[TIMEOUT)|(CHR.+\|PRM\|1\|D.+(SWITCH|SIGNAL).+UNKNOWN)" - &gt;&gt; 2017-01-24-UncaughtWiMAX.txt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673</v>
      </c>
      <c r="B145" s="7">
        <v>4038</v>
      </c>
      <c r="C145" s="22" t="s">
        <v>196</v>
      </c>
      <c r="D145" s="22" t="s">
        <v>241</v>
      </c>
      <c r="E145" s="13">
        <v>42759.905011574076</v>
      </c>
      <c r="F145" s="13">
        <v>42759.917002314818</v>
      </c>
      <c r="G145" s="7">
        <v>3</v>
      </c>
      <c r="H145" s="22" t="s">
        <v>771</v>
      </c>
      <c r="I145" s="13">
        <v>42759.942800925928</v>
      </c>
      <c r="J145" s="7">
        <v>0</v>
      </c>
      <c r="K145" s="105" t="str">
        <f t="shared" si="61"/>
        <v>4037/4038</v>
      </c>
      <c r="L145" s="22" t="str">
        <f>VLOOKUP(A145,'Trips&amp;Operators'!$C$1:$G$99999,5,FALSE)</f>
        <v>STORY SAMANTHA</v>
      </c>
      <c r="M145" s="6">
        <f t="shared" si="62"/>
        <v>2.5798611110076308E-2</v>
      </c>
      <c r="N145" s="7">
        <f t="shared" si="54"/>
        <v>37.149999998509884</v>
      </c>
      <c r="O145" s="7"/>
      <c r="P145" s="7"/>
      <c r="Q145" s="23"/>
      <c r="R145" s="23"/>
      <c r="S145" s="32">
        <f t="shared" si="58"/>
        <v>1</v>
      </c>
      <c r="T145" s="47" t="str">
        <f t="shared" si="63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64"/>
        <v>https://d0f6bd738d7f1b3e5a7ca70fe4ff75f0.us-east-1.aws.found.io/app/kibana#/discover/Steve-Slow-Train-Analysis-(2080s-and-2083s)?_g=(refreshInterval:(display:Off,pause:!f,section:0,value:0),time:(from:'2017-01-24T20:43:13-0700',mode:absolute,to:'2017-01-24T23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5" s="49" t="str">
        <f t="shared" si="65"/>
        <v>N</v>
      </c>
      <c r="X145" s="170">
        <f t="shared" si="71"/>
        <v>1</v>
      </c>
      <c r="Y145" s="64">
        <f t="shared" si="59"/>
        <v>4.58E-2</v>
      </c>
      <c r="Z145" s="64">
        <f t="shared" si="60"/>
        <v>23.326799999999999</v>
      </c>
      <c r="AA145" s="64">
        <f t="shared" si="66"/>
        <v>23.280999999999999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67"/>
        <v>0233-24</v>
      </c>
      <c r="AE145" s="87" t="str">
        <f t="shared" si="68"/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AF145" s="84" t="str">
        <f t="shared" si="69"/>
        <v>"C:\Program Files (x86)\AstroGrep\AstroGrep.exe" /spath="%USERPROFILE%\AppData\Local\Temp\OnboardLogs" /stypes="app*4038*20170125*" /stext=" 05:.+((SYSTEM_STATE.+slice.+state.+changed )|(ment ac)|(multiple cpu faults)|(system.+state.+changed )|(\[timeout)|(PRM\|1\|D)|(kpr)|(kdp)|(\|lc)|(penalty))" /e /r /s</v>
      </c>
      <c r="AG145" s="1" t="str">
        <f t="shared" si="70"/>
        <v>EC</v>
      </c>
      <c r="AH145" s="88" t="str">
        <f t="shared" si="55"/>
        <v>"%USERPROFILE%\Documents\GitHub\eaglep3\Utilities\RefineRTDCRunTimes.py" --tripid 233-24 --locoid 4038 --swversion DE.1.0.8.0 --startMP 204:458 --initTime 2017-01-24T21:43:13 --startdatetime 2017-01-24T22:00:29 --delay 3 --endMP 204:233268 --enddatetime 2017-01-24T22:37:38 --enforcementcount 0 &gt;&gt;C:\Users\stu\Documents\GitHub\eaglep3-reporting\EC\2017-01-24-refined-times.txt</v>
      </c>
      <c r="AI145" s="115" t="str">
        <f t="shared" si="56"/>
        <v>echo {"issue":{"subject":"","project_id":79,"tracker_id":40,"status_id":1,"priority_id":2,"assigned_to_id":23,"start_date":"2017-01-24","description":"","custom_fields":[{"id":1,"name":"Subdivision","value":"EC"},{"id":4,"name":"Milepost","value":"23.3268"},{"id":17,"name":"Train ID","value":"233-24"},{"id":16,"name":"Locomotive ID","value":"4038"},{"id":130,"name":"Impact","value":""},{"id":150,"name":"Time of Event (Mountain Time)","value":"22:37:38"},{"id":151,"name":"Denver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7"/>
        <v>start /low /b %USERPROFILE%\Documents\GitHub\eaglep3\Utilities\DownloadLogsFromS3.py --loco 4038 --day 2017-01-24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"%USERPROFILE%\AppData\Local\Temp\OnboardLogs"\RTDC4038\*4038*20170125* | grep -SE "(Enforcement Action)|(\[TIMEOUT)|(CHR.+\|PRM\|1\|D.+(SWITCH|SIGNAL).+UNKNOWN)" - &gt;&gt; 2017-01-24-UncaughtWiMAX.txt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679</v>
      </c>
      <c r="B146" s="7">
        <v>4037</v>
      </c>
      <c r="C146" s="22" t="s">
        <v>196</v>
      </c>
      <c r="D146" s="22" t="s">
        <v>334</v>
      </c>
      <c r="E146" s="13">
        <v>42759.945949074077</v>
      </c>
      <c r="F146" s="13">
        <v>42759.955972222226</v>
      </c>
      <c r="G146" s="7">
        <v>1</v>
      </c>
      <c r="H146" s="22" t="s">
        <v>238</v>
      </c>
      <c r="I146" s="13">
        <v>42759.984178240738</v>
      </c>
      <c r="J146" s="7">
        <v>0</v>
      </c>
      <c r="K146" s="105" t="str">
        <f t="shared" si="61"/>
        <v>4037/4038</v>
      </c>
      <c r="L146" s="22" t="str">
        <f>VLOOKUP(A146,'Trips&amp;Operators'!$C$1:$G$99999,5,FALSE)</f>
        <v>STORY SAMANTHA</v>
      </c>
      <c r="M146" s="6">
        <f t="shared" si="62"/>
        <v>2.8206018512719311E-2</v>
      </c>
      <c r="N146" s="7">
        <f t="shared" si="54"/>
        <v>40.616666658315808</v>
      </c>
      <c r="O146" s="7"/>
      <c r="P146" s="7"/>
      <c r="Q146" s="23"/>
      <c r="R146" s="23"/>
      <c r="S146" s="32">
        <f t="shared" si="58"/>
        <v>1</v>
      </c>
      <c r="T146" s="47" t="str">
        <f t="shared" si="63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64"/>
        <v>https://d0f6bd738d7f1b3e5a7ca70fe4ff75f0.us-east-1.aws.found.io/app/kibana#/discover/Steve-Slow-Train-Analysis-(2080s-and-2083s)?_g=(refreshInterval:(display:Off,pause:!f,section:0,value:0),time:(from:'2017-01-24T21:42:10-0700',mode:absolute,to:'2017-01-25T00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6" s="49" t="str">
        <f t="shared" si="65"/>
        <v>N</v>
      </c>
      <c r="X146" s="170">
        <f t="shared" si="71"/>
        <v>1</v>
      </c>
      <c r="Y146" s="64">
        <f t="shared" si="59"/>
        <v>23.2973</v>
      </c>
      <c r="Z146" s="64">
        <f t="shared" si="60"/>
        <v>1.54E-2</v>
      </c>
      <c r="AA146" s="64">
        <f t="shared" si="66"/>
        <v>23.2819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67"/>
        <v>0234-24</v>
      </c>
      <c r="AE146" s="87" t="str">
        <f t="shared" si="68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146" s="84" t="str">
        <f t="shared" si="69"/>
        <v>"C:\Program Files (x86)\AstroGrep\AstroGrep.exe" /spath="%USERPROFILE%\AppData\Local\Temp\OnboardLogs" /stypes="app*4037*20170125*" /stext=" 06:.+((SYSTEM_STATE.+slice.+state.+changed )|(ment ac)|(multiple cpu faults)|(system.+state.+changed )|(\[timeout)|(PRM\|1\|D)|(kpr)|(kdp)|(\|lc)|(penalty))" /e /r /s</v>
      </c>
      <c r="AG146" s="1" t="str">
        <f t="shared" si="70"/>
        <v>EC</v>
      </c>
      <c r="AH146" s="88" t="str">
        <f t="shared" si="55"/>
        <v>"%USERPROFILE%\Documents\GitHub\eaglep3\Utilities\RefineRTDCRunTimes.py" --tripid 234-24 --locoid 4037 --swversion DE.1.0.8.0 --startMP 204:232973 --initTime 2017-01-24T22:42:10 --startdatetime 2017-01-24T22:56:36 --delay 1 --endMP 204:154 --enddatetime 2017-01-24T23:37:13 --enforcementcount 0 &gt;&gt;C:\Users\stu\Documents\GitHub\eaglep3-reporting\EC\2017-01-24-refined-times.txt</v>
      </c>
      <c r="AI146" s="115" t="str">
        <f t="shared" si="56"/>
        <v>echo {"issue":{"subject":"","project_id":79,"tracker_id":40,"status_id":1,"priority_id":2,"assigned_to_id":23,"start_date":"2017-01-24","description":"","custom_fields":[{"id":1,"name":"Subdivision","value":"EC"},{"id":4,"name":"Milepost","value":"0.0154"},{"id":17,"name":"Train ID","value":"234-24"},{"id":16,"name":"Locomotive ID","value":"4037"},{"id":130,"name":"Impact","value":""},{"id":150,"name":"Time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7"/>
        <v>start /low /b %USERPROFILE%\Documents\GitHub\eaglep3\Utilities\DownloadLogsFromS3.py --loco 4037 --day 2017-01-24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"%USERPROFILE%\AppData\Local\Temp\OnboardLogs"\RTDC4037\*4037*20170125* | grep -SE "(Enforcement Action)|(\[TIMEOUT)|(CHR.+\|PRM\|1\|D.+(SWITCH|SIGNAL).+UNKNOWN)" - &gt;&gt; 2017-01-24-UncaughtWiMAX.txt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676</v>
      </c>
      <c r="B147" s="7">
        <v>4003</v>
      </c>
      <c r="C147" s="22" t="s">
        <v>196</v>
      </c>
      <c r="D147" s="22" t="s">
        <v>262</v>
      </c>
      <c r="E147" s="13">
        <v>42759.926030092596</v>
      </c>
      <c r="F147" s="13">
        <v>42759.937835648147</v>
      </c>
      <c r="G147" s="7">
        <v>1</v>
      </c>
      <c r="H147" s="22" t="s">
        <v>236</v>
      </c>
      <c r="I147" s="13">
        <v>42759.96266203704</v>
      </c>
      <c r="J147" s="7">
        <v>0</v>
      </c>
      <c r="K147" s="105" t="str">
        <f t="shared" si="61"/>
        <v>4003/4004</v>
      </c>
      <c r="L147" s="22" t="str">
        <f>VLOOKUP(A147,'Trips&amp;Operators'!$C$1:$G$99999,5,FALSE)</f>
        <v>STAMBAUGH JAMES</v>
      </c>
      <c r="M147" s="6">
        <f t="shared" si="62"/>
        <v>2.4826388893416151E-2</v>
      </c>
      <c r="N147" s="7">
        <f t="shared" si="54"/>
        <v>35.750000006519258</v>
      </c>
      <c r="O147" s="7"/>
      <c r="P147" s="7"/>
      <c r="Q147" s="23"/>
      <c r="R147" s="23"/>
      <c r="S147" s="32">
        <f t="shared" si="58"/>
        <v>1</v>
      </c>
      <c r="T147" s="47" t="str">
        <f t="shared" si="63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64"/>
        <v>https://d0f6bd738d7f1b3e5a7ca70fe4ff75f0.us-east-1.aws.found.io/app/kibana#/discover/Steve-Slow-Train-Analysis-(2080s-and-2083s)?_g=(refreshInterval:(display:Off,pause:!f,section:0,value:0),time:(from:'2017-01-24T21:13:29-0700',mode:absolute,to:'2017-01-25T00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49" t="str">
        <f t="shared" si="65"/>
        <v>N</v>
      </c>
      <c r="X147" s="170">
        <f t="shared" si="71"/>
        <v>1</v>
      </c>
      <c r="Y147" s="64">
        <f t="shared" si="59"/>
        <v>4.5100000000000001E-2</v>
      </c>
      <c r="Z147" s="64">
        <f t="shared" si="60"/>
        <v>23.330400000000001</v>
      </c>
      <c r="AA147" s="64">
        <f t="shared" si="66"/>
        <v>23.285299999999999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67"/>
        <v>0235-24</v>
      </c>
      <c r="AE147" s="87" t="str">
        <f t="shared" si="68"/>
        <v>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 &amp; 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</v>
      </c>
      <c r="AF147" s="84" t="str">
        <f t="shared" si="69"/>
        <v>"C:\Program Files (x86)\AstroGrep\AstroGrep.exe" /spath="%USERPROFILE%\AppData\Local\Temp\OnboardLogs" /stypes="app*4003*20170125*" /stext=" 06:.+((SYSTEM_STATE.+slice.+state.+changed )|(ment ac)|(multiple cpu faults)|(system.+state.+changed )|(\[timeout)|(PRM\|1\|D)|(kpr)|(kdp)|(\|lc)|(penalty))" /e /r /s</v>
      </c>
      <c r="AG147" s="1" t="str">
        <f t="shared" si="70"/>
        <v>EC</v>
      </c>
      <c r="AH147" s="88" t="str">
        <f t="shared" si="55"/>
        <v>"%USERPROFILE%\Documents\GitHub\eaglep3\Utilities\RefineRTDCRunTimes.py" --tripid 235-24 --locoid 4003 --swversion DE.1.0.8.0 --startMP 204:451 --initTime 2017-01-24T22:13:29 --startdatetime 2017-01-24T22:30:29 --delay 1 --endMP 204:233304 --enddatetime 2017-01-24T23:06:14 --enforcementcount 0 &gt;&gt;C:\Users\stu\Documents\GitHub\eaglep3-reporting\EC\2017-01-24-refined-times.txt</v>
      </c>
      <c r="AI147" s="115" t="str">
        <f t="shared" si="56"/>
        <v>echo {"issue":{"subject":"","project_id":79,"tracker_id":40,"status_id":1,"priority_id":2,"assigned_to_id":23,"start_date":"2017-01-24","description":"","custom_fields":[{"id":1,"name":"Subdivision","value":"EC"},{"id":4,"name":"Milepost","value":"23.3304"},{"id":17,"name":"Train ID","value":"235-24"},{"id":16,"name":"Locomotive ID","value":"4003"},{"id":130,"name":"Impact","value":""},{"id":150,"name":"Time of Event (Mountain Time)","value":"23:06:14"},{"id":151,"name":"Denver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7"/>
        <v>start /low /b %USERPROFILE%\Documents\GitHub\eaglep3\Utilities\DownloadLogsFromS3.py --loco 4003 --day 2017-01-24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"%USERPROFILE%\AppData\Local\Temp\OnboardLogs"\RTDC4003\*4003*20170125* | grep -SE "(Enforcement Action)|(\[TIMEOUT)|(CHR.+\|PRM\|1\|D.+(SWITCH|SIGNAL).+UNKNOWN)" - &gt;&gt; 2017-01-24-UncaughtWiMAX.txt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682</v>
      </c>
      <c r="B148" s="7">
        <v>4004</v>
      </c>
      <c r="C148" s="22" t="s">
        <v>196</v>
      </c>
      <c r="D148" s="22" t="s">
        <v>363</v>
      </c>
      <c r="E148" s="13">
        <v>42759.97550925926</v>
      </c>
      <c r="F148" s="13">
        <v>42759.976990740739</v>
      </c>
      <c r="G148" s="7">
        <v>1</v>
      </c>
      <c r="H148" s="22" t="s">
        <v>200</v>
      </c>
      <c r="I148" s="13">
        <v>42760.006851851853</v>
      </c>
      <c r="J148" s="7">
        <v>0</v>
      </c>
      <c r="K148" s="105" t="str">
        <f t="shared" si="61"/>
        <v>4003/4004</v>
      </c>
      <c r="L148" s="22" t="str">
        <f>VLOOKUP(A148,'Trips&amp;Operators'!$C$1:$G$99999,5,FALSE)</f>
        <v>STAMBAUGH JAMES</v>
      </c>
      <c r="M148" s="6">
        <f t="shared" si="62"/>
        <v>2.9861111113859806E-2</v>
      </c>
      <c r="N148" s="7">
        <f t="shared" si="54"/>
        <v>43.000000003958121</v>
      </c>
      <c r="O148" s="7"/>
      <c r="P148" s="7"/>
      <c r="Q148" s="23"/>
      <c r="R148" s="23"/>
      <c r="S148" s="32">
        <f t="shared" si="58"/>
        <v>1</v>
      </c>
      <c r="T148" s="47" t="str">
        <f t="shared" si="63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64"/>
        <v>https://d0f6bd738d7f1b3e5a7ca70fe4ff75f0.us-east-1.aws.found.io/app/kibana#/discover/Steve-Slow-Train-Analysis-(2080s-and-2083s)?_g=(refreshInterval:(display:Off,pause:!f,section:0,value:0),time:(from:'2017-01-24T22:24:44-0700',mode:absolute,to:'2017-01-25T01:09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8" s="49" t="str">
        <f t="shared" si="65"/>
        <v>N</v>
      </c>
      <c r="X148" s="170">
        <f t="shared" si="71"/>
        <v>1</v>
      </c>
      <c r="Y148" s="64">
        <f t="shared" si="59"/>
        <v>23.3002</v>
      </c>
      <c r="Z148" s="64">
        <f t="shared" si="60"/>
        <v>1.4999999999999999E-2</v>
      </c>
      <c r="AA148" s="64">
        <f t="shared" si="66"/>
        <v>23.2852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67"/>
        <v>0236-24</v>
      </c>
      <c r="AE148" s="87" t="str">
        <f t="shared" si="68"/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AF148" s="84" t="str">
        <f t="shared" si="69"/>
        <v>"C:\Program Files (x86)\AstroGrep\AstroGrep.exe" /spath="%USERPROFILE%\AppData\Local\Temp\OnboardLogs" /stypes="app*4004*20170125*" /stext=" 07:.+((SYSTEM_STATE.+slice.+state.+changed )|(ment ac)|(multiple cpu faults)|(system.+state.+changed )|(\[timeout)|(PRM\|1\|D)|(kpr)|(kdp)|(\|lc)|(penalty))" /e /r /s</v>
      </c>
      <c r="AG148" s="1" t="str">
        <f t="shared" si="70"/>
        <v>EC</v>
      </c>
      <c r="AH148" s="88" t="str">
        <f t="shared" si="55"/>
        <v>"%USERPROFILE%\Documents\GitHub\eaglep3\Utilities\RefineRTDCRunTimes.py" --tripid 236-24 --locoid 4004 --swversion DE.1.0.8.0 --startMP 204:233002 --initTime 2017-01-24T23:24:44 --startdatetime 2017-01-24T23:26:52 --delay 1 --endMP 204:150 --enddatetime 2017-01-25T00:09:52 --enforcementcount 0 &gt;&gt;C:\Users\stu\Documents\GitHub\eaglep3-reporting\EC\2017-01-24-refined-times.txt</v>
      </c>
      <c r="AI148" s="115" t="str">
        <f t="shared" si="56"/>
        <v>echo {"issue":{"subject":"","project_id":79,"tracker_id":40,"status_id":1,"priority_id":2,"assigned_to_id":23,"start_date":"2017-01-25","description":"","custom_fields":[{"id":1,"name":"Subdivision","value":"EC"},{"id":4,"name":"Milepost","value":"0.015"},{"id":17,"name":"Train ID","value":"236-24"},{"id":16,"name":"Locomotive ID","value":"4004"},{"id":130,"name":"Impact","value":""},{"id":150,"name":"Time of Event (Mountain Time)","value":"00:09:52"},{"id":151,"name":"Denver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7"/>
        <v>start /low /b %USERPROFILE%\Documents\GitHub\eaglep3\Utilities\DownloadLogsFromS3.py --loco 4004 --day 2017-01-24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"%USERPROFILE%\AppData\Local\Temp\OnboardLogs"\RTDC4004\*4004*20170125* | grep -SE "(Enforcement Action)|(\[TIMEOUT)|(CHR.+\|PRM\|1\|D.+(SWITCH|SIGNAL).+UNKNOWN)" - &gt;&gt; 2017-01-24-UncaughtWiMAX.txt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680</v>
      </c>
      <c r="B149" s="7">
        <v>4009</v>
      </c>
      <c r="C149" s="22" t="s">
        <v>196</v>
      </c>
      <c r="D149" s="22" t="s">
        <v>338</v>
      </c>
      <c r="E149" s="13">
        <v>42759.956990740742</v>
      </c>
      <c r="F149" s="13">
        <v>42759.958564814813</v>
      </c>
      <c r="G149" s="7">
        <v>1</v>
      </c>
      <c r="H149" s="22" t="s">
        <v>772</v>
      </c>
      <c r="I149" s="13">
        <v>42759.987002314818</v>
      </c>
      <c r="J149" s="7">
        <v>0</v>
      </c>
      <c r="K149" s="105" t="str">
        <f t="shared" si="61"/>
        <v>4009/4010</v>
      </c>
      <c r="L149" s="22" t="str">
        <f>VLOOKUP(A149,'Trips&amp;Operators'!$C$1:$G$99999,5,FALSE)</f>
        <v>CHANDLER KELVIN</v>
      </c>
      <c r="M149" s="6">
        <f t="shared" si="62"/>
        <v>2.8437500004656613E-2</v>
      </c>
      <c r="N149" s="7">
        <f t="shared" si="54"/>
        <v>40.950000006705523</v>
      </c>
      <c r="O149" s="7"/>
      <c r="P149" s="7"/>
      <c r="Q149" s="23"/>
      <c r="R149" s="23"/>
      <c r="S149" s="32">
        <f t="shared" si="58"/>
        <v>1</v>
      </c>
      <c r="T149" s="47" t="str">
        <f t="shared" si="63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64"/>
        <v>https://d0f6bd738d7f1b3e5a7ca70fe4ff75f0.us-east-1.aws.found.io/app/kibana#/discover/Steve-Slow-Train-Analysis-(2080s-and-2083s)?_g=(refreshInterval:(display:Off,pause:!f,section:0,value:0),time:(from:'2017-01-24T21:58:04-0700',mode:absolute,to:'2017-01-25T00:41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9" s="49" t="str">
        <f t="shared" si="65"/>
        <v>N</v>
      </c>
      <c r="X149" s="170">
        <f t="shared" si="71"/>
        <v>1</v>
      </c>
      <c r="Y149" s="64">
        <f t="shared" si="59"/>
        <v>4.7500000000000001E-2</v>
      </c>
      <c r="Z149" s="64">
        <f t="shared" si="60"/>
        <v>23.328099999999999</v>
      </c>
      <c r="AA149" s="64">
        <f t="shared" si="66"/>
        <v>23.2806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67"/>
        <v>0237-24</v>
      </c>
      <c r="AE149" s="87" t="str">
        <f t="shared" si="68"/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AF149" s="84" t="str">
        <f t="shared" si="69"/>
        <v>"C:\Program Files (x86)\AstroGrep\AstroGrep.exe" /spath="%USERPROFILE%\AppData\Local\Temp\OnboardLogs" /stypes="app*4009*20170125*" /stext=" 06:.+((SYSTEM_STATE.+slice.+state.+changed )|(ment ac)|(multiple cpu faults)|(system.+state.+changed )|(\[timeout)|(PRM\|1\|D)|(kpr)|(kdp)|(\|lc)|(penalty))" /e /r /s</v>
      </c>
      <c r="AG149" s="1" t="str">
        <f t="shared" si="70"/>
        <v>EC</v>
      </c>
      <c r="AH149" s="88" t="str">
        <f t="shared" si="55"/>
        <v>"%USERPROFILE%\Documents\GitHub\eaglep3\Utilities\RefineRTDCRunTimes.py" --tripid 237-24 --locoid 4009 --swversion DE.1.0.8.0 --startMP 204:475 --initTime 2017-01-24T22:58:04 --startdatetime 2017-01-24T23:00:20 --delay 1 --endMP 204:233281 --enddatetime 2017-01-24T23:41:17 --enforcementcount 0 &gt;&gt;C:\Users\stu\Documents\GitHub\eaglep3-reporting\EC\2017-01-24-refined-times.txt</v>
      </c>
      <c r="AI149" s="115" t="str">
        <f t="shared" si="56"/>
        <v>echo {"issue":{"subject":"","project_id":79,"tracker_id":40,"status_id":1,"priority_id":2,"assigned_to_id":23,"start_date":"2017-01-24","description":"","custom_fields":[{"id":1,"name":"Subdivision","value":"EC"},{"id":4,"name":"Milepost","value":"23.3281"},{"id":17,"name":"Train ID","value":"237-24"},{"id":16,"name":"Locomotive ID","value":"4009"},{"id":130,"name":"Impact","value":""},{"id":150,"name":"Time of Event (Mountain Time)","value":"23:41:17"},{"id":151,"name":"Denver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7"/>
        <v>start /low /b %USERPROFILE%\Documents\GitHub\eaglep3\Utilities\DownloadLogsFromS3.py --loco 4009 --day 2017-01-24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"%USERPROFILE%\AppData\Local\Temp\OnboardLogs"\RTDC4009\*4009*20170125* | grep -SE "(Enforcement Action)|(\[TIMEOUT)|(CHR.+\|PRM\|1\|D.+(SWITCH|SIGNAL).+UNKNOWN)" - &gt;&gt; 2017-01-24-UncaughtWiMAX.txt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684</v>
      </c>
      <c r="B150" s="7">
        <v>4010</v>
      </c>
      <c r="C150" s="22" t="s">
        <v>196</v>
      </c>
      <c r="D150" s="22" t="s">
        <v>773</v>
      </c>
      <c r="E150" s="13">
        <v>42759.995555555557</v>
      </c>
      <c r="F150" s="13">
        <v>42759.997557870367</v>
      </c>
      <c r="G150" s="7">
        <v>1</v>
      </c>
      <c r="H150" s="22" t="s">
        <v>774</v>
      </c>
      <c r="I150" s="13">
        <v>42760.026608796295</v>
      </c>
      <c r="J150" s="7">
        <v>0</v>
      </c>
      <c r="K150" s="105" t="str">
        <f t="shared" si="61"/>
        <v>4009/4010</v>
      </c>
      <c r="L150" s="22" t="str">
        <f>VLOOKUP(A150,'Trips&amp;Operators'!$C$1:$G$99999,5,FALSE)</f>
        <v>CHANDLER KELVIN</v>
      </c>
      <c r="M150" s="6">
        <f t="shared" si="62"/>
        <v>2.9050925928459037E-2</v>
      </c>
      <c r="N150" s="7">
        <f t="shared" si="54"/>
        <v>41.833333336981013</v>
      </c>
      <c r="O150" s="7"/>
      <c r="P150" s="7"/>
      <c r="Q150" s="23"/>
      <c r="R150" s="23"/>
      <c r="S150" s="32">
        <f t="shared" si="58"/>
        <v>1</v>
      </c>
      <c r="T150" s="47" t="str">
        <f t="shared" si="63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64"/>
        <v>https://d0f6bd738d7f1b3e5a7ca70fe4ff75f0.us-east-1.aws.found.io/app/kibana#/discover/Steve-Slow-Train-Analysis-(2080s-and-2083s)?_g=(refreshInterval:(display:Off,pause:!f,section:0,value:0),time:(from:'2017-01-24T22:53:36-0700',mode:absolute,to:'2017-01-25T01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0" s="49" t="str">
        <f t="shared" si="65"/>
        <v>N</v>
      </c>
      <c r="X150" s="170">
        <f t="shared" si="71"/>
        <v>1</v>
      </c>
      <c r="Y150" s="64">
        <f t="shared" si="59"/>
        <v>23.295999999999999</v>
      </c>
      <c r="Z150" s="64">
        <f t="shared" si="60"/>
        <v>1.72E-2</v>
      </c>
      <c r="AA150" s="64">
        <f t="shared" si="66"/>
        <v>23.2788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67"/>
        <v>0238-24</v>
      </c>
      <c r="AE150" s="87" t="str">
        <f t="shared" si="68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150" s="84" t="str">
        <f t="shared" si="69"/>
        <v>"C:\Program Files (x86)\AstroGrep\AstroGrep.exe" /spath="%USERPROFILE%\AppData\Local\Temp\OnboardLogs" /stypes="app*4010*20170125*" /stext=" 07:.+((SYSTEM_STATE.+slice.+state.+changed )|(ment ac)|(multiple cpu faults)|(system.+state.+changed )|(\[timeout)|(PRM\|1\|D)|(kpr)|(kdp)|(\|lc)|(penalty))" /e /r /s</v>
      </c>
      <c r="AG150" s="1" t="str">
        <f t="shared" si="70"/>
        <v>EC</v>
      </c>
      <c r="AH150" s="88" t="str">
        <f t="shared" si="55"/>
        <v>"%USERPROFILE%\Documents\GitHub\eaglep3\Utilities\RefineRTDCRunTimes.py" --tripid 238-24 --locoid 4010 --swversion DE.1.0.8.0 --startMP 204:232960 --initTime 2017-01-24T23:53:36 --startdatetime 2017-01-24T23:56:29 --delay 1 --endMP 204:172 --enddatetime 2017-01-25T00:38:19 --enforcementcount 0 &gt;&gt;C:\Users\stu\Documents\GitHub\eaglep3-reporting\EC\2017-01-24-refined-times.txt</v>
      </c>
      <c r="AI150" s="115" t="str">
        <f t="shared" si="56"/>
        <v>echo {"issue":{"subject":"","project_id":79,"tracker_id":40,"status_id":1,"priority_id":2,"assigned_to_id":23,"start_date":"2017-01-25","description":"","custom_fields":[{"id":1,"name":"Subdivision","value":"EC"},{"id":4,"name":"Milepost","value":"0.0172"},{"id":17,"name":"Train ID","value":"238-24"},{"id":16,"name":"Locomotive ID","value":"4010"},{"id":130,"name":"Impact","value":""},{"id":150,"name":"Time of Event (Mountain Time)","value":"00:38:19"},{"id":151,"name":"Denver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7"/>
        <v>start /low /b %USERPROFILE%\Documents\GitHub\eaglep3\Utilities\DownloadLogsFromS3.py --loco 4010 --day 2017-01-24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"%USERPROFILE%\AppData\Local\Temp\OnboardLogs"\RTDC4010\*4010*20170125* | grep -SE "(Enforcement Action)|(\[TIMEOUT)|(CHR.+\|PRM\|1\|D.+(SWITCH|SIGNAL).+UNKNOWN)" - &gt;&gt; 2017-01-24-UncaughtWiMAX.txt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681</v>
      </c>
      <c r="B151" s="7">
        <v>4025</v>
      </c>
      <c r="C151" s="22" t="s">
        <v>196</v>
      </c>
      <c r="D151" s="22" t="s">
        <v>420</v>
      </c>
      <c r="E151" s="13">
        <v>42759.964409722219</v>
      </c>
      <c r="F151" s="13">
        <v>42759.97934027778</v>
      </c>
      <c r="G151" s="7">
        <v>1</v>
      </c>
      <c r="H151" s="22" t="s">
        <v>232</v>
      </c>
      <c r="I151" s="13">
        <v>42760.004907407405</v>
      </c>
      <c r="J151" s="7">
        <v>0</v>
      </c>
      <c r="K151" s="105" t="str">
        <f t="shared" si="61"/>
        <v>4025/4026</v>
      </c>
      <c r="L151" s="22" t="str">
        <f>VLOOKUP(A151,'Trips&amp;Operators'!$C$1:$G$99999,5,FALSE)</f>
        <v>NEWELL JAMES</v>
      </c>
      <c r="M151" s="6">
        <f t="shared" si="62"/>
        <v>2.5567129625414964E-2</v>
      </c>
      <c r="N151" s="7">
        <f t="shared" si="54"/>
        <v>36.816666660597548</v>
      </c>
      <c r="O151" s="7"/>
      <c r="P151" s="7"/>
      <c r="Q151" s="23"/>
      <c r="R151" s="23"/>
      <c r="S151" s="32">
        <f t="shared" si="58"/>
        <v>1</v>
      </c>
      <c r="T151" s="47" t="str">
        <f t="shared" si="63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64"/>
        <v>https://d0f6bd738d7f1b3e5a7ca70fe4ff75f0.us-east-1.aws.found.io/app/kibana#/discover/Steve-Slow-Train-Analysis-(2080s-and-2083s)?_g=(refreshInterval:(display:Off,pause:!f,section:0,value:0),time:(from:'2017-01-24T22:08:45-0700',mode:absolute,to:'2017-01-25T01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1" s="49" t="str">
        <f t="shared" si="65"/>
        <v>N</v>
      </c>
      <c r="X151" s="170">
        <f t="shared" si="71"/>
        <v>1</v>
      </c>
      <c r="Y151" s="64">
        <f t="shared" si="59"/>
        <v>4.3700000000000003E-2</v>
      </c>
      <c r="Z151" s="64">
        <f t="shared" si="60"/>
        <v>23.329899999999999</v>
      </c>
      <c r="AA151" s="64">
        <f t="shared" si="66"/>
        <v>23.286199999999997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67"/>
        <v>0239-24</v>
      </c>
      <c r="AE151" s="87" t="str">
        <f t="shared" si="68"/>
        <v>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 &amp; aws s3 cp s3://rtdc.mdm.uploadarchive.raw/RTDC4025/ "%USERPROFILE%\AppData\Local\Temp\OnboardLogs"\RTDC4025\2017-01-25 --exclude "*" --recursive --include "*20170125*" &amp; "%USERPROFILE%\Documents\GitHub\mrs-test-scripts\Headless Mode &amp; Sideloading\WalkAndUnGZ.bat" "%USERPROFILE%\AppData\Local\Temp\OnboardLogs"\RTDC4025\2017-01-25</v>
      </c>
      <c r="AF151" s="84" t="str">
        <f t="shared" si="69"/>
        <v>"C:\Program Files (x86)\AstroGrep\AstroGrep.exe" /spath="%USERPROFILE%\AppData\Local\Temp\OnboardLogs" /stypes="app*4025*20170125*" /stext=" 07:.+((SYSTEM_STATE.+slice.+state.+changed )|(ment ac)|(multiple cpu faults)|(system.+state.+changed )|(\[timeout)|(PRM\|1\|D)|(kpr)|(kdp)|(\|lc)|(penalty))" /e /r /s</v>
      </c>
      <c r="AG151" s="1" t="str">
        <f t="shared" si="70"/>
        <v>EC</v>
      </c>
      <c r="AH151" s="88" t="str">
        <f t="shared" si="55"/>
        <v>"%USERPROFILE%\Documents\GitHub\eaglep3\Utilities\RefineRTDCRunTimes.py" --tripid 239-24 --locoid 4025 --swversion DE.1.0.8.0 --startMP 204:437 --initTime 2017-01-24T23:08:45 --startdatetime 2017-01-24T23:30:15 --delay 1 --endMP 204:233299 --enddatetime 2017-01-25T00:07:04 --enforcementcount 0 &gt;&gt;C:\Users\stu\Documents\GitHub\eaglep3-reporting\EC\2017-01-24-refined-times.txt</v>
      </c>
      <c r="AI151" s="115" t="str">
        <f t="shared" si="56"/>
        <v>echo {"issue":{"subject":"","project_id":79,"tracker_id":40,"status_id":1,"priority_id":2,"assigned_to_id":23,"start_date":"2017-01-25","description":"","custom_fields":[{"id":1,"name":"Subdivision","value":"EC"},{"id":4,"name":"Milepost","value":"23.3299"},{"id":17,"name":"Train ID","value":"239-24"},{"id":16,"name":"Locomotive ID","value":"4025"},{"id":130,"name":"Impact","value":""},{"id":150,"name":"Time of Event (Mountain Time)","value":"00:07:04"},{"id":151,"name":"Denver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7"/>
        <v>start /low /b %USERPROFILE%\Documents\GitHub\eaglep3\Utilities\DownloadLogsFromS3.py --loco 4025 --day 2017-01-24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"%USERPROFILE%\AppData\Local\Temp\OnboardLogs"\RTDC4025\*4025*20170125* | grep -SE "(Enforcement Action)|(\[TIMEOUT)|(CHR.+\|PRM\|1\|D.+(SWITCH|SIGNAL).+UNKNOWN)" - &gt;&gt; 2017-01-24-UncaughtWiMAX.txt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685</v>
      </c>
      <c r="B152" s="7">
        <v>4026</v>
      </c>
      <c r="C152" s="22" t="s">
        <v>196</v>
      </c>
      <c r="D152" s="22" t="s">
        <v>336</v>
      </c>
      <c r="E152" s="13">
        <v>42760.015370370369</v>
      </c>
      <c r="F152" s="13">
        <v>42760.018229166664</v>
      </c>
      <c r="G152" s="7">
        <v>1</v>
      </c>
      <c r="H152" s="22" t="s">
        <v>237</v>
      </c>
      <c r="I152" s="13">
        <v>42760.045405092591</v>
      </c>
      <c r="J152" s="7">
        <v>0</v>
      </c>
      <c r="K152" s="105" t="str">
        <f t="shared" si="61"/>
        <v>4025/4026</v>
      </c>
      <c r="L152" s="22" t="str">
        <f>VLOOKUP(A152,'Trips&amp;Operators'!$C$1:$G$99999,5,FALSE)</f>
        <v>NEWELL JAMES</v>
      </c>
      <c r="M152" s="6">
        <f t="shared" si="62"/>
        <v>2.7175925926712807E-2</v>
      </c>
      <c r="N152" s="7">
        <f t="shared" si="54"/>
        <v>39.133333334466442</v>
      </c>
      <c r="O152" s="7"/>
      <c r="P152" s="7"/>
      <c r="Q152" s="23"/>
      <c r="R152" s="23"/>
      <c r="S152" s="32">
        <f t="shared" si="58"/>
        <v>1</v>
      </c>
      <c r="T152" s="47" t="str">
        <f t="shared" si="63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64"/>
        <v>https://d0f6bd738d7f1b3e5a7ca70fe4ff75f0.us-east-1.aws.found.io/app/kibana#/discover/Steve-Slow-Train-Analysis-(2080s-and-2083s)?_g=(refreshInterval:(display:Off,pause:!f,section:0,value:0),time:(from:'2017-01-24T23:22:08-0700',mode:absolute,to:'2017-01-25T02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2" s="49" t="str">
        <f t="shared" si="65"/>
        <v>N</v>
      </c>
      <c r="X152" s="170">
        <f t="shared" si="71"/>
        <v>1</v>
      </c>
      <c r="Y152" s="64">
        <f t="shared" si="59"/>
        <v>23.296500000000002</v>
      </c>
      <c r="Z152" s="64">
        <f t="shared" si="60"/>
        <v>1.6299999999999999E-2</v>
      </c>
      <c r="AA152" s="64">
        <f t="shared" si="66"/>
        <v>23.280200000000001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67"/>
        <v>0240-24</v>
      </c>
      <c r="AE152" s="87" t="str">
        <f t="shared" si="68"/>
        <v>aws s3 cp s3://rtdc.mdm.uploadarchive.raw/RTDC4026/ "%USERPROFILE%\AppData\Local\Temp\OnboardLogs"\RTDC4026\2017-01-25 --exclude "*" --recursive --include "*20170125*" &amp; "%USERPROFILE%\Documents\GitHub\mrs-test-scripts\Headless Mode &amp; Sideloading\WalkAndUnGZ.bat" "%USERPROFILE%\AppData\Local\Temp\OnboardLogs"\RTDC4026\2017-01-25 &amp; aws s3 cp s3://rtdc.mdm.uploadarchive.raw/RTDC4026/ "%USERPROFILE%\AppData\Local\Temp\OnboardLogs"\RTDC4026\2017-01-26 --exclude "*" --recursive --include "*20170126*" &amp; "%USERPROFILE%\Documents\GitHub\mrs-test-scripts\Headless Mode &amp; Sideloading\WalkAndUnGZ.bat" "%USERPROFILE%\AppData\Local\Temp\OnboardLogs"\RTDC4026\2017-01-26</v>
      </c>
      <c r="AF152" s="84" t="str">
        <f t="shared" si="69"/>
        <v>"C:\Program Files (x86)\AstroGrep\AstroGrep.exe" /spath="%USERPROFILE%\AppData\Local\Temp\OnboardLogs" /stypes="app*4026*20170125*" /stext=" 08:.+((SYSTEM_STATE.+slice.+state.+changed )|(ment ac)|(multiple cpu faults)|(system.+state.+changed )|(\[timeout)|(PRM\|1\|D)|(kpr)|(kdp)|(\|lc)|(penalty))" /e /r /s</v>
      </c>
      <c r="AG152" s="1" t="str">
        <f t="shared" si="70"/>
        <v>EC</v>
      </c>
      <c r="AH152" s="88" t="str">
        <f t="shared" si="55"/>
        <v>"%USERPROFILE%\Documents\GitHub\eaglep3\Utilities\RefineRTDCRunTimes.py" --tripid 240-24 --locoid 4026 --swversion DE.1.0.8.0 --startMP 204:232965 --initTime 2017-01-25T00:22:08 --startdatetime 2017-01-25T00:26:15 --delay 1 --endMP 204:163 --enddatetime 2017-01-25T01:05:23 --enforcementcount 0 &gt;&gt;C:\Users\stu\Documents\GitHub\eaglep3-reporting\EC\2017-01-24-refined-times.txt</v>
      </c>
      <c r="AI152" s="115" t="str">
        <f t="shared" si="56"/>
        <v>echo {"issue":{"subject":"","project_id":79,"tracker_id":40,"status_id":1,"priority_id":2,"assigned_to_id":23,"start_date":"2017-01-25","description":"","custom_fields":[{"id":1,"name":"Subdivision","value":"EC"},{"id":4,"name":"Milepost","value":"0.0163"},{"id":17,"name":"Train ID","value":"240-24"},{"id":16,"name":"Locomotive ID","value":"4026"},{"id":130,"name":"Impact","value":""},{"id":150,"name":"Time of Event (Mountain Time)","value":"01:05:23"},{"id":151,"name":"Denver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7"/>
        <v>start /low /b %USERPROFILE%\Documents\GitHub\eaglep3\Utilities\DownloadLogsFromS3.py --loco 4026 --day 2017-01-25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"%USERPROFILE%\AppData\Local\Temp\OnboardLogs"\RTDC4026\*4026*20170125* | grep -SE "(Enforcement Action)|(\[TIMEOUT)|(CHR.+\|PRM\|1\|D.+(SWITCH|SIGNAL).+UNKNOWN)" - &gt;&gt; 2017-01-24-UncaughtWiMAX.txt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683</v>
      </c>
      <c r="B153" s="7">
        <v>4038</v>
      </c>
      <c r="C153" s="22" t="s">
        <v>196</v>
      </c>
      <c r="D153" s="22" t="s">
        <v>240</v>
      </c>
      <c r="E153" s="13">
        <v>42759.989664351851</v>
      </c>
      <c r="F153" s="13">
        <v>42760.000844907408</v>
      </c>
      <c r="G153" s="7">
        <v>1</v>
      </c>
      <c r="H153" s="22" t="s">
        <v>426</v>
      </c>
      <c r="I153" s="13">
        <v>42760.031886574077</v>
      </c>
      <c r="J153" s="7">
        <v>0</v>
      </c>
      <c r="K153" s="105" t="str">
        <f t="shared" si="61"/>
        <v>4037/4038</v>
      </c>
      <c r="L153" s="22" t="str">
        <f>VLOOKUP(A153,'Trips&amp;Operators'!$C$1:$G$99999,5,FALSE)</f>
        <v>STORY SAMANTHA</v>
      </c>
      <c r="M153" s="6">
        <f t="shared" si="62"/>
        <v>3.104166666889796E-2</v>
      </c>
      <c r="N153" s="7">
        <f t="shared" si="54"/>
        <v>44.700000003213063</v>
      </c>
      <c r="O153" s="7"/>
      <c r="P153" s="7"/>
      <c r="Q153" s="23"/>
      <c r="R153" s="23"/>
      <c r="S153" s="32">
        <f t="shared" si="58"/>
        <v>1</v>
      </c>
      <c r="T153" s="47" t="str">
        <f t="shared" si="63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64"/>
        <v>https://d0f6bd738d7f1b3e5a7ca70fe4ff75f0.us-east-1.aws.found.io/app/kibana#/discover/Steve-Slow-Train-Analysis-(2080s-and-2083s)?_g=(refreshInterval:(display:Off,pause:!f,section:0,value:0),time:(from:'2017-01-24T22:45:07-0700',mode:absolute,to:'2017-01-25T01:45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3" s="49" t="str">
        <f t="shared" si="65"/>
        <v>N</v>
      </c>
      <c r="X153" s="170">
        <f t="shared" si="71"/>
        <v>1</v>
      </c>
      <c r="Y153" s="64">
        <f t="shared" si="59"/>
        <v>4.4200000000000003E-2</v>
      </c>
      <c r="Z153" s="64">
        <f t="shared" si="60"/>
        <v>23.327200000000001</v>
      </c>
      <c r="AA153" s="64">
        <f t="shared" si="66"/>
        <v>23.283000000000001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67"/>
        <v>0241-24</v>
      </c>
      <c r="AE153" s="87" t="str">
        <f t="shared" si="68"/>
        <v>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 &amp; aws s3 cp s3://rtdc.mdm.uploadarchive.raw/RTDC4038/ "%USERPROFILE%\AppData\Local\Temp\OnboardLogs"\RTDC4038\2017-01-26 --exclude "*" --recursive --include "*20170126*" &amp; "%USERPROFILE%\Documents\GitHub\mrs-test-scripts\Headless Mode &amp; Sideloading\WalkAndUnGZ.bat" "%USERPROFILE%\AppData\Local\Temp\OnboardLogs"\RTDC4038\2017-01-26</v>
      </c>
      <c r="AF153" s="84" t="str">
        <f t="shared" si="69"/>
        <v>"C:\Program Files (x86)\AstroGrep\AstroGrep.exe" /spath="%USERPROFILE%\AppData\Local\Temp\OnboardLogs" /stypes="app*4038*20170125*" /stext=" 07:.+((SYSTEM_STATE.+slice.+state.+changed )|(ment ac)|(multiple cpu faults)|(system.+state.+changed )|(\[timeout)|(PRM\|1\|D)|(kpr)|(kdp)|(\|lc)|(penalty))" /e /r /s</v>
      </c>
      <c r="AG153" s="1" t="str">
        <f t="shared" si="70"/>
        <v>EC</v>
      </c>
      <c r="AH153" s="88" t="str">
        <f t="shared" si="55"/>
        <v>"%USERPROFILE%\Documents\GitHub\eaglep3\Utilities\RefineRTDCRunTimes.py" --tripid 241-24 --locoid 4038 --swversion DE.1.0.8.0 --startMP 204:442 --initTime 2017-01-24T23:45:07 --startdatetime 2017-01-25T00:01:13 --delay 1 --endMP 204:233272 --enddatetime 2017-01-25T00:45:55 --enforcementcount 0 &gt;&gt;C:\Users\stu\Documents\GitHub\eaglep3-reporting\EC\2017-01-24-refined-times.txt</v>
      </c>
      <c r="AI153" s="115" t="str">
        <f t="shared" si="56"/>
        <v>echo {"issue":{"subject":"","project_id":79,"tracker_id":40,"status_id":1,"priority_id":2,"assigned_to_id":23,"start_date":"2017-01-25","description":"","custom_fields":[{"id":1,"name":"Subdivision","value":"EC"},{"id":4,"name":"Milepost","value":"23.3272"},{"id":17,"name":"Train ID","value":"241-24"},{"id":16,"name":"Locomotive ID","value":"4038"},{"id":130,"name":"Impact","value":""},{"id":150,"name":"Time of Event (Mountain Time)","value":"00:45:55"},{"id":151,"name":"Denver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7"/>
        <v>start /low /b %USERPROFILE%\Documents\GitHub\eaglep3\Utilities\DownloadLogsFromS3.py --loco 4038 --day 2017-01-25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"%USERPROFILE%\AppData\Local\Temp\OnboardLogs"\RTDC4038\*4038*20170125* | grep -SE "(Enforcement Action)|(\[TIMEOUT)|(CHR.+\|PRM\|1\|D.+(SWITCH|SIGNAL).+UNKNOWN)" - &gt;&gt; 2017-01-24-UncaughtWiMAX.txt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690</v>
      </c>
      <c r="B154" s="7">
        <v>4037</v>
      </c>
      <c r="C154" s="22" t="s">
        <v>196</v>
      </c>
      <c r="D154" s="22" t="s">
        <v>775</v>
      </c>
      <c r="E154" s="13">
        <v>42760.035393518519</v>
      </c>
      <c r="F154" s="13">
        <v>42760.0391087963</v>
      </c>
      <c r="G154" s="7">
        <v>1</v>
      </c>
      <c r="H154" s="22" t="s">
        <v>776</v>
      </c>
      <c r="I154" s="13">
        <v>42760.066712962966</v>
      </c>
      <c r="J154" s="7">
        <v>0</v>
      </c>
      <c r="K154" s="105" t="str">
        <f t="shared" si="61"/>
        <v>4037/4038</v>
      </c>
      <c r="L154" s="22" t="str">
        <f>VLOOKUP(A154,'Trips&amp;Operators'!$C$1:$G$99999,5,FALSE)</f>
        <v>STORY SAMANTHA</v>
      </c>
      <c r="M154" s="6">
        <f t="shared" si="62"/>
        <v>2.7604166665696539E-2</v>
      </c>
      <c r="N154" s="7">
        <f t="shared" si="54"/>
        <v>39.749999998603016</v>
      </c>
      <c r="O154" s="7"/>
      <c r="P154" s="7"/>
      <c r="Q154" s="23"/>
      <c r="R154" s="23"/>
      <c r="S154" s="32">
        <f t="shared" si="58"/>
        <v>1</v>
      </c>
      <c r="T154" s="47" t="str">
        <f t="shared" si="63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64"/>
        <v>https://d0f6bd738d7f1b3e5a7ca70fe4ff75f0.us-east-1.aws.found.io/app/kibana#/discover/Steve-Slow-Train-Analysis-(2080s-and-2083s)?_g=(refreshInterval:(display:Off,pause:!f,section:0,value:0),time:(from:'2017-01-24T23:50:58-0700',mode:absolute,to:'2017-01-25T02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4" s="49" t="str">
        <f t="shared" si="65"/>
        <v>N</v>
      </c>
      <c r="X154" s="170">
        <f t="shared" si="71"/>
        <v>1</v>
      </c>
      <c r="Y154" s="64">
        <f t="shared" si="59"/>
        <v>23.295500000000001</v>
      </c>
      <c r="Z154" s="64">
        <f t="shared" si="60"/>
        <v>1.18E-2</v>
      </c>
      <c r="AA154" s="64">
        <f t="shared" si="66"/>
        <v>23.2837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67"/>
        <v>0242-24</v>
      </c>
      <c r="AE154" s="87" t="str">
        <f t="shared" si="68"/>
        <v>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 &amp; aws s3 cp s3://rtdc.mdm.uploadarchive.raw/RTDC4037/ "%USERPROFILE%\AppData\Local\Temp\OnboardLogs"\RTDC4037\2017-01-26 --exclude "*" --recursive --include "*20170126*" &amp; "%USERPROFILE%\Documents\GitHub\mrs-test-scripts\Headless Mode &amp; Sideloading\WalkAndUnGZ.bat" "%USERPROFILE%\AppData\Local\Temp\OnboardLogs"\RTDC4037\2017-01-26</v>
      </c>
      <c r="AF154" s="84" t="str">
        <f t="shared" si="69"/>
        <v>"C:\Program Files (x86)\AstroGrep\AstroGrep.exe" /spath="%USERPROFILE%\AppData\Local\Temp\OnboardLogs" /stypes="app*4037*20170125*" /stext=" 08:.+((SYSTEM_STATE.+slice.+state.+changed )|(ment ac)|(multiple cpu faults)|(system.+state.+changed )|(\[timeout)|(PRM\|1\|D)|(kpr)|(kdp)|(\|lc)|(penalty))" /e /r /s</v>
      </c>
      <c r="AG154" s="1" t="str">
        <f t="shared" si="70"/>
        <v>EC</v>
      </c>
      <c r="AH154" s="88" t="str">
        <f t="shared" si="55"/>
        <v>"%USERPROFILE%\Documents\GitHub\eaglep3\Utilities\RefineRTDCRunTimes.py" --tripid 242-24 --locoid 4037 --swversion DE.1.0.8.0 --startMP 204:232955 --initTime 2017-01-25T00:50:58 --startdatetime 2017-01-25T00:56:19 --delay 1 --endMP 204:118 --enddatetime 2017-01-25T01:36:04 --enforcementcount 0 &gt;&gt;C:\Users\stu\Documents\GitHub\eaglep3-reporting\EC\2017-01-24-refined-times.txt</v>
      </c>
      <c r="AI154" s="115" t="str">
        <f t="shared" si="56"/>
        <v>echo {"issue":{"subject":"","project_id":79,"tracker_id":40,"status_id":1,"priority_id":2,"assigned_to_id":23,"start_date":"2017-01-25","description":"","custom_fields":[{"id":1,"name":"Subdivision","value":"EC"},{"id":4,"name":"Milepost","value":"0.0118"},{"id":17,"name":"Train ID","value":"242-24"},{"id":16,"name":"Locomotive ID","value":"4037"},{"id":130,"name":"Impact","value":""},{"id":150,"name":"Time of Event (Mountain Time)","value":"01:36:04"},{"id":151,"name":"Denver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7"/>
        <v>start /low /b %USERPROFILE%\Documents\GitHub\eaglep3\Utilities\DownloadLogsFromS3.py --loco 4037 --day 2017-01-25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"%USERPROFILE%\AppData\Local\Temp\OnboardLogs"\RTDC4037\*4037*20170125* | grep -SE "(Enforcement Action)|(\[TIMEOUT)|(CHR.+\|PRM\|1\|D.+(SWITCH|SIGNAL).+UNKNOWN)" - &gt;&gt; 2017-01-24-UncaughtWiMAX.txt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491</v>
      </c>
      <c r="B155" s="7">
        <v>4003</v>
      </c>
      <c r="C155" s="22" t="s">
        <v>196</v>
      </c>
      <c r="D155" s="22" t="s">
        <v>262</v>
      </c>
      <c r="E155" s="13">
        <v>42760.008761574078</v>
      </c>
      <c r="F155" s="13">
        <v>42760.021307870367</v>
      </c>
      <c r="G155" s="7">
        <v>1</v>
      </c>
      <c r="H155" s="22" t="s">
        <v>409</v>
      </c>
      <c r="I155" s="13">
        <v>42760.052037037036</v>
      </c>
      <c r="J155" s="7">
        <v>0</v>
      </c>
      <c r="K155" s="105" t="str">
        <f t="shared" si="61"/>
        <v>4003/4004</v>
      </c>
      <c r="L155" s="22" t="str">
        <f>VLOOKUP(A155,'Trips&amp;Operators'!$C$1:$G$99999,5,FALSE)</f>
        <v>STAMBAUGH JAMES</v>
      </c>
      <c r="M155" s="6">
        <f t="shared" si="62"/>
        <v>3.0729166668606922E-2</v>
      </c>
      <c r="N155" s="7">
        <f t="shared" si="54"/>
        <v>44.250000002793968</v>
      </c>
      <c r="O155" s="7"/>
      <c r="P155" s="7"/>
      <c r="Q155" s="23"/>
      <c r="R155" s="23"/>
      <c r="S155" s="32">
        <f t="shared" si="58"/>
        <v>1</v>
      </c>
      <c r="T155" s="47" t="str">
        <f t="shared" si="63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64"/>
        <v>https://d0f6bd738d7f1b3e5a7ca70fe4ff75f0.us-east-1.aws.found.io/app/kibana#/discover/Steve-Slow-Train-Analysis-(2080s-and-2083s)?_g=(refreshInterval:(display:Off,pause:!f,section:0,value:0),time:(from:'2017-01-24T23:12:37-0700',mode:absolute,to:'2017-01-25T02:14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49" t="str">
        <f t="shared" si="65"/>
        <v>N</v>
      </c>
      <c r="X155" s="170">
        <f t="shared" si="71"/>
        <v>1</v>
      </c>
      <c r="Y155" s="64">
        <f t="shared" si="59"/>
        <v>4.5100000000000001E-2</v>
      </c>
      <c r="Z155" s="64">
        <f t="shared" si="60"/>
        <v>23.330300000000001</v>
      </c>
      <c r="AA155" s="64">
        <f t="shared" si="66"/>
        <v>23.2852</v>
      </c>
      <c r="AB155" s="61" t="str">
        <f>VLOOKUP(A155,Enforcements!$C$7:$K$16,8,0)</f>
        <v>Bulletin (2)</v>
      </c>
      <c r="AC155" s="57" t="str">
        <f>VLOOKUP(A155,Enforcements!$C$7:$E$16,3,0)</f>
        <v>GRADE CROSSING</v>
      </c>
      <c r="AD155" s="58" t="str">
        <f t="shared" si="67"/>
        <v>0243-24</v>
      </c>
      <c r="AE155" s="87" t="str">
        <f t="shared" si="68"/>
        <v>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 &amp; 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</v>
      </c>
      <c r="AF155" s="84" t="str">
        <f t="shared" si="69"/>
        <v>"C:\Program Files (x86)\AstroGrep\AstroGrep.exe" /spath="%USERPROFILE%\AppData\Local\Temp\OnboardLogs" /stypes="app*4003*20170125*" /stext=" 08:.+((SYSTEM_STATE.+slice.+state.+changed )|(ment ac)|(multiple cpu faults)|(system.+state.+changed )|(\[timeout)|(PRM\|1\|D)|(kpr)|(kdp)|(\|lc)|(penalty))" /e /r /s</v>
      </c>
      <c r="AG155" s="1" t="str">
        <f t="shared" si="70"/>
        <v>EC</v>
      </c>
      <c r="AH155" s="88" t="str">
        <f t="shared" si="55"/>
        <v>"%USERPROFILE%\Documents\GitHub\eaglep3\Utilities\RefineRTDCRunTimes.py" --tripid 243-24 --locoid 4003 --swversion DE.1.0.8.0 --startMP 204:451 --initTime 2017-01-25T00:12:37 --startdatetime 2017-01-25T00:30:41 --delay 1 --endMP 204:233303 --enddatetime 2017-01-25T01:14:56 --enforcementcount 0 &gt;&gt;C:\Users\stu\Documents\GitHub\eaglep3-reporting\EC\2017-01-24-refined-times.txt</v>
      </c>
      <c r="AI155" s="115" t="str">
        <f t="shared" si="56"/>
        <v>echo {"issue":{"subject":"","project_id":79,"tracker_id":40,"status_id":1,"priority_id":2,"assigned_to_id":23,"start_date":"2017-01-25","description":"","custom_fields":[{"id":1,"name":"Subdivision","value":"EC"},{"id":4,"name":"Milepost","value":"23.3303"},{"id":17,"name":"Train ID","value":"243-24"},{"id":16,"name":"Locomotive ID","value":"4003"},{"id":130,"name":"Impact","value":""},{"id":150,"name":"Time of Event (Mountain Time)","value":"01:14:56"},{"id":151,"name":"Denver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7"/>
        <v>start /low /b %USERPROFILE%\Documents\GitHub\eaglep3\Utilities\DownloadLogsFromS3.py --loco 4003 --day 2017-01-25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"%USERPROFILE%\AppData\Local\Temp\OnboardLogs"\RTDC4003\*4003*20170125* | grep -SE "(Enforcement Action)|(\[TIMEOUT)|(CHR.+\|PRM\|1\|D.+(SWITCH|SIGNAL).+UNKNOWN)" - &gt;&gt; 2017-01-24-UncaughtWiMAX.txt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692</v>
      </c>
      <c r="B156" s="7">
        <v>4004</v>
      </c>
      <c r="C156" s="22" t="s">
        <v>196</v>
      </c>
      <c r="D156" s="22" t="s">
        <v>714</v>
      </c>
      <c r="E156" s="13">
        <v>42760.059328703705</v>
      </c>
      <c r="F156" s="13">
        <v>42760.060763888891</v>
      </c>
      <c r="G156" s="7">
        <v>1</v>
      </c>
      <c r="H156" s="22" t="s">
        <v>777</v>
      </c>
      <c r="I156" s="13">
        <v>42760.087256944447</v>
      </c>
      <c r="J156" s="7">
        <v>0</v>
      </c>
      <c r="K156" s="105" t="str">
        <f t="shared" si="61"/>
        <v>4003/4004</v>
      </c>
      <c r="L156" s="22" t="str">
        <f>VLOOKUP(A156,'Trips&amp;Operators'!$C$1:$G$99999,5,FALSE)</f>
        <v>STAMBAUGH JAMES</v>
      </c>
      <c r="M156" s="6">
        <f t="shared" si="62"/>
        <v>2.6493055556784384E-2</v>
      </c>
      <c r="N156" s="7">
        <f t="shared" si="54"/>
        <v>38.150000001769513</v>
      </c>
      <c r="O156" s="7"/>
      <c r="P156" s="7"/>
      <c r="Q156" s="23"/>
      <c r="R156" s="23"/>
      <c r="S156" s="32">
        <f t="shared" si="58"/>
        <v>1</v>
      </c>
      <c r="T156" s="47" t="str">
        <f t="shared" si="63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64"/>
        <v>https://d0f6bd738d7f1b3e5a7ca70fe4ff75f0.us-east-1.aws.found.io/app/kibana#/discover/Steve-Slow-Train-Analysis-(2080s-and-2083s)?_g=(refreshInterval:(display:Off,pause:!f,section:0,value:0),time:(from:'2017-01-25T00:25:26-0700',mode:absolute,to:'2017-01-25T03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6" s="49" t="str">
        <f t="shared" si="65"/>
        <v>N</v>
      </c>
      <c r="X156" s="170">
        <f t="shared" si="71"/>
        <v>1</v>
      </c>
      <c r="Y156" s="64">
        <f t="shared" si="59"/>
        <v>23.298400000000001</v>
      </c>
      <c r="Z156" s="64">
        <f t="shared" si="60"/>
        <v>2.01E-2</v>
      </c>
      <c r="AA156" s="64">
        <f t="shared" si="66"/>
        <v>23.278300000000002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67"/>
        <v>0244-24</v>
      </c>
      <c r="AE156" s="87" t="str">
        <f t="shared" si="68"/>
        <v>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 &amp; 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</v>
      </c>
      <c r="AF156" s="84" t="str">
        <f t="shared" si="69"/>
        <v>"C:\Program Files (x86)\AstroGrep\AstroGrep.exe" /spath="%USERPROFILE%\AppData\Local\Temp\OnboardLogs" /stypes="app*4004*20170125*" /stext=" 09:.+((SYSTEM_STATE.+slice.+state.+changed )|(ment ac)|(multiple cpu faults)|(system.+state.+changed )|(\[timeout)|(PRM\|1\|D)|(kpr)|(kdp)|(\|lc)|(penalty))" /e /r /s</v>
      </c>
      <c r="AG156" s="1" t="str">
        <f t="shared" si="70"/>
        <v>EC</v>
      </c>
      <c r="AH156" s="88" t="str">
        <f t="shared" si="55"/>
        <v>"%USERPROFILE%\Documents\GitHub\eaglep3\Utilities\RefineRTDCRunTimes.py" --tripid 244-24 --locoid 4004 --swversion DE.1.0.8.0 --startMP 204:232984 --initTime 2017-01-25T01:25:26 --startdatetime 2017-01-25T01:27:30 --delay 1 --endMP 204:201 --enddatetime 2017-01-25T02:05:39 --enforcementcount 0 &gt;&gt;C:\Users\stu\Documents\GitHub\eaglep3-reporting\EC\2017-01-24-refined-times.txt</v>
      </c>
      <c r="AI156" s="115" t="str">
        <f t="shared" si="56"/>
        <v>echo {"issue":{"subject":"","project_id":79,"tracker_id":40,"status_id":1,"priority_id":2,"assigned_to_id":23,"start_date":"2017-01-25","description":"","custom_fields":[{"id":1,"name":"Subdivision","value":"EC"},{"id":4,"name":"Milepost","value":"0.0201"},{"id":17,"name":"Train ID","value":"244-24"},{"id":16,"name":"Locomotive ID","value":"4004"},{"id":130,"name":"Impact","value":""},{"id":150,"name":"Time of Event (Mountain Time)","value":"02:05:39"},{"id":151,"name":"Denver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7"/>
        <v>start /low /b %USERPROFILE%\Documents\GitHub\eaglep3\Utilities\DownloadLogsFromS3.py --loco 4004 --day 2017-01-25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"%USERPROFILE%\AppData\Local\Temp\OnboardLogs"\RTDC4004\*4004*20170125* | grep -SE "(Enforcement Action)|(\[TIMEOUT)|(CHR.+\|PRM\|1\|D.+(SWITCH|SIGNAL).+UNKNOWN)" - &gt;&gt; 2017-01-24-UncaughtWiMAX.txt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509</v>
      </c>
      <c r="B157" s="7">
        <v>4043</v>
      </c>
      <c r="C157" s="22" t="s">
        <v>196</v>
      </c>
      <c r="D157" s="22" t="s">
        <v>450</v>
      </c>
      <c r="E157" s="13">
        <v>42759.208518518521</v>
      </c>
      <c r="F157" s="13">
        <v>42759.210532407407</v>
      </c>
      <c r="G157" s="7">
        <v>1</v>
      </c>
      <c r="H157" s="22" t="s">
        <v>813</v>
      </c>
      <c r="I157" s="13">
        <v>42759.225254629629</v>
      </c>
      <c r="J157" s="7">
        <v>0</v>
      </c>
      <c r="K157" s="105" t="str">
        <f t="shared" si="61"/>
        <v>4043/4044</v>
      </c>
      <c r="L157" s="22" t="str">
        <f>VLOOKUP(A157,'Trips&amp;Operators'!$C$1:$G$99999,5,FALSE)</f>
        <v>YORK EDGAR</v>
      </c>
      <c r="M157" s="6">
        <f t="shared" si="62"/>
        <v>1.4722222222189885E-2</v>
      </c>
      <c r="N157" s="7">
        <f t="shared" si="54"/>
        <v>21.199999999953434</v>
      </c>
      <c r="O157" s="7"/>
      <c r="P157" s="7"/>
      <c r="Q157" s="23"/>
      <c r="R157" s="23"/>
      <c r="S157" s="32">
        <f t="shared" si="58"/>
        <v>1</v>
      </c>
      <c r="T157" s="47" t="str">
        <f t="shared" si="63"/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64"/>
        <v>https://d0f6bd738d7f1b3e5a7ca70fe4ff75f0.us-east-1.aws.found.io/app/kibana#/discover/Steve-Slow-Train-Analysis-(2080s-and-2083s)?_g=(refreshInterval:(display:Off,pause:!f,section:0,value:0),time:(from:'2017-01-24T04:00:16-0700',mode:absolute,to:'2017-01-24T06:24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49" t="str">
        <f t="shared" si="65"/>
        <v>N</v>
      </c>
      <c r="X157" s="170">
        <f t="shared" si="71"/>
        <v>556</v>
      </c>
      <c r="Y157" s="64">
        <f t="shared" si="59"/>
        <v>5.86</v>
      </c>
      <c r="Z157" s="64">
        <f t="shared" si="60"/>
        <v>7.3800000000000004E-2</v>
      </c>
      <c r="AA157" s="64">
        <f t="shared" si="66"/>
        <v>5.7862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67"/>
        <v>0800-24</v>
      </c>
      <c r="AE157" s="87" t="str">
        <f t="shared" si="68"/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AF157" s="84" t="str">
        <f t="shared" si="69"/>
        <v>"C:\Program Files (x86)\AstroGrep\AstroGrep.exe" /spath="%USERPROFILE%\AppData\Local\Temp\OnboardLogs" /stypes="app*4043*20170124*" /stext=" 12:.+((SYSTEM_STATE.+slice.+state.+changed )|(ment ac)|(multiple cpu faults)|(system.+state.+changed )|(\[timeout)|(PRM\|1\|D)|(kpr)|(kdp)|(\|lc)|(penalty))" /e /r /s</v>
      </c>
      <c r="AG157" s="1" t="str">
        <f t="shared" si="70"/>
        <v>NW</v>
      </c>
      <c r="AH157" s="88" t="str">
        <f t="shared" si="55"/>
        <v>"%USERPROFILE%\Documents\GitHub\eaglep3\Utilities\RefineRTDCRunTimes.py" --tripid 800-24 --locoid 4043 --swversion DE.1.0.8.0 --startMP 300:58600 --initTime 2017-01-24T05:00:16 --startdatetime 2017-01-24T05:03:10 --delay 1 --endMP 204:738 --enddatetime 2017-01-24T05:24:22 --enforcementcount 0 &gt;&gt;C:\Users\stu\Documents\GitHub\eaglep3-reporting\EC\2017-01-24-refined-times.txt</v>
      </c>
      <c r="AI157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{"issue":{"subject":"","project_id":79,"tracker_id":40,"status_id":1,"priority_id":2,"assigned_to_id":23,"start_date":"2017-01-24","description":"","custom_fields":[{"id":1,"name":"Subdivision","value":"NW"},{"id":4,"name":"Milepost","value":"0.0738"},{"id":17,"name":"Train ID","value":"800-24"},{"id":16,"name":"Locomotive ID","value":"4043"},{"id":130,"name":"Impact","value":""},{"id":150,"name":"Time of Event (Mountain Time)","value":"05:24:22"},{"id":151,"name":"Denver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7"/>
        <v>start /low /b %USERPROFILE%\Documents\GitHub\eaglep3\Utilities\DownloadLogsFromS3.py --loco 4043 --day 2017-01-24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"%USERPROFILE%\AppData\Local\Temp\OnboardLogs"\RTDC4043\*4043*20170124* | grep -SE "(Enforcement Action)|(\[TIMEOUT)|(CHR.+\|PRM\|1\|D.+(SWITCH|SIGNAL).+UNKNOWN)" - &gt;&gt; 2017-01-24-UncaughtWiMAX.txt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515</v>
      </c>
      <c r="B158" s="7">
        <v>4044</v>
      </c>
      <c r="C158" s="22" t="s">
        <v>196</v>
      </c>
      <c r="D158" s="22" t="s">
        <v>814</v>
      </c>
      <c r="E158" s="13">
        <v>42759.226759259262</v>
      </c>
      <c r="F158" s="13">
        <v>42759.244074074071</v>
      </c>
      <c r="G158" s="7">
        <v>1</v>
      </c>
      <c r="H158" s="22" t="s">
        <v>373</v>
      </c>
      <c r="I158" s="13">
        <v>42759.253078703703</v>
      </c>
      <c r="J158" s="7">
        <v>0</v>
      </c>
      <c r="K158" s="105" t="str">
        <f t="shared" si="61"/>
        <v>4043/4044</v>
      </c>
      <c r="L158" s="22" t="str">
        <f>VLOOKUP(A158,'Trips&amp;Operators'!$C$1:$G$99999,5,FALSE)</f>
        <v>YORK EDGAR</v>
      </c>
      <c r="M158" s="6">
        <f t="shared" si="62"/>
        <v>9.0046296318178065E-3</v>
      </c>
      <c r="N158" s="7">
        <f t="shared" si="54"/>
        <v>12.966666669817641</v>
      </c>
      <c r="O158" s="7"/>
      <c r="P158" s="7"/>
      <c r="Q158" s="23"/>
      <c r="R158" s="23"/>
      <c r="S158" s="32">
        <f t="shared" si="58"/>
        <v>1</v>
      </c>
      <c r="T158" s="47" t="str">
        <f t="shared" si="63"/>
        <v>NorthBound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64"/>
        <v>https://d0f6bd738d7f1b3e5a7ca70fe4ff75f0.us-east-1.aws.found.io/app/kibana#/discover/Steve-Slow-Train-Analysis-(2080s-and-2083s)?_g=(refreshInterval:(display:Off,pause:!f,section:0,value:0),time:(from:'2017-01-24T04:26:32-0700',mode:absolute,to:'2017-01-24T07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8" s="49" t="str">
        <f t="shared" si="65"/>
        <v>N</v>
      </c>
      <c r="X158" s="170">
        <f t="shared" si="71"/>
        <v>1</v>
      </c>
      <c r="Y158" s="64">
        <f t="shared" si="59"/>
        <v>0.10340000000000001</v>
      </c>
      <c r="Z158" s="64">
        <f t="shared" si="60"/>
        <v>5.8928000000000003</v>
      </c>
      <c r="AA158" s="64">
        <f t="shared" si="66"/>
        <v>5.7894000000000005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67"/>
        <v>0801-24</v>
      </c>
      <c r="AE158" s="87" t="str">
        <f t="shared" si="68"/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AF158" s="84" t="str">
        <f t="shared" si="69"/>
        <v>"C:\Program Files (x86)\AstroGrep\AstroGrep.exe" /spath="%USERPROFILE%\AppData\Local\Temp\OnboardLogs" /stypes="app*4044*20170124*" /stext=" 13:.+((SYSTEM_STATE.+slice.+state.+changed )|(ment ac)|(multiple cpu faults)|(system.+state.+changed )|(\[timeout)|(PRM\|1\|D)|(kpr)|(kdp)|(\|lc)|(penalty))" /e /r /s</v>
      </c>
      <c r="AG158" s="1" t="str">
        <f t="shared" si="70"/>
        <v>NW</v>
      </c>
      <c r="AH158" s="88" t="str">
        <f t="shared" si="55"/>
        <v>"%USERPROFILE%\Documents\GitHub\eaglep3\Utilities\RefineRTDCRunTimes.py" --tripid 801-24 --locoid 4044 --swversion DE.1.0.8.0 --startMP 204:1034 --initTime 2017-01-24T05:26:32 --startdatetime 2017-01-24T05:51:28 --delay 1 --endMP 300:58928 --enddatetime 2017-01-24T06:04:26 --enforcementcount 0 &gt;&gt;C:\Users\stu\Documents\GitHub\eaglep3-reporting\EC\2017-01-24-refined-times.txt</v>
      </c>
      <c r="AI158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{"issue":{"subject":"","project_id":79,"tracker_id":40,"status_id":1,"priority_id":2,"assigned_to_id":23,"start_date":"2017-01-24","description":"","custom_fields":[{"id":1,"name":"Subdivision","value":"NW"},{"id":4,"name":"Milepost","value":"5.8928"},{"id":17,"name":"Train ID","value":"801-24"},{"id":16,"name":"Locomotive ID","value":"4044"},{"id":130,"name":"Impact","value":""},{"id":150,"name":"Time of Event (Mountain Time)","value":"06:04:26"},{"id":151,"name":"Denver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57"/>
        <v>start /low /b %USERPROFILE%\Documents\GitHub\eaglep3\Utilities\DownloadLogsFromS3.py --loco 4044 --day 2017-01-24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"%USERPROFILE%\AppData\Local\Temp\OnboardLogs"\RTDC4044\*4044*20170124* | grep -SE "(Enforcement Action)|(\[TIMEOUT)|(CHR.+\|PRM\|1\|D.+(SWITCH|SIGNAL).+UNKNOWN)" - &gt;&gt; 2017-01-24-UncaughtWiMAX.txt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521</v>
      </c>
      <c r="B159" s="7">
        <v>4043</v>
      </c>
      <c r="C159" s="22" t="s">
        <v>196</v>
      </c>
      <c r="D159" s="22" t="s">
        <v>370</v>
      </c>
      <c r="E159" s="13">
        <v>42759.254907407405</v>
      </c>
      <c r="F159" s="13">
        <v>42759.257662037038</v>
      </c>
      <c r="G159" s="7">
        <v>1</v>
      </c>
      <c r="H159" s="22" t="s">
        <v>438</v>
      </c>
      <c r="I159" s="13">
        <v>42759.267511574071</v>
      </c>
      <c r="J159" s="7">
        <v>0</v>
      </c>
      <c r="K159" s="105" t="str">
        <f t="shared" si="61"/>
        <v>4043/4044</v>
      </c>
      <c r="L159" s="22" t="str">
        <f>VLOOKUP(A159,'Trips&amp;Operators'!$C$1:$G$99999,5,FALSE)</f>
        <v>YORK EDGAR</v>
      </c>
      <c r="M159" s="6">
        <f t="shared" si="62"/>
        <v>9.8495370330056176E-3</v>
      </c>
      <c r="N159" s="7">
        <f t="shared" si="54"/>
        <v>14.183333327528089</v>
      </c>
      <c r="O159" s="7"/>
      <c r="P159" s="7"/>
      <c r="Q159" s="23"/>
      <c r="R159" s="23"/>
      <c r="S159" s="32">
        <f t="shared" si="58"/>
        <v>1</v>
      </c>
      <c r="T159" s="47" t="str">
        <f t="shared" si="63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64"/>
        <v>https://d0f6bd738d7f1b3e5a7ca70fe4ff75f0.us-east-1.aws.found.io/app/kibana#/discover/Steve-Slow-Train-Analysis-(2080s-and-2083s)?_g=(refreshInterval:(display:Off,pause:!f,section:0,value:0),time:(from:'2017-01-24T05:07:04-0700',mode:absolute,to:'2017-01-24T07:25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9" s="49" t="str">
        <f t="shared" si="65"/>
        <v>N</v>
      </c>
      <c r="X159" s="170">
        <f t="shared" si="71"/>
        <v>1</v>
      </c>
      <c r="Y159" s="64">
        <f t="shared" si="59"/>
        <v>5.8613</v>
      </c>
      <c r="Z159" s="64">
        <f t="shared" si="60"/>
        <v>7.2599999999999998E-2</v>
      </c>
      <c r="AA159" s="64">
        <f t="shared" si="66"/>
        <v>5.7887000000000004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67"/>
        <v>0802-24</v>
      </c>
      <c r="AE159" s="87" t="str">
        <f t="shared" si="68"/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AF159" s="84" t="str">
        <f t="shared" si="69"/>
        <v>"C:\Program Files (x86)\AstroGrep\AstroGrep.exe" /spath="%USERPROFILE%\AppData\Local\Temp\OnboardLogs" /stypes="app*4043*20170124*" /stext=" 13:.+((SYSTEM_STATE.+slice.+state.+changed )|(ment ac)|(multiple cpu faults)|(system.+state.+changed )|(\[timeout)|(PRM\|1\|D)|(kpr)|(kdp)|(\|lc)|(penalty))" /e /r /s</v>
      </c>
      <c r="AG159" s="1" t="str">
        <f t="shared" si="70"/>
        <v>NW</v>
      </c>
      <c r="AH159" s="88" t="str">
        <f t="shared" si="55"/>
        <v>"%USERPROFILE%\Documents\GitHub\eaglep3\Utilities\RefineRTDCRunTimes.py" --tripid 802-24 --locoid 4043 --swversion DE.1.0.8.0 --startMP 300:58613 --initTime 2017-01-24T06:07:04 --startdatetime 2017-01-24T06:11:02 --delay 1 --endMP 204:726 --enddatetime 2017-01-24T06:25:13 --enforcementcount 0 &gt;&gt;C:\Users\stu\Documents\GitHub\eaglep3-reporting\EC\2017-01-24-refined-times.txt</v>
      </c>
      <c r="AI159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{"issue":{"subject":"","project_id":79,"tracker_id":40,"status_id":1,"priority_id":2,"assigned_to_id":23,"start_date":"2017-01-24","description":"","custom_fields":[{"id":1,"name":"Subdivision","value":"NW"},{"id":4,"name":"Milepost","value":"0.0726"},{"id":17,"name":"Train ID","value":"802-24"},{"id":16,"name":"Locomotive ID","value":"4043"},{"id":130,"name":"Impact","value":""},{"id":150,"name":"Time of Event (Mountain Time)","value":"06:25:13"},{"id":151,"name":"Denver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7"/>
        <v>start /low /b %USERPROFILE%\Documents\GitHub\eaglep3\Utilities\DownloadLogsFromS3.py --loco 4043 --day 2017-01-24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"%USERPROFILE%\AppData\Local\Temp\OnboardLogs"\RTDC4043\*4043*20170124* | grep -SE "(Enforcement Action)|(\[TIMEOUT)|(CHR.+\|PRM\|1\|D.+(SWITCH|SIGNAL).+UNKNOWN)" - &gt;&gt; 2017-01-24-UncaughtWiMAX.txt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524</v>
      </c>
      <c r="B160" s="7">
        <v>4040</v>
      </c>
      <c r="C160" s="22" t="s">
        <v>196</v>
      </c>
      <c r="D160" s="22" t="s">
        <v>815</v>
      </c>
      <c r="E160" s="13">
        <v>42759.262685185182</v>
      </c>
      <c r="F160" s="13">
        <v>42759.264780092592</v>
      </c>
      <c r="G160" s="7">
        <v>1</v>
      </c>
      <c r="H160" s="22" t="s">
        <v>816</v>
      </c>
      <c r="I160" s="13">
        <v>42759.274837962963</v>
      </c>
      <c r="J160" s="7">
        <v>0</v>
      </c>
      <c r="K160" s="105" t="str">
        <f t="shared" si="61"/>
        <v>4039/4040</v>
      </c>
      <c r="L160" s="22" t="str">
        <f>VLOOKUP(A160,'Trips&amp;Operators'!$C$1:$G$99999,5,FALSE)</f>
        <v>BROWN JACOB</v>
      </c>
      <c r="M160" s="6">
        <f t="shared" si="62"/>
        <v>1.0057870371383615E-2</v>
      </c>
      <c r="N160" s="7">
        <f t="shared" si="54"/>
        <v>14.483333334792405</v>
      </c>
      <c r="O160" s="7"/>
      <c r="P160" s="7"/>
      <c r="Q160" s="23"/>
      <c r="R160" s="23"/>
      <c r="S160" s="32">
        <f t="shared" si="58"/>
        <v>1</v>
      </c>
      <c r="T160" s="47" t="str">
        <f t="shared" si="63"/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64"/>
        <v>https://d0f6bd738d7f1b3e5a7ca70fe4ff75f0.us-east-1.aws.found.io/app/kibana#/discover/Steve-Slow-Train-Analysis-(2080s-and-2083s)?_g=(refreshInterval:(display:Off,pause:!f,section:0,value:0),time:(from:'2017-01-24T05:18:16-0700',mode:absolute,to:'2017-01-24T07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0" s="49" t="str">
        <f t="shared" si="65"/>
        <v>N</v>
      </c>
      <c r="X160" s="170">
        <f t="shared" si="71"/>
        <v>1</v>
      </c>
      <c r="Y160" s="64">
        <f t="shared" si="59"/>
        <v>0.1111</v>
      </c>
      <c r="Z160" s="64">
        <f t="shared" si="60"/>
        <v>5.8944000000000001</v>
      </c>
      <c r="AA160" s="64">
        <f t="shared" si="66"/>
        <v>5.7832999999999997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67"/>
        <v>0803-24</v>
      </c>
      <c r="AE160" s="87" t="str">
        <f t="shared" si="68"/>
        <v>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 &amp; 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</v>
      </c>
      <c r="AF160" s="84" t="str">
        <f t="shared" si="69"/>
        <v>"C:\Program Files (x86)\AstroGrep\AstroGrep.exe" /spath="%USERPROFILE%\AppData\Local\Temp\OnboardLogs" /stypes="app*4040*20170124*" /stext=" 13:.+((SYSTEM_STATE.+slice.+state.+changed )|(ment ac)|(multiple cpu faults)|(system.+state.+changed )|(\[timeout)|(PRM\|1\|D)|(kpr)|(kdp)|(\|lc)|(penalty))" /e /r /s</v>
      </c>
      <c r="AG160" s="1" t="str">
        <f t="shared" si="70"/>
        <v>NW</v>
      </c>
      <c r="AH160" s="88" t="str">
        <f t="shared" si="55"/>
        <v>"%USERPROFILE%\Documents\GitHub\eaglep3\Utilities\RefineRTDCRunTimes.py" --tripid 803-24 --locoid 4040 --swversion DE.1.0.8.0 --startMP 204:1111 --initTime 2017-01-24T06:18:16 --startdatetime 2017-01-24T06:21:17 --delay 1 --endMP 300:58944 --enddatetime 2017-01-24T06:35:46 --enforcementcount 0 &gt;&gt;C:\Users\stu\Documents\GitHub\eaglep3-reporting\EC\2017-01-24-refined-times.txt</v>
      </c>
      <c r="AI160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{"issue":{"subject":"","project_id":79,"tracker_id":40,"status_id":1,"priority_id":2,"assigned_to_id":23,"start_date":"2017-01-24","description":"","custom_fields":[{"id":1,"name":"Subdivision","value":"NW"},{"id":4,"name":"Milepost","value":"5.8944"},{"id":17,"name":"Train ID","value":"803-24"},{"id":16,"name":"Locomotive ID","value":"4040"},{"id":130,"name":"Impact","value":""},{"id":150,"name":"Time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7"/>
        <v>start /low /b %USERPROFILE%\Documents\GitHub\eaglep3\Utilities\DownloadLogsFromS3.py --loco 4040 --day 2017-01-24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2017-01-24-UncaughtWiMAX.txt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528</v>
      </c>
      <c r="B161" s="7">
        <v>4039</v>
      </c>
      <c r="C161" s="22" t="s">
        <v>196</v>
      </c>
      <c r="D161" s="22" t="s">
        <v>817</v>
      </c>
      <c r="E161" s="13">
        <v>42759.27611111111</v>
      </c>
      <c r="F161" s="13">
        <v>42759.277546296296</v>
      </c>
      <c r="G161" s="7">
        <v>1</v>
      </c>
      <c r="H161" s="22" t="s">
        <v>818</v>
      </c>
      <c r="I161" s="13">
        <v>42759.288923611108</v>
      </c>
      <c r="J161" s="7">
        <v>0</v>
      </c>
      <c r="K161" s="105" t="str">
        <f t="shared" si="61"/>
        <v>4039/4040</v>
      </c>
      <c r="L161" s="22" t="str">
        <f>VLOOKUP(A161,'Trips&amp;Operators'!$C$1:$G$99999,5,FALSE)</f>
        <v>BROWN JACOB</v>
      </c>
      <c r="M161" s="6">
        <f t="shared" si="62"/>
        <v>1.137731481139781E-2</v>
      </c>
      <c r="N161" s="7">
        <f t="shared" si="54"/>
        <v>16.383333328412846</v>
      </c>
      <c r="O161" s="7"/>
      <c r="P161" s="7"/>
      <c r="Q161" s="23"/>
      <c r="R161" s="23"/>
      <c r="S161" s="32">
        <f t="shared" si="58"/>
        <v>1</v>
      </c>
      <c r="T161" s="47" t="str">
        <f t="shared" si="63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64"/>
        <v>https://d0f6bd738d7f1b3e5a7ca70fe4ff75f0.us-east-1.aws.found.io/app/kibana#/discover/Steve-Slow-Train-Analysis-(2080s-and-2083s)?_g=(refreshInterval:(display:Off,pause:!f,section:0,value:0),time:(from:'2017-01-24T05:37:36-0700',mode:absolute,to:'2017-01-24T07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49" t="str">
        <f t="shared" si="65"/>
        <v>N</v>
      </c>
      <c r="X161" s="170">
        <f t="shared" si="71"/>
        <v>1</v>
      </c>
      <c r="Y161" s="64">
        <f t="shared" si="59"/>
        <v>5.8623000000000003</v>
      </c>
      <c r="Z161" s="64">
        <f t="shared" si="60"/>
        <v>7.3300000000000004E-2</v>
      </c>
      <c r="AA161" s="64">
        <f t="shared" si="66"/>
        <v>5.7890000000000006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67"/>
        <v>0804-24</v>
      </c>
      <c r="AE161" s="87" t="str">
        <f t="shared" si="68"/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AF161" s="84" t="str">
        <f t="shared" si="69"/>
        <v>"C:\Program Files (x86)\AstroGrep\AstroGrep.exe" /spath="%USERPROFILE%\AppData\Local\Temp\OnboardLogs" /stypes="app*4039*20170124*" /stext=" 13:.+((SYSTEM_STATE.+slice.+state.+changed )|(ment ac)|(multiple cpu faults)|(system.+state.+changed )|(\[timeout)|(PRM\|1\|D)|(kpr)|(kdp)|(\|lc)|(penalty))" /e /r /s</v>
      </c>
      <c r="AG161" s="1" t="str">
        <f t="shared" si="70"/>
        <v>NW</v>
      </c>
      <c r="AH161" s="88" t="str">
        <f t="shared" si="55"/>
        <v>"%USERPROFILE%\Documents\GitHub\eaglep3\Utilities\RefineRTDCRunTimes.py" --tripid 804-24 --locoid 4039 --swversion DE.1.0.8.0 --startMP 300:58623 --initTime 2017-01-24T06:37:36 --startdatetime 2017-01-24T06:39:40 --delay 1 --endMP 204:733 --enddatetime 2017-01-24T06:56:03 --enforcementcount 0 &gt;&gt;C:\Users\stu\Documents\GitHub\eaglep3-reporting\EC\2017-01-24-refined-times.txt</v>
      </c>
      <c r="AI161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{"issue":{"subject":"","project_id":79,"tracker_id":40,"status_id":1,"priority_id":2,"assigned_to_id":23,"start_date":"2017-01-24","description":"","custom_fields":[{"id":1,"name":"Subdivision","value":"NW"},{"id":4,"name":"Milepost","value":"0.0733"},{"id":17,"name":"Train ID","value":"804-24"},{"id":16,"name":"Locomotive ID","value":"4039"},{"id":130,"name":"Impact","value":""},{"id":150,"name":"Time of Event (Mountain Time)","value":"06:56:03"},{"id":151,"name":"Denver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7"/>
        <v>start /low /b %USERPROFILE%\Documents\GitHub\eaglep3\Utilities\DownloadLogsFromS3.py --loco 4039 --day 2017-01-24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2017-01-24-UncaughtWiMAX.txt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4" t="s">
        <v>527</v>
      </c>
      <c r="B162" s="7">
        <v>4044</v>
      </c>
      <c r="C162" s="22" t="s">
        <v>196</v>
      </c>
      <c r="D162" s="22" t="s">
        <v>819</v>
      </c>
      <c r="E162" s="13">
        <v>42759.26935185185</v>
      </c>
      <c r="F162" s="13">
        <v>42759.285891203705</v>
      </c>
      <c r="G162" s="7">
        <v>1</v>
      </c>
      <c r="H162" s="22" t="s">
        <v>820</v>
      </c>
      <c r="I162" s="13">
        <v>42759.294872685183</v>
      </c>
      <c r="J162" s="7">
        <v>0</v>
      </c>
      <c r="K162" s="105" t="str">
        <f t="shared" si="61"/>
        <v>4043/4044</v>
      </c>
      <c r="L162" s="22" t="str">
        <f>VLOOKUP(A162,'Trips&amp;Operators'!$C$1:$G$99999,5,FALSE)</f>
        <v>YORK EDGAR</v>
      </c>
      <c r="M162" s="6">
        <f t="shared" si="62"/>
        <v>8.9814814782585017E-3</v>
      </c>
      <c r="N162" s="7">
        <f t="shared" si="54"/>
        <v>12.933333328692243</v>
      </c>
      <c r="O162" s="7"/>
      <c r="P162" s="7"/>
      <c r="Q162" s="23"/>
      <c r="R162" s="23"/>
      <c r="S162" s="32">
        <f t="shared" si="58"/>
        <v>1</v>
      </c>
      <c r="T162" s="47" t="str">
        <f t="shared" si="63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4"/>
        <v>https://d0f6bd738d7f1b3e5a7ca70fe4ff75f0.us-east-1.aws.found.io/app/kibana#/discover/Steve-Slow-Train-Analysis-(2080s-and-2083s)?_g=(refreshInterval:(display:Off,pause:!f,section:0,value:0),time:(from:'2017-01-24T05:27:52-0700',mode:absolute,to:'2017-01-24T08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2" s="49" t="str">
        <f t="shared" si="65"/>
        <v>N</v>
      </c>
      <c r="X162" s="170">
        <f t="shared" si="71"/>
        <v>1</v>
      </c>
      <c r="Y162" s="64">
        <f t="shared" si="59"/>
        <v>0.1014</v>
      </c>
      <c r="Z162" s="64">
        <f t="shared" si="60"/>
        <v>5.8935000000000004</v>
      </c>
      <c r="AA162" s="64">
        <f t="shared" si="66"/>
        <v>5.7921000000000005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67"/>
        <v>0805-24</v>
      </c>
      <c r="AE162" s="87" t="str">
        <f t="shared" si="68"/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AF162" s="84" t="str">
        <f t="shared" si="69"/>
        <v>"C:\Program Files (x86)\AstroGrep\AstroGrep.exe" /spath="%USERPROFILE%\AppData\Local\Temp\OnboardLogs" /stypes="app*4044*20170124*" /stext=" 14:.+((SYSTEM_STATE.+slice.+state.+changed )|(ment ac)|(multiple cpu faults)|(system.+state.+changed )|(\[timeout)|(PRM\|1\|D)|(kpr)|(kdp)|(\|lc)|(penalty))" /e /r /s</v>
      </c>
      <c r="AG162" s="1" t="str">
        <f t="shared" si="70"/>
        <v>NW</v>
      </c>
      <c r="AH162" s="88" t="str">
        <f t="shared" si="55"/>
        <v>"%USERPROFILE%\Documents\GitHub\eaglep3\Utilities\RefineRTDCRunTimes.py" --tripid 805-24 --locoid 4044 --swversion DE.1.0.8.0 --startMP 204:1014 --initTime 2017-01-24T06:27:52 --startdatetime 2017-01-24T06:51:41 --delay 1 --endMP 300:58935 --enddatetime 2017-01-24T07:04:37 --enforcementcount 0 &gt;&gt;C:\Users\stu\Documents\GitHub\eaglep3-reporting\EC\2017-01-24-refined-times.txt</v>
      </c>
      <c r="AI162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{"issue":{"subject":"","project_id":79,"tracker_id":40,"status_id":1,"priority_id":2,"assigned_to_id":23,"start_date":"2017-01-24","description":"","custom_fields":[{"id":1,"name":"Subdivision","value":"NW"},{"id":4,"name":"Milepost","value":"5.8935"},{"id":17,"name":"Train ID","value":"805-24"},{"id":16,"name":"Locomotive ID","value":"4044"},{"id":130,"name":"Impact","value":""},{"id":150,"name":"Time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7"/>
        <v>start /low /b %USERPROFILE%\Documents\GitHub\eaglep3\Utilities\DownloadLogsFromS3.py --loco 4044 --day 2017-01-24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"%USERPROFILE%\AppData\Local\Temp\OnboardLogs"\RTDC4044\*4044*20170124* | grep -SE "(Enforcement Action)|(\[TIMEOUT)|(CHR.+\|PRM\|1\|D.+(SWITCH|SIGNAL).+UNKNOWN)" - &gt;&gt; 2017-01-24-UncaughtWiMAX.txt</v>
      </c>
    </row>
    <row r="163" spans="1:91" s="21" customFormat="1" x14ac:dyDescent="0.25">
      <c r="A163" s="34" t="s">
        <v>534</v>
      </c>
      <c r="B163" s="7">
        <v>4043</v>
      </c>
      <c r="C163" s="22" t="s">
        <v>196</v>
      </c>
      <c r="D163" s="22" t="s">
        <v>448</v>
      </c>
      <c r="E163" s="13">
        <v>42759.297418981485</v>
      </c>
      <c r="F163" s="13">
        <v>42759.298819444448</v>
      </c>
      <c r="G163" s="7">
        <v>1</v>
      </c>
      <c r="H163" s="22" t="s">
        <v>372</v>
      </c>
      <c r="I163" s="13">
        <v>42759.309016203704</v>
      </c>
      <c r="J163" s="7">
        <v>0</v>
      </c>
      <c r="K163" s="105" t="str">
        <f t="shared" si="61"/>
        <v>4043/4044</v>
      </c>
      <c r="L163" s="22" t="str">
        <f>VLOOKUP(A163,'Trips&amp;Operators'!$C$1:$G$99999,5,FALSE)</f>
        <v>YORK EDGAR</v>
      </c>
      <c r="M163" s="6">
        <f t="shared" si="62"/>
        <v>1.0196759256359655E-2</v>
      </c>
      <c r="N163" s="7">
        <f t="shared" si="54"/>
        <v>14.683333329157904</v>
      </c>
      <c r="O163" s="7"/>
      <c r="P163" s="7"/>
      <c r="Q163" s="23"/>
      <c r="R163" s="23"/>
      <c r="S163" s="32">
        <f t="shared" si="58"/>
        <v>1</v>
      </c>
      <c r="T163" s="47" t="str">
        <f t="shared" si="63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64"/>
        <v>https://d0f6bd738d7f1b3e5a7ca70fe4ff75f0.us-east-1.aws.found.io/app/kibana#/discover/Steve-Slow-Train-Analysis-(2080s-and-2083s)?_g=(refreshInterval:(display:Off,pause:!f,section:0,value:0),time:(from:'2017-01-24T06:08:17-0700',mode:absolute,to:'2017-01-24T08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3" s="49" t="str">
        <f t="shared" si="65"/>
        <v>N</v>
      </c>
      <c r="X163" s="170">
        <f t="shared" si="71"/>
        <v>1</v>
      </c>
      <c r="Y163" s="64">
        <f t="shared" si="59"/>
        <v>5.8611000000000004</v>
      </c>
      <c r="Z163" s="64">
        <f t="shared" si="60"/>
        <v>7.5499999999999998E-2</v>
      </c>
      <c r="AA163" s="64">
        <f t="shared" si="66"/>
        <v>5.7856000000000005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67"/>
        <v>0806-24</v>
      </c>
      <c r="AE163" s="87" t="str">
        <f t="shared" si="68"/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AF163" s="84" t="str">
        <f t="shared" si="69"/>
        <v>"C:\Program Files (x86)\AstroGrep\AstroGrep.exe" /spath="%USERPROFILE%\AppData\Local\Temp\OnboardLogs" /stypes="app*4043*20170124*" /stext=" 14:.+((SYSTEM_STATE.+slice.+state.+changed )|(ment ac)|(multiple cpu faults)|(system.+state.+changed )|(\[timeout)|(PRM\|1\|D)|(kpr)|(kdp)|(\|lc)|(penalty))" /e /r /s</v>
      </c>
      <c r="AG163" s="1" t="str">
        <f t="shared" si="70"/>
        <v>NW</v>
      </c>
      <c r="AH163" s="88" t="str">
        <f t="shared" si="55"/>
        <v>"%USERPROFILE%\Documents\GitHub\eaglep3\Utilities\RefineRTDCRunTimes.py" --tripid 806-24 --locoid 4043 --swversion DE.1.0.8.0 --startMP 300:58611 --initTime 2017-01-24T07:08:17 --startdatetime 2017-01-24T07:10:18 --delay 1 --endMP 204:755 --enddatetime 2017-01-24T07:24:59 --enforcementcount 0 &gt;&gt;C:\Users\stu\Documents\GitHub\eaglep3-reporting\EC\2017-01-24-refined-times.txt</v>
      </c>
      <c r="AI163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{"issue":{"subject":"","project_id":79,"tracker_id":40,"status_id":1,"priority_id":2,"assigned_to_id":23,"start_date":"2017-01-24","description":"","custom_fields":[{"id":1,"name":"Subdivision","value":"NW"},{"id":4,"name":"Milepost","value":"0.0755"},{"id":17,"name":"Train ID","value":"806-24"},{"id":16,"name":"Locomotive ID","value":"4043"},{"id":130,"name":"Impact","value":""},{"id":150,"name":"Time of Event (Mountain Time)","value":"07:24:59"},{"id":151,"name":"Denver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7"/>
        <v>start /low /b %USERPROFILE%\Documents\GitHub\eaglep3\Utilities\DownloadLogsFromS3.py --loco 4043 --day 2017-01-24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"%USERPROFILE%\AppData\Local\Temp\OnboardLogs"\RTDC4043\*4043*20170124* | grep -SE "(Enforcement Action)|(\[TIMEOUT)|(CHR.+\|PRM\|1\|D.+(SWITCH|SIGNAL).+UNKNOWN)" - &gt;&gt; 2017-01-24-UncaughtWiMAX.txt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536</v>
      </c>
      <c r="B164" s="7">
        <v>4040</v>
      </c>
      <c r="C164" s="22" t="s">
        <v>196</v>
      </c>
      <c r="D164" s="22" t="s">
        <v>439</v>
      </c>
      <c r="E164" s="13">
        <v>42759.303842592592</v>
      </c>
      <c r="F164" s="13">
        <v>42759.306481481479</v>
      </c>
      <c r="G164" s="7">
        <v>1</v>
      </c>
      <c r="H164" s="22" t="s">
        <v>821</v>
      </c>
      <c r="I164" s="13">
        <v>42759.316689814812</v>
      </c>
      <c r="J164" s="7">
        <v>0</v>
      </c>
      <c r="K164" s="105" t="str">
        <f t="shared" si="61"/>
        <v>4039/4040</v>
      </c>
      <c r="L164" s="22" t="str">
        <f>VLOOKUP(A164,'Trips&amp;Operators'!$C$1:$G$99999,5,FALSE)</f>
        <v>BROWN JACOB</v>
      </c>
      <c r="M164" s="6">
        <f t="shared" si="62"/>
        <v>1.0208333333139308E-2</v>
      </c>
      <c r="N164" s="7">
        <f t="shared" si="54"/>
        <v>14.699999999720603</v>
      </c>
      <c r="O164" s="7"/>
      <c r="P164" s="7"/>
      <c r="Q164" s="23"/>
      <c r="R164" s="23"/>
      <c r="S164" s="32">
        <f t="shared" si="58"/>
        <v>1</v>
      </c>
      <c r="T164" s="47" t="str">
        <f t="shared" si="63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4"/>
        <v>https://d0f6bd738d7f1b3e5a7ca70fe4ff75f0.us-east-1.aws.found.io/app/kibana#/discover/Steve-Slow-Train-Analysis-(2080s-and-2083s)?_g=(refreshInterval:(display:Off,pause:!f,section:0,value:0),time:(from:'2017-01-24T06:17:32-0700',mode:absolute,to:'2017-01-24T08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4" s="49" t="str">
        <f t="shared" si="65"/>
        <v>N</v>
      </c>
      <c r="X164" s="170">
        <f t="shared" si="71"/>
        <v>1</v>
      </c>
      <c r="Y164" s="64">
        <f t="shared" si="59"/>
        <v>0.10199999999999999</v>
      </c>
      <c r="Z164" s="64">
        <f t="shared" si="60"/>
        <v>5.8959999999999999</v>
      </c>
      <c r="AA164" s="64">
        <f t="shared" si="66"/>
        <v>5.7939999999999996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67"/>
        <v>0807-24</v>
      </c>
      <c r="AE164" s="87" t="str">
        <f t="shared" si="68"/>
        <v>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 &amp; 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</v>
      </c>
      <c r="AF164" s="84" t="str">
        <f t="shared" si="69"/>
        <v>"C:\Program Files (x86)\AstroGrep\AstroGrep.exe" /spath="%USERPROFILE%\AppData\Local\Temp\OnboardLogs" /stypes="app*4040*20170124*" /stext=" 14:.+((SYSTEM_STATE.+slice.+state.+changed )|(ment ac)|(multiple cpu faults)|(system.+state.+changed )|(\[timeout)|(PRM\|1\|D)|(kpr)|(kdp)|(\|lc)|(penalty))" /e /r /s</v>
      </c>
      <c r="AG164" s="1" t="str">
        <f t="shared" si="70"/>
        <v>NW</v>
      </c>
      <c r="AH164" s="88" t="str">
        <f t="shared" si="55"/>
        <v>"%USERPROFILE%\Documents\GitHub\eaglep3\Utilities\RefineRTDCRunTimes.py" --tripid 807-24 --locoid 4040 --swversion DE.1.0.8.0 --startMP 204:1020 --initTime 2017-01-24T07:17:32 --startdatetime 2017-01-24T07:21:20 --delay 1 --endMP 300:58960 --enddatetime 2017-01-24T07:36:02 --enforcementcount 0 &gt;&gt;C:\Users\stu\Documents\GitHub\eaglep3-reporting\EC\2017-01-24-refined-times.txt</v>
      </c>
      <c r="AI164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{"issue":{"subject":"","project_id":79,"tracker_id":40,"status_id":1,"priority_id":2,"assigned_to_id":23,"start_date":"2017-01-24","description":"","custom_fields":[{"id":1,"name":"Subdivision","value":"NW"},{"id":4,"name":"Milepost","value":"5.896"},{"id":17,"name":"Train ID","value":"807-24"},{"id":16,"name":"Locomotive ID","value":"4040"},{"id":130,"name":"Impact","value":""},{"id":150,"name":"Time of Event (Mountain Time)","value":"07:36:02"},{"id":151,"name":"Denver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7"/>
        <v>start /low /b %USERPROFILE%\Documents\GitHub\eaglep3\Utilities\DownloadLogsFromS3.py --loco 4040 --day 2017-01-24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2017-01-24-UncaughtWiMAX.txt</v>
      </c>
    </row>
    <row r="165" spans="1:91" s="21" customFormat="1" x14ac:dyDescent="0.25">
      <c r="A165" s="34" t="s">
        <v>459</v>
      </c>
      <c r="B165" s="7">
        <v>4039</v>
      </c>
      <c r="C165" s="22" t="s">
        <v>196</v>
      </c>
      <c r="D165" s="22" t="s">
        <v>822</v>
      </c>
      <c r="E165" s="13">
        <v>42759.317893518521</v>
      </c>
      <c r="F165" s="13">
        <v>42759.319097222222</v>
      </c>
      <c r="G165" s="7">
        <v>1</v>
      </c>
      <c r="H165" s="22" t="s">
        <v>434</v>
      </c>
      <c r="I165" s="13">
        <v>42759.330960648149</v>
      </c>
      <c r="J165" s="7">
        <v>0</v>
      </c>
      <c r="K165" s="105" t="str">
        <f t="shared" si="61"/>
        <v>4039/4040</v>
      </c>
      <c r="L165" s="22" t="str">
        <f>VLOOKUP(A165,'Trips&amp;Operators'!$C$1:$G$99999,5,FALSE)</f>
        <v>BROWN JACOB</v>
      </c>
      <c r="M165" s="6">
        <f t="shared" si="62"/>
        <v>1.1863425927003846E-2</v>
      </c>
      <c r="N165" s="7">
        <f t="shared" si="54"/>
        <v>17.083333334885538</v>
      </c>
      <c r="O165" s="7"/>
      <c r="P165" s="7"/>
      <c r="Q165" s="23"/>
      <c r="R165" s="23"/>
      <c r="S165" s="32">
        <f t="shared" si="58"/>
        <v>1</v>
      </c>
      <c r="T165" s="47" t="str">
        <f t="shared" si="63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4"/>
        <v>https://d0f6bd738d7f1b3e5a7ca70fe4ff75f0.us-east-1.aws.found.io/app/kibana#/discover/Steve-Slow-Train-Analysis-(2080s-and-2083s)?_g=(refreshInterval:(display:Off,pause:!f,section:0,value:0),time:(from:'2017-01-24T06:37:46-0700',mode:absolute,to:'2017-01-24T08:56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5" s="49" t="str">
        <f t="shared" si="65"/>
        <v>N</v>
      </c>
      <c r="X165" s="170">
        <f t="shared" si="71"/>
        <v>1</v>
      </c>
      <c r="Y165" s="64">
        <f t="shared" si="59"/>
        <v>5.8644999999999996</v>
      </c>
      <c r="Z165" s="64">
        <f t="shared" si="60"/>
        <v>7.1300000000000002E-2</v>
      </c>
      <c r="AA165" s="64">
        <f t="shared" si="66"/>
        <v>5.7931999999999997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67"/>
        <v>0808-24</v>
      </c>
      <c r="AE165" s="87" t="str">
        <f t="shared" si="68"/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AF165" s="84" t="str">
        <f t="shared" si="69"/>
        <v>"C:\Program Files (x86)\AstroGrep\AstroGrep.exe" /spath="%USERPROFILE%\AppData\Local\Temp\OnboardLogs" /stypes="app*4039*20170124*" /stext=" 14:.+((SYSTEM_STATE.+slice.+state.+changed )|(ment ac)|(multiple cpu faults)|(system.+state.+changed )|(\[timeout)|(PRM\|1\|D)|(kpr)|(kdp)|(\|lc)|(penalty))" /e /r /s</v>
      </c>
      <c r="AG165" s="1" t="str">
        <f t="shared" si="70"/>
        <v>NW</v>
      </c>
      <c r="AH165" s="88" t="str">
        <f t="shared" si="55"/>
        <v>"%USERPROFILE%\Documents\GitHub\eaglep3\Utilities\RefineRTDCRunTimes.py" --tripid 808-24 --locoid 4039 --swversion DE.1.0.8.0 --startMP 300:58645 --initTime 2017-01-24T07:37:46 --startdatetime 2017-01-24T07:39:30 --delay 1 --endMP 204:713 --enddatetime 2017-01-24T07:56:35 --enforcementcount 0 &gt;&gt;C:\Users\stu\Documents\GitHub\eaglep3-reporting\EC\2017-01-24-refined-times.txt</v>
      </c>
      <c r="AI165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{"issue":{"subject":"","project_id":79,"tracker_id":40,"status_id":1,"priority_id":2,"assigned_to_id":23,"start_date":"2017-01-24","description":"","custom_fields":[{"id":1,"name":"Subdivision","value":"NW"},{"id":4,"name":"Milepost","value":"0.0713"},{"id":17,"name":"Train ID","value":"808-24"},{"id":16,"name":"Locomotive ID","value":"4039"},{"id":130,"name":"Impact","value":""},{"id":150,"name":"Time of Event (Mountain Time)","value":"07:56:35"},{"id":151,"name":"Denver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7"/>
        <v>start /low /b %USERPROFILE%\Documents\GitHub\eaglep3\Utilities\DownloadLogsFromS3.py --loco 4039 --day 2017-01-24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2017-01-24-UncaughtWiMAX.txt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539</v>
      </c>
      <c r="B166" s="7">
        <v>4044</v>
      </c>
      <c r="C166" s="22" t="s">
        <v>196</v>
      </c>
      <c r="D166" s="22" t="s">
        <v>823</v>
      </c>
      <c r="E166" s="13">
        <v>42759.310810185183</v>
      </c>
      <c r="F166" s="13">
        <v>42759.327291666668</v>
      </c>
      <c r="G166" s="7">
        <v>0</v>
      </c>
      <c r="H166" s="22" t="s">
        <v>824</v>
      </c>
      <c r="I166" s="13">
        <v>42759.336296296293</v>
      </c>
      <c r="J166" s="7">
        <v>0</v>
      </c>
      <c r="K166" s="105" t="str">
        <f t="shared" si="61"/>
        <v>4043/4044</v>
      </c>
      <c r="L166" s="22" t="str">
        <f>VLOOKUP(A166,'Trips&amp;Operators'!$C$1:$G$99999,5,FALSE)</f>
        <v>YORK EDGAR</v>
      </c>
      <c r="M166" s="6">
        <f t="shared" si="62"/>
        <v>9.0046296245418489E-3</v>
      </c>
      <c r="N166" s="7">
        <f t="shared" si="54"/>
        <v>12.966666659340262</v>
      </c>
      <c r="O166" s="7"/>
      <c r="P166" s="7"/>
      <c r="Q166" s="23"/>
      <c r="R166" s="23"/>
      <c r="S166" s="32">
        <f t="shared" si="58"/>
        <v>1</v>
      </c>
      <c r="T166" s="47" t="str">
        <f t="shared" si="63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4"/>
        <v>https://d0f6bd738d7f1b3e5a7ca70fe4ff75f0.us-east-1.aws.found.io/app/kibana#/discover/Steve-Slow-Train-Analysis-(2080s-and-2083s)?_g=(refreshInterval:(display:Off,pause:!f,section:0,value:0),time:(from:'2017-01-24T06:27:34-0700',mode:absolute,to:'2017-01-24T09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6" s="49" t="str">
        <f t="shared" si="65"/>
        <v>N</v>
      </c>
      <c r="X166" s="170">
        <f t="shared" si="71"/>
        <v>1</v>
      </c>
      <c r="Y166" s="64">
        <f t="shared" si="59"/>
        <v>0.1042</v>
      </c>
      <c r="Z166" s="64">
        <f t="shared" si="60"/>
        <v>5.8940999999999999</v>
      </c>
      <c r="AA166" s="64">
        <f t="shared" si="66"/>
        <v>5.7899000000000003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67"/>
        <v>0809-24</v>
      </c>
      <c r="AE166" s="87" t="str">
        <f t="shared" si="68"/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AF166" s="84" t="str">
        <f t="shared" si="69"/>
        <v>"C:\Program Files (x86)\AstroGrep\AstroGrep.exe" /spath="%USERPROFILE%\AppData\Local\Temp\OnboardLogs" /stypes="app*4044*20170124*" /stext=" 15:.+((SYSTEM_STATE.+slice.+state.+changed )|(ment ac)|(multiple cpu faults)|(system.+state.+changed )|(\[timeout)|(PRM\|1\|D)|(kpr)|(kdp)|(\|lc)|(penalty))" /e /r /s</v>
      </c>
      <c r="AG166" s="1" t="str">
        <f t="shared" si="70"/>
        <v>NW</v>
      </c>
      <c r="AH166" s="88" t="str">
        <f t="shared" si="55"/>
        <v>"%USERPROFILE%\Documents\GitHub\eaglep3\Utilities\RefineRTDCRunTimes.py" --tripid 809-24 --locoid 4044 --swversion DE.1.0.8.0 --startMP 204:1042 --initTime 2017-01-24T07:27:34 --startdatetime 2017-01-24T07:51:18 --delay 0 --endMP 300:58941 --enddatetime 2017-01-24T08:04:16 --enforcementcount 0 &gt;&gt;C:\Users\stu\Documents\GitHub\eaglep3-reporting\EC\2017-01-24-refined-times.txt</v>
      </c>
      <c r="AI166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{"issue":{"subject":"","project_id":79,"tracker_id":40,"status_id":1,"priority_id":2,"assigned_to_id":23,"start_date":"2017-01-24","description":"","custom_fields":[{"id":1,"name":"Subdivision","value":"NW"},{"id":4,"name":"Milepost","value":"5.8941"},{"id":17,"name":"Train ID","value":"809-24"},{"id":16,"name":"Locomotive ID","value":"4044"},{"id":130,"name":"Impact","value":""},{"id":150,"name":"Time of Event (Mountain Time)","value":"08:04:16"},{"id":151,"name":"Denver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7"/>
        <v>start /low /b %USERPROFILE%\Documents\GitHub\eaglep3\Utilities\DownloadLogsFromS3.py --loco 4044 --day 2017-01-24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"%USERPROFILE%\AppData\Local\Temp\OnboardLogs"\RTDC4044\*4044*20170124* | grep -SE "(Enforcement Action)|(\[TIMEOUT)|(CHR.+\|PRM\|1\|D.+(SWITCH|SIGNAL).+UNKNOWN)" - &gt;&gt; 2017-01-24-UncaughtWiMAX.txt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545</v>
      </c>
      <c r="B167" s="7">
        <v>4043</v>
      </c>
      <c r="C167" s="22" t="s">
        <v>196</v>
      </c>
      <c r="D167" s="22" t="s">
        <v>825</v>
      </c>
      <c r="E167" s="13">
        <v>42759.337870370371</v>
      </c>
      <c r="F167" s="13">
        <v>42759.339826388888</v>
      </c>
      <c r="G167" s="7">
        <v>0</v>
      </c>
      <c r="H167" s="22" t="s">
        <v>826</v>
      </c>
      <c r="I167" s="13">
        <v>42759.350798611114</v>
      </c>
      <c r="J167" s="7">
        <v>0</v>
      </c>
      <c r="K167" s="105" t="str">
        <f t="shared" si="61"/>
        <v>4043/4044</v>
      </c>
      <c r="L167" s="22" t="str">
        <f>VLOOKUP(A167,'Trips&amp;Operators'!$C$1:$G$99999,5,FALSE)</f>
        <v>YORK EDGAR</v>
      </c>
      <c r="M167" s="6">
        <f t="shared" si="62"/>
        <v>1.0972222225973383E-2</v>
      </c>
      <c r="N167" s="7">
        <f t="shared" si="54"/>
        <v>15.800000005401671</v>
      </c>
      <c r="O167" s="7"/>
      <c r="P167" s="7"/>
      <c r="Q167" s="23"/>
      <c r="R167" s="23"/>
      <c r="S167" s="32">
        <f t="shared" si="58"/>
        <v>1</v>
      </c>
      <c r="T167" s="47" t="str">
        <f t="shared" si="63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4"/>
        <v>https://d0f6bd738d7f1b3e5a7ca70fe4ff75f0.us-east-1.aws.found.io/app/kibana#/discover/Steve-Slow-Train-Analysis-(2080s-and-2083s)?_g=(refreshInterval:(display:Off,pause:!f,section:0,value:0),time:(from:'2017-01-24T07:06:32-0700',mode:absolute,to:'2017-01-24T09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7" s="49" t="str">
        <f t="shared" si="65"/>
        <v>N</v>
      </c>
      <c r="X167" s="170">
        <f t="shared" si="71"/>
        <v>1</v>
      </c>
      <c r="Y167" s="64">
        <f t="shared" si="59"/>
        <v>5.8628</v>
      </c>
      <c r="Z167" s="64">
        <f t="shared" si="60"/>
        <v>8.3400000000000002E-2</v>
      </c>
      <c r="AA167" s="64">
        <f t="shared" si="66"/>
        <v>5.7793999999999999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67"/>
        <v>0810-24</v>
      </c>
      <c r="AE167" s="87" t="str">
        <f t="shared" si="68"/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AF167" s="84" t="str">
        <f t="shared" si="69"/>
        <v>"C:\Program Files (x86)\AstroGrep\AstroGrep.exe" /spath="%USERPROFILE%\AppData\Local\Temp\OnboardLogs" /stypes="app*4043*20170124*" /stext=" 15:.+((SYSTEM_STATE.+slice.+state.+changed )|(ment ac)|(multiple cpu faults)|(system.+state.+changed )|(\[timeout)|(PRM\|1\|D)|(kpr)|(kdp)|(\|lc)|(penalty))" /e /r /s</v>
      </c>
      <c r="AG167" s="1" t="str">
        <f t="shared" si="70"/>
        <v>NW</v>
      </c>
      <c r="AH167" s="88" t="str">
        <f t="shared" si="55"/>
        <v>"%USERPROFILE%\Documents\GitHub\eaglep3\Utilities\RefineRTDCRunTimes.py" --tripid 810-24 --locoid 4043 --swversion DE.1.0.8.0 --startMP 300:58628 --initTime 2017-01-24T08:06:32 --startdatetime 2017-01-24T08:09:21 --delay 0 --endMP 204:834 --enddatetime 2017-01-24T08:25:09 --enforcementcount 0 &gt;&gt;C:\Users\stu\Documents\GitHub\eaglep3-reporting\EC\2017-01-24-refined-times.txt</v>
      </c>
      <c r="AI167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{"issue":{"subject":"","project_id":79,"tracker_id":40,"status_id":1,"priority_id":2,"assigned_to_id":23,"start_date":"2017-01-24","description":"","custom_fields":[{"id":1,"name":"Subdivision","value":"NW"},{"id":4,"name":"Milepost","value":"0.0834"},{"id":17,"name":"Train ID","value":"810-24"},{"id":16,"name":"Locomotive ID","value":"4043"},{"id":130,"name":"Impact","value":""},{"id":150,"name":"Time of Event (Mountain Time)","value":"08:25:09"},{"id":151,"name":"Denver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7"/>
        <v>start /low /b %USERPROFILE%\Documents\GitHub\eaglep3\Utilities\DownloadLogsFromS3.py --loco 4043 --day 2017-01-24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"%USERPROFILE%\AppData\Local\Temp\OnboardLogs"\RTDC4043\*4043*20170124* | grep -SE "(Enforcement Action)|(\[TIMEOUT)|(CHR.+\|PRM\|1\|D.+(SWITCH|SIGNAL).+UNKNOWN)" - &gt;&gt; 2017-01-24-UncaughtWiMAX.txt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547</v>
      </c>
      <c r="B168" s="7">
        <v>4040</v>
      </c>
      <c r="C168" s="22" t="s">
        <v>196</v>
      </c>
      <c r="D168" s="22" t="s">
        <v>827</v>
      </c>
      <c r="E168" s="13">
        <v>42759.344710648147</v>
      </c>
      <c r="F168" s="13">
        <v>42759.348425925928</v>
      </c>
      <c r="G168" s="7">
        <v>1</v>
      </c>
      <c r="H168" s="22" t="s">
        <v>828</v>
      </c>
      <c r="I168" s="13">
        <v>42759.358159722222</v>
      </c>
      <c r="J168" s="7">
        <v>0</v>
      </c>
      <c r="K168" s="105" t="str">
        <f t="shared" si="61"/>
        <v>4039/4040</v>
      </c>
      <c r="L168" s="22" t="str">
        <f>VLOOKUP(A168,'Trips&amp;Operators'!$C$1:$G$99999,5,FALSE)</f>
        <v>BROWN JACOB</v>
      </c>
      <c r="M168" s="6">
        <f t="shared" si="62"/>
        <v>9.7337962943129241E-3</v>
      </c>
      <c r="N168" s="7">
        <f t="shared" si="54"/>
        <v>14.016666663810611</v>
      </c>
      <c r="O168" s="7"/>
      <c r="P168" s="7"/>
      <c r="Q168" s="23"/>
      <c r="R168" s="23"/>
      <c r="S168" s="32">
        <f t="shared" si="58"/>
        <v>1</v>
      </c>
      <c r="T168" s="47" t="str">
        <f t="shared" si="63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4"/>
        <v>https://d0f6bd738d7f1b3e5a7ca70fe4ff75f0.us-east-1.aws.found.io/app/kibana#/discover/Steve-Slow-Train-Analysis-(2080s-and-2083s)?_g=(refreshInterval:(display:Off,pause:!f,section:0,value:0),time:(from:'2017-01-24T07:16:23-0700',mode:absolute,to:'2017-01-24T09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8" s="49" t="str">
        <f t="shared" si="65"/>
        <v>N</v>
      </c>
      <c r="X168" s="170">
        <f t="shared" si="71"/>
        <v>1</v>
      </c>
      <c r="Y168" s="64">
        <f t="shared" si="59"/>
        <v>0.10059999999999999</v>
      </c>
      <c r="Z168" s="64">
        <f t="shared" si="60"/>
        <v>5.8952</v>
      </c>
      <c r="AA168" s="64">
        <f t="shared" si="66"/>
        <v>5.7946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67"/>
        <v>0811-24</v>
      </c>
      <c r="AE168" s="87" t="str">
        <f t="shared" si="68"/>
        <v>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 &amp; 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</v>
      </c>
      <c r="AF168" s="84" t="str">
        <f t="shared" si="69"/>
        <v>"C:\Program Files (x86)\AstroGrep\AstroGrep.exe" /spath="%USERPROFILE%\AppData\Local\Temp\OnboardLogs" /stypes="app*4040*20170124*" /stext=" 15:.+((SYSTEM_STATE.+slice.+state.+changed )|(ment ac)|(multiple cpu faults)|(system.+state.+changed )|(\[timeout)|(PRM\|1\|D)|(kpr)|(kdp)|(\|lc)|(penalty))" /e /r /s</v>
      </c>
      <c r="AG168" s="1" t="str">
        <f t="shared" si="70"/>
        <v>NW</v>
      </c>
      <c r="AH168" s="88" t="str">
        <f t="shared" si="55"/>
        <v>"%USERPROFILE%\Documents\GitHub\eaglep3\Utilities\RefineRTDCRunTimes.py" --tripid 811-24 --locoid 4040 --swversion DE.1.0.8.0 --startMP 204:1006 --initTime 2017-01-24T08:16:23 --startdatetime 2017-01-24T08:21:44 --delay 1 --endMP 300:58952 --enddatetime 2017-01-24T08:35:45 --enforcementcount 0 &gt;&gt;C:\Users\stu\Documents\GitHub\eaglep3-reporting\EC\2017-01-24-refined-times.txt</v>
      </c>
      <c r="AI168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{"issue":{"subject":"","project_id":79,"tracker_id":40,"status_id":1,"priority_id":2,"assigned_to_id":23,"start_date":"2017-01-24","description":"","custom_fields":[{"id":1,"name":"Subdivision","value":"NW"},{"id":4,"name":"Milepost","value":"5.8952"},{"id":17,"name":"Train ID","value":"811-24"},{"id":16,"name":"Locomotive ID","value":"4040"},{"id":130,"name":"Impact","value":""},{"id":150,"name":"Time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7"/>
        <v>start /low /b %USERPROFILE%\Documents\GitHub\eaglep3\Utilities\DownloadLogsFromS3.py --loco 4040 --day 2017-01-24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2017-01-24-UncaughtWiMAX.txt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460</v>
      </c>
      <c r="B169" s="7">
        <v>4039</v>
      </c>
      <c r="C169" s="22" t="s">
        <v>196</v>
      </c>
      <c r="D169" s="22" t="s">
        <v>829</v>
      </c>
      <c r="E169" s="13">
        <v>42759.359224537038</v>
      </c>
      <c r="F169" s="13">
        <v>42759.360462962963</v>
      </c>
      <c r="G169" s="7">
        <v>1</v>
      </c>
      <c r="H169" s="22" t="s">
        <v>438</v>
      </c>
      <c r="I169" s="13">
        <v>42759.372858796298</v>
      </c>
      <c r="J169" s="7">
        <v>0</v>
      </c>
      <c r="K169" s="105" t="str">
        <f t="shared" si="61"/>
        <v>4039/4040</v>
      </c>
      <c r="L169" s="22" t="str">
        <f>VLOOKUP(A169,'Trips&amp;Operators'!$C$1:$G$99999,5,FALSE)</f>
        <v>BROWN JACOB</v>
      </c>
      <c r="M169" s="6">
        <f t="shared" si="62"/>
        <v>1.2395833335176576E-2</v>
      </c>
      <c r="N169" s="7">
        <f t="shared" si="54"/>
        <v>17.850000002654269</v>
      </c>
      <c r="O169" s="7"/>
      <c r="P169" s="7"/>
      <c r="Q169" s="23"/>
      <c r="R169" s="23"/>
      <c r="S169" s="32">
        <f t="shared" si="58"/>
        <v>1</v>
      </c>
      <c r="T169" s="47" t="str">
        <f t="shared" si="63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4"/>
        <v>https://d0f6bd738d7f1b3e5a7ca70fe4ff75f0.us-east-1.aws.found.io/app/kibana#/discover/Steve-Slow-Train-Analysis-(2080s-and-2083s)?_g=(refreshInterval:(display:Off,pause:!f,section:0,value:0),time:(from:'2017-01-24T07:37:17-0700',mode:absolute,to:'2017-01-24T09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49" t="str">
        <f t="shared" si="65"/>
        <v>N</v>
      </c>
      <c r="X169" s="170">
        <f t="shared" ref="X169:X173" si="72">VALUE(LEFT(AD169,4))-VALUE(LEFT(AD168,4))</f>
        <v>1</v>
      </c>
      <c r="Y169" s="64">
        <f t="shared" si="59"/>
        <v>5.8624000000000001</v>
      </c>
      <c r="Z169" s="64">
        <f t="shared" si="60"/>
        <v>7.2599999999999998E-2</v>
      </c>
      <c r="AA169" s="64">
        <f t="shared" si="66"/>
        <v>5.7897999999999996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67"/>
        <v>0812-24</v>
      </c>
      <c r="AE169" s="87" t="str">
        <f t="shared" si="68"/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AF169" s="84" t="str">
        <f t="shared" si="69"/>
        <v>"C:\Program Files (x86)\AstroGrep\AstroGrep.exe" /spath="%USERPROFILE%\AppData\Local\Temp\OnboardLogs" /stypes="app*4039*20170124*" /stext=" 15:.+((SYSTEM_STATE.+slice.+state.+changed )|(ment ac)|(multiple cpu faults)|(system.+state.+changed )|(\[timeout)|(PRM\|1\|D)|(kpr)|(kdp)|(\|lc)|(penalty))" /e /r /s</v>
      </c>
      <c r="AG169" s="1" t="str">
        <f t="shared" si="70"/>
        <v>NW</v>
      </c>
      <c r="AH169" s="88" t="str">
        <f t="shared" si="55"/>
        <v>"%USERPROFILE%\Documents\GitHub\eaglep3\Utilities\RefineRTDCRunTimes.py" --tripid 812-24 --locoid 4039 --swversion DE.1.0.8.0 --startMP 300:58624 --initTime 2017-01-24T08:37:17 --startdatetime 2017-01-24T08:39:04 --delay 1 --endMP 204:726 --enddatetime 2017-01-24T08:56:55 --enforcementcount 0 &gt;&gt;C:\Users\stu\Documents\GitHub\eaglep3-reporting\EC\2017-01-24-refined-times.txt</v>
      </c>
      <c r="AI169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{"issue":{"subject":"","project_id":79,"tracker_id":40,"status_id":1,"priority_id":2,"assigned_to_id":23,"start_date":"2017-01-24","description":"","custom_fields":[{"id":1,"name":"Subdivision","value":"NW"},{"id":4,"name":"Milepost","value":"0.0726"},{"id":17,"name":"Train ID","value":"812-24"},{"id":16,"name":"Locomotive ID","value":"4039"},{"id":130,"name":"Impact","value":""},{"id":150,"name":"Time of Event (Mountain Time)","value":"08:56:55"},{"id":151,"name":"Denver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7"/>
        <v>start /low /b %USERPROFILE%\Documents\GitHub\eaglep3\Utilities\DownloadLogsFromS3.py --loco 4039 --day 2017-01-24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2017-01-24-UncaughtWiMAX.txt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4" t="s">
        <v>464</v>
      </c>
      <c r="B170" s="7">
        <v>4042</v>
      </c>
      <c r="C170" s="22" t="s">
        <v>196</v>
      </c>
      <c r="D170" s="22" t="s">
        <v>420</v>
      </c>
      <c r="E170" s="13">
        <v>42759.423750000002</v>
      </c>
      <c r="F170" s="13">
        <v>42759.431388888886</v>
      </c>
      <c r="G170" s="7">
        <v>2</v>
      </c>
      <c r="H170" s="22" t="s">
        <v>830</v>
      </c>
      <c r="I170" s="13">
        <v>42759.441874999997</v>
      </c>
      <c r="J170" s="7">
        <v>0</v>
      </c>
      <c r="K170" s="105" t="str">
        <f t="shared" si="61"/>
        <v>4041/4042</v>
      </c>
      <c r="L170" s="22" t="str">
        <f>VLOOKUP(A170,'Trips&amp;Operators'!$C$1:$G$99999,5,FALSE)</f>
        <v>BROWN JACOB</v>
      </c>
      <c r="M170" s="6">
        <f t="shared" si="62"/>
        <v>1.0486111110367347E-2</v>
      </c>
      <c r="N170" s="7">
        <f t="shared" si="54"/>
        <v>15.099999998928979</v>
      </c>
      <c r="O170" s="7"/>
      <c r="P170" s="7"/>
      <c r="Q170" s="23"/>
      <c r="R170" s="23"/>
      <c r="S170" s="32">
        <f t="shared" si="58"/>
        <v>1</v>
      </c>
      <c r="T170" s="47" t="str">
        <f t="shared" si="63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4"/>
        <v>https://d0f6bd738d7f1b3e5a7ca70fe4ff75f0.us-east-1.aws.found.io/app/kibana#/discover/Steve-Slow-Train-Analysis-(2080s-and-2083s)?_g=(refreshInterval:(display:Off,pause:!f,section:0,value:0),time:(from:'2017-01-24T09:10:12-0700',mode:absolute,to:'2017-01-24T11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0" s="49" t="str">
        <f t="shared" si="65"/>
        <v>N</v>
      </c>
      <c r="X170" s="170">
        <f t="shared" si="72"/>
        <v>3</v>
      </c>
      <c r="Y170" s="64">
        <f t="shared" si="59"/>
        <v>4.3700000000000003E-2</v>
      </c>
      <c r="Z170" s="64">
        <f t="shared" si="60"/>
        <v>5.8973000000000004</v>
      </c>
      <c r="AA170" s="64">
        <f t="shared" si="66"/>
        <v>5.8536000000000001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67"/>
        <v>0815-24</v>
      </c>
      <c r="AE170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70" s="84" t="str">
        <f t="shared" si="69"/>
        <v>"C:\Program Files (x86)\AstroGrep\AstroGrep.exe" /spath="%USERPROFILE%\AppData\Local\Temp\OnboardLogs" /stypes="app*4042*20170124*" /stext=" 17:.+((SYSTEM_STATE.+slice.+state.+changed )|(ment ac)|(multiple cpu faults)|(system.+state.+changed )|(\[timeout)|(PRM\|1\|D)|(kpr)|(kdp)|(\|lc)|(penalty))" /e /r /s</v>
      </c>
      <c r="AG170" s="1" t="str">
        <f t="shared" si="70"/>
        <v>NW</v>
      </c>
      <c r="AH170" s="88" t="str">
        <f t="shared" si="55"/>
        <v>"%USERPROFILE%\Documents\GitHub\eaglep3\Utilities\RefineRTDCRunTimes.py" --tripid 815-24 --locoid 4042 --swversion DE.1.0.8.0 --startMP 204:437 --initTime 2017-01-24T10:10:12 --startdatetime 2017-01-24T10:21:12 --delay 2 --endMP 300:58973 --enddatetime 2017-01-24T10:36:18 --enforcementcount 0 &gt;&gt;C:\Users\stu\Documents\GitHub\eaglep3-reporting\EC\2017-01-24-refined-times.txt</v>
      </c>
      <c r="AI170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{"issue":{"subject":"","project_id":79,"tracker_id":40,"status_id":1,"priority_id":2,"assigned_to_id":23,"start_date":"2017-01-24","description":"","custom_fields":[{"id":1,"name":"Subdivision","value":"NW"},{"id":4,"name":"Milepost","value":"5.8973"},{"id":17,"name":"Train ID","value":"815-24"},{"id":16,"name":"Locomotive ID","value":"4042"},{"id":130,"name":"Impact","value":""},{"id":150,"name":"Time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7"/>
        <v>start /low /b %USERPROFILE%\Documents\GitHub\eaglep3\Utilities\DownloadLogsFromS3.py --loco 4042 --day 2017-01-24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"%USERPROFILE%\AppData\Local\Temp\OnboardLogs"\RTDC4042\*4042*20170124* | grep -SE "(Enforcement Action)|(\[TIMEOUT)|(CHR.+\|PRM\|1\|D.+(SWITCH|SIGNAL).+UNKNOWN)" - &gt;&gt; 2017-01-24-UncaughtWiMAX.txt</v>
      </c>
    </row>
    <row r="171" spans="1:91" s="21" customFormat="1" x14ac:dyDescent="0.25">
      <c r="A171" s="34" t="s">
        <v>565</v>
      </c>
      <c r="B171" s="7">
        <v>4041</v>
      </c>
      <c r="C171" s="22" t="s">
        <v>196</v>
      </c>
      <c r="D171" s="22" t="s">
        <v>831</v>
      </c>
      <c r="E171" s="13">
        <v>42759.442986111113</v>
      </c>
      <c r="F171" s="13">
        <v>42759.444293981483</v>
      </c>
      <c r="G171" s="7">
        <v>1</v>
      </c>
      <c r="H171" s="22" t="s">
        <v>832</v>
      </c>
      <c r="I171" s="13">
        <v>42759.456400462965</v>
      </c>
      <c r="J171" s="7">
        <v>0</v>
      </c>
      <c r="K171" s="105" t="str">
        <f t="shared" si="61"/>
        <v>4041/4042</v>
      </c>
      <c r="L171" s="22" t="str">
        <f>VLOOKUP(A171,'Trips&amp;Operators'!$C$1:$G$99999,5,FALSE)</f>
        <v>BROWN JACOB</v>
      </c>
      <c r="M171" s="6">
        <f t="shared" si="62"/>
        <v>1.2106481481168885E-2</v>
      </c>
      <c r="N171" s="7">
        <f t="shared" ref="N171:N202" si="73">24*60*SUM($M171:$M171)</f>
        <v>17.433333332883194</v>
      </c>
      <c r="O171" s="7"/>
      <c r="P171" s="7"/>
      <c r="Q171" s="23"/>
      <c r="R171" s="23"/>
      <c r="S171" s="32">
        <f t="shared" si="58"/>
        <v>1</v>
      </c>
      <c r="T171" s="47" t="str">
        <f t="shared" si="63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4"/>
        <v>https://d0f6bd738d7f1b3e5a7ca70fe4ff75f0.us-east-1.aws.found.io/app/kibana#/discover/Steve-Slow-Train-Analysis-(2080s-and-2083s)?_g=(refreshInterval:(display:Off,pause:!f,section:0,value:0),time:(from:'2017-01-24T09:37:54-0700',mode:absolute,to:'2017-01-24T11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1" s="49" t="str">
        <f t="shared" si="65"/>
        <v>N</v>
      </c>
      <c r="X171" s="170">
        <f t="shared" si="72"/>
        <v>1</v>
      </c>
      <c r="Y171" s="64">
        <f t="shared" si="59"/>
        <v>5.8654999999999999</v>
      </c>
      <c r="Z171" s="64">
        <f t="shared" si="60"/>
        <v>8.8499999999999995E-2</v>
      </c>
      <c r="AA171" s="64">
        <f t="shared" si="66"/>
        <v>5.7770000000000001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67"/>
        <v>0816-24</v>
      </c>
      <c r="AE171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71" s="84" t="str">
        <f t="shared" si="69"/>
        <v>"C:\Program Files (x86)\AstroGrep\AstroGrep.exe" /spath="%USERPROFILE%\AppData\Local\Temp\OnboardLogs" /stypes="app*4041*20170124*" /stext=" 17:.+((SYSTEM_STATE.+slice.+state.+changed )|(ment ac)|(multiple cpu faults)|(system.+state.+changed )|(\[timeout)|(PRM\|1\|D)|(kpr)|(kdp)|(\|lc)|(penalty))" /e /r /s</v>
      </c>
      <c r="AG171" s="1" t="str">
        <f t="shared" si="70"/>
        <v>NW</v>
      </c>
      <c r="AH171" s="88" t="str">
        <f t="shared" si="55"/>
        <v>"%USERPROFILE%\Documents\GitHub\eaglep3\Utilities\RefineRTDCRunTimes.py" --tripid 816-24 --locoid 4041 --swversion DE.1.0.8.0 --startMP 300:58655 --initTime 2017-01-24T10:37:54 --startdatetime 2017-01-24T10:39:47 --delay 1 --endMP 204:885 --enddatetime 2017-01-24T10:57:13 --enforcementcount 0 &gt;&gt;C:\Users\stu\Documents\GitHub\eaglep3-reporting\EC\2017-01-24-refined-times.txt</v>
      </c>
      <c r="AI171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{"issue":{"subject":"","project_id":79,"tracker_id":40,"status_id":1,"priority_id":2,"assigned_to_id":23,"start_date":"2017-01-24","description":"","custom_fields":[{"id":1,"name":"Subdivision","value":"NW"},{"id":4,"name":"Milepost","value":"0.0885"},{"id":17,"name":"Train ID","value":"816-24"},{"id":16,"name":"Locomotive ID","value":"4041"},{"id":130,"name":"Impact","value":""},{"id":150,"name":"Time of Event (Mountain Time)","value":"10:57:13"},{"id":151,"name":"Denver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7"/>
        <v>start /low /b %USERPROFILE%\Documents\GitHub\eaglep3\Utilities\DownloadLogsFromS3.py --loco 4041 --day 2017-01-24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2017-01-24-UncaughtWiMAX.txt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576</v>
      </c>
      <c r="B172" s="7">
        <v>4042</v>
      </c>
      <c r="C172" s="22" t="s">
        <v>196</v>
      </c>
      <c r="D172" s="22" t="s">
        <v>747</v>
      </c>
      <c r="E172" s="13">
        <v>42759.464918981481</v>
      </c>
      <c r="F172" s="13">
        <v>42759.473090277781</v>
      </c>
      <c r="G172" s="7">
        <v>1</v>
      </c>
      <c r="H172" s="22" t="s">
        <v>828</v>
      </c>
      <c r="I172" s="13">
        <v>42759.483657407407</v>
      </c>
      <c r="J172" s="7">
        <v>0</v>
      </c>
      <c r="K172" s="105" t="str">
        <f t="shared" si="61"/>
        <v>4041/4042</v>
      </c>
      <c r="L172" s="22" t="str">
        <f>VLOOKUP(A172,'Trips&amp;Operators'!$C$1:$G$99999,5,FALSE)</f>
        <v>BROWN JACOB</v>
      </c>
      <c r="M172" s="6">
        <f t="shared" si="62"/>
        <v>1.056712962599704E-2</v>
      </c>
      <c r="N172" s="7">
        <f t="shared" si="73"/>
        <v>15.216666661435738</v>
      </c>
      <c r="O172" s="7"/>
      <c r="P172" s="7"/>
      <c r="Q172" s="23"/>
      <c r="R172" s="23"/>
      <c r="S172" s="32">
        <f t="shared" ref="S172:S203" si="74">SUM(U172:U172)/IF(AG172="EC",12,1)</f>
        <v>1</v>
      </c>
      <c r="T172" s="47" t="str">
        <f t="shared" si="63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4"/>
        <v>https://d0f6bd738d7f1b3e5a7ca70fe4ff75f0.us-east-1.aws.found.io/app/kibana#/discover/Steve-Slow-Train-Analysis-(2080s-and-2083s)?_g=(refreshInterval:(display:Off,pause:!f,section:0,value:0),time:(from:'2017-01-24T10:09:29-0700',mode:absolute,to:'2017-01-24T12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2" s="49" t="str">
        <f t="shared" si="65"/>
        <v>N</v>
      </c>
      <c r="X172" s="170">
        <f t="shared" si="72"/>
        <v>1</v>
      </c>
      <c r="Y172" s="64">
        <f t="shared" ref="Y172:Y203" si="75">RIGHT(D172,LEN(D172)-4)/10000</f>
        <v>0.1177</v>
      </c>
      <c r="Z172" s="64">
        <f t="shared" ref="Z172:Z203" si="76">RIGHT(H172,LEN(H172)-4)/10000</f>
        <v>5.8952</v>
      </c>
      <c r="AA172" s="64">
        <f t="shared" si="66"/>
        <v>5.7774999999999999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67"/>
        <v>0817-24</v>
      </c>
      <c r="AE172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72" s="84" t="str">
        <f t="shared" si="69"/>
        <v>"C:\Program Files (x86)\AstroGrep\AstroGrep.exe" /spath="%USERPROFILE%\AppData\Local\Temp\OnboardLogs" /stypes="app*4042*20170124*" /stext=" 18:.+((SYSTEM_STATE.+slice.+state.+changed )|(ment ac)|(multiple cpu faults)|(system.+state.+changed )|(\[timeout)|(PRM\|1\|D)|(kpr)|(kdp)|(\|lc)|(penalty))" /e /r /s</v>
      </c>
      <c r="AG172" s="1" t="str">
        <f t="shared" si="70"/>
        <v>NW</v>
      </c>
      <c r="AH172" s="88" t="str">
        <f t="shared" si="55"/>
        <v>"%USERPROFILE%\Documents\GitHub\eaglep3\Utilities\RefineRTDCRunTimes.py" --tripid 817-24 --locoid 4042 --swversion DE.1.0.8.0 --startMP 204:1177 --initTime 2017-01-24T11:09:29 --startdatetime 2017-01-24T11:21:15 --delay 1 --endMP 300:58952 --enddatetime 2017-01-24T11:36:28 --enforcementcount 0 &gt;&gt;C:\Users\stu\Documents\GitHub\eaglep3-reporting\EC\2017-01-24-refined-times.txt</v>
      </c>
      <c r="AI172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{"issue":{"subject":"","project_id":79,"tracker_id":40,"status_id":1,"priority_id":2,"assigned_to_id":23,"start_date":"2017-01-24","description":"","custom_fields":[{"id":1,"name":"Subdivision","value":"NW"},{"id":4,"name":"Milepost","value":"5.8952"},{"id":17,"name":"Train ID","value":"817-24"},{"id":16,"name":"Locomotive ID","value":"4042"},{"id":130,"name":"Impact","value":""},{"id":150,"name":"Time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7"/>
        <v>start /low /b %USERPROFILE%\Documents\GitHub\eaglep3\Utilities\DownloadLogsFromS3.py --loco 4042 --day 2017-01-24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"%USERPROFILE%\AppData\Local\Temp\OnboardLogs"\RTDC4042\*4042*20170124* | grep -SE "(Enforcement Action)|(\[TIMEOUT)|(CHR.+\|PRM\|1\|D.+(SWITCH|SIGNAL).+UNKNOWN)" - &gt;&gt; 2017-01-24-UncaughtWiMAX.txt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470</v>
      </c>
      <c r="B173" s="7">
        <v>4041</v>
      </c>
      <c r="C173" s="22" t="s">
        <v>196</v>
      </c>
      <c r="D173" s="22" t="s">
        <v>833</v>
      </c>
      <c r="E173" s="13">
        <v>42759.484444444446</v>
      </c>
      <c r="F173" s="13">
        <v>42759.485729166663</v>
      </c>
      <c r="G173" s="7">
        <v>1</v>
      </c>
      <c r="H173" s="22" t="s">
        <v>800</v>
      </c>
      <c r="I173" s="13">
        <v>42759.498495370368</v>
      </c>
      <c r="J173" s="7">
        <v>0</v>
      </c>
      <c r="K173" s="105" t="str">
        <f t="shared" si="61"/>
        <v>4041/4042</v>
      </c>
      <c r="L173" s="22" t="str">
        <f>VLOOKUP(A173,'Trips&amp;Operators'!$C$1:$G$99999,5,FALSE)</f>
        <v>BROWN JACOB</v>
      </c>
      <c r="M173" s="6">
        <f t="shared" si="62"/>
        <v>1.2766203704813961E-2</v>
      </c>
      <c r="N173" s="7">
        <f t="shared" si="73"/>
        <v>18.383333334932104</v>
      </c>
      <c r="O173" s="7"/>
      <c r="P173" s="7"/>
      <c r="Q173" s="23"/>
      <c r="R173" s="23"/>
      <c r="S173" s="32">
        <f t="shared" si="74"/>
        <v>1</v>
      </c>
      <c r="T173" s="47" t="str">
        <f t="shared" si="63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4"/>
        <v>https://d0f6bd738d7f1b3e5a7ca70fe4ff75f0.us-east-1.aws.found.io/app/kibana#/discover/Steve-Slow-Train-Analysis-(2080s-and-2083s)?_g=(refreshInterval:(display:Off,pause:!f,section:0,value:0),time:(from:'2017-01-24T10:37:36-0700',mode:absolute,to:'2017-01-24T12:57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3" s="49" t="str">
        <f t="shared" si="65"/>
        <v>N</v>
      </c>
      <c r="X173" s="170">
        <f t="shared" si="72"/>
        <v>1</v>
      </c>
      <c r="Y173" s="64">
        <f t="shared" si="75"/>
        <v>5.8634000000000004</v>
      </c>
      <c r="Z173" s="64">
        <f t="shared" si="76"/>
        <v>1.44E-2</v>
      </c>
      <c r="AA173" s="64">
        <f t="shared" si="66"/>
        <v>5.8490000000000002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67"/>
        <v>0818-24</v>
      </c>
      <c r="AE173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73" s="84" t="str">
        <f t="shared" si="69"/>
        <v>"C:\Program Files (x86)\AstroGrep\AstroGrep.exe" /spath="%USERPROFILE%\AppData\Local\Temp\OnboardLogs" /stypes="app*4041*20170124*" /stext=" 18:.+((SYSTEM_STATE.+slice.+state.+changed )|(ment ac)|(multiple cpu faults)|(system.+state.+changed )|(\[timeout)|(PRM\|1\|D)|(kpr)|(kdp)|(\|lc)|(penalty))" /e /r /s</v>
      </c>
      <c r="AG173" s="1" t="str">
        <f t="shared" si="70"/>
        <v>NW</v>
      </c>
      <c r="AH173" s="88" t="str">
        <f t="shared" si="55"/>
        <v>"%USERPROFILE%\Documents\GitHub\eaglep3\Utilities\RefineRTDCRunTimes.py" --tripid 818-24 --locoid 4041 --swversion DE.1.0.8.0 --startMP 300:58634 --initTime 2017-01-24T11:37:36 --startdatetime 2017-01-24T11:39:27 --delay 1 --endMP 204:144 --enddatetime 2017-01-24T11:57:50 --enforcementcount 0 &gt;&gt;C:\Users\stu\Documents\GitHub\eaglep3-reporting\EC\2017-01-24-refined-times.txt</v>
      </c>
      <c r="AI173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{"issue":{"subject":"","project_id":79,"tracker_id":40,"status_id":1,"priority_id":2,"assigned_to_id":23,"start_date":"2017-01-24","description":"","custom_fields":[{"id":1,"name":"Subdivision","value":"NW"},{"id":4,"name":"Milepost","value":"0.0144"},{"id":17,"name":"Train ID","value":"818-24"},{"id":16,"name":"Locomotive ID","value":"4041"},{"id":130,"name":"Impact","value":""},{"id":150,"name":"Time of Event (Mountain Time)","value":"11:57:50"},{"id":151,"name":"Denver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7"/>
        <v>start /low /b %USERPROFILE%\Documents\GitHub\eaglep3\Utilities\DownloadLogsFromS3.py --loco 4041 --day 2017-01-24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2017-01-24-UncaughtWiMAX.txt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586</v>
      </c>
      <c r="B174" s="7">
        <v>4042</v>
      </c>
      <c r="C174" s="22" t="s">
        <v>196</v>
      </c>
      <c r="D174" s="22" t="s">
        <v>276</v>
      </c>
      <c r="E174" s="13">
        <v>42759.502476851849</v>
      </c>
      <c r="F174" s="13">
        <v>42759.527581018519</v>
      </c>
      <c r="G174" s="7">
        <v>5</v>
      </c>
      <c r="H174" s="22" t="s">
        <v>828</v>
      </c>
      <c r="I174" s="13">
        <v>42759.5387962963</v>
      </c>
      <c r="J174" s="7">
        <v>0</v>
      </c>
      <c r="K174" s="105" t="str">
        <f t="shared" si="61"/>
        <v>4041/4042</v>
      </c>
      <c r="L174" s="22" t="str">
        <f>VLOOKUP(A174,'Trips&amp;Operators'!$C$1:$G$99999,5,FALSE)</f>
        <v>BROWN JACOB</v>
      </c>
      <c r="M174" s="6">
        <f t="shared" si="62"/>
        <v>1.1215277780138422E-2</v>
      </c>
      <c r="N174" s="7">
        <f t="shared" si="73"/>
        <v>16.150000003399327</v>
      </c>
      <c r="O174" s="7"/>
      <c r="P174" s="7"/>
      <c r="Q174" s="23"/>
      <c r="R174" s="23"/>
      <c r="S174" s="32">
        <f t="shared" si="74"/>
        <v>1</v>
      </c>
      <c r="T174" s="47" t="str">
        <f t="shared" si="63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4"/>
        <v>https://d0f6bd738d7f1b3e5a7ca70fe4ff75f0.us-east-1.aws.found.io/app/kibana#/discover/Steve-Slow-Train-Analysis-(2080s-and-2083s)?_g=(refreshInterval:(display:Off,pause:!f,section:0,value:0),time:(from:'2017-01-24T11:03:34-0700',mode:absolute,to:'2017-01-24T13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4" s="49" t="str">
        <f t="shared" si="65"/>
        <v>N</v>
      </c>
      <c r="X174" s="170">
        <f t="shared" ref="X174:X205" si="77">VALUE(LEFT(AD174,4))-VALUE(LEFT(AD173,4))</f>
        <v>1</v>
      </c>
      <c r="Y174" s="64">
        <f t="shared" si="75"/>
        <v>4.4400000000000002E-2</v>
      </c>
      <c r="Z174" s="64">
        <f t="shared" si="76"/>
        <v>5.8952</v>
      </c>
      <c r="AA174" s="64">
        <f t="shared" si="66"/>
        <v>5.8507999999999996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67"/>
        <v>0819-24</v>
      </c>
      <c r="AE174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74" s="84" t="str">
        <f t="shared" si="69"/>
        <v>"C:\Program Files (x86)\AstroGrep\AstroGrep.exe" /spath="%USERPROFILE%\AppData\Local\Temp\OnboardLogs" /stypes="app*4042*20170124*" /stext=" 19:.+((SYSTEM_STATE.+slice.+state.+changed )|(ment ac)|(multiple cpu faults)|(system.+state.+changed )|(\[timeout)|(PRM\|1\|D)|(kpr)|(kdp)|(\|lc)|(penalty))" /e /r /s</v>
      </c>
      <c r="AG174" s="1" t="str">
        <f t="shared" si="70"/>
        <v>NW</v>
      </c>
      <c r="AH174" s="88" t="str">
        <f t="shared" si="55"/>
        <v>"%USERPROFILE%\Documents\GitHub\eaglep3\Utilities\RefineRTDCRunTimes.py" --tripid 819-24 --locoid 4042 --swversion DE.1.0.8.0 --startMP 204:444 --initTime 2017-01-24T12:03:34 --startdatetime 2017-01-24T12:39:43 --delay 5 --endMP 300:58952 --enddatetime 2017-01-24T12:55:52 --enforcementcount 0 &gt;&gt;C:\Users\stu\Documents\GitHub\eaglep3-reporting\EC\2017-01-24-refined-times.txt</v>
      </c>
      <c r="AI174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{"issue":{"subject":"","project_id":79,"tracker_id":40,"status_id":1,"priority_id":2,"assigned_to_id":23,"start_date":"2017-01-24","description":"","custom_fields":[{"id":1,"name":"Subdivision","value":"NW"},{"id":4,"name":"Milepost","value":"5.8952"},{"id":17,"name":"Train ID","value":"819-24"},{"id":16,"name":"Locomotive ID","value":"4042"},{"id":130,"name":"Impact","value":""},{"id":150,"name":"Time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7"/>
        <v>start /low /b %USERPROFILE%\Documents\GitHub\eaglep3\Utilities\DownloadLogsFromS3.py --loco 4042 --day 2017-01-24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"%USERPROFILE%\AppData\Local\Temp\OnboardLogs"\RTDC4042\*4042*20170124* | grep -SE "(Enforcement Action)|(\[TIMEOUT)|(CHR.+\|PRM\|1\|D.+(SWITCH|SIGNAL).+UNKNOWN)" - &gt;&gt; 2017-01-24-UncaughtWiMAX.txt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593</v>
      </c>
      <c r="B175" s="7">
        <v>4041</v>
      </c>
      <c r="C175" s="22" t="s">
        <v>196</v>
      </c>
      <c r="D175" s="22" t="s">
        <v>834</v>
      </c>
      <c r="E175" s="13">
        <v>42759.526435185187</v>
      </c>
      <c r="F175" s="13">
        <v>42759.527581018519</v>
      </c>
      <c r="G175" s="7">
        <v>1</v>
      </c>
      <c r="H175" s="22" t="s">
        <v>835</v>
      </c>
      <c r="I175" s="13">
        <v>42759.5387962963</v>
      </c>
      <c r="J175" s="7">
        <v>0</v>
      </c>
      <c r="K175" s="105" t="str">
        <f t="shared" si="61"/>
        <v>4041/4042</v>
      </c>
      <c r="L175" s="22" t="str">
        <f>VLOOKUP(A175,'Trips&amp;Operators'!$C$1:$G$99999,5,FALSE)</f>
        <v>BROWN JACOB</v>
      </c>
      <c r="M175" s="6">
        <f t="shared" si="62"/>
        <v>1.1215277780138422E-2</v>
      </c>
      <c r="N175" s="7">
        <f t="shared" si="73"/>
        <v>16.150000003399327</v>
      </c>
      <c r="O175" s="7"/>
      <c r="P175" s="7"/>
      <c r="Q175" s="23"/>
      <c r="R175" s="23"/>
      <c r="S175" s="32">
        <f t="shared" si="74"/>
        <v>1</v>
      </c>
      <c r="T175" s="47" t="str">
        <f t="shared" si="63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4"/>
        <v>https://d0f6bd738d7f1b3e5a7ca70fe4ff75f0.us-east-1.aws.found.io/app/kibana#/discover/Steve-Slow-Train-Analysis-(2080s-and-2083s)?_g=(refreshInterval:(display:Off,pause:!f,section:0,value:0),time:(from:'2017-01-24T11:38:04-0700',mode:absolute,to:'2017-01-24T13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5" s="49" t="str">
        <f t="shared" si="65"/>
        <v>N</v>
      </c>
      <c r="X175" s="170">
        <f t="shared" si="77"/>
        <v>1</v>
      </c>
      <c r="Y175" s="64">
        <f t="shared" si="75"/>
        <v>5.8630000000000004</v>
      </c>
      <c r="Z175" s="64">
        <f t="shared" si="76"/>
        <v>7.4800000000000005E-2</v>
      </c>
      <c r="AA175" s="64">
        <f t="shared" si="66"/>
        <v>5.7882000000000007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67"/>
        <v>0820-24</v>
      </c>
      <c r="AE175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75" s="84" t="str">
        <f t="shared" si="69"/>
        <v>"C:\Program Files (x86)\AstroGrep\AstroGrep.exe" /spath="%USERPROFILE%\AppData\Local\Temp\OnboardLogs" /stypes="app*4041*20170124*" /stext=" 19:.+((SYSTEM_STATE.+slice.+state.+changed )|(ment ac)|(multiple cpu faults)|(system.+state.+changed )|(\[timeout)|(PRM\|1\|D)|(kpr)|(kdp)|(\|lc)|(penalty))" /e /r /s</v>
      </c>
      <c r="AG175" s="1" t="str">
        <f t="shared" si="70"/>
        <v>NW</v>
      </c>
      <c r="AH175" s="88" t="str">
        <f t="shared" si="55"/>
        <v>"%USERPROFILE%\Documents\GitHub\eaglep3\Utilities\RefineRTDCRunTimes.py" --tripid 820-24 --locoid 4041 --swversion DE.1.0.8.0 --startMP 300:58630 --initTime 2017-01-24T12:38:04 --startdatetime 2017-01-24T12:39:43 --delay 1 --endMP 204:748 --enddatetime 2017-01-24T12:55:52 --enforcementcount 0 &gt;&gt;C:\Users\stu\Documents\GitHub\eaglep3-reporting\EC\2017-01-24-refined-times.txt</v>
      </c>
      <c r="AI175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{"issue":{"subject":"","project_id":79,"tracker_id":40,"status_id":1,"priority_id":2,"assigned_to_id":23,"start_date":"2017-01-24","description":"","custom_fields":[{"id":1,"name":"Subdivision","value":"NW"},{"id":4,"name":"Milepost","value":"0.0748"},{"id":17,"name":"Train ID","value":"820-24"},{"id":16,"name":"Locomotive ID","value":"4041"},{"id":130,"name":"Impact","value":""},{"id":150,"name":"Time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7"/>
        <v>start /low /b %USERPROFILE%\Documents\GitHub\eaglep3\Utilities\DownloadLogsFromS3.py --loco 4041 --day 2017-01-24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2017-01-24-UncaughtWiMAX.txt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596</v>
      </c>
      <c r="B176" s="7">
        <v>4042</v>
      </c>
      <c r="C176" s="22" t="s">
        <v>196</v>
      </c>
      <c r="D176" s="22" t="s">
        <v>836</v>
      </c>
      <c r="E176" s="13">
        <v>42759.550937499997</v>
      </c>
      <c r="F176" s="13">
        <v>42759.55641203704</v>
      </c>
      <c r="G176" s="7">
        <v>2</v>
      </c>
      <c r="H176" s="22" t="s">
        <v>369</v>
      </c>
      <c r="I176" s="13">
        <v>42759.566053240742</v>
      </c>
      <c r="J176" s="7">
        <v>0</v>
      </c>
      <c r="K176" s="105" t="str">
        <f t="shared" si="61"/>
        <v>4041/4042</v>
      </c>
      <c r="L176" s="22" t="str">
        <f>VLOOKUP(A176,'Trips&amp;Operators'!$C$1:$G$99999,5,FALSE)</f>
        <v>LEVIN SCOTT</v>
      </c>
      <c r="M176" s="6">
        <f t="shared" si="62"/>
        <v>9.6412037019035779E-3</v>
      </c>
      <c r="N176" s="7">
        <f t="shared" si="73"/>
        <v>13.883333330741152</v>
      </c>
      <c r="O176" s="7"/>
      <c r="P176" s="7"/>
      <c r="Q176" s="23"/>
      <c r="R176" s="23"/>
      <c r="S176" s="32">
        <f t="shared" si="74"/>
        <v>1</v>
      </c>
      <c r="T176" s="47" t="str">
        <f t="shared" si="63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4"/>
        <v>https://d0f6bd738d7f1b3e5a7ca70fe4ff75f0.us-east-1.aws.found.io/app/kibana#/discover/Steve-Slow-Train-Analysis-(2080s-and-2083s)?_g=(refreshInterval:(display:Off,pause:!f,section:0,value:0),time:(from:'2017-01-24T12:13:21-0700',mode:absolute,to:'2017-01-24T14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6" s="49" t="str">
        <f t="shared" si="65"/>
        <v>N</v>
      </c>
      <c r="X176" s="170">
        <f t="shared" si="77"/>
        <v>1</v>
      </c>
      <c r="Y176" s="64">
        <f t="shared" si="75"/>
        <v>0.1028</v>
      </c>
      <c r="Z176" s="64">
        <f t="shared" si="76"/>
        <v>5.8930999999999996</v>
      </c>
      <c r="AA176" s="64">
        <f t="shared" si="66"/>
        <v>5.7902999999999993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67"/>
        <v>0821-24</v>
      </c>
      <c r="AE176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76" s="84" t="str">
        <f t="shared" si="69"/>
        <v>"C:\Program Files (x86)\AstroGrep\AstroGrep.exe" /spath="%USERPROFILE%\AppData\Local\Temp\OnboardLogs" /stypes="app*4042*20170124*" /stext=" 20:.+((SYSTEM_STATE.+slice.+state.+changed )|(ment ac)|(multiple cpu faults)|(system.+state.+changed )|(\[timeout)|(PRM\|1\|D)|(kpr)|(kdp)|(\|lc)|(penalty))" /e /r /s</v>
      </c>
      <c r="AG176" s="1" t="str">
        <f t="shared" si="70"/>
        <v>NW</v>
      </c>
      <c r="AH176" s="88" t="str">
        <f t="shared" si="55"/>
        <v>"%USERPROFILE%\Documents\GitHub\eaglep3\Utilities\RefineRTDCRunTimes.py" --tripid 821-24 --locoid 4042 --swversion DE.1.0.8.0 --startMP 204:1028 --initTime 2017-01-24T13:13:21 --startdatetime 2017-01-24T13:21:14 --delay 2 --endMP 300:58931 --enddatetime 2017-01-24T13:35:07 --enforcementcount 0 &gt;&gt;C:\Users\stu\Documents\GitHub\eaglep3-reporting\EC\2017-01-24-refined-times.txt</v>
      </c>
      <c r="AI176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{"issue":{"subject":"","project_id":79,"tracker_id":40,"status_id":1,"priority_id":2,"assigned_to_id":23,"start_date":"2017-01-24","description":"","custom_fields":[{"id":1,"name":"Subdivision","value":"NW"},{"id":4,"name":"Milepost","value":"5.8931"},{"id":17,"name":"Train ID","value":"821-24"},{"id":16,"name":"Locomotive ID","value":"4042"},{"id":130,"name":"Impact","value":""},{"id":150,"name":"Time of Event (Mountain Time)","value":"13:35:07"},{"id":151,"name":"Denver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7"/>
        <v>start /low /b %USERPROFILE%\Documents\GitHub\eaglep3\Utilities\DownloadLogsFromS3.py --loco 4042 --day 2017-01-24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"%USERPROFILE%\AppData\Local\Temp\OnboardLogs"\RTDC4042\*4042*20170124* | grep -SE "(Enforcement Action)|(\[TIMEOUT)|(CHR.+\|PRM\|1\|D.+(SWITCH|SIGNAL).+UNKNOWN)" - &gt;&gt; 2017-01-24-UncaughtWiMAX.txt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600</v>
      </c>
      <c r="B177" s="7">
        <v>4041</v>
      </c>
      <c r="C177" s="22" t="s">
        <v>196</v>
      </c>
      <c r="D177" s="22" t="s">
        <v>370</v>
      </c>
      <c r="E177" s="13">
        <v>42759.567210648151</v>
      </c>
      <c r="F177" s="13">
        <v>42759.568668981483</v>
      </c>
      <c r="G177" s="7">
        <v>1</v>
      </c>
      <c r="H177" s="22" t="s">
        <v>837</v>
      </c>
      <c r="I177" s="13">
        <v>42759.580023148148</v>
      </c>
      <c r="J177" s="7">
        <v>0</v>
      </c>
      <c r="K177" s="105" t="str">
        <f t="shared" si="61"/>
        <v>4041/4042</v>
      </c>
      <c r="L177" s="22" t="str">
        <f>VLOOKUP(A177,'Trips&amp;Operators'!$C$1:$G$99999,5,FALSE)</f>
        <v>LEVIN SCOTT</v>
      </c>
      <c r="M177" s="6">
        <f t="shared" si="62"/>
        <v>1.1354166665114462E-2</v>
      </c>
      <c r="N177" s="7">
        <f t="shared" si="73"/>
        <v>16.349999997764826</v>
      </c>
      <c r="O177" s="7"/>
      <c r="P177" s="7"/>
      <c r="Q177" s="23"/>
      <c r="R177" s="23"/>
      <c r="S177" s="32">
        <f t="shared" si="74"/>
        <v>1</v>
      </c>
      <c r="T177" s="47" t="str">
        <f t="shared" si="63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4"/>
        <v>https://d0f6bd738d7f1b3e5a7ca70fe4ff75f0.us-east-1.aws.found.io/app/kibana#/discover/Steve-Slow-Train-Analysis-(2080s-and-2083s)?_g=(refreshInterval:(display:Off,pause:!f,section:0,value:0),time:(from:'2017-01-24T12:36:47-0700',mode:absolute,to:'2017-01-24T14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7" s="49" t="str">
        <f t="shared" si="65"/>
        <v>N</v>
      </c>
      <c r="X177" s="170">
        <f t="shared" si="77"/>
        <v>1</v>
      </c>
      <c r="Y177" s="64">
        <f t="shared" si="75"/>
        <v>5.8613</v>
      </c>
      <c r="Z177" s="64">
        <f t="shared" si="76"/>
        <v>6.6600000000000006E-2</v>
      </c>
      <c r="AA177" s="64">
        <f t="shared" si="66"/>
        <v>5.7946999999999997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67"/>
        <v>0822-24</v>
      </c>
      <c r="AE177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77" s="84" t="str">
        <f t="shared" si="69"/>
        <v>"C:\Program Files (x86)\AstroGrep\AstroGrep.exe" /spath="%USERPROFILE%\AppData\Local\Temp\OnboardLogs" /stypes="app*4041*20170124*" /stext=" 20:.+((SYSTEM_STATE.+slice.+state.+changed )|(ment ac)|(multiple cpu faults)|(system.+state.+changed )|(\[timeout)|(PRM\|1\|D)|(kpr)|(kdp)|(\|lc)|(penalty))" /e /r /s</v>
      </c>
      <c r="AG177" s="1" t="str">
        <f t="shared" si="70"/>
        <v>NW</v>
      </c>
      <c r="AH177" s="88" t="str">
        <f t="shared" si="55"/>
        <v>"%USERPROFILE%\Documents\GitHub\eaglep3\Utilities\RefineRTDCRunTimes.py" --tripid 822-24 --locoid 4041 --swversion DE.1.0.8.0 --startMP 300:58613 --initTime 2017-01-24T13:36:47 --startdatetime 2017-01-24T13:38:53 --delay 1 --endMP 204:666 --enddatetime 2017-01-24T13:55:14 --enforcementcount 0 &gt;&gt;C:\Users\stu\Documents\GitHub\eaglep3-reporting\EC\2017-01-24-refined-times.txt</v>
      </c>
      <c r="AI177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{"issue":{"subject":"","project_id":79,"tracker_id":40,"status_id":1,"priority_id":2,"assigned_to_id":23,"start_date":"2017-01-24","description":"","custom_fields":[{"id":1,"name":"Subdivision","value":"NW"},{"id":4,"name":"Milepost","value":"0.0666"},{"id":17,"name":"Train ID","value":"822-24"},{"id":16,"name":"Locomotive ID","value":"4041"},{"id":130,"name":"Impact","value":""},{"id":150,"name":"Time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7"/>
        <v>start /low /b %USERPROFILE%\Documents\GitHub\eaglep3\Utilities\DownloadLogsFromS3.py --loco 4041 --day 2017-01-24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2017-01-24-UncaughtWiMAX.txt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607</v>
      </c>
      <c r="B178" s="7">
        <v>4042</v>
      </c>
      <c r="C178" s="22" t="s">
        <v>196</v>
      </c>
      <c r="D178" s="22" t="s">
        <v>838</v>
      </c>
      <c r="E178" s="13">
        <v>42759.594664351855</v>
      </c>
      <c r="F178" s="13">
        <v>42759.598078703704</v>
      </c>
      <c r="G178" s="7">
        <v>1</v>
      </c>
      <c r="H178" s="22" t="s">
        <v>441</v>
      </c>
      <c r="I178" s="13">
        <v>42759.607905092591</v>
      </c>
      <c r="J178" s="7">
        <v>0</v>
      </c>
      <c r="K178" s="105" t="str">
        <f t="shared" si="61"/>
        <v>4041/4042</v>
      </c>
      <c r="L178" s="22" t="str">
        <f>VLOOKUP(A178,'Trips&amp;Operators'!$C$1:$G$99999,5,FALSE)</f>
        <v>LEVIN SCOTT</v>
      </c>
      <c r="M178" s="6">
        <f t="shared" si="62"/>
        <v>9.8263888867222704E-3</v>
      </c>
      <c r="N178" s="7">
        <f t="shared" si="73"/>
        <v>14.149999996880069</v>
      </c>
      <c r="O178" s="7"/>
      <c r="P178" s="7"/>
      <c r="Q178" s="23"/>
      <c r="R178" s="23"/>
      <c r="S178" s="32">
        <f t="shared" si="74"/>
        <v>1</v>
      </c>
      <c r="T178" s="47" t="str">
        <f t="shared" si="63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4"/>
        <v>https://d0f6bd738d7f1b3e5a7ca70fe4ff75f0.us-east-1.aws.found.io/app/kibana#/discover/Steve-Slow-Train-Analysis-(2080s-and-2083s)?_g=(refreshInterval:(display:Off,pause:!f,section:0,value:0),time:(from:'2017-01-24T13:16:19-0700',mode:absolute,to:'2017-01-24T15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8" s="49" t="str">
        <f t="shared" si="65"/>
        <v>N</v>
      </c>
      <c r="X178" s="170">
        <f t="shared" si="77"/>
        <v>1</v>
      </c>
      <c r="Y178" s="64">
        <f t="shared" si="75"/>
        <v>9.5500000000000002E-2</v>
      </c>
      <c r="Z178" s="64">
        <f t="shared" si="76"/>
        <v>5.8936999999999999</v>
      </c>
      <c r="AA178" s="64">
        <f t="shared" si="66"/>
        <v>5.7981999999999996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67"/>
        <v>0823-24</v>
      </c>
      <c r="AE178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78" s="84" t="str">
        <f t="shared" si="69"/>
        <v>"C:\Program Files (x86)\AstroGrep\AstroGrep.exe" /spath="%USERPROFILE%\AppData\Local\Temp\OnboardLogs" /stypes="app*4042*20170124*" /stext=" 21:.+((SYSTEM_STATE.+slice.+state.+changed )|(ment ac)|(multiple cpu faults)|(system.+state.+changed )|(\[timeout)|(PRM\|1\|D)|(kpr)|(kdp)|(\|lc)|(penalty))" /e /r /s</v>
      </c>
      <c r="AG178" s="1" t="str">
        <f t="shared" si="70"/>
        <v>NW</v>
      </c>
      <c r="AH178" s="88" t="str">
        <f t="shared" si="55"/>
        <v>"%USERPROFILE%\Documents\GitHub\eaglep3\Utilities\RefineRTDCRunTimes.py" --tripid 823-24 --locoid 4042 --swversion DE.1.0.8.0 --startMP 204:955 --initTime 2017-01-24T14:16:19 --startdatetime 2017-01-24T14:21:14 --delay 1 --endMP 300:58937 --enddatetime 2017-01-24T14:35:23 --enforcementcount 0 &gt;&gt;C:\Users\stu\Documents\GitHub\eaglep3-reporting\EC\2017-01-24-refined-times.txt</v>
      </c>
      <c r="AI178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{"issue":{"subject":"","project_id":79,"tracker_id":40,"status_id":1,"priority_id":2,"assigned_to_id":23,"start_date":"2017-01-24","description":"","custom_fields":[{"id":1,"name":"Subdivision","value":"NW"},{"id":4,"name":"Milepost","value":"5.8937"},{"id":17,"name":"Train ID","value":"823-24"},{"id":16,"name":"Locomotive ID","value":"4042"},{"id":130,"name":"Impact","value":""},{"id":150,"name":"Time of Event (Mountain Time)","value":"14:35:23"},{"id":151,"name":"Denver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7"/>
        <v>start /low /b %USERPROFILE%\Documents\GitHub\eaglep3\Utilities\DownloadLogsFromS3.py --loco 4042 --day 2017-01-24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"%USERPROFILE%\AppData\Local\Temp\OnboardLogs"\RTDC4042\*4042*20170124* | grep -SE "(Enforcement Action)|(\[TIMEOUT)|(CHR.+\|PRM\|1\|D.+(SWITCH|SIGNAL).+UNKNOWN)" - &gt;&gt; 2017-01-24-UncaughtWiMAX.txt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4" t="s">
        <v>611</v>
      </c>
      <c r="B179" s="7">
        <v>4041</v>
      </c>
      <c r="C179" s="22" t="s">
        <v>196</v>
      </c>
      <c r="D179" s="22" t="s">
        <v>440</v>
      </c>
      <c r="E179" s="13">
        <v>42759.609409722223</v>
      </c>
      <c r="F179" s="13">
        <v>42759.610729166663</v>
      </c>
      <c r="G179" s="7">
        <v>1</v>
      </c>
      <c r="H179" s="22" t="s">
        <v>301</v>
      </c>
      <c r="I179" s="13">
        <v>42759.621851851851</v>
      </c>
      <c r="J179" s="7">
        <v>0</v>
      </c>
      <c r="K179" s="105" t="str">
        <f t="shared" si="61"/>
        <v>4041/4042</v>
      </c>
      <c r="L179" s="22" t="str">
        <f>VLOOKUP(A179,'Trips&amp;Operators'!$C$1:$G$99999,5,FALSE)</f>
        <v>LEVIN SCOTT</v>
      </c>
      <c r="M179" s="6">
        <f t="shared" si="62"/>
        <v>1.1122685187729076E-2</v>
      </c>
      <c r="N179" s="7">
        <f t="shared" si="73"/>
        <v>16.016666670329869</v>
      </c>
      <c r="O179" s="7"/>
      <c r="P179" s="7"/>
      <c r="Q179" s="23"/>
      <c r="R179" s="23"/>
      <c r="S179" s="32">
        <f t="shared" si="74"/>
        <v>1</v>
      </c>
      <c r="T179" s="47" t="str">
        <f t="shared" si="63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4"/>
        <v>https://d0f6bd738d7f1b3e5a7ca70fe4ff75f0.us-east-1.aws.found.io/app/kibana#/discover/Steve-Slow-Train-Analysis-(2080s-and-2083s)?_g=(refreshInterval:(display:Off,pause:!f,section:0,value:0),time:(from:'2017-01-24T13:37:33-0700',mode:absolute,to:'2017-01-24T15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9" s="49" t="str">
        <f t="shared" si="65"/>
        <v>N</v>
      </c>
      <c r="X179" s="170">
        <f t="shared" si="77"/>
        <v>1</v>
      </c>
      <c r="Y179" s="64">
        <f t="shared" si="75"/>
        <v>5.8619000000000003</v>
      </c>
      <c r="Z179" s="64">
        <f t="shared" si="76"/>
        <v>6.8500000000000005E-2</v>
      </c>
      <c r="AA179" s="64">
        <f t="shared" si="66"/>
        <v>5.7934000000000001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67"/>
        <v>0824-24</v>
      </c>
      <c r="AE179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79" s="84" t="str">
        <f t="shared" si="69"/>
        <v>"C:\Program Files (x86)\AstroGrep\AstroGrep.exe" /spath="%USERPROFILE%\AppData\Local\Temp\OnboardLogs" /stypes="app*4041*20170124*" /stext=" 21:.+((SYSTEM_STATE.+slice.+state.+changed )|(ment ac)|(multiple cpu faults)|(system.+state.+changed )|(\[timeout)|(PRM\|1\|D)|(kpr)|(kdp)|(\|lc)|(penalty))" /e /r /s</v>
      </c>
      <c r="AG179" s="1" t="str">
        <f t="shared" si="70"/>
        <v>NW</v>
      </c>
      <c r="AH179" s="88" t="str">
        <f t="shared" si="55"/>
        <v>"%USERPROFILE%\Documents\GitHub\eaglep3\Utilities\RefineRTDCRunTimes.py" --tripid 824-24 --locoid 4041 --swversion DE.1.0.8.0 --startMP 300:58619 --initTime 2017-01-24T14:37:33 --startdatetime 2017-01-24T14:39:27 --delay 1 --endMP 204:685 --enddatetime 2017-01-24T14:55:28 --enforcementcount 0 &gt;&gt;C:\Users\stu\Documents\GitHub\eaglep3-reporting\EC\2017-01-24-refined-times.txt</v>
      </c>
      <c r="AI179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{"issue":{"subject":"","project_id":79,"tracker_id":40,"status_id":1,"priority_id":2,"assigned_to_id":23,"start_date":"2017-01-24","description":"","custom_fields":[{"id":1,"name":"Subdivision","value":"NW"},{"id":4,"name":"Milepost","value":"0.0685"},{"id":17,"name":"Train ID","value":"824-24"},{"id":16,"name":"Locomotive ID","value":"4041"},{"id":130,"name":"Impact","value":""},{"id":150,"name":"Time of Event (Mountain Time)","value":"14:55:28"},{"id":151,"name":"Denver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7"/>
        <v>start /low /b %USERPROFILE%\Documents\GitHub\eaglep3\Utilities\DownloadLogsFromS3.py --loco 4041 --day 2017-01-24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2017-01-24-UncaughtWiMAX.txt</v>
      </c>
    </row>
    <row r="180" spans="1:91" x14ac:dyDescent="0.25">
      <c r="A180" s="34" t="s">
        <v>616</v>
      </c>
      <c r="B180" s="7">
        <v>4042</v>
      </c>
      <c r="C180" s="22" t="s">
        <v>196</v>
      </c>
      <c r="D180" s="22" t="s">
        <v>436</v>
      </c>
      <c r="E180" s="13">
        <v>42759.636747685188</v>
      </c>
      <c r="F180" s="13">
        <v>42759.639803240738</v>
      </c>
      <c r="G180" s="7">
        <v>1</v>
      </c>
      <c r="H180" s="22" t="s">
        <v>839</v>
      </c>
      <c r="I180" s="13">
        <v>42759.649675925924</v>
      </c>
      <c r="J180" s="7">
        <v>0</v>
      </c>
      <c r="K180" s="105" t="str">
        <f t="shared" si="61"/>
        <v>4041/4042</v>
      </c>
      <c r="L180" s="22" t="str">
        <f>VLOOKUP(A180,'Trips&amp;Operators'!$C$1:$G$99999,5,FALSE)</f>
        <v>LEVIN SCOTT</v>
      </c>
      <c r="M180" s="6">
        <f t="shared" si="62"/>
        <v>9.8726851865649223E-3</v>
      </c>
      <c r="N180" s="7">
        <f t="shared" si="73"/>
        <v>14.216666668653488</v>
      </c>
      <c r="O180" s="7"/>
      <c r="P180" s="7"/>
      <c r="Q180" s="23"/>
      <c r="R180" s="23"/>
      <c r="S180" s="32">
        <f t="shared" si="74"/>
        <v>1</v>
      </c>
      <c r="T180" s="47" t="str">
        <f t="shared" si="63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4"/>
        <v>https://d0f6bd738d7f1b3e5a7ca70fe4ff75f0.us-east-1.aws.found.io/app/kibana#/discover/Steve-Slow-Train-Analysis-(2080s-and-2083s)?_g=(refreshInterval:(display:Off,pause:!f,section:0,value:0),time:(from:'2017-01-24T14:16:55-0700',mode:absolute,to:'2017-01-24T16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0" s="49" t="str">
        <f t="shared" si="65"/>
        <v>N</v>
      </c>
      <c r="X180" s="170">
        <f t="shared" si="77"/>
        <v>1</v>
      </c>
      <c r="Y180" s="64">
        <f t="shared" si="75"/>
        <v>9.7100000000000006E-2</v>
      </c>
      <c r="Z180" s="64">
        <f t="shared" si="76"/>
        <v>5.8929</v>
      </c>
      <c r="AA180" s="64">
        <f t="shared" si="66"/>
        <v>5.7957999999999998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67"/>
        <v>0825-24</v>
      </c>
      <c r="AE180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80" s="84" t="str">
        <f t="shared" si="69"/>
        <v>"C:\Program Files (x86)\AstroGrep\AstroGrep.exe" /spath="%USERPROFILE%\AppData\Local\Temp\OnboardLogs" /stypes="app*4042*20170124*" /stext=" 22:.+((SYSTEM_STATE.+slice.+state.+changed )|(ment ac)|(multiple cpu faults)|(system.+state.+changed )|(\[timeout)|(PRM\|1\|D)|(kpr)|(kdp)|(\|lc)|(penalty))" /e /r /s</v>
      </c>
      <c r="AG180" s="1" t="str">
        <f t="shared" si="70"/>
        <v>NW</v>
      </c>
      <c r="AH180" s="88" t="str">
        <f t="shared" si="55"/>
        <v>"%USERPROFILE%\Documents\GitHub\eaglep3\Utilities\RefineRTDCRunTimes.py" --tripid 825-24 --locoid 4042 --swversion DE.1.0.8.0 --startMP 204:971 --initTime 2017-01-24T15:16:55 --startdatetime 2017-01-24T15:21:19 --delay 1 --endMP 300:58929 --enddatetime 2017-01-24T15:35:32 --enforcementcount 0 &gt;&gt;C:\Users\stu\Documents\GitHub\eaglep3-reporting\EC\2017-01-24-refined-times.txt</v>
      </c>
      <c r="AI180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{"issue":{"subject":"","project_id":79,"tracker_id":40,"status_id":1,"priority_id":2,"assigned_to_id":23,"start_date":"2017-01-24","description":"","custom_fields":[{"id":1,"name":"Subdivision","value":"NW"},{"id":4,"name":"Milepost","value":"5.8929"},{"id":17,"name":"Train ID","value":"825-24"},{"id":16,"name":"Locomotive ID","value":"4042"},{"id":130,"name":"Impact","value":""},{"id":150,"name":"Time of Event (Mountain Time)","value":"15:35:32"},{"id":151,"name":"Denver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7"/>
        <v>start /low /b %USERPROFILE%\Documents\GitHub\eaglep3\Utilities\DownloadLogsFromS3.py --loco 4042 --day 2017-01-24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"%USERPROFILE%\AppData\Local\Temp\OnboardLogs"\RTDC4042\*4042*20170124* | grep -SE "(Enforcement Action)|(\[TIMEOUT)|(CHR.+\|PRM\|1\|D.+(SWITCH|SIGNAL).+UNKNOWN)" - &gt;&gt; 2017-01-24-UncaughtWiMAX.txt</v>
      </c>
    </row>
    <row r="181" spans="1:91" x14ac:dyDescent="0.25">
      <c r="A181" s="34" t="s">
        <v>619</v>
      </c>
      <c r="B181" s="7">
        <v>4041</v>
      </c>
      <c r="C181" s="22" t="s">
        <v>196</v>
      </c>
      <c r="D181" s="22" t="s">
        <v>443</v>
      </c>
      <c r="E181" s="13">
        <v>42759.650949074072</v>
      </c>
      <c r="F181" s="13">
        <v>42759.65221064815</v>
      </c>
      <c r="G181" s="7">
        <v>1</v>
      </c>
      <c r="H181" s="22" t="s">
        <v>435</v>
      </c>
      <c r="I181" s="13">
        <v>42759.663865740738</v>
      </c>
      <c r="J181" s="7">
        <v>0</v>
      </c>
      <c r="K181" s="105" t="str">
        <f t="shared" si="61"/>
        <v>4041/4042</v>
      </c>
      <c r="L181" s="22" t="str">
        <f>VLOOKUP(A181,'Trips&amp;Operators'!$C$1:$G$99999,5,FALSE)</f>
        <v>LEVIN SCOTT</v>
      </c>
      <c r="M181" s="6">
        <f t="shared" si="62"/>
        <v>1.1655092588625848E-2</v>
      </c>
      <c r="N181" s="7">
        <f t="shared" si="73"/>
        <v>16.783333327621222</v>
      </c>
      <c r="O181" s="7"/>
      <c r="P181" s="7"/>
      <c r="Q181" s="23"/>
      <c r="R181" s="23"/>
      <c r="S181" s="32">
        <f t="shared" si="74"/>
        <v>1</v>
      </c>
      <c r="T181" s="47" t="str">
        <f t="shared" si="63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4"/>
        <v>https://d0f6bd738d7f1b3e5a7ca70fe4ff75f0.us-east-1.aws.found.io/app/kibana#/discover/Steve-Slow-Train-Analysis-(2080s-and-2083s)?_g=(refreshInterval:(display:Off,pause:!f,section:0,value:0),time:(from:'2017-01-24T14:37:22-0700',mode:absolute,to:'2017-01-24T16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1" s="49" t="str">
        <f t="shared" si="65"/>
        <v>N</v>
      </c>
      <c r="X181" s="170">
        <f t="shared" si="77"/>
        <v>1</v>
      </c>
      <c r="Y181" s="64">
        <f t="shared" si="75"/>
        <v>5.8620999999999999</v>
      </c>
      <c r="Z181" s="64">
        <f t="shared" si="76"/>
        <v>6.7699999999999996E-2</v>
      </c>
      <c r="AA181" s="64">
        <f t="shared" si="66"/>
        <v>5.7943999999999996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67"/>
        <v>0826-24</v>
      </c>
      <c r="AE181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81" s="84" t="str">
        <f t="shared" si="69"/>
        <v>"C:\Program Files (x86)\AstroGrep\AstroGrep.exe" /spath="%USERPROFILE%\AppData\Local\Temp\OnboardLogs" /stypes="app*4041*20170124*" /stext=" 22:.+((SYSTEM_STATE.+slice.+state.+changed )|(ment ac)|(multiple cpu faults)|(system.+state.+changed )|(\[timeout)|(PRM\|1\|D)|(kpr)|(kdp)|(\|lc)|(penalty))" /e /r /s</v>
      </c>
      <c r="AG181" s="1" t="str">
        <f t="shared" si="70"/>
        <v>NW</v>
      </c>
      <c r="AH181" s="88" t="str">
        <f t="shared" si="55"/>
        <v>"%USERPROFILE%\Documents\GitHub\eaglep3\Utilities\RefineRTDCRunTimes.py" --tripid 826-24 --locoid 4041 --swversion DE.1.0.8.0 --startMP 300:58621 --initTime 2017-01-24T15:37:22 --startdatetime 2017-01-24T15:39:11 --delay 1 --endMP 204:677 --enddatetime 2017-01-24T15:55:58 --enforcementcount 0 &gt;&gt;C:\Users\stu\Documents\GitHub\eaglep3-reporting\EC\2017-01-24-refined-times.txt</v>
      </c>
      <c r="AI181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{"issue":{"subject":"","project_id":79,"tracker_id":40,"status_id":1,"priority_id":2,"assigned_to_id":23,"start_date":"2017-01-24","description":"","custom_fields":[{"id":1,"name":"Subdivision","value":"NW"},{"id":4,"name":"Milepost","value":"0.0677"},{"id":17,"name":"Train ID","value":"826-24"},{"id":16,"name":"Locomotive ID","value":"4041"},{"id":130,"name":"Impact","value":""},{"id":150,"name":"Time of Event (Mountain Time)","value":"15:55:58"},{"id":151,"name":"Denver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7"/>
        <v>start /low /b %USERPROFILE%\Documents\GitHub\eaglep3\Utilities\DownloadLogsFromS3.py --loco 4041 --day 2017-01-24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2017-01-24-UncaughtWiMAX.txt</v>
      </c>
    </row>
    <row r="182" spans="1:91" x14ac:dyDescent="0.25">
      <c r="A182" s="34" t="s">
        <v>475</v>
      </c>
      <c r="B182" s="7">
        <v>4044</v>
      </c>
      <c r="C182" s="22" t="s">
        <v>196</v>
      </c>
      <c r="D182" s="22" t="s">
        <v>840</v>
      </c>
      <c r="E182" s="13">
        <v>42759.651550925926</v>
      </c>
      <c r="F182" s="13">
        <v>42759.660949074074</v>
      </c>
      <c r="G182" s="7">
        <v>1</v>
      </c>
      <c r="H182" s="22" t="s">
        <v>841</v>
      </c>
      <c r="I182" s="13">
        <v>42759.672037037039</v>
      </c>
      <c r="J182" s="7">
        <v>0</v>
      </c>
      <c r="K182" s="105" t="str">
        <f t="shared" si="61"/>
        <v>4043/4044</v>
      </c>
      <c r="L182" s="22" t="str">
        <f>VLOOKUP(A182,'Trips&amp;Operators'!$C$1:$G$99999,5,FALSE)</f>
        <v>HILLS DUSTIN</v>
      </c>
      <c r="M182" s="6">
        <f t="shared" si="62"/>
        <v>1.1087962964666076E-2</v>
      </c>
      <c r="N182" s="7">
        <f t="shared" si="73"/>
        <v>15.966666669119149</v>
      </c>
      <c r="O182" s="7"/>
      <c r="P182" s="7"/>
      <c r="Q182" s="23"/>
      <c r="R182" s="23"/>
      <c r="S182" s="32">
        <f t="shared" si="74"/>
        <v>1</v>
      </c>
      <c r="T182" s="47" t="str">
        <f t="shared" si="63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4"/>
        <v>https://d0f6bd738d7f1b3e5a7ca70fe4ff75f0.us-east-1.aws.found.io/app/kibana#/discover/Steve-Slow-Train-Analysis-(2080s-and-2083s)?_g=(refreshInterval:(display:Off,pause:!f,section:0,value:0),time:(from:'2017-01-24T14:38:14-0700',mode:absolute,to:'2017-01-24T17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49" t="str">
        <f t="shared" si="65"/>
        <v>N</v>
      </c>
      <c r="X182" s="170">
        <f t="shared" si="77"/>
        <v>1</v>
      </c>
      <c r="Y182" s="64">
        <f t="shared" si="75"/>
        <v>3.9199999999999999E-2</v>
      </c>
      <c r="Z182" s="64">
        <f t="shared" si="76"/>
        <v>5.899</v>
      </c>
      <c r="AA182" s="64">
        <f t="shared" si="66"/>
        <v>5.8597999999999999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67"/>
        <v>0827-24</v>
      </c>
      <c r="AE182" s="87" t="str">
        <f t="shared" si="68"/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AF182" s="84" t="str">
        <f t="shared" si="69"/>
        <v>"C:\Program Files (x86)\AstroGrep\AstroGrep.exe" /spath="%USERPROFILE%\AppData\Local\Temp\OnboardLogs" /stypes="app*4044*20170124*" /stext=" 23:.+((SYSTEM_STATE.+slice.+state.+changed )|(ment ac)|(multiple cpu faults)|(system.+state.+changed )|(\[timeout)|(PRM\|1\|D)|(kpr)|(kdp)|(\|lc)|(penalty))" /e /r /s</v>
      </c>
      <c r="AG182" s="1" t="str">
        <f t="shared" si="70"/>
        <v>NW</v>
      </c>
      <c r="AH182" s="88" t="str">
        <f t="shared" si="55"/>
        <v>"%USERPROFILE%\Documents\GitHub\eaglep3\Utilities\RefineRTDCRunTimes.py" --tripid 827-24 --locoid 4044 --swversion DE.1.0.8.0 --startMP 204:392 --initTime 2017-01-24T15:38:14 --startdatetime 2017-01-24T15:51:46 --delay 1 --endMP 300:58990 --enddatetime 2017-01-24T16:07:44 --enforcementcount 0 &gt;&gt;C:\Users\stu\Documents\GitHub\eaglep3-reporting\EC\2017-01-24-refined-times.txt</v>
      </c>
      <c r="AI182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{"issue":{"subject":"","project_id":79,"tracker_id":40,"status_id":1,"priority_id":2,"assigned_to_id":23,"start_date":"2017-01-24","description":"","custom_fields":[{"id":1,"name":"Subdivision","value":"NW"},{"id":4,"name":"Milepost","value":"5.899"},{"id":17,"name":"Train ID","value":"827-24"},{"id":16,"name":"Locomotive ID","value":"4044"},{"id":130,"name":"Impact","value":""},{"id":150,"name":"Time of Event (Mountain Time)","value":"16:07:44"},{"id":151,"name":"Denver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7"/>
        <v>start /low /b %USERPROFILE%\Documents\GitHub\eaglep3\Utilities\DownloadLogsFromS3.py --loco 4044 --day 2017-01-24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"%USERPROFILE%\AppData\Local\Temp\OnboardLogs"\RTDC4044\*4044*20170124* | grep -SE "(Enforcement Action)|(\[TIMEOUT)|(CHR.+\|PRM\|1\|D.+(SWITCH|SIGNAL).+UNKNOWN)" - &gt;&gt; 2017-01-24-UncaughtWiMAX.txt</v>
      </c>
    </row>
    <row r="183" spans="1:91" s="21" customFormat="1" x14ac:dyDescent="0.25">
      <c r="A183" s="34" t="s">
        <v>476</v>
      </c>
      <c r="B183" s="7">
        <v>4043</v>
      </c>
      <c r="C183" s="22" t="s">
        <v>196</v>
      </c>
      <c r="D183" s="22" t="s">
        <v>842</v>
      </c>
      <c r="E183" s="13">
        <v>42759.673449074071</v>
      </c>
      <c r="F183" s="13">
        <v>42759.675104166665</v>
      </c>
      <c r="G183" s="7">
        <v>1</v>
      </c>
      <c r="H183" s="22" t="s">
        <v>837</v>
      </c>
      <c r="I183" s="13">
        <v>42759.684999999998</v>
      </c>
      <c r="J183" s="7">
        <v>0</v>
      </c>
      <c r="K183" s="105" t="str">
        <f t="shared" si="61"/>
        <v>4043/4044</v>
      </c>
      <c r="L183" s="22" t="str">
        <f>VLOOKUP(A183,'Trips&amp;Operators'!$C$1:$G$99999,5,FALSE)</f>
        <v>HILLS DUSTIN</v>
      </c>
      <c r="M183" s="6">
        <f t="shared" si="62"/>
        <v>9.8958333328482695E-3</v>
      </c>
      <c r="N183" s="7">
        <f t="shared" si="73"/>
        <v>14.249999999301508</v>
      </c>
      <c r="O183" s="7"/>
      <c r="P183" s="7"/>
      <c r="Q183" s="23"/>
      <c r="R183" s="23"/>
      <c r="S183" s="32">
        <f t="shared" si="74"/>
        <v>1</v>
      </c>
      <c r="T183" s="47" t="str">
        <f t="shared" si="63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4"/>
        <v>https://d0f6bd738d7f1b3e5a7ca70fe4ff75f0.us-east-1.aws.found.io/app/kibana#/discover/Steve-Slow-Train-Analysis-(2080s-and-2083s)?_g=(refreshInterval:(display:Off,pause:!f,section:0,value:0),time:(from:'2017-01-24T15:09:46-0700',mode:absolute,to:'2017-01-24T17:26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49" t="str">
        <f t="shared" si="65"/>
        <v>N</v>
      </c>
      <c r="X183" s="170">
        <f t="shared" si="77"/>
        <v>1</v>
      </c>
      <c r="Y183" s="64">
        <f t="shared" si="75"/>
        <v>5.8677000000000001</v>
      </c>
      <c r="Z183" s="64">
        <f t="shared" si="76"/>
        <v>6.6600000000000006E-2</v>
      </c>
      <c r="AA183" s="64">
        <f t="shared" si="66"/>
        <v>5.8010999999999999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67"/>
        <v>0828-24</v>
      </c>
      <c r="AE183" s="87" t="str">
        <f t="shared" si="68"/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AF183" s="84" t="str">
        <f t="shared" si="69"/>
        <v>"C:\Program Files (x86)\AstroGrep\AstroGrep.exe" /spath="%USERPROFILE%\AppData\Local\Temp\OnboardLogs" /stypes="app*4043*20170124*" /stext=" 23:.+((SYSTEM_STATE.+slice.+state.+changed )|(ment ac)|(multiple cpu faults)|(system.+state.+changed )|(\[timeout)|(PRM\|1\|D)|(kpr)|(kdp)|(\|lc)|(penalty))" /e /r /s</v>
      </c>
      <c r="AG183" s="1" t="str">
        <f t="shared" si="70"/>
        <v>NW</v>
      </c>
      <c r="AH183" s="88" t="str">
        <f t="shared" si="55"/>
        <v>"%USERPROFILE%\Documents\GitHub\eaglep3\Utilities\RefineRTDCRunTimes.py" --tripid 828-24 --locoid 4043 --swversion DE.1.0.8.0 --startMP 300:58677 --initTime 2017-01-24T16:09:46 --startdatetime 2017-01-24T16:12:09 --delay 1 --endMP 204:666 --enddatetime 2017-01-24T16:26:24 --enforcementcount 0 &gt;&gt;C:\Users\stu\Documents\GitHub\eaglep3-reporting\EC\2017-01-24-refined-times.txt</v>
      </c>
      <c r="AI183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{"issue":{"subject":"","project_id":79,"tracker_id":40,"status_id":1,"priority_id":2,"assigned_to_id":23,"start_date":"2017-01-24","description":"","custom_fields":[{"id":1,"name":"Subdivision","value":"NW"},{"id":4,"name":"Milepost","value":"0.0666"},{"id":17,"name":"Train ID","value":"828-24"},{"id":16,"name":"Locomotive ID","value":"4043"},{"id":130,"name":"Impact","value":""},{"id":150,"name":"Time of Event (Mountain Time)","value":"16:26:24"},{"id":151,"name":"Denver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7"/>
        <v>start /low /b %USERPROFILE%\Documents\GitHub\eaglep3\Utilities\DownloadLogsFromS3.py --loco 4043 --day 2017-01-24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"%USERPROFILE%\AppData\Local\Temp\OnboardLogs"\RTDC4043\*4043*20170124* | grep -SE "(Enforcement Action)|(\[TIMEOUT)|(CHR.+\|PRM\|1\|D.+(SWITCH|SIGNAL).+UNKNOWN)" - &gt;&gt; 2017-01-24-UncaughtWiMAX.txt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626</v>
      </c>
      <c r="B184" s="7">
        <v>4042</v>
      </c>
      <c r="C184" s="22" t="s">
        <v>196</v>
      </c>
      <c r="D184" s="22" t="s">
        <v>445</v>
      </c>
      <c r="E184" s="13">
        <v>42759.67664351852</v>
      </c>
      <c r="F184" s="13">
        <v>42759.68141203704</v>
      </c>
      <c r="G184" s="7">
        <v>1</v>
      </c>
      <c r="H184" s="22" t="s">
        <v>446</v>
      </c>
      <c r="I184" s="13">
        <v>42759.691307870373</v>
      </c>
      <c r="J184" s="7">
        <v>0</v>
      </c>
      <c r="K184" s="105" t="str">
        <f t="shared" si="61"/>
        <v>4041/4042</v>
      </c>
      <c r="L184" s="22" t="str">
        <f>VLOOKUP(A184,'Trips&amp;Operators'!$C$1:$G$99999,5,FALSE)</f>
        <v>LEVIN SCOTT</v>
      </c>
      <c r="M184" s="6">
        <f t="shared" si="62"/>
        <v>9.8958333328482695E-3</v>
      </c>
      <c r="N184" s="7">
        <f t="shared" si="73"/>
        <v>14.249999999301508</v>
      </c>
      <c r="O184" s="7"/>
      <c r="P184" s="7"/>
      <c r="Q184" s="23"/>
      <c r="R184" s="23"/>
      <c r="S184" s="32">
        <f t="shared" si="74"/>
        <v>1</v>
      </c>
      <c r="T184" s="47" t="str">
        <f t="shared" si="63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4"/>
        <v>https://d0f6bd738d7f1b3e5a7ca70fe4ff75f0.us-east-1.aws.found.io/app/kibana#/discover/Steve-Slow-Train-Analysis-(2080s-and-2083s)?_g=(refreshInterval:(display:Off,pause:!f,section:0,value:0),time:(from:'2017-01-24T15:14:22-0700',mode:absolute,to:'2017-01-24T17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4" s="49" t="str">
        <f t="shared" si="65"/>
        <v>N</v>
      </c>
      <c r="X184" s="170">
        <f t="shared" si="77"/>
        <v>1</v>
      </c>
      <c r="Y184" s="64">
        <f t="shared" si="75"/>
        <v>9.5100000000000004E-2</v>
      </c>
      <c r="Z184" s="64">
        <f t="shared" si="76"/>
        <v>5.8933</v>
      </c>
      <c r="AA184" s="64">
        <f t="shared" si="66"/>
        <v>5.7981999999999996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67"/>
        <v>0829-24</v>
      </c>
      <c r="AE184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84" s="84" t="str">
        <f t="shared" si="69"/>
        <v>"C:\Program Files (x86)\AstroGrep\AstroGrep.exe" /spath="%USERPROFILE%\AppData\Local\Temp\OnboardLogs" /stypes="app*4042*20170124*" /stext=" 23:.+((SYSTEM_STATE.+slice.+state.+changed )|(ment ac)|(multiple cpu faults)|(system.+state.+changed )|(\[timeout)|(PRM\|1\|D)|(kpr)|(kdp)|(\|lc)|(penalty))" /e /r /s</v>
      </c>
      <c r="AG184" s="1" t="str">
        <f t="shared" si="70"/>
        <v>NW</v>
      </c>
      <c r="AH184" s="88" t="str">
        <f t="shared" si="55"/>
        <v>"%USERPROFILE%\Documents\GitHub\eaglep3\Utilities\RefineRTDCRunTimes.py" --tripid 829-24 --locoid 4042 --swversion DE.1.0.8.0 --startMP 204:951 --initTime 2017-01-24T16:14:22 --startdatetime 2017-01-24T16:21:14 --delay 1 --endMP 300:58933 --enddatetime 2017-01-24T16:35:29 --enforcementcount 0 &gt;&gt;C:\Users\stu\Documents\GitHub\eaglep3-reporting\EC\2017-01-24-refined-times.txt</v>
      </c>
      <c r="AI184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{"issue":{"subject":"","project_id":79,"tracker_id":40,"status_id":1,"priority_id":2,"assigned_to_id":23,"start_date":"2017-01-24","description":"","custom_fields":[{"id":1,"name":"Subdivision","value":"NW"},{"id":4,"name":"Milepost","value":"5.8933"},{"id":17,"name":"Train ID","value":"829-24"},{"id":16,"name":"Locomotive ID","value":"4042"},{"id":130,"name":"Impact","value":""},{"id":150,"name":"Time of Event (Mountain Time)","value":"16:35:29"},{"id":151,"name":"Denver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7"/>
        <v>start /low /b %USERPROFILE%\Documents\GitHub\eaglep3\Utilities\DownloadLogsFromS3.py --loco 4042 --day 2017-01-24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"%USERPROFILE%\AppData\Local\Temp\OnboardLogs"\RTDC4042\*4042*20170124* | grep -SE "(Enforcement Action)|(\[TIMEOUT)|(CHR.+\|PRM\|1\|D.+(SWITCH|SIGNAL).+UNKNOWN)" - &gt;&gt; 2017-01-24-UncaughtWiMAX.txt</v>
      </c>
    </row>
    <row r="185" spans="1:91" x14ac:dyDescent="0.25">
      <c r="A185" s="34" t="s">
        <v>630</v>
      </c>
      <c r="B185" s="7">
        <v>4041</v>
      </c>
      <c r="C185" s="22" t="s">
        <v>196</v>
      </c>
      <c r="D185" s="22" t="s">
        <v>443</v>
      </c>
      <c r="E185" s="13">
        <v>42759.69253472222</v>
      </c>
      <c r="F185" s="13">
        <v>42759.693784722222</v>
      </c>
      <c r="G185" s="7">
        <v>1</v>
      </c>
      <c r="H185" s="22" t="s">
        <v>843</v>
      </c>
      <c r="I185" s="13">
        <v>42759.705335648148</v>
      </c>
      <c r="J185" s="7">
        <v>0</v>
      </c>
      <c r="K185" s="105" t="str">
        <f t="shared" si="61"/>
        <v>4041/4042</v>
      </c>
      <c r="L185" s="22" t="str">
        <f>VLOOKUP(A185,'Trips&amp;Operators'!$C$1:$G$99999,5,FALSE)</f>
        <v>LEVIN SCOTT</v>
      </c>
      <c r="M185" s="6">
        <f t="shared" si="62"/>
        <v>1.1550925926712807E-2</v>
      </c>
      <c r="N185" s="7">
        <f t="shared" si="73"/>
        <v>16.633333334466442</v>
      </c>
      <c r="O185" s="7"/>
      <c r="P185" s="7"/>
      <c r="Q185" s="23"/>
      <c r="R185" s="23"/>
      <c r="S185" s="32">
        <f t="shared" si="74"/>
        <v>1</v>
      </c>
      <c r="T185" s="47" t="str">
        <f t="shared" si="63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4"/>
        <v>https://d0f6bd738d7f1b3e5a7ca70fe4ff75f0.us-east-1.aws.found.io/app/kibana#/discover/Steve-Slow-Train-Analysis-(2080s-and-2083s)?_g=(refreshInterval:(display:Off,pause:!f,section:0,value:0),time:(from:'2017-01-24T15:37:15-0700',mode:absolute,to:'2017-01-24T17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5" s="49" t="str">
        <f t="shared" si="65"/>
        <v>N</v>
      </c>
      <c r="X185" s="170">
        <f t="shared" si="77"/>
        <v>1</v>
      </c>
      <c r="Y185" s="64">
        <f t="shared" si="75"/>
        <v>5.8620999999999999</v>
      </c>
      <c r="Z185" s="64">
        <f t="shared" si="76"/>
        <v>6.3799999999999996E-2</v>
      </c>
      <c r="AA185" s="64">
        <f t="shared" si="66"/>
        <v>5.7983000000000002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67"/>
        <v>0830-24</v>
      </c>
      <c r="AE185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85" s="84" t="str">
        <f t="shared" si="69"/>
        <v>"C:\Program Files (x86)\AstroGrep\AstroGrep.exe" /spath="%USERPROFILE%\AppData\Local\Temp\OnboardLogs" /stypes="app*4041*20170124*" /stext=" 23:.+((SYSTEM_STATE.+slice.+state.+changed )|(ment ac)|(multiple cpu faults)|(system.+state.+changed )|(\[timeout)|(PRM\|1\|D)|(kpr)|(kdp)|(\|lc)|(penalty))" /e /r /s</v>
      </c>
      <c r="AG185" s="1" t="str">
        <f t="shared" si="70"/>
        <v>NW</v>
      </c>
      <c r="AH185" s="88" t="str">
        <f t="shared" si="55"/>
        <v>"%USERPROFILE%\Documents\GitHub\eaglep3\Utilities\RefineRTDCRunTimes.py" --tripid 830-24 --locoid 4041 --swversion DE.1.0.8.0 --startMP 300:58621 --initTime 2017-01-24T16:37:15 --startdatetime 2017-01-24T16:39:03 --delay 1 --endMP 204:638 --enddatetime 2017-01-24T16:55:41 --enforcementcount 0 &gt;&gt;C:\Users\stu\Documents\GitHub\eaglep3-reporting\EC\2017-01-24-refined-times.txt</v>
      </c>
      <c r="AI185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{"issue":{"subject":"","project_id":79,"tracker_id":40,"status_id":1,"priority_id":2,"assigned_to_id":23,"start_date":"2017-01-24","description":"","custom_fields":[{"id":1,"name":"Subdivision","value":"NW"},{"id":4,"name":"Milepost","value":"0.0638"},{"id":17,"name":"Train ID","value":"830-24"},{"id":16,"name":"Locomotive ID","value":"4041"},{"id":130,"name":"Impact","value":""},{"id":150,"name":"Time of Event (Mountain Time)","value":"16:55:41"},{"id":151,"name":"Denver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7"/>
        <v>start /low /b %USERPROFILE%\Documents\GitHub\eaglep3\Utilities\DownloadLogsFromS3.py --loco 4041 --day 2017-01-24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2017-01-24-UncaughtWiMAX.txt</v>
      </c>
    </row>
    <row r="186" spans="1:91" x14ac:dyDescent="0.25">
      <c r="A186" s="34" t="s">
        <v>629</v>
      </c>
      <c r="B186" s="7">
        <v>4044</v>
      </c>
      <c r="C186" s="22" t="s">
        <v>196</v>
      </c>
      <c r="D186" s="22" t="s">
        <v>844</v>
      </c>
      <c r="E186" s="13">
        <v>42759.686793981484</v>
      </c>
      <c r="F186" s="13">
        <v>42759.702569444446</v>
      </c>
      <c r="G186" s="7">
        <v>1</v>
      </c>
      <c r="H186" s="22" t="s">
        <v>841</v>
      </c>
      <c r="I186" s="13">
        <v>42759.712777777779</v>
      </c>
      <c r="J186" s="7">
        <v>0</v>
      </c>
      <c r="K186" s="105" t="str">
        <f t="shared" si="61"/>
        <v>4043/4044</v>
      </c>
      <c r="L186" s="22" t="str">
        <f>VLOOKUP(A186,'Trips&amp;Operators'!$C$1:$G$99999,5,FALSE)</f>
        <v>HILLS DUSTIN</v>
      </c>
      <c r="M186" s="6">
        <f t="shared" si="62"/>
        <v>1.0208333333139308E-2</v>
      </c>
      <c r="N186" s="7">
        <f t="shared" si="73"/>
        <v>14.699999999720603</v>
      </c>
      <c r="O186" s="7"/>
      <c r="P186" s="7"/>
      <c r="Q186" s="23"/>
      <c r="R186" s="23"/>
      <c r="S186" s="32">
        <f t="shared" si="74"/>
        <v>1</v>
      </c>
      <c r="T186" s="47" t="str">
        <f t="shared" si="63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4"/>
        <v>https://d0f6bd738d7f1b3e5a7ca70fe4ff75f0.us-east-1.aws.found.io/app/kibana#/discover/Steve-Slow-Train-Analysis-(2080s-and-2083s)?_g=(refreshInterval:(display:Off,pause:!f,section:0,value:0),time:(from:'2017-01-24T15:28:59-0700',mode:absolute,to:'2017-01-24T18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6" s="49" t="str">
        <f t="shared" si="65"/>
        <v>N</v>
      </c>
      <c r="X186" s="170">
        <f t="shared" si="77"/>
        <v>1</v>
      </c>
      <c r="Y186" s="64">
        <f t="shared" si="75"/>
        <v>9.6000000000000002E-2</v>
      </c>
      <c r="Z186" s="64">
        <f t="shared" si="76"/>
        <v>5.899</v>
      </c>
      <c r="AA186" s="64">
        <f t="shared" si="66"/>
        <v>5.8029999999999999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67"/>
        <v>0831-24</v>
      </c>
      <c r="AE186" s="87" t="str">
        <f t="shared" si="68"/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AF186" s="84" t="str">
        <f t="shared" si="69"/>
        <v>"C:\Program Files (x86)\AstroGrep\AstroGrep.exe" /spath="%USERPROFILE%\AppData\Local\Temp\OnboardLogs" /stypes="app*4044*20170125*" /stext=" 00:.+((SYSTEM_STATE.+slice.+state.+changed )|(ment ac)|(multiple cpu faults)|(system.+state.+changed )|(\[timeout)|(PRM\|1\|D)|(kpr)|(kdp)|(\|lc)|(penalty))" /e /r /s</v>
      </c>
      <c r="AG186" s="1" t="str">
        <f t="shared" si="70"/>
        <v>NW</v>
      </c>
      <c r="AH186" s="88" t="str">
        <f t="shared" si="55"/>
        <v>"%USERPROFILE%\Documents\GitHub\eaglep3\Utilities\RefineRTDCRunTimes.py" --tripid 831-24 --locoid 4044 --swversion DE.1.0.8.0 --startMP 204:960 --initTime 2017-01-24T16:28:59 --startdatetime 2017-01-24T16:51:42 --delay 1 --endMP 300:58990 --enddatetime 2017-01-24T17:06:24 --enforcementcount 0 &gt;&gt;C:\Users\stu\Documents\GitHub\eaglep3-reporting\EC\2017-01-24-refined-times.txt</v>
      </c>
      <c r="AI186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{"issue":{"subject":"","project_id":79,"tracker_id":40,"status_id":1,"priority_id":2,"assigned_to_id":23,"start_date":"2017-01-24","description":"","custom_fields":[{"id":1,"name":"Subdivision","value":"NW"},{"id":4,"name":"Milepost","value":"5.899"},{"id":17,"name":"Train ID","value":"831-24"},{"id":16,"name":"Locomotive ID","value":"4044"},{"id":130,"name":"Impact","value":""},{"id":150,"name":"Time of Event (Mountain Time)","value":"17:06:24"},{"id":151,"name":"Denver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7"/>
        <v>start /low /b %USERPROFILE%\Documents\GitHub\eaglep3\Utilities\DownloadLogsFromS3.py --loco 4044 --day 2017-01-24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"%USERPROFILE%\AppData\Local\Temp\OnboardLogs"\RTDC4044\*4044*20170124* | grep -SE "(Enforcement Action)|(\[TIMEOUT)|(CHR.+\|PRM\|1\|D.+(SWITCH|SIGNAL).+UNKNOWN)" - &gt;&gt; 2017-01-24-UncaughtWiMAX.txt</v>
      </c>
    </row>
    <row r="187" spans="1:91" x14ac:dyDescent="0.25">
      <c r="A187" s="34" t="s">
        <v>635</v>
      </c>
      <c r="B187" s="7">
        <v>4043</v>
      </c>
      <c r="C187" s="22" t="s">
        <v>196</v>
      </c>
      <c r="D187" s="22" t="s">
        <v>845</v>
      </c>
      <c r="E187" s="13">
        <v>42759.714131944442</v>
      </c>
      <c r="F187" s="13">
        <v>42759.716249999998</v>
      </c>
      <c r="G187" s="7">
        <v>1</v>
      </c>
      <c r="H187" s="22" t="s">
        <v>846</v>
      </c>
      <c r="I187" s="13">
        <v>42759.725949074076</v>
      </c>
      <c r="J187" s="7">
        <v>0</v>
      </c>
      <c r="K187" s="105" t="str">
        <f t="shared" si="61"/>
        <v>4043/4044</v>
      </c>
      <c r="L187" s="22" t="str">
        <f>VLOOKUP(A187,'Trips&amp;Operators'!$C$1:$G$99999,5,FALSE)</f>
        <v>HILLS DUSTIN</v>
      </c>
      <c r="M187" s="6">
        <f t="shared" si="62"/>
        <v>9.6990740785258822E-3</v>
      </c>
      <c r="N187" s="7">
        <f t="shared" si="73"/>
        <v>13.96666667307727</v>
      </c>
      <c r="O187" s="7"/>
      <c r="P187" s="7"/>
      <c r="Q187" s="23"/>
      <c r="R187" s="23"/>
      <c r="S187" s="32">
        <f t="shared" si="74"/>
        <v>1</v>
      </c>
      <c r="T187" s="47" t="str">
        <f t="shared" si="63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4"/>
        <v>https://d0f6bd738d7f1b3e5a7ca70fe4ff75f0.us-east-1.aws.found.io/app/kibana#/discover/Steve-Slow-Train-Analysis-(2080s-and-2083s)?_g=(refreshInterval:(display:Off,pause:!f,section:0,value:0),time:(from:'2017-01-24T16:08:21-0700',mode:absolute,to:'2017-01-24T18:25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7" s="49" t="str">
        <f t="shared" si="65"/>
        <v>N</v>
      </c>
      <c r="X187" s="170">
        <f t="shared" si="77"/>
        <v>1</v>
      </c>
      <c r="Y187" s="64">
        <f t="shared" si="75"/>
        <v>5.8674999999999997</v>
      </c>
      <c r="Z187" s="64">
        <f t="shared" si="76"/>
        <v>6.8199999999999997E-2</v>
      </c>
      <c r="AA187" s="64">
        <f t="shared" si="66"/>
        <v>5.7992999999999997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67"/>
        <v>0832-24</v>
      </c>
      <c r="AE187" s="87" t="str">
        <f t="shared" si="68"/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AF187" s="84" t="str">
        <f t="shared" si="69"/>
        <v>"C:\Program Files (x86)\AstroGrep\AstroGrep.exe" /spath="%USERPROFILE%\AppData\Local\Temp\OnboardLogs" /stypes="app*4043*20170125*" /stext=" 00:.+((SYSTEM_STATE.+slice.+state.+changed )|(ment ac)|(multiple cpu faults)|(system.+state.+changed )|(\[timeout)|(PRM\|1\|D)|(kpr)|(kdp)|(\|lc)|(penalty))" /e /r /s</v>
      </c>
      <c r="AG187" s="1" t="str">
        <f t="shared" si="70"/>
        <v>NW</v>
      </c>
      <c r="AH187" s="88" t="str">
        <f t="shared" si="55"/>
        <v>"%USERPROFILE%\Documents\GitHub\eaglep3\Utilities\RefineRTDCRunTimes.py" --tripid 832-24 --locoid 4043 --swversion DE.1.0.8.0 --startMP 300:58675 --initTime 2017-01-24T17:08:21 --startdatetime 2017-01-24T17:11:24 --delay 1 --endMP 204:682 --enddatetime 2017-01-24T17:25:22 --enforcementcount 0 &gt;&gt;C:\Users\stu\Documents\GitHub\eaglep3-reporting\EC\2017-01-24-refined-times.txt</v>
      </c>
      <c r="AI187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{"issue":{"subject":"","project_id":79,"tracker_id":40,"status_id":1,"priority_id":2,"assigned_to_id":23,"start_date":"2017-01-24","description":"","custom_fields":[{"id":1,"name":"Subdivision","value":"NW"},{"id":4,"name":"Milepost","value":"0.0682"},{"id":17,"name":"Train ID","value":"832-24"},{"id":16,"name":"Locomotive ID","value":"4043"},{"id":130,"name":"Impact","value":""},{"id":150,"name":"Time of Event (Mountain Time)","value":"17:25:22"},{"id":151,"name":"Denver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7"/>
        <v>start /low /b %USERPROFILE%\Documents\GitHub\eaglep3\Utilities\DownloadLogsFromS3.py --loco 4043 --day 2017-01-24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"%USERPROFILE%\AppData\Local\Temp\OnboardLogs"\RTDC4043\*4043*20170125* | grep -SE "(Enforcement Action)|(\[TIMEOUT)|(CHR.+\|PRM\|1\|D.+(SWITCH|SIGNAL).+UNKNOWN)" - &gt;&gt; 2017-01-24-UncaughtWiMAX.txt</v>
      </c>
    </row>
    <row r="188" spans="1:91" x14ac:dyDescent="0.25">
      <c r="A188" s="34" t="s">
        <v>639</v>
      </c>
      <c r="B188" s="7">
        <v>4042</v>
      </c>
      <c r="C188" s="22" t="s">
        <v>196</v>
      </c>
      <c r="D188" s="22" t="s">
        <v>838</v>
      </c>
      <c r="E188" s="13">
        <v>42759.719027777777</v>
      </c>
      <c r="F188" s="13">
        <v>42759.72315972222</v>
      </c>
      <c r="G188" s="7">
        <v>1</v>
      </c>
      <c r="H188" s="22" t="s">
        <v>447</v>
      </c>
      <c r="I188" s="13">
        <v>42759.733356481483</v>
      </c>
      <c r="J188" s="7">
        <v>0</v>
      </c>
      <c r="K188" s="105" t="str">
        <f t="shared" si="61"/>
        <v>4041/4042</v>
      </c>
      <c r="L188" s="22" t="str">
        <f>VLOOKUP(A188,'Trips&amp;Operators'!$C$1:$G$99999,5,FALSE)</f>
        <v>LEVIN SCOTT</v>
      </c>
      <c r="M188" s="6">
        <f t="shared" si="62"/>
        <v>1.0196759263635613E-2</v>
      </c>
      <c r="N188" s="7">
        <f t="shared" si="73"/>
        <v>14.683333339635283</v>
      </c>
      <c r="O188" s="7"/>
      <c r="P188" s="7"/>
      <c r="Q188" s="23"/>
      <c r="R188" s="23"/>
      <c r="S188" s="32">
        <f t="shared" si="74"/>
        <v>1</v>
      </c>
      <c r="T188" s="47" t="str">
        <f t="shared" si="63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4"/>
        <v>https://d0f6bd738d7f1b3e5a7ca70fe4ff75f0.us-east-1.aws.found.io/app/kibana#/discover/Steve-Slow-Train-Analysis-(2080s-and-2083s)?_g=(refreshInterval:(display:Off,pause:!f,section:0,value:0),time:(from:'2017-01-24T16:15:24-0700',mode:absolute,to:'2017-01-24T18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8" s="49" t="str">
        <f t="shared" si="65"/>
        <v>N</v>
      </c>
      <c r="X188" s="170">
        <f t="shared" si="77"/>
        <v>1</v>
      </c>
      <c r="Y188" s="64">
        <f t="shared" si="75"/>
        <v>9.5500000000000002E-2</v>
      </c>
      <c r="Z188" s="64">
        <f t="shared" si="76"/>
        <v>5.8924000000000003</v>
      </c>
      <c r="AA188" s="64">
        <f t="shared" si="66"/>
        <v>5.7968999999999999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67"/>
        <v>0833-24</v>
      </c>
      <c r="AE188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88" s="84" t="str">
        <f t="shared" si="69"/>
        <v>"C:\Program Files (x86)\AstroGrep\AstroGrep.exe" /spath="%USERPROFILE%\AppData\Local\Temp\OnboardLogs" /stypes="app*4042*20170125*" /stext=" 00:.+((SYSTEM_STATE.+slice.+state.+changed )|(ment ac)|(multiple cpu faults)|(system.+state.+changed )|(\[timeout)|(PRM\|1\|D)|(kpr)|(kdp)|(\|lc)|(penalty))" /e /r /s</v>
      </c>
      <c r="AG188" s="1" t="str">
        <f t="shared" si="70"/>
        <v>NW</v>
      </c>
      <c r="AH188" s="88" t="str">
        <f t="shared" si="55"/>
        <v>"%USERPROFILE%\Documents\GitHub\eaglep3\Utilities\RefineRTDCRunTimes.py" --tripid 833-24 --locoid 4042 --swversion DE.1.0.8.0 --startMP 204:955 --initTime 2017-01-24T17:15:24 --startdatetime 2017-01-24T17:21:21 --delay 1 --endMP 300:58924 --enddatetime 2017-01-24T17:36:02 --enforcementcount 0 &gt;&gt;C:\Users\stu\Documents\GitHub\eaglep3-reporting\EC\2017-01-24-refined-times.txt</v>
      </c>
      <c r="AI188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{"issue":{"subject":"","project_id":79,"tracker_id":40,"status_id":1,"priority_id":2,"assigned_to_id":23,"start_date":"2017-01-24","description":"","custom_fields":[{"id":1,"name":"Subdivision","value":"NW"},{"id":4,"name":"Milepost","value":"5.8924"},{"id":17,"name":"Train ID","value":"833-24"},{"id":16,"name":"Locomotive ID","value":"4042"},{"id":130,"name":"Impact","value":""},{"id":150,"name":"Time of Event (Mountain Time)","value":"17:36:02"},{"id":151,"name":"Denver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7"/>
        <v>start /low /b %USERPROFILE%\Documents\GitHub\eaglep3\Utilities\DownloadLogsFromS3.py --loco 4042 --day 2017-01-24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2017-01-24-UncaughtWiMAX.txt</v>
      </c>
    </row>
    <row r="189" spans="1:91" s="21" customFormat="1" x14ac:dyDescent="0.25">
      <c r="A189" s="34" t="s">
        <v>643</v>
      </c>
      <c r="B189" s="7">
        <v>4041</v>
      </c>
      <c r="C189" s="22" t="s">
        <v>196</v>
      </c>
      <c r="D189" s="22" t="s">
        <v>443</v>
      </c>
      <c r="E189" s="13">
        <v>42759.7346412037</v>
      </c>
      <c r="F189" s="13">
        <v>42759.735995370371</v>
      </c>
      <c r="G189" s="7">
        <v>1</v>
      </c>
      <c r="H189" s="22" t="s">
        <v>847</v>
      </c>
      <c r="I189" s="13">
        <v>42759.752453703702</v>
      </c>
      <c r="J189" s="7">
        <v>0</v>
      </c>
      <c r="K189" s="105" t="str">
        <f t="shared" si="61"/>
        <v>4041/4042</v>
      </c>
      <c r="L189" s="22" t="str">
        <f>VLOOKUP(A189,'Trips&amp;Operators'!$C$1:$G$99999,5,FALSE)</f>
        <v>LEVIN SCOTT</v>
      </c>
      <c r="M189" s="6">
        <f t="shared" si="62"/>
        <v>1.6458333331684116E-2</v>
      </c>
      <c r="N189" s="7">
        <f t="shared" si="73"/>
        <v>23.699999997625127</v>
      </c>
      <c r="O189" s="7"/>
      <c r="P189" s="7"/>
      <c r="Q189" s="23"/>
      <c r="R189" s="23"/>
      <c r="S189" s="32">
        <f t="shared" si="74"/>
        <v>1</v>
      </c>
      <c r="T189" s="47" t="str">
        <f t="shared" si="63"/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4"/>
        <v>https://d0f6bd738d7f1b3e5a7ca70fe4ff75f0.us-east-1.aws.found.io/app/kibana#/discover/Steve-Slow-Train-Analysis-(2080s-and-2083s)?_g=(refreshInterval:(display:Off,pause:!f,section:0,value:0),time:(from:'2017-01-24T16:37:53-0700',mode:absolute,to:'2017-01-24T19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9" s="49" t="str">
        <f t="shared" si="65"/>
        <v>N</v>
      </c>
      <c r="X189" s="170">
        <f t="shared" si="77"/>
        <v>1</v>
      </c>
      <c r="Y189" s="64">
        <f t="shared" si="75"/>
        <v>5.8620999999999999</v>
      </c>
      <c r="Z189" s="64">
        <f t="shared" si="76"/>
        <v>6.7799999999999999E-2</v>
      </c>
      <c r="AA189" s="64">
        <f t="shared" si="66"/>
        <v>5.7942999999999998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67"/>
        <v>0834-24</v>
      </c>
      <c r="AE189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89" s="84" t="str">
        <f t="shared" si="69"/>
        <v>"C:\Program Files (x86)\AstroGrep\AstroGrep.exe" /spath="%USERPROFILE%\AppData\Local\Temp\OnboardLogs" /stypes="app*4041*20170125*" /stext=" 01:.+((SYSTEM_STATE.+slice.+state.+changed )|(ment ac)|(multiple cpu faults)|(system.+state.+changed )|(\[timeout)|(PRM\|1\|D)|(kpr)|(kdp)|(\|lc)|(penalty))" /e /r /s</v>
      </c>
      <c r="AG189" s="1" t="str">
        <f t="shared" si="70"/>
        <v>NW</v>
      </c>
      <c r="AH189" s="88" t="str">
        <f t="shared" si="55"/>
        <v>"%USERPROFILE%\Documents\GitHub\eaglep3\Utilities\RefineRTDCRunTimes.py" --tripid 834-24 --locoid 4041 --swversion DE.1.0.8.0 --startMP 300:58621 --initTime 2017-01-24T17:37:53 --startdatetime 2017-01-24T17:39:50 --delay 1 --endMP 204:678 --enddatetime 2017-01-24T18:03:32 --enforcementcount 0 &gt;&gt;C:\Users\stu\Documents\GitHub\eaglep3-reporting\EC\2017-01-24-refined-times.txt</v>
      </c>
      <c r="AI189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{"issue":{"subject":"","project_id":79,"tracker_id":40,"status_id":1,"priority_id":2,"assigned_to_id":23,"start_date":"2017-01-24","description":"","custom_fields":[{"id":1,"name":"Subdivision","value":"NW"},{"id":4,"name":"Milepost","value":"0.0678"},{"id":17,"name":"Train ID","value":"834-24"},{"id":16,"name":"Locomotive ID","value":"4041"},{"id":130,"name":"Impact","value":""},{"id":150,"name":"Time of Event (Mountain Time)","value":"18:03:32"},{"id":151,"name":"Denver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7"/>
        <v>start /low /b %USERPROFILE%\Documents\GitHub\eaglep3\Utilities\DownloadLogsFromS3.py --loco 4041 --day 2017-01-24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2017-01-24-UncaughtWiMAX.txt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4" t="s">
        <v>480</v>
      </c>
      <c r="B190" s="7">
        <v>4044</v>
      </c>
      <c r="C190" s="22" t="s">
        <v>196</v>
      </c>
      <c r="D190" s="22" t="s">
        <v>374</v>
      </c>
      <c r="E190" s="13">
        <v>42759.727789351855</v>
      </c>
      <c r="F190" s="13">
        <v>42759.743981481479</v>
      </c>
      <c r="G190" s="7">
        <v>1</v>
      </c>
      <c r="H190" s="22" t="s">
        <v>848</v>
      </c>
      <c r="I190" s="13">
        <v>42759.755578703705</v>
      </c>
      <c r="J190" s="7">
        <v>0</v>
      </c>
      <c r="K190" s="105" t="str">
        <f t="shared" si="61"/>
        <v>4043/4044</v>
      </c>
      <c r="L190" s="22" t="str">
        <f>VLOOKUP(A190,'Trips&amp;Operators'!$C$1:$G$99999,5,FALSE)</f>
        <v>HILLS DUSTIN</v>
      </c>
      <c r="M190" s="6">
        <f t="shared" si="62"/>
        <v>1.1597222226555459E-2</v>
      </c>
      <c r="N190" s="7">
        <f t="shared" si="73"/>
        <v>16.700000006239861</v>
      </c>
      <c r="O190" s="7"/>
      <c r="P190" s="7"/>
      <c r="Q190" s="23"/>
      <c r="R190" s="23"/>
      <c r="S190" s="32">
        <f t="shared" si="74"/>
        <v>1</v>
      </c>
      <c r="T190" s="47" t="str">
        <f t="shared" si="63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64"/>
        <v>https://d0f6bd738d7f1b3e5a7ca70fe4ff75f0.us-east-1.aws.found.io/app/kibana#/discover/Steve-Slow-Train-Analysis-(2080s-and-2083s)?_g=(refreshInterval:(display:Off,pause:!f,section:0,value:0),time:(from:'2017-01-24T16:28:01-0700',mode:absolute,to:'2017-01-24T19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0" s="49" t="str">
        <f t="shared" si="65"/>
        <v>N</v>
      </c>
      <c r="X190" s="170">
        <f t="shared" si="77"/>
        <v>1</v>
      </c>
      <c r="Y190" s="64">
        <f t="shared" si="75"/>
        <v>9.6199999999999994E-2</v>
      </c>
      <c r="Z190" s="64">
        <f t="shared" si="76"/>
        <v>5.8983999999999996</v>
      </c>
      <c r="AA190" s="64">
        <f t="shared" si="66"/>
        <v>5.8022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67"/>
        <v>0835-24</v>
      </c>
      <c r="AE190" s="87" t="str">
        <f t="shared" si="68"/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AF190" s="84" t="str">
        <f t="shared" si="69"/>
        <v>"C:\Program Files (x86)\AstroGrep\AstroGrep.exe" /spath="%USERPROFILE%\AppData\Local\Temp\OnboardLogs" /stypes="app*4044*20170125*" /stext=" 01:.+((SYSTEM_STATE.+slice.+state.+changed )|(ment ac)|(multiple cpu faults)|(system.+state.+changed )|(\[timeout)|(PRM\|1\|D)|(kpr)|(kdp)|(\|lc)|(penalty))" /e /r /s</v>
      </c>
      <c r="AG190" s="1" t="str">
        <f t="shared" si="70"/>
        <v>NW</v>
      </c>
      <c r="AH190" s="88" t="str">
        <f t="shared" si="55"/>
        <v>"%USERPROFILE%\Documents\GitHub\eaglep3\Utilities\RefineRTDCRunTimes.py" --tripid 835-24 --locoid 4044 --swversion DE.1.0.8.0 --startMP 204:962 --initTime 2017-01-24T17:28:01 --startdatetime 2017-01-24T17:51:20 --delay 1 --endMP 300:58984 --enddatetime 2017-01-24T18:08:02 --enforcementcount 0 &gt;&gt;C:\Users\stu\Documents\GitHub\eaglep3-reporting\EC\2017-01-24-refined-times.txt</v>
      </c>
      <c r="AI190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{"issue":{"subject":"","project_id":79,"tracker_id":40,"status_id":1,"priority_id":2,"assigned_to_id":23,"start_date":"2017-01-24","description":"","custom_fields":[{"id":1,"name":"Subdivision","value":"NW"},{"id":4,"name":"Milepost","value":"5.8984"},{"id":17,"name":"Train ID","value":"835-24"},{"id":16,"name":"Locomotive ID","value":"4044"},{"id":130,"name":"Impact","value":""},{"id":150,"name":"Time of Event (Mountain Time)","value":"18:08:02"},{"id":151,"name":"Denver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7"/>
        <v>start /low /b %USERPROFILE%\Documents\GitHub\eaglep3\Utilities\DownloadLogsFromS3.py --loco 4044 --day 2017-01-24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"%USERPROFILE%\AppData\Local\Temp\OnboardLogs"\RTDC4044\*4044*20170125* | grep -SE "(Enforcement Action)|(\[TIMEOUT)|(CHR.+\|PRM\|1\|D.+(SWITCH|SIGNAL).+UNKNOWN)" - &gt;&gt; 2017-01-24-UncaughtWiMAX.txt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482</v>
      </c>
      <c r="B191" s="7">
        <v>4043</v>
      </c>
      <c r="C191" s="22" t="s">
        <v>196</v>
      </c>
      <c r="D191" s="22" t="s">
        <v>849</v>
      </c>
      <c r="E191" s="13">
        <v>42759.757106481484</v>
      </c>
      <c r="F191" s="13">
        <v>42759.758530092593</v>
      </c>
      <c r="G191" s="7">
        <v>1</v>
      </c>
      <c r="H191" s="22" t="s">
        <v>850</v>
      </c>
      <c r="I191" s="13">
        <v>42759.768483796295</v>
      </c>
      <c r="J191" s="7">
        <v>0</v>
      </c>
      <c r="K191" s="105" t="str">
        <f t="shared" si="61"/>
        <v>4043/4044</v>
      </c>
      <c r="L191" s="22" t="str">
        <f>VLOOKUP(A191,'Trips&amp;Operators'!$C$1:$G$99999,5,FALSE)</f>
        <v>HILLS DUSTIN</v>
      </c>
      <c r="M191" s="6">
        <f t="shared" si="62"/>
        <v>9.9537037021946162E-3</v>
      </c>
      <c r="N191" s="7">
        <f t="shared" si="73"/>
        <v>14.333333331160247</v>
      </c>
      <c r="O191" s="7"/>
      <c r="P191" s="7"/>
      <c r="Q191" s="23"/>
      <c r="R191" s="23"/>
      <c r="S191" s="32">
        <f t="shared" si="74"/>
        <v>1</v>
      </c>
      <c r="T191" s="47" t="str">
        <f t="shared" si="63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4"/>
        <v>https://d0f6bd738d7f1b3e5a7ca70fe4ff75f0.us-east-1.aws.found.io/app/kibana#/discover/Steve-Slow-Train-Analysis-(2080s-and-2083s)?_g=(refreshInterval:(display:Off,pause:!f,section:0,value:0),time:(from:'2017-01-24T17:10:14-0700',mode:absolute,to:'2017-01-24T19:26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1" s="49" t="str">
        <f t="shared" si="65"/>
        <v>N</v>
      </c>
      <c r="X191" s="170">
        <f t="shared" si="77"/>
        <v>1</v>
      </c>
      <c r="Y191" s="64">
        <f t="shared" si="75"/>
        <v>5.8673000000000002</v>
      </c>
      <c r="Z191" s="64">
        <f t="shared" si="76"/>
        <v>6.2799999999999995E-2</v>
      </c>
      <c r="AA191" s="64">
        <f t="shared" si="66"/>
        <v>5.8045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67"/>
        <v>0836-24</v>
      </c>
      <c r="AE191" s="87" t="str">
        <f t="shared" si="68"/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AF191" s="84" t="str">
        <f t="shared" si="69"/>
        <v>"C:\Program Files (x86)\AstroGrep\AstroGrep.exe" /spath="%USERPROFILE%\AppData\Local\Temp\OnboardLogs" /stypes="app*4043*20170125*" /stext=" 01:.+((SYSTEM_STATE.+slice.+state.+changed )|(ment ac)|(multiple cpu faults)|(system.+state.+changed )|(\[timeout)|(PRM\|1\|D)|(kpr)|(kdp)|(\|lc)|(penalty))" /e /r /s</v>
      </c>
      <c r="AG191" s="1" t="str">
        <f t="shared" si="70"/>
        <v>NW</v>
      </c>
      <c r="AH191" s="88" t="str">
        <f t="shared" si="55"/>
        <v>"%USERPROFILE%\Documents\GitHub\eaglep3\Utilities\RefineRTDCRunTimes.py" --tripid 836-24 --locoid 4043 --swversion DE.1.0.8.0 --startMP 300:58673 --initTime 2017-01-24T18:10:14 --startdatetime 2017-01-24T18:12:17 --delay 1 --endMP 204:628 --enddatetime 2017-01-24T18:26:37 --enforcementcount 0 &gt;&gt;C:\Users\stu\Documents\GitHub\eaglep3-reporting\EC\2017-01-24-refined-times.txt</v>
      </c>
      <c r="AI191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{"issue":{"subject":"","project_id":79,"tracker_id":40,"status_id":1,"priority_id":2,"assigned_to_id":23,"start_date":"2017-01-24","description":"","custom_fields":[{"id":1,"name":"Subdivision","value":"NW"},{"id":4,"name":"Milepost","value":"0.0628"},{"id":17,"name":"Train ID","value":"836-24"},{"id":16,"name":"Locomotive ID","value":"4043"},{"id":130,"name":"Impact","value":""},{"id":150,"name":"Time of Event (Mountain Time)","value":"18:26:37"},{"id":151,"name":"Denver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7"/>
        <v>start /low /b %USERPROFILE%\Documents\GitHub\eaglep3\Utilities\DownloadLogsFromS3.py --loco 4043 --day 2017-01-24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"%USERPROFILE%\AppData\Local\Temp\OnboardLogs"\RTDC4043\*4043*20170125* | grep -SE "(Enforcement Action)|(\[TIMEOUT)|(CHR.+\|PRM\|1\|D.+(SWITCH|SIGNAL).+UNKNOWN)" - &gt;&gt; 2017-01-24-UncaughtWiMAX.txt</v>
      </c>
    </row>
    <row r="192" spans="1:91" x14ac:dyDescent="0.25">
      <c r="A192" s="34" t="s">
        <v>650</v>
      </c>
      <c r="B192" s="7">
        <v>4042</v>
      </c>
      <c r="C192" s="22" t="s">
        <v>196</v>
      </c>
      <c r="D192" s="22" t="s">
        <v>442</v>
      </c>
      <c r="E192" s="13">
        <v>42759.761296296296</v>
      </c>
      <c r="F192" s="13">
        <v>42759.764791666668</v>
      </c>
      <c r="G192" s="7">
        <v>2</v>
      </c>
      <c r="H192" s="22" t="s">
        <v>820</v>
      </c>
      <c r="I192" s="13">
        <v>42759.774548611109</v>
      </c>
      <c r="J192" s="7">
        <v>0</v>
      </c>
      <c r="K192" s="105" t="str">
        <f t="shared" si="61"/>
        <v>4041/4042</v>
      </c>
      <c r="L192" s="22" t="str">
        <f>VLOOKUP(A192,'Trips&amp;Operators'!$C$1:$G$99999,5,FALSE)</f>
        <v>LEVIN SCOTT</v>
      </c>
      <c r="M192" s="6">
        <f t="shared" si="62"/>
        <v>9.7569444405962713E-3</v>
      </c>
      <c r="N192" s="7">
        <f t="shared" si="73"/>
        <v>14.049999994458631</v>
      </c>
      <c r="O192" s="7"/>
      <c r="P192" s="7"/>
      <c r="Q192" s="23"/>
      <c r="R192" s="23"/>
      <c r="S192" s="32">
        <f t="shared" si="74"/>
        <v>1</v>
      </c>
      <c r="T192" s="47" t="str">
        <f t="shared" si="63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4"/>
        <v>https://d0f6bd738d7f1b3e5a7ca70fe4ff75f0.us-east-1.aws.found.io/app/kibana#/discover/Steve-Slow-Train-Analysis-(2080s-and-2083s)?_g=(refreshInterval:(display:Off,pause:!f,section:0,value:0),time:(from:'2017-01-24T17:16:16-0700',mode:absolute,to:'2017-01-24T19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2" s="49" t="str">
        <f t="shared" si="65"/>
        <v>N</v>
      </c>
      <c r="X192" s="170">
        <f t="shared" si="77"/>
        <v>1</v>
      </c>
      <c r="Y192" s="64">
        <f t="shared" si="75"/>
        <v>9.5299999999999996E-2</v>
      </c>
      <c r="Z192" s="64">
        <f t="shared" si="76"/>
        <v>5.8935000000000004</v>
      </c>
      <c r="AA192" s="64">
        <f t="shared" si="66"/>
        <v>5.7982000000000005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67"/>
        <v>0837-24</v>
      </c>
      <c r="AE192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92" s="84" t="str">
        <f t="shared" si="69"/>
        <v>"C:\Program Files (x86)\AstroGrep\AstroGrep.exe" /spath="%USERPROFILE%\AppData\Local\Temp\OnboardLogs" /stypes="app*4042*20170125*" /stext=" 01:.+((SYSTEM_STATE.+slice.+state.+changed )|(ment ac)|(multiple cpu faults)|(system.+state.+changed )|(\[timeout)|(PRM\|1\|D)|(kpr)|(kdp)|(\|lc)|(penalty))" /e /r /s</v>
      </c>
      <c r="AG192" s="1" t="str">
        <f t="shared" si="70"/>
        <v>NW</v>
      </c>
      <c r="AH192" s="88" t="str">
        <f t="shared" si="55"/>
        <v>"%USERPROFILE%\Documents\GitHub\eaglep3\Utilities\RefineRTDCRunTimes.py" --tripid 837-24 --locoid 4042 --swversion DE.1.0.8.0 --startMP 204:953 --initTime 2017-01-24T18:16:16 --startdatetime 2017-01-24T18:21:18 --delay 2 --endMP 300:58935 --enddatetime 2017-01-24T18:35:21 --enforcementcount 0 &gt;&gt;C:\Users\stu\Documents\GitHub\eaglep3-reporting\EC\2017-01-24-refined-times.txt</v>
      </c>
      <c r="AI192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{"issue":{"subject":"","project_id":79,"tracker_id":40,"status_id":1,"priority_id":2,"assigned_to_id":23,"start_date":"2017-01-24","description":"","custom_fields":[{"id":1,"name":"Subdivision","value":"NW"},{"id":4,"name":"Milepost","value":"5.8935"},{"id":17,"name":"Train ID","value":"837-24"},{"id":16,"name":"Locomotive ID","value":"4042"},{"id":130,"name":"Impact","value":""},{"id":150,"name":"Time of Event (Mountain Time)","value":"18:35:21"},{"id":151,"name":"Denver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7"/>
        <v>start /low /b %USERPROFILE%\Documents\GitHub\eaglep3\Utilities\DownloadLogsFromS3.py --loco 4042 --day 2017-01-24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2017-01-24-UncaughtWiMAX.txt</v>
      </c>
    </row>
    <row r="193" spans="1:91" x14ac:dyDescent="0.25">
      <c r="A193" s="34" t="s">
        <v>655</v>
      </c>
      <c r="B193" s="7">
        <v>4041</v>
      </c>
      <c r="C193" s="22" t="s">
        <v>196</v>
      </c>
      <c r="D193" s="22" t="s">
        <v>278</v>
      </c>
      <c r="E193" s="13">
        <v>42759.775567129633</v>
      </c>
      <c r="F193" s="13">
        <v>42759.777129629627</v>
      </c>
      <c r="G193" s="7">
        <v>1</v>
      </c>
      <c r="H193" s="22" t="s">
        <v>851</v>
      </c>
      <c r="I193" s="13">
        <v>42759.788819444446</v>
      </c>
      <c r="J193" s="7">
        <v>0</v>
      </c>
      <c r="K193" s="105" t="str">
        <f t="shared" si="61"/>
        <v>4041/4042</v>
      </c>
      <c r="L193" s="22" t="str">
        <f>VLOOKUP(A193,'Trips&amp;Operators'!$C$1:$G$99999,5,FALSE)</f>
        <v>LEVIN SCOTT</v>
      </c>
      <c r="M193" s="6">
        <f t="shared" si="62"/>
        <v>1.1689814818964805E-2</v>
      </c>
      <c r="N193" s="7">
        <f t="shared" si="73"/>
        <v>16.83333333930932</v>
      </c>
      <c r="O193" s="7"/>
      <c r="P193" s="7"/>
      <c r="Q193" s="23"/>
      <c r="R193" s="23"/>
      <c r="S193" s="32">
        <f t="shared" si="74"/>
        <v>1</v>
      </c>
      <c r="T193" s="47" t="str">
        <f t="shared" si="63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4"/>
        <v>https://d0f6bd738d7f1b3e5a7ca70fe4ff75f0.us-east-1.aws.found.io/app/kibana#/discover/Steve-Slow-Train-Analysis-(2080s-and-2083s)?_g=(refreshInterval:(display:Off,pause:!f,section:0,value:0),time:(from:'2017-01-24T17:36:49-0700',mode:absolute,to:'2017-01-24T19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3" s="49" t="str">
        <f t="shared" si="65"/>
        <v>N</v>
      </c>
      <c r="X193" s="170">
        <f t="shared" si="77"/>
        <v>1</v>
      </c>
      <c r="Y193" s="64">
        <f t="shared" si="75"/>
        <v>5.8616999999999999</v>
      </c>
      <c r="Z193" s="64">
        <f t="shared" si="76"/>
        <v>6.8699999999999997E-2</v>
      </c>
      <c r="AA193" s="64">
        <f t="shared" si="66"/>
        <v>5.7930000000000001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67"/>
        <v>0838-24</v>
      </c>
      <c r="AE193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93" s="84" t="str">
        <f t="shared" si="69"/>
        <v>"C:\Program Files (x86)\AstroGrep\AstroGrep.exe" /spath="%USERPROFILE%\AppData\Local\Temp\OnboardLogs" /stypes="app*4041*20170125*" /stext=" 01:.+((SYSTEM_STATE.+slice.+state.+changed )|(ment ac)|(multiple cpu faults)|(system.+state.+changed )|(\[timeout)|(PRM\|1\|D)|(kpr)|(kdp)|(\|lc)|(penalty))" /e /r /s</v>
      </c>
      <c r="AG193" s="1" t="str">
        <f t="shared" si="70"/>
        <v>NW</v>
      </c>
      <c r="AH193" s="88" t="str">
        <f t="shared" si="55"/>
        <v>"%USERPROFILE%\Documents\GitHub\eaglep3\Utilities\RefineRTDCRunTimes.py" --tripid 838-24 --locoid 4041 --swversion DE.1.0.8.0 --startMP 300:58617 --initTime 2017-01-24T18:36:49 --startdatetime 2017-01-24T18:39:04 --delay 1 --endMP 204:687 --enddatetime 2017-01-24T18:55:54 --enforcementcount 0 &gt;&gt;C:\Users\stu\Documents\GitHub\eaglep3-reporting\EC\2017-01-24-refined-times.txt</v>
      </c>
      <c r="AI193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{"issue":{"subject":"","project_id":79,"tracker_id":40,"status_id":1,"priority_id":2,"assigned_to_id":23,"start_date":"2017-01-24","description":"","custom_fields":[{"id":1,"name":"Subdivision","value":"NW"},{"id":4,"name":"Milepost","value":"0.0687"},{"id":17,"name":"Train ID","value":"838-24"},{"id":16,"name":"Locomotive ID","value":"4041"},{"id":130,"name":"Impact","value":""},{"id":150,"name":"Time of Event (Mountain Time)","value":"18:55:54"},{"id":151,"name":"Denver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7"/>
        <v>start /low /b %USERPROFILE%\Documents\GitHub\eaglep3\Utilities\DownloadLogsFromS3.py --loco 4041 --day 2017-01-24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2017-01-24-UncaughtWiMAX.txt</v>
      </c>
    </row>
    <row r="194" spans="1:91" s="21" customFormat="1" x14ac:dyDescent="0.25">
      <c r="A194" s="34" t="s">
        <v>484</v>
      </c>
      <c r="B194" s="7">
        <v>4044</v>
      </c>
      <c r="C194" s="22" t="s">
        <v>196</v>
      </c>
      <c r="D194" s="22" t="s">
        <v>838</v>
      </c>
      <c r="E194" s="13">
        <v>42759.769861111112</v>
      </c>
      <c r="F194" s="13">
        <v>42759.785543981481</v>
      </c>
      <c r="G194" s="7">
        <v>1</v>
      </c>
      <c r="H194" s="22" t="s">
        <v>852</v>
      </c>
      <c r="I194" s="13">
        <v>42759.79583333333</v>
      </c>
      <c r="J194" s="7">
        <v>0</v>
      </c>
      <c r="K194" s="105" t="str">
        <f t="shared" si="61"/>
        <v>4043/4044</v>
      </c>
      <c r="L194" s="22" t="str">
        <f>VLOOKUP(A194,'Trips&amp;Operators'!$C$1:$G$99999,5,FALSE)</f>
        <v>HILLS DUSTIN</v>
      </c>
      <c r="M194" s="6">
        <f t="shared" si="62"/>
        <v>1.0289351848769002E-2</v>
      </c>
      <c r="N194" s="7">
        <f t="shared" si="73"/>
        <v>14.816666662227362</v>
      </c>
      <c r="O194" s="7"/>
      <c r="P194" s="7"/>
      <c r="Q194" s="23"/>
      <c r="R194" s="23"/>
      <c r="S194" s="32">
        <f t="shared" si="74"/>
        <v>1</v>
      </c>
      <c r="T194" s="47" t="str">
        <f t="shared" si="63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4"/>
        <v>https://d0f6bd738d7f1b3e5a7ca70fe4ff75f0.us-east-1.aws.found.io/app/kibana#/discover/Steve-Slow-Train-Analysis-(2080s-and-2083s)?_g=(refreshInterval:(display:Off,pause:!f,section:0,value:0),time:(from:'2017-01-24T17:28:36-0700',mode:absolute,to:'2017-01-24T20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49" t="str">
        <f t="shared" si="65"/>
        <v>N</v>
      </c>
      <c r="X194" s="170">
        <f t="shared" si="77"/>
        <v>1</v>
      </c>
      <c r="Y194" s="64">
        <f t="shared" si="75"/>
        <v>9.5500000000000002E-2</v>
      </c>
      <c r="Z194" s="64">
        <f t="shared" si="76"/>
        <v>5.9002999999999997</v>
      </c>
      <c r="AA194" s="64">
        <f t="shared" si="66"/>
        <v>5.8047999999999993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67"/>
        <v>0839-24</v>
      </c>
      <c r="AE194" s="87" t="str">
        <f t="shared" si="68"/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AF194" s="84" t="str">
        <f t="shared" si="69"/>
        <v>"C:\Program Files (x86)\AstroGrep\AstroGrep.exe" /spath="%USERPROFILE%\AppData\Local\Temp\OnboardLogs" /stypes="app*4044*20170125*" /stext=" 02:.+((SYSTEM_STATE.+slice.+state.+changed )|(ment ac)|(multiple cpu faults)|(system.+state.+changed )|(\[timeout)|(PRM\|1\|D)|(kpr)|(kdp)|(\|lc)|(penalty))" /e /r /s</v>
      </c>
      <c r="AG194" s="1" t="str">
        <f t="shared" si="70"/>
        <v>NW</v>
      </c>
      <c r="AH194" s="88" t="str">
        <f t="shared" si="55"/>
        <v>"%USERPROFILE%\Documents\GitHub\eaglep3\Utilities\RefineRTDCRunTimes.py" --tripid 839-24 --locoid 4044 --swversion DE.1.0.8.0 --startMP 204:955 --initTime 2017-01-24T18:28:36 --startdatetime 2017-01-24T18:51:11 --delay 1 --endMP 300:59003 --enddatetime 2017-01-24T19:06:00 --enforcementcount 0 &gt;&gt;C:\Users\stu\Documents\GitHub\eaglep3-reporting\EC\2017-01-24-refined-times.txt</v>
      </c>
      <c r="AI194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{"issue":{"subject":"","project_id":79,"tracker_id":40,"status_id":1,"priority_id":2,"assigned_to_id":23,"start_date":"2017-01-24","description":"","custom_fields":[{"id":1,"name":"Subdivision","value":"NW"},{"id":4,"name":"Milepost","value":"5.9003"},{"id":17,"name":"Train ID","value":"839-24"},{"id":16,"name":"Locomotive ID","value":"4044"},{"id":130,"name":"Impact","value":""},{"id":150,"name":"Time of Event (Mountain Time)","value":"19:06:00"},{"id":151,"name":"Denver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7"/>
        <v>start /low /b %USERPROFILE%\Documents\GitHub\eaglep3\Utilities\DownloadLogsFromS3.py --loco 4044 --day 2017-01-24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"%USERPROFILE%\AppData\Local\Temp\OnboardLogs"\RTDC4044\*4044*20170125* | grep -SE "(Enforcement Action)|(\[TIMEOUT)|(CHR.+\|PRM\|1\|D.+(SWITCH|SIGNAL).+UNKNOWN)" - &gt;&gt; 2017-01-24-UncaughtWiMAX.txt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4" t="s">
        <v>486</v>
      </c>
      <c r="B195" s="7">
        <v>4041</v>
      </c>
      <c r="C195" s="22" t="s">
        <v>196</v>
      </c>
      <c r="D195" s="22" t="s">
        <v>448</v>
      </c>
      <c r="E195" s="13">
        <v>42759.817060185182</v>
      </c>
      <c r="F195" s="13">
        <v>42759.818472222221</v>
      </c>
      <c r="G195" s="7">
        <v>0</v>
      </c>
      <c r="H195" s="22" t="s">
        <v>371</v>
      </c>
      <c r="I195" s="13">
        <v>42759.831631944442</v>
      </c>
      <c r="J195" s="7">
        <v>0</v>
      </c>
      <c r="K195" s="105" t="str">
        <f t="shared" si="61"/>
        <v>4041/4042</v>
      </c>
      <c r="L195" s="22" t="str">
        <f>VLOOKUP(A195,'Trips&amp;Operators'!$C$1:$G$99999,5,FALSE)</f>
        <v>LEVIN SCOTT</v>
      </c>
      <c r="M195" s="6">
        <f t="shared" si="62"/>
        <v>1.3159722220734693E-2</v>
      </c>
      <c r="N195" s="7">
        <f t="shared" si="73"/>
        <v>18.949999997857958</v>
      </c>
      <c r="O195" s="7"/>
      <c r="P195" s="7"/>
      <c r="Q195" s="23"/>
      <c r="R195" s="23"/>
      <c r="S195" s="32">
        <f t="shared" si="74"/>
        <v>1</v>
      </c>
      <c r="T195" s="47" t="str">
        <f t="shared" si="63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4"/>
        <v>https://d0f6bd738d7f1b3e5a7ca70fe4ff75f0.us-east-1.aws.found.io/app/kibana#/discover/Steve-Slow-Train-Analysis-(2080s-and-2083s)?_g=(refreshInterval:(display:Off,pause:!f,section:0,value:0),time:(from:'2017-01-24T18:36:34-0700',mode:absolute,to:'2017-01-24T20:57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49" t="str">
        <f t="shared" si="65"/>
        <v>N</v>
      </c>
      <c r="X195" s="170">
        <f t="shared" si="77"/>
        <v>1</v>
      </c>
      <c r="Y195" s="64">
        <f t="shared" si="75"/>
        <v>5.8611000000000004</v>
      </c>
      <c r="Z195" s="64">
        <f t="shared" si="76"/>
        <v>7.6600000000000001E-2</v>
      </c>
      <c r="AA195" s="64">
        <f t="shared" si="66"/>
        <v>5.7845000000000004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67"/>
        <v>0840-24</v>
      </c>
      <c r="AE195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95" s="84" t="str">
        <f t="shared" si="69"/>
        <v>"C:\Program Files (x86)\AstroGrep\AstroGrep.exe" /spath="%USERPROFILE%\AppData\Local\Temp\OnboardLogs" /stypes="app*4041*20170125*" /stext=" 02:.+((SYSTEM_STATE.+slice.+state.+changed )|(ment ac)|(multiple cpu faults)|(system.+state.+changed )|(\[timeout)|(PRM\|1\|D)|(kpr)|(kdp)|(\|lc)|(penalty))" /e /r /s</v>
      </c>
      <c r="AG195" s="1" t="str">
        <f t="shared" si="70"/>
        <v>NW</v>
      </c>
      <c r="AH195" s="88" t="str">
        <f t="shared" si="55"/>
        <v>"%USERPROFILE%\Documents\GitHub\eaglep3\Utilities\RefineRTDCRunTimes.py" --tripid 840-24 --locoid 4041 --swversion DE.1.0.8.0 --startMP 300:58611 --initTime 2017-01-24T19:36:34 --startdatetime 2017-01-24T19:38:36 --delay 0 --endMP 204:766 --enddatetime 2017-01-24T19:57:33 --enforcementcount 0 &gt;&gt;C:\Users\stu\Documents\GitHub\eaglep3-reporting\EC\2017-01-24-refined-times.txt</v>
      </c>
      <c r="AI195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{"issue":{"subject":"","project_id":79,"tracker_id":40,"status_id":1,"priority_id":2,"assigned_to_id":23,"start_date":"2017-01-24","description":"","custom_fields":[{"id":1,"name":"Subdivision","value":"NW"},{"id":4,"name":"Milepost","value":"0.0766"},{"id":17,"name":"Train ID","value":"840-24"},{"id":16,"name":"Locomotive ID","value":"4041"},{"id":130,"name":"Impact","value":""},{"id":150,"name":"Time of Event (Mountain Time)","value":"19:57:33"},{"id":151,"name":"Denver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7"/>
        <v>start /low /b %USERPROFILE%\Documents\GitHub\eaglep3\Utilities\DownloadLogsFromS3.py --loco 4041 --day 2017-01-24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2017-01-24-UncaughtWiMAX.txt</v>
      </c>
    </row>
    <row r="196" spans="1:91" x14ac:dyDescent="0.25">
      <c r="A196" s="34" t="s">
        <v>485</v>
      </c>
      <c r="B196" s="7">
        <v>4042</v>
      </c>
      <c r="C196" s="22" t="s">
        <v>196</v>
      </c>
      <c r="D196" s="22" t="s">
        <v>442</v>
      </c>
      <c r="E196" s="13">
        <v>42759.803391203706</v>
      </c>
      <c r="F196" s="13">
        <v>42759.806435185186</v>
      </c>
      <c r="G196" s="7">
        <v>1</v>
      </c>
      <c r="H196" s="22" t="s">
        <v>839</v>
      </c>
      <c r="I196" s="13">
        <v>42759.815972222219</v>
      </c>
      <c r="J196" s="7">
        <v>0</v>
      </c>
      <c r="K196" s="105" t="str">
        <f t="shared" si="61"/>
        <v>4041/4042</v>
      </c>
      <c r="L196" s="22" t="str">
        <f>VLOOKUP(A196,'Trips&amp;Operators'!$C$1:$G$99999,5,FALSE)</f>
        <v>LEVIN SCOTT</v>
      </c>
      <c r="M196" s="6">
        <f t="shared" si="62"/>
        <v>9.5370370327145793E-3</v>
      </c>
      <c r="N196" s="7">
        <f t="shared" si="73"/>
        <v>13.733333327108994</v>
      </c>
      <c r="O196" s="7"/>
      <c r="P196" s="7"/>
      <c r="Q196" s="23"/>
      <c r="R196" s="23"/>
      <c r="S196" s="32">
        <f t="shared" si="74"/>
        <v>1</v>
      </c>
      <c r="T196" s="47" t="str">
        <f t="shared" si="63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64"/>
        <v>https://d0f6bd738d7f1b3e5a7ca70fe4ff75f0.us-east-1.aws.found.io/app/kibana#/discover/Steve-Slow-Train-Analysis-(2080s-and-2083s)?_g=(refreshInterval:(display:Off,pause:!f,section:0,value:0),time:(from:'2017-01-24T18:16:53-0700',mode:absolute,to:'2017-01-24T20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6" s="49" t="str">
        <f t="shared" si="65"/>
        <v>N</v>
      </c>
      <c r="X196" s="170">
        <f t="shared" si="77"/>
        <v>1</v>
      </c>
      <c r="Y196" s="64">
        <f t="shared" si="75"/>
        <v>9.5299999999999996E-2</v>
      </c>
      <c r="Z196" s="64">
        <f t="shared" si="76"/>
        <v>5.8929</v>
      </c>
      <c r="AA196" s="64">
        <f t="shared" si="66"/>
        <v>5.7976000000000001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67"/>
        <v>0841-24</v>
      </c>
      <c r="AE196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96" s="84" t="str">
        <f t="shared" si="69"/>
        <v>"C:\Program Files (x86)\AstroGrep\AstroGrep.exe" /spath="%USERPROFILE%\AppData\Local\Temp\OnboardLogs" /stypes="app*4042*20170125*" /stext=" 02:.+((SYSTEM_STATE.+slice.+state.+changed )|(ment ac)|(multiple cpu faults)|(system.+state.+changed )|(\[timeout)|(PRM\|1\|D)|(kpr)|(kdp)|(\|lc)|(penalty))" /e /r /s</v>
      </c>
      <c r="AG196" s="1" t="str">
        <f t="shared" si="70"/>
        <v>NW</v>
      </c>
      <c r="AH196" s="88" t="str">
        <f t="shared" si="55"/>
        <v>"%USERPROFILE%\Documents\GitHub\eaglep3\Utilities\RefineRTDCRunTimes.py" --tripid 841-24 --locoid 4042 --swversion DE.1.0.8.0 --startMP 204:953 --initTime 2017-01-24T19:16:53 --startdatetime 2017-01-24T19:21:16 --delay 1 --endMP 300:58929 --enddatetime 2017-01-24T19:35:00 --enforcementcount 0 &gt;&gt;C:\Users\stu\Documents\GitHub\eaglep3-reporting\EC\2017-01-24-refined-times.txt</v>
      </c>
      <c r="AI196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{"issue":{"subject":"","project_id":79,"tracker_id":40,"status_id":1,"priority_id":2,"assigned_to_id":23,"start_date":"2017-01-24","description":"","custom_fields":[{"id":1,"name":"Subdivision","value":"NW"},{"id":4,"name":"Milepost","value":"5.8929"},{"id":17,"name":"Train ID","value":"841-24"},{"id":16,"name":"Locomotive ID","value":"4042"},{"id":130,"name":"Impact","value":""},{"id":150,"name":"Time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7"/>
        <v>start /low /b %USERPROFILE%\Documents\GitHub\eaglep3\Utilities\DownloadLogsFromS3.py --loco 4042 --day 2017-01-24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2017-01-24-UncaughtWiMAX.txt</v>
      </c>
    </row>
    <row r="197" spans="1:91" x14ac:dyDescent="0.25">
      <c r="A197" s="34" t="s">
        <v>668</v>
      </c>
      <c r="B197" s="7">
        <v>4041</v>
      </c>
      <c r="C197" s="22" t="s">
        <v>196</v>
      </c>
      <c r="D197" s="22" t="s">
        <v>853</v>
      </c>
      <c r="E197" s="13">
        <v>42759.859143518515</v>
      </c>
      <c r="F197" s="13">
        <v>42759.860462962963</v>
      </c>
      <c r="G197" s="7">
        <v>1</v>
      </c>
      <c r="H197" s="22" t="s">
        <v>854</v>
      </c>
      <c r="I197" s="13">
        <v>42759.872013888889</v>
      </c>
      <c r="J197" s="7">
        <v>0</v>
      </c>
      <c r="K197" s="105" t="str">
        <f t="shared" si="61"/>
        <v>4041/4042</v>
      </c>
      <c r="L197" s="22" t="str">
        <f>VLOOKUP(A197,'Trips&amp;Operators'!$C$1:$G$99999,5,FALSE)</f>
        <v>LEVIN SCOTT</v>
      </c>
      <c r="M197" s="6">
        <f t="shared" si="62"/>
        <v>1.1550925926712807E-2</v>
      </c>
      <c r="N197" s="7">
        <f t="shared" si="73"/>
        <v>16.633333334466442</v>
      </c>
      <c r="O197" s="7"/>
      <c r="P197" s="7"/>
      <c r="Q197" s="23"/>
      <c r="R197" s="23"/>
      <c r="S197" s="32">
        <f t="shared" si="74"/>
        <v>1</v>
      </c>
      <c r="T197" s="47" t="str">
        <f t="shared" si="63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4"/>
        <v>https://d0f6bd738d7f1b3e5a7ca70fe4ff75f0.us-east-1.aws.found.io/app/kibana#/discover/Steve-Slow-Train-Analysis-(2080s-and-2083s)?_g=(refreshInterval:(display:Off,pause:!f,section:0,value:0),time:(from:'2017-01-24T19:37:10-0700',mode:absolute,to:'2017-01-24T21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49" t="str">
        <f t="shared" si="65"/>
        <v>N</v>
      </c>
      <c r="X197" s="170">
        <f t="shared" si="77"/>
        <v>1</v>
      </c>
      <c r="Y197" s="64">
        <f t="shared" si="75"/>
        <v>5.8608000000000002</v>
      </c>
      <c r="Z197" s="64">
        <f t="shared" si="76"/>
        <v>6.5699999999999995E-2</v>
      </c>
      <c r="AA197" s="64">
        <f t="shared" si="66"/>
        <v>5.7951000000000006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67"/>
        <v>0842-24</v>
      </c>
      <c r="AE197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97" s="84" t="str">
        <f t="shared" si="69"/>
        <v>"C:\Program Files (x86)\AstroGrep\AstroGrep.exe" /spath="%USERPROFILE%\AppData\Local\Temp\OnboardLogs" /stypes="app*4041*20170125*" /stext=" 03:.+((SYSTEM_STATE.+slice.+state.+changed )|(ment ac)|(multiple cpu faults)|(system.+state.+changed )|(\[timeout)|(PRM\|1\|D)|(kpr)|(kdp)|(\|lc)|(penalty))" /e /r /s</v>
      </c>
      <c r="AG197" s="1" t="str">
        <f t="shared" si="70"/>
        <v>NW</v>
      </c>
      <c r="AH197" s="88" t="str">
        <f t="shared" si="55"/>
        <v>"%USERPROFILE%\Documents\GitHub\eaglep3\Utilities\RefineRTDCRunTimes.py" --tripid 842-24 --locoid 4041 --swversion DE.1.0.8.0 --startMP 300:58608 --initTime 2017-01-24T20:37:10 --startdatetime 2017-01-24T20:39:04 --delay 1 --endMP 204:657 --enddatetime 2017-01-24T20:55:42 --enforcementcount 0 &gt;&gt;C:\Users\stu\Documents\GitHub\eaglep3-reporting\EC\2017-01-24-refined-times.txt</v>
      </c>
      <c r="AI197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{"issue":{"subject":"","project_id":79,"tracker_id":40,"status_id":1,"priority_id":2,"assigned_to_id":23,"start_date":"2017-01-24","description":"","custom_fields":[{"id":1,"name":"Subdivision","value":"NW"},{"id":4,"name":"Milepost","value":"0.0657"},{"id":17,"name":"Train ID","value":"842-24"},{"id":16,"name":"Locomotive ID","value":"4041"},{"id":130,"name":"Impact","value":""},{"id":150,"name":"Time of Event (Mountain Time)","value":"20:55:42"},{"id":151,"name":"Denver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7"/>
        <v>start /low /b %USERPROFILE%\Documents\GitHub\eaglep3\Utilities\DownloadLogsFromS3.py --loco 4041 --day 2017-01-24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2017-01-24-UncaughtWiMAX.txt</v>
      </c>
    </row>
    <row r="198" spans="1:91" s="21" customFormat="1" x14ac:dyDescent="0.25">
      <c r="A198" s="34" t="s">
        <v>666</v>
      </c>
      <c r="B198" s="7">
        <v>4042</v>
      </c>
      <c r="C198" s="22" t="s">
        <v>196</v>
      </c>
      <c r="D198" s="22" t="s">
        <v>855</v>
      </c>
      <c r="E198" s="13">
        <v>42759.844722222224</v>
      </c>
      <c r="F198" s="13">
        <v>42759.848101851851</v>
      </c>
      <c r="G198" s="7">
        <v>1</v>
      </c>
      <c r="H198" s="22" t="s">
        <v>856</v>
      </c>
      <c r="I198" s="13">
        <v>42759.857824074075</v>
      </c>
      <c r="J198" s="7">
        <v>0</v>
      </c>
      <c r="K198" s="105" t="str">
        <f t="shared" si="61"/>
        <v>4041/4042</v>
      </c>
      <c r="L198" s="22" t="str">
        <f>VLOOKUP(A198,'Trips&amp;Operators'!$C$1:$G$99999,5,FALSE)</f>
        <v>LEVIN SCOTT</v>
      </c>
      <c r="M198" s="6">
        <f t="shared" si="62"/>
        <v>9.7222222248092294E-3</v>
      </c>
      <c r="N198" s="7">
        <f t="shared" si="73"/>
        <v>14.00000000372529</v>
      </c>
      <c r="O198" s="7"/>
      <c r="P198" s="7"/>
      <c r="Q198" s="23"/>
      <c r="R198" s="23"/>
      <c r="S198" s="32">
        <f t="shared" si="74"/>
        <v>1</v>
      </c>
      <c r="T198" s="47" t="str">
        <f t="shared" si="63"/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4"/>
        <v>https://d0f6bd738d7f1b3e5a7ca70fe4ff75f0.us-east-1.aws.found.io/app/kibana#/discover/Steve-Slow-Train-Analysis-(2080s-and-2083s)?_g=(refreshInterval:(display:Off,pause:!f,section:0,value:0),time:(from:'2017-01-24T19:16:24-0700',mode:absolute,to:'2017-01-24T21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49" t="str">
        <f t="shared" si="65"/>
        <v>N</v>
      </c>
      <c r="X198" s="170">
        <f t="shared" si="77"/>
        <v>1</v>
      </c>
      <c r="Y198" s="64">
        <f t="shared" si="75"/>
        <v>0.10440000000000001</v>
      </c>
      <c r="Z198" s="64">
        <f t="shared" si="76"/>
        <v>5.8920000000000003</v>
      </c>
      <c r="AA198" s="64">
        <f t="shared" si="66"/>
        <v>5.7876000000000003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67"/>
        <v>0843-24</v>
      </c>
      <c r="AE198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198" s="84" t="str">
        <f t="shared" si="69"/>
        <v>"C:\Program Files (x86)\AstroGrep\AstroGrep.exe" /spath="%USERPROFILE%\AppData\Local\Temp\OnboardLogs" /stypes="app*4042*20170125*" /stext=" 03:.+((SYSTEM_STATE.+slice.+state.+changed )|(ment ac)|(multiple cpu faults)|(system.+state.+changed )|(\[timeout)|(PRM\|1\|D)|(kpr)|(kdp)|(\|lc)|(penalty))" /e /r /s</v>
      </c>
      <c r="AG198" s="1" t="str">
        <f t="shared" si="70"/>
        <v>NW</v>
      </c>
      <c r="AH198" s="88" t="str">
        <f t="shared" si="55"/>
        <v>"%USERPROFILE%\Documents\GitHub\eaglep3\Utilities\RefineRTDCRunTimes.py" --tripid 843-24 --locoid 4042 --swversion DE.1.0.8.0 --startMP 204:1044 --initTime 2017-01-24T20:16:24 --startdatetime 2017-01-24T20:21:16 --delay 1 --endMP 300:58920 --enddatetime 2017-01-24T20:35:16 --enforcementcount 0 &gt;&gt;C:\Users\stu\Documents\GitHub\eaglep3-reporting\EC\2017-01-24-refined-times.txt</v>
      </c>
      <c r="AI198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{"issue":{"subject":"","project_id":79,"tracker_id":40,"status_id":1,"priority_id":2,"assigned_to_id":23,"start_date":"2017-01-24","description":"","custom_fields":[{"id":1,"name":"Subdivision","value":"NW"},{"id":4,"name":"Milepost","value":"5.892"},{"id":17,"name":"Train ID","value":"843-24"},{"id":16,"name":"Locomotive ID","value":"4042"},{"id":130,"name":"Impact","value":""},{"id":150,"name":"Time of Event (Mountain Time)","value":"20:35:16"},{"id":151,"name":"Denver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7"/>
        <v>start /low /b %USERPROFILE%\Documents\GitHub\eaglep3\Utilities\DownloadLogsFromS3.py --loco 4042 --day 2017-01-24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2017-01-24-UncaughtWiMAX.txt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4" t="s">
        <v>490</v>
      </c>
      <c r="B199" s="7">
        <v>4041</v>
      </c>
      <c r="C199" s="22" t="s">
        <v>196</v>
      </c>
      <c r="D199" s="22" t="s">
        <v>845</v>
      </c>
      <c r="E199" s="13">
        <v>42759.902777777781</v>
      </c>
      <c r="F199" s="13">
        <v>42759.905138888891</v>
      </c>
      <c r="G199" s="7">
        <v>2</v>
      </c>
      <c r="H199" s="22" t="s">
        <v>444</v>
      </c>
      <c r="I199" s="13">
        <v>42759.916122685187</v>
      </c>
      <c r="J199" s="7">
        <v>0</v>
      </c>
      <c r="K199" s="105" t="str">
        <f t="shared" si="61"/>
        <v>4041/4042</v>
      </c>
      <c r="L199" s="22" t="str">
        <f>VLOOKUP(A199,'Trips&amp;Operators'!$C$1:$G$99999,5,FALSE)</f>
        <v>HILLS DUSTIN</v>
      </c>
      <c r="M199" s="6">
        <f t="shared" si="62"/>
        <v>1.0983796295477077E-2</v>
      </c>
      <c r="N199" s="7">
        <f t="shared" si="73"/>
        <v>15.816666665486991</v>
      </c>
      <c r="O199" s="7"/>
      <c r="P199" s="7"/>
      <c r="Q199" s="23"/>
      <c r="R199" s="23"/>
      <c r="S199" s="32">
        <f t="shared" si="74"/>
        <v>1</v>
      </c>
      <c r="T199" s="47" t="str">
        <f t="shared" si="63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4"/>
        <v>https://d0f6bd738d7f1b3e5a7ca70fe4ff75f0.us-east-1.aws.found.io/app/kibana#/discover/Steve-Slow-Train-Analysis-(2080s-and-2083s)?_g=(refreshInterval:(display:Off,pause:!f,section:0,value:0),time:(from:'2017-01-24T20:40:00-0700',mode:absolute,to:'2017-01-24T22:59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9" s="49" t="str">
        <f t="shared" si="65"/>
        <v>N</v>
      </c>
      <c r="X199" s="170">
        <f t="shared" si="77"/>
        <v>1</v>
      </c>
      <c r="Y199" s="64">
        <f t="shared" si="75"/>
        <v>5.8674999999999997</v>
      </c>
      <c r="Z199" s="64">
        <f t="shared" si="76"/>
        <v>6.4299999999999996E-2</v>
      </c>
      <c r="AA199" s="64">
        <f t="shared" si="66"/>
        <v>5.8031999999999995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67"/>
        <v>0844-24</v>
      </c>
      <c r="AE199" s="87" t="str">
        <f t="shared" si="68"/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AF199" s="84" t="str">
        <f t="shared" si="69"/>
        <v>"C:\Program Files (x86)\AstroGrep\AstroGrep.exe" /spath="%USERPROFILE%\AppData\Local\Temp\OnboardLogs" /stypes="app*4041*20170125*" /stext=" 04:.+((SYSTEM_STATE.+slice.+state.+changed )|(ment ac)|(multiple cpu faults)|(system.+state.+changed )|(\[timeout)|(PRM\|1\|D)|(kpr)|(kdp)|(\|lc)|(penalty))" /e /r /s</v>
      </c>
      <c r="AG199" s="1" t="str">
        <f t="shared" si="70"/>
        <v>NW</v>
      </c>
      <c r="AH199" s="88" t="str">
        <f t="shared" si="55"/>
        <v>"%USERPROFILE%\Documents\GitHub\eaglep3\Utilities\RefineRTDCRunTimes.py" --tripid 844-24 --locoid 4041 --swversion DE.1.0.8.0 --startMP 300:58675 --initTime 2017-01-24T21:40:00 --startdatetime 2017-01-24T21:43:24 --delay 2 --endMP 204:643 --enddatetime 2017-01-24T21:59:13 --enforcementcount 0 &gt;&gt;C:\Users\stu\Documents\GitHub\eaglep3-reporting\EC\2017-01-24-refined-times.txt</v>
      </c>
      <c r="AI199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{"issue":{"subject":"","project_id":79,"tracker_id":40,"status_id":1,"priority_id":2,"assigned_to_id":23,"start_date":"2017-01-24","description":"","custom_fields":[{"id":1,"name":"Subdivision","value":"NW"},{"id":4,"name":"Milepost","value":"0.0643"},{"id":17,"name":"Train ID","value":"844-24"},{"id":16,"name":"Locomotive ID","value":"4041"},{"id":130,"name":"Impact","value":""},{"id":150,"name":"Time of Event (Mountain Time)","value":"21:59:13"},{"id":151,"name":"Denver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7"/>
        <v>start /low /b %USERPROFILE%\Documents\GitHub\eaglep3\Utilities\DownloadLogsFromS3.py --loco 4041 --day 2017-01-24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2017-01-24-UncaughtWiMAX.txt</v>
      </c>
    </row>
    <row r="200" spans="1:91" s="21" customFormat="1" x14ac:dyDescent="0.25">
      <c r="A200" s="34" t="s">
        <v>489</v>
      </c>
      <c r="B200" s="7">
        <v>4042</v>
      </c>
      <c r="C200" s="22" t="s">
        <v>196</v>
      </c>
      <c r="D200" s="22" t="s">
        <v>432</v>
      </c>
      <c r="E200" s="13">
        <v>42759.876296296294</v>
      </c>
      <c r="F200" s="13">
        <v>42759.88994212963</v>
      </c>
      <c r="G200" s="7">
        <v>1</v>
      </c>
      <c r="H200" s="22" t="s">
        <v>857</v>
      </c>
      <c r="I200" s="13">
        <v>42759.90016203704</v>
      </c>
      <c r="J200" s="7">
        <v>0</v>
      </c>
      <c r="K200" s="105" t="str">
        <f t="shared" si="61"/>
        <v>4041/4042</v>
      </c>
      <c r="L200" s="22" t="str">
        <f>VLOOKUP(A200,'Trips&amp;Operators'!$C$1:$G$99999,5,FALSE)</f>
        <v>HILLS DUSTIN</v>
      </c>
      <c r="M200" s="6">
        <f t="shared" si="62"/>
        <v>1.021990740991896E-2</v>
      </c>
      <c r="N200" s="7">
        <f t="shared" si="73"/>
        <v>14.716666670283303</v>
      </c>
      <c r="O200" s="7"/>
      <c r="P200" s="7"/>
      <c r="Q200" s="23"/>
      <c r="R200" s="23"/>
      <c r="S200" s="32">
        <f t="shared" si="74"/>
        <v>1</v>
      </c>
      <c r="T200" s="47" t="str">
        <f t="shared" si="63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64"/>
        <v>https://d0f6bd738d7f1b3e5a7ca70fe4ff75f0.us-east-1.aws.found.io/app/kibana#/discover/Steve-Slow-Train-Analysis-(2080s-and-2083s)?_g=(refreshInterval:(display:Off,pause:!f,section:0,value:0),time:(from:'2017-01-24T20:01:52-0700',mode:absolute,to:'2017-01-24T22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0" s="49" t="str">
        <f t="shared" si="65"/>
        <v>N</v>
      </c>
      <c r="X200" s="170">
        <f t="shared" si="77"/>
        <v>1</v>
      </c>
      <c r="Y200" s="64">
        <f t="shared" si="75"/>
        <v>9.3600000000000003E-2</v>
      </c>
      <c r="Z200" s="64">
        <f t="shared" si="76"/>
        <v>5.8982000000000001</v>
      </c>
      <c r="AA200" s="64">
        <f t="shared" si="66"/>
        <v>5.8045999999999998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67"/>
        <v>0845-24</v>
      </c>
      <c r="AE200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200" s="84" t="str">
        <f t="shared" si="69"/>
        <v>"C:\Program Files (x86)\AstroGrep\AstroGrep.exe" /spath="%USERPROFILE%\AppData\Local\Temp\OnboardLogs" /stypes="app*4042*20170125*" /stext=" 04:.+((SYSTEM_STATE.+slice.+state.+changed )|(ment ac)|(multiple cpu faults)|(system.+state.+changed )|(\[timeout)|(PRM\|1\|D)|(kpr)|(kdp)|(\|lc)|(penalty))" /e /r /s</v>
      </c>
      <c r="AG200" s="1" t="str">
        <f t="shared" si="70"/>
        <v>NW</v>
      </c>
      <c r="AH200" s="88" t="str">
        <f t="shared" si="55"/>
        <v>"%USERPROFILE%\Documents\GitHub\eaglep3\Utilities\RefineRTDCRunTimes.py" --tripid 845-24 --locoid 4042 --swversion DE.1.0.8.0 --startMP 204:936 --initTime 2017-01-24T21:01:52 --startdatetime 2017-01-24T21:21:31 --delay 1 --endMP 300:58982 --enddatetime 2017-01-24T21:36:14 --enforcementcount 0 &gt;&gt;C:\Users\stu\Documents\GitHub\eaglep3-reporting\EC\2017-01-24-refined-times.txt</v>
      </c>
      <c r="AI200" s="115" t="str">
        <f t="shared" si="56"/>
        <v>echo {"issue":{"subject":"","project_id":79,"tracker_id":40,"status_id":1,"priority_id":2,"assigned_to_id":23,"start_date":"2017-01-24","description":"","custom_fields":[{"id":1,"name":"Subdivision","value":"NW"},{"id":4,"name":"Milepost","value":"5.8982"},{"id":17,"name":"Train ID","value":"845-24"},{"id":16,"name":"Locomotive ID","value":"4042"},{"id":130,"name":"Impact","value":""},{"id":150,"name":"Time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7"/>
        <v>start /low /b %USERPROFILE%\Documents\GitHub\eaglep3\Utilities\DownloadLogsFromS3.py --loco 4042 --day 2017-01-24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2017-01-24-UncaughtWiMAX.txt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4" t="s">
        <v>675</v>
      </c>
      <c r="B201" s="7">
        <v>4042</v>
      </c>
      <c r="C201" s="22" t="s">
        <v>196</v>
      </c>
      <c r="D201" s="22" t="s">
        <v>858</v>
      </c>
      <c r="E201" s="13">
        <v>42759.917824074073</v>
      </c>
      <c r="F201" s="13">
        <v>42759.93141203704</v>
      </c>
      <c r="G201" s="7">
        <v>1</v>
      </c>
      <c r="H201" s="22" t="s">
        <v>437</v>
      </c>
      <c r="I201" s="13">
        <v>42759.941493055558</v>
      </c>
      <c r="J201" s="7">
        <v>0</v>
      </c>
      <c r="K201" s="105" t="str">
        <f t="shared" si="61"/>
        <v>4041/4042</v>
      </c>
      <c r="L201" s="22" t="str">
        <f>VLOOKUP(A201,'Trips&amp;Operators'!$C$1:$G$99999,5,FALSE)</f>
        <v>HILLS DUSTIN</v>
      </c>
      <c r="M201" s="6">
        <f t="shared" si="62"/>
        <v>1.0081018517666962E-2</v>
      </c>
      <c r="N201" s="7">
        <f t="shared" si="73"/>
        <v>14.516666665440425</v>
      </c>
      <c r="O201" s="7"/>
      <c r="P201" s="7"/>
      <c r="Q201" s="23"/>
      <c r="R201" s="23"/>
      <c r="S201" s="32">
        <f t="shared" si="74"/>
        <v>1</v>
      </c>
      <c r="T201" s="47" t="str">
        <f t="shared" si="63"/>
        <v>NorthBound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64"/>
        <v>https://d0f6bd738d7f1b3e5a7ca70fe4ff75f0.us-east-1.aws.found.io/app/kibana#/discover/Steve-Slow-Train-Analysis-(2080s-and-2083s)?_g=(refreshInterval:(display:Off,pause:!f,section:0,value:0),time:(from:'2017-01-24T21:01:40-0700',mode:absolute,to:'2017-01-24T23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1" s="49" t="str">
        <f t="shared" si="65"/>
        <v>N</v>
      </c>
      <c r="X201" s="170">
        <f t="shared" si="77"/>
        <v>2</v>
      </c>
      <c r="Y201" s="64">
        <f t="shared" si="75"/>
        <v>9.3200000000000005E-2</v>
      </c>
      <c r="Z201" s="64">
        <f t="shared" si="76"/>
        <v>5.8968999999999996</v>
      </c>
      <c r="AA201" s="64">
        <f t="shared" si="66"/>
        <v>5.8036999999999992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67"/>
        <v>0847-24</v>
      </c>
      <c r="AE201" s="87" t="str">
        <f t="shared" si="68"/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AF201" s="84" t="str">
        <f t="shared" si="69"/>
        <v>"C:\Program Files (x86)\AstroGrep\AstroGrep.exe" /spath="%USERPROFILE%\AppData\Local\Temp\OnboardLogs" /stypes="app*4042*20170125*" /stext=" 05:.+((SYSTEM_STATE.+slice.+state.+changed )|(ment ac)|(multiple cpu faults)|(system.+state.+changed )|(\[timeout)|(PRM\|1\|D)|(kpr)|(kdp)|(\|lc)|(penalty))" /e /r /s</v>
      </c>
      <c r="AG201" s="1" t="str">
        <f t="shared" si="70"/>
        <v>NW</v>
      </c>
      <c r="AH201" s="88" t="str">
        <f t="shared" ref="AH201:AH234" si="78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847-24 --locoid 4042 --swversion DE.1.0.8.0 --startMP 204:932 --initTime 2017-01-24T22:01:40 --startdatetime 2017-01-24T22:21:14 --delay 1 --endMP 300:58969 --enddatetime 2017-01-24T22:35:45 --enforcementcount 0 &gt;&gt;C:\Users\stu\Documents\GitHub\eaglep3-reporting\EC\2017-01-24-refined-times.txt</v>
      </c>
      <c r="AI201" s="115" t="str">
        <f t="shared" ref="AI201:AI234" si="79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{"issue":{"subject":"","project_id":79,"tracker_id":40,"status_id":1,"priority_id":2,"assigned_to_id":23,"start_date":"2017-01-24","description":"","custom_fields":[{"id":1,"name":"Subdivision","value":"NW"},{"id":4,"name":"Milepost","value":"5.8969"},{"id":17,"name":"Train ID","value":"847-24"},{"id":16,"name":"Locomotive ID","value":"4042"},{"id":130,"name":"Impact","value":""},{"id":150,"name":"Time of Event (Mountain Time)","value":"22:35:45"},{"id":151,"name":"Denver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ref="AM201:AM234" si="80">"start /low /b "&amp;dls3logs&amp;" --loco "&amp;B201&amp;" --day "&amp;TEXT(F201,"YYYY-MM-DD")</f>
        <v>start /low /b %USERPROFILE%\Documents\GitHub\eaglep3\Utilities\DownloadLogsFromS3.py --loco 4042 --day 2017-01-24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2017-01-24-UncaughtWiMAX.txt</v>
      </c>
    </row>
    <row r="202" spans="1:91" x14ac:dyDescent="0.25">
      <c r="A202" s="34" t="s">
        <v>492</v>
      </c>
      <c r="B202" s="7">
        <v>4037</v>
      </c>
      <c r="C202" s="22" t="s">
        <v>196</v>
      </c>
      <c r="D202" s="22" t="s">
        <v>778</v>
      </c>
      <c r="E202" s="13">
        <v>42759.117754629631</v>
      </c>
      <c r="F202" s="13">
        <v>42759.120717592596</v>
      </c>
      <c r="G202" s="7">
        <v>3</v>
      </c>
      <c r="H202" s="22" t="s">
        <v>730</v>
      </c>
      <c r="I202" s="13">
        <v>42759.127465277779</v>
      </c>
      <c r="J202" s="7">
        <v>0</v>
      </c>
      <c r="K202" s="105" t="str">
        <f t="shared" si="61"/>
        <v>4037/4038</v>
      </c>
      <c r="L202" s="22" t="str">
        <f>VLOOKUP(A202,'Trips&amp;Operators'!$C$1:$G$99999,5,FALSE)</f>
        <v>OUN ZACK</v>
      </c>
      <c r="M202" s="6">
        <f t="shared" si="62"/>
        <v>6.7476851836545393E-3</v>
      </c>
      <c r="N202" s="7">
        <f t="shared" si="73"/>
        <v>9.7166666644625366</v>
      </c>
      <c r="O202" s="7"/>
      <c r="P202" s="7"/>
      <c r="Q202" s="23"/>
      <c r="R202" s="23"/>
      <c r="S202" s="32">
        <f t="shared" si="74"/>
        <v>1</v>
      </c>
      <c r="T202" s="47" t="str">
        <f t="shared" si="63"/>
        <v>Southbound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64"/>
        <v>https://d0f6bd738d7f1b3e5a7ca70fe4ff75f0.us-east-1.aws.found.io/app/kibana#/discover/Steve-Slow-Train-Analysis-(2080s-and-2083s)?_g=(refreshInterval:(display:Off,pause:!f,section:0,value:0),time:(from:'2017-01-24T01:49:34-0700',mode:absolute,to:'2017-01-24T04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02" s="49" t="str">
        <f t="shared" si="65"/>
        <v>Y</v>
      </c>
      <c r="X202" s="170">
        <f t="shared" si="77"/>
        <v>-545</v>
      </c>
      <c r="Y202" s="64">
        <f t="shared" si="75"/>
        <v>2.3119999999999998</v>
      </c>
      <c r="Z202" s="64">
        <f t="shared" si="76"/>
        <v>1.34E-2</v>
      </c>
      <c r="AA202" s="64">
        <f t="shared" si="66"/>
        <v>2.2986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67"/>
        <v>0302-24</v>
      </c>
      <c r="AE202" s="87" t="str">
        <f t="shared" si="68"/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AF202" s="84" t="str">
        <f t="shared" si="69"/>
        <v>"C:\Program Files (x86)\AstroGrep\AstroGrep.exe" /spath="%USERPROFILE%\AppData\Local\Temp\OnboardLogs" /stypes="app*4037*20170124*" /stext=" 10:.+((SYSTEM_STATE.+slice.+state.+changed )|(ment ac)|(multiple cpu faults)|(system.+state.+changed )|(\[timeout)|(PRM\|1\|D)|(kpr)|(kdp)|(\|lc)|(penalty))" /e /r /s</v>
      </c>
      <c r="AG202" s="1" t="str">
        <f t="shared" si="70"/>
        <v>Other</v>
      </c>
      <c r="AH202" s="88" t="str">
        <f t="shared" si="78"/>
        <v>"%USERPROFILE%\Documents\GitHub\eaglep3\Utilities\RefineRTDCRunTimes.py" --tripid 302-24 --locoid 4037 --swversion DE.1.0.8.0 --startMP 300:23120 --initTime 2017-01-24T02:49:34 --startdatetime 2017-01-24T02:53:50 --delay 3 --endMP 204:134 --enddatetime 2017-01-24T03:03:33 --enforcementcount 0 &gt;&gt;C:\Users\stu\Documents\GitHub\eaglep3-reporting\EC\2017-01-24-refined-times.txt</v>
      </c>
      <c r="AI202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{"issue":{"subject":"","project_id":79,"tracker_id":40,"status_id":1,"priority_id":2,"assigned_to_id":23,"start_date":"2017-01-24","description":"","custom_fields":[{"id":1,"name":"Subdivision","value":"Other"},{"id":4,"name":"Milepost","value":"0.0134"},{"id":17,"name":"Train ID","value":"302-24"},{"id":16,"name":"Locomotive ID","value":"4037"},{"id":130,"name":"Impact","value":""},{"id":150,"name":"Time of Event (Mountain Time)","value":"03:03:33"},{"id":151,"name":"Denver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80"/>
        <v>start /low /b %USERPROFILE%\Documents\GitHub\eaglep3\Utilities\DownloadLogsFromS3.py --loco 4037 --day 2017-01-24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"%USERPROFILE%\AppData\Local\Temp\OnboardLogs"\RTDC4037\*4037*20170124* | grep -SE "(Enforcement Action)|(\[TIMEOUT)|(CHR.+\|PRM\|1\|D.+(SWITCH|SIGNAL).+UNKNOWN)" - &gt;&gt; 2017-01-24-UncaughtWiMAX.txt</v>
      </c>
    </row>
    <row r="203" spans="1:91" x14ac:dyDescent="0.25">
      <c r="A203" s="34" t="s">
        <v>637</v>
      </c>
      <c r="B203" s="7">
        <v>4040</v>
      </c>
      <c r="C203" s="22" t="s">
        <v>196</v>
      </c>
      <c r="D203" s="22" t="s">
        <v>779</v>
      </c>
      <c r="E203" s="13">
        <v>42759.715671296297</v>
      </c>
      <c r="F203" s="13">
        <v>25568.708333333332</v>
      </c>
      <c r="G203" s="7">
        <v>2</v>
      </c>
      <c r="H203" s="22" t="s">
        <v>430</v>
      </c>
      <c r="I203" s="13">
        <v>25568.708333333332</v>
      </c>
      <c r="J203" s="7">
        <v>0</v>
      </c>
      <c r="K203" s="105" t="str">
        <f t="shared" si="61"/>
        <v>4039/4040</v>
      </c>
      <c r="L203" s="22" t="str">
        <f>VLOOKUP(A203,'Trips&amp;Operators'!$C$1:$G$99999,5,FALSE)</f>
        <v>HOLCOMB KAMDEN</v>
      </c>
      <c r="M203" s="6">
        <f t="shared" si="62"/>
        <v>0</v>
      </c>
      <c r="N203" s="7">
        <f t="shared" ref="N203:N234" si="81">24*60*SUM($M203:$M203)</f>
        <v>0</v>
      </c>
      <c r="O203" s="7"/>
      <c r="P203" s="7"/>
      <c r="Q203" s="23"/>
      <c r="R203" s="23"/>
      <c r="S203" s="32">
        <f t="shared" si="74"/>
        <v>1</v>
      </c>
      <c r="T203" s="47" t="str">
        <f t="shared" si="63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64"/>
        <v>https://d0f6bd738d7f1b3e5a7ca70fe4ff75f0.us-east-1.aws.found.io/app/kibana#/discover/Steve-Slow-Train-Analysis-(2080s-and-2083s)?_g=(refreshInterval:(display:Off,pause:!f,section:0,value:0),time:(from:'2017-01-24T16:10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49" t="str">
        <f t="shared" si="65"/>
        <v>Y</v>
      </c>
      <c r="X203" s="170">
        <f t="shared" si="77"/>
        <v>1</v>
      </c>
      <c r="Y203" s="64">
        <f t="shared" si="75"/>
        <v>0.1188</v>
      </c>
      <c r="Z203" s="64">
        <f t="shared" si="76"/>
        <v>2.331</v>
      </c>
      <c r="AA203" s="64">
        <f t="shared" si="66"/>
        <v>2.2122000000000002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67"/>
        <v>0303-24</v>
      </c>
      <c r="AE203" s="87" t="str">
        <f t="shared" si="68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3" s="84" t="str">
        <f t="shared" si="69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03" s="1" t="str">
        <f t="shared" si="70"/>
        <v>Other</v>
      </c>
      <c r="AH203" s="88" t="str">
        <f t="shared" si="78"/>
        <v>"%USERPROFILE%\Documents\GitHub\eaglep3\Utilities\RefineRTDCRunTimes.py" --tripid 303-24 --locoid 4040 --swversion DE.1.0.8.0 --startMP 204:1188 --initTime 2017-01-24T17:10:34 --startdatetime 1969-12-31T17:00:00 --delay 2 --endMP 300:23310 --enddatetime 1969-12-31T17:00:00 --enforcementcount 0 &gt;&gt;C:\Users\stu\Documents\GitHub\eaglep3-reporting\EC\2017-01-24-refined-times.txt</v>
      </c>
      <c r="AI203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ID","value":"303-24"},{"id":16,"name":"Locomotive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80"/>
        <v>start /low /b %USERPROFILE%\Documents\GitHub\eaglep3\Utilities\DownloadLogsFromS3.py --loco 4040 --day 1969-12-31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2017-01-24-UncaughtWiMAX.txt</v>
      </c>
    </row>
    <row r="204" spans="1:91" s="21" customFormat="1" x14ac:dyDescent="0.25">
      <c r="A204" s="34" t="s">
        <v>495</v>
      </c>
      <c r="B204" s="7">
        <v>4017</v>
      </c>
      <c r="C204" s="22" t="s">
        <v>196</v>
      </c>
      <c r="D204" s="22" t="s">
        <v>780</v>
      </c>
      <c r="E204" s="13">
        <v>42759.142164351855</v>
      </c>
      <c r="F204" s="13">
        <v>42759.145370370374</v>
      </c>
      <c r="G204" s="7">
        <v>4</v>
      </c>
      <c r="H204" s="22" t="s">
        <v>403</v>
      </c>
      <c r="I204" s="13">
        <v>42759.150358796294</v>
      </c>
      <c r="J204" s="7">
        <v>0</v>
      </c>
      <c r="K204" s="105" t="str">
        <f t="shared" si="61"/>
        <v>4017/4018</v>
      </c>
      <c r="L204" s="22" t="str">
        <f>VLOOKUP(A204,'Trips&amp;Operators'!$C$1:$G$99999,5,FALSE)</f>
        <v>MAELZER KURT</v>
      </c>
      <c r="M204" s="6">
        <f t="shared" si="62"/>
        <v>4.9884259206010029E-3</v>
      </c>
      <c r="N204" s="7">
        <f t="shared" si="81"/>
        <v>7.1833333256654441</v>
      </c>
      <c r="O204" s="7"/>
      <c r="P204" s="7"/>
      <c r="Q204" s="23"/>
      <c r="R204" s="23"/>
      <c r="S204" s="32">
        <f t="shared" ref="S204:S234" si="82">SUM(U204:U204)/IF(AG204="EC",12,1)</f>
        <v>1</v>
      </c>
      <c r="T204" s="47" t="str">
        <f t="shared" si="63"/>
        <v>Southbound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4"/>
        <v>https://d0f6bd738d7f1b3e5a7ca70fe4ff75f0.us-east-1.aws.found.io/app/kibana#/discover/Steve-Slow-Train-Analysis-(2080s-and-2083s)?_g=(refreshInterval:(display:Off,pause:!f,section:0,value:0),time:(from:'2017-01-24T02:24:43-0700',mode:absolute,to:'2017-01-24T04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4" s="49" t="str">
        <f t="shared" si="65"/>
        <v>Y</v>
      </c>
      <c r="X204" s="170">
        <f t="shared" si="77"/>
        <v>1</v>
      </c>
      <c r="Y204" s="64">
        <f t="shared" ref="Y204:Y234" si="83">RIGHT(D204,LEN(D204)-4)/10000</f>
        <v>1.9501999999999999</v>
      </c>
      <c r="Z204" s="64">
        <f t="shared" ref="Z204:Z234" si="84">RIGHT(H204,LEN(H204)-4)/10000</f>
        <v>1.3599999999999999E-2</v>
      </c>
      <c r="AA204" s="64">
        <f t="shared" si="66"/>
        <v>1.9365999999999999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67"/>
        <v>0304-24</v>
      </c>
      <c r="AE204" s="87" t="str">
        <f t="shared" si="68"/>
        <v>aws s3 cp s3://rtdc.mdm.uploadarchive.raw/RTDC4017/ "%USERPROFILE%\AppData\Local\Temp\OnboardLogs"\RTDC4017\2017-01-24 --exclude "*" --recursive --include "*20170124*" &amp; "%USERPROFILE%\Documents\GitHub\mrs-test-scripts\Headless Mode &amp; Sideloading\WalkAndUnGZ.bat" "%USERPROFILE%\AppData\Local\Temp\OnboardLogs"\RTDC4017\2017-01-24 &amp; 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</v>
      </c>
      <c r="AF204" s="84" t="str">
        <f t="shared" si="69"/>
        <v>"C:\Program Files (x86)\AstroGrep\AstroGrep.exe" /spath="%USERPROFILE%\AppData\Local\Temp\OnboardLogs" /stypes="app*4017*20170124*" /stext=" 10:.+((SYSTEM_STATE.+slice.+state.+changed )|(ment ac)|(multiple cpu faults)|(system.+state.+changed )|(\[timeout)|(PRM\|1\|D)|(kpr)|(kdp)|(\|lc)|(penalty))" /e /r /s</v>
      </c>
      <c r="AG204" s="1" t="str">
        <f t="shared" si="70"/>
        <v>Other</v>
      </c>
      <c r="AH204" s="88" t="str">
        <f t="shared" si="78"/>
        <v>"%USERPROFILE%\Documents\GitHub\eaglep3\Utilities\RefineRTDCRunTimes.py" --tripid 304-24 --locoid 4017 --swversion DE.1.0.8.0 --startMP 300:19502 --initTime 2017-01-24T03:24:43 --startdatetime 2017-01-24T03:29:20 --delay 4 --endMP 204:136 --enddatetime 2017-01-24T03:36:31 --enforcementcount 0 &gt;&gt;C:\Users\stu\Documents\GitHub\eaglep3-reporting\EC\2017-01-24-refined-times.txt</v>
      </c>
      <c r="AI204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{"issue":{"subject":"","project_id":79,"tracker_id":40,"status_id":1,"priority_id":2,"assigned_to_id":23,"start_date":"2017-01-24","description":"","custom_fields":[{"id":1,"name":"Subdivision","value":"Other"},{"id":4,"name":"Milepost","value":"0.0136"},{"id":17,"name":"Train ID","value":"304-24"},{"id":16,"name":"Locomotive ID","value":"4017"},{"id":130,"name":"Impact","value":""},{"id":150,"name":"Time of Event (Mountain Time)","value":"03:36:31"},{"id":151,"name":"Denver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80"/>
        <v>start /low /b %USERPROFILE%\Documents\GitHub\eaglep3\Utilities\DownloadLogsFromS3.py --loco 4017 --day 2017-01-24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"%USERPROFILE%\AppData\Local\Temp\OnboardLogs"\RTDC4017\*4017*20170124* | grep -SE "(Enforcement Action)|(\[TIMEOUT)|(CHR.+\|PRM\|1\|D.+(SWITCH|SIGNAL).+UNKNOWN)" - &gt;&gt; 2017-01-24-UncaughtWiMAX.txt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4" t="s">
        <v>661</v>
      </c>
      <c r="B205" s="7">
        <v>4051</v>
      </c>
      <c r="C205" s="22" t="s">
        <v>196</v>
      </c>
      <c r="D205" s="22" t="s">
        <v>781</v>
      </c>
      <c r="E205" s="13">
        <v>42759.801006944443</v>
      </c>
      <c r="F205" s="13">
        <v>25568.708333333332</v>
      </c>
      <c r="G205" s="7">
        <v>0</v>
      </c>
      <c r="H205" s="22" t="s">
        <v>782</v>
      </c>
      <c r="I205" s="13">
        <v>25568.708333333332</v>
      </c>
      <c r="J205" s="7">
        <v>0</v>
      </c>
      <c r="K205" s="105" t="str">
        <f t="shared" ref="K205:K234" si="85">IF(ISEVEN(B205),(B205-1)&amp;"/"&amp;B205,B205&amp;"/"&amp;(B205+1))</f>
        <v>4051/4052</v>
      </c>
      <c r="L205" s="22" t="str">
        <f>VLOOKUP(A205,'Trips&amp;Operators'!$C$1:$G$99999,5,FALSE)</f>
        <v>CRAYTON QUNTRELL</v>
      </c>
      <c r="M205" s="6">
        <f t="shared" ref="M205:M234" si="86">I205-F205</f>
        <v>0</v>
      </c>
      <c r="N205" s="7">
        <f t="shared" si="81"/>
        <v>0</v>
      </c>
      <c r="O205" s="7"/>
      <c r="P205" s="7"/>
      <c r="Q205" s="23"/>
      <c r="R205" s="23"/>
      <c r="S205" s="32">
        <f t="shared" si="82"/>
        <v>1</v>
      </c>
      <c r="T205" s="47" t="str">
        <f t="shared" ref="T205:T234" si="87">IF(ISEVEN(LEFT(AD205,4)),"Southbound","NorthBound")</f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4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-24T18:13:27-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5" s="49" t="str">
        <f t="shared" ref="W205:W234" si="89">IF(AA205&lt;IF(AG205="EC",23,5.65),"Y","N")</f>
        <v>Y</v>
      </c>
      <c r="X205" s="170">
        <f t="shared" si="77"/>
        <v>1</v>
      </c>
      <c r="Y205" s="64">
        <f t="shared" si="83"/>
        <v>5.33E-2</v>
      </c>
      <c r="Z205" s="64">
        <f t="shared" si="84"/>
        <v>2.3292999999999999</v>
      </c>
      <c r="AA205" s="64">
        <f t="shared" ref="AA205:AA234" si="90">ABS(Z205-Y205)</f>
        <v>2.2759999999999998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ref="AD205:AD234" si="91">IF(LEN(A205)=6,"0"&amp;A205,A205)</f>
        <v>0305-24</v>
      </c>
      <c r="AE205" s="87" t="str">
        <f t="shared" ref="AE205:AE234" si="9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5" s="84" t="str">
        <f t="shared" ref="AF205:AF234" si="93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5" s="1" t="str">
        <f t="shared" ref="AG205:AG234" si="94">IFERROR(IF(VALUE(LEFT(AD205,2))&lt;=2,"EC",IF(OR(VALUE(LEFT(AD205,2))=8,VALUE(LEFT(AD205,2))=18),"NW","Other")),"Other")</f>
        <v>Other</v>
      </c>
      <c r="AH205" s="88" t="str">
        <f t="shared" si="78"/>
        <v>"%USERPROFILE%\Documents\GitHub\eaglep3\Utilities\RefineRTDCRunTimes.py" --tripid 305-24 --locoid 4051 --swversion DE.1.0.8.0 --startMP 204:533 --initTime 2017-01-24T19:13:27 --startdatetime 1969-12-31T17:00:00 --delay 0 --endMP 300:23293 --enddatetime 1969-12-31T17:00:00 --enforcementcount 0 &gt;&gt;C:\Users\stu\Documents\GitHub\eaglep3-reporting\EC\2017-01-24-refined-times.txt</v>
      </c>
      <c r="AI205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ID","value":"305-24"},{"id":16,"name":"Locomotive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80"/>
        <v>start /low /b %USERPROFILE%\Documents\GitHub\eaglep3\Utilities\DownloadLogsFromS3.py --loco 4051 --day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2017-01-24-UncaughtWiMAX.txt</v>
      </c>
    </row>
    <row r="206" spans="1:91" s="21" customFormat="1" x14ac:dyDescent="0.25">
      <c r="A206" s="34" t="s">
        <v>497</v>
      </c>
      <c r="B206" s="7">
        <v>4026</v>
      </c>
      <c r="C206" s="22" t="s">
        <v>196</v>
      </c>
      <c r="D206" s="22" t="s">
        <v>783</v>
      </c>
      <c r="E206" s="13">
        <v>42759.152418981481</v>
      </c>
      <c r="F206" s="13">
        <v>42759.155057870368</v>
      </c>
      <c r="G206" s="7">
        <v>3</v>
      </c>
      <c r="H206" s="22" t="s">
        <v>784</v>
      </c>
      <c r="I206" s="13">
        <v>42759.161261574074</v>
      </c>
      <c r="J206" s="7">
        <v>0</v>
      </c>
      <c r="K206" s="105" t="str">
        <f t="shared" si="85"/>
        <v>4025/4026</v>
      </c>
      <c r="L206" s="22" t="str">
        <f>VLOOKUP(A206,'Trips&amp;Operators'!$C$1:$G$99999,5,FALSE)</f>
        <v>YANAI IAN</v>
      </c>
      <c r="M206" s="6">
        <f t="shared" si="86"/>
        <v>6.2037037059781142E-3</v>
      </c>
      <c r="N206" s="7">
        <f t="shared" si="81"/>
        <v>8.9333333366084844</v>
      </c>
      <c r="O206" s="7"/>
      <c r="P206" s="7"/>
      <c r="Q206" s="23"/>
      <c r="R206" s="23"/>
      <c r="S206" s="32">
        <f t="shared" si="82"/>
        <v>1</v>
      </c>
      <c r="T206" s="47" t="str">
        <f t="shared" si="87"/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88"/>
        <v>https://d0f6bd738d7f1b3e5a7ca70fe4ff75f0.us-east-1.aws.found.io/app/kibana#/discover/Steve-Slow-Train-Analysis-(2080s-and-2083s)?_g=(refreshInterval:(display:Off,pause:!f,section:0,value:0),time:(from:'2017-01-24T02:39:29-0700',mode:absolute,to:'2017-01-24T04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49" t="str">
        <f t="shared" si="89"/>
        <v>Y</v>
      </c>
      <c r="X206" s="170">
        <f t="shared" ref="X206:X234" si="95">VALUE(LEFT(AD206,4))-VALUE(LEFT(AD205,4))</f>
        <v>1</v>
      </c>
      <c r="Y206" s="64">
        <f t="shared" si="83"/>
        <v>2.3262</v>
      </c>
      <c r="Z206" s="64">
        <f t="shared" si="84"/>
        <v>1.01E-2</v>
      </c>
      <c r="AA206" s="64">
        <f t="shared" si="90"/>
        <v>2.3161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91"/>
        <v>0306-24</v>
      </c>
      <c r="AE206" s="87" t="str">
        <f t="shared" si="92"/>
        <v>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 &amp; aws s3 cp s3://rtdc.mdm.uploadarchive.raw/RTDC4026/ "%USERPROFILE%\AppData\Local\Temp\OnboardLogs"\RTDC4026\2017-01-25 --exclude "*" --recursive --include "*20170125*" &amp; "%USERPROFILE%\Documents\GitHub\mrs-test-scripts\Headless Mode &amp; Sideloading\WalkAndUnGZ.bat" "%USERPROFILE%\AppData\Local\Temp\OnboardLogs"\RTDC4026\2017-01-25</v>
      </c>
      <c r="AF206" s="84" t="str">
        <f t="shared" si="93"/>
        <v>"C:\Program Files (x86)\AstroGrep\AstroGrep.exe" /spath="%USERPROFILE%\AppData\Local\Temp\OnboardLogs" /stypes="app*4026*20170124*" /stext=" 10:.+((SYSTEM_STATE.+slice.+state.+changed )|(ment ac)|(multiple cpu faults)|(system.+state.+changed )|(\[timeout)|(PRM\|1\|D)|(kpr)|(kdp)|(\|lc)|(penalty))" /e /r /s</v>
      </c>
      <c r="AG206" s="1" t="str">
        <f t="shared" si="94"/>
        <v>Other</v>
      </c>
      <c r="AH206" s="88" t="str">
        <f t="shared" si="78"/>
        <v>"%USERPROFILE%\Documents\GitHub\eaglep3\Utilities\RefineRTDCRunTimes.py" --tripid 306-24 --locoid 4026 --swversion DE.1.0.8.0 --startMP 300:23262 --initTime 2017-01-24T03:39:29 --startdatetime 2017-01-24T03:43:17 --delay 3 --endMP 204:101 --enddatetime 2017-01-24T03:52:13 --enforcementcount 0 &gt;&gt;C:\Users\stu\Documents\GitHub\eaglep3-reporting\EC\2017-01-24-refined-times.txt</v>
      </c>
      <c r="AI206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{"issue":{"subject":"","project_id":79,"tracker_id":40,"status_id":1,"priority_id":2,"assigned_to_id":23,"start_date":"2017-01-24","description":"","custom_fields":[{"id":1,"name":"Subdivision","value":"Other"},{"id":4,"name":"Milepost","value":"0.0101"},{"id":17,"name":"Train ID","value":"306-24"},{"id":16,"name":"Locomotive ID","value":"4026"},{"id":130,"name":"Impact","value":""},{"id":150,"name":"Time of Event (Mountain Time)","value":"03:52:13"},{"id":151,"name":"Denver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80"/>
        <v>start /low /b %USERPROFILE%\Documents\GitHub\eaglep3\Utilities\DownloadLogsFromS3.py --loco 4026 --day 2017-01-24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"%USERPROFILE%\AppData\Local\Temp\OnboardLogs"\RTDC4026\*4026*20170124* | grep -SE "(Enforcement Action)|(\[TIMEOUT)|(CHR.+\|PRM\|1\|D.+(SWITCH|SIGNAL).+UNKNOWN)" - &gt;&gt; 2017-01-24-UncaughtWiMAX.txt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4" t="s">
        <v>663</v>
      </c>
      <c r="B207" s="7">
        <v>4018</v>
      </c>
      <c r="C207" s="22" t="s">
        <v>196</v>
      </c>
      <c r="D207" s="22" t="s">
        <v>425</v>
      </c>
      <c r="E207" s="13">
        <v>42759.818865740737</v>
      </c>
      <c r="F207" s="13">
        <v>25568.708333333332</v>
      </c>
      <c r="G207" s="7">
        <v>1</v>
      </c>
      <c r="H207" s="22" t="s">
        <v>277</v>
      </c>
      <c r="I207" s="13">
        <v>25568.708333333332</v>
      </c>
      <c r="J207" s="7">
        <v>0</v>
      </c>
      <c r="K207" s="105" t="str">
        <f t="shared" si="85"/>
        <v>4017/4018</v>
      </c>
      <c r="L207" s="22" t="str">
        <f>VLOOKUP(A207,'Trips&amp;Operators'!$C$1:$G$99999,5,FALSE)</f>
        <v>BRANNON JEFFREY</v>
      </c>
      <c r="M207" s="6">
        <f t="shared" si="86"/>
        <v>0</v>
      </c>
      <c r="N207" s="7">
        <f t="shared" si="81"/>
        <v>0</v>
      </c>
      <c r="O207" s="7"/>
      <c r="P207" s="7"/>
      <c r="Q207" s="23"/>
      <c r="R207" s="23"/>
      <c r="S207" s="32">
        <f t="shared" si="82"/>
        <v>1</v>
      </c>
      <c r="T207" s="47" t="str">
        <f t="shared" si="87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88"/>
        <v>https://d0f6bd738d7f1b3e5a7ca70fe4ff75f0.us-east-1.aws.found.io/app/kibana#/discover/Steve-Slow-Train-Analysis-(2080s-and-2083s)?_g=(refreshInterval:(display:Off,pause:!f,section:0,value:0),time:(from:'2017-01-24T18:39:10-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49" t="str">
        <f t="shared" si="89"/>
        <v>Y</v>
      </c>
      <c r="X207" s="170">
        <f t="shared" si="95"/>
        <v>1</v>
      </c>
      <c r="Y207" s="64">
        <f t="shared" si="83"/>
        <v>4.7800000000000002E-2</v>
      </c>
      <c r="Z207" s="64">
        <f t="shared" si="84"/>
        <v>2.3302</v>
      </c>
      <c r="AA207" s="64">
        <f t="shared" si="90"/>
        <v>2.2824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91"/>
        <v>0307-24</v>
      </c>
      <c r="AE207" s="87" t="str">
        <f t="shared" si="92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7" s="84" t="str">
        <f t="shared" si="93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7" s="1" t="str">
        <f t="shared" si="94"/>
        <v>Other</v>
      </c>
      <c r="AH207" s="88" t="str">
        <f t="shared" si="78"/>
        <v>"%USERPROFILE%\Documents\GitHub\eaglep3\Utilities\RefineRTDCRunTimes.py" --tripid 307-24 --locoid 4018 --swversion DE.1.0.8.0 --startMP 204:478 --initTime 2017-01-24T19:39:10 --startdatetime 1969-12-31T17:00:00 --delay 1 --endMP 300:23302 --enddatetime 1969-12-31T17:00:00 --enforcementcount 0 &gt;&gt;C:\Users\stu\Documents\GitHub\eaglep3-reporting\EC\2017-01-24-refined-times.txt</v>
      </c>
      <c r="AI207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ID","value":"307-24"},{"id":16,"name":"Locomotive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80"/>
        <v>start /low /b %USERPROFILE%\Documents\GitHub\eaglep3\Utilities\DownloadLogsFromS3.py --loco 4018 --day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2017-01-24-UncaughtWiMAX.txt</v>
      </c>
    </row>
    <row r="208" spans="1:91" x14ac:dyDescent="0.25">
      <c r="A208" s="34" t="s">
        <v>500</v>
      </c>
      <c r="B208" s="7">
        <v>4010</v>
      </c>
      <c r="C208" s="22" t="s">
        <v>196</v>
      </c>
      <c r="D208" s="22" t="s">
        <v>785</v>
      </c>
      <c r="E208" s="13">
        <v>42759.174409722225</v>
      </c>
      <c r="F208" s="13">
        <v>42759.176180555558</v>
      </c>
      <c r="G208" s="7">
        <v>1</v>
      </c>
      <c r="H208" s="22" t="s">
        <v>205</v>
      </c>
      <c r="I208" s="13">
        <v>42759.182488425926</v>
      </c>
      <c r="J208" s="7">
        <v>0</v>
      </c>
      <c r="K208" s="105" t="str">
        <f t="shared" si="85"/>
        <v>4009/4010</v>
      </c>
      <c r="L208" s="22" t="str">
        <f>VLOOKUP(A208,'Trips&amp;Operators'!$C$1:$G$99999,5,FALSE)</f>
        <v>BONDS REYNALDO</v>
      </c>
      <c r="M208" s="6">
        <f t="shared" si="86"/>
        <v>6.3078703678911552E-3</v>
      </c>
      <c r="N208" s="7">
        <f t="shared" si="81"/>
        <v>9.0833333297632635</v>
      </c>
      <c r="O208" s="7"/>
      <c r="P208" s="7"/>
      <c r="Q208" s="23"/>
      <c r="R208" s="23"/>
      <c r="S208" s="32">
        <f t="shared" si="82"/>
        <v>1</v>
      </c>
      <c r="T208" s="47" t="str">
        <f t="shared" si="87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88"/>
        <v>https://d0f6bd738d7f1b3e5a7ca70fe4ff75f0.us-east-1.aws.found.io/app/kibana#/discover/Steve-Slow-Train-Analysis-(2080s-and-2083s)?_g=(refreshInterval:(display:Off,pause:!f,section:0,value:0),time:(from:'2017-01-24T03:11:09-0700',mode:absolute,to:'2017-01-24T05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8" s="49" t="str">
        <f t="shared" si="89"/>
        <v>Y</v>
      </c>
      <c r="X208" s="170">
        <f t="shared" si="95"/>
        <v>1</v>
      </c>
      <c r="Y208" s="64">
        <f t="shared" si="83"/>
        <v>2.2229000000000001</v>
      </c>
      <c r="Z208" s="64">
        <f t="shared" si="84"/>
        <v>1.4500000000000001E-2</v>
      </c>
      <c r="AA208" s="64">
        <f t="shared" si="90"/>
        <v>2.2084000000000001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91"/>
        <v>0308-24</v>
      </c>
      <c r="AE208" s="87" t="str">
        <f t="shared" si="92"/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AF208" s="84" t="str">
        <f t="shared" si="93"/>
        <v>"C:\Program Files (x86)\AstroGrep\AstroGrep.exe" /spath="%USERPROFILE%\AppData\Local\Temp\OnboardLogs" /stypes="app*4010*20170124*" /stext=" 11:.+((SYSTEM_STATE.+slice.+state.+changed )|(ment ac)|(multiple cpu faults)|(system.+state.+changed )|(\[timeout)|(PRM\|1\|D)|(kpr)|(kdp)|(\|lc)|(penalty))" /e /r /s</v>
      </c>
      <c r="AG208" s="1" t="str">
        <f t="shared" si="94"/>
        <v>Other</v>
      </c>
      <c r="AH208" s="88" t="str">
        <f t="shared" si="78"/>
        <v>"%USERPROFILE%\Documents\GitHub\eaglep3\Utilities\RefineRTDCRunTimes.py" --tripid 308-24 --locoid 4010 --swversion DE.1.0.8.0 --startMP 300:22229 --initTime 2017-01-24T04:11:09 --startdatetime 2017-01-24T04:13:42 --delay 1 --endMP 204:145 --enddatetime 2017-01-24T04:22:47 --enforcementcount 0 &gt;&gt;C:\Users\stu\Documents\GitHub\eaglep3-reporting\EC\2017-01-24-refined-times.txt</v>
      </c>
      <c r="AI208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{"issue":{"subject":"","project_id":79,"tracker_id":40,"status_id":1,"priority_id":2,"assigned_to_id":23,"start_date":"2017-01-24","description":"","custom_fields":[{"id":1,"name":"Subdivision","value":"Other"},{"id":4,"name":"Milepost","value":"0.0145"},{"id":17,"name":"Train ID","value":"308-24"},{"id":16,"name":"Locomotive ID","value":"4010"},{"id":130,"name":"Impact","value":""},{"id":150,"name":"Time of Event (Mountain Time)","value":"04:22:47"},{"id":151,"name":"Denver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80"/>
        <v>start /low /b %USERPROFILE%\Documents\GitHub\eaglep3\Utilities\DownloadLogsFromS3.py --loco 4010 --day 2017-01-24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2017-01-24-UncaughtWiMAX.txt</v>
      </c>
    </row>
    <row r="209" spans="1:91" x14ac:dyDescent="0.25">
      <c r="A209" s="34" t="s">
        <v>689</v>
      </c>
      <c r="B209" s="7">
        <v>4009</v>
      </c>
      <c r="C209" s="22" t="s">
        <v>196</v>
      </c>
      <c r="D209" s="22" t="s">
        <v>343</v>
      </c>
      <c r="E209" s="13">
        <v>42760.029976851853</v>
      </c>
      <c r="F209" s="13">
        <v>42760.031423611108</v>
      </c>
      <c r="G209" s="7">
        <v>1</v>
      </c>
      <c r="H209" s="22" t="s">
        <v>786</v>
      </c>
      <c r="I209" s="13">
        <v>42760.037673611114</v>
      </c>
      <c r="J209" s="7">
        <v>0</v>
      </c>
      <c r="K209" s="105" t="str">
        <f t="shared" si="85"/>
        <v>4009/4010</v>
      </c>
      <c r="L209" s="22" t="str">
        <f>VLOOKUP(A209,'Trips&amp;Operators'!$C$1:$G$99999,5,FALSE)</f>
        <v>CHANDLER KELVIN</v>
      </c>
      <c r="M209" s="6">
        <f t="shared" si="86"/>
        <v>6.2500000058207661E-3</v>
      </c>
      <c r="N209" s="7">
        <f t="shared" si="81"/>
        <v>9.0000000083819032</v>
      </c>
      <c r="O209" s="7"/>
      <c r="P209" s="7"/>
      <c r="Q209" s="23"/>
      <c r="R209" s="23"/>
      <c r="S209" s="32">
        <f t="shared" si="82"/>
        <v>1</v>
      </c>
      <c r="T209" s="47" t="str">
        <f t="shared" si="87"/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88"/>
        <v>https://d0f6bd738d7f1b3e5a7ca70fe4ff75f0.us-east-1.aws.found.io/app/kibana#/discover/Steve-Slow-Train-Analysis-(2080s-and-2083s)?_g=(refreshInterval:(display:Off,pause:!f,section:0,value:0),time:(from:'2017-01-24T23:43:10-0700',mode:absolute,to:'2017-01-25T01:54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49" t="str">
        <f t="shared" si="89"/>
        <v>Y</v>
      </c>
      <c r="X209" s="170">
        <f t="shared" si="95"/>
        <v>1</v>
      </c>
      <c r="Y209" s="64">
        <f t="shared" si="83"/>
        <v>4.7100000000000003E-2</v>
      </c>
      <c r="Z209" s="64">
        <f t="shared" si="84"/>
        <v>2.3290999999999999</v>
      </c>
      <c r="AA209" s="64">
        <f t="shared" si="90"/>
        <v>2.282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91"/>
        <v>0309-24</v>
      </c>
      <c r="AE209" s="87" t="str">
        <f t="shared" si="92"/>
        <v>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 &amp; 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</v>
      </c>
      <c r="AF209" s="84" t="str">
        <f t="shared" si="93"/>
        <v>"C:\Program Files (x86)\AstroGrep\AstroGrep.exe" /spath="%USERPROFILE%\AppData\Local\Temp\OnboardLogs" /stypes="app*4009*20170125*" /stext=" 07:.+((SYSTEM_STATE.+slice.+state.+changed )|(ment ac)|(multiple cpu faults)|(system.+state.+changed )|(\[timeout)|(PRM\|1\|D)|(kpr)|(kdp)|(\|lc)|(penalty))" /e /r /s</v>
      </c>
      <c r="AG209" s="1" t="str">
        <f t="shared" si="94"/>
        <v>Other</v>
      </c>
      <c r="AH209" s="88" t="str">
        <f t="shared" si="78"/>
        <v>"%USERPROFILE%\Documents\GitHub\eaglep3\Utilities\RefineRTDCRunTimes.py" --tripid 309-24 --locoid 4009 --swversion DE.1.0.8.0 --startMP 204:471 --initTime 2017-01-25T00:43:10 --startdatetime 2017-01-25T00:45:15 --delay 1 --endMP 300:23291 --enddatetime 2017-01-25T00:54:15 --enforcementcount 0 &gt;&gt;C:\Users\stu\Documents\GitHub\eaglep3-reporting\EC\2017-01-24-refined-times.txt</v>
      </c>
      <c r="AI209" s="115" t="str">
        <f t="shared" si="79"/>
        <v>echo {"issue":{"subject":"","project_id":79,"tracker_id":40,"status_id":1,"priority_id":2,"assigned_to_id":23,"start_date":"2017-01-25","description":"","custom_fields":[{"id":1,"name":"Subdivision","value":"Other"},{"id":4,"name":"Milepost","value":"2.3291"},{"id":17,"name":"Train ID","value":"309-24"},{"id":16,"name":"Locomotive ID","value":"4009"},{"id":130,"name":"Impact","value":""},{"id":150,"name":"Time of Event (Mountain Time)","value":"00:54:15"},{"id":151,"name":"Denver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80"/>
        <v>start /low /b %USERPROFILE%\Documents\GitHub\eaglep3\Utilities\DownloadLogsFromS3.py --loco 4009 --day 2017-01-25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"%USERPROFILE%\AppData\Local\Temp\OnboardLogs"\RTDC4009\*4009*20170125* | grep -SE "(Enforcement Action)|(\[TIMEOUT)|(CHR.+\|PRM\|1\|D.+(SWITCH|SIGNAL).+UNKNOWN)" - &gt;&gt; 2017-01-24-UncaughtWiMAX.txt</v>
      </c>
    </row>
    <row r="210" spans="1:91" s="21" customFormat="1" x14ac:dyDescent="0.25">
      <c r="A210" s="34" t="s">
        <v>502</v>
      </c>
      <c r="B210" s="7">
        <v>4052</v>
      </c>
      <c r="C210" s="22" t="s">
        <v>196</v>
      </c>
      <c r="D210" s="22" t="s">
        <v>787</v>
      </c>
      <c r="E210" s="13">
        <v>42759.184664351851</v>
      </c>
      <c r="F210" s="13">
        <v>42759.185960648145</v>
      </c>
      <c r="G210" s="7">
        <v>1</v>
      </c>
      <c r="H210" s="22" t="s">
        <v>403</v>
      </c>
      <c r="I210" s="13">
        <v>42759.19258101852</v>
      </c>
      <c r="J210" s="7">
        <v>0</v>
      </c>
      <c r="K210" s="105" t="str">
        <f t="shared" si="85"/>
        <v>4051/4052</v>
      </c>
      <c r="L210" s="22" t="str">
        <f>VLOOKUP(A210,'Trips&amp;Operators'!$C$1:$G$99999,5,FALSE)</f>
        <v>DAVIS WENDY</v>
      </c>
      <c r="M210" s="6">
        <f t="shared" si="86"/>
        <v>6.6203703754581511E-3</v>
      </c>
      <c r="N210" s="7">
        <f t="shared" si="81"/>
        <v>9.5333333406597376</v>
      </c>
      <c r="O210" s="7"/>
      <c r="P210" s="7"/>
      <c r="Q210" s="23"/>
      <c r="R210" s="23"/>
      <c r="S210" s="32">
        <f t="shared" si="82"/>
        <v>1</v>
      </c>
      <c r="T210" s="47" t="str">
        <f t="shared" si="87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88"/>
        <v>https://d0f6bd738d7f1b3e5a7ca70fe4ff75f0.us-east-1.aws.found.io/app/kibana#/discover/Steve-Slow-Train-Analysis-(2080s-and-2083s)?_g=(refreshInterval:(display:Off,pause:!f,section:0,value:0),time:(from:'2017-01-24T03:25:55-0700',mode:absolute,to:'2017-01-24T05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49" t="str">
        <f t="shared" si="89"/>
        <v>Y</v>
      </c>
      <c r="X210" s="170">
        <f t="shared" si="95"/>
        <v>1</v>
      </c>
      <c r="Y210" s="64">
        <f t="shared" si="83"/>
        <v>2.3405999999999998</v>
      </c>
      <c r="Z210" s="64">
        <f t="shared" si="84"/>
        <v>1.3599999999999999E-2</v>
      </c>
      <c r="AA210" s="64">
        <f t="shared" si="90"/>
        <v>2.327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91"/>
        <v>0310-24</v>
      </c>
      <c r="AE210" s="87" t="str">
        <f t="shared" si="92"/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AF210" s="84" t="str">
        <f t="shared" si="93"/>
        <v>"C:\Program Files (x86)\AstroGrep\AstroGrep.exe" /spath="%USERPROFILE%\AppData\Local\Temp\OnboardLogs" /stypes="app*4052*20170124*" /stext=" 11:.+((SYSTEM_STATE.+slice.+state.+changed )|(ment ac)|(multiple cpu faults)|(system.+state.+changed )|(\[timeout)|(PRM\|1\|D)|(kpr)|(kdp)|(\|lc)|(penalty))" /e /r /s</v>
      </c>
      <c r="AG210" s="1" t="str">
        <f t="shared" si="94"/>
        <v>Other</v>
      </c>
      <c r="AH210" s="88" t="str">
        <f t="shared" si="78"/>
        <v>"%USERPROFILE%\Documents\GitHub\eaglep3\Utilities\RefineRTDCRunTimes.py" --tripid 310-24 --locoid 4052 --swversion DE.1.0.8.0 --startMP 300:23406 --initTime 2017-01-24T04:25:55 --startdatetime 2017-01-24T04:27:47 --delay 1 --endMP 204:136 --enddatetime 2017-01-24T04:37:19 --enforcementcount 0 &gt;&gt;C:\Users\stu\Documents\GitHub\eaglep3-reporting\EC\2017-01-24-refined-times.txt</v>
      </c>
      <c r="AI210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{"issue":{"subject":"","project_id":79,"tracker_id":40,"status_id":1,"priority_id":2,"assigned_to_id":23,"start_date":"2017-01-24","description":"","custom_fields":[{"id":1,"name":"Subdivision","value":"Other"},{"id":4,"name":"Milepost","value":"0.0136"},{"id":17,"name":"Train ID","value":"310-24"},{"id":16,"name":"Locomotive ID","value":"4052"},{"id":130,"name":"Impact","value":""},{"id":150,"name":"Time of Event (Mountain Time)","value":"04:37:19"},{"id":151,"name":"Denver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80"/>
        <v>start /low /b %USERPROFILE%\Documents\GitHub\eaglep3\Utilities\DownloadLogsFromS3.py --loco 4052 --day 2017-01-24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2017-01-24-UncaughtWiMAX.txt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4" t="s">
        <v>691</v>
      </c>
      <c r="B211" s="7">
        <v>4025</v>
      </c>
      <c r="C211" s="22" t="s">
        <v>196</v>
      </c>
      <c r="D211" s="22" t="s">
        <v>216</v>
      </c>
      <c r="E211" s="13">
        <v>42760.047627314816</v>
      </c>
      <c r="F211" s="13">
        <v>25568.708333333332</v>
      </c>
      <c r="G211" s="7">
        <v>1</v>
      </c>
      <c r="H211" s="22" t="s">
        <v>430</v>
      </c>
      <c r="I211" s="13">
        <v>25568.708333333332</v>
      </c>
      <c r="J211" s="7">
        <v>0</v>
      </c>
      <c r="K211" s="105" t="str">
        <f t="shared" si="85"/>
        <v>4025/4026</v>
      </c>
      <c r="L211" s="22" t="str">
        <f>VLOOKUP(A211,'Trips&amp;Operators'!$C$1:$G$99999,5,FALSE)</f>
        <v>NEWELL JAMES</v>
      </c>
      <c r="M211" s="6">
        <f t="shared" si="86"/>
        <v>0</v>
      </c>
      <c r="N211" s="7">
        <f t="shared" si="81"/>
        <v>0</v>
      </c>
      <c r="O211" s="7"/>
      <c r="P211" s="7"/>
      <c r="Q211" s="23"/>
      <c r="R211" s="23"/>
      <c r="S211" s="32">
        <f t="shared" si="82"/>
        <v>1</v>
      </c>
      <c r="T211" s="47" t="str">
        <f t="shared" si="87"/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88"/>
        <v>https://d0f6bd738d7f1b3e5a7ca70fe4ff75f0.us-east-1.aws.found.io/app/kibana#/discover/Steve-Slow-Train-Analysis-(2080s-and-2083s)?_g=(refreshInterval:(display:Off,pause:!f,section:0,value:0),time:(from:'2017-01-25T00:08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1" s="49" t="str">
        <f t="shared" si="89"/>
        <v>Y</v>
      </c>
      <c r="X211" s="170">
        <f t="shared" si="95"/>
        <v>1</v>
      </c>
      <c r="Y211" s="64">
        <f t="shared" si="83"/>
        <v>4.6199999999999998E-2</v>
      </c>
      <c r="Z211" s="64">
        <f t="shared" si="84"/>
        <v>2.331</v>
      </c>
      <c r="AA211" s="64">
        <f t="shared" si="90"/>
        <v>2.2848000000000002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91"/>
        <v>0311-24</v>
      </c>
      <c r="AE211" s="87" t="str">
        <f t="shared" si="92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1" s="84" t="str">
        <f t="shared" si="93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11" s="1" t="str">
        <f t="shared" si="94"/>
        <v>Other</v>
      </c>
      <c r="AH211" s="88" t="str">
        <f t="shared" si="78"/>
        <v>"%USERPROFILE%\Documents\GitHub\eaglep3\Utilities\RefineRTDCRunTimes.py" --tripid 311-24 --locoid 4025 --swversion DE.1.0.8.0 --startMP 204:462 --initTime 2017-01-25T01:08:35 --startdatetime 1969-12-31T17:00:00 --delay 1 --endMP 300:23310 --enddatetime 1969-12-31T17:00:00 --enforcementcount 0 &gt;&gt;C:\Users\stu\Documents\GitHub\eaglep3-reporting\EC\2017-01-24-refined-times.txt</v>
      </c>
      <c r="AI211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ID","value":"311-24"},{"id":16,"name":"Locomotive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80"/>
        <v>start /low /b %USERPROFILE%\Documents\GitHub\eaglep3\Utilities\DownloadLogsFromS3.py --loco 4025 --day 1969-12-31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2017-01-24-UncaughtWiMAX.txt</v>
      </c>
    </row>
    <row r="212" spans="1:91" s="21" customFormat="1" x14ac:dyDescent="0.25">
      <c r="A212" s="34" t="s">
        <v>694</v>
      </c>
      <c r="B212" s="7">
        <v>4038</v>
      </c>
      <c r="C212" s="22" t="s">
        <v>196</v>
      </c>
      <c r="D212" s="22" t="s">
        <v>410</v>
      </c>
      <c r="E212" s="13">
        <v>42760.068391203706</v>
      </c>
      <c r="F212" s="13">
        <v>25568.708333333332</v>
      </c>
      <c r="G212" s="7">
        <v>1</v>
      </c>
      <c r="H212" s="22" t="s">
        <v>277</v>
      </c>
      <c r="I212" s="13">
        <v>25568.708333333332</v>
      </c>
      <c r="J212" s="7">
        <v>0</v>
      </c>
      <c r="K212" s="105" t="str">
        <f t="shared" si="85"/>
        <v>4037/4038</v>
      </c>
      <c r="L212" s="22" t="str">
        <f>VLOOKUP(A212,'Trips&amp;Operators'!$C$1:$G$99999,5,FALSE)</f>
        <v>STORY SAMANTHA</v>
      </c>
      <c r="M212" s="6">
        <f t="shared" si="86"/>
        <v>0</v>
      </c>
      <c r="N212" s="7">
        <f t="shared" si="81"/>
        <v>0</v>
      </c>
      <c r="O212" s="7"/>
      <c r="P212" s="7"/>
      <c r="Q212" s="23"/>
      <c r="R212" s="23"/>
      <c r="S212" s="32">
        <f t="shared" si="82"/>
        <v>1</v>
      </c>
      <c r="T212" s="47" t="str">
        <f t="shared" si="87"/>
        <v>NorthBound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88"/>
        <v>https://d0f6bd738d7f1b3e5a7ca70fe4ff75f0.us-east-1.aws.found.io/app/kibana#/discover/Steve-Slow-Train-Analysis-(2080s-and-2083s)?_g=(refreshInterval:(display:Off,pause:!f,section:0,value:0),time:(from:'2017-01-25T00:38:29-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2" s="49" t="str">
        <f t="shared" si="89"/>
        <v>Y</v>
      </c>
      <c r="X212" s="170">
        <f t="shared" si="95"/>
        <v>2</v>
      </c>
      <c r="Y212" s="64">
        <f t="shared" si="83"/>
        <v>4.3799999999999999E-2</v>
      </c>
      <c r="Z212" s="64">
        <f t="shared" si="84"/>
        <v>2.3302</v>
      </c>
      <c r="AA212" s="64">
        <f t="shared" si="90"/>
        <v>2.2864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91"/>
        <v>0313-24</v>
      </c>
      <c r="AE212" s="87" t="str">
        <f t="shared" si="92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2" s="84" t="str">
        <f t="shared" si="93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12" s="1" t="str">
        <f t="shared" si="94"/>
        <v>Other</v>
      </c>
      <c r="AH212" s="88" t="str">
        <f t="shared" si="78"/>
        <v>"%USERPROFILE%\Documents\GitHub\eaglep3\Utilities\RefineRTDCRunTimes.py" --tripid 313-24 --locoid 4038 --swversion DE.1.0.8.0 --startMP 204:438 --initTime 2017-01-25T01:38:29 --startdatetime 1969-12-31T17:00:00 --delay 1 --endMP 300:23302 --enddatetime 1969-12-31T17:00:00 --enforcementcount 0 &gt;&gt;C:\Users\stu\Documents\GitHub\eaglep3-reporting\EC\2017-01-24-refined-times.txt</v>
      </c>
      <c r="AI212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ID","value":"313-24"},{"id":16,"name":"Locomotive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80"/>
        <v>start /low /b %USERPROFILE%\Documents\GitHub\eaglep3\Utilities\DownloadLogsFromS3.py --loco 4038 --day 1969-12-31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"%USERPROFILE%\AppData\Local\Temp\OnboardLogs"\RTDC4038\*4038*19700101* | grep -SE "(Enforcement Action)|(\[TIMEOUT)|(CHR.+\|PRM\|1\|D.+(SWITCH|SIGNAL).+UNKNOWN)" - &gt;&gt; 2017-01-24-UncaughtWiMAX.txt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401</v>
      </c>
      <c r="B213" s="7">
        <v>4022</v>
      </c>
      <c r="C213" s="22" t="s">
        <v>196</v>
      </c>
      <c r="D213" s="22" t="s">
        <v>364</v>
      </c>
      <c r="E213" s="13">
        <v>42759.089502314811</v>
      </c>
      <c r="F213" s="13">
        <v>25568.708333333332</v>
      </c>
      <c r="G213" s="7">
        <v>2</v>
      </c>
      <c r="H213" s="22" t="s">
        <v>277</v>
      </c>
      <c r="I213" s="13">
        <v>25568.708333333332</v>
      </c>
      <c r="J213" s="7">
        <v>0</v>
      </c>
      <c r="K213" s="105" t="str">
        <f t="shared" si="85"/>
        <v>4021/4022</v>
      </c>
      <c r="L213" s="22" t="str">
        <f>VLOOKUP(A213,'Trips&amp;Operators'!$C$1:$G$99999,5,FALSE)</f>
        <v>STORY SAMANTHA</v>
      </c>
      <c r="M213" s="6">
        <f t="shared" si="86"/>
        <v>0</v>
      </c>
      <c r="N213" s="7">
        <f t="shared" si="81"/>
        <v>0</v>
      </c>
      <c r="O213" s="7"/>
      <c r="P213" s="7"/>
      <c r="Q213" s="23"/>
      <c r="R213" s="23"/>
      <c r="S213" s="32">
        <f t="shared" si="82"/>
        <v>1</v>
      </c>
      <c r="T213" s="47" t="str">
        <f t="shared" si="87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88"/>
        <v>https://d0f6bd738d7f1b3e5a7ca70fe4ff75f0.us-east-1.aws.found.io/app/kibana#/discover/Steve-Slow-Train-Analysis-(2080s-and-2083s)?_g=(refreshInterval:(display:Off,pause:!f,section:0,value:0),time:(from:'2017-01-24T01:08:53-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3" s="49" t="str">
        <f t="shared" si="89"/>
        <v>Y</v>
      </c>
      <c r="X213" s="170">
        <f t="shared" si="95"/>
        <v>2</v>
      </c>
      <c r="Y213" s="64">
        <f t="shared" si="83"/>
        <v>4.3099999999999999E-2</v>
      </c>
      <c r="Z213" s="64">
        <f t="shared" si="84"/>
        <v>2.3302</v>
      </c>
      <c r="AA213" s="64">
        <f t="shared" si="90"/>
        <v>2.2871000000000001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91"/>
        <v>0315-23</v>
      </c>
      <c r="AE213" s="87" t="str">
        <f t="shared" si="92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3" s="84" t="str">
        <f t="shared" si="93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3" s="1" t="str">
        <f t="shared" si="94"/>
        <v>Other</v>
      </c>
      <c r="AH213" s="88" t="str">
        <f t="shared" si="78"/>
        <v>"%USERPROFILE%\Documents\GitHub\eaglep3\Utilities\RefineRTDCRunTimes.py" --tripid 315-23 --locoid 4022 --swversion DE.1.0.8.0 --startMP 204:431 --initTime 2017-01-24T02:08:53 --startdatetime 1969-12-31T17:00:00 --delay 2 --endMP 300:23302 --enddatetime 1969-12-31T17:00:00 --enforcementcount 0 &gt;&gt;C:\Users\stu\Documents\GitHub\eaglep3-reporting\EC\2017-01-24-refined-times.txt</v>
      </c>
      <c r="AI213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ID","value":"315-23"},{"id":16,"name":"Locomotive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80"/>
        <v>start /low /b %USERPROFILE%\Documents\GitHub\eaglep3\Utilities\DownloadLogsFromS3.py --loco 4022 --day 1969-12-31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2017-01-24-UncaughtWiMAX.txt</v>
      </c>
    </row>
    <row r="214" spans="1:91" x14ac:dyDescent="0.25">
      <c r="A214" s="34" t="s">
        <v>508</v>
      </c>
      <c r="B214" s="7">
        <v>4044</v>
      </c>
      <c r="C214" s="22" t="s">
        <v>196</v>
      </c>
      <c r="D214" s="22" t="s">
        <v>859</v>
      </c>
      <c r="E214" s="13">
        <v>42759.200046296297</v>
      </c>
      <c r="F214" s="13">
        <v>42759.201111111113</v>
      </c>
      <c r="G214" s="7">
        <v>1</v>
      </c>
      <c r="H214" s="22" t="s">
        <v>449</v>
      </c>
      <c r="I214" s="13">
        <v>42759.206354166665</v>
      </c>
      <c r="J214" s="7">
        <v>0</v>
      </c>
      <c r="K214" s="105" t="str">
        <f t="shared" si="85"/>
        <v>4043/4044</v>
      </c>
      <c r="L214" s="22" t="str">
        <f>VLOOKUP(A214,'Trips&amp;Operators'!$C$1:$G$99999,5,FALSE)</f>
        <v>YORK EDGAR</v>
      </c>
      <c r="M214" s="6">
        <f t="shared" si="86"/>
        <v>5.2430555515456945E-3</v>
      </c>
      <c r="N214" s="7">
        <f t="shared" si="81"/>
        <v>7.5499999942258</v>
      </c>
      <c r="O214" s="7"/>
      <c r="P214" s="7"/>
      <c r="Q214" s="23"/>
      <c r="R214" s="23"/>
      <c r="S214" s="32">
        <f t="shared" si="82"/>
        <v>0</v>
      </c>
      <c r="T214" s="47" t="str">
        <f t="shared" si="87"/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88"/>
        <v>https://d0f6bd738d7f1b3e5a7ca70fe4ff75f0.us-east-1.aws.found.io/app/kibana#/discover/Steve-Slow-Train-Analysis-(2080s-and-2083s)?_g=(refreshInterval:(display:Off,pause:!f,section:0,value:0),time:(from:'2017-01-24T03:48:04-0700',mode:absolute,to:'2017-01-24T05:57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49" t="str">
        <f t="shared" si="89"/>
        <v>Y</v>
      </c>
      <c r="X214" s="170">
        <f t="shared" si="95"/>
        <v>586</v>
      </c>
      <c r="Y214" s="64">
        <f t="shared" si="83"/>
        <v>3.0068999999999999</v>
      </c>
      <c r="Z214" s="64">
        <f t="shared" si="84"/>
        <v>5.8916000000000004</v>
      </c>
      <c r="AA214" s="64">
        <f t="shared" si="90"/>
        <v>2.8847000000000005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91"/>
        <v>0901-24</v>
      </c>
      <c r="AE214" s="87" t="str">
        <f t="shared" si="92"/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AF214" s="84" t="str">
        <f t="shared" si="93"/>
        <v>"C:\Program Files (x86)\AstroGrep\AstroGrep.exe" /spath="%USERPROFILE%\AppData\Local\Temp\OnboardLogs" /stypes="app*4044*20170124*" /stext=" 11:.+((SYSTEM_STATE.+slice.+state.+changed )|(ment ac)|(multiple cpu faults)|(system.+state.+changed )|(\[timeout)|(PRM\|1\|D)|(kpr)|(kdp)|(\|lc)|(penalty))" /e /r /s</v>
      </c>
      <c r="AG214" s="1" t="str">
        <f t="shared" si="94"/>
        <v>Other</v>
      </c>
      <c r="AH214" s="88" t="str">
        <f t="shared" si="78"/>
        <v>"%USERPROFILE%\Documents\GitHub\eaglep3\Utilities\RefineRTDCRunTimes.py" --tripid 901-24 --locoid 4044 --swversion DE.1.0.8.0 --startMP 300:30069 --initTime 2017-01-24T04:48:04 --startdatetime 2017-01-24T04:49:36 --delay 1 --endMP 300:58916 --enddatetime 2017-01-24T04:57:09 --enforcementcount 0 &gt;&gt;C:\Users\stu\Documents\GitHub\eaglep3-reporting\EC\2017-01-24-refined-times.txt</v>
      </c>
      <c r="AI214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{"issue":{"subject":"","project_id":79,"tracker_id":40,"status_id":1,"priority_id":2,"assigned_to_id":23,"start_date":"2017-01-24","description":"","custom_fields":[{"id":1,"name":"Subdivision","value":"Other"},{"id":4,"name":"Milepost","value":"5.8916"},{"id":17,"name":"Train ID","value":"901-24"},{"id":16,"name":"Locomotive ID","value":"4044"},{"id":130,"name":"Impact","value":""},{"id":150,"name":"Time of Event (Mountain Time)","value":"04:57:09"},{"id":151,"name":"Denver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80"/>
        <v>start /low /b %USERPROFILE%\Documents\GitHub\eaglep3\Utilities\DownloadLogsFromS3.py --loco 4044 --day 2017-01-24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"%USERPROFILE%\AppData\Local\Temp\OnboardLogs"\RTDC4044\*4044*20170124* | grep -SE "(Enforcement Action)|(\[TIMEOUT)|(CHR.+\|PRM\|1\|D.+(SWITCH|SIGNAL).+UNKNOWN)" - &gt;&gt; 2017-01-24-UncaughtWiMAX.txt</v>
      </c>
    </row>
    <row r="215" spans="1:91" x14ac:dyDescent="0.25">
      <c r="A215" s="34" t="s">
        <v>456</v>
      </c>
      <c r="B215" s="7">
        <v>4039</v>
      </c>
      <c r="C215" s="22" t="s">
        <v>196</v>
      </c>
      <c r="D215" s="22" t="s">
        <v>860</v>
      </c>
      <c r="E215" s="13">
        <v>42759.238645833335</v>
      </c>
      <c r="F215" s="13">
        <v>42759.244004629632</v>
      </c>
      <c r="G215" s="7">
        <v>7</v>
      </c>
      <c r="H215" s="22" t="s">
        <v>861</v>
      </c>
      <c r="I215" s="13">
        <v>42759.249745370369</v>
      </c>
      <c r="J215" s="7">
        <v>0</v>
      </c>
      <c r="K215" s="105" t="str">
        <f t="shared" si="85"/>
        <v>4039/4040</v>
      </c>
      <c r="L215" s="22" t="str">
        <f>VLOOKUP(A215,'Trips&amp;Operators'!$C$1:$G$99999,5,FALSE)</f>
        <v>BROWN JACOB</v>
      </c>
      <c r="M215" s="6">
        <f t="shared" si="86"/>
        <v>5.7407407366554253E-3</v>
      </c>
      <c r="N215" s="7">
        <f t="shared" si="81"/>
        <v>8.2666666607838124</v>
      </c>
      <c r="O215" s="7"/>
      <c r="P215" s="7"/>
      <c r="Q215" s="23"/>
      <c r="R215" s="23"/>
      <c r="S215" s="32">
        <f t="shared" si="82"/>
        <v>1</v>
      </c>
      <c r="T215" s="47" t="str">
        <f t="shared" si="87"/>
        <v>Southbound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88"/>
        <v>https://d0f6bd738d7f1b3e5a7ca70fe4ff75f0.us-east-1.aws.found.io/app/kibana#/discover/Steve-Slow-Train-Analysis-(2080s-and-2083s)?_g=(refreshInterval:(display:Off,pause:!f,section:0,value:0),time:(from:'2017-01-24T04:43:39-0700',mode:absolute,to:'2017-01-24T06:59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5" s="49" t="str">
        <f t="shared" si="89"/>
        <v>Y</v>
      </c>
      <c r="X215" s="170">
        <f t="shared" si="95"/>
        <v>1</v>
      </c>
      <c r="Y215" s="64">
        <f t="shared" si="83"/>
        <v>2.3336000000000001</v>
      </c>
      <c r="Z215" s="64">
        <f t="shared" si="84"/>
        <v>8.1299999999999997E-2</v>
      </c>
      <c r="AA215" s="64">
        <f t="shared" si="90"/>
        <v>2.2523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91"/>
        <v>0902-24</v>
      </c>
      <c r="AE215" s="87" t="str">
        <f t="shared" si="92"/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AF215" s="84" t="str">
        <f t="shared" si="93"/>
        <v>"C:\Program Files (x86)\AstroGrep\AstroGrep.exe" /spath="%USERPROFILE%\AppData\Local\Temp\OnboardLogs" /stypes="app*4039*20170124*" /stext=" 12:.+((SYSTEM_STATE.+slice.+state.+changed )|(ment ac)|(multiple cpu faults)|(system.+state.+changed )|(\[timeout)|(PRM\|1\|D)|(kpr)|(kdp)|(\|lc)|(penalty))" /e /r /s</v>
      </c>
      <c r="AG215" s="1" t="str">
        <f t="shared" si="94"/>
        <v>Other</v>
      </c>
      <c r="AH215" s="88" t="str">
        <f t="shared" si="78"/>
        <v>"%USERPROFILE%\Documents\GitHub\eaglep3\Utilities\RefineRTDCRunTimes.py" --tripid 902-24 --locoid 4039 --swversion DE.1.0.8.0 --startMP 300:23336 --initTime 2017-01-24T05:43:39 --startdatetime 2017-01-24T05:51:22 --delay 7 --endMP 204:813 --enddatetime 2017-01-24T05:59:38 --enforcementcount 0 &gt;&gt;C:\Users\stu\Documents\GitHub\eaglep3-reporting\EC\2017-01-24-refined-times.txt</v>
      </c>
      <c r="AI215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{"issue":{"subject":"","project_id":79,"tracker_id":40,"status_id":1,"priority_id":2,"assigned_to_id":23,"start_date":"2017-01-24","description":"","custom_fields":[{"id":1,"name":"Subdivision","value":"Other"},{"id":4,"name":"Milepost","value":"0.0813"},{"id":17,"name":"Train ID","value":"902-24"},{"id":16,"name":"Locomotive ID","value":"4039"},{"id":130,"name":"Impact","value":""},{"id":150,"name":"Time of Event (Mountain Time)","value":"05:59:38"},{"id":151,"name":"Denver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80"/>
        <v>start /low /b %USERPROFILE%\Documents\GitHub\eaglep3\Utilities\DownloadLogsFromS3.py --loco 4039 --day 2017-01-24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2017-01-24-UncaughtWiMAX.txt</v>
      </c>
    </row>
    <row r="216" spans="1:91" x14ac:dyDescent="0.25">
      <c r="A216" s="34" t="s">
        <v>549</v>
      </c>
      <c r="B216" s="7">
        <v>4044</v>
      </c>
      <c r="C216" s="22" t="s">
        <v>196</v>
      </c>
      <c r="D216" s="22" t="s">
        <v>862</v>
      </c>
      <c r="E216" s="13">
        <v>42759.352037037039</v>
      </c>
      <c r="F216" s="13">
        <v>42759.353067129632</v>
      </c>
      <c r="G216" s="7">
        <v>0</v>
      </c>
      <c r="H216" s="22" t="s">
        <v>863</v>
      </c>
      <c r="I216" s="13">
        <v>42759.358229166668</v>
      </c>
      <c r="J216" s="7">
        <v>0</v>
      </c>
      <c r="K216" s="105" t="str">
        <f t="shared" si="85"/>
        <v>4043/4044</v>
      </c>
      <c r="L216" s="22" t="str">
        <f>VLOOKUP(A216,'Trips&amp;Operators'!$C$1:$G$99999,5,FALSE)</f>
        <v>YORK EDGAR</v>
      </c>
      <c r="M216" s="6">
        <f t="shared" si="86"/>
        <v>5.1620370359160006E-3</v>
      </c>
      <c r="N216" s="7">
        <f t="shared" si="81"/>
        <v>7.4333333317190409</v>
      </c>
      <c r="O216" s="7"/>
      <c r="P216" s="7"/>
      <c r="Q216" s="23"/>
      <c r="R216" s="23"/>
      <c r="S216" s="32">
        <f t="shared" si="82"/>
        <v>1</v>
      </c>
      <c r="T216" s="47" t="str">
        <f t="shared" si="87"/>
        <v>NorthBound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88"/>
        <v>https://d0f6bd738d7f1b3e5a7ca70fe4ff75f0.us-east-1.aws.found.io/app/kibana#/discover/Steve-Slow-Train-Analysis-(2080s-and-2083s)?_g=(refreshInterval:(display:Off,pause:!f,section:0,value:0),time:(from:'2017-01-24T07:26:56-0700',mode:absolute,to:'2017-01-24T09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49" t="str">
        <f t="shared" si="89"/>
        <v>Y</v>
      </c>
      <c r="X216" s="170">
        <f t="shared" si="95"/>
        <v>1</v>
      </c>
      <c r="Y216" s="64">
        <f t="shared" si="83"/>
        <v>0.1119</v>
      </c>
      <c r="Z216" s="64">
        <f t="shared" si="84"/>
        <v>2.4262999999999999</v>
      </c>
      <c r="AA216" s="64">
        <f t="shared" si="90"/>
        <v>2.3144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91"/>
        <v>0903-24</v>
      </c>
      <c r="AE216" s="87" t="str">
        <f t="shared" si="92"/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AF216" s="84" t="str">
        <f t="shared" si="93"/>
        <v>"C:\Program Files (x86)\AstroGrep\AstroGrep.exe" /spath="%USERPROFILE%\AppData\Local\Temp\OnboardLogs" /stypes="app*4044*20170124*" /stext=" 15:.+((SYSTEM_STATE.+slice.+state.+changed )|(ment ac)|(multiple cpu faults)|(system.+state.+changed )|(\[timeout)|(PRM\|1\|D)|(kpr)|(kdp)|(\|lc)|(penalty))" /e /r /s</v>
      </c>
      <c r="AG216" s="1" t="str">
        <f t="shared" si="94"/>
        <v>Other</v>
      </c>
      <c r="AH216" s="88" t="str">
        <f t="shared" si="78"/>
        <v>"%USERPROFILE%\Documents\GitHub\eaglep3\Utilities\RefineRTDCRunTimes.py" --tripid 903-24 --locoid 4044 --swversion DE.1.0.8.0 --startMP 204:1119 --initTime 2017-01-24T08:26:56 --startdatetime 2017-01-24T08:28:25 --delay 0 --endMP 300:24263 --enddatetime 2017-01-24T08:35:51 --enforcementcount 0 &gt;&gt;C:\Users\stu\Documents\GitHub\eaglep3-reporting\EC\2017-01-24-refined-times.txt</v>
      </c>
      <c r="AI216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{"issue":{"subject":"","project_id":79,"tracker_id":40,"status_id":1,"priority_id":2,"assigned_to_id":23,"start_date":"2017-01-24","description":"","custom_fields":[{"id":1,"name":"Subdivision","value":"Other"},{"id":4,"name":"Milepost","value":"2.4263"},{"id":17,"name":"Train ID","value":"903-24"},{"id":16,"name":"Locomotive ID","value":"4044"},{"id":130,"name":"Impact","value":""},{"id":150,"name":"Time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80"/>
        <v>start /low /b %USERPROFILE%\Documents\GitHub\eaglep3\Utilities\DownloadLogsFromS3.py --loco 4044 --day 2017-01-24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"%USERPROFILE%\AppData\Local\Temp\OnboardLogs"\RTDC4044\*4044*20170124* | grep -SE "(Enforcement Action)|(\[TIMEOUT)|(CHR.+\|PRM\|1\|D.+(SWITCH|SIGNAL).+UNKNOWN)" - &gt;&gt; 2017-01-24-UncaughtWiMAX.txt</v>
      </c>
    </row>
    <row r="217" spans="1:91" x14ac:dyDescent="0.25">
      <c r="A217" s="34" t="s">
        <v>660</v>
      </c>
      <c r="B217" s="7">
        <v>4043</v>
      </c>
      <c r="C217" s="22" t="s">
        <v>196</v>
      </c>
      <c r="D217" s="22" t="s">
        <v>433</v>
      </c>
      <c r="E217" s="13">
        <v>42759.798310185186</v>
      </c>
      <c r="F217" s="13">
        <v>25568.708333333332</v>
      </c>
      <c r="G217" s="7">
        <v>1</v>
      </c>
      <c r="H217" s="22" t="s">
        <v>864</v>
      </c>
      <c r="I217" s="13">
        <v>25568.708333333332</v>
      </c>
      <c r="J217" s="7">
        <v>0</v>
      </c>
      <c r="K217" s="105" t="str">
        <f t="shared" si="85"/>
        <v>4043/4044</v>
      </c>
      <c r="L217" s="22" t="str">
        <f>VLOOKUP(A217,'Trips&amp;Operators'!$C$1:$G$99999,5,FALSE)</f>
        <v>HILLS DUSTIN</v>
      </c>
      <c r="M217" s="6">
        <f t="shared" si="86"/>
        <v>0</v>
      </c>
      <c r="N217" s="7">
        <f t="shared" si="81"/>
        <v>0</v>
      </c>
      <c r="O217" s="7"/>
      <c r="P217" s="7"/>
      <c r="Q217" s="23"/>
      <c r="R217" s="23"/>
      <c r="S217" s="32">
        <f t="shared" si="82"/>
        <v>0</v>
      </c>
      <c r="T217" s="47" t="str">
        <f t="shared" si="87"/>
        <v>Southbound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88"/>
        <v>https://d0f6bd738d7f1b3e5a7ca70fe4ff75f0.us-east-1.aws.found.io/app/kibana#/discover/Steve-Slow-Train-Analysis-(2080s-and-2083s)?_g=(refreshInterval:(display:Off,pause:!f,section:0,value:0),time:(from:'2017-01-24T18:09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7" s="49" t="str">
        <f t="shared" si="89"/>
        <v>Y</v>
      </c>
      <c r="X217" s="170">
        <f t="shared" si="95"/>
        <v>3</v>
      </c>
      <c r="Y217" s="64">
        <f t="shared" si="83"/>
        <v>5.8692000000000002</v>
      </c>
      <c r="Z217" s="64">
        <f t="shared" si="84"/>
        <v>2.8772000000000002</v>
      </c>
      <c r="AA217" s="64">
        <f t="shared" si="90"/>
        <v>2.992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91"/>
        <v>0906-24</v>
      </c>
      <c r="AE217" s="87" t="str">
        <f t="shared" si="92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17" s="84" t="str">
        <f t="shared" si="93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17" s="1" t="str">
        <f t="shared" si="94"/>
        <v>Other</v>
      </c>
      <c r="AH217" s="88" t="str">
        <f t="shared" si="78"/>
        <v>"%USERPROFILE%\Documents\GitHub\eaglep3\Utilities\RefineRTDCRunTimes.py" --tripid 906-24 --locoid 4043 --swversion DE.1.0.8.0 --startMP 300:58692 --initTime 2017-01-24T19:09:34 --startdatetime 1969-12-31T17:00:00 --delay 1 --endMP 300:28772 --enddatetime 1969-12-31T17:00:00 --enforcementcount 0 &gt;&gt;C:\Users\stu\Documents\GitHub\eaglep3-reporting\EC\2017-01-24-refined-times.txt</v>
      </c>
      <c r="AI217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{"issue":{"subject":"","project_id":79,"tracker_id":40,"status_id":1,"priority_id":2,"assigned_to_id":23,"start_date":"1969-12-31","description":"","custom_fields":[{"id":1,"name":"Subdivision","value":"Other"},{"id":4,"name":"Milepost","value":"2.8772"},{"id":17,"name":"Train ID","value":"906-24"},{"id":16,"name":"Locomotive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80"/>
        <v>start /low /b %USERPROFILE%\Documents\GitHub\eaglep3\Utilities\DownloadLogsFromS3.py --loco 4043 --day 1969-12-31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"%USERPROFILE%\AppData\Local\Temp\OnboardLogs"\RTDC4043\*4043*19700101* | grep -SE "(Enforcement Action)|(\[TIMEOUT)|(CHR.+\|PRM\|1\|D.+(SWITCH|SIGNAL).+UNKNOWN)" - &gt;&gt; 2017-01-24-UncaughtWiMAX.txt</v>
      </c>
    </row>
    <row r="218" spans="1:91" x14ac:dyDescent="0.25">
      <c r="A218" s="34" t="s">
        <v>678</v>
      </c>
      <c r="B218" s="7">
        <v>4041</v>
      </c>
      <c r="C218" s="22" t="s">
        <v>196</v>
      </c>
      <c r="D218" s="22" t="s">
        <v>831</v>
      </c>
      <c r="E218" s="13">
        <v>42759.942662037036</v>
      </c>
      <c r="F218" s="13">
        <v>25568.708333333332</v>
      </c>
      <c r="G218" s="7">
        <v>1</v>
      </c>
      <c r="H218" s="22" t="s">
        <v>865</v>
      </c>
      <c r="I218" s="13">
        <v>25568.708333333332</v>
      </c>
      <c r="J218" s="7">
        <v>0</v>
      </c>
      <c r="K218" s="105" t="str">
        <f t="shared" si="85"/>
        <v>4041/4042</v>
      </c>
      <c r="L218" s="22" t="str">
        <f>VLOOKUP(A218,'Trips&amp;Operators'!$C$1:$G$99999,5,FALSE)</f>
        <v>HILLS DUSTIN</v>
      </c>
      <c r="M218" s="6">
        <f t="shared" si="86"/>
        <v>0</v>
      </c>
      <c r="N218" s="7">
        <f t="shared" si="81"/>
        <v>0</v>
      </c>
      <c r="O218" s="7"/>
      <c r="P218" s="7"/>
      <c r="Q218" s="23"/>
      <c r="R218" s="23"/>
      <c r="S218" s="32">
        <f t="shared" si="82"/>
        <v>0</v>
      </c>
      <c r="T218" s="47" t="str">
        <f t="shared" si="87"/>
        <v>Southbound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88"/>
        <v>https://d0f6bd738d7f1b3e5a7ca70fe4ff75f0.us-east-1.aws.found.io/app/kibana#/discover/Steve-Slow-Train-Analysis-(2080s-and-2083s)?_g=(refreshInterval:(display:Off,pause:!f,section:0,value:0),time:(from:'2017-01-24T21:37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8" s="49" t="str">
        <f t="shared" si="89"/>
        <v>Y</v>
      </c>
      <c r="X218" s="170">
        <f t="shared" si="95"/>
        <v>2</v>
      </c>
      <c r="Y218" s="64">
        <f t="shared" si="83"/>
        <v>5.8654999999999999</v>
      </c>
      <c r="Z218" s="64">
        <f t="shared" si="84"/>
        <v>2.1749999999999998</v>
      </c>
      <c r="AA218" s="64">
        <f t="shared" si="90"/>
        <v>3.6905000000000001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91"/>
        <v>0908-24</v>
      </c>
      <c r="AE218" s="87" t="str">
        <f t="shared" si="92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18" s="84" t="str">
        <f t="shared" si="93"/>
        <v>"C:\Program Files (x86)\AstroGrep\AstroGrep.exe" /spath="%USERPROFILE%\AppData\Local\Temp\OnboardLogs" /stypes="app*4041*19700101*" /stext=" 00:.+((SYSTEM_STATE.+slice.+state.+changed )|(ment ac)|(multiple cpu faults)|(system.+state.+changed )|(\[timeout)|(PRM\|1\|D)|(kpr)|(kdp)|(\|lc)|(penalty))" /e /r /s</v>
      </c>
      <c r="AG218" s="1" t="str">
        <f t="shared" si="94"/>
        <v>Other</v>
      </c>
      <c r="AH218" s="88" t="str">
        <f t="shared" si="78"/>
        <v>"%USERPROFILE%\Documents\GitHub\eaglep3\Utilities\RefineRTDCRunTimes.py" --tripid 908-24 --locoid 4041 --swversion DE.1.0.8.0 --startMP 300:58655 --initTime 2017-01-24T22:37:26 --startdatetime 1969-12-31T17:00:00 --delay 1 --endMP 300:21750 --enddatetime 1969-12-31T17:00:00 --enforcementcount 0 &gt;&gt;C:\Users\stu\Documents\GitHub\eaglep3-reporting\EC\2017-01-24-refined-times.txt</v>
      </c>
      <c r="AI218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{"issue":{"subject":"","project_id":79,"tracker_id":40,"status_id":1,"priority_id":2,"assigned_to_id":23,"start_date":"1969-12-31","description":"","custom_fields":[{"id":1,"name":"Subdivision","value":"Other"},{"id":4,"name":"Milepost","value":"2.175"},{"id":17,"name":"Train ID","value":"908-24"},{"id":16,"name":"Locomotive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80"/>
        <v>start /low /b %USERPROFILE%\Documents\GitHub\eaglep3\Utilities\DownloadLogsFromS3.py --loco 4041 --day 1969-12-31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"%USERPROFILE%\AppData\Local\Temp\OnboardLogs"\RTDC4041\*4041*19700101* | grep -SE "(Enforcement Action)|(\[TIMEOUT)|(CHR.+\|PRM\|1\|D.+(SWITCH|SIGNAL).+UNKNOWN)" - &gt;&gt; 2017-01-24-UncaughtWiMAX.txt</v>
      </c>
    </row>
    <row r="219" spans="1:91" x14ac:dyDescent="0.25">
      <c r="A219" s="34" t="s">
        <v>562</v>
      </c>
      <c r="B219" s="7">
        <v>4030</v>
      </c>
      <c r="C219" s="22" t="s">
        <v>196</v>
      </c>
      <c r="D219" s="22" t="s">
        <v>788</v>
      </c>
      <c r="E219" s="13">
        <v>42759.431041666663</v>
      </c>
      <c r="F219" s="13">
        <v>42759.434953703705</v>
      </c>
      <c r="G219" s="7">
        <v>4</v>
      </c>
      <c r="H219" s="22" t="s">
        <v>789</v>
      </c>
      <c r="I219" s="13">
        <v>42759.441342592596</v>
      </c>
      <c r="J219" s="7">
        <v>0</v>
      </c>
      <c r="K219" s="105" t="str">
        <f t="shared" si="85"/>
        <v>4029/4030</v>
      </c>
      <c r="L219" s="22" t="str">
        <f>VLOOKUP(A219,'Trips&amp;Operators'!$C$1:$G$99999,5,FALSE)</f>
        <v>MOSES BRADLEY</v>
      </c>
      <c r="M219" s="6">
        <f t="shared" si="86"/>
        <v>6.3888888907968067E-3</v>
      </c>
      <c r="N219" s="7">
        <f t="shared" si="81"/>
        <v>9.2000000027474016</v>
      </c>
      <c r="O219" s="7"/>
      <c r="P219" s="7"/>
      <c r="Q219" s="23"/>
      <c r="R219" s="23"/>
      <c r="S219" s="32">
        <f t="shared" si="82"/>
        <v>0</v>
      </c>
      <c r="T219" s="47" t="e">
        <f t="shared" si="87"/>
        <v>#VALUE!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88"/>
        <v>https://d0f6bd738d7f1b3e5a7ca70fe4ff75f0.us-east-1.aws.found.io/app/kibana#/discover/Steve-Slow-Train-Analysis-(2080s-and-2083s)?_g=(refreshInterval:(display:Off,pause:!f,section:0,value:0),time:(from:'2017-01-24T09:20:42-0700',mode:absolute,to:'2017-01-24T11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49" t="str">
        <f t="shared" si="89"/>
        <v>Y</v>
      </c>
      <c r="X219" s="170" t="e">
        <f t="shared" si="95"/>
        <v>#VALUE!</v>
      </c>
      <c r="Y219" s="64">
        <f t="shared" si="83"/>
        <v>2.2143999999999999</v>
      </c>
      <c r="Z219" s="64">
        <f t="shared" si="84"/>
        <v>6.4000000000000003E-3</v>
      </c>
      <c r="AA219" s="64">
        <f t="shared" si="90"/>
        <v>2.2079999999999997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91"/>
        <v>50-24</v>
      </c>
      <c r="AE219" s="87" t="str">
        <f t="shared" si="92"/>
        <v>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 &amp; aws s3 cp s3://rtdc.mdm.uploadarchive.raw/RTDC4030/ "%USERPROFILE%\AppData\Local\Temp\OnboardLogs"\RTDC4030\2017-01-25 --exclude "*" --recursive --include "*20170125*" &amp; "%USERPROFILE%\Documents\GitHub\mrs-test-scripts\Headless Mode &amp; Sideloading\WalkAndUnGZ.bat" "%USERPROFILE%\AppData\Local\Temp\OnboardLogs"\RTDC4030\2017-01-25</v>
      </c>
      <c r="AF219" s="84" t="str">
        <f t="shared" si="93"/>
        <v>"C:\Program Files (x86)\AstroGrep\AstroGrep.exe" /spath="%USERPROFILE%\AppData\Local\Temp\OnboardLogs" /stypes="app*4030*20170124*" /stext=" 17:.+((SYSTEM_STATE.+slice.+state.+changed )|(ment ac)|(multiple cpu faults)|(system.+state.+changed )|(\[timeout)|(PRM\|1\|D)|(kpr)|(kdp)|(\|lc)|(penalty))" /e /r /s</v>
      </c>
      <c r="AG219" s="1" t="str">
        <f t="shared" si="94"/>
        <v>Other</v>
      </c>
      <c r="AH219" s="88" t="str">
        <f t="shared" si="78"/>
        <v>"%USERPROFILE%\Documents\GitHub\eaglep3\Utilities\RefineRTDCRunTimes.py" --tripid 50-24 --locoid 4030 --swversion DE.1.0.8.0 --startMP 300:22144 --initTime 2017-01-24T10:20:42 --startdatetime 2017-01-24T10:26:20 --delay 4 --endMP 204:64 --enddatetime 2017-01-24T10:35:32 --enforcementcount 0 &gt;&gt;C:\Users\stu\Documents\GitHub\eaglep3-reporting\EC\2017-01-24-refined-times.txt</v>
      </c>
      <c r="AI219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{"issue":{"subject":"","project_id":79,"tracker_id":40,"status_id":1,"priority_id":2,"assigned_to_id":23,"start_date":"2017-01-24","description":"","custom_fields":[{"id":1,"name":"Subdivision","value":"Other"},{"id":4,"name":"Milepost","value":"0.0064"},{"id":17,"name":"Train ID","value":"50-24"},{"id":16,"name":"Locomotive ID","value":"4030"},{"id":130,"name":"Impact","value":""},{"id":150,"name":"Time of Event (Mountain Time)","value":"10:35:32"},{"id":151,"name":"Denver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80"/>
        <v>start /low /b %USERPROFILE%\Documents\GitHub\eaglep3\Utilities\DownloadLogsFromS3.py --loco 4030 --day 2017-01-24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2017-01-24-UncaughtWiMAX.txt</v>
      </c>
    </row>
    <row r="220" spans="1:91" x14ac:dyDescent="0.25">
      <c r="A220" s="34" t="s">
        <v>574</v>
      </c>
      <c r="B220" s="7">
        <v>4045</v>
      </c>
      <c r="C220" s="22" t="s">
        <v>196</v>
      </c>
      <c r="D220" s="22" t="s">
        <v>790</v>
      </c>
      <c r="E220" s="13">
        <v>42759.459594907406</v>
      </c>
      <c r="F220" s="13">
        <v>25568.708333333332</v>
      </c>
      <c r="G220" s="7">
        <v>0</v>
      </c>
      <c r="H220" s="22" t="s">
        <v>791</v>
      </c>
      <c r="I220" s="13">
        <v>25568.708333333332</v>
      </c>
      <c r="J220" s="7">
        <v>0</v>
      </c>
      <c r="K220" s="105" t="str">
        <f t="shared" si="85"/>
        <v>4045/4046</v>
      </c>
      <c r="L220" s="22" t="str">
        <f>VLOOKUP(A220,'Trips&amp;Operators'!$C$1:$G$99999,5,FALSE)</f>
        <v>BERLING GARY</v>
      </c>
      <c r="M220" s="6">
        <f t="shared" si="86"/>
        <v>0</v>
      </c>
      <c r="N220" s="7">
        <f t="shared" si="81"/>
        <v>0</v>
      </c>
      <c r="O220" s="7"/>
      <c r="P220" s="7"/>
      <c r="Q220" s="23"/>
      <c r="R220" s="23"/>
      <c r="S220" s="32">
        <f t="shared" si="82"/>
        <v>0</v>
      </c>
      <c r="T220" s="47" t="e">
        <f t="shared" si="87"/>
        <v>#VALUE!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88"/>
        <v>https://d0f6bd738d7f1b3e5a7ca70fe4ff75f0.us-east-1.aws.found.io/app/kibana#/discover/Steve-Slow-Train-Analysis-(2080s-and-2083s)?_g=(refreshInterval:(display:Off,pause:!f,section:0,value:0),time:(from:'2017-01-24T10:01:49-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0" s="49" t="str">
        <f t="shared" si="89"/>
        <v>Y</v>
      </c>
      <c r="X220" s="170" t="e">
        <f t="shared" si="95"/>
        <v>#VALUE!</v>
      </c>
      <c r="Y220" s="64">
        <f t="shared" si="83"/>
        <v>2.0968</v>
      </c>
      <c r="Z220" s="64">
        <f t="shared" si="84"/>
        <v>0.15190000000000001</v>
      </c>
      <c r="AA220" s="64">
        <f t="shared" si="90"/>
        <v>1.9449000000000001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91"/>
        <v>52-24</v>
      </c>
      <c r="AE220" s="87" t="str">
        <f t="shared" si="92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20" s="84" t="str">
        <f t="shared" si="93"/>
        <v>"C:\Program Files (x86)\AstroGrep\AstroGrep.exe" /spath="%USERPROFILE%\AppData\Local\Temp\OnboardLogs" /stypes="app*4045*19700101*" /stext=" 00:.+((SYSTEM_STATE.+slice.+state.+changed )|(ment ac)|(multiple cpu faults)|(system.+state.+changed )|(\[timeout)|(PRM\|1\|D)|(kpr)|(kdp)|(\|lc)|(penalty))" /e /r /s</v>
      </c>
      <c r="AG220" s="1" t="str">
        <f t="shared" si="94"/>
        <v>Other</v>
      </c>
      <c r="AH220" s="88" t="str">
        <f t="shared" si="78"/>
        <v>"%USERPROFILE%\Documents\GitHub\eaglep3\Utilities\RefineRTDCRunTimes.py" --tripid 52-24 --locoid 4045 --swversion DE.1.0.8.0 --startMP 300:20968 --initTime 2017-01-24T11:01:49 --startdatetime 1969-12-31T17:00:00 --delay 0 --endMP 204:1519 --enddatetime 1969-12-31T17:00:00 --enforcementcount 0 &gt;&gt;C:\Users\stu\Documents\GitHub\eaglep3-reporting\EC\2017-01-24-refined-times.txt</v>
      </c>
      <c r="AI220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{"issue":{"subject":"","project_id":79,"tracker_id":40,"status_id":1,"priority_id":2,"assigned_to_id":23,"start_date":"1969-12-31","description":"","custom_fields":[{"id":1,"name":"Subdivision","value":"Other"},{"id":4,"name":"Milepost","value":"0.1519"},{"id":17,"name":"Train ID","value":"52-24"},{"id":16,"name":"Locomotive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80"/>
        <v>start /low /b %USERPROFILE%\Documents\GitHub\eaglep3\Utilities\DownloadLogsFromS3.py --loco 4045 --day 1969-12-31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"%USERPROFILE%\AppData\Local\Temp\OnboardLogs"\RTDC4045\*4045*19700101* | grep -SE "(Enforcement Action)|(\[TIMEOUT)|(CHR.+\|PRM\|1\|D.+(SWITCH|SIGNAL).+UNKNOWN)" - &gt;&gt; 2017-01-24-UncaughtWiMAX.txt</v>
      </c>
    </row>
    <row r="221" spans="1:91" x14ac:dyDescent="0.25">
      <c r="A221" s="34" t="s">
        <v>574</v>
      </c>
      <c r="B221" s="7">
        <v>4045</v>
      </c>
      <c r="C221" s="22" t="s">
        <v>196</v>
      </c>
      <c r="D221" s="22" t="s">
        <v>792</v>
      </c>
      <c r="E221" s="13">
        <v>42759.452511574076</v>
      </c>
      <c r="F221" s="13">
        <v>25568.708333333332</v>
      </c>
      <c r="G221" s="7">
        <v>9</v>
      </c>
      <c r="H221" s="22" t="s">
        <v>791</v>
      </c>
      <c r="I221" s="13">
        <v>25568.708333333332</v>
      </c>
      <c r="J221" s="7">
        <v>0</v>
      </c>
      <c r="K221" s="105" t="str">
        <f t="shared" si="85"/>
        <v>4045/4046</v>
      </c>
      <c r="L221" s="22" t="str">
        <f>VLOOKUP(A221,'Trips&amp;Operators'!$C$1:$G$99999,5,FALSE)</f>
        <v>BERLING GARY</v>
      </c>
      <c r="M221" s="6">
        <f t="shared" si="86"/>
        <v>0</v>
      </c>
      <c r="N221" s="7">
        <f t="shared" si="81"/>
        <v>0</v>
      </c>
      <c r="O221" s="7"/>
      <c r="P221" s="7"/>
      <c r="Q221" s="23"/>
      <c r="R221" s="23"/>
      <c r="S221" s="32">
        <f t="shared" si="82"/>
        <v>0</v>
      </c>
      <c r="T221" s="47" t="e">
        <f t="shared" si="87"/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88"/>
        <v>https://d0f6bd738d7f1b3e5a7ca70fe4ff75f0.us-east-1.aws.found.io/app/kibana#/discover/Steve-Slow-Train-Analysis-(2080s-and-2083s)?_g=(refreshInterval:(display:Off,pause:!f,section:0,value:0),time:(from:'2017-01-24T09:51:37-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1" s="49" t="str">
        <f t="shared" si="89"/>
        <v>Y</v>
      </c>
      <c r="X221" s="170" t="e">
        <f t="shared" si="95"/>
        <v>#VALUE!</v>
      </c>
      <c r="Y221" s="64">
        <f t="shared" si="83"/>
        <v>2.1345999999999998</v>
      </c>
      <c r="Z221" s="64">
        <f t="shared" si="84"/>
        <v>0.15190000000000001</v>
      </c>
      <c r="AA221" s="64">
        <f t="shared" si="90"/>
        <v>1.9826999999999999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91"/>
        <v>52-24</v>
      </c>
      <c r="AE221" s="87" t="str">
        <f t="shared" si="92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21" s="84" t="str">
        <f t="shared" si="93"/>
        <v>"C:\Program Files (x86)\AstroGrep\AstroGrep.exe" /spath="%USERPROFILE%\AppData\Local\Temp\OnboardLogs" /stypes="app*4045*19700101*" /stext=" 00:.+((SYSTEM_STATE.+slice.+state.+changed )|(ment ac)|(multiple cpu faults)|(system.+state.+changed )|(\[timeout)|(PRM\|1\|D)|(kpr)|(kdp)|(\|lc)|(penalty))" /e /r /s</v>
      </c>
      <c r="AG221" s="1" t="str">
        <f t="shared" si="94"/>
        <v>Other</v>
      </c>
      <c r="AH221" s="88" t="str">
        <f t="shared" si="78"/>
        <v>"%USERPROFILE%\Documents\GitHub\eaglep3\Utilities\RefineRTDCRunTimes.py" --tripid 52-24 --locoid 4045 --swversion DE.1.0.8.0 --startMP 300:21346 --initTime 2017-01-24T10:51:37 --startdatetime 1969-12-31T17:00:00 --delay 9 --endMP 204:1519 --enddatetime 1969-12-31T17:00:00 --enforcementcount 0 &gt;&gt;C:\Users\stu\Documents\GitHub\eaglep3-reporting\EC\2017-01-24-refined-times.txt</v>
      </c>
      <c r="AI221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{"issue":{"subject":"","project_id":79,"tracker_id":40,"status_id":1,"priority_id":2,"assigned_to_id":23,"start_date":"1969-12-31","description":"","custom_fields":[{"id":1,"name":"Subdivision","value":"Other"},{"id":4,"name":"Milepost","value":"0.1519"},{"id":17,"name":"Train ID","value":"52-24"},{"id":16,"name":"Locomotive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80"/>
        <v>start /low /b %USERPROFILE%\Documents\GitHub\eaglep3\Utilities\DownloadLogsFromS3.py --loco 4045 --day 1969-12-31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"%USERPROFILE%\AppData\Local\Temp\OnboardLogs"\RTDC4045\*4045*19700101* | grep -SE "(Enforcement Action)|(\[TIMEOUT)|(CHR.+\|PRM\|1\|D.+(SWITCH|SIGNAL).+UNKNOWN)" - &gt;&gt; 2017-01-24-UncaughtWiMAX.txt</v>
      </c>
    </row>
    <row r="222" spans="1:91" x14ac:dyDescent="0.25">
      <c r="A222" s="34" t="s">
        <v>574</v>
      </c>
      <c r="B222" s="7">
        <v>4045</v>
      </c>
      <c r="C222" s="22" t="s">
        <v>196</v>
      </c>
      <c r="D222" s="22" t="s">
        <v>792</v>
      </c>
      <c r="E222" s="13">
        <v>42759.458078703705</v>
      </c>
      <c r="F222" s="13">
        <v>25568.708333333332</v>
      </c>
      <c r="G222" s="7">
        <v>1</v>
      </c>
      <c r="H222" s="22" t="s">
        <v>791</v>
      </c>
      <c r="I222" s="13">
        <v>25568.708333333332</v>
      </c>
      <c r="J222" s="7">
        <v>0</v>
      </c>
      <c r="K222" s="105" t="str">
        <f t="shared" si="85"/>
        <v>4045/4046</v>
      </c>
      <c r="L222" s="22" t="str">
        <f>VLOOKUP(A222,'Trips&amp;Operators'!$C$1:$G$99999,5,FALSE)</f>
        <v>BERLING GARY</v>
      </c>
      <c r="M222" s="6">
        <f t="shared" si="86"/>
        <v>0</v>
      </c>
      <c r="N222" s="7">
        <f t="shared" si="81"/>
        <v>0</v>
      </c>
      <c r="O222" s="7"/>
      <c r="P222" s="7"/>
      <c r="Q222" s="23"/>
      <c r="R222" s="23"/>
      <c r="S222" s="32">
        <f t="shared" si="82"/>
        <v>0</v>
      </c>
      <c r="T222" s="47" t="e">
        <f t="shared" si="87"/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88"/>
        <v>https://d0f6bd738d7f1b3e5a7ca70fe4ff75f0.us-east-1.aws.found.io/app/kibana#/discover/Steve-Slow-Train-Analysis-(2080s-and-2083s)?_g=(refreshInterval:(display:Off,pause:!f,section:0,value:0),time:(from:'2017-01-24T09:59:38-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2" s="49" t="str">
        <f t="shared" si="89"/>
        <v>Y</v>
      </c>
      <c r="X222" s="170" t="e">
        <f t="shared" si="95"/>
        <v>#VALUE!</v>
      </c>
      <c r="Y222" s="64">
        <f t="shared" si="83"/>
        <v>2.1345999999999998</v>
      </c>
      <c r="Z222" s="64">
        <f t="shared" si="84"/>
        <v>0.15190000000000001</v>
      </c>
      <c r="AA222" s="64">
        <f t="shared" si="90"/>
        <v>1.9826999999999999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91"/>
        <v>52-24</v>
      </c>
      <c r="AE222" s="87" t="str">
        <f t="shared" si="92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22" s="84" t="str">
        <f t="shared" si="93"/>
        <v>"C:\Program Files (x86)\AstroGrep\AstroGrep.exe" /spath="%USERPROFILE%\AppData\Local\Temp\OnboardLogs" /stypes="app*4045*19700101*" /stext=" 00:.+((SYSTEM_STATE.+slice.+state.+changed )|(ment ac)|(multiple cpu faults)|(system.+state.+changed )|(\[timeout)|(PRM\|1\|D)|(kpr)|(kdp)|(\|lc)|(penalty))" /e /r /s</v>
      </c>
      <c r="AG222" s="1" t="str">
        <f t="shared" si="94"/>
        <v>Other</v>
      </c>
      <c r="AH222" s="88" t="str">
        <f t="shared" si="78"/>
        <v>"%USERPROFILE%\Documents\GitHub\eaglep3\Utilities\RefineRTDCRunTimes.py" --tripid 52-24 --locoid 4045 --swversion DE.1.0.8.0 --startMP 300:21346 --initTime 2017-01-24T10:59:38 --startdatetime 1969-12-31T17:00:00 --delay 1 --endMP 204:1519 --enddatetime 1969-12-31T17:00:00 --enforcementcount 0 &gt;&gt;C:\Users\stu\Documents\GitHub\eaglep3-reporting\EC\2017-01-24-refined-times.txt</v>
      </c>
      <c r="AI222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{"issue":{"subject":"","project_id":79,"tracker_id":40,"status_id":1,"priority_id":2,"assigned_to_id":23,"start_date":"1969-12-31","description":"","custom_fields":[{"id":1,"name":"Subdivision","value":"Other"},{"id":4,"name":"Milepost","value":"0.1519"},{"id":17,"name":"Train ID","value":"52-24"},{"id":16,"name":"Locomotive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80"/>
        <v>start /low /b %USERPROFILE%\Documents\GitHub\eaglep3\Utilities\DownloadLogsFromS3.py --loco 4045 --day 1969-12-31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"%USERPROFILE%\AppData\Local\Temp\OnboardLogs"\RTDC4045\*4045*19700101* | grep -SE "(Enforcement Action)|(\[TIMEOUT)|(CHR.+\|PRM\|1\|D.+(SWITCH|SIGNAL).+UNKNOWN)" - &gt;&gt; 2017-01-24-UncaughtWiMAX.txt</v>
      </c>
    </row>
    <row r="223" spans="1:91" x14ac:dyDescent="0.25">
      <c r="A223" s="34" t="s">
        <v>588</v>
      </c>
      <c r="B223" s="7">
        <v>4046</v>
      </c>
      <c r="C223" s="22" t="s">
        <v>196</v>
      </c>
      <c r="D223" s="22" t="s">
        <v>793</v>
      </c>
      <c r="E223" s="13">
        <v>42759.51059027778</v>
      </c>
      <c r="F223" s="13">
        <v>25568.708333333332</v>
      </c>
      <c r="G223" s="7">
        <v>1</v>
      </c>
      <c r="H223" s="22" t="s">
        <v>794</v>
      </c>
      <c r="I223" s="13">
        <v>25568.708333333332</v>
      </c>
      <c r="J223" s="7">
        <v>0</v>
      </c>
      <c r="K223" s="105" t="str">
        <f t="shared" si="85"/>
        <v>4045/4046</v>
      </c>
      <c r="L223" s="22" t="str">
        <f>VLOOKUP(A223,'Trips&amp;Operators'!$C$1:$G$99999,5,FALSE)</f>
        <v>YORK EDGAR</v>
      </c>
      <c r="M223" s="6">
        <f t="shared" si="86"/>
        <v>0</v>
      </c>
      <c r="N223" s="7">
        <f t="shared" si="81"/>
        <v>0</v>
      </c>
      <c r="O223" s="7"/>
      <c r="P223" s="7"/>
      <c r="Q223" s="23"/>
      <c r="R223" s="23"/>
      <c r="S223" s="32">
        <f t="shared" si="82"/>
        <v>0</v>
      </c>
      <c r="T223" s="47" t="e">
        <f t="shared" si="87"/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88"/>
        <v>https://d0f6bd738d7f1b3e5a7ca70fe4ff75f0.us-east-1.aws.found.io/app/kibana#/discover/Steve-Slow-Train-Analysis-(2080s-and-2083s)?_g=(refreshInterval:(display:Off,pause:!f,section:0,value:0),time:(from:'2017-01-24T11:15:15-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3" s="49" t="str">
        <f t="shared" si="89"/>
        <v>Y</v>
      </c>
      <c r="X223" s="170" t="e">
        <f t="shared" si="95"/>
        <v>#VALUE!</v>
      </c>
      <c r="Y223" s="64">
        <f t="shared" si="83"/>
        <v>0.1158</v>
      </c>
      <c r="Z223" s="64">
        <f t="shared" si="84"/>
        <v>2.4247999999999998</v>
      </c>
      <c r="AA223" s="64">
        <f t="shared" si="90"/>
        <v>2.3089999999999997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91"/>
        <v>53-24</v>
      </c>
      <c r="AE223" s="87" t="str">
        <f t="shared" si="92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3" s="84" t="str">
        <f t="shared" si="93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23" s="1" t="str">
        <f t="shared" si="94"/>
        <v>Other</v>
      </c>
      <c r="AH223" s="88" t="str">
        <f t="shared" si="78"/>
        <v>"%USERPROFILE%\Documents\GitHub\eaglep3\Utilities\RefineRTDCRunTimes.py" --tripid 53-24 --locoid 4046 --swversion DE.1.0.8.0 --startMP 204:1158 --initTime 2017-01-24T12:15:15 --startdatetime 1969-12-31T17:00:00 --delay 1 --endMP 300:24248 --enddatetime 1969-12-31T17:00:00 --enforcementcount 0 &gt;&gt;C:\Users\stu\Documents\GitHub\eaglep3-reporting\EC\2017-01-24-refined-times.txt</v>
      </c>
      <c r="AI223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{"issue":{"subject":"","project_id":79,"tracker_id":40,"status_id":1,"priority_id":2,"assigned_to_id":23,"start_date":"1969-12-31","description":"","custom_fields":[{"id":1,"name":"Subdivision","value":"Other"},{"id":4,"name":"Milepost","value":"2.4248"},{"id":17,"name":"Train ID","value":"53-24"},{"id":16,"name":"Locomotive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80"/>
        <v>start /low /b %USERPROFILE%\Documents\GitHub\eaglep3\Utilities\DownloadLogsFromS3.py --loco 4046 --day 1969-12-31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2017-01-24-UncaughtWiMAX.txt</v>
      </c>
    </row>
    <row r="224" spans="1:91" x14ac:dyDescent="0.25">
      <c r="A224" s="34" t="s">
        <v>617</v>
      </c>
      <c r="B224" s="7">
        <v>4043</v>
      </c>
      <c r="C224" s="22" t="s">
        <v>196</v>
      </c>
      <c r="D224" s="22" t="s">
        <v>795</v>
      </c>
      <c r="E224" s="13">
        <v>42759.641168981485</v>
      </c>
      <c r="F224" s="13">
        <v>42759.64261574074</v>
      </c>
      <c r="G224" s="7">
        <v>1</v>
      </c>
      <c r="H224" s="22" t="s">
        <v>796</v>
      </c>
      <c r="I224" s="13">
        <v>42759.648634259262</v>
      </c>
      <c r="J224" s="7">
        <v>0</v>
      </c>
      <c r="K224" s="105" t="str">
        <f t="shared" si="85"/>
        <v>4043/4044</v>
      </c>
      <c r="L224" s="22" t="str">
        <f>VLOOKUP(A224,'Trips&amp;Operators'!$C$1:$G$99999,5,FALSE)</f>
        <v>HILLS DUSTIN</v>
      </c>
      <c r="M224" s="6">
        <f t="shared" si="86"/>
        <v>6.0185185211594217E-3</v>
      </c>
      <c r="N224" s="7">
        <f t="shared" si="81"/>
        <v>8.6666666704695672</v>
      </c>
      <c r="O224" s="7"/>
      <c r="P224" s="7"/>
      <c r="Q224" s="23"/>
      <c r="R224" s="23"/>
      <c r="S224" s="32">
        <f t="shared" si="82"/>
        <v>0</v>
      </c>
      <c r="T224" s="47" t="e">
        <f t="shared" si="87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88"/>
        <v>https://d0f6bd738d7f1b3e5a7ca70fe4ff75f0.us-east-1.aws.found.io/app/kibana#/discover/Steve-Slow-Train-Analysis-(2080s-and-2083s)?_g=(refreshInterval:(display:Off,pause:!f,section:0,value:0),time:(from:'2017-01-24T14:23:17-0700',mode:absolute,to:'2017-01-24T16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4" s="49" t="str">
        <f t="shared" si="89"/>
        <v>Y</v>
      </c>
      <c r="X224" s="170" t="e">
        <f t="shared" si="95"/>
        <v>#VALUE!</v>
      </c>
      <c r="Y224" s="64">
        <f t="shared" si="83"/>
        <v>2.3052000000000001</v>
      </c>
      <c r="Z224" s="64">
        <f t="shared" si="84"/>
        <v>8.2000000000000007E-3</v>
      </c>
      <c r="AA224" s="64">
        <f t="shared" si="90"/>
        <v>2.2970000000000002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91"/>
        <v>54-24</v>
      </c>
      <c r="AE224" s="87" t="str">
        <f t="shared" si="92"/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AF224" s="84" t="str">
        <f t="shared" si="93"/>
        <v>"C:\Program Files (x86)\AstroGrep\AstroGrep.exe" /spath="%USERPROFILE%\AppData\Local\Temp\OnboardLogs" /stypes="app*4043*20170124*" /stext=" 22:.+((SYSTEM_STATE.+slice.+state.+changed )|(ment ac)|(multiple cpu faults)|(system.+state.+changed )|(\[timeout)|(PRM\|1\|D)|(kpr)|(kdp)|(\|lc)|(penalty))" /e /r /s</v>
      </c>
      <c r="AG224" s="1" t="str">
        <f t="shared" si="94"/>
        <v>Other</v>
      </c>
      <c r="AH224" s="88" t="str">
        <f t="shared" si="78"/>
        <v>"%USERPROFILE%\Documents\GitHub\eaglep3\Utilities\RefineRTDCRunTimes.py" --tripid 54-24 --locoid 4043 --swversion DE.1.0.8.0 --startMP 300:23052 --initTime 2017-01-24T15:23:17 --startdatetime 2017-01-24T15:25:22 --delay 1 --endMP 204:82 --enddatetime 2017-01-24T15:34:02 --enforcementcount 0 &gt;&gt;C:\Users\stu\Documents\GitHub\eaglep3-reporting\EC\2017-01-24-refined-times.txt</v>
      </c>
      <c r="AI224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{"issue":{"subject":"","project_id":79,"tracker_id":40,"status_id":1,"priority_id":2,"assigned_to_id":23,"start_date":"2017-01-24","description":"","custom_fields":[{"id":1,"name":"Subdivision","value":"Other"},{"id":4,"name":"Milepost","value":"0.0082"},{"id":17,"name":"Train ID","value":"54-24"},{"id":16,"name":"Locomotive ID","value":"4043"},{"id":130,"name":"Impact","value":""},{"id":150,"name":"Time of Event (Mountain Time)","value":"15:34:02"},{"id":151,"name":"Denver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80"/>
        <v>start /low /b %USERPROFILE%\Documents\GitHub\eaglep3\Utilities\DownloadLogsFromS3.py --loco 4043 --day 2017-01-24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"%USERPROFILE%\AppData\Local\Temp\OnboardLogs"\RTDC4043\*4043*20170124* | grep -SE "(Enforcement Action)|(\[TIMEOUT)|(CHR.+\|PRM\|1\|D.+(SWITCH|SIGNAL).+UNKNOWN)" - &gt;&gt; 2017-01-24-UncaughtWiMAX.txt</v>
      </c>
    </row>
    <row r="225" spans="1:40" x14ac:dyDescent="0.25">
      <c r="A225" s="34" t="s">
        <v>584</v>
      </c>
      <c r="B225" s="7">
        <v>4040</v>
      </c>
      <c r="C225" s="22" t="s">
        <v>196</v>
      </c>
      <c r="D225" s="22" t="s">
        <v>797</v>
      </c>
      <c r="E225" s="13">
        <v>42759.496990740743</v>
      </c>
      <c r="F225" s="13">
        <v>42759.49832175926</v>
      </c>
      <c r="G225" s="7">
        <v>1</v>
      </c>
      <c r="H225" s="22" t="s">
        <v>798</v>
      </c>
      <c r="I225" s="13">
        <v>42759.499386574076</v>
      </c>
      <c r="J225" s="7">
        <v>0</v>
      </c>
      <c r="K225" s="105" t="str">
        <f t="shared" si="85"/>
        <v>4039/4040</v>
      </c>
      <c r="L225" s="22" t="str">
        <f>VLOOKUP(A225,'Trips&amp;Operators'!$C$1:$G$99999,5,FALSE)</f>
        <v>BERLING GARY</v>
      </c>
      <c r="M225" s="6">
        <f t="shared" si="86"/>
        <v>1.0648148163454607E-3</v>
      </c>
      <c r="N225" s="7">
        <f t="shared" si="81"/>
        <v>1.5333333355374634</v>
      </c>
      <c r="O225" s="7"/>
      <c r="P225" s="7"/>
      <c r="Q225" s="23"/>
      <c r="R225" s="23"/>
      <c r="S225" s="32">
        <f t="shared" si="82"/>
        <v>0</v>
      </c>
      <c r="T225" s="47" t="e">
        <f t="shared" si="87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88"/>
        <v>https://d0f6bd738d7f1b3e5a7ca70fe4ff75f0.us-east-1.aws.found.io/app/kibana#/discover/Steve-Slow-Train-Analysis-(2080s-and-2083s)?_g=(refreshInterval:(display:Off,pause:!f,section:0,value:0),time:(from:'2017-01-24T10:55:40-0700',mode:absolute,to:'2017-01-24T12:59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5" s="49" t="str">
        <f t="shared" si="89"/>
        <v>Y</v>
      </c>
      <c r="X225" s="170" t="e">
        <f t="shared" si="95"/>
        <v>#VALUE!</v>
      </c>
      <c r="Y225" s="64">
        <f t="shared" si="83"/>
        <v>8.8800000000000004E-2</v>
      </c>
      <c r="Z225" s="64">
        <f t="shared" si="84"/>
        <v>0.34449999999999997</v>
      </c>
      <c r="AA225" s="64">
        <f t="shared" si="90"/>
        <v>0.25569999999999998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91"/>
        <v>55-24</v>
      </c>
      <c r="AE225" s="87" t="str">
        <f t="shared" si="92"/>
        <v>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 &amp; 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</v>
      </c>
      <c r="AF225" s="84" t="str">
        <f t="shared" si="93"/>
        <v>"C:\Program Files (x86)\AstroGrep\AstroGrep.exe" /spath="%USERPROFILE%\AppData\Local\Temp\OnboardLogs" /stypes="app*4040*20170124*" /stext=" 18:.+((SYSTEM_STATE.+slice.+state.+changed )|(ment ac)|(multiple cpu faults)|(system.+state.+changed )|(\[timeout)|(PRM\|1\|D)|(kpr)|(kdp)|(\|lc)|(penalty))" /e /r /s</v>
      </c>
      <c r="AG225" s="1" t="str">
        <f t="shared" si="94"/>
        <v>Other</v>
      </c>
      <c r="AH225" s="88" t="str">
        <f t="shared" si="78"/>
        <v>"%USERPROFILE%\Documents\GitHub\eaglep3\Utilities\RefineRTDCRunTimes.py" --tripid 55-24 --locoid 4040 --swversion DE.1.0.8.0 --startMP 204:888 --initTime 2017-01-24T11:55:40 --startdatetime 2017-01-24T11:57:35 --delay 1 --endMP 204:3445 --enddatetime 2017-01-24T11:59:07 --enforcementcount 0 &gt;&gt;C:\Users\stu\Documents\GitHub\eaglep3-reporting\EC\2017-01-24-refined-times.txt</v>
      </c>
      <c r="AI225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{"issue":{"subject":"","project_id":79,"tracker_id":40,"status_id":1,"priority_id":2,"assigned_to_id":23,"start_date":"2017-01-24","description":"","custom_fields":[{"id":1,"name":"Subdivision","value":"Other"},{"id":4,"name":"Milepost","value":"0.3445"},{"id":17,"name":"Train ID","value":"55-24"},{"id":16,"name":"Locomotive ID","value":"4040"},{"id":130,"name":"Impact","value":""},{"id":150,"name":"Time of Event (Mountain Time)","value":"11:59:07"},{"id":151,"name":"Denver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80"/>
        <v>start /low /b %USERPROFILE%\Documents\GitHub\eaglep3\Utilities\DownloadLogsFromS3.py --loco 4040 --day 2017-01-24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2017-01-24-UncaughtWiMAX.txt</v>
      </c>
    </row>
    <row r="226" spans="1:40" x14ac:dyDescent="0.25">
      <c r="A226" s="34" t="s">
        <v>636</v>
      </c>
      <c r="B226" s="7">
        <v>4045</v>
      </c>
      <c r="C226" s="22" t="s">
        <v>196</v>
      </c>
      <c r="D226" s="22" t="s">
        <v>799</v>
      </c>
      <c r="E226" s="13">
        <v>42759.715833333335</v>
      </c>
      <c r="F226" s="13">
        <v>42759.717349537037</v>
      </c>
      <c r="G226" s="7">
        <v>1</v>
      </c>
      <c r="H226" s="22" t="s">
        <v>800</v>
      </c>
      <c r="I226" s="13">
        <v>42759.723032407404</v>
      </c>
      <c r="J226" s="7">
        <v>0</v>
      </c>
      <c r="K226" s="105" t="str">
        <f t="shared" si="85"/>
        <v>4045/4046</v>
      </c>
      <c r="L226" s="22" t="str">
        <f>VLOOKUP(A226,'Trips&amp;Operators'!$C$1:$G$99999,5,FALSE)</f>
        <v>NEWELL JAMES</v>
      </c>
      <c r="M226" s="6">
        <f t="shared" si="86"/>
        <v>5.6828703673090786E-3</v>
      </c>
      <c r="N226" s="7">
        <f t="shared" si="81"/>
        <v>8.1833333289250731</v>
      </c>
      <c r="O226" s="7"/>
      <c r="P226" s="7"/>
      <c r="Q226" s="23"/>
      <c r="R226" s="23"/>
      <c r="S226" s="32">
        <f t="shared" si="82"/>
        <v>0</v>
      </c>
      <c r="T226" s="47" t="e">
        <f t="shared" si="87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88"/>
        <v>https://d0f6bd738d7f1b3e5a7ca70fe4ff75f0.us-east-1.aws.found.io/app/kibana#/discover/Steve-Slow-Train-Analysis-(2080s-and-2083s)?_g=(refreshInterval:(display:Off,pause:!f,section:0,value:0),time:(from:'2017-01-24T16:10:48-0700',mode:absolute,to:'2017-01-24T18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6" s="49" t="str">
        <f t="shared" si="89"/>
        <v>Y</v>
      </c>
      <c r="X226" s="170" t="e">
        <f t="shared" si="95"/>
        <v>#VALUE!</v>
      </c>
      <c r="Y226" s="64">
        <f t="shared" si="83"/>
        <v>2.3142999999999998</v>
      </c>
      <c r="Z226" s="64">
        <f t="shared" si="84"/>
        <v>1.44E-2</v>
      </c>
      <c r="AA226" s="64">
        <f t="shared" si="90"/>
        <v>2.2998999999999996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91"/>
        <v>56-24</v>
      </c>
      <c r="AE226" s="87" t="str">
        <f t="shared" si="92"/>
        <v>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 &amp; aws s3 cp s3://rtdc.mdm.uploadarchive.raw/RTDC4045/ "%USERPROFILE%\AppData\Local\Temp\OnboardLogs"\RTDC4045\2017-01-25 --exclude "*" --recursive --include "*20170125*" &amp; "%USERPROFILE%\Documents\GitHub\mrs-test-scripts\Headless Mode &amp; Sideloading\WalkAndUnGZ.bat" "%USERPROFILE%\AppData\Local\Temp\OnboardLogs"\RTDC4045\2017-01-25</v>
      </c>
      <c r="AF226" s="84" t="str">
        <f t="shared" si="93"/>
        <v>"C:\Program Files (x86)\AstroGrep\AstroGrep.exe" /spath="%USERPROFILE%\AppData\Local\Temp\OnboardLogs" /stypes="app*4045*20170125*" /stext=" 00:.+((SYSTEM_STATE.+slice.+state.+changed )|(ment ac)|(multiple cpu faults)|(system.+state.+changed )|(\[timeout)|(PRM\|1\|D)|(kpr)|(kdp)|(\|lc)|(penalty))" /e /r /s</v>
      </c>
      <c r="AG226" s="1" t="str">
        <f t="shared" si="94"/>
        <v>Other</v>
      </c>
      <c r="AH226" s="88" t="str">
        <f t="shared" si="78"/>
        <v>"%USERPROFILE%\Documents\GitHub\eaglep3\Utilities\RefineRTDCRunTimes.py" --tripid 56-24 --locoid 4045 --swversion DE.1.0.8.0 --startMP 300:23143 --initTime 2017-01-24T17:10:48 --startdatetime 2017-01-24T17:12:59 --delay 1 --endMP 204:144 --enddatetime 2017-01-24T17:21:10 --enforcementcount 0 &gt;&gt;C:\Users\stu\Documents\GitHub\eaglep3-reporting\EC\2017-01-24-refined-times.txt</v>
      </c>
      <c r="AI226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{"issue":{"subject":"","project_id":79,"tracker_id":40,"status_id":1,"priority_id":2,"assigned_to_id":23,"start_date":"2017-01-24","description":"","custom_fields":[{"id":1,"name":"Subdivision","value":"Other"},{"id":4,"name":"Milepost","value":"0.0144"},{"id":17,"name":"Train ID","value":"56-24"},{"id":16,"name":"Locomotive ID","value":"4045"},{"id":130,"name":"Impact","value":""},{"id":150,"name":"Time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80"/>
        <v>start /low /b %USERPROFILE%\Documents\GitHub\eaglep3\Utilities\DownloadLogsFromS3.py --loco 4045 --day 2017-01-24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"%USERPROFILE%\AppData\Local\Temp\OnboardLogs"\RTDC4045\*4045*20170125* | grep -SE "(Enforcement Action)|(\[TIMEOUT)|(CHR.+\|PRM\|1\|D.+(SWITCH|SIGNAL).+UNKNOWN)" - &gt;&gt; 2017-01-24-UncaughtWiMAX.txt</v>
      </c>
    </row>
    <row r="227" spans="1:40" x14ac:dyDescent="0.25">
      <c r="A227" s="34" t="s">
        <v>481</v>
      </c>
      <c r="B227" s="7">
        <v>4012</v>
      </c>
      <c r="C227" s="22" t="s">
        <v>196</v>
      </c>
      <c r="D227" s="22" t="s">
        <v>801</v>
      </c>
      <c r="E227" s="13">
        <v>42759.740949074076</v>
      </c>
      <c r="F227" s="13">
        <v>42759.742696759262</v>
      </c>
      <c r="G227" s="7">
        <v>1</v>
      </c>
      <c r="H227" s="22" t="s">
        <v>436</v>
      </c>
      <c r="I227" s="13">
        <v>42759.750914351855</v>
      </c>
      <c r="J227" s="7">
        <v>0</v>
      </c>
      <c r="K227" s="105" t="str">
        <f t="shared" si="85"/>
        <v>4011/4012</v>
      </c>
      <c r="L227" s="22" t="str">
        <f>VLOOKUP(A227,'Trips&amp;Operators'!$C$1:$G$99999,5,FALSE)</f>
        <v>DUNCAN SHEILA</v>
      </c>
      <c r="M227" s="6">
        <f t="shared" si="86"/>
        <v>8.2175925927003846E-3</v>
      </c>
      <c r="N227" s="7">
        <f t="shared" si="81"/>
        <v>11.833333333488554</v>
      </c>
      <c r="O227" s="7"/>
      <c r="P227" s="7"/>
      <c r="Q227" s="23"/>
      <c r="R227" s="23"/>
      <c r="S227" s="32">
        <f t="shared" si="82"/>
        <v>0</v>
      </c>
      <c r="T227" s="47" t="e">
        <f t="shared" si="87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88"/>
        <v>https://d0f6bd738d7f1b3e5a7ca70fe4ff75f0.us-east-1.aws.found.io/app/kibana#/discover/Steve-Slow-Train-Analysis-(2080s-and-2083s)?_g=(refreshInterval:(display:Off,pause:!f,section:0,value:0),time:(from:'2017-01-24T16:46:58-0700',mode:absolute,to:'2017-01-24T19:01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7" s="49" t="str">
        <f t="shared" si="89"/>
        <v>Y</v>
      </c>
      <c r="X227" s="170" t="e">
        <f t="shared" si="95"/>
        <v>#VALUE!</v>
      </c>
      <c r="Y227" s="64">
        <f t="shared" si="83"/>
        <v>2.1800999999999999</v>
      </c>
      <c r="Z227" s="64">
        <f t="shared" si="84"/>
        <v>9.7100000000000006E-2</v>
      </c>
      <c r="AA227" s="64">
        <f t="shared" si="90"/>
        <v>2.0829999999999997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91"/>
        <v>58-24</v>
      </c>
      <c r="AE227" s="87" t="str">
        <f t="shared" si="92"/>
        <v>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 &amp; 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</v>
      </c>
      <c r="AF227" s="84" t="str">
        <f t="shared" si="93"/>
        <v>"C:\Program Files (x86)\AstroGrep\AstroGrep.exe" /spath="%USERPROFILE%\AppData\Local\Temp\OnboardLogs" /stypes="app*4012*20170125*" /stext=" 01:.+((SYSTEM_STATE.+slice.+state.+changed )|(ment ac)|(multiple cpu faults)|(system.+state.+changed )|(\[timeout)|(PRM\|1\|D)|(kpr)|(kdp)|(\|lc)|(penalty))" /e /r /s</v>
      </c>
      <c r="AG227" s="1" t="str">
        <f t="shared" si="94"/>
        <v>Other</v>
      </c>
      <c r="AH227" s="88" t="str">
        <f t="shared" si="78"/>
        <v>"%USERPROFILE%\Documents\GitHub\eaglep3\Utilities\RefineRTDCRunTimes.py" --tripid 58-24 --locoid 4012 --swversion DE.1.0.8.0 --startMP 300:21801 --initTime 2017-01-24T17:46:58 --startdatetime 2017-01-24T17:49:29 --delay 1 --endMP 204:971 --enddatetime 2017-01-24T18:01:19 --enforcementcount 0 &gt;&gt;C:\Users\stu\Documents\GitHub\eaglep3-reporting\EC\2017-01-24-refined-times.txt</v>
      </c>
      <c r="AI227" s="115" t="str">
        <f t="shared" si="79"/>
        <v>echo {"issue":{"subject":"","project_id":79,"tracker_id":40,"status_id":1,"priority_id":2,"assigned_to_id":23,"start_date":"2017-01-24","description":"","custom_fields":[{"id":1,"name":"Subdivision","value":"Other"},{"id":4,"name":"Milepost","value":"0.0971"},{"id":17,"name":"Train ID","value":"58-24"},{"id":16,"name":"Locomotive ID","value":"4012"},{"id":130,"name":"Impact","value":""},{"id":150,"name":"Time of Event (Mountain Time)","value":"18:01:19"},{"id":151,"name":"Denver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80"/>
        <v>start /low /b %USERPROFILE%\Documents\GitHub\eaglep3\Utilities\DownloadLogsFromS3.py --loco 4012 --day 2017-01-24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2017-01-24-UncaughtWiMAX.txt</v>
      </c>
    </row>
    <row r="228" spans="1:40" x14ac:dyDescent="0.25">
      <c r="A228" s="34" t="s">
        <v>646</v>
      </c>
      <c r="B228" s="7">
        <v>4046</v>
      </c>
      <c r="C228" s="22" t="s">
        <v>196</v>
      </c>
      <c r="D228" s="22" t="s">
        <v>431</v>
      </c>
      <c r="E228" s="13">
        <v>42759.745162037034</v>
      </c>
      <c r="F228" s="13">
        <v>25568.708333333332</v>
      </c>
      <c r="G228" s="7">
        <v>1</v>
      </c>
      <c r="H228" s="22" t="s">
        <v>786</v>
      </c>
      <c r="I228" s="13">
        <v>25568.708333333332</v>
      </c>
      <c r="J228" s="7">
        <v>0</v>
      </c>
      <c r="K228" s="105" t="str">
        <f t="shared" si="85"/>
        <v>4045/4046</v>
      </c>
      <c r="L228" s="22" t="str">
        <f>VLOOKUP(A228,'Trips&amp;Operators'!$C$1:$G$99999,5,FALSE)</f>
        <v>MOSES BRADLEY</v>
      </c>
      <c r="M228" s="6">
        <f t="shared" si="86"/>
        <v>0</v>
      </c>
      <c r="N228" s="7">
        <f t="shared" si="81"/>
        <v>0</v>
      </c>
      <c r="O228" s="7"/>
      <c r="P228" s="7"/>
      <c r="Q228" s="23"/>
      <c r="R228" s="23"/>
      <c r="S228" s="32">
        <f t="shared" si="82"/>
        <v>0</v>
      </c>
      <c r="T228" s="47" t="e">
        <f t="shared" si="87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88"/>
        <v>https://d0f6bd738d7f1b3e5a7ca70fe4ff75f0.us-east-1.aws.found.io/app/kibana#/discover/Steve-Slow-Train-Analysis-(2080s-and-2083s)?_g=(refreshInterval:(display:Off,pause:!f,section:0,value:0),time:(from:'2017-01-24T16:53:02-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8" s="49" t="str">
        <f t="shared" si="89"/>
        <v>Y</v>
      </c>
      <c r="X228" s="170" t="e">
        <f t="shared" si="95"/>
        <v>#VALUE!</v>
      </c>
      <c r="Y228" s="64">
        <f t="shared" si="83"/>
        <v>4.4999999999999998E-2</v>
      </c>
      <c r="Z228" s="64">
        <f t="shared" si="84"/>
        <v>2.3290999999999999</v>
      </c>
      <c r="AA228" s="64">
        <f t="shared" si="90"/>
        <v>2.2841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91"/>
        <v>59-24</v>
      </c>
      <c r="AE228" s="87" t="str">
        <f t="shared" si="92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8" s="84" t="str">
        <f t="shared" si="93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28" s="1" t="str">
        <f t="shared" si="94"/>
        <v>Other</v>
      </c>
      <c r="AH228" s="88" t="str">
        <f t="shared" si="78"/>
        <v>"%USERPROFILE%\Documents\GitHub\eaglep3\Utilities\RefineRTDCRunTimes.py" --tripid 59-24 --locoid 4046 --swversion DE.1.0.8.0 --startMP 204:450 --initTime 2017-01-24T17:53:02 --startdatetime 1969-12-31T17:00:00 --delay 1 --endMP 300:23291 --enddatetime 1969-12-31T17:00:00 --enforcementcount 0 &gt;&gt;C:\Users\stu\Documents\GitHub\eaglep3-reporting\EC\2017-01-24-refined-times.txt</v>
      </c>
      <c r="AI228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ID","value":"59-24"},{"id":16,"name":"Locomotive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80"/>
        <v>start /low /b %USERPROFILE%\Documents\GitHub\eaglep3\Utilities\DownloadLogsFromS3.py --loco 4046 --day 1969-12-31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2017-01-24-UncaughtWiMAX.txt</v>
      </c>
    </row>
    <row r="229" spans="1:40" x14ac:dyDescent="0.25">
      <c r="A229" s="34" t="s">
        <v>695</v>
      </c>
      <c r="B229" s="7">
        <v>4012</v>
      </c>
      <c r="C229" s="22" t="s">
        <v>196</v>
      </c>
      <c r="D229" s="22" t="s">
        <v>802</v>
      </c>
      <c r="E229" s="13">
        <v>42760.075821759259</v>
      </c>
      <c r="F229" s="13">
        <v>42760.122465277775</v>
      </c>
      <c r="G229" s="7">
        <v>1</v>
      </c>
      <c r="H229" s="22" t="s">
        <v>803</v>
      </c>
      <c r="I229" s="13">
        <v>42760.122743055559</v>
      </c>
      <c r="J229" s="7">
        <v>0</v>
      </c>
      <c r="K229" s="105" t="str">
        <f t="shared" si="85"/>
        <v>4011/4012</v>
      </c>
      <c r="L229" s="22" t="str">
        <f>VLOOKUP(A229,'Trips&amp;Operators'!$C$1:$G$99999,5,FALSE)</f>
        <v>MAGEE KENYA</v>
      </c>
      <c r="M229" s="6">
        <f t="shared" si="86"/>
        <v>2.7777778450399637E-4</v>
      </c>
      <c r="N229" s="7">
        <f t="shared" si="81"/>
        <v>0.40000000968575478</v>
      </c>
      <c r="O229" s="7"/>
      <c r="P229" s="7"/>
      <c r="Q229" s="23"/>
      <c r="R229" s="23"/>
      <c r="S229" s="32">
        <f t="shared" si="82"/>
        <v>0</v>
      </c>
      <c r="T229" s="47" t="e">
        <f t="shared" si="87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88"/>
        <v>https://d0f6bd738d7f1b3e5a7ca70fe4ff75f0.us-east-1.aws.found.io/app/kibana#/discover/Steve-Slow-Train-Analysis-(2080s-and-2083s)?_g=(refreshInterval:(display:Off,pause:!f,section:0,value:0),time:(from:'2017-01-25T00:49:11-0700',mode:absolute,to:'2017-01-25T03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9" s="49" t="str">
        <f t="shared" si="89"/>
        <v>N</v>
      </c>
      <c r="X229" s="170" t="e">
        <f t="shared" si="95"/>
        <v>#VALUE!</v>
      </c>
      <c r="Y229" s="64">
        <f t="shared" si="83"/>
        <v>11.132199999999999</v>
      </c>
      <c r="Z229" s="64">
        <f t="shared" si="84"/>
        <v>1.0117</v>
      </c>
      <c r="AA229" s="64">
        <f t="shared" si="90"/>
        <v>10.1205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91"/>
        <v>60-25</v>
      </c>
      <c r="AE229" s="87" t="str">
        <f t="shared" si="92"/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229" s="84" t="str">
        <f t="shared" si="93"/>
        <v>"C:\Program Files (x86)\AstroGrep\AstroGrep.exe" /spath="%USERPROFILE%\AppData\Local\Temp\OnboardLogs" /stypes="app*4012*20170125*" /stext=" 09:.+((SYSTEM_STATE.+slice.+state.+changed )|(ment ac)|(multiple cpu faults)|(system.+state.+changed )|(\[timeout)|(PRM\|1\|D)|(kpr)|(kdp)|(\|lc)|(penalty))" /e /r /s</v>
      </c>
      <c r="AG229" s="1" t="str">
        <f t="shared" si="94"/>
        <v>Other</v>
      </c>
      <c r="AH229" s="88" t="str">
        <f t="shared" si="78"/>
        <v>"%USERPROFILE%\Documents\GitHub\eaglep3\Utilities\RefineRTDCRunTimes.py" --tripid 60-25 --locoid 4012 --swversion DE.1.0.8.0 --startMP 204:111322 --initTime 2017-01-25T01:49:11 --startdatetime 2017-01-25T02:56:21 --delay 1 --endMP 204:10117 --enddatetime 2017-01-25T02:56:45 --enforcementcount 0 &gt;&gt;C:\Users\stu\Documents\GitHub\eaglep3-reporting\EC\2017-01-24-refined-times.txt</v>
      </c>
      <c r="AI229" s="115" t="str">
        <f t="shared" si="79"/>
        <v>echo {"issue":{"subject":"","project_id":79,"tracker_id":40,"status_id":1,"priority_id":2,"assigned_to_id":23,"start_date":"2017-01-25","description":"","custom_fields":[{"id":1,"name":"Subdivision","value":"Other"},{"id":4,"name":"Milepost","value":"1.0117"},{"id":17,"name":"Train ID","value":"60-25"},{"id":16,"name":"Locomotive ID","value":"4012"},{"id":130,"name":"Impact","value":""},{"id":150,"name":"Time of Event (Mountain Time)","value":"02:56:45"},{"id":151,"name":"Denver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80"/>
        <v>start /low /b %USERPROFILE%\Documents\GitHub\eaglep3\Utilities\DownloadLogsFromS3.py --loco 4012 --day 2017-01-25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2017-01-24-UncaughtWiMAX.txt</v>
      </c>
    </row>
    <row r="230" spans="1:40" x14ac:dyDescent="0.25">
      <c r="A230" s="34" t="s">
        <v>686</v>
      </c>
      <c r="B230" s="7">
        <v>4011</v>
      </c>
      <c r="C230" s="22" t="s">
        <v>196</v>
      </c>
      <c r="D230" s="22" t="s">
        <v>804</v>
      </c>
      <c r="E230" s="13">
        <v>42760.024398148147</v>
      </c>
      <c r="F230" s="13">
        <v>42760.026643518519</v>
      </c>
      <c r="G230" s="7">
        <v>1</v>
      </c>
      <c r="H230" s="22" t="s">
        <v>805</v>
      </c>
      <c r="I230" s="13">
        <v>42760.046041666668</v>
      </c>
      <c r="J230" s="7">
        <v>0</v>
      </c>
      <c r="K230" s="105" t="str">
        <f t="shared" si="85"/>
        <v>4011/4012</v>
      </c>
      <c r="L230" s="22" t="str">
        <f>VLOOKUP(A230,'Trips&amp;Operators'!$C$1:$G$99999,5,FALSE)</f>
        <v>MAGEE KENYA</v>
      </c>
      <c r="M230" s="6">
        <f t="shared" si="86"/>
        <v>1.9398148149775807E-2</v>
      </c>
      <c r="N230" s="7">
        <f t="shared" si="81"/>
        <v>27.933333335677162</v>
      </c>
      <c r="O230" s="7"/>
      <c r="P230" s="7"/>
      <c r="Q230" s="23"/>
      <c r="R230" s="23"/>
      <c r="S230" s="32">
        <f t="shared" si="82"/>
        <v>0</v>
      </c>
      <c r="T230" s="47" t="e">
        <f t="shared" si="87"/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88"/>
        <v>https://d0f6bd738d7f1b3e5a7ca70fe4ff75f0.us-east-1.aws.found.io/app/kibana#/discover/Steve-Slow-Train-Analysis-(2080s-and-2083s)?_g=(refreshInterval:(display:Off,pause:!f,section:0,value:0),time:(from:'2017-01-24T23:35:08-0700',mode:absolute,to:'2017-01-25T02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0" s="49" t="str">
        <f t="shared" si="89"/>
        <v>N</v>
      </c>
      <c r="X230" s="170" t="e">
        <f t="shared" si="95"/>
        <v>#VALUE!</v>
      </c>
      <c r="Y230" s="64">
        <f t="shared" si="83"/>
        <v>0.11600000000000001</v>
      </c>
      <c r="Z230" s="64">
        <f t="shared" si="84"/>
        <v>10.760400000000001</v>
      </c>
      <c r="AA230" s="64">
        <f t="shared" si="90"/>
        <v>10.644400000000001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91"/>
        <v>61-24</v>
      </c>
      <c r="AE230" s="87" t="str">
        <f t="shared" si="92"/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230" s="84" t="str">
        <f t="shared" si="93"/>
        <v>"C:\Program Files (x86)\AstroGrep\AstroGrep.exe" /spath="%USERPROFILE%\AppData\Local\Temp\OnboardLogs" /stypes="app*4011*20170125*" /stext=" 08:.+((SYSTEM_STATE.+slice.+state.+changed )|(ment ac)|(multiple cpu faults)|(system.+state.+changed )|(\[timeout)|(PRM\|1\|D)|(kpr)|(kdp)|(\|lc)|(penalty))" /e /r /s</v>
      </c>
      <c r="AG230" s="1" t="str">
        <f t="shared" si="94"/>
        <v>Other</v>
      </c>
      <c r="AH230" s="88" t="str">
        <f t="shared" si="78"/>
        <v>"%USERPROFILE%\Documents\GitHub\eaglep3\Utilities\RefineRTDCRunTimes.py" --tripid 61-24 --locoid 4011 --swversion DE.1.0.8.0 --startMP 204:1160 --initTime 2017-01-25T00:35:08 --startdatetime 2017-01-25T00:38:22 --delay 1 --endMP 204:107604 --enddatetime 2017-01-25T01:06:18 --enforcementcount 0 &gt;&gt;C:\Users\stu\Documents\GitHub\eaglep3-reporting\EC\2017-01-24-refined-times.txt</v>
      </c>
      <c r="AI230" s="115" t="str">
        <f t="shared" si="79"/>
        <v>echo {"issue":{"subject":"","project_id":79,"tracker_id":40,"status_id":1,"priority_id":2,"assigned_to_id":23,"start_date":"2017-01-25","description":"","custom_fields":[{"id":1,"name":"Subdivision","value":"Other"},{"id":4,"name":"Milepost","value":"10.7604"},{"id":17,"name":"Train ID","value":"61-24"},{"id":16,"name":"Locomotive ID","value":"4011"},{"id":130,"name":"Impact","value":""},{"id":150,"name":"Time of Event (Mountain Time)","value":"01:06:18"},{"id":151,"name":"Denver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80"/>
        <v>start /low /b %USERPROFILE%\Documents\GitHub\eaglep3\Utilities\DownloadLogsFromS3.py --loco 4011 --day 2017-01-25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2017-01-24-UncaughtWiMAX.txt</v>
      </c>
    </row>
    <row r="231" spans="1:40" x14ac:dyDescent="0.25">
      <c r="A231" s="34" t="s">
        <v>693</v>
      </c>
      <c r="B231" s="7">
        <v>4011</v>
      </c>
      <c r="C231" s="22" t="s">
        <v>196</v>
      </c>
      <c r="D231" s="22" t="s">
        <v>806</v>
      </c>
      <c r="E231" s="13">
        <v>42760.103668981479</v>
      </c>
      <c r="F231" s="13">
        <v>42760.105752314812</v>
      </c>
      <c r="G231" s="7">
        <v>1</v>
      </c>
      <c r="H231" s="22" t="s">
        <v>807</v>
      </c>
      <c r="I231" s="13">
        <v>42760.113518518519</v>
      </c>
      <c r="J231" s="7">
        <v>0</v>
      </c>
      <c r="K231" s="105" t="str">
        <f t="shared" si="85"/>
        <v>4011/4012</v>
      </c>
      <c r="L231" s="22" t="str">
        <f>VLOOKUP(A231,'Trips&amp;Operators'!$C$1:$G$99999,5,FALSE)</f>
        <v>MAGEE KENYA</v>
      </c>
      <c r="M231" s="6">
        <f t="shared" si="86"/>
        <v>7.7662037074333057E-3</v>
      </c>
      <c r="N231" s="7">
        <f t="shared" si="81"/>
        <v>11.18333333870396</v>
      </c>
      <c r="O231" s="7"/>
      <c r="P231" s="7"/>
      <c r="Q231" s="23"/>
      <c r="R231" s="23"/>
      <c r="S231" s="32">
        <f t="shared" si="82"/>
        <v>0</v>
      </c>
      <c r="T231" s="47" t="e">
        <f t="shared" si="87"/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88"/>
        <v>https://d0f6bd738d7f1b3e5a7ca70fe4ff75f0.us-east-1.aws.found.io/app/kibana#/discover/Steve-Slow-Train-Analysis-(2080s-and-2083s)?_g=(refreshInterval:(display:Off,pause:!f,section:0,value:0),time:(from:'2017-01-25T01:29:17-0700',mode:absolute,to:'2017-01-25T03:43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1" s="49" t="str">
        <f t="shared" si="89"/>
        <v>N</v>
      </c>
      <c r="X231" s="170" t="e">
        <f t="shared" si="95"/>
        <v>#VALUE!</v>
      </c>
      <c r="Y231" s="64">
        <f t="shared" si="83"/>
        <v>1.0350999999999999</v>
      </c>
      <c r="Z231" s="64">
        <f t="shared" si="84"/>
        <v>7.0907999999999998</v>
      </c>
      <c r="AA231" s="64">
        <f t="shared" si="90"/>
        <v>6.0556999999999999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91"/>
        <v>61-25</v>
      </c>
      <c r="AE231" s="87" t="str">
        <f t="shared" si="92"/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231" s="84" t="str">
        <f t="shared" si="93"/>
        <v>"C:\Program Files (x86)\AstroGrep\AstroGrep.exe" /spath="%USERPROFILE%\AppData\Local\Temp\OnboardLogs" /stypes="app*4011*20170125*" /stext=" 09:.+((SYSTEM_STATE.+slice.+state.+changed )|(ment ac)|(multiple cpu faults)|(system.+state.+changed )|(\[timeout)|(PRM\|1\|D)|(kpr)|(kdp)|(\|lc)|(penalty))" /e /r /s</v>
      </c>
      <c r="AG231" s="1" t="str">
        <f t="shared" si="94"/>
        <v>Other</v>
      </c>
      <c r="AH231" s="88" t="str">
        <f t="shared" si="78"/>
        <v>"%USERPROFILE%\Documents\GitHub\eaglep3\Utilities\RefineRTDCRunTimes.py" --tripid 61-25 --locoid 4011 --swversion DE.1.0.8.0 --startMP 204:10351 --initTime 2017-01-25T02:29:17 --startdatetime 2017-01-25T02:32:17 --delay 1 --endMP 204:70908 --enddatetime 2017-01-25T02:43:28 --enforcementcount 0 &gt;&gt;C:\Users\stu\Documents\GitHub\eaglep3-reporting\EC\2017-01-24-refined-times.txt</v>
      </c>
      <c r="AI231" s="115" t="str">
        <f t="shared" si="79"/>
        <v>echo {"issue":{"subject":"","project_id":79,"tracker_id":40,"status_id":1,"priority_id":2,"assigned_to_id":23,"start_date":"2017-01-25","description":"","custom_fields":[{"id":1,"name":"Subdivision","value":"Other"},{"id":4,"name":"Milepost","value":"7.0908"},{"id":17,"name":"Train ID","value":"61-25"},{"id":16,"name":"Locomotive ID","value":"4011"},{"id":130,"name":"Impact","value":""},{"id":150,"name":"Time of Event (Mountain Time)","value":"02:43:28"},{"id":151,"name":"Denver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80"/>
        <v>start /low /b %USERPROFILE%\Documents\GitHub\eaglep3\Utilities\DownloadLogsFromS3.py --loco 4011 --day 2017-01-25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2017-01-24-UncaughtWiMAX.txt</v>
      </c>
    </row>
    <row r="232" spans="1:40" x14ac:dyDescent="0.25">
      <c r="A232" s="34" t="s">
        <v>693</v>
      </c>
      <c r="B232" s="7">
        <v>4011</v>
      </c>
      <c r="C232" s="22" t="s">
        <v>196</v>
      </c>
      <c r="D232" s="22" t="s">
        <v>808</v>
      </c>
      <c r="E232" s="13">
        <v>42760.066122685188</v>
      </c>
      <c r="F232" s="13">
        <v>42760.072824074072</v>
      </c>
      <c r="G232" s="7">
        <v>2</v>
      </c>
      <c r="H232" s="22" t="s">
        <v>809</v>
      </c>
      <c r="I232" s="13">
        <v>42760.074259259258</v>
      </c>
      <c r="J232" s="7">
        <v>0</v>
      </c>
      <c r="K232" s="105" t="str">
        <f t="shared" si="85"/>
        <v>4011/4012</v>
      </c>
      <c r="L232" s="22" t="str">
        <f>VLOOKUP(A232,'Trips&amp;Operators'!$C$1:$G$99999,5,FALSE)</f>
        <v>MAGEE KENYA</v>
      </c>
      <c r="M232" s="6">
        <f t="shared" si="86"/>
        <v>1.4351851859828457E-3</v>
      </c>
      <c r="N232" s="7">
        <f t="shared" si="81"/>
        <v>2.0666666678152978</v>
      </c>
      <c r="O232" s="7"/>
      <c r="P232" s="7"/>
      <c r="Q232" s="23"/>
      <c r="R232" s="23"/>
      <c r="S232" s="32">
        <f t="shared" si="82"/>
        <v>0</v>
      </c>
      <c r="T232" s="47" t="e">
        <f t="shared" si="87"/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88"/>
        <v>https://d0f6bd738d7f1b3e5a7ca70fe4ff75f0.us-east-1.aws.found.io/app/kibana#/discover/Steve-Slow-Train-Analysis-(2080s-and-2083s)?_g=(refreshInterval:(display:Off,pause:!f,section:0,value:0),time:(from:'2017-01-25T00:35:13-0700',mode:absolute,to:'2017-01-25T02:46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2" s="49" t="str">
        <f t="shared" si="89"/>
        <v>Y</v>
      </c>
      <c r="X232" s="170" t="e">
        <f t="shared" si="95"/>
        <v>#VALUE!</v>
      </c>
      <c r="Y232" s="64">
        <f t="shared" si="83"/>
        <v>10.7598</v>
      </c>
      <c r="Z232" s="64">
        <f t="shared" si="84"/>
        <v>11.1648</v>
      </c>
      <c r="AA232" s="64">
        <f t="shared" si="90"/>
        <v>0.40499999999999936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91"/>
        <v>61-25</v>
      </c>
      <c r="AE232" s="87" t="str">
        <f t="shared" si="92"/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232" s="84" t="str">
        <f t="shared" si="93"/>
        <v>"C:\Program Files (x86)\AstroGrep\AstroGrep.exe" /spath="%USERPROFILE%\AppData\Local\Temp\OnboardLogs" /stypes="app*4011*20170125*" /stext=" 08:.+((SYSTEM_STATE.+slice.+state.+changed )|(ment ac)|(multiple cpu faults)|(system.+state.+changed )|(\[timeout)|(PRM\|1\|D)|(kpr)|(kdp)|(\|lc)|(penalty))" /e /r /s</v>
      </c>
      <c r="AG232" s="1" t="str">
        <f t="shared" si="94"/>
        <v>Other</v>
      </c>
      <c r="AH232" s="88" t="str">
        <f t="shared" si="78"/>
        <v>"%USERPROFILE%\Documents\GitHub\eaglep3\Utilities\RefineRTDCRunTimes.py" --tripid 61-25 --locoid 4011 --swversion DE.1.0.8.0 --startMP 204:107598 --initTime 2017-01-25T01:35:13 --startdatetime 2017-01-25T01:44:52 --delay 2 --endMP 204:111648 --enddatetime 2017-01-25T01:46:56 --enforcementcount 0 &gt;&gt;C:\Users\stu\Documents\GitHub\eaglep3-reporting\EC\2017-01-24-refined-times.txt</v>
      </c>
      <c r="AI232" s="115" t="str">
        <f t="shared" si="79"/>
        <v>echo {"issue":{"subject":"","project_id":79,"tracker_id":40,"status_id":1,"priority_id":2,"assigned_to_id":23,"start_date":"2017-01-25","description":"","custom_fields":[{"id":1,"name":"Subdivision","value":"Other"},{"id":4,"name":"Milepost","value":"11.1648"},{"id":17,"name":"Train ID","value":"61-25"},{"id":16,"name":"Locomotive ID","value":"4011"},{"id":130,"name":"Impact","value":""},{"id":150,"name":"Time of Event (Mountain Time)","value":"01:46:56"},{"id":151,"name":"Denver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80"/>
        <v>start /low /b %USERPROFILE%\Documents\GitHub\eaglep3\Utilities\DownloadLogsFromS3.py --loco 4011 --day 2017-01-25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2017-01-24-UncaughtWiMAX.txt</v>
      </c>
    </row>
    <row r="233" spans="1:40" x14ac:dyDescent="0.25">
      <c r="A233" s="34" t="s">
        <v>648</v>
      </c>
      <c r="B233" s="7">
        <v>4027</v>
      </c>
      <c r="C233" s="22" t="s">
        <v>196</v>
      </c>
      <c r="D233" s="22" t="s">
        <v>810</v>
      </c>
      <c r="E233" s="13">
        <v>42759.753078703703</v>
      </c>
      <c r="F233" s="13">
        <v>25568.708333333332</v>
      </c>
      <c r="G233" s="7">
        <v>2</v>
      </c>
      <c r="H233" s="22" t="s">
        <v>811</v>
      </c>
      <c r="I233" s="13">
        <v>25568.708333333332</v>
      </c>
      <c r="J233" s="7">
        <v>0</v>
      </c>
      <c r="K233" s="105" t="str">
        <f t="shared" si="85"/>
        <v>4027/4028</v>
      </c>
      <c r="L233" s="22" t="str">
        <f>VLOOKUP(A233,'Trips&amp;Operators'!$C$1:$G$99999,5,FALSE)</f>
        <v>BERLING GARY</v>
      </c>
      <c r="M233" s="6">
        <f t="shared" si="86"/>
        <v>0</v>
      </c>
      <c r="N233" s="7">
        <f t="shared" si="81"/>
        <v>0</v>
      </c>
      <c r="O233" s="7"/>
      <c r="P233" s="7"/>
      <c r="Q233" s="23"/>
      <c r="R233" s="23"/>
      <c r="S233" s="32">
        <f t="shared" si="82"/>
        <v>0</v>
      </c>
      <c r="T233" s="47" t="e">
        <f t="shared" si="87"/>
        <v>#VALUE!</v>
      </c>
      <c r="U233" s="16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88"/>
        <v>https://d0f6bd738d7f1b3e5a7ca70fe4ff75f0.us-east-1.aws.found.io/app/kibana#/discover/Steve-Slow-Train-Analysis-(2080s-and-2083s)?_g=(refreshInterval:(display:Off,pause:!f,section:0,value:0),time:(from:'2017-01-24T17:04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49" t="str">
        <f t="shared" si="89"/>
        <v>Y</v>
      </c>
      <c r="X233" s="170" t="e">
        <f t="shared" si="95"/>
        <v>#VALUE!</v>
      </c>
      <c r="Y233" s="64">
        <f t="shared" si="83"/>
        <v>0.1169</v>
      </c>
      <c r="Z233" s="64">
        <f t="shared" si="84"/>
        <v>2.3300999999999998</v>
      </c>
      <c r="AA233" s="64">
        <f t="shared" si="90"/>
        <v>2.2131999999999996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91"/>
        <v>75-24</v>
      </c>
      <c r="AE233" s="87" t="str">
        <f t="shared" si="92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33" s="84" t="str">
        <f t="shared" si="93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33" s="1" t="str">
        <f t="shared" si="94"/>
        <v>Other</v>
      </c>
      <c r="AH233" s="88" t="str">
        <f t="shared" si="78"/>
        <v>"%USERPROFILE%\Documents\GitHub\eaglep3\Utilities\RefineRTDCRunTimes.py" --tripid 75-24 --locoid 4027 --swversion DE.1.0.8.0 --startMP 204:1169 --initTime 2017-01-24T18:04:26 --startdatetime 1969-12-31T17:00:00 --delay 2 --endMP 300:23301 --enddatetime 1969-12-31T17:00:00 --enforcementcount 0 &gt;&gt;C:\Users\stu\Documents\GitHub\eaglep3-reporting\EC\2017-01-24-refined-times.txt</v>
      </c>
      <c r="AI233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ID","value":"75-24"},{"id":16,"name":"Locomotive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77" t="str">
        <f t="shared" si="80"/>
        <v>start /low /b %USERPROFILE%\Documents\GitHub\eaglep3\Utilities\DownloadLogsFromS3.py --loco 4027 --day 1969-12-31</v>
      </c>
      <c r="AN233" s="186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2017-01-24-UncaughtWiMAX.txt</v>
      </c>
    </row>
    <row r="234" spans="1:40" x14ac:dyDescent="0.25">
      <c r="A234" s="34" t="s">
        <v>657</v>
      </c>
      <c r="B234" s="7">
        <v>4007</v>
      </c>
      <c r="C234" s="22" t="s">
        <v>196</v>
      </c>
      <c r="D234" s="22" t="s">
        <v>812</v>
      </c>
      <c r="E234" s="13">
        <v>42759.783194444448</v>
      </c>
      <c r="F234" s="13">
        <v>25568.708333333332</v>
      </c>
      <c r="G234" s="7">
        <v>1</v>
      </c>
      <c r="H234" s="22" t="s">
        <v>264</v>
      </c>
      <c r="I234" s="13">
        <v>25568.708333333332</v>
      </c>
      <c r="J234" s="7">
        <v>0</v>
      </c>
      <c r="K234" s="105" t="str">
        <f t="shared" si="85"/>
        <v>4007/4008</v>
      </c>
      <c r="L234" s="22" t="str">
        <f>VLOOKUP(A234,'Trips&amp;Operators'!$C$1:$G$99999,5,FALSE)</f>
        <v>SWANSON BRYCE</v>
      </c>
      <c r="M234" s="6">
        <f t="shared" si="86"/>
        <v>0</v>
      </c>
      <c r="N234" s="7">
        <f t="shared" si="81"/>
        <v>0</v>
      </c>
      <c r="O234" s="7"/>
      <c r="P234" s="7"/>
      <c r="Q234" s="23"/>
      <c r="R234" s="23"/>
      <c r="S234" s="32">
        <f t="shared" si="82"/>
        <v>0</v>
      </c>
      <c r="T234" s="47" t="e">
        <f t="shared" si="87"/>
        <v>#VALUE!</v>
      </c>
      <c r="U234" s="164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88"/>
        <v>https://d0f6bd738d7f1b3e5a7ca70fe4ff75f0.us-east-1.aws.found.io/app/kibana#/discover/Steve-Slow-Train-Analysis-(2080s-and-2083s)?_g=(refreshInterval:(display:Off,pause:!f,section:0,value:0),time:(from:'2017-01-24T17:47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4" s="49" t="str">
        <f t="shared" si="89"/>
        <v>Y</v>
      </c>
      <c r="X234" s="170" t="e">
        <f t="shared" si="95"/>
        <v>#VALUE!</v>
      </c>
      <c r="Y234" s="64">
        <f t="shared" si="83"/>
        <v>6.0600000000000001E-2</v>
      </c>
      <c r="Z234" s="64">
        <f t="shared" si="84"/>
        <v>2.3346</v>
      </c>
      <c r="AA234" s="64">
        <f t="shared" si="90"/>
        <v>2.274</v>
      </c>
      <c r="AB234" s="61" t="e">
        <f>VLOOKUP(A234,Enforcements!$C$7:$K$16,8,0)</f>
        <v>#N/A</v>
      </c>
      <c r="AC234" s="57" t="e">
        <f>VLOOKUP(A234,Enforcements!$C$7:$E$16,3,0)</f>
        <v>#N/A</v>
      </c>
      <c r="AD234" s="58" t="str">
        <f t="shared" si="91"/>
        <v>77-24</v>
      </c>
      <c r="AE234" s="87" t="str">
        <f t="shared" si="92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34" s="84" t="str">
        <f t="shared" si="93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34" s="1" t="str">
        <f t="shared" si="94"/>
        <v>Other</v>
      </c>
      <c r="AH234" s="88" t="str">
        <f t="shared" si="78"/>
        <v>"%USERPROFILE%\Documents\GitHub\eaglep3\Utilities\RefineRTDCRunTimes.py" --tripid 77-24 --locoid 4007 --swversion DE.1.0.8.0 --startMP 204:606 --initTime 2017-01-24T18:47:48 --startdatetime 1969-12-31T17:00:00 --delay 1 --endMP 300:23346 --enddatetime 1969-12-31T17:00:00 --enforcementcount 0 &gt;&gt;C:\Users\stu\Documents\GitHub\eaglep3-reporting\EC\2017-01-24-refined-times.txt</v>
      </c>
      <c r="AI234" s="115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ID","value":"77-24"},{"id":16,"name":"Locomotive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77" t="str">
        <f t="shared" si="80"/>
        <v>start /low /b %USERPROFILE%\Documents\GitHub\eaglep3\Utilities\DownloadLogsFromS3.py --loco 4007 --day 1969-12-31</v>
      </c>
      <c r="AN234" s="186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2017-01-24-UncaughtWiMAX.txt</v>
      </c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</sheetData>
  <autoFilter ref="A12:AG240"/>
  <sortState ref="A13:AH200">
    <sortCondition ref="AG13:AG200"/>
    <sortCondition ref="AD13:AD200"/>
  </sortState>
  <mergeCells count="1">
    <mergeCell ref="A11:P11"/>
  </mergeCells>
  <conditionalFormatting sqref="W11:W12 W255:X1048576 W13:X234">
    <cfRule type="cellIs" dxfId="10" priority="356" operator="equal">
      <formula>"Y"</formula>
    </cfRule>
  </conditionalFormatting>
  <conditionalFormatting sqref="X255:X1048576 X13:X234">
    <cfRule type="cellIs" dxfId="9" priority="339" operator="greaterThan">
      <formula>1</formula>
    </cfRule>
  </conditionalFormatting>
  <conditionalFormatting sqref="X255:X1048576 X12:X234">
    <cfRule type="cellIs" dxfId="8" priority="336" operator="equal">
      <formula>0</formula>
    </cfRule>
  </conditionalFormatting>
  <conditionalFormatting sqref="A13:S234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5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COUNTIF($O$7:$O$324,"=Y")</f>
        <v>3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COUNTA($O$7:$O$324)-O2</f>
        <v>47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- 2017-01-24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223</v>
      </c>
    </row>
    <row r="7" spans="1:31" s="1" customFormat="1" x14ac:dyDescent="0.25">
      <c r="A7" s="33">
        <v>42759.248738425929</v>
      </c>
      <c r="B7" s="31" t="s">
        <v>385</v>
      </c>
      <c r="C7" s="31" t="s">
        <v>455</v>
      </c>
      <c r="D7" s="31" t="s">
        <v>49</v>
      </c>
      <c r="E7" s="31" t="s">
        <v>206</v>
      </c>
      <c r="F7" s="44">
        <v>0</v>
      </c>
      <c r="G7" s="44">
        <v>17</v>
      </c>
      <c r="H7" s="44">
        <v>31081</v>
      </c>
      <c r="I7" s="44">
        <v>31074</v>
      </c>
      <c r="J7" s="31" t="s">
        <v>207</v>
      </c>
      <c r="K7" s="44">
        <v>30970</v>
      </c>
      <c r="L7" s="150" t="s">
        <v>51</v>
      </c>
      <c r="M7" s="151">
        <f t="shared" ref="M7:M38" si="0">CONVERT((I7-K7)/10000,"mi","ft")*IF(L7="Increasing Mileposts (1)",-1,1)</f>
        <v>54.911999999999999</v>
      </c>
      <c r="N7" s="152" t="str">
        <f>VLOOKUP(C7,'Trips&amp;Operators'!$C$1:$G$99999,5,FALSE)</f>
        <v>BONDS REYNALDO</v>
      </c>
      <c r="O7" s="176" t="s">
        <v>188</v>
      </c>
      <c r="P7" s="153" t="s">
        <v>379</v>
      </c>
      <c r="Q7" s="31"/>
      <c r="R7" s="96" t="str">
        <f>VLOOKUP(C7,'Train Runs'!$A$13:$AE$9978,31,0)</f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S7" s="99" t="str">
        <f>VLOOKUP(C7,'Train Runs'!$A$13:$AE$9978,22,0)</f>
        <v>https://d0f6bd738d7f1b3e5a7ca70fe4ff75f0.us-east-1.aws.found.io/app/kibana#/discover/Steve-Slow-Train-Analysis-(2080s-and-2083s)?_g=(refreshInterval:(display:Off,pause:!f,section:0,value:0),time:(from:'2017-01-24T04:21:54-0700',mode:absolute,to:'2017-01-24T07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7" s="101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/stypes="*4010*201701241*" /stext=" 12:.+((SYSTEM_STATE.+slice.+state.+changed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4010</v>
      </c>
      <c r="V7" s="33">
        <f t="shared" ref="V7:V38" si="3">A7-utc_offset/24</f>
        <v>42759.540405092594</v>
      </c>
      <c r="W7" s="47" t="str">
        <f t="shared" ref="W7:W38" si="4">IF(VALUE(LEFT(IF(LEN(C7)=6,"0"&amp;C7,C7),2))&lt;=2,"EC",IF(OR(VALUE(LEFT(IF(LEN(C7)=6,"0"&amp;C7,C7),2))=8,VALUE(LEFT(IF(LEN(C7)=6,"0"&amp;C7,C7),2))=18),"NW","Other"))</f>
        <v>EC</v>
      </c>
      <c r="X7" s="47" t="str">
        <f t="shared" ref="X7:X38" si="5">IF(AND(E7="TRACK WARRANT AUTHORITY",G7&lt;10),"OMIT","KEEP")</f>
        <v>KEEP</v>
      </c>
      <c r="Y7" s="115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C","project_id":79,"tracker_id":40,"status_id":1,"priority_id":2,"assigned_to_id":23,"start_date":"2017-01-24","description":"","custom_fields":[{"id":1,"name":"Subdivision","value":"EC"},{"id":4,"name":"Milepost","value":"3.097"},{"id":17,"name":"Train ID","value":"108-24"},{"id":16,"name":"Locomotive ID","value":"4010"},{"id":130,"name":"Impact","value":""},{"id":150,"name":"Time of Event (Mountain Time)","value":"05:58:11"},{"id":151,"name":"Denver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"%USERPROFILE%\AppData\Local\Temp\OnboardLogs"\RTDC4010\*4010*201701241*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"%USERPROFILE%\AppData\Local\Temp\OnboardLogs"\RTDC4010\*4010*201701241* &gt;&gt; 2017-01-24-SliceDisagreementCheck.txt</v>
      </c>
      <c r="AE7" s="180" t="str">
        <f t="shared" ref="AE7:AE38" si="8">"start /low /b "&amp;dls3logs&amp;" --loco "&amp;U7&amp;" --day "&amp;TEXT(V7,"YYYY-MM-DD")</f>
        <v>start /low /b %USERPROFILE%\Documents\GitHub\eaglep3\Utilities\DownloadLogsFromS3.py --loco 4010 --day 2017-01-24</v>
      </c>
    </row>
    <row r="8" spans="1:31" s="1" customFormat="1" x14ac:dyDescent="0.25">
      <c r="A8" s="33">
        <v>42759.323020833333</v>
      </c>
      <c r="B8" s="31" t="s">
        <v>385</v>
      </c>
      <c r="C8" s="31" t="s">
        <v>458</v>
      </c>
      <c r="D8" s="31" t="s">
        <v>49</v>
      </c>
      <c r="E8" s="31" t="s">
        <v>206</v>
      </c>
      <c r="F8" s="44">
        <v>0</v>
      </c>
      <c r="G8" s="44">
        <v>82</v>
      </c>
      <c r="H8" s="44">
        <v>31357</v>
      </c>
      <c r="I8" s="44">
        <v>31236</v>
      </c>
      <c r="J8" s="31" t="s">
        <v>207</v>
      </c>
      <c r="K8" s="44">
        <v>30970</v>
      </c>
      <c r="L8" s="150" t="s">
        <v>51</v>
      </c>
      <c r="M8" s="151">
        <f t="shared" si="0"/>
        <v>140.44800000000001</v>
      </c>
      <c r="N8" s="152" t="str">
        <f>VLOOKUP(C8,'Trips&amp;Operators'!$C$1:$G$99999,5,FALSE)</f>
        <v>BONDS REYNALDO</v>
      </c>
      <c r="O8" s="176" t="s">
        <v>188</v>
      </c>
      <c r="P8" s="153" t="s">
        <v>379</v>
      </c>
      <c r="Q8" s="31"/>
      <c r="R8" s="96" t="str">
        <f>VLOOKUP(C8,'Train Runs'!$A$13:$AE$9978,31,0)</f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S8" s="99" t="str">
        <f>VLOOKUP(C8,'Train Runs'!$A$13:$AE$9978,22,0)</f>
        <v>https://d0f6bd738d7f1b3e5a7ca70fe4ff75f0.us-east-1.aws.found.io/app/kibana#/discover/Steve-Slow-Train-Analysis-(2080s-and-2083s)?_g=(refreshInterval:(display:Off,pause:!f,section:0,value:0),time:(from:'2017-01-24T06:09:49-0700',mode:absolute,to:'2017-01-24T08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8" s="101" t="str">
        <f t="shared" si="1"/>
        <v>"C:\Program Files (x86)\AstroGrep\AstroGrep.exe" /spath="%USERPROFILE%\AppData\Local\Temp\OnboardLogs" /stypes="*4010*201701241*" /stext=" 14:.+((SYSTEM_STATE.+slice.+state.+changed )|(ment ac)|(multiple cpu faults)|(system.+state.+changed )|(\[timeout)|(PRM\|1\|D)|(kpr)|(kdp)|(\|lc)|(penalty))" /e /r /s</v>
      </c>
      <c r="U8" s="9" t="str">
        <f t="shared" si="2"/>
        <v>4010</v>
      </c>
      <c r="V8" s="33">
        <f t="shared" si="3"/>
        <v>42759.614687499998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C","project_id":79,"tracker_id":40,"status_id":1,"priority_id":2,"assigned_to_id":23,"start_date":"2017-01-24","description":"","custom_fields":[{"id":1,"name":"Subdivision","value":"EC"},{"id":4,"name":"Milepost","value":"3.097"},{"id":17,"name":"Train ID","value":"122-24"},{"id":16,"name":"Locomotive ID","value":"4010"},{"id":130,"name":"Impact","value":""},{"id":150,"name":"Time of Event (Mountain Time)","value":"07:45:09"},{"id":151,"name":"Denver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"%USERPROFILE%\AppData\Local\Temp\OnboardLogs"\RTDC4010\*4010*201701241*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"%USERPROFILE%\AppData\Local\Temp\OnboardLogs"\RTDC4010\*4010*201701241* &gt;&gt; 2017-01-24-SliceDisagreementCheck.txt</v>
      </c>
      <c r="AE8" s="180" t="str">
        <f t="shared" si="8"/>
        <v>start /low /b %USERPROFILE%\Documents\GitHub\eaglep3\Utilities\DownloadLogsFromS3.py --loco 4010 --day 2017-01-24</v>
      </c>
    </row>
    <row r="9" spans="1:31" s="1" customFormat="1" x14ac:dyDescent="0.25">
      <c r="A9" s="33">
        <v>42759.557210648149</v>
      </c>
      <c r="B9" s="31" t="s">
        <v>234</v>
      </c>
      <c r="C9" s="31" t="s">
        <v>472</v>
      </c>
      <c r="D9" s="31" t="s">
        <v>49</v>
      </c>
      <c r="E9" s="31" t="s">
        <v>206</v>
      </c>
      <c r="F9" s="44">
        <v>0</v>
      </c>
      <c r="G9" s="44">
        <v>190</v>
      </c>
      <c r="H9" s="44">
        <v>32192</v>
      </c>
      <c r="I9" s="44">
        <v>31899</v>
      </c>
      <c r="J9" s="31" t="s">
        <v>207</v>
      </c>
      <c r="K9" s="44">
        <v>30970</v>
      </c>
      <c r="L9" s="150" t="s">
        <v>51</v>
      </c>
      <c r="M9" s="151">
        <f t="shared" si="0"/>
        <v>490.512</v>
      </c>
      <c r="N9" s="152" t="str">
        <f>VLOOKUP(C9,'Trips&amp;Operators'!$C$1:$G$99999,5,FALSE)</f>
        <v>HOLCOMB KAMDEN</v>
      </c>
      <c r="O9" s="176" t="s">
        <v>188</v>
      </c>
      <c r="P9" s="153" t="s">
        <v>379</v>
      </c>
      <c r="Q9" s="31"/>
      <c r="R9" s="96" t="str">
        <f>VLOOKUP(C9,'Train Runs'!$A$13:$AE$9978,31,0)</f>
        <v>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 &amp; aws s3 cp s3://rtdc.mdm.uploadarchive.raw/RTDC4026/ "%USERPROFILE%\AppData\Local\Temp\OnboardLogs"\RTDC4026\2017-01-25 --exclude "*" --recursive --include "*20170125*" &amp; "%USERPROFILE%\Documents\GitHub\mrs-test-scripts\Headless Mode &amp; Sideloading\WalkAndUnGZ.bat" "%USERPROFILE%\AppData\Local\Temp\OnboardLogs"\RTDC4026\2017-01-25</v>
      </c>
      <c r="S9" s="99" t="str">
        <f>VLOOKUP(C9,'Train Runs'!$A$13:$AE$9978,22,0)</f>
        <v>https://d0f6bd738d7f1b3e5a7ca70fe4ff75f0.us-east-1.aws.found.io/app/kibana#/discover/Steve-Slow-Train-Analysis-(2080s-and-2083s)?_g=(refreshInterval:(display:Off,pause:!f,section:0,value:0),time:(from:'2017-01-24T11:36:51-0700',mode:absolute,to:'2017-01-24T14:29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101" t="str">
        <f t="shared" si="1"/>
        <v>"C:\Program Files (x86)\AstroGrep\AstroGrep.exe" /spath="%USERPROFILE%\AppData\Local\Temp\OnboardLogs" /stypes="*4026*201701242*" /stext=" 20:.+((SYSTEM_STATE.+slice.+state.+changed )|(ment ac)|(multiple cpu faults)|(system.+state.+changed )|(\[timeout)|(PRM\|1\|D)|(kpr)|(kdp)|(\|lc)|(penalty))" /e /r /s</v>
      </c>
      <c r="U9" s="9" t="str">
        <f t="shared" si="2"/>
        <v>4026</v>
      </c>
      <c r="V9" s="33">
        <f t="shared" si="3"/>
        <v>42759.848877314813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C","project_id":79,"tracker_id":40,"status_id":1,"priority_id":2,"assigned_to_id":23,"start_date":"2017-01-24","description":"","custom_fields":[{"id":1,"name":"Subdivision","value":"EC"},{"id":4,"name":"Milepost","value":"3.097"},{"id":17,"name":"Train ID","value":"166-24"},{"id":16,"name":"Locomotive ID","value":"4026"},{"id":130,"name":"Impact","value":""},{"id":150,"name":"Time of Event (Mountain Time)","value":"13:22:23"},{"id":151,"name":"Denver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"%USERPROFILE%\AppData\Local\Temp\OnboardLogs"\RTDC4026\*4026*201701242*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"%USERPROFILE%\AppData\Local\Temp\OnboardLogs"\RTDC4026\*4026*201701242* &gt;&gt; 2017-01-24-SliceDisagreementCheck.txt</v>
      </c>
      <c r="AE9" s="180" t="str">
        <f t="shared" si="8"/>
        <v>start /low /b %USERPROFILE%\Documents\GitHub\eaglep3\Utilities\DownloadLogsFromS3.py --loco 4026 --day 2017-01-24</v>
      </c>
    </row>
    <row r="10" spans="1:31" s="1" customFormat="1" x14ac:dyDescent="0.25">
      <c r="A10" s="33">
        <v>42759.427974537037</v>
      </c>
      <c r="B10" s="31" t="s">
        <v>390</v>
      </c>
      <c r="C10" s="31" t="s">
        <v>463</v>
      </c>
      <c r="D10" s="31" t="s">
        <v>49</v>
      </c>
      <c r="E10" s="31" t="s">
        <v>206</v>
      </c>
      <c r="F10" s="44">
        <v>0</v>
      </c>
      <c r="G10" s="44">
        <v>77</v>
      </c>
      <c r="H10" s="44">
        <v>32905</v>
      </c>
      <c r="I10" s="44">
        <v>33036</v>
      </c>
      <c r="J10" s="31" t="s">
        <v>207</v>
      </c>
      <c r="K10" s="44">
        <v>33136</v>
      </c>
      <c r="L10" s="150" t="s">
        <v>50</v>
      </c>
      <c r="M10" s="151">
        <f t="shared" si="0"/>
        <v>52.8</v>
      </c>
      <c r="N10" s="152" t="str">
        <f>VLOOKUP(C10,'Trips&amp;Operators'!$C$1:$G$99999,5,FALSE)</f>
        <v>BONDS REYNALDO</v>
      </c>
      <c r="O10" s="176" t="s">
        <v>188</v>
      </c>
      <c r="P10" s="153" t="s">
        <v>379</v>
      </c>
      <c r="Q10" s="31"/>
      <c r="R10" s="96" t="str">
        <f>VLOOKUP(C10,'Train Runs'!$A$13:$AE$9978,31,0)</f>
        <v>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 &amp; 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</v>
      </c>
      <c r="S10" s="99" t="str">
        <f>VLOOKUP(C10,'Train Runs'!$A$13:$AE$9978,22,0)</f>
        <v>https://d0f6bd738d7f1b3e5a7ca70fe4ff75f0.us-east-1.aws.found.io/app/kibana#/discover/Steve-Slow-Train-Analysis-(2080s-and-2083s)?_g=(refreshInterval:(display:Off,pause:!f,section:0,value:0),time:(from:'2017-01-24T09:03:51-0700',mode:absolute,to:'2017-01-24T11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101" t="str">
        <f t="shared" si="1"/>
        <v>"C:\Program Files (x86)\AstroGrep\AstroGrep.exe" /spath="%USERPROFILE%\AppData\Local\Temp\OnboardLogs" /stypes="*4009*201701241*" /stext=" 17:.+((SYSTEM_STATE.+slice.+state.+changed )|(ment ac)|(multiple cpu faults)|(system.+state.+changed )|(\[timeout)|(PRM\|1\|D)|(kpr)|(kdp)|(\|lc)|(penalty))" /e /r /s</v>
      </c>
      <c r="U10" s="9" t="str">
        <f t="shared" si="2"/>
        <v>4009</v>
      </c>
      <c r="V10" s="33">
        <f t="shared" si="3"/>
        <v>42759.719641203701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{"issue":{"subject":"Form C","project_id":79,"tracker_id":40,"status_id":1,"priority_id":2,"assigned_to_id":23,"start_date":"2017-01-24","description":"","custom_fields":[{"id":1,"name":"Subdivision","value":"EC"},{"id":4,"name":"Milepost","value":"3.3136"},{"id":17,"name":"Train ID","value":"151-24"},{"id":16,"name":"Locomotive ID","value":"4009"},{"id":130,"name":"Impact","value":""},{"id":150,"name":"Time of Event (Mountain Time)","value":"10:16:17"},{"id":151,"name":"Denver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"%USERPROFILE%\AppData\Local\Temp\OnboardLogs"\RTDC4009\*4009*201701241*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"%USERPROFILE%\AppData\Local\Temp\OnboardLogs"\RTDC4009\*4009*201701241* &gt;&gt; 2017-01-24-SliceDisagreementCheck.txt</v>
      </c>
      <c r="AE10" s="180" t="str">
        <f t="shared" si="8"/>
        <v>start /low /b %USERPROFILE%\Documents\GitHub\eaglep3\Utilities\DownloadLogsFromS3.py --loco 4009 --day 2017-01-24</v>
      </c>
    </row>
    <row r="11" spans="1:31" s="1" customFormat="1" x14ac:dyDescent="0.25">
      <c r="A11" s="33">
        <v>42760.027615740742</v>
      </c>
      <c r="B11" s="31" t="s">
        <v>344</v>
      </c>
      <c r="C11" s="31" t="s">
        <v>491</v>
      </c>
      <c r="D11" s="31" t="s">
        <v>49</v>
      </c>
      <c r="E11" s="31" t="s">
        <v>206</v>
      </c>
      <c r="F11" s="44">
        <v>0</v>
      </c>
      <c r="G11" s="44">
        <v>33</v>
      </c>
      <c r="H11" s="44">
        <v>33077</v>
      </c>
      <c r="I11" s="44">
        <v>33122</v>
      </c>
      <c r="J11" s="31" t="s">
        <v>207</v>
      </c>
      <c r="K11" s="44">
        <v>33136</v>
      </c>
      <c r="L11" s="150" t="s">
        <v>50</v>
      </c>
      <c r="M11" s="151">
        <f t="shared" si="0"/>
        <v>7.3920000000000003</v>
      </c>
      <c r="N11" s="152" t="str">
        <f>VLOOKUP(C11,'Trips&amp;Operators'!$C$1:$G$99999,5,FALSE)</f>
        <v>STAMBAUGH JAMES</v>
      </c>
      <c r="O11" s="176" t="s">
        <v>188</v>
      </c>
      <c r="P11" s="153" t="s">
        <v>379</v>
      </c>
      <c r="Q11" s="31"/>
      <c r="R11" s="96" t="str">
        <f>VLOOKUP(C11,'Train Runs'!$A$13:$AE$9978,31,0)</f>
        <v>aws s3 cp s3://rtdc.mdm.uploadarchive.raw/RTDC4003/ "%USERPROFILE%\AppData\Local\Temp\OnboardLogs"\RTDC4003\2017-01-25 --exclude "*" --recursive --include "*20170125*" &amp; "%USERPROFILE%\Documents\GitHub\mrs-test-scripts\Headless Mode &amp; Sideloading\WalkAndUnGZ.bat" "%USERPROFILE%\AppData\Local\Temp\OnboardLogs"\RTDC4003\2017-01-25 &amp; 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</v>
      </c>
      <c r="S11" s="99" t="str">
        <f>VLOOKUP(C11,'Train Runs'!$A$13:$AE$9978,22,0)</f>
        <v>https://d0f6bd738d7f1b3e5a7ca70fe4ff75f0.us-east-1.aws.found.io/app/kibana#/discover/Steve-Slow-Train-Analysis-(2080s-and-2083s)?_g=(refreshInterval:(display:Off,pause:!f,section:0,value:0),time:(from:'2017-01-24T23:12:37-0700',mode:absolute,to:'2017-01-25T02:14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1" s="101" t="str">
        <f t="shared" si="1"/>
        <v>"C:\Program Files (x86)\AstroGrep\AstroGrep.exe" /spath="%USERPROFILE%\AppData\Local\Temp\OnboardLogs" /stypes="*4003*201701250*" /stext=" 07:.+((SYSTEM_STATE.+slice.+state.+changed )|(ment ac)|(multiple cpu faults)|(system.+state.+changed )|(\[timeout)|(PRM\|1\|D)|(kpr)|(kdp)|(\|lc)|(penalty))" /e /r /s</v>
      </c>
      <c r="U11" s="9" t="str">
        <f t="shared" si="2"/>
        <v>4003</v>
      </c>
      <c r="V11" s="33">
        <f t="shared" si="3"/>
        <v>42760.319282407407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{"issue":{"subject":"Form C","project_id":79,"tracker_id":40,"status_id":1,"priority_id":2,"assigned_to_id":23,"start_date":"2017-01-25","description":"","custom_fields":[{"id":1,"name":"Subdivision","value":"EC"},{"id":4,"name":"Milepost","value":"3.3136"},{"id":17,"name":"Train ID","value":"243-24"},{"id":16,"name":"Locomotive ID","value":"4003"},{"id":130,"name":"Impact","value":""},{"id":150,"name":"Time of Event (Mountain Time)","value":"00:39:46"},{"id":151,"name":"Denver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"%USERPROFILE%\AppData\Local\Temp\OnboardLogs"\RTDC4003\*4003*201701250*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"%USERPROFILE%\AppData\Local\Temp\OnboardLogs"\RTDC4003\*4003*201701250* &gt;&gt; 2017-01-24-SliceDisagreementCheck.txt</v>
      </c>
      <c r="AE11" s="180" t="str">
        <f t="shared" si="8"/>
        <v>start /low /b %USERPROFILE%\Documents\GitHub\eaglep3\Utilities\DownloadLogsFromS3.py --loco 4003 --day 2017-01-25</v>
      </c>
    </row>
    <row r="12" spans="1:31" s="1" customFormat="1" x14ac:dyDescent="0.25">
      <c r="A12" s="33">
        <v>42759.247407407405</v>
      </c>
      <c r="B12" s="31" t="s">
        <v>385</v>
      </c>
      <c r="C12" s="31" t="s">
        <v>455</v>
      </c>
      <c r="D12" s="31" t="s">
        <v>49</v>
      </c>
      <c r="E12" s="31" t="s">
        <v>206</v>
      </c>
      <c r="F12" s="44">
        <v>0</v>
      </c>
      <c r="G12" s="44">
        <v>56</v>
      </c>
      <c r="H12" s="44">
        <v>33365</v>
      </c>
      <c r="I12" s="44">
        <v>33309</v>
      </c>
      <c r="J12" s="31" t="s">
        <v>207</v>
      </c>
      <c r="K12" s="44">
        <v>33257</v>
      </c>
      <c r="L12" s="150" t="s">
        <v>51</v>
      </c>
      <c r="M12" s="151">
        <f t="shared" si="0"/>
        <v>27.456</v>
      </c>
      <c r="N12" s="152" t="str">
        <f>VLOOKUP(C12,'Trips&amp;Operators'!$C$1:$G$99999,5,FALSE)</f>
        <v>BONDS REYNALDO</v>
      </c>
      <c r="O12" s="176" t="s">
        <v>188</v>
      </c>
      <c r="P12" s="153" t="s">
        <v>379</v>
      </c>
      <c r="Q12" s="31"/>
      <c r="R12" s="96" t="str">
        <f>VLOOKUP(C12,'Train Runs'!$A$13:$AE$9978,31,0)</f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S12" s="99" t="str">
        <f>VLOOKUP(C12,'Train Runs'!$A$13:$AE$9978,22,0)</f>
        <v>https://d0f6bd738d7f1b3e5a7ca70fe4ff75f0.us-east-1.aws.found.io/app/kibana#/discover/Steve-Slow-Train-Analysis-(2080s-and-2083s)?_g=(refreshInterval:(display:Off,pause:!f,section:0,value:0),time:(from:'2017-01-24T04:21:54-0700',mode:absolute,to:'2017-01-24T07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2" s="101" t="str">
        <f t="shared" si="1"/>
        <v>"C:\Program Files (x86)\AstroGrep\AstroGrep.exe" /spath="%USERPROFILE%\AppData\Local\Temp\OnboardLogs" /stypes="*4010*201701241*" /stext=" 12:.+((SYSTEM_STATE.+slice.+state.+changed )|(ment ac)|(multiple cpu faults)|(system.+state.+changed )|(\[timeout)|(PRM\|1\|D)|(kpr)|(kdp)|(\|lc)|(penalty))" /e /r /s</v>
      </c>
      <c r="U12" s="9" t="str">
        <f t="shared" si="2"/>
        <v>4010</v>
      </c>
      <c r="V12" s="33">
        <f t="shared" si="3"/>
        <v>42759.53907407407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{"issue":{"subject":"Form C","project_id":79,"tracker_id":40,"status_id":1,"priority_id":2,"assigned_to_id":23,"start_date":"2017-01-24","description":"","custom_fields":[{"id":1,"name":"Subdivision","value":"EC"},{"id":4,"name":"Milepost","value":"3.3257"},{"id":17,"name":"Train ID","value":"108-24"},{"id":16,"name":"Locomotive ID","value":"4010"},{"id":130,"name":"Impact","value":""},{"id":150,"name":"Time of Event (Mountain Time)","value":"05:56:16"},{"id":151,"name":"Denver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"%USERPROFILE%\AppData\Local\Temp\OnboardLogs"\RTDC4010\*4010*201701241*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"%USERPROFILE%\AppData\Local\Temp\OnboardLogs"\RTDC4010\*4010*201701241* &gt;&gt; 2017-01-24-SliceDisagreementCheck.txt</v>
      </c>
      <c r="AE12" s="180" t="str">
        <f t="shared" si="8"/>
        <v>start /low /b %USERPROFILE%\Documents\GitHub\eaglep3\Utilities\DownloadLogsFromS3.py --loco 4010 --day 2017-01-24</v>
      </c>
    </row>
    <row r="13" spans="1:31" s="1" customFormat="1" x14ac:dyDescent="0.25">
      <c r="A13" s="33">
        <v>42759.439004629632</v>
      </c>
      <c r="B13" s="31" t="s">
        <v>203</v>
      </c>
      <c r="C13" s="31" t="s">
        <v>462</v>
      </c>
      <c r="D13" s="31" t="s">
        <v>49</v>
      </c>
      <c r="E13" s="31" t="s">
        <v>206</v>
      </c>
      <c r="F13" s="44">
        <v>0</v>
      </c>
      <c r="G13" s="44">
        <v>82</v>
      </c>
      <c r="H13" s="44">
        <v>33834</v>
      </c>
      <c r="I13" s="44">
        <v>33727</v>
      </c>
      <c r="J13" s="31" t="s">
        <v>207</v>
      </c>
      <c r="K13" s="44">
        <v>33257</v>
      </c>
      <c r="L13" s="150" t="s">
        <v>51</v>
      </c>
      <c r="M13" s="151">
        <f t="shared" si="0"/>
        <v>248.16</v>
      </c>
      <c r="N13" s="152" t="str">
        <f>VLOOKUP(C13,'Trips&amp;Operators'!$C$1:$G$99999,5,FALSE)</f>
        <v>ROCHA YAOTL</v>
      </c>
      <c r="O13" s="176" t="s">
        <v>188</v>
      </c>
      <c r="P13" s="153" t="s">
        <v>379</v>
      </c>
      <c r="Q13" s="31"/>
      <c r="R13" s="96" t="str">
        <f>VLOOKUP(C13,'Train Runs'!$A$13:$AE$9978,31,0)</f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S13" s="99" t="str">
        <f>VLOOKUP(C13,'Train Runs'!$A$13:$AE$9978,22,0)</f>
        <v>https://d0f6bd738d7f1b3e5a7ca70fe4ff75f0.us-east-1.aws.found.io/app/kibana#/discover/Steve-Slow-Train-Analysis-(2080s-and-2083s)?_g=(refreshInterval:(display:Off,pause:!f,section:0,value:0),time:(from:'2017-01-24T08:55:10-0700',mode:absolute,to:'2017-01-24T11:43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3" s="101" t="str">
        <f t="shared" si="1"/>
        <v>"C:\Program Files (x86)\AstroGrep\AstroGrep.exe" /spath="%USERPROFILE%\AppData\Local\Temp\OnboardLogs" /stypes="*4037*201701241*" /stext=" 17:.+((SYSTEM_STATE.+slice.+state.+changed )|(ment ac)|(multiple cpu faults)|(system.+state.+changed )|(\[timeout)|(PRM\|1\|D)|(kpr)|(kdp)|(\|lc)|(penalty))" /e /r /s</v>
      </c>
      <c r="U13" s="9" t="str">
        <f t="shared" si="2"/>
        <v>4037</v>
      </c>
      <c r="V13" s="33">
        <f t="shared" si="3"/>
        <v>42759.730671296296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{"issue":{"subject":"Form C","project_id":79,"tracker_id":40,"status_id":1,"priority_id":2,"assigned_to_id":23,"start_date":"2017-01-24","description":"","custom_fields":[{"id":1,"name":"Subdivision","value":"EC"},{"id":4,"name":"Milepost","value":"3.3257"},{"id":17,"name":"Train ID","value":"144-24"},{"id":16,"name":"Locomotive ID","value":"4037"},{"id":130,"name":"Impact","value":""},{"id":150,"name":"Time of Event (Mountain Time)","value":"10:32:10"},{"id":151,"name":"Denver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"%USERPROFILE%\AppData\Local\Temp\OnboardLogs"\RTDC4037\*4037*201701241*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"%USERPROFILE%\AppData\Local\Temp\OnboardLogs"\RTDC4037\*4037*201701241* &gt;&gt; 2017-01-24-SliceDisagreementCheck.txt</v>
      </c>
      <c r="AE13" s="180" t="str">
        <f t="shared" si="8"/>
        <v>start /low /b %USERPROFILE%\Documents\GitHub\eaglep3\Utilities\DownloadLogsFromS3.py --loco 4037 --day 2017-01-24</v>
      </c>
    </row>
    <row r="14" spans="1:31" s="1" customFormat="1" x14ac:dyDescent="0.25">
      <c r="A14" s="33">
        <v>42759.479456018518</v>
      </c>
      <c r="B14" s="31" t="s">
        <v>385</v>
      </c>
      <c r="C14" s="31" t="s">
        <v>465</v>
      </c>
      <c r="D14" s="31" t="s">
        <v>49</v>
      </c>
      <c r="E14" s="31" t="s">
        <v>206</v>
      </c>
      <c r="F14" s="44">
        <v>0</v>
      </c>
      <c r="G14" s="44">
        <v>57</v>
      </c>
      <c r="H14" s="44">
        <v>33457</v>
      </c>
      <c r="I14" s="44">
        <v>33377</v>
      </c>
      <c r="J14" s="31" t="s">
        <v>207</v>
      </c>
      <c r="K14" s="44">
        <v>33257</v>
      </c>
      <c r="L14" s="150" t="s">
        <v>51</v>
      </c>
      <c r="M14" s="151">
        <f t="shared" si="0"/>
        <v>63.36</v>
      </c>
      <c r="N14" s="152" t="str">
        <f>VLOOKUP(C14,'Trips&amp;Operators'!$C$1:$G$99999,5,FALSE)</f>
        <v>BONDS REYNALDO</v>
      </c>
      <c r="O14" s="176" t="s">
        <v>188</v>
      </c>
      <c r="P14" s="153" t="s">
        <v>379</v>
      </c>
      <c r="Q14" s="31"/>
      <c r="R14" s="96" t="str">
        <f>VLOOKUP(C14,'Train Runs'!$A$13:$AE$9978,31,0)</f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S14" s="99" t="str">
        <f>VLOOKUP(C14,'Train Runs'!$A$13:$AE$9978,22,0)</f>
        <v>https://d0f6bd738d7f1b3e5a7ca70fe4ff75f0.us-east-1.aws.found.io/app/kibana#/discover/Steve-Slow-Train-Analysis-(2080s-and-2083s)?_g=(refreshInterval:(display:Off,pause:!f,section:0,value:0),time:(from:'2017-01-24T09:55:37-0700',mode:absolute,to:'2017-01-24T12:43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101" t="str">
        <f t="shared" si="1"/>
        <v>"C:\Program Files (x86)\AstroGrep\AstroGrep.exe" /spath="%USERPROFILE%\AppData\Local\Temp\OnboardLogs" /stypes="*4010*201701241*" /stext=" 18:.+((SYSTEM_STATE.+slice.+state.+changed )|(ment ac)|(multiple cpu faults)|(system.+state.+changed )|(\[timeout)|(PRM\|1\|D)|(kpr)|(kdp)|(\|lc)|(penalty))" /e /r /s</v>
      </c>
      <c r="U14" s="9" t="str">
        <f t="shared" si="2"/>
        <v>4010</v>
      </c>
      <c r="V14" s="33">
        <f t="shared" si="3"/>
        <v>42759.771122685182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{"issue":{"subject":"Form C","project_id":79,"tracker_id":40,"status_id":1,"priority_id":2,"assigned_to_id":23,"start_date":"2017-01-24","description":"","custom_fields":[{"id":1,"name":"Subdivision","value":"EC"},{"id":4,"name":"Milepost","value":"3.3257"},{"id":17,"name":"Train ID","value":"152-24"},{"id":16,"name":"Locomotive ID","value":"4010"},{"id":130,"name":"Impact","value":""},{"id":150,"name":"Time of Event (Mountain Time)","value":"11:30:25"},{"id":151,"name":"Denver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"%USERPROFILE%\AppData\Local\Temp\OnboardLogs"\RTDC4010\*4010*201701241*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"%USERPROFILE%\AppData\Local\Temp\OnboardLogs"\RTDC4010\*4010*201701241* &gt;&gt; 2017-01-24-SliceDisagreementCheck.txt</v>
      </c>
      <c r="AE14" s="180" t="str">
        <f t="shared" si="8"/>
        <v>start /low /b %USERPROFILE%\Documents\GitHub\eaglep3\Utilities\DownloadLogsFromS3.py --loco 4010 --day 2017-01-24</v>
      </c>
    </row>
    <row r="15" spans="1:31" s="1" customFormat="1" x14ac:dyDescent="0.25">
      <c r="A15" s="33">
        <v>42759.652384259258</v>
      </c>
      <c r="B15" s="31" t="s">
        <v>197</v>
      </c>
      <c r="C15" s="31" t="s">
        <v>474</v>
      </c>
      <c r="D15" s="31" t="s">
        <v>49</v>
      </c>
      <c r="E15" s="31" t="s">
        <v>206</v>
      </c>
      <c r="F15" s="44">
        <v>0</v>
      </c>
      <c r="G15" s="44">
        <v>578</v>
      </c>
      <c r="H15" s="44">
        <v>99795</v>
      </c>
      <c r="I15" s="44">
        <v>101726</v>
      </c>
      <c r="J15" s="31" t="s">
        <v>207</v>
      </c>
      <c r="K15" s="44">
        <v>103738</v>
      </c>
      <c r="L15" s="150" t="s">
        <v>50</v>
      </c>
      <c r="M15" s="151">
        <f t="shared" si="0"/>
        <v>1062.336</v>
      </c>
      <c r="N15" s="152" t="str">
        <f>VLOOKUP(C15,'Trips&amp;Operators'!$C$1:$G$99999,5,FALSE)</f>
        <v>HOLCOMB KAMDEN</v>
      </c>
      <c r="O15" s="176" t="s">
        <v>188</v>
      </c>
      <c r="P15" s="153" t="s">
        <v>379</v>
      </c>
      <c r="Q15" s="31"/>
      <c r="R15" s="96" t="str">
        <f>VLOOKUP(C15,'Train Runs'!$A$13:$AE$9978,31,0)</f>
        <v>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 &amp; 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</v>
      </c>
      <c r="S15" s="99" t="str">
        <f>VLOOKUP(C15,'Train Runs'!$A$13:$AE$9978,22,0)</f>
        <v>https://d0f6bd738d7f1b3e5a7ca70fe4ff75f0.us-east-1.aws.found.io/app/kibana#/discover/Steve-Slow-Train-Analysis-(2080s-and-2083s)?_g=(refreshInterval:(display:Off,pause:!f,section:0,value:0),time:(from:'2017-01-24T14:06:47-0700',mode:absolute,to:'2017-01-24T17:01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5" s="101" t="str">
        <f t="shared" si="1"/>
        <v>"C:\Program Files (x86)\AstroGrep\AstroGrep.exe" /spath="%USERPROFILE%\AppData\Local\Temp\OnboardLogs" /stypes="*4040*201701242*" /stext=" 22:.+((SYSTEM_STATE.+slice.+state.+changed )|(ment ac)|(multiple cpu faults)|(system.+state.+changed )|(\[timeout)|(PRM\|1\|D)|(kpr)|(kdp)|(\|lc)|(penalty))" /e /r /s</v>
      </c>
      <c r="U15" s="9" t="str">
        <f t="shared" si="2"/>
        <v>4040</v>
      </c>
      <c r="V15" s="33">
        <f t="shared" si="3"/>
        <v>42759.944050925922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{"issue":{"subject":"Form C","project_id":79,"tracker_id":40,"status_id":1,"priority_id":2,"assigned_to_id":23,"start_date":"2017-01-24","description":"","custom_fields":[{"id":1,"name":"Subdivision","value":"EC"},{"id":4,"name":"Milepost","value":"10.3738"},{"id":17,"name":"Train ID","value":"193-24"},{"id":16,"name":"Locomotive ID","value":"4040"},{"id":130,"name":"Impact","value":""},{"id":150,"name":"Time of Event (Mountain Time)","value":"15:39:26"},{"id":151,"name":"Denver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"%USERPROFILE%\AppData\Local\Temp\OnboardLogs"\RTDC4040\*4040*201701242*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"%USERPROFILE%\AppData\Local\Temp\OnboardLogs"\RTDC4040\*4040*201701242* &gt;&gt; 2017-01-24-SliceDisagreementCheck.txt</v>
      </c>
      <c r="AE15" s="180" t="str">
        <f t="shared" si="8"/>
        <v>start /low /b %USERPROFILE%\Documents\GitHub\eaglep3\Utilities\DownloadLogsFromS3.py --loco 4040 --day 2017-01-24</v>
      </c>
    </row>
    <row r="16" spans="1:31" s="1" customFormat="1" x14ac:dyDescent="0.25">
      <c r="A16" s="33">
        <v>42759.832372685189</v>
      </c>
      <c r="B16" s="31" t="s">
        <v>351</v>
      </c>
      <c r="C16" s="31" t="s">
        <v>487</v>
      </c>
      <c r="D16" s="31" t="s">
        <v>49</v>
      </c>
      <c r="E16" s="31" t="s">
        <v>227</v>
      </c>
      <c r="F16" s="44">
        <v>300</v>
      </c>
      <c r="G16" s="44">
        <v>514</v>
      </c>
      <c r="H16" s="44">
        <v>24760</v>
      </c>
      <c r="I16" s="44">
        <v>23177</v>
      </c>
      <c r="J16" s="31" t="s">
        <v>228</v>
      </c>
      <c r="K16" s="44">
        <v>21848</v>
      </c>
      <c r="L16" s="150" t="s">
        <v>51</v>
      </c>
      <c r="M16" s="151">
        <f t="shared" si="0"/>
        <v>701.71199999999988</v>
      </c>
      <c r="N16" s="152" t="str">
        <f>VLOOKUP(C16,'Trips&amp;Operators'!$C$1:$G$99999,5,FALSE)</f>
        <v>STAMBAUGH JAMES</v>
      </c>
      <c r="O16" s="176" t="s">
        <v>188</v>
      </c>
      <c r="P16" s="153"/>
      <c r="Q16" s="31"/>
      <c r="R16" s="96" t="str">
        <f>VLOOKUP(C16,'Train Runs'!$A$13:$AE$9978,31,0)</f>
        <v>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 &amp; aws s3 cp s3://rtdc.mdm.uploadarchive.raw/RTDC4004/ "%USERPROFILE%\AppData\Local\Temp\OnboardLogs"\RTDC4004\2017-01-25 --exclude "*" --recursive --include "*20170125*" &amp; "%USERPROFILE%\Documents\GitHub\mrs-test-scripts\Headless Mode &amp; Sideloading\WalkAndUnGZ.bat" "%USERPROFILE%\AppData\Local\Temp\OnboardLogs"\RTDC4004\2017-01-25</v>
      </c>
      <c r="S16" s="99" t="str">
        <f>VLOOKUP(C16,'Train Runs'!$A$13:$AE$9978,22,0)</f>
        <v>https://d0f6bd738d7f1b3e5a7ca70fe4ff75f0.us-east-1.aws.found.io/app/kibana#/discover/Steve-Slow-Train-Analysis-(2080s-and-2083s)?_g=(refreshInterval:(display:Off,pause:!f,section:0,value:0),time:(from:'2017-01-24T18:11:03-0700',mode:absolute,to:'2017-01-24T21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6" s="101" t="str">
        <f t="shared" si="1"/>
        <v>"C:\Program Files (x86)\AstroGrep\AstroGrep.exe" /spath="%USERPROFILE%\AppData\Local\Temp\OnboardLogs" /stypes="*4004*201701250*" /stext=" 02:.+((SYSTEM_STATE.+slice.+state.+changed )|(ment ac)|(multiple cpu faults)|(system.+state.+changed )|(\[timeout)|(PRM\|1\|D)|(kpr)|(kdp)|(\|lc)|(penalty))" /e /r /s</v>
      </c>
      <c r="U16" s="9" t="str">
        <f t="shared" si="2"/>
        <v>4004</v>
      </c>
      <c r="V16" s="33">
        <f t="shared" si="3"/>
        <v>42760.124039351853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{"issue":{"subject":"","project_id":79,"tracker_id":40,"status_id":1,"priority_id":2,"assigned_to_id":23,"start_date":"2017-01-24","description":"","custom_fields":[{"id":1,"name":"Subdivision","value":"EC"},{"id":4,"name":"Milepost","value":"2.1848"},{"id":17,"name":"Train ID","value":"220-24"},{"id":16,"name":"Locomotive ID","value":"4004"},{"id":130,"name":"Impact","value":""},{"id":150,"name":"Time of Event (Mountain Time)","value":"19:58:37"},{"id":151,"name":"Denver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"%USERPROFILE%\AppData\Local\Temp\OnboardLogs"\RTDC4004\*4004*201701250*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"%USERPROFILE%\AppData\Local\Temp\OnboardLogs"\RTDC4004\*4004*201701250* &gt;&gt; 2017-01-24-SliceDisagreementCheck.txt</v>
      </c>
      <c r="AE16" s="180" t="str">
        <f t="shared" si="8"/>
        <v>start /low /b %USERPROFILE%\Documents\GitHub\eaglep3\Utilities\DownloadLogsFromS3.py --loco 4004 --day 2017-01-25</v>
      </c>
    </row>
    <row r="17" spans="1:32" x14ac:dyDescent="0.25">
      <c r="A17" s="33">
        <v>42759.555486111109</v>
      </c>
      <c r="B17" s="31" t="s">
        <v>202</v>
      </c>
      <c r="C17" s="31" t="s">
        <v>471</v>
      </c>
      <c r="D17" s="31" t="s">
        <v>49</v>
      </c>
      <c r="E17" s="31" t="s">
        <v>227</v>
      </c>
      <c r="F17" s="44">
        <v>400</v>
      </c>
      <c r="G17" s="44">
        <v>647</v>
      </c>
      <c r="H17" s="44">
        <v>114205</v>
      </c>
      <c r="I17" s="44">
        <v>116570</v>
      </c>
      <c r="J17" s="31" t="s">
        <v>228</v>
      </c>
      <c r="K17" s="44">
        <v>116838</v>
      </c>
      <c r="L17" s="150" t="s">
        <v>50</v>
      </c>
      <c r="M17" s="151">
        <f t="shared" si="0"/>
        <v>141.50399999999999</v>
      </c>
      <c r="N17" s="152" t="str">
        <f>VLOOKUP(C17,'Trips&amp;Operators'!$C$1:$G$99999,5,FALSE)</f>
        <v>HAITHCOX MICHAEL</v>
      </c>
      <c r="O17" s="176" t="s">
        <v>188</v>
      </c>
      <c r="P17" s="153"/>
      <c r="Q17" s="31"/>
      <c r="R17" s="96" t="str">
        <f>VLOOKUP(C17,'Train Runs'!$A$13:$AE$9978,31,0)</f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S17" s="99" t="str">
        <f>VLOOKUP(C17,'Train Runs'!$A$13:$AE$9978,22,0)</f>
        <v>https://d0f6bd738d7f1b3e5a7ca70fe4ff75f0.us-east-1.aws.found.io/app/kibana#/discover/Steve-Slow-Train-Analysis-(2080s-and-2083s)?_g=(refreshInterval:(display:Off,pause:!f,section:0,value:0),time:(from:'2017-01-24T11:48:16-0700',mode:absolute,to:'2017-01-24T14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17" s="101" t="str">
        <f t="shared" si="1"/>
        <v>"C:\Program Files (x86)\AstroGrep\AstroGrep.exe" /spath="%USERPROFILE%\AppData\Local\Temp\OnboardLogs" /stypes="*4038*201701242*" /stext=" 20:.+((SYSTEM_STATE.+slice.+state.+changed )|(ment ac)|(multiple cpu faults)|(system.+state.+changed )|(\[timeout)|(PRM\|1\|D)|(kpr)|(kdp)|(\|lc)|(penalty))" /e /r /s</v>
      </c>
      <c r="U17" s="9" t="str">
        <f t="shared" si="2"/>
        <v>4038</v>
      </c>
      <c r="V17" s="33">
        <f t="shared" si="3"/>
        <v>42759.847152777773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{"issue":{"subject":"","project_id":79,"tracker_id":40,"status_id":1,"priority_id":2,"assigned_to_id":23,"start_date":"2017-01-24","description":"","custom_fields":[{"id":1,"name":"Subdivision","value":"EC"},{"id":4,"name":"Milepost","value":"11.6838"},{"id":17,"name":"Train ID","value":"173-24"},{"id":16,"name":"Locomotive ID","value":"4038"},{"id":130,"name":"Impact","value":""},{"id":150,"name":"Time of Event (Mountain Time)","value":"13:19:54"},{"id":151,"name":"Denver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"%USERPROFILE%\AppData\Local\Temp\OnboardLogs"\RTDC4038\*4038*201701242*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"%USERPROFILE%\AppData\Local\Temp\OnboardLogs"\RTDC4038\*4038*201701242* &gt;&gt; 2017-01-24-SliceDisagreementCheck.txt</v>
      </c>
      <c r="AE17" s="180" t="str">
        <f t="shared" si="8"/>
        <v>start /low /b %USERPROFILE%\Documents\GitHub\eaglep3\Utilities\DownloadLogsFromS3.py --loco 4038 --day 2017-01-24</v>
      </c>
      <c r="AF17" s="1"/>
    </row>
    <row r="18" spans="1:32" ht="15" customHeight="1" x14ac:dyDescent="0.25">
      <c r="A18" s="33">
        <v>42759.241736111115</v>
      </c>
      <c r="B18" s="31" t="s">
        <v>154</v>
      </c>
      <c r="C18" s="31" t="s">
        <v>454</v>
      </c>
      <c r="D18" s="31" t="s">
        <v>98</v>
      </c>
      <c r="E18" s="31" t="s">
        <v>227</v>
      </c>
      <c r="F18" s="44">
        <v>700</v>
      </c>
      <c r="G18" s="44">
        <v>754</v>
      </c>
      <c r="H18" s="44">
        <v>179105</v>
      </c>
      <c r="I18" s="44">
        <v>175494</v>
      </c>
      <c r="J18" s="31" t="s">
        <v>228</v>
      </c>
      <c r="K18" s="44">
        <v>183829</v>
      </c>
      <c r="L18" s="150" t="s">
        <v>51</v>
      </c>
      <c r="M18" s="151">
        <f t="shared" si="0"/>
        <v>-4400.88</v>
      </c>
      <c r="N18" s="152" t="str">
        <f>VLOOKUP(C18,'Trips&amp;Operators'!$C$1:$G$99999,5,FALSE)</f>
        <v>DAVIS WENDY</v>
      </c>
      <c r="O18" s="176" t="s">
        <v>188</v>
      </c>
      <c r="P18" s="153"/>
      <c r="Q18" s="31"/>
      <c r="R18" s="96" t="str">
        <f>VLOOKUP(C18,'Train Runs'!$A$13:$AE$9978,31,0)</f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S18" s="99" t="str">
        <f>VLOOKUP(C18,'Train Runs'!$A$13:$AE$9978,22,0)</f>
        <v>https://d0f6bd738d7f1b3e5a7ca70fe4ff75f0.us-east-1.aws.found.io/app/kibana#/discover/Steve-Slow-Train-Analysis-(2080s-and-2083s)?_g=(refreshInterval:(display:Off,pause:!f,section:0,value:0),time:(from:'2017-01-24T04:36:19-0700',mode:absolute,to:'2017-01-24T07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8" s="101" t="str">
        <f t="shared" si="1"/>
        <v>"C:\Program Files (x86)\AstroGrep\AstroGrep.exe" /spath="%USERPROFILE%\AppData\Local\Temp\OnboardLogs" /stypes="*4052*201701241*" /stext=" 12:.+((SYSTEM_STATE.+slice.+state.+changed )|(ment ac)|(multiple cpu faults)|(system.+state.+changed )|(\[timeout)|(PRM\|1\|D)|(kpr)|(kdp)|(\|lc)|(penalty))" /e /r /s</v>
      </c>
      <c r="U18" s="9" t="str">
        <f t="shared" si="2"/>
        <v>4052</v>
      </c>
      <c r="V18" s="33">
        <f t="shared" si="3"/>
        <v>42759.533402777779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{"issue":{"subject":"","project_id":79,"tracker_id":40,"status_id":1,"priority_id":2,"assigned_to_id":23,"start_date":"2017-01-24","description":"","custom_fields":[{"id":1,"name":"Subdivision","value":"EC"},{"id":4,"name":"Milepost","value":"18.3829"},{"id":17,"name":"Train ID","value":"110-24"},{"id":16,"name":"Locomotive ID","value":"4052"},{"id":130,"name":"Impact","value":""},{"id":150,"name":"Time of Event (Mountain Time)","value":"05:48:06"},{"id":151,"name":"Denver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"%USERPROFILE%\AppData\Local\Temp\OnboardLogs"\RTDC4052\*4052*201701241*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"%USERPROFILE%\AppData\Local\Temp\OnboardLogs"\RTDC4052\*4052*201701241* &gt;&gt; 2017-01-24-SliceDisagreementCheck.txt</v>
      </c>
      <c r="AE18" s="180" t="str">
        <f t="shared" si="8"/>
        <v>start /low /b %USERPROFILE%\Documents\GitHub\eaglep3\Utilities\DownloadLogsFromS3.py --loco 4052 --day 2017-01-24</v>
      </c>
      <c r="AF18" s="1"/>
    </row>
    <row r="19" spans="1:32" x14ac:dyDescent="0.25">
      <c r="A19" s="33">
        <v>42759.416342592594</v>
      </c>
      <c r="B19" s="31" t="s">
        <v>203</v>
      </c>
      <c r="C19" s="31" t="s">
        <v>462</v>
      </c>
      <c r="D19" s="31" t="s">
        <v>98</v>
      </c>
      <c r="E19" s="31" t="s">
        <v>227</v>
      </c>
      <c r="F19" s="44">
        <v>550</v>
      </c>
      <c r="G19" s="44">
        <v>604</v>
      </c>
      <c r="H19" s="44">
        <v>222188</v>
      </c>
      <c r="I19" s="44">
        <v>219518</v>
      </c>
      <c r="J19" s="31" t="s">
        <v>228</v>
      </c>
      <c r="K19" s="44">
        <v>224581</v>
      </c>
      <c r="L19" s="150" t="s">
        <v>51</v>
      </c>
      <c r="M19" s="151">
        <f t="shared" si="0"/>
        <v>-2673.2640000000001</v>
      </c>
      <c r="N19" s="152" t="str">
        <f>VLOOKUP(C19,'Trips&amp;Operators'!$C$1:$G$99999,5,FALSE)</f>
        <v>ROCHA YAOTL</v>
      </c>
      <c r="O19" s="176" t="s">
        <v>188</v>
      </c>
      <c r="P19" s="153"/>
      <c r="Q19" s="31"/>
      <c r="R19" s="96" t="str">
        <f>VLOOKUP(C19,'Train Runs'!$A$13:$AE$9978,31,0)</f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S19" s="99" t="str">
        <f>VLOOKUP(C19,'Train Runs'!$A$13:$AE$9978,22,0)</f>
        <v>https://d0f6bd738d7f1b3e5a7ca70fe4ff75f0.us-east-1.aws.found.io/app/kibana#/discover/Steve-Slow-Train-Analysis-(2080s-and-2083s)?_g=(refreshInterval:(display:Off,pause:!f,section:0,value:0),time:(from:'2017-01-24T08:55:10-0700',mode:absolute,to:'2017-01-24T11:43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9" s="101" t="str">
        <f t="shared" si="1"/>
        <v>"C:\Program Files (x86)\AstroGrep\AstroGrep.exe" /spath="%USERPROFILE%\AppData\Local\Temp\OnboardLogs" /stypes="*4037*201701241*" /stext=" 16:.+((SYSTEM_STATE.+slice.+state.+changed )|(ment ac)|(multiple cpu faults)|(system.+state.+changed )|(\[timeout)|(PRM\|1\|D)|(kpr)|(kdp)|(\|lc)|(penalty))" /e /r /s</v>
      </c>
      <c r="U19" s="9" t="str">
        <f t="shared" si="2"/>
        <v>4037</v>
      </c>
      <c r="V19" s="33">
        <f t="shared" si="3"/>
        <v>42759.708009259259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{"issue":{"subject":"","project_id":79,"tracker_id":40,"status_id":1,"priority_id":2,"assigned_to_id":23,"start_date":"2017-01-24","description":"","custom_fields":[{"id":1,"name":"Subdivision","value":"EC"},{"id":4,"name":"Milepost","value":"22.4581"},{"id":17,"name":"Train ID","value":"144-24"},{"id":16,"name":"Locomotive ID","value":"4037"},{"id":130,"name":"Impact","value":""},{"id":150,"name":"Time of Event (Mountain Time)","value":"09:59:32"},{"id":151,"name":"Denver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"%USERPROFILE%\AppData\Local\Temp\OnboardLogs"\RTDC4037\*4037*201701241*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"%USERPROFILE%\AppData\Local\Temp\OnboardLogs"\RTDC4037\*4037*201701241* &gt;&gt; 2017-01-24-SliceDisagreementCheck.txt</v>
      </c>
      <c r="AE19" s="180" t="str">
        <f t="shared" si="8"/>
        <v>start /low /b %USERPROFILE%\Documents\GitHub\eaglep3\Utilities\DownloadLogsFromS3.py --loco 4037 --day 2017-01-24</v>
      </c>
      <c r="AF19" s="1"/>
    </row>
    <row r="20" spans="1:32" x14ac:dyDescent="0.25">
      <c r="A20" s="33">
        <v>42759.697442129633</v>
      </c>
      <c r="B20" s="31" t="s">
        <v>154</v>
      </c>
      <c r="C20" s="31" t="s">
        <v>478</v>
      </c>
      <c r="D20" s="31" t="s">
        <v>98</v>
      </c>
      <c r="E20" s="31" t="s">
        <v>227</v>
      </c>
      <c r="F20" s="44">
        <v>350</v>
      </c>
      <c r="G20" s="44">
        <v>406</v>
      </c>
      <c r="H20" s="44">
        <v>225893</v>
      </c>
      <c r="I20" s="44">
        <v>224903</v>
      </c>
      <c r="J20" s="31" t="s">
        <v>228</v>
      </c>
      <c r="K20" s="44">
        <v>230436</v>
      </c>
      <c r="L20" s="150" t="s">
        <v>51</v>
      </c>
      <c r="M20" s="151">
        <f t="shared" si="0"/>
        <v>-2921.424</v>
      </c>
      <c r="N20" s="152" t="str">
        <f>VLOOKUP(C20,'Trips&amp;Operators'!$C$1:$G$99999,5,FALSE)</f>
        <v>ROMERO CHAD</v>
      </c>
      <c r="O20" s="176" t="s">
        <v>188</v>
      </c>
      <c r="P20" s="153"/>
      <c r="Q20" s="31"/>
      <c r="R20" s="96" t="str">
        <f>VLOOKUP(C20,'Train Runs'!$A$13:$AE$9978,31,0)</f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S20" s="99" t="str">
        <f>VLOOKUP(C20,'Train Runs'!$A$13:$AE$9978,22,0)</f>
        <v>https://d0f6bd738d7f1b3e5a7ca70fe4ff75f0.us-east-1.aws.found.io/app/kibana#/discover/Steve-Slow-Train-Analysis-(2080s-and-2083s)?_g=(refreshInterval:(display:Off,pause:!f,section:0,value:0),time:(from:'2017-01-24T15:34:59-0700',mode:absolute,to:'2017-01-24T18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101" t="str">
        <f t="shared" si="1"/>
        <v>"C:\Program Files (x86)\AstroGrep\AstroGrep.exe" /spath="%USERPROFILE%\AppData\Local\Temp\OnboardLogs" /stypes="*4052*201701242*" /stext=" 23:.+((SYSTEM_STATE.+slice.+state.+changed )|(ment ac)|(multiple cpu faults)|(system.+state.+changed )|(\[timeout)|(PRM\|1\|D)|(kpr)|(kdp)|(\|lc)|(penalty))" /e /r /s</v>
      </c>
      <c r="U20" s="9" t="str">
        <f t="shared" si="2"/>
        <v>4052</v>
      </c>
      <c r="V20" s="33">
        <f t="shared" si="3"/>
        <v>42759.989108796297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{"issue":{"subject":"","project_id":79,"tracker_id":40,"status_id":1,"priority_id":2,"assigned_to_id":23,"start_date":"2017-01-24","description":"","custom_fields":[{"id":1,"name":"Subdivision","value":"EC"},{"id":4,"name":"Milepost","value":"23.0436"},{"id":17,"name":"Train ID","value":"198-24"},{"id":16,"name":"Locomotive ID","value":"4052"},{"id":130,"name":"Impact","value":""},{"id":150,"name":"Time of Event (Mountain Time)","value":"16:44:19"},{"id":151,"name":"Denver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"%USERPROFILE%\AppData\Local\Temp\OnboardLogs"\RTDC4052\*4052*201701242*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"%USERPROFILE%\AppData\Local\Temp\OnboardLogs"\RTDC4052\*4052*201701242* &gt;&gt; 2017-01-24-SliceDisagreementCheck.txt</v>
      </c>
      <c r="AE20" s="180" t="str">
        <f t="shared" si="8"/>
        <v>start /low /b %USERPROFILE%\Documents\GitHub\eaglep3\Utilities\DownloadLogsFromS3.py --loco 4052 --day 2017-01-24</v>
      </c>
      <c r="AF20" s="1"/>
    </row>
    <row r="21" spans="1:32" x14ac:dyDescent="0.25">
      <c r="A21" s="33">
        <v>42759.258159722223</v>
      </c>
      <c r="B21" s="31" t="s">
        <v>249</v>
      </c>
      <c r="C21" s="31" t="s">
        <v>457</v>
      </c>
      <c r="D21" s="31" t="s">
        <v>49</v>
      </c>
      <c r="E21" s="31" t="s">
        <v>189</v>
      </c>
      <c r="F21" s="44">
        <v>0</v>
      </c>
      <c r="G21" s="44">
        <v>160</v>
      </c>
      <c r="H21" s="44">
        <v>128175</v>
      </c>
      <c r="I21" s="44">
        <v>127992</v>
      </c>
      <c r="J21" s="31" t="s">
        <v>190</v>
      </c>
      <c r="K21" s="44">
        <v>127587</v>
      </c>
      <c r="L21" s="150" t="s">
        <v>51</v>
      </c>
      <c r="M21" s="151">
        <f t="shared" si="0"/>
        <v>213.84</v>
      </c>
      <c r="N21" s="152" t="str">
        <f>VLOOKUP(C21,'Trips&amp;Operators'!$C$1:$G$99999,5,FALSE)</f>
        <v>COOLAHAN JOHN</v>
      </c>
      <c r="O21" s="176" t="s">
        <v>188</v>
      </c>
      <c r="P21" s="153" t="s">
        <v>897</v>
      </c>
      <c r="Q21" s="31"/>
      <c r="R21" s="96" t="str">
        <f>VLOOKUP(C21,'Train Runs'!$A$13:$AE$9978,31,0)</f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S21" s="99" t="str">
        <f>VLOOKUP(C21,'Train Runs'!$A$13:$AE$9978,22,0)</f>
        <v>https://d0f6bd738d7f1b3e5a7ca70fe4ff75f0.us-east-1.aws.found.io/app/kibana#/discover/Steve-Slow-Train-Analysis-(2080s-and-2083s)?_g=(refreshInterval:(display:Off,pause:!f,section:0,value:0),time:(from:'2017-01-24T04:53:16-0700',mode:absolute,to:'2017-01-24T07:12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1" s="101" t="str">
        <f t="shared" si="1"/>
        <v>"C:\Program Files (x86)\AstroGrep\AstroGrep.exe" /spath="%USERPROFILE%\AppData\Local\Temp\OnboardLogs" /stypes="*4028*201701241*" /stext=" 13:.+((SYSTEM_STATE.+slice.+state.+changed )|(ment ac)|(multiple cpu faults)|(system.+state.+changed )|(\[timeout)|(PRM\|1\|D)|(kpr)|(kdp)|(\|lc)|(penalty))" /e /r /s</v>
      </c>
      <c r="U21" s="9" t="str">
        <f t="shared" si="2"/>
        <v>4028</v>
      </c>
      <c r="V21" s="33">
        <f t="shared" si="3"/>
        <v>42759.549826388888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{"issue":{"subject":"40th 4S STOP","project_id":79,"tracker_id":40,"status_id":1,"priority_id":2,"assigned_to_id":23,"start_date":"2017-01-24","description":"","custom_fields":[{"id":1,"name":"Subdivision","value":"EC"},{"id":4,"name":"Milepost","value":"12.7587"},{"id":17,"name":"Train ID","value":"112-24"},{"id":16,"name":"Locomotive ID","value":"4028"},{"id":130,"name":"Impact","value":""},{"id":150,"name":"Time of Event (Mountain Time)","value":"06:11:45"},{"id":151,"name":"Denver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"%USERPROFILE%\AppData\Local\Temp\OnboardLogs"\RTDC4028\*4028*201701241*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"%USERPROFILE%\AppData\Local\Temp\OnboardLogs"\RTDC4028\*4028*201701241* &gt;&gt; 2017-01-24-SliceDisagreementCheck.txt</v>
      </c>
      <c r="AE21" s="180" t="str">
        <f t="shared" si="8"/>
        <v>start /low /b %USERPROFILE%\Documents\GitHub\eaglep3\Utilities\DownloadLogsFromS3.py --loco 4028 --day 2017-01-24</v>
      </c>
      <c r="AF21" s="1"/>
    </row>
    <row r="22" spans="1:32" ht="15" customHeight="1" x14ac:dyDescent="0.25">
      <c r="A22" s="33">
        <v>42759.466365740744</v>
      </c>
      <c r="B22" s="31" t="s">
        <v>385</v>
      </c>
      <c r="C22" s="31" t="s">
        <v>465</v>
      </c>
      <c r="D22" s="31" t="s">
        <v>49</v>
      </c>
      <c r="E22" s="31" t="s">
        <v>189</v>
      </c>
      <c r="F22" s="44">
        <v>0</v>
      </c>
      <c r="G22" s="44">
        <v>154</v>
      </c>
      <c r="H22" s="44">
        <v>128113</v>
      </c>
      <c r="I22" s="44">
        <v>127951</v>
      </c>
      <c r="J22" s="31" t="s">
        <v>190</v>
      </c>
      <c r="K22" s="44">
        <v>127587</v>
      </c>
      <c r="L22" s="150" t="s">
        <v>51</v>
      </c>
      <c r="M22" s="151">
        <f t="shared" si="0"/>
        <v>192.19200000000001</v>
      </c>
      <c r="N22" s="152" t="str">
        <f>VLOOKUP(C22,'Trips&amp;Operators'!$C$1:$G$99999,5,FALSE)</f>
        <v>BONDS REYNALDO</v>
      </c>
      <c r="O22" s="176" t="s">
        <v>188</v>
      </c>
      <c r="P22" s="153" t="s">
        <v>897</v>
      </c>
      <c r="Q22" s="31"/>
      <c r="R22" s="96" t="str">
        <f>VLOOKUP(C22,'Train Runs'!$A$13:$AE$9978,31,0)</f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S22" s="99" t="str">
        <f>VLOOKUP(C22,'Train Runs'!$A$13:$AE$9978,22,0)</f>
        <v>https://d0f6bd738d7f1b3e5a7ca70fe4ff75f0.us-east-1.aws.found.io/app/kibana#/discover/Steve-Slow-Train-Analysis-(2080s-and-2083s)?_g=(refreshInterval:(display:Off,pause:!f,section:0,value:0),time:(from:'2017-01-24T09:55:37-0700',mode:absolute,to:'2017-01-24T12:43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101" t="str">
        <f t="shared" si="1"/>
        <v>"C:\Program Files (x86)\AstroGrep\AstroGrep.exe" /spath="%USERPROFILE%\AppData\Local\Temp\OnboardLogs" /stypes="*4010*201701241*" /stext=" 18:.+((SYSTEM_STATE.+slice.+state.+changed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3">
        <f t="shared" si="3"/>
        <v>42759.758032407408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{"issue":{"subject":"40th 4S STOP","project_id":79,"tracker_id":40,"status_id":1,"priority_id":2,"assigned_to_id":23,"start_date":"2017-01-24","description":"","custom_fields":[{"id":1,"name":"Subdivision","value":"EC"},{"id":4,"name":"Milepost","value":"12.7587"},{"id":17,"name":"Train ID","value":"152-24"},{"id":16,"name":"Locomotive ID","value":"4010"},{"id":130,"name":"Impact","value":""},{"id":150,"name":"Time of Event (Mountain Time)","value":"11:11:34"},{"id":151,"name":"Denver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"%USERPROFILE%\AppData\Local\Temp\OnboardLogs"\RTDC4010\*4010*201701241*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"%USERPROFILE%\AppData\Local\Temp\OnboardLogs"\RTDC4010\*4010*201701241* &gt;&gt; 2017-01-24-SliceDisagreementCheck.txt</v>
      </c>
      <c r="AE22" s="180" t="str">
        <f t="shared" si="8"/>
        <v>start /low /b %USERPROFILE%\Documents\GitHub\eaglep3\Utilities\DownloadLogsFromS3.py --loco 4010 --day 2017-01-24</v>
      </c>
      <c r="AF22" s="1"/>
    </row>
    <row r="23" spans="1:32" x14ac:dyDescent="0.25">
      <c r="A23" s="33">
        <v>42759.486250000002</v>
      </c>
      <c r="B23" s="31" t="s">
        <v>154</v>
      </c>
      <c r="C23" s="31" t="s">
        <v>469</v>
      </c>
      <c r="D23" s="31" t="s">
        <v>49</v>
      </c>
      <c r="E23" s="31" t="s">
        <v>189</v>
      </c>
      <c r="F23" s="44">
        <v>0</v>
      </c>
      <c r="G23" s="44">
        <v>128</v>
      </c>
      <c r="H23" s="44">
        <v>128014</v>
      </c>
      <c r="I23" s="44">
        <v>127892</v>
      </c>
      <c r="J23" s="31" t="s">
        <v>190</v>
      </c>
      <c r="K23" s="44">
        <v>127587</v>
      </c>
      <c r="L23" s="150" t="s">
        <v>51</v>
      </c>
      <c r="M23" s="151">
        <f t="shared" si="0"/>
        <v>161.04</v>
      </c>
      <c r="N23" s="152" t="str">
        <f>VLOOKUP(C23,'Trips&amp;Operators'!$C$1:$G$99999,5,FALSE)</f>
        <v>YORK EDGAR</v>
      </c>
      <c r="O23" s="176" t="s">
        <v>188</v>
      </c>
      <c r="P23" s="153" t="s">
        <v>897</v>
      </c>
      <c r="Q23" s="31"/>
      <c r="R23" s="96" t="str">
        <f>VLOOKUP(C23,'Train Runs'!$A$13:$AE$9978,31,0)</f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S23" s="99" t="str">
        <f>VLOOKUP(C23,'Train Runs'!$A$13:$AE$9978,22,0)</f>
        <v>https://d0f6bd738d7f1b3e5a7ca70fe4ff75f0.us-east-1.aws.found.io/app/kibana#/discover/Steve-Slow-Train-Analysis-(2080s-and-2083s)?_g=(refreshInterval:(display:Off,pause:!f,section:0,value:0),time:(from:'2017-01-24T10:18:19-0700',mode:absolute,to:'2017-01-24T13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101" t="str">
        <f t="shared" si="1"/>
        <v>"C:\Program Files (x86)\AstroGrep\AstroGrep.exe" /spath="%USERPROFILE%\AppData\Local\Temp\OnboardLogs" /stypes="*4052*201701241*" /stext=" 18:.+((SYSTEM_STATE.+slice.+state.+changed )|(ment ac)|(multiple cpu faults)|(system.+state.+changed )|(\[timeout)|(PRM\|1\|D)|(kpr)|(kdp)|(\|lc)|(penalty))" /e /r /s</v>
      </c>
      <c r="U23" s="9" t="str">
        <f t="shared" si="2"/>
        <v>4052</v>
      </c>
      <c r="V23" s="33">
        <f t="shared" si="3"/>
        <v>42759.777916666666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{"issue":{"subject":"40th 4S STOP","project_id":79,"tracker_id":40,"status_id":1,"priority_id":2,"assigned_to_id":23,"start_date":"2017-01-24","description":"","custom_fields":[{"id":1,"name":"Subdivision","value":"EC"},{"id":4,"name":"Milepost","value":"12.7587"},{"id":17,"name":"Train ID","value":"156-24"},{"id":16,"name":"Locomotive ID","value":"4052"},{"id":130,"name":"Impact","value":""},{"id":150,"name":"Time of Event (Mountain Time)","value":"11:40:12"},{"id":151,"name":"Denver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"%USERPROFILE%\AppData\Local\Temp\OnboardLogs"\RTDC4052\*4052*201701241*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"%USERPROFILE%\AppData\Local\Temp\OnboardLogs"\RTDC4052\*4052*201701241* &gt;&gt; 2017-01-24-SliceDisagreementCheck.txt</v>
      </c>
      <c r="AE23" s="180" t="str">
        <f t="shared" si="8"/>
        <v>start /low /b %USERPROFILE%\Documents\GitHub\eaglep3\Utilities\DownloadLogsFromS3.py --loco 4052 --day 2017-01-24</v>
      </c>
      <c r="AF23" s="1"/>
    </row>
    <row r="24" spans="1:32" x14ac:dyDescent="0.25">
      <c r="A24" s="33">
        <v>42759.70449074074</v>
      </c>
      <c r="B24" s="31" t="s">
        <v>154</v>
      </c>
      <c r="C24" s="31" t="s">
        <v>478</v>
      </c>
      <c r="D24" s="31" t="s">
        <v>49</v>
      </c>
      <c r="E24" s="31" t="s">
        <v>189</v>
      </c>
      <c r="F24" s="44">
        <v>0</v>
      </c>
      <c r="G24" s="44">
        <v>113</v>
      </c>
      <c r="H24" s="44">
        <v>157630</v>
      </c>
      <c r="I24" s="44">
        <v>157523</v>
      </c>
      <c r="J24" s="31" t="s">
        <v>190</v>
      </c>
      <c r="K24" s="44">
        <v>157300</v>
      </c>
      <c r="L24" s="150" t="s">
        <v>51</v>
      </c>
      <c r="M24" s="151">
        <f t="shared" si="0"/>
        <v>117.744</v>
      </c>
      <c r="N24" s="152" t="str">
        <f>VLOOKUP(C24,'Trips&amp;Operators'!$C$1:$G$99999,5,FALSE)</f>
        <v>ROMERO CHAD</v>
      </c>
      <c r="O24" s="176" t="s">
        <v>188</v>
      </c>
      <c r="P24" s="153" t="s">
        <v>898</v>
      </c>
      <c r="Q24" s="31"/>
      <c r="R24" s="96" t="str">
        <f>VLOOKUP(C24,'Train Runs'!$A$13:$AE$9978,31,0)</f>
        <v>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 &amp; aws s3 cp s3://rtdc.mdm.uploadarchive.raw/RTDC4052/ "%USERPROFILE%\AppData\Local\Temp\OnboardLogs"\RTDC4052\2017-01-25 --exclude "*" --recursive --include "*20170125*" &amp; "%USERPROFILE%\Documents\GitHub\mrs-test-scripts\Headless Mode &amp; Sideloading\WalkAndUnGZ.bat" "%USERPROFILE%\AppData\Local\Temp\OnboardLogs"\RTDC4052\2017-01-25</v>
      </c>
      <c r="S24" s="99" t="str">
        <f>VLOOKUP(C24,'Train Runs'!$A$13:$AE$9978,22,0)</f>
        <v>https://d0f6bd738d7f1b3e5a7ca70fe4ff75f0.us-east-1.aws.found.io/app/kibana#/discover/Steve-Slow-Train-Analysis-(2080s-and-2083s)?_g=(refreshInterval:(display:Off,pause:!f,section:0,value:0),time:(from:'2017-01-24T15:34:59-0700',mode:absolute,to:'2017-01-24T18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4" s="101" t="str">
        <f t="shared" si="1"/>
        <v>"C:\Program Files (x86)\AstroGrep\AstroGrep.exe" /spath="%USERPROFILE%\AppData\Local\Temp\OnboardLogs" /stypes="*4052*201701242*" /stext=" 23:.+((SYSTEM_STATE.+slice.+state.+changed )|(ment ac)|(multiple cpu faults)|(system.+state.+changed )|(\[timeout)|(PRM\|1\|D)|(kpr)|(kdp)|(\|lc)|(penalty))" /e /r /s</v>
      </c>
      <c r="U24" s="9" t="str">
        <f t="shared" si="2"/>
        <v>4052</v>
      </c>
      <c r="V24" s="33">
        <f t="shared" si="3"/>
        <v>42759.996157407404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{"issue":{"subject":"61st 4S STOP","project_id":79,"tracker_id":40,"status_id":1,"priority_id":2,"assigned_to_id":23,"start_date":"2017-01-24","description":"","custom_fields":[{"id":1,"name":"Subdivision","value":"EC"},{"id":4,"name":"Milepost","value":"15.73"},{"id":17,"name":"Train ID","value":"198-24"},{"id":16,"name":"Locomotive ID","value":"4052"},{"id":130,"name":"Impact","value":""},{"id":150,"name":"Time of Event (Mountain Time)","value":"16:54:28"},{"id":151,"name":"Denver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"%USERPROFILE%\AppData\Local\Temp\OnboardLogs"\RTDC4052\*4052*201701242*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"%USERPROFILE%\AppData\Local\Temp\OnboardLogs"\RTDC4052\*4052*201701242* &gt;&gt; 2017-01-24-SliceDisagreementCheck.txt</v>
      </c>
      <c r="AE24" s="180" t="str">
        <f t="shared" si="8"/>
        <v>start /low /b %USERPROFILE%\Documents\GitHub\eaglep3\Utilities\DownloadLogsFromS3.py --loco 4052 --day 2017-01-24</v>
      </c>
      <c r="AF24" s="1"/>
    </row>
    <row r="25" spans="1:32" x14ac:dyDescent="0.25">
      <c r="A25" s="33">
        <v>42759.484988425924</v>
      </c>
      <c r="B25" s="31" t="s">
        <v>385</v>
      </c>
      <c r="C25" s="31" t="s">
        <v>465</v>
      </c>
      <c r="D25" s="31" t="s">
        <v>98</v>
      </c>
      <c r="E25" s="31" t="s">
        <v>467</v>
      </c>
      <c r="F25" s="44">
        <v>0</v>
      </c>
      <c r="G25" s="44">
        <v>372</v>
      </c>
      <c r="H25" s="44">
        <v>15108</v>
      </c>
      <c r="I25" s="44">
        <v>14023</v>
      </c>
      <c r="J25" s="31" t="s">
        <v>468</v>
      </c>
      <c r="K25" s="44">
        <v>17100</v>
      </c>
      <c r="L25" s="150" t="s">
        <v>51</v>
      </c>
      <c r="M25" s="151">
        <f t="shared" si="0"/>
        <v>-1624.6559999999999</v>
      </c>
      <c r="N25" s="152" t="str">
        <f>VLOOKUP(C25,'Trips&amp;Operators'!$C$1:$G$99999,5,FALSE)</f>
        <v>BONDS REYNALDO</v>
      </c>
      <c r="O25" s="176" t="s">
        <v>229</v>
      </c>
      <c r="P25" s="153" t="s">
        <v>891</v>
      </c>
      <c r="Q25" s="31"/>
      <c r="R25" s="96" t="str">
        <f>VLOOKUP(C25,'Train Runs'!$A$13:$AE$9978,31,0)</f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S25" s="99" t="str">
        <f>VLOOKUP(C25,'Train Runs'!$A$13:$AE$9978,22,0)</f>
        <v>https://d0f6bd738d7f1b3e5a7ca70fe4ff75f0.us-east-1.aws.found.io/app/kibana#/discover/Steve-Slow-Train-Analysis-(2080s-and-2083s)?_g=(refreshInterval:(display:Off,pause:!f,section:0,value:0),time:(from:'2017-01-24T09:55:37-0700',mode:absolute,to:'2017-01-24T12:43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101" t="str">
        <f t="shared" si="1"/>
        <v>"C:\Program Files (x86)\AstroGrep\AstroGrep.exe" /spath="%USERPROFILE%\AppData\Local\Temp\OnboardLogs" /stypes="*4010*201701241*" /stext=" 18:.+((SYSTEM_STATE.+slice.+state.+changed )|(ment ac)|(multiple cpu faults)|(system.+state.+changed )|(\[timeout)|(PRM\|1\|D)|(kpr)|(kdp)|(\|lc)|(penalty))" /e /r /s</v>
      </c>
      <c r="U25" s="9" t="str">
        <f t="shared" si="2"/>
        <v>4010</v>
      </c>
      <c r="V25" s="33">
        <f t="shared" si="3"/>
        <v>42759.776655092588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{"issue":{"subject":"Wi-MAX data drop","project_id":79,"tracker_id":40,"status_id":1,"priority_id":2,"assigned_to_id":23,"start_date":"2017-01-24","description":"","custom_fields":[{"id":1,"name":"Subdivision","value":"EC"},{"id":4,"name":"Milepost","value":"1.71"},{"id":17,"name":"Train ID","value":"152-24"},{"id":16,"name":"Locomotive ID","value":"4010"},{"id":130,"name":"Impact","value":""},{"id":150,"name":"Time of Event (Mountain Time)","value":"11:38:23"},{"id":151,"name":"Denver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"%USERPROFILE%\AppData\Local\Temp\OnboardLogs"\RTDC4010\*4010*201701241*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"%USERPROFILE%\AppData\Local\Temp\OnboardLogs"\RTDC4010\*4010*201701241* &gt;&gt; 2017-01-24-SliceDisagreementCheck.txt</v>
      </c>
      <c r="AE25" s="180" t="str">
        <f t="shared" si="8"/>
        <v>start /low /b %USERPROFILE%\Documents\GitHub\eaglep3\Utilities\DownloadLogsFromS3.py --loco 4010 --day 2017-01-24</v>
      </c>
      <c r="AF25" s="1"/>
    </row>
    <row r="26" spans="1:32" x14ac:dyDescent="0.25">
      <c r="A26" s="33">
        <v>42759.446967592594</v>
      </c>
      <c r="B26" s="31" t="s">
        <v>203</v>
      </c>
      <c r="C26" s="31" t="s">
        <v>462</v>
      </c>
      <c r="D26" s="31" t="s">
        <v>49</v>
      </c>
      <c r="E26" s="31" t="s">
        <v>191</v>
      </c>
      <c r="F26" s="44">
        <v>0</v>
      </c>
      <c r="G26" s="44">
        <v>55</v>
      </c>
      <c r="H26" s="44">
        <v>191</v>
      </c>
      <c r="I26" s="44">
        <v>136</v>
      </c>
      <c r="J26" s="31" t="s">
        <v>192</v>
      </c>
      <c r="K26" s="44">
        <v>1</v>
      </c>
      <c r="L26" s="150" t="s">
        <v>51</v>
      </c>
      <c r="M26" s="151">
        <f t="shared" si="0"/>
        <v>71.28</v>
      </c>
      <c r="N26" s="152" t="str">
        <f>VLOOKUP(C26,'Trips&amp;Operators'!$C$1:$G$99999,5,FALSE)</f>
        <v>ROCHA YAOTL</v>
      </c>
      <c r="O26" s="176" t="s">
        <v>229</v>
      </c>
      <c r="P26" s="153" t="s">
        <v>381</v>
      </c>
      <c r="Q26" s="31"/>
      <c r="R26" s="96" t="str">
        <f>VLOOKUP(C26,'Train Runs'!$A$13:$AE$9978,31,0)</f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S26" s="99" t="str">
        <f>VLOOKUP(C26,'Train Runs'!$A$13:$AE$9978,22,0)</f>
        <v>https://d0f6bd738d7f1b3e5a7ca70fe4ff75f0.us-east-1.aws.found.io/app/kibana#/discover/Steve-Slow-Train-Analysis-(2080s-and-2083s)?_g=(refreshInterval:(display:Off,pause:!f,section:0,value:0),time:(from:'2017-01-24T08:55:10-0700',mode:absolute,to:'2017-01-24T11:43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6" s="101" t="str">
        <f t="shared" si="1"/>
        <v>"C:\Program Files (x86)\AstroGrep\AstroGrep.exe" /spath="%USERPROFILE%\AppData\Local\Temp\OnboardLogs" /stypes="*4037*201701241*" /stext=" 17:.+((SYSTEM_STATE.+slice.+state.+changed )|(ment ac)|(multiple cpu faults)|(system.+state.+changed )|(\[timeout)|(PRM\|1\|D)|(kpr)|(kdp)|(\|lc)|(penalty))" /e /r /s</v>
      </c>
      <c r="U26" s="9" t="str">
        <f t="shared" si="2"/>
        <v>4037</v>
      </c>
      <c r="V26" s="33">
        <f t="shared" si="3"/>
        <v>42759.738634259258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{"issue":{"subject":"Banner w/o braking","project_id":79,"tracker_id":40,"status_id":1,"priority_id":2,"assigned_to_id":23,"start_date":"2017-01-24","description":"","custom_fields":[{"id":1,"name":"Subdivision","value":"EC"},{"id":4,"name":"Milepost","value":"0.0001"},{"id":17,"name":"Train ID","value":"144-24"},{"id":16,"name":"Locomotive ID","value":"4037"},{"id":130,"name":"Impact","value":""},{"id":150,"name":"Time of Event (Mountain Time)","value":"10:43:38"},{"id":151,"name":"Denver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"%USERPROFILE%\AppData\Local\Temp\OnboardLogs"\RTDC4037\*4037*201701241*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"%USERPROFILE%\AppData\Local\Temp\OnboardLogs"\RTDC4037\*4037*201701241* &gt;&gt; 2017-01-24-SliceDisagreementCheck.txt</v>
      </c>
      <c r="AE26" s="180" t="str">
        <f t="shared" si="8"/>
        <v>start /low /b %USERPROFILE%\Documents\GitHub\eaglep3\Utilities\DownloadLogsFromS3.py --loco 4037 --day 2017-01-24</v>
      </c>
      <c r="AF26" s="1"/>
    </row>
    <row r="27" spans="1:32" x14ac:dyDescent="0.25">
      <c r="A27" s="33">
        <v>42759.571759259263</v>
      </c>
      <c r="B27" s="31" t="s">
        <v>385</v>
      </c>
      <c r="C27" s="31" t="s">
        <v>473</v>
      </c>
      <c r="D27" s="31" t="s">
        <v>49</v>
      </c>
      <c r="E27" s="31" t="s">
        <v>191</v>
      </c>
      <c r="F27" s="44">
        <v>0</v>
      </c>
      <c r="G27" s="44">
        <v>91</v>
      </c>
      <c r="H27" s="44">
        <v>329</v>
      </c>
      <c r="I27" s="44">
        <v>234</v>
      </c>
      <c r="J27" s="31" t="s">
        <v>192</v>
      </c>
      <c r="K27" s="44">
        <v>1</v>
      </c>
      <c r="L27" s="150" t="s">
        <v>51</v>
      </c>
      <c r="M27" s="151">
        <f t="shared" si="0"/>
        <v>123.024</v>
      </c>
      <c r="N27" s="152" t="str">
        <f>VLOOKUP(C27,'Trips&amp;Operators'!$C$1:$G$99999,5,FALSE)</f>
        <v>CRAYTON QUNTRELL</v>
      </c>
      <c r="O27" s="176" t="s">
        <v>229</v>
      </c>
      <c r="P27" s="153" t="s">
        <v>381</v>
      </c>
      <c r="Q27" s="31"/>
      <c r="R27" s="96" t="str">
        <f>VLOOKUP(C27,'Train Runs'!$A$13:$AE$9978,31,0)</f>
        <v>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 &amp; 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</v>
      </c>
      <c r="S27" s="99" t="str">
        <f>VLOOKUP(C27,'Train Runs'!$A$13:$AE$9978,22,0)</f>
        <v>https://d0f6bd738d7f1b3e5a7ca70fe4ff75f0.us-east-1.aws.found.io/app/kibana#/discover/Steve-Slow-Train-Analysis-(2080s-and-2083s)?_g=(refreshInterval:(display:Off,pause:!f,section:0,value:0),time:(from:'2017-01-24T11:45:19-0700',mode:absolute,to:'2017-01-24T14:43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7" s="101" t="str">
        <f t="shared" si="1"/>
        <v>"C:\Program Files (x86)\AstroGrep\AstroGrep.exe" /spath="%USERPROFILE%\AppData\Local\Temp\OnboardLogs" /stypes="*4010*201701242*" /stext=" 20:.+((SYSTEM_STATE.+slice.+state.+changed )|(ment ac)|(multiple cpu faults)|(system.+state.+changed )|(\[timeout)|(PRM\|1\|D)|(kpr)|(kdp)|(\|lc)|(penalty))" /e /r /s</v>
      </c>
      <c r="U27" s="9" t="str">
        <f t="shared" si="2"/>
        <v>4010</v>
      </c>
      <c r="V27" s="33">
        <f t="shared" si="3"/>
        <v>42759.863425925927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{"issue":{"subject":"Banner w/o braking","project_id":79,"tracker_id":40,"status_id":1,"priority_id":2,"assigned_to_id":23,"start_date":"2017-01-24","description":"","custom_fields":[{"id":1,"name":"Subdivision","value":"EC"},{"id":4,"name":"Milepost","value":"0.0001"},{"id":17,"name":"Train ID","value":"168-24"},{"id":16,"name":"Locomotive ID","value":"4010"},{"id":130,"name":"Impact","value":""},{"id":150,"name":"Time of Event (Mountain Time)","value":"13:43:20"},{"id":151,"name":"Denver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"%USERPROFILE%\AppData\Local\Temp\OnboardLogs"\RTDC4010\*4010*201701242*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"%USERPROFILE%\AppData\Local\Temp\OnboardLogs"\RTDC4010\*4010*201701242* &gt;&gt; 2017-01-24-SliceDisagreementCheck.txt</v>
      </c>
      <c r="AE27" s="180" t="str">
        <f t="shared" si="8"/>
        <v>start /low /b %USERPROFILE%\Documents\GitHub\eaglep3\Utilities\DownloadLogsFromS3.py --loco 4010 --day 2017-01-24</v>
      </c>
      <c r="AF27" s="1"/>
    </row>
    <row r="28" spans="1:32" x14ac:dyDescent="0.25">
      <c r="A28" s="33">
        <v>42759.682997685188</v>
      </c>
      <c r="B28" s="31" t="s">
        <v>203</v>
      </c>
      <c r="C28" s="31" t="s">
        <v>477</v>
      </c>
      <c r="D28" s="31" t="s">
        <v>49</v>
      </c>
      <c r="E28" s="31" t="s">
        <v>191</v>
      </c>
      <c r="F28" s="44">
        <v>0</v>
      </c>
      <c r="G28" s="44">
        <v>52</v>
      </c>
      <c r="H28" s="44">
        <v>161</v>
      </c>
      <c r="I28" s="44">
        <v>94</v>
      </c>
      <c r="J28" s="31" t="s">
        <v>192</v>
      </c>
      <c r="K28" s="44">
        <v>1</v>
      </c>
      <c r="L28" s="150" t="s">
        <v>51</v>
      </c>
      <c r="M28" s="151">
        <f t="shared" si="0"/>
        <v>49.103999999999999</v>
      </c>
      <c r="N28" s="152" t="str">
        <f>VLOOKUP(C28,'Trips&amp;Operators'!$C$1:$G$99999,5,FALSE)</f>
        <v>HAITHCOX MICHAEL</v>
      </c>
      <c r="O28" s="176" t="s">
        <v>188</v>
      </c>
      <c r="P28" s="153"/>
      <c r="Q28" s="31"/>
      <c r="R28" s="96" t="str">
        <f>VLOOKUP(C28,'Train Runs'!$A$13:$AE$9978,31,0)</f>
        <v>aws s3 cp s3://rtdc.mdm.uploadarchive.raw/RTDC4037/ "%USERPROFILE%\AppData\Local\Temp\OnboardLogs"\RTDC4037\2017-01-24 --exclude "*" --recursive --include "*20170124*" &amp; "%USERPROFILE%\Documents\GitHub\mrs-test-scripts\Headless Mode &amp; Sideloading\WalkAndUnGZ.bat" "%USERPROFILE%\AppData\Local\Temp\OnboardLogs"\RTDC4037\2017-01-24 &amp; aws s3 cp s3://rtdc.mdm.uploadarchive.raw/RTDC4037/ "%USERPROFILE%\AppData\Local\Temp\OnboardLogs"\RTDC4037\2017-01-25 --exclude "*" --recursive --include "*20170125*" &amp; "%USERPROFILE%\Documents\GitHub\mrs-test-scripts\Headless Mode &amp; Sideloading\WalkAndUnGZ.bat" "%USERPROFILE%\AppData\Local\Temp\OnboardLogs"\RTDC4037\2017-01-25</v>
      </c>
      <c r="S28" s="99" t="str">
        <f>VLOOKUP(C28,'Train Runs'!$A$13:$AE$9978,22,0)</f>
        <v>https://d0f6bd738d7f1b3e5a7ca70fe4ff75f0.us-east-1.aws.found.io/app/kibana#/discover/Steve-Slow-Train-Analysis-(2080s-and-2083s)?_g=(refreshInterval:(display:Off,pause:!f,section:0,value:0),time:(from:'2017-01-24T14:33:41-0700',mode:absolute,to:'2017-01-24T17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8" s="101" t="str">
        <f t="shared" si="1"/>
        <v>"C:\Program Files (x86)\AstroGrep\AstroGrep.exe" /spath="%USERPROFILE%\AppData\Local\Temp\OnboardLogs" /stypes="*4037*201701242*" /stext=" 23:.+((SYSTEM_STATE.+slice.+state.+changed )|(ment ac)|(multiple cpu faults)|(system.+state.+changed )|(\[timeout)|(PRM\|1\|D)|(kpr)|(kdp)|(\|lc)|(penalty))" /e /r /s</v>
      </c>
      <c r="U28" s="9" t="str">
        <f t="shared" si="2"/>
        <v>4037</v>
      </c>
      <c r="V28" s="33">
        <f t="shared" si="3"/>
        <v>42759.974664351852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{"issue":{"subject":"","project_id":79,"tracker_id":40,"status_id":1,"priority_id":2,"assigned_to_id":23,"start_date":"2017-01-24","description":"","custom_fields":[{"id":1,"name":"Subdivision","value":"EC"},{"id":4,"name":"Milepost","value":"0.0001"},{"id":17,"name":"Train ID","value":"188-24"},{"id":16,"name":"Locomotive ID","value":"4037"},{"id":130,"name":"Impact","value":""},{"id":150,"name":"Time of Event (Mountain Time)","value":"16:23:31"},{"id":151,"name":"Denver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"%USERPROFILE%\AppData\Local\Temp\OnboardLogs"\RTDC4037\*4037*201701242*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"%USERPROFILE%\AppData\Local\Temp\OnboardLogs"\RTDC4037\*4037*201701242* &gt;&gt; 2017-01-24-SliceDisagreementCheck.txt</v>
      </c>
      <c r="AE28" s="180" t="str">
        <f t="shared" si="8"/>
        <v>start /low /b %USERPROFILE%\Documents\GitHub\eaglep3\Utilities\DownloadLogsFromS3.py --loco 4037 --day 2017-01-24</v>
      </c>
      <c r="AF28" s="1"/>
    </row>
    <row r="29" spans="1:32" x14ac:dyDescent="0.25">
      <c r="A29" s="33">
        <v>42759.778368055559</v>
      </c>
      <c r="B29" s="31" t="s">
        <v>242</v>
      </c>
      <c r="C29" s="31" t="s">
        <v>483</v>
      </c>
      <c r="D29" s="31" t="s">
        <v>49</v>
      </c>
      <c r="E29" s="31" t="s">
        <v>191</v>
      </c>
      <c r="F29" s="44">
        <v>0</v>
      </c>
      <c r="G29" s="44">
        <v>52</v>
      </c>
      <c r="H29" s="44">
        <v>158</v>
      </c>
      <c r="I29" s="44">
        <v>112</v>
      </c>
      <c r="J29" s="31" t="s">
        <v>192</v>
      </c>
      <c r="K29" s="44">
        <v>1</v>
      </c>
      <c r="L29" s="150" t="s">
        <v>51</v>
      </c>
      <c r="M29" s="151">
        <f t="shared" si="0"/>
        <v>58.607999999999997</v>
      </c>
      <c r="N29" s="152" t="str">
        <f>VLOOKUP(C29,'Trips&amp;Operators'!$C$1:$G$99999,5,FALSE)</f>
        <v>SWANSON BRYCE</v>
      </c>
      <c r="O29" s="176" t="s">
        <v>188</v>
      </c>
      <c r="P29" s="153"/>
      <c r="Q29" s="31"/>
      <c r="R29" s="96" t="str">
        <f>VLOOKUP(C29,'Train Runs'!$A$13:$AE$9978,31,0)</f>
        <v>aws s3 cp s3://rtdc.mdm.uploadarchive.raw/RTDC4008/ "%USERPROFILE%\AppData\Local\Temp\OnboardLogs"\RTDC4008\2017-01-24 --exclude "*" --recursive --include "*20170124*" &amp; "%USERPROFILE%\Documents\GitHub\mrs-test-scripts\Headless Mode &amp; Sideloading\WalkAndUnGZ.bat" "%USERPROFILE%\AppData\Local\Temp\OnboardLogs"\RTDC4008\2017-01-24 &amp; aws s3 cp s3://rtdc.mdm.uploadarchive.raw/RTDC4008/ "%USERPROFILE%\AppData\Local\Temp\OnboardLogs"\RTDC4008\2017-01-25 --exclude "*" --recursive --include "*20170125*" &amp; "%USERPROFILE%\Documents\GitHub\mrs-test-scripts\Headless Mode &amp; Sideloading\WalkAndUnGZ.bat" "%USERPROFILE%\AppData\Local\Temp\OnboardLogs"\RTDC4008\2017-01-25</v>
      </c>
      <c r="S29" s="99" t="str">
        <f>VLOOKUP(C29,'Train Runs'!$A$13:$AE$9978,22,0)</f>
        <v>https://d0f6bd738d7f1b3e5a7ca70fe4ff75f0.us-east-1.aws.found.io/app/kibana#/discover/Steve-Slow-Train-Analysis-(2080s-and-2083s)?_g=(refreshInterval:(display:Off,pause:!f,section:0,value:0),time:(from:'2017-01-24T16:44:18-0700',mode:absolute,to:'2017-01-24T19:40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9" s="101" t="str">
        <f t="shared" si="1"/>
        <v>"C:\Program Files (x86)\AstroGrep\AstroGrep.exe" /spath="%USERPROFILE%\AppData\Local\Temp\OnboardLogs" /stypes="*4008*201701250*" /stext=" 01:.+((SYSTEM_STATE.+slice.+state.+changed )|(ment ac)|(multiple cpu faults)|(system.+state.+changed )|(\[timeout)|(PRM\|1\|D)|(kpr)|(kdp)|(\|lc)|(penalty))" /e /r /s</v>
      </c>
      <c r="U29" s="9" t="str">
        <f t="shared" si="2"/>
        <v>4008</v>
      </c>
      <c r="V29" s="33">
        <f t="shared" si="3"/>
        <v>42760.070034722223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{"issue":{"subject":"","project_id":79,"tracker_id":40,"status_id":1,"priority_id":2,"assigned_to_id":23,"start_date":"2017-01-24","description":"","custom_fields":[{"id":1,"name":"Subdivision","value":"EC"},{"id":4,"name":"Milepost","value":"0.0001"},{"id":17,"name":"Train ID","value":"208-24"},{"id":16,"name":"Locomotive ID","value":"4008"},{"id":130,"name":"Impact","value":""},{"id":150,"name":"Time of Event (Mountain Time)","value":"18:40:51"},{"id":151,"name":"Denver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"%USERPROFILE%\AppData\Local\Temp\OnboardLogs"\RTDC4008\*4008*201701250*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"%USERPROFILE%\AppData\Local\Temp\OnboardLogs"\RTDC4008\*4008*201701250* &gt;&gt; 2017-01-24-SliceDisagreementCheck.txt</v>
      </c>
      <c r="AE29" s="180" t="str">
        <f t="shared" si="8"/>
        <v>start /low /b %USERPROFILE%\Documents\GitHub\eaglep3\Utilities\DownloadLogsFromS3.py --loco 4008 --day 2017-01-25</v>
      </c>
      <c r="AF29" s="1"/>
    </row>
    <row r="30" spans="1:32" x14ac:dyDescent="0.25">
      <c r="A30" s="33">
        <v>42759.738356481481</v>
      </c>
      <c r="B30" s="31" t="s">
        <v>249</v>
      </c>
      <c r="C30" s="31" t="s">
        <v>479</v>
      </c>
      <c r="D30" s="31" t="s">
        <v>49</v>
      </c>
      <c r="E30" s="31" t="s">
        <v>191</v>
      </c>
      <c r="F30" s="44">
        <v>0</v>
      </c>
      <c r="G30" s="44">
        <v>97</v>
      </c>
      <c r="H30" s="44">
        <v>1260</v>
      </c>
      <c r="I30" s="44">
        <v>1165</v>
      </c>
      <c r="J30" s="31" t="s">
        <v>192</v>
      </c>
      <c r="K30" s="44">
        <v>839</v>
      </c>
      <c r="L30" s="150" t="s">
        <v>51</v>
      </c>
      <c r="M30" s="151">
        <f t="shared" si="0"/>
        <v>172.12799999999999</v>
      </c>
      <c r="N30" s="152" t="str">
        <f>VLOOKUP(C30,'Trips&amp;Operators'!$C$1:$G$99999,5,FALSE)</f>
        <v>BRANNON JEFFREY</v>
      </c>
      <c r="O30" s="176" t="s">
        <v>188</v>
      </c>
      <c r="P30" s="153"/>
      <c r="Q30" s="31"/>
      <c r="R30" s="96" t="str">
        <f>VLOOKUP(C30,'Train Runs'!$A$13:$AE$9978,31,0)</f>
        <v>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 &amp; 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</v>
      </c>
      <c r="S30" s="99" t="str">
        <f>VLOOKUP(C30,'Train Runs'!$A$13:$AE$9978,22,0)</f>
        <v>https://d0f6bd738d7f1b3e5a7ca70fe4ff75f0.us-east-1.aws.found.io/app/kibana#/discover/Steve-Slow-Train-Analysis-(2080s-and-2083s)?_g=(refreshInterval:(display:Off,pause:!f,section:0,value:0),time:(from:'2017-01-24T15:51:42-0700',mode:absolute,to:'2017-01-24T18:43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101" t="str">
        <f t="shared" si="1"/>
        <v>"C:\Program Files (x86)\AstroGrep\AstroGrep.exe" /spath="%USERPROFILE%\AppData\Local\Temp\OnboardLogs" /stypes="*4028*201701250*" /stext=" 00:.+((SYSTEM_STATE.+slice.+state.+changed )|(ment ac)|(multiple cpu faults)|(system.+state.+changed )|(\[timeout)|(PRM\|1\|D)|(kpr)|(kdp)|(\|lc)|(penalty))" /e /r /s</v>
      </c>
      <c r="U30" s="9" t="str">
        <f t="shared" si="2"/>
        <v>4028</v>
      </c>
      <c r="V30" s="33">
        <f t="shared" si="3"/>
        <v>42760.030023148145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{"issue":{"subject":"","project_id":79,"tracker_id":40,"status_id":1,"priority_id":2,"assigned_to_id":23,"start_date":"2017-01-24","description":"","custom_fields":[{"id":1,"name":"Subdivision","value":"EC"},{"id":4,"name":"Milepost","value":"0.0839"},{"id":17,"name":"Train ID","value":"200-24"},{"id":16,"name":"Locomotive ID","value":"4028"},{"id":130,"name":"Impact","value":""},{"id":150,"name":"Time of Event (Mountain Time)","value":"17:43:14"},{"id":151,"name":"Denver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"%USERPROFILE%\AppData\Local\Temp\OnboardLogs"\RTDC4028\*4028*201701250*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"%USERPROFILE%\AppData\Local\Temp\OnboardLogs"\RTDC4028\*4028*201701250* &gt;&gt; 2017-01-24-SliceDisagreementCheck.txt</v>
      </c>
      <c r="AE30" s="180" t="str">
        <f t="shared" si="8"/>
        <v>start /low /b %USERPROFILE%\Documents\GitHub\eaglep3\Utilities\DownloadLogsFromS3.py --loco 4028 --day 2017-01-25</v>
      </c>
      <c r="AF30" s="1"/>
    </row>
    <row r="31" spans="1:32" x14ac:dyDescent="0.25">
      <c r="A31" s="33">
        <v>42759.381863425922</v>
      </c>
      <c r="B31" s="31" t="s">
        <v>153</v>
      </c>
      <c r="C31" s="31" t="s">
        <v>461</v>
      </c>
      <c r="D31" s="31" t="s">
        <v>49</v>
      </c>
      <c r="E31" s="31" t="s">
        <v>191</v>
      </c>
      <c r="F31" s="44">
        <v>0</v>
      </c>
      <c r="G31" s="44">
        <v>96</v>
      </c>
      <c r="H31" s="44">
        <v>233168</v>
      </c>
      <c r="I31" s="44">
        <v>233263</v>
      </c>
      <c r="J31" s="31" t="s">
        <v>192</v>
      </c>
      <c r="K31" s="44">
        <v>233491</v>
      </c>
      <c r="L31" s="150" t="s">
        <v>50</v>
      </c>
      <c r="M31" s="151">
        <f t="shared" si="0"/>
        <v>120.384</v>
      </c>
      <c r="N31" s="152" t="str">
        <f>VLOOKUP(C31,'Trips&amp;Operators'!$C$1:$G$99999,5,FALSE)</f>
        <v>DAVIS WENDY</v>
      </c>
      <c r="O31" s="176" t="s">
        <v>188</v>
      </c>
      <c r="P31" s="153"/>
      <c r="Q31" s="31"/>
      <c r="R31" s="96" t="str">
        <f>VLOOKUP(C31,'Train Runs'!$A$13:$AE$9978,31,0)</f>
        <v>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 &amp; aws s3 cp s3://rtdc.mdm.uploadarchive.raw/RTDC4051/ "%USERPROFILE%\AppData\Local\Temp\OnboardLogs"\RTDC4051\2017-01-25 --exclude "*" --recursive --include "*20170125*" &amp; "%USERPROFILE%\Documents\GitHub\mrs-test-scripts\Headless Mode &amp; Sideloading\WalkAndUnGZ.bat" "%USERPROFILE%\AppData\Local\Temp\OnboardLogs"\RTDC4051\2017-01-25</v>
      </c>
      <c r="S31" s="99" t="str">
        <f>VLOOKUP(C31,'Train Runs'!$A$13:$AE$9978,22,0)</f>
        <v>https://d0f6bd738d7f1b3e5a7ca70fe4ff75f0.us-east-1.aws.found.io/app/kibana#/discover/Steve-Slow-Train-Analysis-(2080s-and-2083s)?_g=(refreshInterval:(display:Off,pause:!f,section:0,value:0),time:(from:'2017-01-24T07:20:24-0700',mode:absolute,to:'2017-01-24T10:09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1" s="101" t="str">
        <f t="shared" si="1"/>
        <v>"C:\Program Files (x86)\AstroGrep\AstroGrep.exe" /spath="%USERPROFILE%\AppData\Local\Temp\OnboardLogs" /stypes="*4051*201701241*" /stext=" 16:.+((SYSTEM_STATE.+slice.+state.+changed )|(ment ac)|(multiple cpu faults)|(system.+state.+changed )|(\[timeout)|(PRM\|1\|D)|(kpr)|(kdp)|(\|lc)|(penalty))" /e /r /s</v>
      </c>
      <c r="U31" s="9" t="str">
        <f t="shared" si="2"/>
        <v>4051</v>
      </c>
      <c r="V31" s="33">
        <f t="shared" si="3"/>
        <v>42759.673530092587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{"issue":{"subject":"","project_id":79,"tracker_id":40,"status_id":1,"priority_id":2,"assigned_to_id":23,"start_date":"2017-01-24","description":"","custom_fields":[{"id":1,"name":"Subdivision","value":"EC"},{"id":4,"name":"Milepost","value":"23.3491"},{"id":17,"name":"Train ID","value":"139-24"},{"id":16,"name":"Locomotive ID","value":"4051"},{"id":130,"name":"Impact","value":""},{"id":150,"name":"Time of Event (Mountain Time)","value":"09:09:53"},{"id":151,"name":"Denver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"%USERPROFILE%\AppData\Local\Temp\OnboardLogs"\RTDC4051\*4051*201701241*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"%USERPROFILE%\AppData\Local\Temp\OnboardLogs"\RTDC4051\*4051*201701241* &gt;&gt; 2017-01-24-SliceDisagreementCheck.txt</v>
      </c>
      <c r="AE31" s="180" t="str">
        <f t="shared" si="8"/>
        <v>start /low /b %USERPROFILE%\Documents\GitHub\eaglep3\Utilities\DownloadLogsFromS3.py --loco 4051 --day 2017-01-24</v>
      </c>
      <c r="AF31" s="1"/>
    </row>
    <row r="32" spans="1:32" x14ac:dyDescent="0.25">
      <c r="A32" s="33">
        <v>42759.566851851851</v>
      </c>
      <c r="B32" s="31" t="s">
        <v>202</v>
      </c>
      <c r="C32" s="31" t="s">
        <v>471</v>
      </c>
      <c r="D32" s="31" t="s">
        <v>49</v>
      </c>
      <c r="E32" s="31" t="s">
        <v>191</v>
      </c>
      <c r="F32" s="44">
        <v>0</v>
      </c>
      <c r="G32" s="44">
        <v>59</v>
      </c>
      <c r="H32" s="44">
        <v>233229</v>
      </c>
      <c r="I32" s="44">
        <v>233325</v>
      </c>
      <c r="J32" s="31" t="s">
        <v>192</v>
      </c>
      <c r="K32" s="44">
        <v>233491</v>
      </c>
      <c r="L32" s="150" t="s">
        <v>50</v>
      </c>
      <c r="M32" s="151">
        <f t="shared" si="0"/>
        <v>87.647999999999996</v>
      </c>
      <c r="N32" s="152" t="str">
        <f>VLOOKUP(C32,'Trips&amp;Operators'!$C$1:$G$99999,5,FALSE)</f>
        <v>HAITHCOX MICHAEL</v>
      </c>
      <c r="O32" s="176" t="s">
        <v>188</v>
      </c>
      <c r="P32" s="153"/>
      <c r="Q32" s="31"/>
      <c r="R32" s="96" t="str">
        <f>VLOOKUP(C32,'Train Runs'!$A$13:$AE$9978,31,0)</f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S32" s="99" t="str">
        <f>VLOOKUP(C32,'Train Runs'!$A$13:$AE$9978,22,0)</f>
        <v>https://d0f6bd738d7f1b3e5a7ca70fe4ff75f0.us-east-1.aws.found.io/app/kibana#/discover/Steve-Slow-Train-Analysis-(2080s-and-2083s)?_g=(refreshInterval:(display:Off,pause:!f,section:0,value:0),time:(from:'2017-01-24T11:48:16-0700',mode:absolute,to:'2017-01-24T14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2" s="101" t="str">
        <f t="shared" si="1"/>
        <v>"C:\Program Files (x86)\AstroGrep\AstroGrep.exe" /spath="%USERPROFILE%\AppData\Local\Temp\OnboardLogs" /stypes="*4038*201701242*" /stext=" 20:.+((SYSTEM_STATE.+slice.+state.+changed )|(ment ac)|(multiple cpu faults)|(system.+state.+changed )|(\[timeout)|(PRM\|1\|D)|(kpr)|(kdp)|(\|lc)|(penalty))" /e /r /s</v>
      </c>
      <c r="U32" s="9" t="str">
        <f t="shared" si="2"/>
        <v>4038</v>
      </c>
      <c r="V32" s="33">
        <f t="shared" si="3"/>
        <v>42759.858518518515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{"issue":{"subject":"","project_id":79,"tracker_id":40,"status_id":1,"priority_id":2,"assigned_to_id":23,"start_date":"2017-01-24","description":"","custom_fields":[{"id":1,"name":"Subdivision","value":"EC"},{"id":4,"name":"Milepost","value":"23.3491"},{"id":17,"name":"Train ID","value":"173-24"},{"id":16,"name":"Locomotive ID","value":"4038"},{"id":130,"name":"Impact","value":""},{"id":150,"name":"Time of Event (Mountain Time)","value":"13:36:16"},{"id":151,"name":"Denver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"%USERPROFILE%\AppData\Local\Temp\OnboardLogs"\RTDC4038\*4038*201701242*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"%USERPROFILE%\AppData\Local\Temp\OnboardLogs"\RTDC4038\*4038*201701242* &gt;&gt; 2017-01-24-SliceDisagreementCheck.txt</v>
      </c>
      <c r="AE32" s="180" t="str">
        <f t="shared" si="8"/>
        <v>start /low /b %USERPROFILE%\Documents\GitHub\eaglep3\Utilities\DownloadLogsFromS3.py --loco 4038 --day 2017-01-24</v>
      </c>
      <c r="AF32" s="1"/>
    </row>
    <row r="33" spans="1:32" x14ac:dyDescent="0.25">
      <c r="A33" s="33">
        <v>42759.865277777775</v>
      </c>
      <c r="B33" s="31" t="s">
        <v>202</v>
      </c>
      <c r="C33" s="31" t="s">
        <v>488</v>
      </c>
      <c r="D33" s="31" t="s">
        <v>49</v>
      </c>
      <c r="E33" s="31" t="s">
        <v>191</v>
      </c>
      <c r="F33" s="44">
        <v>0</v>
      </c>
      <c r="G33" s="44">
        <v>47</v>
      </c>
      <c r="H33" s="44">
        <v>233363</v>
      </c>
      <c r="I33" s="44">
        <v>233397</v>
      </c>
      <c r="J33" s="31" t="s">
        <v>192</v>
      </c>
      <c r="K33" s="44">
        <v>233491</v>
      </c>
      <c r="L33" s="150" t="s">
        <v>50</v>
      </c>
      <c r="M33" s="151">
        <f t="shared" si="0"/>
        <v>49.631999999999998</v>
      </c>
      <c r="N33" s="152" t="str">
        <f>VLOOKUP(C33,'Trips&amp;Operators'!$C$1:$G$99999,5,FALSE)</f>
        <v>STORY SAMANTHA</v>
      </c>
      <c r="O33" s="176" t="s">
        <v>188</v>
      </c>
      <c r="P33" s="153"/>
      <c r="Q33" s="31"/>
      <c r="R33" s="96" t="str">
        <f>VLOOKUP(C33,'Train Runs'!$A$13:$AE$9978,31,0)</f>
        <v>aws s3 cp s3://rtdc.mdm.uploadarchive.raw/RTDC4038/ "%USERPROFILE%\AppData\Local\Temp\OnboardLogs"\RTDC4038\2017-01-24 --exclude "*" --recursive --include "*20170124*" &amp; "%USERPROFILE%\Documents\GitHub\mrs-test-scripts\Headless Mode &amp; Sideloading\WalkAndUnGZ.bat" "%USERPROFILE%\AppData\Local\Temp\OnboardLogs"\RTDC4038\2017-01-24 &amp; aws s3 cp s3://rtdc.mdm.uploadarchive.raw/RTDC4038/ "%USERPROFILE%\AppData\Local\Temp\OnboardLogs"\RTDC4038\2017-01-25 --exclude "*" --recursive --include "*20170125*" &amp; "%USERPROFILE%\Documents\GitHub\mrs-test-scripts\Headless Mode &amp; Sideloading\WalkAndUnGZ.bat" "%USERPROFILE%\AppData\Local\Temp\OnboardLogs"\RTDC4038\2017-01-25</v>
      </c>
      <c r="S33" s="99" t="str">
        <f>VLOOKUP(C33,'Train Runs'!$A$13:$AE$9978,22,0)</f>
        <v>https://d0f6bd738d7f1b3e5a7ca70fe4ff75f0.us-east-1.aws.found.io/app/kibana#/discover/Steve-Slow-Train-Analysis-(2080s-and-2083s)?_g=(refreshInterval:(display:Off,pause:!f,section:0,value:0),time:(from:'2017-01-24T18:56:25-0700',mode:absolute,to:'2017-01-24T21:45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33" s="101" t="str">
        <f t="shared" si="1"/>
        <v>"C:\Program Files (x86)\AstroGrep\AstroGrep.exe" /spath="%USERPROFILE%\AppData\Local\Temp\OnboardLogs" /stypes="*4038*201701250*" /stext=" 03:.+((SYSTEM_STATE.+slice.+state.+changed )|(ment ac)|(multiple cpu faults)|(system.+state.+changed )|(\[timeout)|(PRM\|1\|D)|(kpr)|(kdp)|(\|lc)|(penalty))" /e /r /s</v>
      </c>
      <c r="U33" s="9" t="str">
        <f t="shared" si="2"/>
        <v>4038</v>
      </c>
      <c r="V33" s="33">
        <f t="shared" si="3"/>
        <v>42760.156944444439</v>
      </c>
      <c r="W33" s="47" t="str">
        <f t="shared" si="4"/>
        <v>EC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{"issue":{"subject":"","project_id":79,"tracker_id":40,"status_id":1,"priority_id":2,"assigned_to_id":23,"start_date":"2017-01-24","description":"","custom_fields":[{"id":1,"name":"Subdivision","value":"EC"},{"id":4,"name":"Milepost","value":"23.3491"},{"id":17,"name":"Train ID","value":"225-24"},{"id":16,"name":"Locomotive ID","value":"4038"},{"id":130,"name":"Impact","value":""},{"id":150,"name":"Time of Event (Mountain Time)","value":"20:46:00"},{"id":151,"name":"Denver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"%USERPROFILE%\AppData\Local\Temp\OnboardLogs"\RTDC4038\*4038*201701250*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"%USERPROFILE%\AppData\Local\Temp\OnboardLogs"\RTDC4038\*4038*201701250* &gt;&gt; 2017-01-24-SliceDisagreementCheck.txt</v>
      </c>
      <c r="AE33" s="180" t="str">
        <f t="shared" si="8"/>
        <v>start /low /b %USERPROFILE%\Documents\GitHub\eaglep3\Utilities\DownloadLogsFromS3.py --loco 4038 --day 2017-01-25</v>
      </c>
      <c r="AF33" s="1"/>
    </row>
    <row r="34" spans="1:32" x14ac:dyDescent="0.25">
      <c r="A34" s="33">
        <v>42759.494467592594</v>
      </c>
      <c r="B34" s="31" t="s">
        <v>383</v>
      </c>
      <c r="C34" s="31" t="s">
        <v>470</v>
      </c>
      <c r="D34" s="31" t="s">
        <v>49</v>
      </c>
      <c r="E34" s="31" t="s">
        <v>206</v>
      </c>
      <c r="F34" s="44">
        <v>90</v>
      </c>
      <c r="G34" s="44">
        <v>146</v>
      </c>
      <c r="H34" s="44">
        <v>11473</v>
      </c>
      <c r="I34" s="44">
        <v>11186</v>
      </c>
      <c r="J34" s="31" t="s">
        <v>207</v>
      </c>
      <c r="K34" s="44">
        <v>10988</v>
      </c>
      <c r="L34" s="150" t="s">
        <v>51</v>
      </c>
      <c r="M34" s="151">
        <f t="shared" si="0"/>
        <v>104.544</v>
      </c>
      <c r="N34" s="152" t="str">
        <f>VLOOKUP(C34,'Trips&amp;Operators'!$C$1:$G$99999,5,FALSE)</f>
        <v>BROWN JACOB</v>
      </c>
      <c r="O34" s="176" t="s">
        <v>188</v>
      </c>
      <c r="P34" s="153" t="s">
        <v>380</v>
      </c>
      <c r="Q34" s="31"/>
      <c r="R34" s="96" t="str">
        <f>VLOOKUP(C34,'Train Runs'!$A$13:$AE$9978,31,0)</f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S34" s="99" t="str">
        <f>VLOOKUP(C34,'Train Runs'!$A$13:$AE$9978,22,0)</f>
        <v>https://d0f6bd738d7f1b3e5a7ca70fe4ff75f0.us-east-1.aws.found.io/app/kibana#/discover/Steve-Slow-Train-Analysis-(2080s-and-2083s)?_g=(refreshInterval:(display:Off,pause:!f,section:0,value:0),time:(from:'2017-01-24T10:37:36-0700',mode:absolute,to:'2017-01-24T12:57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4" s="101" t="str">
        <f t="shared" si="1"/>
        <v>"C:\Program Files (x86)\AstroGrep\AstroGrep.exe" /spath="%USERPROFILE%\AppData\Local\Temp\OnboardLogs" /stypes="*4041*201701241*" /stext=" 18:.+((SYSTEM_STATE.+slice.+state.+changed )|(ment ac)|(multiple cpu faults)|(system.+state.+changed )|(\[timeout)|(PRM\|1\|D)|(kpr)|(kdp)|(\|lc)|(penalty))" /e /r /s</v>
      </c>
      <c r="U34" s="9" t="str">
        <f t="shared" si="2"/>
        <v>4041</v>
      </c>
      <c r="V34" s="33">
        <f t="shared" si="3"/>
        <v>42759.786134259259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{"issue":{"subject":"Early arrival","project_id":79,"tracker_id":40,"status_id":1,"priority_id":2,"assigned_to_id":23,"start_date":"2017-01-24","description":"","custom_fields":[{"id":1,"name":"Subdivision","value":"NW"},{"id":4,"name":"Milepost","value":"1.0988"},{"id":17,"name":"Train ID","value":"818-24"},{"id":16,"name":"Locomotive ID","value":"4041"},{"id":130,"name":"Impact","value":""},{"id":150,"name":"Time of Event (Mountain Time)","value":"11:52:02"},{"id":151,"name":"Denver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"%USERPROFILE%\AppData\Local\Temp\OnboardLogs"\RTDC4041\*4041*201701241*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"%USERPROFILE%\AppData\Local\Temp\OnboardLogs"\RTDC4041\*4041*201701241* &gt;&gt; 2017-01-24-SliceDisagreementCheck.txt</v>
      </c>
      <c r="AE34" s="180" t="str">
        <f t="shared" si="8"/>
        <v>start /low /b %USERPROFILE%\Documents\GitHub\eaglep3\Utilities\DownloadLogsFromS3.py --loco 4041 --day 2017-01-24</v>
      </c>
      <c r="AF34" s="1"/>
    </row>
    <row r="35" spans="1:32" x14ac:dyDescent="0.25">
      <c r="A35" s="33">
        <v>42759.681041666663</v>
      </c>
      <c r="B35" s="31" t="s">
        <v>304</v>
      </c>
      <c r="C35" s="31" t="s">
        <v>476</v>
      </c>
      <c r="D35" s="31" t="s">
        <v>49</v>
      </c>
      <c r="E35" s="31" t="s">
        <v>206</v>
      </c>
      <c r="F35" s="44">
        <v>90</v>
      </c>
      <c r="G35" s="44">
        <v>280</v>
      </c>
      <c r="H35" s="44">
        <v>12117</v>
      </c>
      <c r="I35" s="44">
        <v>11540</v>
      </c>
      <c r="J35" s="31" t="s">
        <v>207</v>
      </c>
      <c r="K35" s="44">
        <v>10988</v>
      </c>
      <c r="L35" s="150" t="s">
        <v>51</v>
      </c>
      <c r="M35" s="151">
        <f t="shared" si="0"/>
        <v>291.45600000000002</v>
      </c>
      <c r="N35" s="152" t="str">
        <f>VLOOKUP(C35,'Trips&amp;Operators'!$C$1:$G$99999,5,FALSE)</f>
        <v>HILLS DUSTIN</v>
      </c>
      <c r="O35" s="176" t="s">
        <v>188</v>
      </c>
      <c r="P35" s="153" t="s">
        <v>380</v>
      </c>
      <c r="Q35" s="31"/>
      <c r="R35" s="96" t="str">
        <f>VLOOKUP(C35,'Train Runs'!$A$13:$AE$9978,31,0)</f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S35" s="99" t="str">
        <f>VLOOKUP(C35,'Train Runs'!$A$13:$AE$9978,22,0)</f>
        <v>https://d0f6bd738d7f1b3e5a7ca70fe4ff75f0.us-east-1.aws.found.io/app/kibana#/discover/Steve-Slow-Train-Analysis-(2080s-and-2083s)?_g=(refreshInterval:(display:Off,pause:!f,section:0,value:0),time:(from:'2017-01-24T15:09:46-0700',mode:absolute,to:'2017-01-24T17:26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5" s="101" t="str">
        <f t="shared" si="1"/>
        <v>"C:\Program Files (x86)\AstroGrep\AstroGrep.exe" /spath="%USERPROFILE%\AppData\Local\Temp\OnboardLogs" /stypes="*4043*201701242*" /stext=" 23:.+((SYSTEM_STATE.+slice.+state.+changed )|(ment ac)|(multiple cpu faults)|(system.+state.+changed )|(\[timeout)|(PRM\|1\|D)|(kpr)|(kdp)|(\|lc)|(penalty))" /e /r /s</v>
      </c>
      <c r="U35" s="9" t="str">
        <f t="shared" si="2"/>
        <v>4043</v>
      </c>
      <c r="V35" s="33">
        <f t="shared" si="3"/>
        <v>42759.972708333327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{"issue":{"subject":"Early arrival","project_id":79,"tracker_id":40,"status_id":1,"priority_id":2,"assigned_to_id":23,"start_date":"2017-01-24","description":"","custom_fields":[{"id":1,"name":"Subdivision","value":"NW"},{"id":4,"name":"Milepost","value":"1.0988"},{"id":17,"name":"Train ID","value":"828-24"},{"id":16,"name":"Locomotive ID","value":"4043"},{"id":130,"name":"Impact","value":""},{"id":150,"name":"Time of Event (Mountain Time)","value":"16:20:42"},{"id":151,"name":"Denver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"%USERPROFILE%\AppData\Local\Temp\OnboardLogs"\RTDC4043\*4043*201701242*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"%USERPROFILE%\AppData\Local\Temp\OnboardLogs"\RTDC4043\*4043*201701242* &gt;&gt; 2017-01-24-SliceDisagreementCheck.txt</v>
      </c>
      <c r="AE35" s="180" t="str">
        <f t="shared" si="8"/>
        <v>start /low /b %USERPROFILE%\Documents\GitHub\eaglep3\Utilities\DownloadLogsFromS3.py --loco 4043 --day 2017-01-24</v>
      </c>
      <c r="AF35" s="1"/>
    </row>
    <row r="36" spans="1:32" x14ac:dyDescent="0.25">
      <c r="A36" s="33">
        <v>42759.325567129628</v>
      </c>
      <c r="B36" s="31" t="s">
        <v>272</v>
      </c>
      <c r="C36" s="31" t="s">
        <v>459</v>
      </c>
      <c r="D36" s="31" t="s">
        <v>49</v>
      </c>
      <c r="E36" s="31" t="s">
        <v>227</v>
      </c>
      <c r="F36" s="44">
        <v>300</v>
      </c>
      <c r="G36" s="44">
        <v>413</v>
      </c>
      <c r="H36" s="44">
        <v>24316</v>
      </c>
      <c r="I36" s="44">
        <v>23243</v>
      </c>
      <c r="J36" s="31" t="s">
        <v>228</v>
      </c>
      <c r="K36" s="44">
        <v>23561</v>
      </c>
      <c r="L36" s="150" t="s">
        <v>51</v>
      </c>
      <c r="M36" s="151">
        <f t="shared" si="0"/>
        <v>-167.904</v>
      </c>
      <c r="N36" s="152" t="str">
        <f>VLOOKUP(C36,'Trips&amp;Operators'!$C$1:$G$99999,5,FALSE)</f>
        <v>BROWN JACOB</v>
      </c>
      <c r="O36" s="176" t="s">
        <v>188</v>
      </c>
      <c r="P36" s="153"/>
      <c r="Q36" s="31"/>
      <c r="R36" s="96" t="str">
        <f>VLOOKUP(C36,'Train Runs'!$A$13:$AE$9978,31,0)</f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S36" s="99" t="str">
        <f>VLOOKUP(C36,'Train Runs'!$A$13:$AE$9978,22,0)</f>
        <v>https://d0f6bd738d7f1b3e5a7ca70fe4ff75f0.us-east-1.aws.found.io/app/kibana#/discover/Steve-Slow-Train-Analysis-(2080s-and-2083s)?_g=(refreshInterval:(display:Off,pause:!f,section:0,value:0),time:(from:'2017-01-24T06:37:46-0700',mode:absolute,to:'2017-01-24T08:56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6" s="101" t="str">
        <f t="shared" si="1"/>
        <v>"C:\Program Files (x86)\AstroGrep\AstroGrep.exe" /spath="%USERPROFILE%\AppData\Local\Temp\OnboardLogs" /stypes="*4039*201701241*" /stext=" 14:.+((SYSTEM_STATE.+slice.+state.+changed )|(ment ac)|(multiple cpu faults)|(system.+state.+changed )|(\[timeout)|(PRM\|1\|D)|(kpr)|(kdp)|(\|lc)|(penalty))" /e /r /s</v>
      </c>
      <c r="U36" s="9" t="str">
        <f t="shared" si="2"/>
        <v>4039</v>
      </c>
      <c r="V36" s="33">
        <f t="shared" si="3"/>
        <v>42759.617233796293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{"issue":{"subject":"","project_id":79,"tracker_id":40,"status_id":1,"priority_id":2,"assigned_to_id":23,"start_date":"2017-01-24","description":"","custom_fields":[{"id":1,"name":"Subdivision","value":"NW"},{"id":4,"name":"Milepost","value":"2.3561"},{"id":17,"name":"Train ID","value":"808-24"},{"id":16,"name":"Locomotive ID","value":"4039"},{"id":130,"name":"Impact","value":""},{"id":150,"name":"Time of Event (Mountain Time)","value":"07:48:49"},{"id":151,"name":"Denver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"%USERPROFILE%\AppData\Local\Temp\OnboardLogs"\RTDC4039\*4039*201701241*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"%USERPROFILE%\AppData\Local\Temp\OnboardLogs"\RTDC4039\*4039*201701241* &gt;&gt; 2017-01-24-SliceDisagreementCheck.txt</v>
      </c>
      <c r="AE36" s="180" t="str">
        <f t="shared" si="8"/>
        <v>start /low /b %USERPROFILE%\Documents\GitHub\eaglep3\Utilities\DownloadLogsFromS3.py --loco 4039 --day 2017-01-24</v>
      </c>
      <c r="AF36" s="1"/>
    </row>
    <row r="37" spans="1:32" x14ac:dyDescent="0.25">
      <c r="A37" s="33">
        <v>42759.908726851849</v>
      </c>
      <c r="B37" s="31" t="s">
        <v>383</v>
      </c>
      <c r="C37" s="31" t="s">
        <v>490</v>
      </c>
      <c r="D37" s="31" t="s">
        <v>98</v>
      </c>
      <c r="E37" s="31" t="s">
        <v>227</v>
      </c>
      <c r="F37" s="44">
        <v>400</v>
      </c>
      <c r="G37" s="44">
        <v>450</v>
      </c>
      <c r="H37" s="44">
        <v>38855</v>
      </c>
      <c r="I37" s="44">
        <v>37692</v>
      </c>
      <c r="J37" s="31" t="s">
        <v>228</v>
      </c>
      <c r="K37" s="44">
        <v>40977</v>
      </c>
      <c r="L37" s="150" t="s">
        <v>51</v>
      </c>
      <c r="M37" s="151">
        <f t="shared" si="0"/>
        <v>-1734.48</v>
      </c>
      <c r="N37" s="152" t="str">
        <f>VLOOKUP(C37,'Trips&amp;Operators'!$C$1:$G$99999,5,FALSE)</f>
        <v>HILLS DUSTIN</v>
      </c>
      <c r="O37" s="176" t="s">
        <v>188</v>
      </c>
      <c r="P37" s="153"/>
      <c r="Q37" s="31"/>
      <c r="R37" s="96" t="str">
        <f>VLOOKUP(C37,'Train Runs'!$A$13:$AE$9978,31,0)</f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S37" s="99" t="str">
        <f>VLOOKUP(C37,'Train Runs'!$A$13:$AE$9978,22,0)</f>
        <v>https://d0f6bd738d7f1b3e5a7ca70fe4ff75f0.us-east-1.aws.found.io/app/kibana#/discover/Steve-Slow-Train-Analysis-(2080s-and-2083s)?_g=(refreshInterval:(display:Off,pause:!f,section:0,value:0),time:(from:'2017-01-24T20:40:00-0700',mode:absolute,to:'2017-01-24T22:59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101" t="str">
        <f t="shared" si="1"/>
        <v>"C:\Program Files (x86)\AstroGrep\AstroGrep.exe" /spath="%USERPROFILE%\AppData\Local\Temp\OnboardLogs" /stypes="*4041*201701250*" /stext=" 04:.+((SYSTEM_STATE.+slice.+state.+changed )|(ment ac)|(multiple cpu faults)|(system.+state.+changed )|(\[timeout)|(PRM\|1\|D)|(kpr)|(kdp)|(\|lc)|(penalty))" /e /r /s</v>
      </c>
      <c r="U37" s="9" t="str">
        <f t="shared" si="2"/>
        <v>4041</v>
      </c>
      <c r="V37" s="33">
        <f t="shared" si="3"/>
        <v>42760.200393518513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{"issue":{"subject":"","project_id":79,"tracker_id":40,"status_id":1,"priority_id":2,"assigned_to_id":23,"start_date":"2017-01-24","description":"","custom_fields":[{"id":1,"name":"Subdivision","value":"NW"},{"id":4,"name":"Milepost","value":"4.0977"},{"id":17,"name":"Train ID","value":"844-24"},{"id":16,"name":"Locomotive ID","value":"4041"},{"id":130,"name":"Impact","value":""},{"id":150,"name":"Time of Event (Mountain Time)","value":"21:48:34"},{"id":151,"name":"Denver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"%USERPROFILE%\AppData\Local\Temp\OnboardLogs"\RTDC4041\*4041*201701250*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"%USERPROFILE%\AppData\Local\Temp\OnboardLogs"\RTDC4041\*4041*201701250* &gt;&gt; 2017-01-24-SliceDisagreementCheck.txt</v>
      </c>
      <c r="AE37" s="180" t="str">
        <f t="shared" si="8"/>
        <v>start /low /b %USERPROFILE%\Documents\GitHub\eaglep3\Utilities\DownloadLogsFromS3.py --loco 4041 --day 2017-01-25</v>
      </c>
      <c r="AF37" s="1"/>
    </row>
    <row r="38" spans="1:32" x14ac:dyDescent="0.25">
      <c r="A38" s="33">
        <v>42759.363495370373</v>
      </c>
      <c r="B38" s="31" t="s">
        <v>272</v>
      </c>
      <c r="C38" s="31" t="s">
        <v>460</v>
      </c>
      <c r="D38" s="31" t="s">
        <v>98</v>
      </c>
      <c r="E38" s="31" t="s">
        <v>227</v>
      </c>
      <c r="F38" s="44">
        <v>150</v>
      </c>
      <c r="G38" s="44">
        <v>208</v>
      </c>
      <c r="H38" s="44">
        <v>56931</v>
      </c>
      <c r="I38" s="44">
        <v>56602</v>
      </c>
      <c r="J38" s="31" t="s">
        <v>228</v>
      </c>
      <c r="K38" s="44">
        <v>59050</v>
      </c>
      <c r="L38" s="150" t="s">
        <v>51</v>
      </c>
      <c r="M38" s="151">
        <f t="shared" si="0"/>
        <v>-1292.5440000000001</v>
      </c>
      <c r="N38" s="152" t="str">
        <f>VLOOKUP(C38,'Trips&amp;Operators'!$C$1:$G$99999,5,FALSE)</f>
        <v>BROWN JACOB</v>
      </c>
      <c r="O38" s="176" t="s">
        <v>188</v>
      </c>
      <c r="P38" s="153"/>
      <c r="Q38" s="31"/>
      <c r="R38" s="96" t="str">
        <f>VLOOKUP(C38,'Train Runs'!$A$13:$AE$9978,31,0)</f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S38" s="99" t="str">
        <f>VLOOKUP(C38,'Train Runs'!$A$13:$AE$9978,22,0)</f>
        <v>https://d0f6bd738d7f1b3e5a7ca70fe4ff75f0.us-east-1.aws.found.io/app/kibana#/discover/Steve-Slow-Train-Analysis-(2080s-and-2083s)?_g=(refreshInterval:(display:Off,pause:!f,section:0,value:0),time:(from:'2017-01-24T07:37:17-0700',mode:absolute,to:'2017-01-24T09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8" s="101" t="str">
        <f t="shared" si="1"/>
        <v>"C:\Program Files (x86)\AstroGrep\AstroGrep.exe" /spath="%USERPROFILE%\AppData\Local\Temp\OnboardLogs" /stypes="*4039*201701241*" /stext=" 15:.+((SYSTEM_STATE.+slice.+state.+changed )|(ment ac)|(multiple cpu faults)|(system.+state.+changed )|(\[timeout)|(PRM\|1\|D)|(kpr)|(kdp)|(\|lc)|(penalty))" /e /r /s</v>
      </c>
      <c r="U38" s="9" t="str">
        <f t="shared" si="2"/>
        <v>4039</v>
      </c>
      <c r="V38" s="33">
        <f t="shared" si="3"/>
        <v>42759.655162037037</v>
      </c>
      <c r="W38" s="47" t="str">
        <f t="shared" si="4"/>
        <v>NW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{"issue":{"subject":"","project_id":79,"tracker_id":40,"status_id":1,"priority_id":2,"assigned_to_id":23,"start_date":"2017-01-24","description":"","custom_fields":[{"id":1,"name":"Subdivision","value":"NW"},{"id":4,"name":"Milepost","value":"5.905"},{"id":17,"name":"Train ID","value":"812-24"},{"id":16,"name":"Locomotive ID","value":"4039"},{"id":130,"name":"Impact","value":""},{"id":150,"name":"Time of Event (Mountain Time)","value":"08:43:26"},{"id":151,"name":"Denver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"%USERPROFILE%\AppData\Local\Temp\OnboardLogs"\RTDC4039\*4039*201701241*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"%USERPROFILE%\AppData\Local\Temp\OnboardLogs"\RTDC4039\*4039*201701241* &gt;&gt; 2017-01-24-SliceDisagreementCheck.txt</v>
      </c>
      <c r="AE38" s="180" t="str">
        <f t="shared" si="8"/>
        <v>start /low /b %USERPROFILE%\Documents\GitHub\eaglep3\Utilities\DownloadLogsFromS3.py --loco 4039 --day 2017-01-24</v>
      </c>
      <c r="AF38" s="1"/>
    </row>
    <row r="39" spans="1:32" x14ac:dyDescent="0.25">
      <c r="A39" s="33">
        <v>42759.746747685182</v>
      </c>
      <c r="B39" s="31" t="s">
        <v>305</v>
      </c>
      <c r="C39" s="31" t="s">
        <v>480</v>
      </c>
      <c r="D39" s="31" t="s">
        <v>98</v>
      </c>
      <c r="E39" s="31" t="s">
        <v>382</v>
      </c>
      <c r="F39" s="44">
        <v>100</v>
      </c>
      <c r="G39" s="44">
        <v>156</v>
      </c>
      <c r="H39" s="44">
        <v>11220</v>
      </c>
      <c r="I39" s="44">
        <v>11395</v>
      </c>
      <c r="J39" s="31" t="s">
        <v>207</v>
      </c>
      <c r="K39" s="44">
        <v>10701</v>
      </c>
      <c r="L39" s="150" t="s">
        <v>50</v>
      </c>
      <c r="M39" s="151">
        <f t="shared" ref="M39:M56" si="9">CONVERT((I39-K39)/10000,"mi","ft")*IF(L39="Increasing Mileposts (1)",-1,1)</f>
        <v>-366.43200000000002</v>
      </c>
      <c r="N39" s="152" t="str">
        <f>VLOOKUP(C39,'Trips&amp;Operators'!$C$1:$G$99999,5,FALSE)</f>
        <v>HILLS DUSTIN</v>
      </c>
      <c r="O39" s="176" t="s">
        <v>188</v>
      </c>
      <c r="P39" s="153"/>
      <c r="Q39" s="31"/>
      <c r="R39" s="96" t="str">
        <f>VLOOKUP(C39,'Train Runs'!$A$13:$AE$9978,31,0)</f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S39" s="99" t="str">
        <f>VLOOKUP(C39,'Train Runs'!$A$13:$AE$9978,22,0)</f>
        <v>https://d0f6bd738d7f1b3e5a7ca70fe4ff75f0.us-east-1.aws.found.io/app/kibana#/discover/Steve-Slow-Train-Analysis-(2080s-and-2083s)?_g=(refreshInterval:(display:Off,pause:!f,section:0,value:0),time:(from:'2017-01-24T16:28:01-0700',mode:absolute,to:'2017-01-24T19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9" s="101" t="str">
        <f t="shared" ref="T39:T56" si="10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/stypes="*4044*201701250*" /stext=" 00:.+((SYSTEM_STATE.+slice.+state.+changed )|(ment ac)|(multiple cpu faults)|(system.+state.+changed )|(\[timeout)|(PRM\|1\|D)|(kpr)|(kdp)|(\|lc)|(penalty))" /e /r /s</v>
      </c>
      <c r="U39" s="9" t="str">
        <f t="shared" ref="U39:U56" si="11">MID(B39,13,4)</f>
        <v>4044</v>
      </c>
      <c r="V39" s="33">
        <f t="shared" ref="V39:V56" si="12">A39-utc_offset/24</f>
        <v>42760.038414351846</v>
      </c>
      <c r="W39" s="47" t="str">
        <f t="shared" ref="W39:W56" si="13">IF(VALUE(LEFT(IF(LEN(C39)=6,"0"&amp;C39,C39),2))&lt;=2,"EC",IF(OR(VALUE(LEFT(IF(LEN(C39)=6,"0"&amp;C39,C39),2))=8,VALUE(LEFT(IF(LEN(C39)=6,"0"&amp;C39,C39),2))=18),"NW","Other"))</f>
        <v>NW</v>
      </c>
      <c r="X39" s="47" t="str">
        <f t="shared" ref="X39:X56" si="14">IF(AND(E39="TRACK WARRANT AUTHORITY",G39&lt;10),"OMIT","KEEP")</f>
        <v>KEEP</v>
      </c>
      <c r="Y39" s="115" t="str">
        <f t="shared" ref="Y39:Y56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{"issue":{"subject":"","project_id":79,"tracker_id":40,"status_id":1,"priority_id":2,"assigned_to_id":23,"start_date":"2017-01-24","description":"","custom_fields":[{"id":1,"name":"Subdivision","value":"NW"},{"id":4,"name":"Milepost","value":"1.0701"},{"id":17,"name":"Train ID","value":"835-24"},{"id":16,"name":"Locomotive ID","value":"4044"},{"id":130,"name":"Impact","value":""},{"id":150,"name":"Time of Event (Mountain Time)","value":"17:55:19"},{"id":151,"name":"Denver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ref="AC39:AC56" si="16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"%USERPROFILE%\AppData\Local\Temp\OnboardLogs"\RTDC4044\*4044*201701250*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"%USERPROFILE%\AppData\Local\Temp\OnboardLogs"\RTDC4044\*4044*201701250* &gt;&gt; 2017-01-24-SliceDisagreementCheck.txt</v>
      </c>
      <c r="AE39" s="180" t="str">
        <f t="shared" ref="AE39:AE56" si="17">"start /low /b "&amp;dls3logs&amp;" --loco "&amp;U39&amp;" --day "&amp;TEXT(V39,"YYYY-MM-DD")</f>
        <v>start /low /b %USERPROFILE%\Documents\GitHub\eaglep3\Utilities\DownloadLogsFromS3.py --loco 4044 --day 2017-01-25</v>
      </c>
      <c r="AF39" s="1"/>
    </row>
    <row r="40" spans="1:32" x14ac:dyDescent="0.25">
      <c r="A40" s="33">
        <v>42759.912499999999</v>
      </c>
      <c r="B40" s="31" t="s">
        <v>383</v>
      </c>
      <c r="C40" s="31" t="s">
        <v>490</v>
      </c>
      <c r="D40" s="31" t="s">
        <v>98</v>
      </c>
      <c r="E40" s="31" t="s">
        <v>382</v>
      </c>
      <c r="F40" s="44">
        <v>100</v>
      </c>
      <c r="G40" s="44">
        <v>150</v>
      </c>
      <c r="H40" s="44">
        <v>10392</v>
      </c>
      <c r="I40" s="44">
        <v>10128</v>
      </c>
      <c r="J40" s="31" t="s">
        <v>207</v>
      </c>
      <c r="K40" s="44">
        <v>11000</v>
      </c>
      <c r="L40" s="150" t="s">
        <v>51</v>
      </c>
      <c r="M40" s="151">
        <f t="shared" si="9"/>
        <v>-460.416</v>
      </c>
      <c r="N40" s="152" t="str">
        <f>VLOOKUP(C40,'Trips&amp;Operators'!$C$1:$G$99999,5,FALSE)</f>
        <v>HILLS DUSTIN</v>
      </c>
      <c r="O40" s="176" t="s">
        <v>188</v>
      </c>
      <c r="P40" s="153"/>
      <c r="Q40" s="31"/>
      <c r="R40" s="96" t="str">
        <f>VLOOKUP(C40,'Train Runs'!$A$13:$AE$9978,31,0)</f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S40" s="99" t="str">
        <f>VLOOKUP(C40,'Train Runs'!$A$13:$AE$9978,22,0)</f>
        <v>https://d0f6bd738d7f1b3e5a7ca70fe4ff75f0.us-east-1.aws.found.io/app/kibana#/discover/Steve-Slow-Train-Analysis-(2080s-and-2083s)?_g=(refreshInterval:(display:Off,pause:!f,section:0,value:0),time:(from:'2017-01-24T20:40:00-0700',mode:absolute,to:'2017-01-24T22:59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0" s="101" t="str">
        <f t="shared" si="10"/>
        <v>"C:\Program Files (x86)\AstroGrep\AstroGrep.exe" /spath="%USERPROFILE%\AppData\Local\Temp\OnboardLogs" /stypes="*4041*201701250*" /stext=" 04:.+((SYSTEM_STATE.+slice.+state.+changed )|(ment ac)|(multiple cpu faults)|(system.+state.+changed )|(\[timeout)|(PRM\|1\|D)|(kpr)|(kdp)|(\|lc)|(penalty))" /e /r /s</v>
      </c>
      <c r="U40" s="9" t="str">
        <f t="shared" si="11"/>
        <v>4041</v>
      </c>
      <c r="V40" s="33">
        <f t="shared" si="12"/>
        <v>42760.204166666663</v>
      </c>
      <c r="W40" s="47" t="str">
        <f t="shared" si="13"/>
        <v>NW</v>
      </c>
      <c r="X40" s="47" t="str">
        <f t="shared" si="14"/>
        <v>KEEP</v>
      </c>
      <c r="Y40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{"issue":{"subject":"","project_id":79,"tracker_id":40,"status_id":1,"priority_id":2,"assigned_to_id":23,"start_date":"2017-01-24","description":"","custom_fields":[{"id":1,"name":"Subdivision","value":"NW"},{"id":4,"name":"Milepost","value":"1.1"},{"id":17,"name":"Train ID","value":"844-24"},{"id":16,"name":"Locomotive ID","value":"4041"},{"id":130,"name":"Impact","value":""},{"id":150,"name":"Time of Event (Mountain Time)","value":"21:54:00"},{"id":151,"name":"Denver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16"/>
        <v>grep -hSE -A400 "Enforcement Action" "%USERPROFILE%\AppData\Local\Temp\OnboardLogs"\RTDC4041\*4041*201701250*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"%USERPROFILE%\AppData\Local\Temp\OnboardLogs"\RTDC4041\*4041*201701250* &gt;&gt; 2017-01-24-SliceDisagreementCheck.txt</v>
      </c>
      <c r="AE40" s="180" t="str">
        <f t="shared" si="17"/>
        <v>start /low /b %USERPROFILE%\Documents\GitHub\eaglep3\Utilities\DownloadLogsFromS3.py --loco 4041 --day 2017-01-25</v>
      </c>
      <c r="AF40" s="1"/>
    </row>
    <row r="41" spans="1:32" x14ac:dyDescent="0.25">
      <c r="A41" s="33">
        <v>42759.684999999998</v>
      </c>
      <c r="B41" s="31" t="s">
        <v>304</v>
      </c>
      <c r="C41" s="31" t="s">
        <v>476</v>
      </c>
      <c r="D41" s="31" t="s">
        <v>49</v>
      </c>
      <c r="E41" s="31" t="s">
        <v>191</v>
      </c>
      <c r="F41" s="44">
        <v>0</v>
      </c>
      <c r="G41" s="44">
        <v>63</v>
      </c>
      <c r="H41" s="44">
        <v>703</v>
      </c>
      <c r="I41" s="44">
        <v>647</v>
      </c>
      <c r="J41" s="31" t="s">
        <v>192</v>
      </c>
      <c r="K41" s="44">
        <v>575</v>
      </c>
      <c r="L41" s="150" t="s">
        <v>51</v>
      </c>
      <c r="M41" s="151">
        <f t="shared" si="9"/>
        <v>38.015999999999998</v>
      </c>
      <c r="N41" s="152" t="str">
        <f>VLOOKUP(C41,'Trips&amp;Operators'!$C$1:$G$99999,5,FALSE)</f>
        <v>HILLS DUSTIN</v>
      </c>
      <c r="O41" s="176" t="s">
        <v>188</v>
      </c>
      <c r="P41" s="153"/>
      <c r="Q41" s="31"/>
      <c r="R41" s="96" t="str">
        <f>VLOOKUP(C41,'Train Runs'!$A$13:$AE$9978,31,0)</f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S41" s="99" t="str">
        <f>VLOOKUP(C41,'Train Runs'!$A$13:$AE$9978,22,0)</f>
        <v>https://d0f6bd738d7f1b3e5a7ca70fe4ff75f0.us-east-1.aws.found.io/app/kibana#/discover/Steve-Slow-Train-Analysis-(2080s-and-2083s)?_g=(refreshInterval:(display:Off,pause:!f,section:0,value:0),time:(from:'2017-01-24T15:09:46-0700',mode:absolute,to:'2017-01-24T17:26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1" s="101" t="str">
        <f t="shared" si="10"/>
        <v>"C:\Program Files (x86)\AstroGrep\AstroGrep.exe" /spath="%USERPROFILE%\AppData\Local\Temp\OnboardLogs" /stypes="*4043*201701242*" /stext=" 23:.+((SYSTEM_STATE.+slice.+state.+changed )|(ment ac)|(multiple cpu faults)|(system.+state.+changed )|(\[timeout)|(PRM\|1\|D)|(kpr)|(kdp)|(\|lc)|(penalty))" /e /r /s</v>
      </c>
      <c r="U41" s="9" t="str">
        <f t="shared" si="11"/>
        <v>4043</v>
      </c>
      <c r="V41" s="33">
        <f t="shared" si="12"/>
        <v>42759.976666666662</v>
      </c>
      <c r="W41" s="47" t="str">
        <f t="shared" si="13"/>
        <v>NW</v>
      </c>
      <c r="X41" s="47" t="str">
        <f t="shared" si="14"/>
        <v>KEEP</v>
      </c>
      <c r="Y41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{"issue":{"subject":"","project_id":79,"tracker_id":40,"status_id":1,"priority_id":2,"assigned_to_id":23,"start_date":"2017-01-24","description":"","custom_fields":[{"id":1,"name":"Subdivision","value":"NW"},{"id":4,"name":"Milepost","value":"0.0575"},{"id":17,"name":"Train ID","value":"828-24"},{"id":16,"name":"Locomotive ID","value":"4043"},{"id":130,"name":"Impact","value":""},{"id":150,"name":"Time of Event (Mountain Time)","value":"16:26:24"},{"id":151,"name":"Denver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16"/>
        <v>grep -hSE -A400 "Enforcement Action" "%USERPROFILE%\AppData\Local\Temp\OnboardLogs"\RTDC4043\*4043*201701242*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"%USERPROFILE%\AppData\Local\Temp\OnboardLogs"\RTDC4043\*4043*201701242* &gt;&gt; 2017-01-24-SliceDisagreementCheck.txt</v>
      </c>
      <c r="AE41" s="180" t="str">
        <f t="shared" si="17"/>
        <v>start /low /b %USERPROFILE%\Documents\GitHub\eaglep3\Utilities\DownloadLogsFromS3.py --loco 4043 --day 2017-01-24</v>
      </c>
      <c r="AF41" s="1"/>
    </row>
    <row r="42" spans="1:32" x14ac:dyDescent="0.25">
      <c r="A42" s="33">
        <v>42759.768495370372</v>
      </c>
      <c r="B42" s="31" t="s">
        <v>304</v>
      </c>
      <c r="C42" s="31" t="s">
        <v>482</v>
      </c>
      <c r="D42" s="31" t="s">
        <v>49</v>
      </c>
      <c r="E42" s="31" t="s">
        <v>191</v>
      </c>
      <c r="F42" s="44">
        <v>0</v>
      </c>
      <c r="G42" s="44">
        <v>32</v>
      </c>
      <c r="H42" s="44">
        <v>631</v>
      </c>
      <c r="I42" s="44">
        <v>608</v>
      </c>
      <c r="J42" s="31" t="s">
        <v>192</v>
      </c>
      <c r="K42" s="44">
        <v>575</v>
      </c>
      <c r="L42" s="150" t="s">
        <v>51</v>
      </c>
      <c r="M42" s="151">
        <f t="shared" si="9"/>
        <v>17.423999999999999</v>
      </c>
      <c r="N42" s="152" t="str">
        <f>VLOOKUP(C42,'Trips&amp;Operators'!$C$1:$G$99999,5,FALSE)</f>
        <v>HILLS DUSTIN</v>
      </c>
      <c r="O42" s="176" t="s">
        <v>188</v>
      </c>
      <c r="P42" s="153"/>
      <c r="Q42" s="31"/>
      <c r="R42" s="96" t="str">
        <f>VLOOKUP(C42,'Train Runs'!$A$13:$AE$9978,31,0)</f>
        <v>aws s3 cp s3://rtdc.mdm.uploadarchive.raw/RTDC4043/ "%USERPROFILE%\AppData\Local\Temp\OnboardLogs"\RTDC4043\2017-01-24 --exclude "*" --recursive --include "*20170124*" &amp; "%USERPROFILE%\Documents\GitHub\mrs-test-scripts\Headless Mode &amp; Sideloading\WalkAndUnGZ.bat" "%USERPROFILE%\AppData\Local\Temp\OnboardLogs"\RTDC4043\2017-01-24 &amp; 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</v>
      </c>
      <c r="S42" s="99" t="str">
        <f>VLOOKUP(C42,'Train Runs'!$A$13:$AE$9978,22,0)</f>
        <v>https://d0f6bd738d7f1b3e5a7ca70fe4ff75f0.us-east-1.aws.found.io/app/kibana#/discover/Steve-Slow-Train-Analysis-(2080s-and-2083s)?_g=(refreshInterval:(display:Off,pause:!f,section:0,value:0),time:(from:'2017-01-24T17:10:14-0700',mode:absolute,to:'2017-01-24T19:26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2" s="101" t="str">
        <f t="shared" si="10"/>
        <v>"C:\Program Files (x86)\AstroGrep\AstroGrep.exe" /spath="%USERPROFILE%\AppData\Local\Temp\OnboardLogs" /stypes="*4043*201701250*" /stext=" 01:.+((SYSTEM_STATE.+slice.+state.+changed )|(ment ac)|(multiple cpu faults)|(system.+state.+changed )|(\[timeout)|(PRM\|1\|D)|(kpr)|(kdp)|(\|lc)|(penalty))" /e /r /s</v>
      </c>
      <c r="U42" s="9" t="str">
        <f t="shared" si="11"/>
        <v>4043</v>
      </c>
      <c r="V42" s="33">
        <f t="shared" si="12"/>
        <v>42760.060162037036</v>
      </c>
      <c r="W42" s="47" t="str">
        <f t="shared" si="13"/>
        <v>NW</v>
      </c>
      <c r="X42" s="47" t="str">
        <f t="shared" si="14"/>
        <v>KEEP</v>
      </c>
      <c r="Y42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{"issue":{"subject":"","project_id":79,"tracker_id":40,"status_id":1,"priority_id":2,"assigned_to_id":23,"start_date":"2017-01-24","description":"","custom_fields":[{"id":1,"name":"Subdivision","value":"NW"},{"id":4,"name":"Milepost","value":"0.0575"},{"id":17,"name":"Train ID","value":"836-24"},{"id":16,"name":"Locomotive ID","value":"4043"},{"id":130,"name":"Impact","value":""},{"id":150,"name":"Time of Event (Mountain Time)","value":"18:26:38"},{"id":151,"name":"Denver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 t="shared" si="16"/>
        <v>grep -hSE -A400 "Enforcement Action" "%USERPROFILE%\AppData\Local\Temp\OnboardLogs"\RTDC4043\*4043*201701250*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"%USERPROFILE%\AppData\Local\Temp\OnboardLogs"\RTDC4043\*4043*201701250* &gt;&gt; 2017-01-24-SliceDisagreementCheck.txt</v>
      </c>
      <c r="AE42" s="180" t="str">
        <f t="shared" si="17"/>
        <v>start /low /b %USERPROFILE%\Documents\GitHub\eaglep3\Utilities\DownloadLogsFromS3.py --loco 4043 --day 2017-01-25</v>
      </c>
      <c r="AF42" s="1"/>
    </row>
    <row r="43" spans="1:32" x14ac:dyDescent="0.25">
      <c r="A43" s="33">
        <v>42759.831631944442</v>
      </c>
      <c r="B43" s="31" t="s">
        <v>383</v>
      </c>
      <c r="C43" s="31" t="s">
        <v>486</v>
      </c>
      <c r="D43" s="31" t="s">
        <v>49</v>
      </c>
      <c r="E43" s="31" t="s">
        <v>191</v>
      </c>
      <c r="F43" s="44">
        <v>0</v>
      </c>
      <c r="G43" s="44">
        <v>55</v>
      </c>
      <c r="H43" s="44">
        <v>780</v>
      </c>
      <c r="I43" s="44">
        <v>736</v>
      </c>
      <c r="J43" s="31" t="s">
        <v>192</v>
      </c>
      <c r="K43" s="44">
        <v>575</v>
      </c>
      <c r="L43" s="150" t="s">
        <v>51</v>
      </c>
      <c r="M43" s="151">
        <f t="shared" si="9"/>
        <v>85.007999999999996</v>
      </c>
      <c r="N43" s="152" t="str">
        <f>VLOOKUP(C43,'Trips&amp;Operators'!$C$1:$G$99999,5,FALSE)</f>
        <v>LEVIN SCOTT</v>
      </c>
      <c r="O43" s="176" t="s">
        <v>188</v>
      </c>
      <c r="P43" s="153"/>
      <c r="Q43" s="31"/>
      <c r="R43" s="96" t="str">
        <f>VLOOKUP(C43,'Train Runs'!$A$13:$AE$9978,31,0)</f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S43" s="99" t="str">
        <f>VLOOKUP(C43,'Train Runs'!$A$13:$AE$9978,22,0)</f>
        <v>https://d0f6bd738d7f1b3e5a7ca70fe4ff75f0.us-east-1.aws.found.io/app/kibana#/discover/Steve-Slow-Train-Analysis-(2080s-and-2083s)?_g=(refreshInterval:(display:Off,pause:!f,section:0,value:0),time:(from:'2017-01-24T18:36:34-0700',mode:absolute,to:'2017-01-24T20:57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3" s="101" t="str">
        <f t="shared" si="10"/>
        <v>"C:\Program Files (x86)\AstroGrep\AstroGrep.exe" /spath="%USERPROFILE%\AppData\Local\Temp\OnboardLogs" /stypes="*4041*201701250*" /stext=" 02:.+((SYSTEM_STATE.+slice.+state.+changed )|(ment ac)|(multiple cpu faults)|(system.+state.+changed )|(\[timeout)|(PRM\|1\|D)|(kpr)|(kdp)|(\|lc)|(penalty))" /e /r /s</v>
      </c>
      <c r="U43" s="9" t="str">
        <f t="shared" si="11"/>
        <v>4041</v>
      </c>
      <c r="V43" s="33">
        <f t="shared" si="12"/>
        <v>42760.123298611106</v>
      </c>
      <c r="W43" s="47" t="str">
        <f t="shared" si="13"/>
        <v>NW</v>
      </c>
      <c r="X43" s="47" t="str">
        <f t="shared" si="14"/>
        <v>KEEP</v>
      </c>
      <c r="Y43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{"issue":{"subject":"","project_id":79,"tracker_id":40,"status_id":1,"priority_id":2,"assigned_to_id":23,"start_date":"2017-01-24","description":"","custom_fields":[{"id":1,"name":"Subdivision","value":"NW"},{"id":4,"name":"Milepost","value":"0.0575"},{"id":17,"name":"Train ID","value":"840-24"},{"id":16,"name":"Locomotive ID","value":"4041"},{"id":130,"name":"Impact","value":""},{"id":150,"name":"Time of Event (Mountain Time)","value":"19:57:33"},{"id":151,"name":"Denver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 t="shared" si="16"/>
        <v>grep -hSE -A400 "Enforcement Action" "%USERPROFILE%\AppData\Local\Temp\OnboardLogs"\RTDC4041\*4041*201701250*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"%USERPROFILE%\AppData\Local\Temp\OnboardLogs"\RTDC4041\*4041*201701250* &gt;&gt; 2017-01-24-SliceDisagreementCheck.txt</v>
      </c>
      <c r="AE43" s="180" t="str">
        <f t="shared" si="17"/>
        <v>start /low /b %USERPROFILE%\Documents\GitHub\eaglep3\Utilities\DownloadLogsFromS3.py --loco 4041 --day 2017-01-25</v>
      </c>
      <c r="AF43" s="1"/>
    </row>
    <row r="44" spans="1:32" x14ac:dyDescent="0.25">
      <c r="A44" s="33">
        <v>42759.915289351855</v>
      </c>
      <c r="B44" s="31" t="s">
        <v>383</v>
      </c>
      <c r="C44" s="31" t="s">
        <v>490</v>
      </c>
      <c r="D44" s="31" t="s">
        <v>49</v>
      </c>
      <c r="E44" s="31" t="s">
        <v>191</v>
      </c>
      <c r="F44" s="44">
        <v>0</v>
      </c>
      <c r="G44" s="44">
        <v>149</v>
      </c>
      <c r="H44" s="44">
        <v>1319</v>
      </c>
      <c r="I44" s="44">
        <v>1149</v>
      </c>
      <c r="J44" s="31" t="s">
        <v>192</v>
      </c>
      <c r="K44" s="44">
        <v>575</v>
      </c>
      <c r="L44" s="150" t="s">
        <v>51</v>
      </c>
      <c r="M44" s="151">
        <f t="shared" si="9"/>
        <v>303.072</v>
      </c>
      <c r="N44" s="152" t="str">
        <f>VLOOKUP(C44,'Trips&amp;Operators'!$C$1:$G$99999,5,FALSE)</f>
        <v>HILLS DUSTIN</v>
      </c>
      <c r="O44" s="176" t="s">
        <v>188</v>
      </c>
      <c r="P44" s="153"/>
      <c r="Q44" s="31"/>
      <c r="R44" s="96" t="str">
        <f>VLOOKUP(C44,'Train Runs'!$A$13:$AE$9978,31,0)</f>
        <v>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 &amp; 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</v>
      </c>
      <c r="S44" s="99" t="str">
        <f>VLOOKUP(C44,'Train Runs'!$A$13:$AE$9978,22,0)</f>
        <v>https://d0f6bd738d7f1b3e5a7ca70fe4ff75f0.us-east-1.aws.found.io/app/kibana#/discover/Steve-Slow-Train-Analysis-(2080s-and-2083s)?_g=(refreshInterval:(display:Off,pause:!f,section:0,value:0),time:(from:'2017-01-24T20:40:00-0700',mode:absolute,to:'2017-01-24T22:59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4" s="101" t="str">
        <f t="shared" si="10"/>
        <v>"C:\Program Files (x86)\AstroGrep\AstroGrep.exe" /spath="%USERPROFILE%\AppData\Local\Temp\OnboardLogs" /stypes="*4041*201701250*" /stext=" 04:.+((SYSTEM_STATE.+slice.+state.+changed )|(ment ac)|(multiple cpu faults)|(system.+state.+changed )|(\[timeout)|(PRM\|1\|D)|(kpr)|(kdp)|(\|lc)|(penalty))" /e /r /s</v>
      </c>
      <c r="U44" s="9" t="str">
        <f t="shared" si="11"/>
        <v>4041</v>
      </c>
      <c r="V44" s="33">
        <f t="shared" si="12"/>
        <v>42760.206956018519</v>
      </c>
      <c r="W44" s="47" t="str">
        <f t="shared" si="13"/>
        <v>NW</v>
      </c>
      <c r="X44" s="47" t="str">
        <f t="shared" si="14"/>
        <v>KEEP</v>
      </c>
      <c r="Y44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{"issue":{"subject":"","project_id":79,"tracker_id":40,"status_id":1,"priority_id":2,"assigned_to_id":23,"start_date":"2017-01-24","description":"","custom_fields":[{"id":1,"name":"Subdivision","value":"NW"},{"id":4,"name":"Milepost","value":"0.0575"},{"id":17,"name":"Train ID","value":"844-24"},{"id":16,"name":"Locomotive ID","value":"4041"},{"id":130,"name":"Impact","value":""},{"id":150,"name":"Time of Event (Mountain Time)","value":"21:58:01"},{"id":151,"name":"Denver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0"/>
      <c r="AA44" s="50"/>
      <c r="AB44" s="50"/>
      <c r="AC44" s="134" t="str">
        <f t="shared" si="16"/>
        <v>grep -hSE -A400 "Enforcement Action" "%USERPROFILE%\AppData\Local\Temp\OnboardLogs"\RTDC4041\*4041*201701250*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"%USERPROFILE%\AppData\Local\Temp\OnboardLogs"\RTDC4041\*4041*201701250* &gt;&gt; 2017-01-24-SliceDisagreementCheck.txt</v>
      </c>
      <c r="AE44" s="180" t="str">
        <f t="shared" si="17"/>
        <v>start /low /b %USERPROFILE%\Documents\GitHub\eaglep3\Utilities\DownloadLogsFromS3.py --loco 4041 --day 2017-01-25</v>
      </c>
      <c r="AF44" s="1"/>
    </row>
    <row r="45" spans="1:32" x14ac:dyDescent="0.25">
      <c r="A45" s="33">
        <v>42759.441874999997</v>
      </c>
      <c r="B45" s="31" t="s">
        <v>397</v>
      </c>
      <c r="C45" s="31" t="s">
        <v>464</v>
      </c>
      <c r="D45" s="31" t="s">
        <v>49</v>
      </c>
      <c r="E45" s="31" t="s">
        <v>191</v>
      </c>
      <c r="F45" s="44">
        <v>0</v>
      </c>
      <c r="G45" s="44">
        <v>37</v>
      </c>
      <c r="H45" s="44">
        <v>58976</v>
      </c>
      <c r="I45" s="44">
        <v>59003</v>
      </c>
      <c r="J45" s="31" t="s">
        <v>192</v>
      </c>
      <c r="K45" s="44">
        <v>59048</v>
      </c>
      <c r="L45" s="150" t="s">
        <v>50</v>
      </c>
      <c r="M45" s="151">
        <f t="shared" si="9"/>
        <v>23.76</v>
      </c>
      <c r="N45" s="152" t="str">
        <f>VLOOKUP(C45,'Trips&amp;Operators'!$C$1:$G$99999,5,FALSE)</f>
        <v>BROWN JACOB</v>
      </c>
      <c r="O45" s="176" t="s">
        <v>188</v>
      </c>
      <c r="P45" s="153"/>
      <c r="Q45" s="31"/>
      <c r="R45" s="96" t="str">
        <f>VLOOKUP(C45,'Train Runs'!$A$13:$AE$9978,31,0)</f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S45" s="99" t="str">
        <f>VLOOKUP(C45,'Train Runs'!$A$13:$AE$9978,22,0)</f>
        <v>https://d0f6bd738d7f1b3e5a7ca70fe4ff75f0.us-east-1.aws.found.io/app/kibana#/discover/Steve-Slow-Train-Analysis-(2080s-and-2083s)?_g=(refreshInterval:(display:Off,pause:!f,section:0,value:0),time:(from:'2017-01-24T09:10:12-0700',mode:absolute,to:'2017-01-24T11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5" s="101" t="str">
        <f t="shared" si="10"/>
        <v>"C:\Program Files (x86)\AstroGrep\AstroGrep.exe" /spath="%USERPROFILE%\AppData\Local\Temp\OnboardLogs" /stypes="*4042*201701241*" /stext=" 17:.+((SYSTEM_STATE.+slice.+state.+changed )|(ment ac)|(multiple cpu faults)|(system.+state.+changed )|(\[timeout)|(PRM\|1\|D)|(kpr)|(kdp)|(\|lc)|(penalty))" /e /r /s</v>
      </c>
      <c r="U45" s="9" t="str">
        <f t="shared" si="11"/>
        <v>4042</v>
      </c>
      <c r="V45" s="33">
        <f t="shared" si="12"/>
        <v>42759.733541666661</v>
      </c>
      <c r="W45" s="47" t="str">
        <f t="shared" si="13"/>
        <v>NW</v>
      </c>
      <c r="X45" s="47" t="str">
        <f t="shared" si="14"/>
        <v>KEEP</v>
      </c>
      <c r="Y45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{"issue":{"subject":"","project_id":79,"tracker_id":40,"status_id":1,"priority_id":2,"assigned_to_id":23,"start_date":"2017-01-24","description":"","custom_fields":[{"id":1,"name":"Subdivision","value":"NW"},{"id":4,"name":"Milepost","value":"5.9048"},{"id":17,"name":"Train ID","value":"815-24"},{"id":16,"name":"Locomotive ID","value":"4042"},{"id":130,"name":"Impact","value":""},{"id":150,"name":"Time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0"/>
      <c r="AA45" s="50"/>
      <c r="AB45" s="50"/>
      <c r="AC45" s="134" t="str">
        <f t="shared" si="16"/>
        <v>grep -hSE -A400 "Enforcement Action" "%USERPROFILE%\AppData\Local\Temp\OnboardLogs"\RTDC4042\*4042*201701241*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"%USERPROFILE%\AppData\Local\Temp\OnboardLogs"\RTDC4042\*4042*201701241* &gt;&gt; 2017-01-24-SliceDisagreementCheck.txt</v>
      </c>
      <c r="AE45" s="180" t="str">
        <f t="shared" si="17"/>
        <v>start /low /b %USERPROFILE%\Documents\GitHub\eaglep3\Utilities\DownloadLogsFromS3.py --loco 4042 --day 2017-01-24</v>
      </c>
      <c r="AF45" s="1"/>
    </row>
    <row r="46" spans="1:32" x14ac:dyDescent="0.25">
      <c r="A46" s="33">
        <v>42759.672025462962</v>
      </c>
      <c r="B46" s="31" t="s">
        <v>305</v>
      </c>
      <c r="C46" s="31" t="s">
        <v>475</v>
      </c>
      <c r="D46" s="31" t="s">
        <v>49</v>
      </c>
      <c r="E46" s="31" t="s">
        <v>191</v>
      </c>
      <c r="F46" s="44">
        <v>0</v>
      </c>
      <c r="G46" s="44">
        <v>36</v>
      </c>
      <c r="H46" s="44">
        <v>58990</v>
      </c>
      <c r="I46" s="44">
        <v>59022</v>
      </c>
      <c r="J46" s="31" t="s">
        <v>192</v>
      </c>
      <c r="K46" s="44">
        <v>59048</v>
      </c>
      <c r="L46" s="150" t="s">
        <v>50</v>
      </c>
      <c r="M46" s="151">
        <f t="shared" si="9"/>
        <v>13.728</v>
      </c>
      <c r="N46" s="152" t="str">
        <f>VLOOKUP(C46,'Trips&amp;Operators'!$C$1:$G$99999,5,FALSE)</f>
        <v>HILLS DUSTIN</v>
      </c>
      <c r="O46" s="176" t="s">
        <v>188</v>
      </c>
      <c r="P46" s="153"/>
      <c r="Q46" s="31"/>
      <c r="R46" s="96" t="str">
        <f>VLOOKUP(C46,'Train Runs'!$A$13:$AE$9978,31,0)</f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S46" s="99" t="str">
        <f>VLOOKUP(C46,'Train Runs'!$A$13:$AE$9978,22,0)</f>
        <v>https://d0f6bd738d7f1b3e5a7ca70fe4ff75f0.us-east-1.aws.found.io/app/kibana#/discover/Steve-Slow-Train-Analysis-(2080s-and-2083s)?_g=(refreshInterval:(display:Off,pause:!f,section:0,value:0),time:(from:'2017-01-24T14:38:14-0700',mode:absolute,to:'2017-01-24T17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6" s="101" t="str">
        <f t="shared" si="10"/>
        <v>"C:\Program Files (x86)\AstroGrep\AstroGrep.exe" /spath="%USERPROFILE%\AppData\Local\Temp\OnboardLogs" /stypes="*4044*201701242*" /stext=" 23:.+((SYSTEM_STATE.+slice.+state.+changed )|(ment ac)|(multiple cpu faults)|(system.+state.+changed )|(\[timeout)|(PRM\|1\|D)|(kpr)|(kdp)|(\|lc)|(penalty))" /e /r /s</v>
      </c>
      <c r="U46" s="9" t="str">
        <f t="shared" si="11"/>
        <v>4044</v>
      </c>
      <c r="V46" s="33">
        <f t="shared" si="12"/>
        <v>42759.963692129626</v>
      </c>
      <c r="W46" s="47" t="str">
        <f t="shared" si="13"/>
        <v>NW</v>
      </c>
      <c r="X46" s="47" t="str">
        <f t="shared" si="14"/>
        <v>KEEP</v>
      </c>
      <c r="Y46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{"issue":{"subject":"","project_id":79,"tracker_id":40,"status_id":1,"priority_id":2,"assigned_to_id":23,"start_date":"2017-01-24","description":"","custom_fields":[{"id":1,"name":"Subdivision","value":"NW"},{"id":4,"name":"Milepost","value":"5.9048"},{"id":17,"name":"Train ID","value":"827-24"},{"id":16,"name":"Locomotive ID","value":"4044"},{"id":130,"name":"Impact","value":""},{"id":150,"name":"Time of Event (Mountain Time)","value":"16:07:43"},{"id":151,"name":"Denver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0"/>
      <c r="AA46" s="50"/>
      <c r="AB46" s="50"/>
      <c r="AC46" s="134" t="str">
        <f t="shared" si="16"/>
        <v>grep -hSE -A400 "Enforcement Action" "%USERPROFILE%\AppData\Local\Temp\OnboardLogs"\RTDC4044\*4044*201701242*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"%USERPROFILE%\AppData\Local\Temp\OnboardLogs"\RTDC4044\*4044*201701242* &gt;&gt; 2017-01-24-SliceDisagreementCheck.txt</v>
      </c>
      <c r="AE46" s="180" t="str">
        <f t="shared" si="17"/>
        <v>start /low /b %USERPROFILE%\Documents\GitHub\eaglep3\Utilities\DownloadLogsFromS3.py --loco 4044 --day 2017-01-24</v>
      </c>
      <c r="AF46" s="1"/>
    </row>
    <row r="47" spans="1:32" x14ac:dyDescent="0.25">
      <c r="A47" s="33">
        <v>42759.755567129629</v>
      </c>
      <c r="B47" s="31" t="s">
        <v>305</v>
      </c>
      <c r="C47" s="31" t="s">
        <v>480</v>
      </c>
      <c r="D47" s="31" t="s">
        <v>49</v>
      </c>
      <c r="E47" s="31" t="s">
        <v>191</v>
      </c>
      <c r="F47" s="44">
        <v>0</v>
      </c>
      <c r="G47" s="44">
        <v>31</v>
      </c>
      <c r="H47" s="44">
        <v>58980</v>
      </c>
      <c r="I47" s="44">
        <v>59016</v>
      </c>
      <c r="J47" s="31" t="s">
        <v>192</v>
      </c>
      <c r="K47" s="44">
        <v>59048</v>
      </c>
      <c r="L47" s="150" t="s">
        <v>50</v>
      </c>
      <c r="M47" s="151">
        <f t="shared" si="9"/>
        <v>16.896000000000001</v>
      </c>
      <c r="N47" s="152" t="str">
        <f>VLOOKUP(C47,'Trips&amp;Operators'!$C$1:$G$99999,5,FALSE)</f>
        <v>HILLS DUSTIN</v>
      </c>
      <c r="O47" s="176" t="s">
        <v>188</v>
      </c>
      <c r="P47" s="153"/>
      <c r="Q47" s="31"/>
      <c r="R47" s="96" t="str">
        <f>VLOOKUP(C47,'Train Runs'!$A$13:$AE$9978,31,0)</f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S47" s="99" t="str">
        <f>VLOOKUP(C47,'Train Runs'!$A$13:$AE$9978,22,0)</f>
        <v>https://d0f6bd738d7f1b3e5a7ca70fe4ff75f0.us-east-1.aws.found.io/app/kibana#/discover/Steve-Slow-Train-Analysis-(2080s-and-2083s)?_g=(refreshInterval:(display:Off,pause:!f,section:0,value:0),time:(from:'2017-01-24T16:28:01-0700',mode:absolute,to:'2017-01-24T19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7" s="101" t="str">
        <f t="shared" si="10"/>
        <v>"C:\Program Files (x86)\AstroGrep\AstroGrep.exe" /spath="%USERPROFILE%\AppData\Local\Temp\OnboardLogs" /stypes="*4044*201701250*" /stext=" 01:.+((SYSTEM_STATE.+slice.+state.+changed )|(ment ac)|(multiple cpu faults)|(system.+state.+changed )|(\[timeout)|(PRM\|1\|D)|(kpr)|(kdp)|(\|lc)|(penalty))" /e /r /s</v>
      </c>
      <c r="U47" s="9" t="str">
        <f t="shared" si="11"/>
        <v>4044</v>
      </c>
      <c r="V47" s="33">
        <f t="shared" si="12"/>
        <v>42760.047233796293</v>
      </c>
      <c r="W47" s="47" t="str">
        <f t="shared" si="13"/>
        <v>NW</v>
      </c>
      <c r="X47" s="47" t="str">
        <f t="shared" si="14"/>
        <v>KEEP</v>
      </c>
      <c r="Y47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{"issue":{"subject":"","project_id":79,"tracker_id":40,"status_id":1,"priority_id":2,"assigned_to_id":23,"start_date":"2017-01-24","description":"","custom_fields":[{"id":1,"name":"Subdivision","value":"NW"},{"id":4,"name":"Milepost","value":"5.9048"},{"id":17,"name":"Train ID","value":"835-24"},{"id":16,"name":"Locomotive ID","value":"4044"},{"id":130,"name":"Impact","value":""},{"id":150,"name":"Time of Event (Mountain Time)","value":"18:08:01"},{"id":151,"name":"Denver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0"/>
      <c r="AA47" s="50"/>
      <c r="AB47" s="50"/>
      <c r="AC47" s="134" t="str">
        <f t="shared" si="16"/>
        <v>grep -hSE -A400 "Enforcement Action" "%USERPROFILE%\AppData\Local\Temp\OnboardLogs"\RTDC4044\*4044*201701250*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"%USERPROFILE%\AppData\Local\Temp\OnboardLogs"\RTDC4044\*4044*201701250* &gt;&gt; 2017-01-24-SliceDisagreementCheck.txt</v>
      </c>
      <c r="AE47" s="180" t="str">
        <f t="shared" si="17"/>
        <v>start /low /b %USERPROFILE%\Documents\GitHub\eaglep3\Utilities\DownloadLogsFromS3.py --loco 4044 --day 2017-01-25</v>
      </c>
      <c r="AF47" s="1"/>
    </row>
    <row r="48" spans="1:32" x14ac:dyDescent="0.25">
      <c r="A48" s="33">
        <v>42759.79582175926</v>
      </c>
      <c r="B48" s="31" t="s">
        <v>305</v>
      </c>
      <c r="C48" s="31" t="s">
        <v>484</v>
      </c>
      <c r="D48" s="31" t="s">
        <v>49</v>
      </c>
      <c r="E48" s="31" t="s">
        <v>191</v>
      </c>
      <c r="F48" s="44">
        <v>0</v>
      </c>
      <c r="G48" s="44">
        <v>61</v>
      </c>
      <c r="H48" s="44">
        <v>58858</v>
      </c>
      <c r="I48" s="44">
        <v>58905</v>
      </c>
      <c r="J48" s="31" t="s">
        <v>192</v>
      </c>
      <c r="K48" s="44">
        <v>59048</v>
      </c>
      <c r="L48" s="150" t="s">
        <v>50</v>
      </c>
      <c r="M48" s="151">
        <f t="shared" si="9"/>
        <v>75.504000000000005</v>
      </c>
      <c r="N48" s="152" t="str">
        <f>VLOOKUP(C48,'Trips&amp;Operators'!$C$1:$G$99999,5,FALSE)</f>
        <v>HILLS DUSTIN</v>
      </c>
      <c r="O48" s="176" t="s">
        <v>188</v>
      </c>
      <c r="P48" s="153"/>
      <c r="Q48" s="31"/>
      <c r="R48" s="96" t="str">
        <f>VLOOKUP(C48,'Train Runs'!$A$13:$AE$9978,31,0)</f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S48" s="99" t="str">
        <f>VLOOKUP(C48,'Train Runs'!$A$13:$AE$9978,22,0)</f>
        <v>https://d0f6bd738d7f1b3e5a7ca70fe4ff75f0.us-east-1.aws.found.io/app/kibana#/discover/Steve-Slow-Train-Analysis-(2080s-and-2083s)?_g=(refreshInterval:(display:Off,pause:!f,section:0,value:0),time:(from:'2017-01-24T17:28:36-0700',mode:absolute,to:'2017-01-24T20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8" s="101" t="str">
        <f t="shared" si="10"/>
        <v>"C:\Program Files (x86)\AstroGrep\AstroGrep.exe" /spath="%USERPROFILE%\AppData\Local\Temp\OnboardLogs" /stypes="*4044*201701250*" /stext=" 02:.+((SYSTEM_STATE.+slice.+state.+changed )|(ment ac)|(multiple cpu faults)|(system.+state.+changed )|(\[timeout)|(PRM\|1\|D)|(kpr)|(kdp)|(\|lc)|(penalty))" /e /r /s</v>
      </c>
      <c r="U48" s="9" t="str">
        <f t="shared" si="11"/>
        <v>4044</v>
      </c>
      <c r="V48" s="33">
        <f t="shared" si="12"/>
        <v>42760.087488425925</v>
      </c>
      <c r="W48" s="47" t="str">
        <f t="shared" si="13"/>
        <v>NW</v>
      </c>
      <c r="X48" s="47" t="str">
        <f t="shared" si="14"/>
        <v>KEEP</v>
      </c>
      <c r="Y48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{"issue":{"subject":"","project_id":79,"tracker_id":40,"status_id":1,"priority_id":2,"assigned_to_id":23,"start_date":"2017-01-24","description":"","custom_fields":[{"id":1,"name":"Subdivision","value":"NW"},{"id":4,"name":"Milepost","value":"5.9048"},{"id":17,"name":"Train ID","value":"839-24"},{"id":16,"name":"Locomotive ID","value":"4044"},{"id":130,"name":"Impact","value":""},{"id":150,"name":"Time of Event (Mountain Time)","value":"19:05:59"},{"id":151,"name":"Denver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0"/>
      <c r="AA48" s="50"/>
      <c r="AB48" s="50"/>
      <c r="AC48" s="134" t="str">
        <f t="shared" si="16"/>
        <v>grep -hSE -A400 "Enforcement Action" "%USERPROFILE%\AppData\Local\Temp\OnboardLogs"\RTDC4044\*4044*201701250*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"%USERPROFILE%\AppData\Local\Temp\OnboardLogs"\RTDC4044\*4044*201701250* &gt;&gt; 2017-01-24-SliceDisagreementCheck.txt</v>
      </c>
      <c r="AE48" s="180" t="str">
        <f t="shared" si="17"/>
        <v>start /low /b %USERPROFILE%\Documents\GitHub\eaglep3\Utilities\DownloadLogsFromS3.py --loco 4044 --day 2017-01-25</v>
      </c>
      <c r="AF48" s="1"/>
    </row>
    <row r="49" spans="1:32" x14ac:dyDescent="0.25">
      <c r="A49" s="33">
        <v>42759.796493055554</v>
      </c>
      <c r="B49" s="31" t="s">
        <v>305</v>
      </c>
      <c r="C49" s="31" t="s">
        <v>484</v>
      </c>
      <c r="D49" s="31" t="s">
        <v>49</v>
      </c>
      <c r="E49" s="31" t="s">
        <v>191</v>
      </c>
      <c r="F49" s="44">
        <v>0</v>
      </c>
      <c r="G49" s="44">
        <v>7</v>
      </c>
      <c r="H49" s="44">
        <v>59037</v>
      </c>
      <c r="I49" s="44">
        <v>59037</v>
      </c>
      <c r="J49" s="31" t="s">
        <v>192</v>
      </c>
      <c r="K49" s="44">
        <v>59048</v>
      </c>
      <c r="L49" s="150" t="s">
        <v>50</v>
      </c>
      <c r="M49" s="151">
        <f t="shared" si="9"/>
        <v>5.8079999999999998</v>
      </c>
      <c r="N49" s="152" t="str">
        <f>VLOOKUP(C49,'Trips&amp;Operators'!$C$1:$G$99999,5,FALSE)</f>
        <v>HILLS DUSTIN</v>
      </c>
      <c r="O49" s="176" t="s">
        <v>188</v>
      </c>
      <c r="P49" s="153"/>
      <c r="Q49" s="31"/>
      <c r="R49" s="96" t="str">
        <f>VLOOKUP(C49,'Train Runs'!$A$13:$AE$9978,31,0)</f>
        <v>aws s3 cp s3://rtdc.mdm.uploadarchive.raw/RTDC4044/ "%USERPROFILE%\AppData\Local\Temp\OnboardLogs"\RTDC4044\2017-01-24 --exclude "*" --recursive --include "*20170124*" &amp; "%USERPROFILE%\Documents\GitHub\mrs-test-scripts\Headless Mode &amp; Sideloading\WalkAndUnGZ.bat" "%USERPROFILE%\AppData\Local\Temp\OnboardLogs"\RTDC4044\2017-01-24 &amp; 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</v>
      </c>
      <c r="S49" s="99" t="str">
        <f>VLOOKUP(C49,'Train Runs'!$A$13:$AE$9978,22,0)</f>
        <v>https://d0f6bd738d7f1b3e5a7ca70fe4ff75f0.us-east-1.aws.found.io/app/kibana#/discover/Steve-Slow-Train-Analysis-(2080s-and-2083s)?_g=(refreshInterval:(display:Off,pause:!f,section:0,value:0),time:(from:'2017-01-24T17:28:36-0700',mode:absolute,to:'2017-01-24T20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9" s="101" t="str">
        <f t="shared" si="10"/>
        <v>"C:\Program Files (x86)\AstroGrep\AstroGrep.exe" /spath="%USERPROFILE%\AppData\Local\Temp\OnboardLogs" /stypes="*4044*201701250*" /stext=" 02:.+((SYSTEM_STATE.+slice.+state.+changed )|(ment ac)|(multiple cpu faults)|(system.+state.+changed )|(\[timeout)|(PRM\|1\|D)|(kpr)|(kdp)|(\|lc)|(penalty))" /e /r /s</v>
      </c>
      <c r="U49" s="9" t="str">
        <f t="shared" si="11"/>
        <v>4044</v>
      </c>
      <c r="V49" s="33">
        <f t="shared" si="12"/>
        <v>42760.088159722218</v>
      </c>
      <c r="W49" s="47" t="str">
        <f t="shared" si="13"/>
        <v>NW</v>
      </c>
      <c r="X49" s="47" t="str">
        <f t="shared" si="14"/>
        <v>OMIT</v>
      </c>
      <c r="Y49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{"issue":{"subject":"","project_id":79,"tracker_id":40,"status_id":1,"priority_id":2,"assigned_to_id":23,"start_date":"2017-01-24","description":"","custom_fields":[{"id":1,"name":"Subdivision","value":"NW"},{"id":4,"name":"Milepost","value":"5.9048"},{"id":17,"name":"Train ID","value":"839-24"},{"id":16,"name":"Locomotive ID","value":"4044"},{"id":130,"name":"Impact","value":""},{"id":150,"name":"Time of Event (Mountain Time)","value":"19:06:57"},{"id":151,"name":"Denver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0"/>
      <c r="AA49" s="50"/>
      <c r="AB49" s="50"/>
      <c r="AC49" s="134" t="str">
        <f t="shared" si="16"/>
        <v>grep -hSE -A400 "Enforcement Action" "%USERPROFILE%\AppData\Local\Temp\OnboardLogs"\RTDC4044\*4044*201701250*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"%USERPROFILE%\AppData\Local\Temp\OnboardLogs"\RTDC4044\*4044*201701250* &gt;&gt; 2017-01-24-SliceDisagreementCheck.txt</v>
      </c>
      <c r="AE49" s="180" t="str">
        <f t="shared" si="17"/>
        <v>start /low /b %USERPROFILE%\Documents\GitHub\eaglep3\Utilities\DownloadLogsFromS3.py --loco 4044 --day 2017-01-25</v>
      </c>
      <c r="AF49" s="1"/>
    </row>
    <row r="50" spans="1:32" x14ac:dyDescent="0.25">
      <c r="A50" s="33">
        <v>42759.815972222219</v>
      </c>
      <c r="B50" s="31" t="s">
        <v>397</v>
      </c>
      <c r="C50" s="31" t="s">
        <v>485</v>
      </c>
      <c r="D50" s="31" t="s">
        <v>49</v>
      </c>
      <c r="E50" s="31" t="s">
        <v>191</v>
      </c>
      <c r="F50" s="44">
        <v>0</v>
      </c>
      <c r="G50" s="44">
        <v>50</v>
      </c>
      <c r="H50" s="44">
        <v>58920</v>
      </c>
      <c r="I50" s="44">
        <v>58960</v>
      </c>
      <c r="J50" s="31" t="s">
        <v>192</v>
      </c>
      <c r="K50" s="44">
        <v>59048</v>
      </c>
      <c r="L50" s="150" t="s">
        <v>50</v>
      </c>
      <c r="M50" s="151">
        <f t="shared" si="9"/>
        <v>46.463999999999999</v>
      </c>
      <c r="N50" s="152" t="str">
        <f>VLOOKUP(C50,'Trips&amp;Operators'!$C$1:$G$99999,5,FALSE)</f>
        <v>LEVIN SCOTT</v>
      </c>
      <c r="O50" s="176" t="s">
        <v>188</v>
      </c>
      <c r="P50" s="153"/>
      <c r="Q50" s="31"/>
      <c r="R50" s="96" t="str">
        <f>VLOOKUP(C50,'Train Runs'!$A$13:$AE$9978,31,0)</f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S50" s="99" t="str">
        <f>VLOOKUP(C50,'Train Runs'!$A$13:$AE$9978,22,0)</f>
        <v>https://d0f6bd738d7f1b3e5a7ca70fe4ff75f0.us-east-1.aws.found.io/app/kibana#/discover/Steve-Slow-Train-Analysis-(2080s-and-2083s)?_g=(refreshInterval:(display:Off,pause:!f,section:0,value:0),time:(from:'2017-01-24T18:16:53-0700',mode:absolute,to:'2017-01-24T20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0" s="101" t="str">
        <f t="shared" si="10"/>
        <v>"C:\Program Files (x86)\AstroGrep\AstroGrep.exe" /spath="%USERPROFILE%\AppData\Local\Temp\OnboardLogs" /stypes="*4042*201701250*" /stext=" 02:.+((SYSTEM_STATE.+slice.+state.+changed )|(ment ac)|(multiple cpu faults)|(system.+state.+changed )|(\[timeout)|(PRM\|1\|D)|(kpr)|(kdp)|(\|lc)|(penalty))" /e /r /s</v>
      </c>
      <c r="U50" s="9" t="str">
        <f t="shared" si="11"/>
        <v>4042</v>
      </c>
      <c r="V50" s="33">
        <f t="shared" si="12"/>
        <v>42760.107638888883</v>
      </c>
      <c r="W50" s="47" t="str">
        <f t="shared" si="13"/>
        <v>NW</v>
      </c>
      <c r="X50" s="47" t="str">
        <f t="shared" si="14"/>
        <v>KEEP</v>
      </c>
      <c r="Y50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{"issue":{"subject":"","project_id":79,"tracker_id":40,"status_id":1,"priority_id":2,"assigned_to_id":23,"start_date":"2017-01-24","description":"","custom_fields":[{"id":1,"name":"Subdivision","value":"NW"},{"id":4,"name":"Milepost","value":"5.9048"},{"id":17,"name":"Train ID","value":"841-24"},{"id":16,"name":"Locomotive ID","value":"4042"},{"id":130,"name":"Impact","value":""},{"id":150,"name":"Time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0"/>
      <c r="AA50" s="50"/>
      <c r="AB50" s="50"/>
      <c r="AC50" s="134" t="str">
        <f t="shared" si="16"/>
        <v>grep -hSE -A400 "Enforcement Action" "%USERPROFILE%\AppData\Local\Temp\OnboardLogs"\RTDC4042\*4042*201701250*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"%USERPROFILE%\AppData\Local\Temp\OnboardLogs"\RTDC4042\*4042*201701250* &gt;&gt; 2017-01-24-SliceDisagreementCheck.txt</v>
      </c>
      <c r="AE50" s="180" t="str">
        <f t="shared" si="17"/>
        <v>start /low /b %USERPROFILE%\Documents\GitHub\eaglep3\Utilities\DownloadLogsFromS3.py --loco 4042 --day 2017-01-25</v>
      </c>
      <c r="AF50" s="1"/>
    </row>
    <row r="51" spans="1:32" x14ac:dyDescent="0.25">
      <c r="A51" s="33">
        <v>42759.90016203704</v>
      </c>
      <c r="B51" s="31" t="s">
        <v>397</v>
      </c>
      <c r="C51" s="31" t="s">
        <v>489</v>
      </c>
      <c r="D51" s="31" t="s">
        <v>49</v>
      </c>
      <c r="E51" s="31" t="s">
        <v>191</v>
      </c>
      <c r="F51" s="44">
        <v>0</v>
      </c>
      <c r="G51" s="44">
        <v>57</v>
      </c>
      <c r="H51" s="44">
        <v>58880</v>
      </c>
      <c r="I51" s="44">
        <v>58943</v>
      </c>
      <c r="J51" s="31" t="s">
        <v>192</v>
      </c>
      <c r="K51" s="44">
        <v>59048</v>
      </c>
      <c r="L51" s="150" t="s">
        <v>50</v>
      </c>
      <c r="M51" s="151">
        <f t="shared" si="9"/>
        <v>55.44</v>
      </c>
      <c r="N51" s="152" t="str">
        <f>VLOOKUP(C51,'Trips&amp;Operators'!$C$1:$G$99999,5,FALSE)</f>
        <v>HILLS DUSTIN</v>
      </c>
      <c r="O51" s="176" t="s">
        <v>188</v>
      </c>
      <c r="P51" s="153"/>
      <c r="Q51" s="31"/>
      <c r="R51" s="96" t="str">
        <f>VLOOKUP(C51,'Train Runs'!$A$13:$AE$9978,31,0)</f>
        <v>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 &amp; 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</v>
      </c>
      <c r="S51" s="99" t="str">
        <f>VLOOKUP(C51,'Train Runs'!$A$13:$AE$9978,22,0)</f>
        <v>https://d0f6bd738d7f1b3e5a7ca70fe4ff75f0.us-east-1.aws.found.io/app/kibana#/discover/Steve-Slow-Train-Analysis-(2080s-and-2083s)?_g=(refreshInterval:(display:Off,pause:!f,section:0,value:0),time:(from:'2017-01-24T20:01:52-0700',mode:absolute,to:'2017-01-24T22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1" s="101" t="str">
        <f t="shared" si="10"/>
        <v>"C:\Program Files (x86)\AstroGrep\AstroGrep.exe" /spath="%USERPROFILE%\AppData\Local\Temp\OnboardLogs" /stypes="*4042*201701250*" /stext=" 04:.+((SYSTEM_STATE.+slice.+state.+changed )|(ment ac)|(multiple cpu faults)|(system.+state.+changed )|(\[timeout)|(PRM\|1\|D)|(kpr)|(kdp)|(\|lc)|(penalty))" /e /r /s</v>
      </c>
      <c r="U51" s="9" t="str">
        <f t="shared" si="11"/>
        <v>4042</v>
      </c>
      <c r="V51" s="33">
        <f t="shared" si="12"/>
        <v>42760.191828703704</v>
      </c>
      <c r="W51" s="47" t="str">
        <f t="shared" si="13"/>
        <v>NW</v>
      </c>
      <c r="X51" s="47" t="str">
        <f t="shared" si="14"/>
        <v>KEEP</v>
      </c>
      <c r="Y51" s="115" t="str">
        <f t="shared" si="15"/>
        <v>echo {"issue":{"subject":"","project_id":79,"tracker_id":40,"status_id":1,"priority_id":2,"assigned_to_id":23,"start_date":"2017-01-24","description":"","custom_fields":[{"id":1,"name":"Subdivision","value":"NW"},{"id":4,"name":"Milepost","value":"5.9048"},{"id":17,"name":"Train ID","value":"845-24"},{"id":16,"name":"Locomotive ID","value":"4042"},{"id":130,"name":"Impact","value":""},{"id":150,"name":"Time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0"/>
      <c r="AA51" s="50"/>
      <c r="AB51" s="50"/>
      <c r="AC51" s="134" t="str">
        <f t="shared" si="16"/>
        <v>grep -hSE -A400 "Enforcement Action" "%USERPROFILE%\AppData\Local\Temp\OnboardLogs"\RTDC4042\*4042*201701250*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"%USERPROFILE%\AppData\Local\Temp\OnboardLogs"\RTDC4042\*4042*201701250* &gt;&gt; 2017-01-24-SliceDisagreementCheck.txt</v>
      </c>
      <c r="AE51" s="180" t="str">
        <f t="shared" si="17"/>
        <v>start /low /b %USERPROFILE%\Documents\GitHub\eaglep3\Utilities\DownloadLogsFromS3.py --loco 4042 --day 2017-01-25</v>
      </c>
      <c r="AF51" s="1"/>
    </row>
    <row r="52" spans="1:32" x14ac:dyDescent="0.25">
      <c r="A52" s="33">
        <v>42759.473645833335</v>
      </c>
      <c r="B52" s="31" t="s">
        <v>261</v>
      </c>
      <c r="C52" s="31" t="s">
        <v>466</v>
      </c>
      <c r="D52" s="31" t="s">
        <v>98</v>
      </c>
      <c r="E52" s="31" t="s">
        <v>227</v>
      </c>
      <c r="F52" s="44">
        <v>150</v>
      </c>
      <c r="G52" s="44">
        <v>201</v>
      </c>
      <c r="H52" s="44">
        <v>5169</v>
      </c>
      <c r="I52" s="44">
        <v>5518</v>
      </c>
      <c r="J52" s="31" t="s">
        <v>228</v>
      </c>
      <c r="K52" s="44">
        <v>0</v>
      </c>
      <c r="L52" s="150" t="s">
        <v>50</v>
      </c>
      <c r="M52" s="151">
        <f t="shared" si="9"/>
        <v>-2913.5039999999999</v>
      </c>
      <c r="N52" s="152" t="str">
        <f>VLOOKUP(C52,'Trips&amp;Operators'!$C$1:$G$99999,5,FALSE)</f>
        <v>YOUNG ELIZABETH</v>
      </c>
      <c r="O52" s="176" t="s">
        <v>188</v>
      </c>
      <c r="P52" s="153"/>
      <c r="Q52" s="31"/>
      <c r="R52" s="96" t="e">
        <f>VLOOKUP(C52,'Train Runs'!$A$13:$AE$9978,31,0)</f>
        <v>#N/A</v>
      </c>
      <c r="S52" s="99" t="e">
        <f>VLOOKUP(C52,'Train Runs'!$A$13:$AE$9978,22,0)</f>
        <v>#N/A</v>
      </c>
      <c r="T52" s="101" t="str">
        <f t="shared" si="10"/>
        <v>"C:\Program Files (x86)\AstroGrep\AstroGrep.exe" /spath="%USERPROFILE%\AppData\Local\Temp\OnboardLogs" /stypes="*4029*201701241*" /stext=" 18:.+((SYSTEM_STATE.+slice.+state.+changed )|(ment ac)|(multiple cpu faults)|(system.+state.+changed )|(\[timeout)|(PRM\|1\|D)|(kpr)|(kdp)|(\|lc)|(penalty))" /e /r /s</v>
      </c>
      <c r="U52" s="9" t="str">
        <f t="shared" si="11"/>
        <v>4029</v>
      </c>
      <c r="V52" s="33">
        <f t="shared" si="12"/>
        <v>42759.7653125</v>
      </c>
      <c r="W52" s="47" t="str">
        <f t="shared" si="13"/>
        <v>Other</v>
      </c>
      <c r="X52" s="47" t="str">
        <f t="shared" si="14"/>
        <v>KEEP</v>
      </c>
      <c r="Y52" s="115" t="str">
        <f t="shared" si="15"/>
        <v>echo {"issue":{"subject":"","project_id":79,"tracker_id":40,"status_id":1,"priority_id":2,"assigned_to_id":23,"start_date":"2017-01-24","description":"","custom_fields":[{"id":1,"name":"Subdivision","value":"Other"},{"id":4,"name":"Milepost","value":"0"},{"id":17,"name":"Train ID","value":"51-24"},{"id":16,"name":"Locomotive ID","value":"4029"},{"id":130,"name":"Impact","value":""},{"id":150,"name":"Time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0"/>
      <c r="AA52" s="50"/>
      <c r="AB52" s="50"/>
      <c r="AC52" s="134" t="str">
        <f t="shared" si="16"/>
        <v>grep -hSE -A400 "Enforcement Action" "%USERPROFILE%\AppData\Local\Temp\OnboardLogs"\RTDC4029\*4029*201701241*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"%USERPROFILE%\AppData\Local\Temp\OnboardLogs"\RTDC4029\*4029*201701241* &gt;&gt; 2017-01-24-SliceDisagreementCheck.txt</v>
      </c>
      <c r="AE52" s="180" t="str">
        <f t="shared" si="17"/>
        <v>start /low /b %USERPROFILE%\Documents\GitHub\eaglep3\Utilities\DownloadLogsFromS3.py --loco 4029 --day 2017-01-24</v>
      </c>
      <c r="AF52" s="1"/>
    </row>
    <row r="53" spans="1:32" x14ac:dyDescent="0.25">
      <c r="A53" s="33">
        <v>42759.249756944446</v>
      </c>
      <c r="B53" s="31" t="s">
        <v>272</v>
      </c>
      <c r="C53" s="31" t="s">
        <v>456</v>
      </c>
      <c r="D53" s="31" t="s">
        <v>49</v>
      </c>
      <c r="E53" s="31" t="s">
        <v>191</v>
      </c>
      <c r="F53" s="44">
        <v>0</v>
      </c>
      <c r="G53" s="44">
        <v>157</v>
      </c>
      <c r="H53" s="44">
        <v>1221</v>
      </c>
      <c r="I53" s="44">
        <v>1051</v>
      </c>
      <c r="J53" s="31" t="s">
        <v>192</v>
      </c>
      <c r="K53" s="44">
        <v>575</v>
      </c>
      <c r="L53" s="150" t="s">
        <v>51</v>
      </c>
      <c r="M53" s="151">
        <f t="shared" si="9"/>
        <v>251.328</v>
      </c>
      <c r="N53" s="152" t="str">
        <f>VLOOKUP(C53,'Trips&amp;Operators'!$C$1:$G$99999,5,FALSE)</f>
        <v>BROWN JACOB</v>
      </c>
      <c r="O53" s="176" t="s">
        <v>188</v>
      </c>
      <c r="P53" s="153"/>
      <c r="Q53" s="31"/>
      <c r="R53" s="96" t="str">
        <f>VLOOKUP(C53,'Train Runs'!$A$13:$AE$9978,31,0)</f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S53" s="99" t="str">
        <f>VLOOKUP(C53,'Train Runs'!$A$13:$AE$9978,22,0)</f>
        <v>https://d0f6bd738d7f1b3e5a7ca70fe4ff75f0.us-east-1.aws.found.io/app/kibana#/discover/Steve-Slow-Train-Analysis-(2080s-and-2083s)?_g=(refreshInterval:(display:Off,pause:!f,section:0,value:0),time:(from:'2017-01-24T04:43:39-0700',mode:absolute,to:'2017-01-24T06:59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53" s="101" t="str">
        <f t="shared" si="10"/>
        <v>"C:\Program Files (x86)\AstroGrep\AstroGrep.exe" /spath="%USERPROFILE%\AppData\Local\Temp\OnboardLogs" /stypes="*4039*201701241*" /stext=" 12:.+((SYSTEM_STATE.+slice.+state.+changed )|(ment ac)|(multiple cpu faults)|(system.+state.+changed )|(\[timeout)|(PRM\|1\|D)|(kpr)|(kdp)|(\|lc)|(penalty))" /e /r /s</v>
      </c>
      <c r="U53" s="9" t="str">
        <f t="shared" si="11"/>
        <v>4039</v>
      </c>
      <c r="V53" s="33">
        <f t="shared" si="12"/>
        <v>42759.54142361111</v>
      </c>
      <c r="W53" s="47" t="str">
        <f t="shared" si="13"/>
        <v>Other</v>
      </c>
      <c r="X53" s="47" t="str">
        <f t="shared" si="14"/>
        <v>KEEP</v>
      </c>
      <c r="Y53" s="115" t="str">
        <f t="shared" si="15"/>
        <v>echo {"issue":{"subject":"","project_id":79,"tracker_id":40,"status_id":1,"priority_id":2,"assigned_to_id":23,"start_date":"2017-01-24","description":"","custom_fields":[{"id":1,"name":"Subdivision","value":"Other"},{"id":4,"name":"Milepost","value":"0.0575"},{"id":17,"name":"Train ID","value":"902-24"},{"id":16,"name":"Locomotive ID","value":"4039"},{"id":130,"name":"Impact","value":""},{"id":150,"name":"Time of Event (Mountain Time)","value":"05:59:39"},{"id":151,"name":"Denver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0"/>
      <c r="AA53" s="50"/>
      <c r="AB53" s="50"/>
      <c r="AC53" s="134" t="str">
        <f t="shared" si="16"/>
        <v>grep -hSE -A400 "Enforcement Action" "%USERPROFILE%\AppData\Local\Temp\OnboardLogs"\RTDC4039\*4039*201701241*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"%USERPROFILE%\AppData\Local\Temp\OnboardLogs"\RTDC4039\*4039*201701241* &gt;&gt; 2017-01-24-SliceDisagreementCheck.txt</v>
      </c>
      <c r="AE53" s="180" t="str">
        <f t="shared" si="17"/>
        <v>start /low /b %USERPROFILE%\Documents\GitHub\eaglep3\Utilities\DownloadLogsFromS3.py --loco 4039 --day 2017-01-24</v>
      </c>
      <c r="AF53" s="1"/>
    </row>
    <row r="54" spans="1:32" x14ac:dyDescent="0.25">
      <c r="A54" s="33">
        <v>42759.250138888892</v>
      </c>
      <c r="B54" s="31" t="s">
        <v>272</v>
      </c>
      <c r="C54" s="31" t="s">
        <v>456</v>
      </c>
      <c r="D54" s="31" t="s">
        <v>49</v>
      </c>
      <c r="E54" s="31" t="s">
        <v>191</v>
      </c>
      <c r="F54" s="44">
        <v>0</v>
      </c>
      <c r="G54" s="44">
        <v>81</v>
      </c>
      <c r="H54" s="44">
        <v>915</v>
      </c>
      <c r="I54" s="44">
        <v>881</v>
      </c>
      <c r="J54" s="31" t="s">
        <v>192</v>
      </c>
      <c r="K54" s="44">
        <v>575</v>
      </c>
      <c r="L54" s="150" t="s">
        <v>51</v>
      </c>
      <c r="M54" s="151">
        <f t="shared" si="9"/>
        <v>161.56800000000001</v>
      </c>
      <c r="N54" s="152" t="str">
        <f>VLOOKUP(C54,'Trips&amp;Operators'!$C$1:$G$99999,5,FALSE)</f>
        <v>BROWN JACOB</v>
      </c>
      <c r="O54" s="176" t="s">
        <v>188</v>
      </c>
      <c r="P54" s="153"/>
      <c r="Q54" s="31"/>
      <c r="R54" s="96" t="str">
        <f>VLOOKUP(C54,'Train Runs'!$A$13:$AE$9978,31,0)</f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S54" s="99" t="str">
        <f>VLOOKUP(C54,'Train Runs'!$A$13:$AE$9978,22,0)</f>
        <v>https://d0f6bd738d7f1b3e5a7ca70fe4ff75f0.us-east-1.aws.found.io/app/kibana#/discover/Steve-Slow-Train-Analysis-(2080s-and-2083s)?_g=(refreshInterval:(display:Off,pause:!f,section:0,value:0),time:(from:'2017-01-24T04:43:39-0700',mode:absolute,to:'2017-01-24T06:59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54" s="101" t="str">
        <f t="shared" si="10"/>
        <v>"C:\Program Files (x86)\AstroGrep\AstroGrep.exe" /spath="%USERPROFILE%\AppData\Local\Temp\OnboardLogs" /stypes="*4039*201701241*" /stext=" 13:.+((SYSTEM_STATE.+slice.+state.+changed )|(ment ac)|(multiple cpu faults)|(system.+state.+changed )|(\[timeout)|(PRM\|1\|D)|(kpr)|(kdp)|(\|lc)|(penalty))" /e /r /s</v>
      </c>
      <c r="U54" s="9" t="str">
        <f t="shared" si="11"/>
        <v>4039</v>
      </c>
      <c r="V54" s="33">
        <f t="shared" si="12"/>
        <v>42759.541805555556</v>
      </c>
      <c r="W54" s="47" t="str">
        <f t="shared" si="13"/>
        <v>Other</v>
      </c>
      <c r="X54" s="47" t="str">
        <f t="shared" si="14"/>
        <v>KEEP</v>
      </c>
      <c r="Y54" s="115" t="str">
        <f t="shared" si="15"/>
        <v>echo {"issue":{"subject":"","project_id":79,"tracker_id":40,"status_id":1,"priority_id":2,"assigned_to_id":23,"start_date":"2017-01-24","description":"","custom_fields":[{"id":1,"name":"Subdivision","value":"Other"},{"id":4,"name":"Milepost","value":"0.0575"},{"id":17,"name":"Train ID","value":"902-24"},{"id":16,"name":"Locomotive ID","value":"4039"},{"id":130,"name":"Impact","value":""},{"id":150,"name":"Time of Event (Mountain Time)","value":"06:00:12"},{"id":151,"name":"Denver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0"/>
      <c r="AA54" s="50"/>
      <c r="AB54" s="50"/>
      <c r="AC54" s="134" t="str">
        <f t="shared" si="16"/>
        <v>grep -hSE -A400 "Enforcement Action" "%USERPROFILE%\AppData\Local\Temp\OnboardLogs"\RTDC4039\*4039*201701241*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"%USERPROFILE%\AppData\Local\Temp\OnboardLogs"\RTDC4039\*4039*201701241* &gt;&gt; 2017-01-24-SliceDisagreementCheck.txt</v>
      </c>
      <c r="AE54" s="180" t="str">
        <f t="shared" si="17"/>
        <v>start /low /b %USERPROFILE%\Documents\GitHub\eaglep3\Utilities\DownloadLogsFromS3.py --loco 4039 --day 2017-01-24</v>
      </c>
      <c r="AF54" s="1"/>
    </row>
    <row r="55" spans="1:32" x14ac:dyDescent="0.25">
      <c r="A55" s="33">
        <v>42759.250520833331</v>
      </c>
      <c r="B55" s="31" t="s">
        <v>272</v>
      </c>
      <c r="C55" s="31" t="s">
        <v>456</v>
      </c>
      <c r="D55" s="31" t="s">
        <v>49</v>
      </c>
      <c r="E55" s="31" t="s">
        <v>191</v>
      </c>
      <c r="F55" s="44">
        <v>0</v>
      </c>
      <c r="G55" s="44">
        <v>40</v>
      </c>
      <c r="H55" s="44">
        <v>862</v>
      </c>
      <c r="I55" s="44">
        <v>794</v>
      </c>
      <c r="J55" s="31" t="s">
        <v>192</v>
      </c>
      <c r="K55" s="44">
        <v>575</v>
      </c>
      <c r="L55" s="150" t="s">
        <v>51</v>
      </c>
      <c r="M55" s="151">
        <f t="shared" si="9"/>
        <v>115.63200000000001</v>
      </c>
      <c r="N55" s="152" t="str">
        <f>VLOOKUP(C55,'Trips&amp;Operators'!$C$1:$G$99999,5,FALSE)</f>
        <v>BROWN JACOB</v>
      </c>
      <c r="O55" s="176" t="s">
        <v>188</v>
      </c>
      <c r="P55" s="153"/>
      <c r="Q55" s="31"/>
      <c r="R55" s="96" t="str">
        <f>VLOOKUP(C55,'Train Runs'!$A$13:$AE$9978,31,0)</f>
        <v>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 &amp; 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</v>
      </c>
      <c r="S55" s="99" t="str">
        <f>VLOOKUP(C55,'Train Runs'!$A$13:$AE$9978,22,0)</f>
        <v>https://d0f6bd738d7f1b3e5a7ca70fe4ff75f0.us-east-1.aws.found.io/app/kibana#/discover/Steve-Slow-Train-Analysis-(2080s-and-2083s)?_g=(refreshInterval:(display:Off,pause:!f,section:0,value:0),time:(from:'2017-01-24T04:43:39-0700',mode:absolute,to:'2017-01-24T06:59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55" s="101" t="str">
        <f t="shared" si="10"/>
        <v>"C:\Program Files (x86)\AstroGrep\AstroGrep.exe" /spath="%USERPROFILE%\AppData\Local\Temp\OnboardLogs" /stypes="*4039*201701241*" /stext=" 13:.+((SYSTEM_STATE.+slice.+state.+changed )|(ment ac)|(multiple cpu faults)|(system.+state.+changed )|(\[timeout)|(PRM\|1\|D)|(kpr)|(kdp)|(\|lc)|(penalty))" /e /r /s</v>
      </c>
      <c r="U55" s="9" t="str">
        <f t="shared" si="11"/>
        <v>4039</v>
      </c>
      <c r="V55" s="33">
        <f t="shared" si="12"/>
        <v>42759.542187499996</v>
      </c>
      <c r="W55" s="47" t="str">
        <f t="shared" si="13"/>
        <v>Other</v>
      </c>
      <c r="X55" s="47" t="str">
        <f t="shared" si="14"/>
        <v>KEEP</v>
      </c>
      <c r="Y55" s="115" t="str">
        <f t="shared" si="15"/>
        <v>echo {"issue":{"subject":"","project_id":79,"tracker_id":40,"status_id":1,"priority_id":2,"assigned_to_id":23,"start_date":"2017-01-24","description":"","custom_fields":[{"id":1,"name":"Subdivision","value":"Other"},{"id":4,"name":"Milepost","value":"0.0575"},{"id":17,"name":"Train ID","value":"902-24"},{"id":16,"name":"Locomotive ID","value":"4039"},{"id":130,"name":"Impact","value":""},{"id":150,"name":"Time of Event (Mountain Time)","value":"06:00:45"},{"id":151,"name":"Denver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0"/>
      <c r="AA55" s="50"/>
      <c r="AB55" s="50"/>
      <c r="AC55" s="134" t="str">
        <f t="shared" si="16"/>
        <v>grep -hSE -A400 "Enforcement Action" "%USERPROFILE%\AppData\Local\Temp\OnboardLogs"\RTDC4039\*4039*201701241*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"%USERPROFILE%\AppData\Local\Temp\OnboardLogs"\RTDC4039\*4039*201701241* &gt;&gt; 2017-01-24-SliceDisagreementCheck.txt</v>
      </c>
      <c r="AE55" s="180" t="str">
        <f t="shared" si="17"/>
        <v>start /low /b %USERPROFILE%\Documents\GitHub\eaglep3\Utilities\DownloadLogsFromS3.py --loco 4039 --day 2017-01-24</v>
      </c>
      <c r="AF55" s="1"/>
    </row>
    <row r="56" spans="1:32" x14ac:dyDescent="0.25">
      <c r="A56" s="33">
        <v>42759.748344907406</v>
      </c>
      <c r="B56" s="31" t="s">
        <v>199</v>
      </c>
      <c r="C56" s="31" t="s">
        <v>481</v>
      </c>
      <c r="D56" s="31" t="s">
        <v>49</v>
      </c>
      <c r="E56" s="31" t="s">
        <v>191</v>
      </c>
      <c r="F56" s="44">
        <v>0</v>
      </c>
      <c r="G56" s="44">
        <v>129</v>
      </c>
      <c r="H56" s="44">
        <v>1680</v>
      </c>
      <c r="I56" s="44">
        <v>1539</v>
      </c>
      <c r="J56" s="31" t="s">
        <v>192</v>
      </c>
      <c r="K56" s="44">
        <v>826</v>
      </c>
      <c r="L56" s="150" t="s">
        <v>51</v>
      </c>
      <c r="M56" s="151">
        <f t="shared" si="9"/>
        <v>376.464</v>
      </c>
      <c r="N56" s="152" t="str">
        <f>VLOOKUP(C56,'Trips&amp;Operators'!$C$1:$G$99999,5,FALSE)</f>
        <v>DUNCAN SHEILA</v>
      </c>
      <c r="O56" s="176" t="s">
        <v>188</v>
      </c>
      <c r="P56" s="153"/>
      <c r="Q56" s="31"/>
      <c r="R56" s="96" t="str">
        <f>VLOOKUP(C56,'Train Runs'!$A$13:$AE$9978,31,0)</f>
        <v>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 &amp; 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</v>
      </c>
      <c r="S56" s="99" t="str">
        <f>VLOOKUP(C56,'Train Runs'!$A$13:$AE$9978,22,0)</f>
        <v>https://d0f6bd738d7f1b3e5a7ca70fe4ff75f0.us-east-1.aws.found.io/app/kibana#/discover/Steve-Slow-Train-Analysis-(2080s-and-2083s)?_g=(refreshInterval:(display:Off,pause:!f,section:0,value:0),time:(from:'2017-01-24T16:46:58-0700',mode:absolute,to:'2017-01-24T19:01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6" s="101" t="str">
        <f t="shared" si="10"/>
        <v>"C:\Program Files (x86)\AstroGrep\AstroGrep.exe" /spath="%USERPROFILE%\AppData\Local\Temp\OnboardLogs" /stypes="*4012*201701250*" /stext=" 00:.+((SYSTEM_STATE.+slice.+state.+changed )|(ment ac)|(multiple cpu faults)|(system.+state.+changed )|(\[timeout)|(PRM\|1\|D)|(kpr)|(kdp)|(\|lc)|(penalty))" /e /r /s</v>
      </c>
      <c r="U56" s="9" t="str">
        <f t="shared" si="11"/>
        <v>4012</v>
      </c>
      <c r="V56" s="33">
        <f t="shared" si="12"/>
        <v>42760.04001157407</v>
      </c>
      <c r="W56" s="47" t="str">
        <f t="shared" si="13"/>
        <v>Other</v>
      </c>
      <c r="X56" s="47" t="str">
        <f t="shared" si="14"/>
        <v>KEEP</v>
      </c>
      <c r="Y56" s="115" t="str">
        <f t="shared" si="15"/>
        <v>echo {"issue":{"subject":"","project_id":79,"tracker_id":40,"status_id":1,"priority_id":2,"assigned_to_id":23,"start_date":"2017-01-24","description":"","custom_fields":[{"id":1,"name":"Subdivision","value":"Other"},{"id":4,"name":"Milepost","value":"0.0826"},{"id":17,"name":"Train ID","value":"58-24"},{"id":16,"name":"Locomotive ID","value":"4012"},{"id":130,"name":"Impact","value":""},{"id":150,"name":"Time of Event (Mountain Time)","value":"17:57:37"},{"id":151,"name":"Denver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0"/>
      <c r="AA56" s="50"/>
      <c r="AB56" s="50"/>
      <c r="AC56" s="134" t="str">
        <f t="shared" si="16"/>
        <v>grep -hSE -A400 "Enforcement Action" "%USERPROFILE%\AppData\Local\Temp\OnboardLogs"\RTDC4012\*4012*201701250*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"%USERPROFILE%\AppData\Local\Temp\OnboardLogs"\RTDC4012\*4012*201701250* &gt;&gt; 2017-01-24-SliceDisagreementCheck.txt</v>
      </c>
      <c r="AE56" s="180" t="str">
        <f t="shared" si="17"/>
        <v>start /low /b %USERPROFILE%\Documents\GitHub\eaglep3\Utilities\DownloadLogsFromS3.py --loco 4012 --day 2017-01-25</v>
      </c>
      <c r="AF56" s="1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</sheetData>
  <autoFilter ref="A6:AC36">
    <sortState ref="A7:AC56">
      <sortCondition ref="V6:V36"/>
    </sortState>
  </autoFilter>
  <sortState ref="A7:AE56">
    <sortCondition ref="W7:W56"/>
    <sortCondition ref="E7:E56"/>
    <sortCondition ref="K7:K56"/>
    <sortCondition ref="C7:C56"/>
    <sortCondition ref="F7:F56"/>
  </sortState>
  <mergeCells count="1">
    <mergeCell ref="A5:O5"/>
  </mergeCells>
  <conditionalFormatting sqref="O6:P6 R6 O66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3"/>
  <sheetViews>
    <sheetView workbookViewId="0">
      <selection activeCell="A7" sqref="A7:XFD7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2017-01-24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813</v>
      </c>
      <c r="B3" s="44" t="str">
        <f>A3&amp;"-"&amp;IF(DAY(Variables!$A$2)&lt;10,0,"")&amp;DAY(Variables!$A$2)</f>
        <v>813-24</v>
      </c>
      <c r="C3" s="154"/>
      <c r="D3" s="188"/>
      <c r="E3" s="31" t="s">
        <v>889</v>
      </c>
      <c r="F3" s="22" t="str">
        <f>VLOOKUP(B3,'Trips&amp;Operators'!$C$2:$E$10000,3,FALSE)</f>
        <v>BROWN</v>
      </c>
      <c r="G3" s="22" t="str">
        <f>VLOOKUP(B3,'Trips&amp;Operators'!$C$1:$F$10000,4,FALSE)</f>
        <v>JACOB</v>
      </c>
      <c r="H3" s="30" t="str">
        <f>VLOOKUP(B3,'Trips&amp;Operators'!$C$1:$H$10000,5,FALSE)</f>
        <v>BROWN JACOB</v>
      </c>
      <c r="I3" s="47" t="str">
        <f t="shared" ref="I3:I6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22813-24%22)),sort:!(Time.ISO8601,asc))</v>
      </c>
      <c r="J3" s="31" t="e">
        <f>VLOOKUP(B3,'Train Runs'!$A$13:$A$99975,1,FALSE)</f>
        <v>#N/A</v>
      </c>
    </row>
    <row r="4" spans="1:10" x14ac:dyDescent="0.25">
      <c r="A4" s="164">
        <v>814</v>
      </c>
      <c r="B4" s="44" t="str">
        <f>A4&amp;"-"&amp;IF(DAY(Variables!$A$2)&lt;10,0,"")&amp;DAY(Variables!$A$2)</f>
        <v>814-24</v>
      </c>
      <c r="C4" s="154"/>
      <c r="D4" s="188"/>
      <c r="E4" s="31" t="s">
        <v>889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22814-24%22)),sort:!(Time.ISO8601,asc))</v>
      </c>
      <c r="J4" s="31" t="e">
        <f>VLOOKUP(B4,'Train Runs'!$A$13:$A$99975,1,FALSE)</f>
        <v>#N/A</v>
      </c>
    </row>
    <row r="5" spans="1:10" x14ac:dyDescent="0.25">
      <c r="A5" s="164">
        <v>153</v>
      </c>
      <c r="B5" s="44" t="str">
        <f>A5&amp;"-"&amp;IF(DAY(Variables!$A$2)&lt;10,0,"")&amp;DAY(Variables!$A$2)</f>
        <v>153-24</v>
      </c>
      <c r="C5" s="154"/>
      <c r="D5" s="188"/>
      <c r="E5" s="31" t="s">
        <v>890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22153-24%22)),sort:!(Time.ISO8601,asc))</v>
      </c>
      <c r="J5" s="31" t="e">
        <f>VLOOKUP(B5,'Train Runs'!$A$13:$A$99975,1,FALSE)</f>
        <v>#N/A</v>
      </c>
    </row>
    <row r="6" spans="1:10" x14ac:dyDescent="0.25">
      <c r="A6" s="164">
        <v>154</v>
      </c>
      <c r="B6" s="44" t="str">
        <f>A6&amp;"-"&amp;IF(DAY(Variables!$A$2)&lt;10,0,"")&amp;DAY(Variables!$A$2)</f>
        <v>154-24</v>
      </c>
      <c r="C6" s="154"/>
      <c r="D6" s="188"/>
      <c r="E6" s="31" t="s">
        <v>890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22154-24%22)),sort:!(Time.ISO8601,asc))</v>
      </c>
      <c r="J6" s="31" t="e">
        <f>VLOOKUP(B6,'Train Runs'!$A$13:$A$99975,1,FALSE)</f>
        <v>#N/A</v>
      </c>
    </row>
    <row r="7" spans="1:10" x14ac:dyDescent="0.25">
      <c r="A7" s="164"/>
      <c r="B7" s="44" t="str">
        <f>A7&amp;"-"&amp;IF(DAY(Variables!$A$2)&lt;10,0,"")&amp;DAY(Variables!$A$2)</f>
        <v>-24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1" t="e">
        <f>VLOOKUP(B7,'Train Runs'!$A$13:$A$99975,1,FALSE)</f>
        <v>#N/A</v>
      </c>
    </row>
    <row r="8" spans="1:10" x14ac:dyDescent="0.25">
      <c r="A8" s="164"/>
      <c r="B8" s="44" t="str">
        <f>A8&amp;"-"&amp;IF(DAY(Variables!$A$2)&lt;10,0,"")&amp;DAY(Variables!$A$2)</f>
        <v>-24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1" t="e">
        <f>VLOOKUP(B8,'Train Runs'!$A$13:$A$99975,1,FALSE)</f>
        <v>#N/A</v>
      </c>
    </row>
    <row r="9" spans="1:10" x14ac:dyDescent="0.25">
      <c r="A9" s="164"/>
      <c r="B9" s="44" t="str">
        <f>A9&amp;"-"&amp;IF(DAY(Variables!$A$2)&lt;10,0,"")&amp;DAY(Variables!$A$2)</f>
        <v>-24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1" t="e">
        <f>VLOOKUP(B9,'Train Runs'!$A$13:$A$99975,1,FALSE)</f>
        <v>#N/A</v>
      </c>
    </row>
    <row r="10" spans="1:10" x14ac:dyDescent="0.25">
      <c r="A10" s="164"/>
      <c r="B10" s="44" t="str">
        <f>A10&amp;"-"&amp;IF(DAY(Variables!$A$2)&lt;10,0,"")&amp;DAY(Variables!$A$2)</f>
        <v>-24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1" t="e">
        <f>VLOOKUP(B10,'Train Runs'!$A$13:$A$99975,1,FALSE)</f>
        <v>#N/A</v>
      </c>
    </row>
    <row r="11" spans="1:10" x14ac:dyDescent="0.25">
      <c r="A11" s="164"/>
      <c r="B11" s="44" t="str">
        <f>A11&amp;"-"&amp;IF(DAY(Variables!$A$2)&lt;10,0,"")&amp;DAY(Variables!$A$2)</f>
        <v>-24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1" t="e">
        <f>VLOOKUP(B11,'Train Runs'!$A$13:$A$99975,1,FALSE)</f>
        <v>#N/A</v>
      </c>
    </row>
    <row r="12" spans="1:10" x14ac:dyDescent="0.25">
      <c r="A12" s="164"/>
      <c r="B12" s="44" t="str">
        <f>A12&amp;"-"&amp;IF(DAY(Variables!$A$2)&lt;10,0,"")&amp;DAY(Variables!$A$2)</f>
        <v>-24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1" t="e">
        <f>VLOOKUP(B12,'Train Runs'!$A$13:$A$99975,1,FALSE)</f>
        <v>#N/A</v>
      </c>
    </row>
    <row r="13" spans="1:10" x14ac:dyDescent="0.25">
      <c r="A13" s="164"/>
      <c r="B13" s="44" t="str">
        <f>A13&amp;"-"&amp;IF(DAY(Variables!$A$2)&lt;10,0,"")&amp;DAY(Variables!$A$2)</f>
        <v>-24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1" t="e">
        <f>VLOOKUP(B13,'Train Runs'!$A$13:$A$99975,1,FALSE)</f>
        <v>#N/A</v>
      </c>
    </row>
    <row r="14" spans="1:10" x14ac:dyDescent="0.25">
      <c r="A14" s="164"/>
      <c r="B14" s="44" t="str">
        <f>A14&amp;"-"&amp;IF(DAY(Variables!$A$2)&lt;10,0,"")&amp;DAY(Variables!$A$2)</f>
        <v>-24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1" t="e">
        <f>VLOOKUP(B14,'Train Runs'!$A$13:$A$99975,1,FALSE)</f>
        <v>#N/A</v>
      </c>
    </row>
    <row r="15" spans="1:10" x14ac:dyDescent="0.25">
      <c r="A15" s="164"/>
      <c r="B15" s="44" t="str">
        <f>A15&amp;"-"&amp;IF(DAY(Variables!$A$2)&lt;10,0,"")&amp;DAY(Variables!$A$2)</f>
        <v>-24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1" t="e">
        <f>VLOOKUP(B15,'Train Runs'!$A$13:$A$99975,1,FALSE)</f>
        <v>#N/A</v>
      </c>
    </row>
    <row r="16" spans="1:10" x14ac:dyDescent="0.25">
      <c r="A16" s="164"/>
      <c r="B16" s="44" t="str">
        <f>A16&amp;"-"&amp;IF(DAY(Variables!$A$2)&lt;10,0,"")&amp;DAY(Variables!$A$2)</f>
        <v>-24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1" t="e">
        <f>VLOOKUP(B16,'Train Runs'!$A$13:$A$99975,1,FALSE)</f>
        <v>#N/A</v>
      </c>
    </row>
    <row r="17" spans="1:10" x14ac:dyDescent="0.25">
      <c r="A17" s="164"/>
      <c r="B17" s="44" t="str">
        <f>A17&amp;"-"&amp;IF(DAY(Variables!$A$2)&lt;10,0,"")&amp;DAY(Variables!$A$2)</f>
        <v>-24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1" t="e">
        <f>VLOOKUP(B17,'Train Runs'!$A$13:$A$99975,1,FALSE)</f>
        <v>#N/A</v>
      </c>
    </row>
    <row r="18" spans="1:10" x14ac:dyDescent="0.25">
      <c r="A18" s="164"/>
      <c r="B18" s="44" t="str">
        <f>A18&amp;"-"&amp;IF(DAY(Variables!$A$2)&lt;10,0,"")&amp;DAY(Variables!$A$2)</f>
        <v>-24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1" t="e">
        <f>VLOOKUP(B18,'Train Runs'!$A$13:$A$99975,1,FALSE)</f>
        <v>#N/A</v>
      </c>
    </row>
    <row r="19" spans="1:10" x14ac:dyDescent="0.25">
      <c r="A19" s="164"/>
      <c r="B19" s="44" t="str">
        <f>A19&amp;"-"&amp;IF(DAY(Variables!$A$2)&lt;10,0,"")&amp;DAY(Variables!$A$2)</f>
        <v>-24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9" s="31" t="e">
        <f>VLOOKUP(B19,'Train Runs'!$A$13:$A$99975,1,FALSE)</f>
        <v>#N/A</v>
      </c>
    </row>
    <row r="20" spans="1:10" x14ac:dyDescent="0.25">
      <c r="A20" s="164"/>
      <c r="B20" s="44" t="str">
        <f>A20&amp;"-"&amp;IF(DAY(Variables!$A$2)&lt;10,0,"")&amp;DAY(Variables!$A$2)</f>
        <v>-24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0" s="31" t="e">
        <f>VLOOKUP(B20,'Train Runs'!$A$13:$A$99975,1,FALSE)</f>
        <v>#N/A</v>
      </c>
    </row>
    <row r="21" spans="1:10" x14ac:dyDescent="0.25">
      <c r="A21" s="164"/>
      <c r="B21" s="44" t="str">
        <f>A21&amp;"-"&amp;IF(DAY(Variables!$A$2)&lt;10,0,"")&amp;DAY(Variables!$A$2)</f>
        <v>-24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1" s="31" t="e">
        <f>VLOOKUP(B21,'Train Runs'!$A$13:$A$99975,1,FALSE)</f>
        <v>#N/A</v>
      </c>
    </row>
    <row r="22" spans="1:10" x14ac:dyDescent="0.25">
      <c r="A22" s="164"/>
      <c r="B22" s="44" t="str">
        <f>A22&amp;"-"&amp;IF(DAY(Variables!$A$2)&lt;10,0,"")&amp;DAY(Variables!$A$2)</f>
        <v>-24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2" s="31" t="e">
        <f>VLOOKUP(B22,'Train Runs'!$A$13:$A$99975,1,FALSE)</f>
        <v>#N/A</v>
      </c>
    </row>
    <row r="23" spans="1:10" x14ac:dyDescent="0.25">
      <c r="A23" s="164"/>
      <c r="B23" s="44" t="str">
        <f>A23&amp;"-"&amp;IF(DAY(Variables!$A$2)&lt;10,0,"")&amp;DAY(Variables!$A$2)</f>
        <v>-24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3" s="31" t="e">
        <f>VLOOKUP(B23,'Train Runs'!$A$13:$A$99975,1,FALSE)</f>
        <v>#N/A</v>
      </c>
    </row>
    <row r="24" spans="1:10" x14ac:dyDescent="0.25">
      <c r="A24" s="164"/>
      <c r="B24" s="44" t="str">
        <f>A24&amp;"-"&amp;IF(DAY(Variables!$A$2)&lt;10,0,"")&amp;DAY(Variables!$A$2)</f>
        <v>-24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4" s="31" t="e">
        <f>VLOOKUP(B24,'Train Runs'!$A$13:$A$99975,1,FALSE)</f>
        <v>#N/A</v>
      </c>
    </row>
    <row r="25" spans="1:10" x14ac:dyDescent="0.25">
      <c r="A25" s="164"/>
      <c r="B25" s="44" t="str">
        <f>A25&amp;"-"&amp;IF(DAY(Variables!$A$2)&lt;10,0,"")&amp;DAY(Variables!$A$2)</f>
        <v>-24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5" s="31" t="e">
        <f>VLOOKUP(B25,'Train Runs'!$A$13:$A$99975,1,FALSE)</f>
        <v>#N/A</v>
      </c>
    </row>
    <row r="26" spans="1:10" x14ac:dyDescent="0.25">
      <c r="A26" s="164"/>
      <c r="B26" s="44" t="str">
        <f>A26&amp;"-"&amp;IF(DAY(Variables!$A$2)&lt;10,0,"")&amp;DAY(Variables!$A$2)</f>
        <v>-24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6" s="31" t="e">
        <f>VLOOKUP(B26,'Train Runs'!$A$13:$A$99975,1,FALSE)</f>
        <v>#N/A</v>
      </c>
    </row>
    <row r="27" spans="1:10" x14ac:dyDescent="0.25">
      <c r="A27" s="164"/>
      <c r="B27" s="44" t="str">
        <f>A27&amp;"-"&amp;IF(DAY(Variables!$A$2)&lt;10,0,"")&amp;DAY(Variables!$A$2)</f>
        <v>-24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7" s="31" t="e">
        <f>VLOOKUP(B27,'Train Runs'!$A$13:$A$99975,1,FALSE)</f>
        <v>#N/A</v>
      </c>
    </row>
    <row r="28" spans="1:10" x14ac:dyDescent="0.25">
      <c r="A28" s="164"/>
      <c r="B28" s="44" t="str">
        <f>A28&amp;"-"&amp;IF(DAY(Variables!$A$2)&lt;10,0,"")&amp;DAY(Variables!$A$2)</f>
        <v>-24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8" s="31" t="e">
        <f>VLOOKUP(B28,'Train Runs'!$A$13:$A$99975,1,FALSE)</f>
        <v>#N/A</v>
      </c>
    </row>
    <row r="29" spans="1:10" x14ac:dyDescent="0.25">
      <c r="A29" s="164"/>
      <c r="B29" s="44" t="str">
        <f>A29&amp;"-"&amp;IF(DAY(Variables!$A$2)&lt;10,0,"")&amp;DAY(Variables!$A$2)</f>
        <v>-24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9" s="31" t="e">
        <f>VLOOKUP(B29,'Train Runs'!$A$13:$A$99975,1,FALSE)</f>
        <v>#N/A</v>
      </c>
    </row>
    <row r="30" spans="1:10" x14ac:dyDescent="0.25">
      <c r="A30" s="164"/>
      <c r="B30" s="44" t="str">
        <f>A30&amp;"-"&amp;IF(DAY(Variables!$A$2)&lt;10,0,"")&amp;DAY(Variables!$A$2)</f>
        <v>-24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0" s="31" t="e">
        <f>VLOOKUP(B30,'Train Runs'!$A$13:$A$99975,1,FALSE)</f>
        <v>#N/A</v>
      </c>
    </row>
    <row r="31" spans="1:10" x14ac:dyDescent="0.25">
      <c r="A31" s="164"/>
      <c r="B31" s="44" t="str">
        <f>A31&amp;"-"&amp;IF(DAY(Variables!$A$2)&lt;10,0,"")&amp;DAY(Variables!$A$2)</f>
        <v>-24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1" s="31" t="e">
        <f>VLOOKUP(B31,'Train Runs'!$A$13:$A$99975,1,FALSE)</f>
        <v>#N/A</v>
      </c>
    </row>
    <row r="32" spans="1:10" x14ac:dyDescent="0.25">
      <c r="A32" s="164"/>
      <c r="B32" s="44" t="str">
        <f>A32&amp;"-"&amp;IF(DAY(Variables!$A$2)&lt;10,0,"")&amp;DAY(Variables!$A$2)</f>
        <v>-24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2" s="31" t="e">
        <f>VLOOKUP(B32,'Train Runs'!$A$13:$A$99975,1,FALSE)</f>
        <v>#N/A</v>
      </c>
    </row>
    <row r="33" spans="1:10" x14ac:dyDescent="0.25">
      <c r="A33" s="164"/>
      <c r="B33" s="44" t="str">
        <f>A33&amp;"-"&amp;IF(DAY(Variables!$A$2)&lt;10,0,"")&amp;DAY(Variables!$A$2)</f>
        <v>-24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3" s="31" t="e">
        <f>VLOOKUP(B33,'Train Runs'!$A$13:$A$99975,1,FALSE)</f>
        <v>#N/A</v>
      </c>
    </row>
    <row r="34" spans="1:10" x14ac:dyDescent="0.25">
      <c r="A34" s="164"/>
      <c r="B34" s="44" t="str">
        <f>A34&amp;"-"&amp;IF(DAY(Variables!$A$2)&lt;10,0,"")&amp;DAY(Variables!$A$2)</f>
        <v>-24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4" s="31" t="e">
        <f>VLOOKUP(B34,'Train Runs'!$A$13:$A$99975,1,FALSE)</f>
        <v>#N/A</v>
      </c>
    </row>
    <row r="35" spans="1:10" x14ac:dyDescent="0.25">
      <c r="A35" s="164"/>
      <c r="B35" s="44" t="str">
        <f>A35&amp;"-"&amp;IF(DAY(Variables!$A$2)&lt;10,0,"")&amp;DAY(Variables!$A$2)</f>
        <v>-24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5" s="31" t="e">
        <f>VLOOKUP(B35,'Train Runs'!$A$13:$A$99975,1,FALSE)</f>
        <v>#N/A</v>
      </c>
    </row>
    <row r="36" spans="1:10" x14ac:dyDescent="0.25">
      <c r="A36" s="164"/>
      <c r="B36" s="44" t="str">
        <f>A36&amp;"-"&amp;IF(DAY(Variables!$A$2)&lt;10,0,"")&amp;DAY(Variables!$A$2)</f>
        <v>-24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6" s="31" t="e">
        <f>VLOOKUP(B36,'Train Runs'!$A$13:$A$99975,1,FALSE)</f>
        <v>#N/A</v>
      </c>
    </row>
    <row r="37" spans="1:10" x14ac:dyDescent="0.25">
      <c r="A37" s="164"/>
      <c r="B37" s="44" t="str">
        <f>A37&amp;"-"&amp;IF(DAY(Variables!$A$2)&lt;10,0,"")&amp;DAY(Variables!$A$2)</f>
        <v>-24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7" s="31" t="e">
        <f>VLOOKUP(B37,'Train Runs'!$A$13:$A$99975,1,FALSE)</f>
        <v>#N/A</v>
      </c>
    </row>
    <row r="38" spans="1:10" x14ac:dyDescent="0.25">
      <c r="A38" s="164"/>
      <c r="B38" s="44" t="str">
        <f>A38&amp;"-"&amp;IF(DAY(Variables!$A$2)&lt;10,0,"")&amp;DAY(Variables!$A$2)</f>
        <v>-24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8" s="31" t="e">
        <f>VLOOKUP(B38,'Train Runs'!$A$13:$A$99975,1,FALSE)</f>
        <v>#N/A</v>
      </c>
    </row>
    <row r="39" spans="1:10" x14ac:dyDescent="0.25">
      <c r="A39" s="164"/>
      <c r="B39" s="44" t="str">
        <f>A39&amp;"-"&amp;IF(DAY(Variables!$A$2)&lt;10,0,"")&amp;DAY(Variables!$A$2)</f>
        <v>-24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9" s="31" t="e">
        <f>VLOOKUP(B39,'Train Runs'!$A$13:$A$99975,1,FALSE)</f>
        <v>#N/A</v>
      </c>
    </row>
    <row r="40" spans="1:10" x14ac:dyDescent="0.25">
      <c r="A40" s="164"/>
      <c r="B40" s="44" t="str">
        <f>A40&amp;"-"&amp;IF(DAY(Variables!$A$2)&lt;10,0,"")&amp;DAY(Variables!$A$2)</f>
        <v>-24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0" s="31" t="e">
        <f>VLOOKUP(B40,'Train Runs'!$A$13:$A$99975,1,FALSE)</f>
        <v>#N/A</v>
      </c>
    </row>
    <row r="41" spans="1:10" x14ac:dyDescent="0.25">
      <c r="A41" s="164"/>
      <c r="B41" s="44" t="str">
        <f>A41&amp;"-"&amp;IF(DAY(Variables!$A$2)&lt;10,0,"")&amp;DAY(Variables!$A$2)</f>
        <v>-24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1" s="31" t="e">
        <f>VLOOKUP(B41,'Train Runs'!$A$13:$A$99975,1,FALSE)</f>
        <v>#N/A</v>
      </c>
    </row>
    <row r="42" spans="1:10" x14ac:dyDescent="0.25">
      <c r="A42" s="164"/>
      <c r="B42" s="44" t="str">
        <f>A42&amp;"-"&amp;IF(DAY(Variables!$A$2)&lt;10,0,"")&amp;DAY(Variables!$A$2)</f>
        <v>-24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2" s="31" t="e">
        <f>VLOOKUP(B42,'Train Runs'!$A$13:$A$99975,1,FALSE)</f>
        <v>#N/A</v>
      </c>
    </row>
    <row r="43" spans="1:10" x14ac:dyDescent="0.25">
      <c r="A43" s="164"/>
      <c r="B43" s="44" t="str">
        <f>A43&amp;"-"&amp;IF(DAY(Variables!$A$2)&lt;10,0,"")&amp;DAY(Variables!$A$2)</f>
        <v>-24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3" s="31" t="e">
        <f>VLOOKUP(B43,'Train Runs'!$A$13:$A$99975,1,FALSE)</f>
        <v>#N/A</v>
      </c>
    </row>
    <row r="44" spans="1:10" x14ac:dyDescent="0.25">
      <c r="A44" s="164"/>
      <c r="B44" s="44" t="str">
        <f>A44&amp;"-"&amp;IF(DAY(Variables!$A$2)&lt;10,0,"")&amp;DAY(Variables!$A$2)</f>
        <v>-24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4" s="31" t="e">
        <f>VLOOKUP(B44,'Train Runs'!$A$13:$A$99975,1,FALSE)</f>
        <v>#N/A</v>
      </c>
    </row>
    <row r="45" spans="1:10" x14ac:dyDescent="0.25">
      <c r="A45" s="164"/>
      <c r="B45" s="44" t="str">
        <f>A45&amp;"-"&amp;IF(DAY(Variables!$A$2)&lt;10,0,"")&amp;DAY(Variables!$A$2)</f>
        <v>-24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5" s="31" t="e">
        <f>VLOOKUP(B45,'Train Runs'!$A$13:$A$99975,1,FALSE)</f>
        <v>#N/A</v>
      </c>
    </row>
    <row r="46" spans="1:10" x14ac:dyDescent="0.25">
      <c r="A46" s="164"/>
      <c r="B46" s="44" t="str">
        <f>A46&amp;"-"&amp;IF(DAY(Variables!$A$2)&lt;10,0,"")&amp;DAY(Variables!$A$2)</f>
        <v>-24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6" s="31" t="e">
        <f>VLOOKUP(B46,'Train Runs'!$A$13:$A$99975,1,FALSE)</f>
        <v>#N/A</v>
      </c>
    </row>
    <row r="47" spans="1:10" x14ac:dyDescent="0.25">
      <c r="A47" s="164"/>
      <c r="B47" s="44" t="str">
        <f>A47&amp;"-"&amp;IF(DAY(Variables!$A$2)&lt;10,0,"")&amp;DAY(Variables!$A$2)</f>
        <v>-24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7" s="31" t="e">
        <f>VLOOKUP(B47,'Train Runs'!$A$13:$A$99975,1,FALSE)</f>
        <v>#N/A</v>
      </c>
    </row>
    <row r="48" spans="1:10" x14ac:dyDescent="0.25">
      <c r="A48" s="164"/>
      <c r="B48" s="44" t="str">
        <f>A48&amp;"-"&amp;IF(DAY(Variables!$A$2)&lt;10,0,"")&amp;DAY(Variables!$A$2)</f>
        <v>-24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8" s="31" t="e">
        <f>VLOOKUP(B48,'Train Runs'!$A$13:$A$99975,1,FALSE)</f>
        <v>#N/A</v>
      </c>
    </row>
    <row r="49" spans="1:10" x14ac:dyDescent="0.25">
      <c r="A49" s="164"/>
      <c r="B49" s="44" t="str">
        <f>A49&amp;"-"&amp;IF(DAY(Variables!$A$2)&lt;10,0,"")&amp;DAY(Variables!$A$2)</f>
        <v>-24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9" s="31" t="e">
        <f>VLOOKUP(B49,'Train Runs'!$A$13:$A$99975,1,FALSE)</f>
        <v>#N/A</v>
      </c>
    </row>
    <row r="50" spans="1:10" x14ac:dyDescent="0.25">
      <c r="A50" s="164"/>
      <c r="B50" s="44" t="str">
        <f>A50&amp;"-"&amp;IF(DAY(Variables!$A$2)&lt;10,0,"")&amp;DAY(Variables!$A$2)</f>
        <v>-24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0" s="31" t="e">
        <f>VLOOKUP(B50,'Train Runs'!$A$13:$A$99975,1,FALSE)</f>
        <v>#N/A</v>
      </c>
    </row>
    <row r="51" spans="1:10" x14ac:dyDescent="0.25">
      <c r="A51" s="164"/>
      <c r="B51" s="44" t="str">
        <f>A51&amp;"-"&amp;IF(DAY(Variables!$A$2)&lt;10,0,"")&amp;DAY(Variables!$A$2)</f>
        <v>-24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1" s="31" t="e">
        <f>VLOOKUP(B51,'Train Runs'!$A$13:$A$99975,1,FALSE)</f>
        <v>#N/A</v>
      </c>
    </row>
    <row r="52" spans="1:10" x14ac:dyDescent="0.25">
      <c r="A52" s="164"/>
      <c r="B52" s="44" t="str">
        <f>A52&amp;"-"&amp;IF(DAY(Variables!$A$2)&lt;10,0,"")&amp;DAY(Variables!$A$2)</f>
        <v>-24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2" s="31" t="e">
        <f>VLOOKUP(B52,'Train Runs'!$A$13:$A$99975,1,FALSE)</f>
        <v>#N/A</v>
      </c>
    </row>
    <row r="53" spans="1:10" x14ac:dyDescent="0.25">
      <c r="A53" s="164"/>
      <c r="B53" s="44" t="str">
        <f>A53&amp;"-"&amp;IF(DAY(Variables!$A$2)&lt;10,0,"")&amp;DAY(Variables!$A$2)</f>
        <v>-24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3" s="31" t="e">
        <f>VLOOKUP(B53,'Train Runs'!$A$13:$A$99975,1,FALSE)</f>
        <v>#N/A</v>
      </c>
    </row>
    <row r="54" spans="1:10" x14ac:dyDescent="0.25">
      <c r="A54" s="164"/>
      <c r="B54" s="44" t="str">
        <f>A54&amp;"-"&amp;IF(DAY(Variables!$A$2)&lt;10,0,"")&amp;DAY(Variables!$A$2)</f>
        <v>-24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4" s="31" t="e">
        <f>VLOOKUP(B54,'Train Runs'!$A$13:$A$99975,1,FALSE)</f>
        <v>#N/A</v>
      </c>
    </row>
    <row r="55" spans="1:10" x14ac:dyDescent="0.25">
      <c r="A55" s="164"/>
      <c r="B55" s="44" t="str">
        <f>A55&amp;"-"&amp;IF(DAY(Variables!$A$2)&lt;10,0,"")&amp;DAY(Variables!$A$2)</f>
        <v>-24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5" s="31" t="e">
        <f>VLOOKUP(B55,'Train Runs'!$A$13:$A$99975,1,FALSE)</f>
        <v>#N/A</v>
      </c>
    </row>
    <row r="56" spans="1:10" x14ac:dyDescent="0.25">
      <c r="A56" s="164"/>
      <c r="B56" s="44" t="str">
        <f>A56&amp;"-"&amp;IF(DAY(Variables!$A$2)&lt;10,0,"")&amp;DAY(Variables!$A$2)</f>
        <v>-24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6" s="31" t="e">
        <f>VLOOKUP(B56,'Train Runs'!$A$13:$A$99975,1,FALSE)</f>
        <v>#N/A</v>
      </c>
    </row>
    <row r="57" spans="1:10" x14ac:dyDescent="0.25">
      <c r="A57" s="164"/>
      <c r="B57" s="44" t="str">
        <f>A57&amp;"-"&amp;IF(DAY(Variables!$A$2)&lt;10,0,"")&amp;DAY(Variables!$A$2)</f>
        <v>-24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7" s="31" t="e">
        <f>VLOOKUP(B57,'Train Runs'!$A$13:$A$99975,1,FALSE)</f>
        <v>#N/A</v>
      </c>
    </row>
    <row r="58" spans="1:10" x14ac:dyDescent="0.25">
      <c r="A58" s="164"/>
      <c r="B58" s="44" t="str">
        <f>A58&amp;"-"&amp;IF(DAY(Variables!$A$2)&lt;10,0,"")&amp;DAY(Variables!$A$2)</f>
        <v>-24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8" s="31" t="e">
        <f>VLOOKUP(B58,'Train Runs'!$A$13:$A$99975,1,FALSE)</f>
        <v>#N/A</v>
      </c>
    </row>
    <row r="59" spans="1:10" x14ac:dyDescent="0.25">
      <c r="A59" s="164"/>
      <c r="B59" s="44" t="str">
        <f>A59&amp;"-"&amp;IF(DAY(Variables!$A$2)&lt;10,0,"")&amp;DAY(Variables!$A$2)</f>
        <v>-24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9" s="31" t="e">
        <f>VLOOKUP(B59,'Train Runs'!$A$13:$A$99975,1,FALSE)</f>
        <v>#N/A</v>
      </c>
    </row>
    <row r="60" spans="1:10" x14ac:dyDescent="0.25">
      <c r="A60" s="164"/>
      <c r="B60" s="44" t="str">
        <f>A60&amp;"-"&amp;IF(DAY(Variables!$A$2)&lt;10,0,"")&amp;DAY(Variables!$A$2)</f>
        <v>-24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0" s="31" t="e">
        <f>VLOOKUP(B60,'Train Runs'!$A$13:$A$99975,1,FALSE)</f>
        <v>#N/A</v>
      </c>
    </row>
    <row r="61" spans="1:10" x14ac:dyDescent="0.25">
      <c r="A61" s="164"/>
      <c r="B61" s="44" t="str">
        <f>A61&amp;"-"&amp;IF(DAY(Variables!$A$2)&lt;10,0,"")&amp;DAY(Variables!$A$2)</f>
        <v>-24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1" s="31" t="e">
        <f>VLOOKUP(B61,'Train Runs'!$A$13:$A$99975,1,FALSE)</f>
        <v>#N/A</v>
      </c>
    </row>
    <row r="62" spans="1:10" x14ac:dyDescent="0.25">
      <c r="A62" s="164"/>
      <c r="B62" s="44" t="str">
        <f>A62&amp;"-"&amp;IF(DAY(Variables!$A$2)&lt;10,0,"")&amp;DAY(Variables!$A$2)</f>
        <v>-24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2" s="31" t="e">
        <f>VLOOKUP(B62,'Train Runs'!$A$13:$A$99975,1,FALSE)</f>
        <v>#N/A</v>
      </c>
    </row>
    <row r="63" spans="1:10" x14ac:dyDescent="0.25">
      <c r="A63" s="164"/>
      <c r="B63" s="44" t="str">
        <f>A63&amp;"-"&amp;IF(DAY(Variables!$A$2)&lt;10,0,"")&amp;DAY(Variables!$A$2)</f>
        <v>-24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ref="I63:I12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3" s="31" t="e">
        <f>VLOOKUP(B63,'Train Runs'!$A$13:$A$99975,1,FALSE)</f>
        <v>#N/A</v>
      </c>
    </row>
    <row r="64" spans="1:10" x14ac:dyDescent="0.25">
      <c r="A64" s="164"/>
      <c r="B64" s="44" t="str">
        <f>A64&amp;"-"&amp;IF(DAY(Variables!$A$2)&lt;10,0,"")&amp;DAY(Variables!$A$2)</f>
        <v>-24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4" s="31" t="e">
        <f>VLOOKUP(B64,'Train Runs'!$A$13:$A$99975,1,FALSE)</f>
        <v>#N/A</v>
      </c>
    </row>
    <row r="65" spans="1:10" x14ac:dyDescent="0.25">
      <c r="A65" s="164"/>
      <c r="B65" s="44" t="str">
        <f>A65&amp;"-"&amp;IF(DAY(Variables!$A$2)&lt;10,0,"")&amp;DAY(Variables!$A$2)</f>
        <v>-24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5" s="31" t="e">
        <f>VLOOKUP(B65,'Train Runs'!$A$13:$A$99975,1,FALSE)</f>
        <v>#N/A</v>
      </c>
    </row>
    <row r="66" spans="1:10" x14ac:dyDescent="0.25">
      <c r="A66" s="164"/>
      <c r="B66" s="44" t="str">
        <f>A66&amp;"-"&amp;IF(DAY(Variables!$A$2)&lt;10,0,"")&amp;DAY(Variables!$A$2)</f>
        <v>-24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6" s="31" t="e">
        <f>VLOOKUP(B66,'Train Runs'!$A$13:$A$99975,1,FALSE)</f>
        <v>#N/A</v>
      </c>
    </row>
    <row r="67" spans="1:10" x14ac:dyDescent="0.25">
      <c r="A67" s="164"/>
      <c r="B67" s="44" t="str">
        <f>A67&amp;"-"&amp;IF(DAY(Variables!$A$2)&lt;10,0,"")&amp;DAY(Variables!$A$2)</f>
        <v>-24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7" s="31" t="e">
        <f>VLOOKUP(B67,'Train Runs'!$A$13:$A$99975,1,FALSE)</f>
        <v>#N/A</v>
      </c>
    </row>
    <row r="68" spans="1:10" x14ac:dyDescent="0.25">
      <c r="A68" s="164"/>
      <c r="B68" s="44" t="str">
        <f>A68&amp;"-"&amp;IF(DAY(Variables!$A$2)&lt;10,0,"")&amp;DAY(Variables!$A$2)</f>
        <v>-24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8" s="31" t="e">
        <f>VLOOKUP(B68,'Train Runs'!$A$13:$A$99975,1,FALSE)</f>
        <v>#N/A</v>
      </c>
    </row>
    <row r="69" spans="1:10" x14ac:dyDescent="0.25">
      <c r="A69" s="164"/>
      <c r="B69" s="44" t="str">
        <f>A69&amp;"-"&amp;IF(DAY(Variables!$A$2)&lt;10,0,"")&amp;DAY(Variables!$A$2)</f>
        <v>-24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9" s="31" t="e">
        <f>VLOOKUP(B69,'Train Runs'!$A$13:$A$99975,1,FALSE)</f>
        <v>#N/A</v>
      </c>
    </row>
    <row r="70" spans="1:10" x14ac:dyDescent="0.25">
      <c r="A70" s="164"/>
      <c r="B70" s="44" t="str">
        <f>A70&amp;"-"&amp;IF(DAY(Variables!$A$2)&lt;10,0,"")&amp;DAY(Variables!$A$2)</f>
        <v>-24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0" s="31" t="e">
        <f>VLOOKUP(B70,'Train Runs'!$A$13:$A$99975,1,FALSE)</f>
        <v>#N/A</v>
      </c>
    </row>
    <row r="71" spans="1:10" x14ac:dyDescent="0.25">
      <c r="A71" s="164"/>
      <c r="B71" s="44" t="str">
        <f>A71&amp;"-"&amp;IF(DAY(Variables!$A$2)&lt;10,0,"")&amp;DAY(Variables!$A$2)</f>
        <v>-24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1" s="31" t="e">
        <f>VLOOKUP(B71,'Train Runs'!$A$13:$A$99975,1,FALSE)</f>
        <v>#N/A</v>
      </c>
    </row>
    <row r="72" spans="1:10" x14ac:dyDescent="0.25">
      <c r="A72" s="164"/>
      <c r="B72" s="44" t="str">
        <f>A72&amp;"-"&amp;IF(DAY(Variables!$A$2)&lt;10,0,"")&amp;DAY(Variables!$A$2)</f>
        <v>-24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2" s="31" t="e">
        <f>VLOOKUP(B72,'Train Runs'!$A$13:$A$99975,1,FALSE)</f>
        <v>#N/A</v>
      </c>
    </row>
    <row r="73" spans="1:10" x14ac:dyDescent="0.25">
      <c r="A73" s="164"/>
      <c r="B73" s="44" t="str">
        <f>A73&amp;"-"&amp;IF(DAY(Variables!$A$2)&lt;10,0,"")&amp;DAY(Variables!$A$2)</f>
        <v>-24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3" s="31" t="e">
        <f>VLOOKUP(B73,'Train Runs'!$A$13:$A$99975,1,FALSE)</f>
        <v>#N/A</v>
      </c>
    </row>
    <row r="74" spans="1:10" x14ac:dyDescent="0.25">
      <c r="A74" s="164"/>
      <c r="B74" s="44" t="str">
        <f>A74&amp;"-"&amp;IF(DAY(Variables!$A$2)&lt;10,0,"")&amp;DAY(Variables!$A$2)</f>
        <v>-24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4" s="31" t="e">
        <f>VLOOKUP(B74,'Train Runs'!$A$13:$A$99975,1,FALSE)</f>
        <v>#N/A</v>
      </c>
    </row>
    <row r="75" spans="1:10" x14ac:dyDescent="0.25">
      <c r="A75" s="164"/>
      <c r="B75" s="44" t="str">
        <f>A75&amp;"-"&amp;IF(DAY(Variables!$A$2)&lt;10,0,"")&amp;DAY(Variables!$A$2)</f>
        <v>-24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5" s="31" t="e">
        <f>VLOOKUP(B75,'Train Runs'!$A$13:$A$99975,1,FALSE)</f>
        <v>#N/A</v>
      </c>
    </row>
    <row r="76" spans="1:10" x14ac:dyDescent="0.25">
      <c r="A76" s="164"/>
      <c r="B76" s="44" t="str">
        <f>A76&amp;"-"&amp;IF(DAY(Variables!$A$2)&lt;10,0,"")&amp;DAY(Variables!$A$2)</f>
        <v>-24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6" s="31" t="e">
        <f>VLOOKUP(B76,'Train Runs'!$A$13:$A$99975,1,FALSE)</f>
        <v>#N/A</v>
      </c>
    </row>
    <row r="77" spans="1:10" x14ac:dyDescent="0.25">
      <c r="A77" s="164"/>
      <c r="B77" s="44" t="str">
        <f>A77&amp;"-"&amp;IF(DAY(Variables!$A$2)&lt;10,0,"")&amp;DAY(Variables!$A$2)</f>
        <v>-24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7" s="31" t="e">
        <f>VLOOKUP(B77,'Train Runs'!$A$13:$A$99975,1,FALSE)</f>
        <v>#N/A</v>
      </c>
    </row>
    <row r="78" spans="1:10" x14ac:dyDescent="0.25">
      <c r="A78" s="164"/>
      <c r="B78" s="44" t="str">
        <f>A78&amp;"-"&amp;IF(DAY(Variables!$A$2)&lt;10,0,"")&amp;DAY(Variables!$A$2)</f>
        <v>-24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8" s="31" t="e">
        <f>VLOOKUP(B78,'Train Runs'!$A$13:$A$99975,1,FALSE)</f>
        <v>#N/A</v>
      </c>
    </row>
    <row r="79" spans="1:10" x14ac:dyDescent="0.25">
      <c r="A79" s="164"/>
      <c r="B79" s="44" t="str">
        <f>A79&amp;"-"&amp;IF(DAY(Variables!$A$2)&lt;10,0,"")&amp;DAY(Variables!$A$2)</f>
        <v>-24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9" s="31" t="e">
        <f>VLOOKUP(B79,'Train Runs'!$A$13:$A$99975,1,FALSE)</f>
        <v>#N/A</v>
      </c>
    </row>
    <row r="80" spans="1:10" x14ac:dyDescent="0.25">
      <c r="A80" s="164"/>
      <c r="B80" s="44" t="str">
        <f>A80&amp;"-"&amp;IF(DAY(Variables!$A$2)&lt;10,0,"")&amp;DAY(Variables!$A$2)</f>
        <v>-24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0" s="31" t="e">
        <f>VLOOKUP(B80,'Train Runs'!$A$13:$A$99975,1,FALSE)</f>
        <v>#N/A</v>
      </c>
    </row>
    <row r="81" spans="1:10" x14ac:dyDescent="0.25">
      <c r="A81" s="164"/>
      <c r="B81" s="44" t="str">
        <f>A81&amp;"-"&amp;IF(DAY(Variables!$A$2)&lt;10,0,"")&amp;DAY(Variables!$A$2)</f>
        <v>-24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1" s="31" t="e">
        <f>VLOOKUP(B81,'Train Runs'!$A$13:$A$99975,1,FALSE)</f>
        <v>#N/A</v>
      </c>
    </row>
    <row r="82" spans="1:10" x14ac:dyDescent="0.25">
      <c r="A82" s="164"/>
      <c r="B82" s="44" t="str">
        <f>A82&amp;"-"&amp;IF(DAY(Variables!$A$2)&lt;10,0,"")&amp;DAY(Variables!$A$2)</f>
        <v>-24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2" s="31" t="e">
        <f>VLOOKUP(B82,'Train Runs'!$A$13:$A$99975,1,FALSE)</f>
        <v>#N/A</v>
      </c>
    </row>
    <row r="83" spans="1:10" x14ac:dyDescent="0.25">
      <c r="A83" s="164"/>
      <c r="B83" s="44" t="str">
        <f>A83&amp;"-"&amp;IF(DAY(Variables!$A$2)&lt;10,0,"")&amp;DAY(Variables!$A$2)</f>
        <v>-24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3" s="31" t="e">
        <f>VLOOKUP(B83,'Train Runs'!$A$13:$A$99975,1,FALSE)</f>
        <v>#N/A</v>
      </c>
    </row>
    <row r="84" spans="1:10" x14ac:dyDescent="0.25">
      <c r="A84" s="164"/>
      <c r="B84" s="44" t="str">
        <f>A84&amp;"-"&amp;IF(DAY(Variables!$A$2)&lt;10,0,"")&amp;DAY(Variables!$A$2)</f>
        <v>-24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4" s="31" t="e">
        <f>VLOOKUP(B84,'Train Runs'!$A$13:$A$99975,1,FALSE)</f>
        <v>#N/A</v>
      </c>
    </row>
    <row r="85" spans="1:10" x14ac:dyDescent="0.25">
      <c r="A85" s="164"/>
      <c r="B85" s="44" t="str">
        <f>A85&amp;"-"&amp;IF(DAY(Variables!$A$2)&lt;10,0,"")&amp;DAY(Variables!$A$2)</f>
        <v>-24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5" s="31" t="e">
        <f>VLOOKUP(B85,'Train Runs'!$A$13:$A$99975,1,FALSE)</f>
        <v>#N/A</v>
      </c>
    </row>
    <row r="86" spans="1:10" x14ac:dyDescent="0.25">
      <c r="A86" s="164"/>
      <c r="B86" s="44" t="str">
        <f>A86&amp;"-"&amp;IF(DAY(Variables!$A$2)&lt;10,0,"")&amp;DAY(Variables!$A$2)</f>
        <v>-24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6" s="31" t="e">
        <f>VLOOKUP(B86,'Train Runs'!$A$13:$A$99975,1,FALSE)</f>
        <v>#N/A</v>
      </c>
    </row>
    <row r="87" spans="1:10" x14ac:dyDescent="0.25">
      <c r="A87" s="164"/>
      <c r="B87" s="44" t="str">
        <f>A87&amp;"-"&amp;IF(DAY(Variables!$A$2)&lt;10,0,"")&amp;DAY(Variables!$A$2)</f>
        <v>-24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7" s="31" t="e">
        <f>VLOOKUP(B87,'Train Runs'!$A$13:$A$99975,1,FALSE)</f>
        <v>#N/A</v>
      </c>
    </row>
    <row r="88" spans="1:10" x14ac:dyDescent="0.25">
      <c r="A88" s="164"/>
      <c r="B88" s="44" t="str">
        <f>A88&amp;"-"&amp;IF(DAY(Variables!$A$2)&lt;10,0,"")&amp;DAY(Variables!$A$2)</f>
        <v>-24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8" s="31" t="e">
        <f>VLOOKUP(B88,'Train Runs'!$A$13:$A$99975,1,FALSE)</f>
        <v>#N/A</v>
      </c>
    </row>
    <row r="89" spans="1:10" x14ac:dyDescent="0.25">
      <c r="A89" s="164"/>
      <c r="B89" s="44" t="str">
        <f>A89&amp;"-"&amp;IF(DAY(Variables!$A$2)&lt;10,0,"")&amp;DAY(Variables!$A$2)</f>
        <v>-24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9" s="31" t="e">
        <f>VLOOKUP(B89,'Train Runs'!$A$13:$A$99975,1,FALSE)</f>
        <v>#N/A</v>
      </c>
    </row>
    <row r="90" spans="1:10" x14ac:dyDescent="0.25">
      <c r="A90" s="164"/>
      <c r="B90" s="44" t="str">
        <f>A90&amp;"-"&amp;IF(DAY(Variables!$A$2)&lt;10,0,"")&amp;DAY(Variables!$A$2)</f>
        <v>-24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0" s="31" t="e">
        <f>VLOOKUP(B90,'Train Runs'!$A$13:$A$99975,1,FALSE)</f>
        <v>#N/A</v>
      </c>
    </row>
    <row r="91" spans="1:10" x14ac:dyDescent="0.25">
      <c r="A91" s="164"/>
      <c r="B91" s="44" t="str">
        <f>A91&amp;"-"&amp;IF(DAY(Variables!$A$2)&lt;10,0,"")&amp;DAY(Variables!$A$2)</f>
        <v>-24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1" s="31" t="e">
        <f>VLOOKUP(B91,'Train Runs'!$A$13:$A$99975,1,FALSE)</f>
        <v>#N/A</v>
      </c>
    </row>
    <row r="92" spans="1:10" x14ac:dyDescent="0.25">
      <c r="A92" s="164"/>
      <c r="B92" s="44" t="str">
        <f>A92&amp;"-"&amp;IF(DAY(Variables!$A$2)&lt;10,0,"")&amp;DAY(Variables!$A$2)</f>
        <v>-24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2" s="31" t="e">
        <f>VLOOKUP(B92,'Train Runs'!$A$13:$A$99975,1,FALSE)</f>
        <v>#N/A</v>
      </c>
    </row>
    <row r="93" spans="1:10" x14ac:dyDescent="0.25">
      <c r="A93" s="164"/>
      <c r="B93" s="44" t="str">
        <f>A93&amp;"-"&amp;IF(DAY(Variables!$A$2)&lt;10,0,"")&amp;DAY(Variables!$A$2)</f>
        <v>-24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3" s="31" t="e">
        <f>VLOOKUP(B93,'Train Runs'!$A$13:$A$99975,1,FALSE)</f>
        <v>#N/A</v>
      </c>
    </row>
    <row r="94" spans="1:10" x14ac:dyDescent="0.25">
      <c r="A94" s="164"/>
      <c r="B94" s="44" t="str">
        <f>A94&amp;"-"&amp;IF(DAY(Variables!$A$2)&lt;10,0,"")&amp;DAY(Variables!$A$2)</f>
        <v>-24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4" s="31" t="e">
        <f>VLOOKUP(B94,'Train Runs'!$A$13:$A$99975,1,FALSE)</f>
        <v>#N/A</v>
      </c>
    </row>
    <row r="95" spans="1:10" x14ac:dyDescent="0.25">
      <c r="A95" s="164"/>
      <c r="B95" s="44" t="str">
        <f>A95&amp;"-"&amp;IF(DAY(Variables!$A$2)&lt;10,0,"")&amp;DAY(Variables!$A$2)</f>
        <v>-24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5" s="31" t="e">
        <f>VLOOKUP(B95,'Train Runs'!$A$13:$A$99975,1,FALSE)</f>
        <v>#N/A</v>
      </c>
    </row>
    <row r="96" spans="1:10" x14ac:dyDescent="0.25">
      <c r="A96" s="164"/>
      <c r="B96" s="44" t="str">
        <f>A96&amp;"-"&amp;IF(DAY(Variables!$A$2)&lt;10,0,"")&amp;DAY(Variables!$A$2)</f>
        <v>-24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6" s="31" t="e">
        <f>VLOOKUP(B96,'Train Runs'!$A$13:$A$99975,1,FALSE)</f>
        <v>#N/A</v>
      </c>
    </row>
    <row r="97" spans="1:10" x14ac:dyDescent="0.25">
      <c r="A97" s="164"/>
      <c r="B97" s="44" t="str">
        <f>A97&amp;"-"&amp;IF(DAY(Variables!$A$2)&lt;10,0,"")&amp;DAY(Variables!$A$2)</f>
        <v>-24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7" s="31" t="e">
        <f>VLOOKUP(B97,'Train Runs'!$A$13:$A$99975,1,FALSE)</f>
        <v>#N/A</v>
      </c>
    </row>
    <row r="98" spans="1:10" x14ac:dyDescent="0.25">
      <c r="A98" s="164"/>
      <c r="B98" s="44" t="str">
        <f>A98&amp;"-"&amp;IF(DAY(Variables!$A$2)&lt;10,0,"")&amp;DAY(Variables!$A$2)</f>
        <v>-24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8" s="31" t="e">
        <f>VLOOKUP(B98,'Train Runs'!$A$13:$A$99975,1,FALSE)</f>
        <v>#N/A</v>
      </c>
    </row>
    <row r="99" spans="1:10" x14ac:dyDescent="0.25">
      <c r="A99" s="164"/>
      <c r="B99" s="44" t="str">
        <f>A99&amp;"-"&amp;IF(DAY(Variables!$A$2)&lt;10,0,"")&amp;DAY(Variables!$A$2)</f>
        <v>-24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9" s="31" t="e">
        <f>VLOOKUP(B99,'Train Runs'!$A$13:$A$99975,1,FALSE)</f>
        <v>#N/A</v>
      </c>
    </row>
    <row r="100" spans="1:10" x14ac:dyDescent="0.25">
      <c r="A100" s="164"/>
      <c r="B100" s="44" t="str">
        <f>A100&amp;"-"&amp;IF(DAY(Variables!$A$2)&lt;10,0,"")&amp;DAY(Variables!$A$2)</f>
        <v>-24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0" s="31" t="e">
        <f>VLOOKUP(B100,'Train Runs'!$A$13:$A$99975,1,FALSE)</f>
        <v>#N/A</v>
      </c>
    </row>
    <row r="101" spans="1:10" x14ac:dyDescent="0.25">
      <c r="A101" s="164"/>
      <c r="B101" s="44" t="str">
        <f>A101&amp;"-"&amp;IF(DAY(Variables!$A$2)&lt;10,0,"")&amp;DAY(Variables!$A$2)</f>
        <v>-24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1" s="31" t="e">
        <f>VLOOKUP(B101,'Train Runs'!$A$13:$A$99975,1,FALSE)</f>
        <v>#N/A</v>
      </c>
    </row>
    <row r="102" spans="1:10" x14ac:dyDescent="0.25">
      <c r="A102" s="164"/>
      <c r="B102" s="44" t="str">
        <f>A102&amp;"-"&amp;IF(DAY(Variables!$A$2)&lt;10,0,"")&amp;DAY(Variables!$A$2)</f>
        <v>-24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2" s="31" t="e">
        <f>VLOOKUP(B102,'Train Runs'!$A$13:$A$99975,1,FALSE)</f>
        <v>#N/A</v>
      </c>
    </row>
    <row r="103" spans="1:10" x14ac:dyDescent="0.25">
      <c r="A103" s="164"/>
      <c r="B103" s="44" t="str">
        <f>A103&amp;"-"&amp;IF(DAY(Variables!$A$2)&lt;10,0,"")&amp;DAY(Variables!$A$2)</f>
        <v>-24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3" s="31" t="e">
        <f>VLOOKUP(B103,'Train Runs'!$A$13:$A$99975,1,FALSE)</f>
        <v>#N/A</v>
      </c>
    </row>
    <row r="104" spans="1:10" x14ac:dyDescent="0.25">
      <c r="A104" s="164"/>
      <c r="B104" s="44" t="str">
        <f>A104&amp;"-"&amp;IF(DAY(Variables!$A$2)&lt;10,0,"")&amp;DAY(Variables!$A$2)</f>
        <v>-24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4" s="31" t="e">
        <f>VLOOKUP(B104,'Train Runs'!$A$13:$A$99975,1,FALSE)</f>
        <v>#N/A</v>
      </c>
    </row>
    <row r="105" spans="1:10" x14ac:dyDescent="0.25">
      <c r="A105" s="164"/>
      <c r="B105" s="44" t="str">
        <f>A105&amp;"-"&amp;IF(DAY(Variables!$A$2)&lt;10,0,"")&amp;DAY(Variables!$A$2)</f>
        <v>-24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5" s="31" t="e">
        <f>VLOOKUP(B105,'Train Runs'!$A$13:$A$99975,1,FALSE)</f>
        <v>#N/A</v>
      </c>
    </row>
    <row r="106" spans="1:10" x14ac:dyDescent="0.25">
      <c r="A106" s="164"/>
      <c r="B106" s="44" t="str">
        <f>A106&amp;"-"&amp;IF(DAY(Variables!$A$2)&lt;10,0,"")&amp;DAY(Variables!$A$2)</f>
        <v>-24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6" s="31" t="e">
        <f>VLOOKUP(B106,'Train Runs'!$A$13:$A$99975,1,FALSE)</f>
        <v>#N/A</v>
      </c>
    </row>
    <row r="107" spans="1:10" x14ac:dyDescent="0.25">
      <c r="A107" s="164"/>
      <c r="B107" s="44" t="str">
        <f>A107&amp;"-"&amp;IF(DAY(Variables!$A$2)&lt;10,0,"")&amp;DAY(Variables!$A$2)</f>
        <v>-24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7" s="31" t="e">
        <f>VLOOKUP(B107,'Train Runs'!$A$13:$A$99975,1,FALSE)</f>
        <v>#N/A</v>
      </c>
    </row>
    <row r="108" spans="1:10" x14ac:dyDescent="0.25">
      <c r="A108" s="164"/>
      <c r="B108" s="44" t="str">
        <f>A108&amp;"-"&amp;IF(DAY(Variables!$A$2)&lt;10,0,"")&amp;DAY(Variables!$A$2)</f>
        <v>-24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8" s="31" t="e">
        <f>VLOOKUP(B108,'Train Runs'!$A$13:$A$99975,1,FALSE)</f>
        <v>#N/A</v>
      </c>
    </row>
    <row r="109" spans="1:10" x14ac:dyDescent="0.25">
      <c r="A109" s="164"/>
      <c r="B109" s="44" t="str">
        <f>A109&amp;"-"&amp;IF(DAY(Variables!$A$2)&lt;10,0,"")&amp;DAY(Variables!$A$2)</f>
        <v>-24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9" s="31" t="e">
        <f>VLOOKUP(B109,'Train Runs'!$A$13:$A$99975,1,FALSE)</f>
        <v>#N/A</v>
      </c>
    </row>
    <row r="110" spans="1:10" x14ac:dyDescent="0.25">
      <c r="A110" s="164"/>
      <c r="B110" s="44" t="str">
        <f>A110&amp;"-"&amp;IF(DAY(Variables!$A$2)&lt;10,0,"")&amp;DAY(Variables!$A$2)</f>
        <v>-24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0" s="31" t="e">
        <f>VLOOKUP(B110,'Train Runs'!$A$13:$A$99975,1,FALSE)</f>
        <v>#N/A</v>
      </c>
    </row>
    <row r="111" spans="1:10" x14ac:dyDescent="0.25">
      <c r="A111" s="164"/>
      <c r="B111" s="44" t="str">
        <f>A111&amp;"-"&amp;IF(DAY(Variables!$A$2)&lt;10,0,"")&amp;DAY(Variables!$A$2)</f>
        <v>-24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1" s="31" t="e">
        <f>VLOOKUP(B111,'Train Runs'!$A$13:$A$99975,1,FALSE)</f>
        <v>#N/A</v>
      </c>
    </row>
    <row r="112" spans="1:10" x14ac:dyDescent="0.25">
      <c r="A112" s="164"/>
      <c r="B112" s="44" t="str">
        <f>A112&amp;"-"&amp;IF(DAY(Variables!$A$2)&lt;10,0,"")&amp;DAY(Variables!$A$2)</f>
        <v>-24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2" s="31" t="e">
        <f>VLOOKUP(B112,'Train Runs'!$A$13:$A$99975,1,FALSE)</f>
        <v>#N/A</v>
      </c>
    </row>
    <row r="113" spans="1:10" x14ac:dyDescent="0.25">
      <c r="A113" s="164"/>
      <c r="B113" s="44" t="str">
        <f>A113&amp;"-"&amp;IF(DAY(Variables!$A$2)&lt;10,0,"")&amp;DAY(Variables!$A$2)</f>
        <v>-24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3" s="31" t="e">
        <f>VLOOKUP(B113,'Train Runs'!$A$13:$A$99975,1,FALSE)</f>
        <v>#N/A</v>
      </c>
    </row>
    <row r="114" spans="1:10" x14ac:dyDescent="0.25">
      <c r="A114" s="164"/>
      <c r="B114" s="44" t="str">
        <f>A114&amp;"-"&amp;IF(DAY(Variables!$A$2)&lt;10,0,"")&amp;DAY(Variables!$A$2)</f>
        <v>-24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4" s="31" t="e">
        <f>VLOOKUP(B114,'Train Runs'!$A$13:$A$99975,1,FALSE)</f>
        <v>#N/A</v>
      </c>
    </row>
    <row r="115" spans="1:10" x14ac:dyDescent="0.25">
      <c r="A115" s="164"/>
      <c r="B115" s="44" t="str">
        <f>A115&amp;"-"&amp;IF(DAY(Variables!$A$2)&lt;10,0,"")&amp;DAY(Variables!$A$2)</f>
        <v>-24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5" s="31" t="e">
        <f>VLOOKUP(B115,'Train Runs'!$A$13:$A$99975,1,FALSE)</f>
        <v>#N/A</v>
      </c>
    </row>
    <row r="116" spans="1:10" x14ac:dyDescent="0.25">
      <c r="A116" s="164"/>
      <c r="B116" s="44" t="str">
        <f>A116&amp;"-"&amp;IF(DAY(Variables!$A$2)&lt;10,0,"")&amp;DAY(Variables!$A$2)</f>
        <v>-24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6" s="31" t="e">
        <f>VLOOKUP(B116,'Train Runs'!$A$13:$A$99975,1,FALSE)</f>
        <v>#N/A</v>
      </c>
    </row>
    <row r="117" spans="1:10" x14ac:dyDescent="0.25">
      <c r="A117" s="164"/>
      <c r="B117" s="44" t="str">
        <f>A117&amp;"-"&amp;IF(DAY(Variables!$A$2)&lt;10,0,"")&amp;DAY(Variables!$A$2)</f>
        <v>-24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7" s="31" t="e">
        <f>VLOOKUP(B117,'Train Runs'!$A$13:$A$99975,1,FALSE)</f>
        <v>#N/A</v>
      </c>
    </row>
    <row r="118" spans="1:10" x14ac:dyDescent="0.25">
      <c r="A118" s="164"/>
      <c r="B118" s="44" t="str">
        <f>A118&amp;"-"&amp;IF(DAY(Variables!$A$2)&lt;10,0,"")&amp;DAY(Variables!$A$2)</f>
        <v>-24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8" s="31" t="e">
        <f>VLOOKUP(B118,'Train Runs'!$A$13:$A$99975,1,FALSE)</f>
        <v>#N/A</v>
      </c>
    </row>
    <row r="119" spans="1:10" x14ac:dyDescent="0.25">
      <c r="A119" s="164"/>
      <c r="B119" s="44" t="str">
        <f>A119&amp;"-"&amp;IF(DAY(Variables!$A$2)&lt;10,0,"")&amp;DAY(Variables!$A$2)</f>
        <v>-24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9" s="31" t="e">
        <f>VLOOKUP(B119,'Train Runs'!$A$13:$A$99975,1,FALSE)</f>
        <v>#N/A</v>
      </c>
    </row>
    <row r="120" spans="1:10" x14ac:dyDescent="0.25">
      <c r="A120" s="164"/>
      <c r="B120" s="44" t="str">
        <f>A120&amp;"-"&amp;IF(DAY(Variables!$A$2)&lt;10,0,"")&amp;DAY(Variables!$A$2)</f>
        <v>-24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0" s="31" t="e">
        <f>VLOOKUP(B120,'Train Runs'!$A$13:$A$99975,1,FALSE)</f>
        <v>#N/A</v>
      </c>
    </row>
    <row r="121" spans="1:10" x14ac:dyDescent="0.25">
      <c r="A121" s="164"/>
      <c r="B121" s="44" t="str">
        <f>A121&amp;"-"&amp;IF(DAY(Variables!$A$2)&lt;10,0,"")&amp;DAY(Variables!$A$2)</f>
        <v>-24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1" s="31" t="e">
        <f>VLOOKUP(B121,'Train Runs'!$A$13:$A$99975,1,FALSE)</f>
        <v>#N/A</v>
      </c>
    </row>
    <row r="122" spans="1:10" x14ac:dyDescent="0.25">
      <c r="A122" s="164"/>
      <c r="B122" s="44" t="str">
        <f>A122&amp;"-"&amp;IF(DAY(Variables!$A$2)&lt;10,0,"")&amp;DAY(Variables!$A$2)</f>
        <v>-24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2" s="31" t="e">
        <f>VLOOKUP(B122,'Train Runs'!$A$13:$A$99975,1,FALSE)</f>
        <v>#N/A</v>
      </c>
    </row>
    <row r="123" spans="1:10" x14ac:dyDescent="0.25">
      <c r="A123" s="164"/>
      <c r="B123" s="44" t="str">
        <f>A123&amp;"-"&amp;IF(DAY(Variables!$A$2)&lt;10,0,"")&amp;DAY(Variables!$A$2)</f>
        <v>-24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3" s="31" t="e">
        <f>VLOOKUP(B123,'Train Runs'!$A$13:$A$99975,1,FALSE)</f>
        <v>#N/A</v>
      </c>
    </row>
    <row r="124" spans="1:10" x14ac:dyDescent="0.25">
      <c r="A124" s="164"/>
      <c r="B124" s="44" t="str">
        <f>A124&amp;"-"&amp;IF(DAY(Variables!$A$2)&lt;10,0,"")&amp;DAY(Variables!$A$2)</f>
        <v>-24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4" s="31" t="e">
        <f>VLOOKUP(B124,'Train Runs'!$A$13:$A$99975,1,FALSE)</f>
        <v>#N/A</v>
      </c>
    </row>
    <row r="125" spans="1:10" x14ac:dyDescent="0.25">
      <c r="A125" s="164"/>
      <c r="B125" s="44" t="str">
        <f>A125&amp;"-"&amp;IF(DAY(Variables!$A$2)&lt;10,0,"")&amp;DAY(Variables!$A$2)</f>
        <v>-24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5" s="31" t="e">
        <f>VLOOKUP(B125,'Train Runs'!$A$13:$A$99975,1,FALSE)</f>
        <v>#N/A</v>
      </c>
    </row>
    <row r="126" spans="1:10" x14ac:dyDescent="0.25">
      <c r="A126" s="164"/>
      <c r="B126" s="44" t="str">
        <f>A126&amp;"-"&amp;IF(DAY(Variables!$A$2)&lt;10,0,"")&amp;DAY(Variables!$A$2)</f>
        <v>-24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6" s="31" t="e">
        <f>VLOOKUP(B126,'Train Runs'!$A$13:$A$99975,1,FALSE)</f>
        <v>#N/A</v>
      </c>
    </row>
    <row r="127" spans="1:10" x14ac:dyDescent="0.25">
      <c r="A127" s="164"/>
      <c r="B127" s="44" t="str">
        <f>A127&amp;"-"&amp;IF(DAY(Variables!$A$2)&lt;10,0,"")&amp;DAY(Variables!$A$2)</f>
        <v>-24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ref="I127:I13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7" s="31" t="e">
        <f>VLOOKUP(B127,'Train Runs'!$A$13:$A$99975,1,FALSE)</f>
        <v>#N/A</v>
      </c>
    </row>
    <row r="128" spans="1:10" x14ac:dyDescent="0.25">
      <c r="A128" s="164"/>
      <c r="B128" s="44" t="str">
        <f>A128&amp;"-"&amp;IF(DAY(Variables!$A$2)&lt;10,0,"")&amp;DAY(Variables!$A$2)</f>
        <v>-24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8" s="31" t="e">
        <f>VLOOKUP(B128,'Train Runs'!$A$13:$A$99975,1,FALSE)</f>
        <v>#N/A</v>
      </c>
    </row>
    <row r="129" spans="1:10" x14ac:dyDescent="0.25">
      <c r="A129" s="164"/>
      <c r="B129" s="44" t="str">
        <f>A129&amp;"-"&amp;IF(DAY(Variables!$A$2)&lt;10,0,"")&amp;DAY(Variables!$A$2)</f>
        <v>-24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9" s="31" t="e">
        <f>VLOOKUP(B129,'Train Runs'!$A$13:$A$99975,1,FALSE)</f>
        <v>#N/A</v>
      </c>
    </row>
    <row r="130" spans="1:10" x14ac:dyDescent="0.25">
      <c r="A130" s="164"/>
      <c r="B130" s="44" t="str">
        <f>A130&amp;"-"&amp;IF(DAY(Variables!$A$2)&lt;10,0,"")&amp;DAY(Variables!$A$2)</f>
        <v>-24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0" s="31" t="e">
        <f>VLOOKUP(B130,'Train Runs'!$A$13:$A$99975,1,FALSE)</f>
        <v>#N/A</v>
      </c>
    </row>
    <row r="131" spans="1:10" x14ac:dyDescent="0.25">
      <c r="A131" s="164"/>
      <c r="B131" s="44" t="str">
        <f>A131&amp;"-"&amp;IF(DAY(Variables!$A$2)&lt;10,0,"")&amp;DAY(Variables!$A$2)</f>
        <v>-24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1" s="31" t="e">
        <f>VLOOKUP(B131,'Train Runs'!$A$13:$A$99975,1,FALSE)</f>
        <v>#N/A</v>
      </c>
    </row>
    <row r="132" spans="1:10" x14ac:dyDescent="0.25">
      <c r="A132" s="164"/>
      <c r="B132" s="44" t="str">
        <f>A132&amp;"-"&amp;IF(DAY(Variables!$A$2)&lt;10,0,"")&amp;DAY(Variables!$A$2)</f>
        <v>-24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2" s="31" t="e">
        <f>VLOOKUP(B132,'Train Runs'!$A$13:$A$99975,1,FALSE)</f>
        <v>#N/A</v>
      </c>
    </row>
    <row r="133" spans="1:10" x14ac:dyDescent="0.25">
      <c r="A133" s="164"/>
      <c r="B133" s="44" t="str">
        <f>A133&amp;"-"&amp;IF(DAY(Variables!$A$2)&lt;10,0,"")&amp;DAY(Variables!$A$2)</f>
        <v>-24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3" s="31" t="e">
        <f>VLOOKUP(B133,'Train Runs'!$A$13:$A$99975,1,FALSE)</f>
        <v>#N/A</v>
      </c>
    </row>
  </sheetData>
  <autoFilter ref="A2:J133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210</v>
      </c>
      <c r="G1" s="8" t="s">
        <v>209</v>
      </c>
    </row>
    <row r="2" spans="1:7" x14ac:dyDescent="0.25">
      <c r="A2" s="8">
        <v>42759.038356481484</v>
      </c>
      <c r="B2" s="21" t="s">
        <v>222</v>
      </c>
      <c r="C2" s="21" t="s">
        <v>384</v>
      </c>
      <c r="D2" s="157">
        <v>2000000</v>
      </c>
      <c r="E2" s="21" t="s">
        <v>309</v>
      </c>
      <c r="F2" s="21" t="s">
        <v>208</v>
      </c>
      <c r="G2" s="8" t="str">
        <f>E2&amp;" "&amp;F2</f>
        <v>STAMBAUGH JAMES</v>
      </c>
    </row>
    <row r="3" spans="1:7" x14ac:dyDescent="0.25">
      <c r="A3" s="8">
        <v>42759.051319444443</v>
      </c>
      <c r="B3" s="21" t="s">
        <v>195</v>
      </c>
      <c r="C3" s="21" t="s">
        <v>398</v>
      </c>
      <c r="D3" s="157">
        <v>2230000</v>
      </c>
      <c r="E3" s="21" t="s">
        <v>308</v>
      </c>
      <c r="F3" s="21" t="s">
        <v>213</v>
      </c>
      <c r="G3" s="8" t="str">
        <f t="shared" ref="G3:G66" si="0">E3&amp;" "&amp;F3</f>
        <v>SMITH MICHAEL</v>
      </c>
    </row>
    <row r="4" spans="1:7" x14ac:dyDescent="0.25">
      <c r="A4" s="8">
        <v>42759.052187499998</v>
      </c>
      <c r="B4" s="21" t="s">
        <v>195</v>
      </c>
      <c r="C4" s="21" t="s">
        <v>398</v>
      </c>
      <c r="D4" s="157">
        <v>2230000</v>
      </c>
      <c r="E4" s="21" t="s">
        <v>308</v>
      </c>
      <c r="F4" s="21" t="s">
        <v>213</v>
      </c>
      <c r="G4" s="8" t="str">
        <f t="shared" si="0"/>
        <v>SMITH MICHAEL</v>
      </c>
    </row>
    <row r="5" spans="1:7" x14ac:dyDescent="0.25">
      <c r="A5" s="8">
        <v>42759.053449074076</v>
      </c>
      <c r="B5" s="21" t="s">
        <v>195</v>
      </c>
      <c r="C5" s="21" t="s">
        <v>398</v>
      </c>
      <c r="D5" s="157">
        <v>2230000</v>
      </c>
      <c r="E5" s="21" t="s">
        <v>308</v>
      </c>
      <c r="F5" s="21" t="s">
        <v>213</v>
      </c>
      <c r="G5" s="8" t="str">
        <f t="shared" si="0"/>
        <v>SMITH MICHAEL</v>
      </c>
    </row>
    <row r="6" spans="1:7" x14ac:dyDescent="0.25">
      <c r="A6" s="8">
        <v>42759.054803240739</v>
      </c>
      <c r="B6" s="21" t="s">
        <v>247</v>
      </c>
      <c r="C6" s="21" t="s">
        <v>399</v>
      </c>
      <c r="D6" s="157">
        <v>1740000</v>
      </c>
      <c r="E6" s="21" t="s">
        <v>265</v>
      </c>
      <c r="F6" s="21" t="s">
        <v>266</v>
      </c>
      <c r="G6" s="8" t="str">
        <f t="shared" si="0"/>
        <v>STORY SAMANTHA</v>
      </c>
    </row>
    <row r="7" spans="1:7" x14ac:dyDescent="0.25">
      <c r="A7" s="8">
        <v>42759.068043981482</v>
      </c>
      <c r="B7" s="21" t="s">
        <v>261</v>
      </c>
      <c r="C7" s="21" t="s">
        <v>400</v>
      </c>
      <c r="D7" s="157">
        <v>2000000</v>
      </c>
      <c r="E7" s="21" t="s">
        <v>309</v>
      </c>
      <c r="F7" s="21" t="s">
        <v>208</v>
      </c>
      <c r="G7" s="8" t="str">
        <f t="shared" si="0"/>
        <v>STAMBAUGH JAMES</v>
      </c>
    </row>
    <row r="8" spans="1:7" x14ac:dyDescent="0.25">
      <c r="A8" s="8">
        <v>42759.089814814812</v>
      </c>
      <c r="B8" s="21" t="s">
        <v>201</v>
      </c>
      <c r="C8" s="21" t="s">
        <v>401</v>
      </c>
      <c r="D8" s="157">
        <v>1740000</v>
      </c>
      <c r="E8" s="21" t="s">
        <v>265</v>
      </c>
      <c r="F8" s="21" t="s">
        <v>266</v>
      </c>
      <c r="G8" s="8" t="str">
        <f t="shared" si="0"/>
        <v>STORY SAMANTHA</v>
      </c>
    </row>
    <row r="9" spans="1:7" ht="15.75" thickBot="1" x14ac:dyDescent="0.3">
      <c r="A9" s="25">
        <v>42759.119791666664</v>
      </c>
      <c r="B9" s="21" t="s">
        <v>203</v>
      </c>
      <c r="C9" s="21" t="s">
        <v>492</v>
      </c>
      <c r="D9" s="157">
        <v>2110000</v>
      </c>
      <c r="E9" s="21" t="s">
        <v>345</v>
      </c>
      <c r="F9" s="21" t="s">
        <v>346</v>
      </c>
      <c r="G9" s="8" t="str">
        <f t="shared" si="0"/>
        <v>OUN ZACK</v>
      </c>
    </row>
    <row r="10" spans="1:7" x14ac:dyDescent="0.25">
      <c r="A10" s="8">
        <v>42759.131249999999</v>
      </c>
      <c r="B10" s="21" t="s">
        <v>273</v>
      </c>
      <c r="C10" s="21" t="s">
        <v>493</v>
      </c>
      <c r="D10" s="157">
        <v>2110000</v>
      </c>
      <c r="E10" s="21" t="s">
        <v>345</v>
      </c>
      <c r="F10" s="21" t="s">
        <v>346</v>
      </c>
      <c r="G10" s="8" t="str">
        <f t="shared" si="0"/>
        <v>OUN ZACK</v>
      </c>
    </row>
    <row r="11" spans="1:7" x14ac:dyDescent="0.25">
      <c r="A11" s="8">
        <v>42759.142569444448</v>
      </c>
      <c r="B11" s="21" t="s">
        <v>494</v>
      </c>
      <c r="C11" s="21" t="s">
        <v>495</v>
      </c>
      <c r="D11" s="157">
        <v>2010000</v>
      </c>
      <c r="E11" s="21" t="s">
        <v>347</v>
      </c>
      <c r="F11" s="21" t="s">
        <v>348</v>
      </c>
      <c r="G11" s="8" t="str">
        <f t="shared" si="0"/>
        <v>MAELZER KURT</v>
      </c>
    </row>
    <row r="12" spans="1:7" x14ac:dyDescent="0.25">
      <c r="A12" s="8">
        <v>42759.15283564815</v>
      </c>
      <c r="B12" s="21" t="s">
        <v>344</v>
      </c>
      <c r="C12" s="21" t="s">
        <v>496</v>
      </c>
      <c r="D12" s="157">
        <v>2010000</v>
      </c>
      <c r="E12" s="21" t="s">
        <v>347</v>
      </c>
      <c r="F12" s="21" t="s">
        <v>348</v>
      </c>
      <c r="G12" s="8" t="str">
        <f t="shared" si="0"/>
        <v>MAELZER KURT</v>
      </c>
    </row>
    <row r="13" spans="1:7" x14ac:dyDescent="0.25">
      <c r="A13" s="8">
        <v>42759.152986111112</v>
      </c>
      <c r="B13" s="21" t="s">
        <v>234</v>
      </c>
      <c r="C13" s="21" t="s">
        <v>497</v>
      </c>
      <c r="D13" s="157">
        <v>1230000</v>
      </c>
      <c r="E13" s="21" t="s">
        <v>393</v>
      </c>
      <c r="F13" s="21" t="s">
        <v>394</v>
      </c>
      <c r="G13" s="8" t="str">
        <f t="shared" si="0"/>
        <v>YANAI IAN</v>
      </c>
    </row>
    <row r="14" spans="1:7" x14ac:dyDescent="0.25">
      <c r="A14" s="8">
        <v>42759.168912037036</v>
      </c>
      <c r="B14" s="21" t="s">
        <v>397</v>
      </c>
      <c r="C14" s="21" t="s">
        <v>498</v>
      </c>
      <c r="D14" s="157">
        <v>1230000</v>
      </c>
      <c r="E14" s="21" t="s">
        <v>393</v>
      </c>
      <c r="F14" s="21" t="s">
        <v>394</v>
      </c>
      <c r="G14" s="8" t="str">
        <f t="shared" si="0"/>
        <v>YANAI IAN</v>
      </c>
    </row>
    <row r="15" spans="1:7" x14ac:dyDescent="0.25">
      <c r="A15" s="8">
        <v>42759.173831018517</v>
      </c>
      <c r="B15" s="21" t="s">
        <v>203</v>
      </c>
      <c r="C15" s="21" t="s">
        <v>499</v>
      </c>
      <c r="D15" s="157">
        <v>2110000</v>
      </c>
      <c r="E15" s="21" t="s">
        <v>345</v>
      </c>
      <c r="F15" s="21" t="s">
        <v>346</v>
      </c>
      <c r="G15" s="8" t="str">
        <f t="shared" si="0"/>
        <v>OUN ZACK</v>
      </c>
    </row>
    <row r="16" spans="1:7" x14ac:dyDescent="0.25">
      <c r="A16" s="8">
        <v>42759.174837962964</v>
      </c>
      <c r="B16" s="21" t="s">
        <v>385</v>
      </c>
      <c r="C16" s="21" t="s">
        <v>500</v>
      </c>
      <c r="D16" s="157">
        <v>940000</v>
      </c>
      <c r="E16" s="21" t="s">
        <v>386</v>
      </c>
      <c r="F16" s="21" t="s">
        <v>387</v>
      </c>
      <c r="G16" s="8" t="str">
        <f t="shared" si="0"/>
        <v>BONDS REYNALDO</v>
      </c>
    </row>
    <row r="17" spans="1:7" x14ac:dyDescent="0.25">
      <c r="A17" s="8">
        <v>42759.184791666667</v>
      </c>
      <c r="B17" s="21" t="s">
        <v>390</v>
      </c>
      <c r="C17" s="21" t="s">
        <v>501</v>
      </c>
      <c r="D17" s="157">
        <v>940000</v>
      </c>
      <c r="E17" s="21" t="s">
        <v>386</v>
      </c>
      <c r="F17" s="21" t="s">
        <v>387</v>
      </c>
      <c r="G17" s="8" t="str">
        <f t="shared" si="0"/>
        <v>BONDS REYNALDO</v>
      </c>
    </row>
    <row r="18" spans="1:7" x14ac:dyDescent="0.25">
      <c r="A18" s="8">
        <v>42759.185335648152</v>
      </c>
      <c r="B18" s="21" t="s">
        <v>154</v>
      </c>
      <c r="C18" s="21" t="s">
        <v>502</v>
      </c>
      <c r="D18" s="157">
        <v>1990000</v>
      </c>
      <c r="E18" s="21" t="s">
        <v>259</v>
      </c>
      <c r="F18" s="21" t="s">
        <v>303</v>
      </c>
      <c r="G18" s="8" t="str">
        <f t="shared" si="0"/>
        <v>DAVIS WENDY</v>
      </c>
    </row>
    <row r="19" spans="1:7" x14ac:dyDescent="0.25">
      <c r="A19" s="8">
        <v>42759.189872685187</v>
      </c>
      <c r="B19" s="21" t="s">
        <v>494</v>
      </c>
      <c r="C19" s="21" t="s">
        <v>503</v>
      </c>
      <c r="D19" s="157">
        <v>2010000</v>
      </c>
      <c r="E19" s="21" t="s">
        <v>347</v>
      </c>
      <c r="F19" s="21" t="s">
        <v>348</v>
      </c>
      <c r="G19" s="8" t="str">
        <f t="shared" si="0"/>
        <v>MAELZER KURT</v>
      </c>
    </row>
    <row r="20" spans="1:7" x14ac:dyDescent="0.25">
      <c r="A20" s="8">
        <v>42759.194930555554</v>
      </c>
      <c r="B20" s="21" t="s">
        <v>153</v>
      </c>
      <c r="C20" s="21" t="s">
        <v>504</v>
      </c>
      <c r="D20" s="157">
        <v>1990000</v>
      </c>
      <c r="E20" s="21" t="s">
        <v>259</v>
      </c>
      <c r="F20" s="21" t="s">
        <v>303</v>
      </c>
      <c r="G20" s="8" t="str">
        <f t="shared" si="0"/>
        <v>DAVIS WENDY</v>
      </c>
    </row>
    <row r="21" spans="1:7" x14ac:dyDescent="0.25">
      <c r="A21" s="8">
        <v>42759.199317129627</v>
      </c>
      <c r="B21" s="21" t="s">
        <v>250</v>
      </c>
      <c r="C21" s="21" t="s">
        <v>505</v>
      </c>
      <c r="D21" s="157">
        <v>1290000</v>
      </c>
      <c r="E21" s="21" t="s">
        <v>506</v>
      </c>
      <c r="F21" s="21" t="s">
        <v>507</v>
      </c>
      <c r="G21" s="8" t="str">
        <f t="shared" si="0"/>
        <v>COOLAHAN JOHN</v>
      </c>
    </row>
    <row r="22" spans="1:7" x14ac:dyDescent="0.25">
      <c r="A22" s="27">
        <v>42759.20039351852</v>
      </c>
      <c r="B22" s="21" t="s">
        <v>305</v>
      </c>
      <c r="C22" s="21" t="s">
        <v>508</v>
      </c>
      <c r="D22" s="157">
        <v>1830000</v>
      </c>
      <c r="E22" s="21" t="s">
        <v>349</v>
      </c>
      <c r="F22" s="21" t="s">
        <v>350</v>
      </c>
      <c r="G22" s="8" t="str">
        <f t="shared" si="0"/>
        <v>YORK EDGAR</v>
      </c>
    </row>
    <row r="23" spans="1:7" x14ac:dyDescent="0.25">
      <c r="A23" s="8">
        <v>42759.208912037036</v>
      </c>
      <c r="B23" s="21" t="s">
        <v>304</v>
      </c>
      <c r="C23" s="21" t="s">
        <v>509</v>
      </c>
      <c r="D23" s="157">
        <v>1830000</v>
      </c>
      <c r="E23" s="21" t="s">
        <v>349</v>
      </c>
      <c r="F23" s="21" t="s">
        <v>350</v>
      </c>
      <c r="G23" s="8" t="str">
        <f t="shared" si="0"/>
        <v>YORK EDGAR</v>
      </c>
    </row>
    <row r="24" spans="1:7" x14ac:dyDescent="0.25">
      <c r="A24" s="8">
        <v>42759.211469907408</v>
      </c>
      <c r="B24" s="21" t="s">
        <v>234</v>
      </c>
      <c r="C24" s="21" t="s">
        <v>510</v>
      </c>
      <c r="D24" s="157">
        <v>1230000</v>
      </c>
      <c r="E24" s="21" t="s">
        <v>393</v>
      </c>
      <c r="F24" s="21" t="s">
        <v>394</v>
      </c>
      <c r="G24" s="8" t="str">
        <f t="shared" si="0"/>
        <v>YANAI IAN</v>
      </c>
    </row>
    <row r="25" spans="1:7" x14ac:dyDescent="0.25">
      <c r="A25" s="8">
        <v>42759.219328703701</v>
      </c>
      <c r="B25" s="21" t="s">
        <v>273</v>
      </c>
      <c r="C25" s="21" t="s">
        <v>511</v>
      </c>
      <c r="D25" s="157">
        <v>2110000</v>
      </c>
      <c r="E25" s="21" t="s">
        <v>345</v>
      </c>
      <c r="F25" s="21" t="s">
        <v>346</v>
      </c>
      <c r="G25" s="8" t="str">
        <f t="shared" si="0"/>
        <v>OUN ZACK</v>
      </c>
    </row>
    <row r="26" spans="1:7" x14ac:dyDescent="0.25">
      <c r="A26" s="8">
        <v>42759.22384259259</v>
      </c>
      <c r="B26" s="21" t="s">
        <v>385</v>
      </c>
      <c r="C26" s="21" t="s">
        <v>455</v>
      </c>
      <c r="D26" s="157">
        <v>940000</v>
      </c>
      <c r="E26" s="21" t="s">
        <v>386</v>
      </c>
      <c r="F26" s="21" t="s">
        <v>387</v>
      </c>
      <c r="G26" s="8" t="str">
        <f t="shared" si="0"/>
        <v>BONDS REYNALDO</v>
      </c>
    </row>
    <row r="27" spans="1:7" x14ac:dyDescent="0.25">
      <c r="A27" s="8">
        <v>42759.223993055559</v>
      </c>
      <c r="B27" s="21" t="s">
        <v>202</v>
      </c>
      <c r="C27" s="21" t="s">
        <v>512</v>
      </c>
      <c r="D27" s="157">
        <v>900000</v>
      </c>
      <c r="E27" s="21" t="s">
        <v>513</v>
      </c>
      <c r="F27" s="21" t="s">
        <v>514</v>
      </c>
      <c r="G27" s="8" t="str">
        <f t="shared" si="0"/>
        <v>ROCHA YAOTL</v>
      </c>
    </row>
    <row r="28" spans="1:7" x14ac:dyDescent="0.25">
      <c r="A28" s="8">
        <v>42759.22724537037</v>
      </c>
      <c r="B28" s="21" t="s">
        <v>305</v>
      </c>
      <c r="C28" s="21" t="s">
        <v>515</v>
      </c>
      <c r="D28" s="157">
        <v>1830000</v>
      </c>
      <c r="E28" s="21" t="s">
        <v>349</v>
      </c>
      <c r="F28" s="21" t="s">
        <v>350</v>
      </c>
      <c r="G28" s="8" t="str">
        <f t="shared" si="0"/>
        <v>YORK EDGAR</v>
      </c>
    </row>
    <row r="29" spans="1:7" x14ac:dyDescent="0.25">
      <c r="A29" s="8">
        <v>42759.233993055554</v>
      </c>
      <c r="B29" s="21" t="s">
        <v>154</v>
      </c>
      <c r="C29" s="21" t="s">
        <v>454</v>
      </c>
      <c r="D29" s="157">
        <v>1990000</v>
      </c>
      <c r="E29" s="21" t="s">
        <v>259</v>
      </c>
      <c r="F29" s="21" t="s">
        <v>303</v>
      </c>
      <c r="G29" s="8" t="str">
        <f t="shared" si="0"/>
        <v>DAVIS WENDY</v>
      </c>
    </row>
    <row r="30" spans="1:7" x14ac:dyDescent="0.25">
      <c r="A30" s="8">
        <v>42759.234548611108</v>
      </c>
      <c r="B30" s="21" t="s">
        <v>344</v>
      </c>
      <c r="C30" s="21" t="s">
        <v>516</v>
      </c>
      <c r="D30" s="157">
        <v>2010000</v>
      </c>
      <c r="E30" s="21" t="s">
        <v>347</v>
      </c>
      <c r="F30" s="21" t="s">
        <v>348</v>
      </c>
      <c r="G30" s="8" t="str">
        <f t="shared" si="0"/>
        <v>MAELZER KURT</v>
      </c>
    </row>
    <row r="31" spans="1:7" x14ac:dyDescent="0.25">
      <c r="A31" s="8">
        <v>42759.243414351855</v>
      </c>
      <c r="B31" s="21" t="s">
        <v>272</v>
      </c>
      <c r="C31" s="21" t="s">
        <v>456</v>
      </c>
      <c r="D31" s="157">
        <v>2270000</v>
      </c>
      <c r="E31" s="21" t="s">
        <v>274</v>
      </c>
      <c r="F31" s="21" t="s">
        <v>275</v>
      </c>
      <c r="G31" s="8" t="str">
        <f t="shared" si="0"/>
        <v>BROWN JACOB</v>
      </c>
    </row>
    <row r="32" spans="1:7" x14ac:dyDescent="0.25">
      <c r="A32" s="8">
        <v>42759.245729166665</v>
      </c>
      <c r="B32" s="21" t="s">
        <v>249</v>
      </c>
      <c r="C32" s="21" t="s">
        <v>457</v>
      </c>
      <c r="D32" s="157">
        <v>1290000</v>
      </c>
      <c r="E32" s="21" t="s">
        <v>506</v>
      </c>
      <c r="F32" s="21" t="s">
        <v>507</v>
      </c>
      <c r="G32" s="8" t="str">
        <f t="shared" si="0"/>
        <v>COOLAHAN JOHN</v>
      </c>
    </row>
    <row r="33" spans="1:7" x14ac:dyDescent="0.25">
      <c r="A33" s="8">
        <v>42759.250439814816</v>
      </c>
      <c r="B33" s="21" t="s">
        <v>517</v>
      </c>
      <c r="C33" s="21" t="s">
        <v>518</v>
      </c>
      <c r="D33" s="157">
        <v>1200000</v>
      </c>
      <c r="E33" s="21" t="s">
        <v>519</v>
      </c>
      <c r="F33" s="21" t="s">
        <v>520</v>
      </c>
      <c r="G33" s="8" t="str">
        <f t="shared" si="0"/>
        <v>CUSHING HARRY</v>
      </c>
    </row>
    <row r="34" spans="1:7" x14ac:dyDescent="0.25">
      <c r="A34" s="8">
        <v>42759.255243055559</v>
      </c>
      <c r="B34" s="21" t="s">
        <v>304</v>
      </c>
      <c r="C34" s="21" t="s">
        <v>521</v>
      </c>
      <c r="D34" s="157">
        <v>1830000</v>
      </c>
      <c r="E34" s="21" t="s">
        <v>349</v>
      </c>
      <c r="F34" s="21" t="s">
        <v>350</v>
      </c>
      <c r="G34" s="8" t="str">
        <f t="shared" si="0"/>
        <v>YORK EDGAR</v>
      </c>
    </row>
    <row r="35" spans="1:7" x14ac:dyDescent="0.25">
      <c r="A35" s="8">
        <v>42759.256157407406</v>
      </c>
      <c r="B35" s="21" t="s">
        <v>242</v>
      </c>
      <c r="C35" s="21" t="s">
        <v>522</v>
      </c>
      <c r="D35" s="157">
        <v>2110000</v>
      </c>
      <c r="E35" s="21" t="s">
        <v>345</v>
      </c>
      <c r="F35" s="21" t="s">
        <v>346</v>
      </c>
      <c r="G35" s="8" t="str">
        <f t="shared" si="0"/>
        <v>OUN ZACK</v>
      </c>
    </row>
    <row r="36" spans="1:7" x14ac:dyDescent="0.25">
      <c r="A36" s="8">
        <v>42759.257974537039</v>
      </c>
      <c r="B36" s="21" t="s">
        <v>390</v>
      </c>
      <c r="C36" s="21" t="s">
        <v>523</v>
      </c>
      <c r="D36" s="157">
        <v>940000</v>
      </c>
      <c r="E36" s="21" t="s">
        <v>386</v>
      </c>
      <c r="F36" s="21" t="s">
        <v>387</v>
      </c>
      <c r="G36" s="8" t="str">
        <f t="shared" si="0"/>
        <v>BONDS REYNALDO</v>
      </c>
    </row>
    <row r="37" spans="1:7" x14ac:dyDescent="0.25">
      <c r="A37" s="8">
        <v>42759.263136574074</v>
      </c>
      <c r="B37" s="21" t="s">
        <v>197</v>
      </c>
      <c r="C37" s="21" t="s">
        <v>524</v>
      </c>
      <c r="D37" s="157">
        <v>2270000</v>
      </c>
      <c r="E37" s="21" t="s">
        <v>274</v>
      </c>
      <c r="F37" s="21" t="s">
        <v>275</v>
      </c>
      <c r="G37" s="8" t="str">
        <f t="shared" si="0"/>
        <v>BROWN JACOB</v>
      </c>
    </row>
    <row r="38" spans="1:7" x14ac:dyDescent="0.25">
      <c r="A38" s="8">
        <v>42759.268263888887</v>
      </c>
      <c r="B38" s="21" t="s">
        <v>203</v>
      </c>
      <c r="C38" s="21" t="s">
        <v>525</v>
      </c>
      <c r="D38" s="157">
        <v>900000</v>
      </c>
      <c r="E38" s="21" t="s">
        <v>513</v>
      </c>
      <c r="F38" s="21" t="s">
        <v>514</v>
      </c>
      <c r="G38" s="8" t="str">
        <f t="shared" si="0"/>
        <v>ROCHA YAOTL</v>
      </c>
    </row>
    <row r="39" spans="1:7" x14ac:dyDescent="0.25">
      <c r="A39" s="8">
        <v>42759.268680555557</v>
      </c>
      <c r="B39" s="21" t="s">
        <v>249</v>
      </c>
      <c r="C39" s="21" t="s">
        <v>457</v>
      </c>
      <c r="D39" s="157">
        <v>1290000</v>
      </c>
      <c r="E39" s="21" t="s">
        <v>506</v>
      </c>
      <c r="F39" s="21" t="s">
        <v>507</v>
      </c>
      <c r="G39" s="8" t="str">
        <f t="shared" si="0"/>
        <v>COOLAHAN JOHN</v>
      </c>
    </row>
    <row r="40" spans="1:7" x14ac:dyDescent="0.25">
      <c r="A40" s="8">
        <v>42759.269143518519</v>
      </c>
      <c r="B40" s="26" t="s">
        <v>153</v>
      </c>
      <c r="C40" s="21" t="s">
        <v>526</v>
      </c>
      <c r="D40" s="157">
        <v>1990000</v>
      </c>
      <c r="E40" s="21" t="s">
        <v>259</v>
      </c>
      <c r="F40" s="21" t="s">
        <v>303</v>
      </c>
      <c r="G40" s="8" t="str">
        <f t="shared" si="0"/>
        <v>DAVIS WENDY</v>
      </c>
    </row>
    <row r="41" spans="1:7" x14ac:dyDescent="0.25">
      <c r="A41" s="8">
        <v>42759.269641203704</v>
      </c>
      <c r="B41" s="21" t="s">
        <v>305</v>
      </c>
      <c r="C41" s="21" t="s">
        <v>527</v>
      </c>
      <c r="D41" s="157">
        <v>1830000</v>
      </c>
      <c r="E41" s="21" t="s">
        <v>349</v>
      </c>
      <c r="F41" s="21" t="s">
        <v>350</v>
      </c>
      <c r="G41" s="8" t="str">
        <f t="shared" si="0"/>
        <v>YORK EDGAR</v>
      </c>
    </row>
    <row r="42" spans="1:7" x14ac:dyDescent="0.25">
      <c r="A42" s="8">
        <v>42759.276516203703</v>
      </c>
      <c r="B42" s="21" t="s">
        <v>272</v>
      </c>
      <c r="C42" s="21" t="s">
        <v>528</v>
      </c>
      <c r="D42" s="157">
        <v>2270000</v>
      </c>
      <c r="E42" s="21" t="s">
        <v>274</v>
      </c>
      <c r="F42" s="21" t="s">
        <v>275</v>
      </c>
      <c r="G42" s="8" t="str">
        <f t="shared" si="0"/>
        <v>BROWN JACOB</v>
      </c>
    </row>
    <row r="43" spans="1:7" x14ac:dyDescent="0.25">
      <c r="A43" s="8">
        <v>42759.285405092596</v>
      </c>
      <c r="B43" s="21" t="s">
        <v>351</v>
      </c>
      <c r="C43" s="21" t="s">
        <v>529</v>
      </c>
      <c r="D43" s="157">
        <v>2010000</v>
      </c>
      <c r="E43" s="21" t="s">
        <v>347</v>
      </c>
      <c r="F43" s="21" t="s">
        <v>348</v>
      </c>
      <c r="G43" s="8" t="str">
        <f t="shared" si="0"/>
        <v>MAELZER KURT</v>
      </c>
    </row>
    <row r="44" spans="1:7" x14ac:dyDescent="0.25">
      <c r="A44" s="8">
        <v>42759.289224537039</v>
      </c>
      <c r="B44" s="21" t="s">
        <v>494</v>
      </c>
      <c r="C44" s="21" t="s">
        <v>530</v>
      </c>
      <c r="D44" s="157">
        <v>1200000</v>
      </c>
      <c r="E44" s="21" t="s">
        <v>519</v>
      </c>
      <c r="F44" s="21" t="s">
        <v>520</v>
      </c>
      <c r="G44" s="8" t="str">
        <f t="shared" si="0"/>
        <v>CUSHING HARRY</v>
      </c>
    </row>
    <row r="45" spans="1:7" x14ac:dyDescent="0.25">
      <c r="A45" s="8">
        <v>42759.289467592593</v>
      </c>
      <c r="B45" s="21" t="s">
        <v>397</v>
      </c>
      <c r="C45" s="21" t="s">
        <v>531</v>
      </c>
      <c r="D45" s="157">
        <v>1090000</v>
      </c>
      <c r="E45" s="21" t="s">
        <v>532</v>
      </c>
      <c r="F45" s="21" t="s">
        <v>213</v>
      </c>
      <c r="G45" s="8" t="str">
        <f t="shared" si="0"/>
        <v>SPECTOR MICHAEL</v>
      </c>
    </row>
    <row r="46" spans="1:7" x14ac:dyDescent="0.25">
      <c r="A46" s="8">
        <v>42759.292881944442</v>
      </c>
      <c r="B46" s="21" t="s">
        <v>250</v>
      </c>
      <c r="C46" s="21" t="s">
        <v>533</v>
      </c>
      <c r="D46" s="157">
        <v>1290000</v>
      </c>
      <c r="E46" s="21" t="s">
        <v>506</v>
      </c>
      <c r="F46" s="21" t="s">
        <v>507</v>
      </c>
      <c r="G46" s="8" t="str">
        <f t="shared" si="0"/>
        <v>COOLAHAN JOHN</v>
      </c>
    </row>
    <row r="47" spans="1:7" x14ac:dyDescent="0.25">
      <c r="A47" s="8">
        <v>42759.297754629632</v>
      </c>
      <c r="B47" s="21" t="s">
        <v>304</v>
      </c>
      <c r="C47" s="21" t="s">
        <v>534</v>
      </c>
      <c r="D47" s="157">
        <v>1830000</v>
      </c>
      <c r="E47" s="21" t="s">
        <v>349</v>
      </c>
      <c r="F47" s="21" t="s">
        <v>350</v>
      </c>
      <c r="G47" s="8" t="str">
        <f t="shared" si="0"/>
        <v>YORK EDGAR</v>
      </c>
    </row>
    <row r="48" spans="1:7" x14ac:dyDescent="0.25">
      <c r="A48" s="8">
        <v>42759.298773148148</v>
      </c>
      <c r="B48" s="21" t="s">
        <v>385</v>
      </c>
      <c r="C48" s="21" t="s">
        <v>458</v>
      </c>
      <c r="D48" s="157">
        <v>940000</v>
      </c>
      <c r="E48" s="21" t="s">
        <v>386</v>
      </c>
      <c r="F48" s="21" t="s">
        <v>387</v>
      </c>
      <c r="G48" s="8" t="str">
        <f t="shared" si="0"/>
        <v>BONDS REYNALDO</v>
      </c>
    </row>
    <row r="49" spans="1:7" x14ac:dyDescent="0.25">
      <c r="A49" s="8">
        <v>42759.302106481482</v>
      </c>
      <c r="B49" s="21" t="s">
        <v>202</v>
      </c>
      <c r="C49" s="21" t="s">
        <v>535</v>
      </c>
      <c r="D49" s="157">
        <v>900000</v>
      </c>
      <c r="E49" s="21" t="s">
        <v>513</v>
      </c>
      <c r="F49" s="21" t="s">
        <v>514</v>
      </c>
      <c r="G49" s="8" t="str">
        <f t="shared" si="0"/>
        <v>ROCHA YAOTL</v>
      </c>
    </row>
    <row r="50" spans="1:7" x14ac:dyDescent="0.25">
      <c r="A50" s="8">
        <v>42759.304456018515</v>
      </c>
      <c r="B50" s="21" t="s">
        <v>197</v>
      </c>
      <c r="C50" s="21" t="s">
        <v>536</v>
      </c>
      <c r="D50" s="157">
        <v>2270000</v>
      </c>
      <c r="E50" s="21" t="s">
        <v>274</v>
      </c>
      <c r="F50" s="21" t="s">
        <v>275</v>
      </c>
      <c r="G50" s="8" t="str">
        <f t="shared" si="0"/>
        <v>BROWN JACOB</v>
      </c>
    </row>
    <row r="51" spans="1:7" x14ac:dyDescent="0.25">
      <c r="A51" s="8">
        <v>42759.307824074072</v>
      </c>
      <c r="B51" s="21" t="s">
        <v>154</v>
      </c>
      <c r="C51" s="21" t="s">
        <v>537</v>
      </c>
      <c r="D51" s="157">
        <v>1990000</v>
      </c>
      <c r="E51" s="21" t="s">
        <v>259</v>
      </c>
      <c r="F51" s="21" t="s">
        <v>303</v>
      </c>
      <c r="G51" s="8" t="str">
        <f t="shared" si="0"/>
        <v>DAVIS WENDY</v>
      </c>
    </row>
    <row r="52" spans="1:7" x14ac:dyDescent="0.25">
      <c r="A52" s="8">
        <v>42759.309432870374</v>
      </c>
      <c r="B52" s="21" t="s">
        <v>273</v>
      </c>
      <c r="C52" s="21" t="s">
        <v>538</v>
      </c>
      <c r="D52" s="157">
        <v>2110000</v>
      </c>
      <c r="E52" s="21" t="s">
        <v>345</v>
      </c>
      <c r="F52" s="21" t="s">
        <v>346</v>
      </c>
      <c r="G52" s="8" t="str">
        <f t="shared" si="0"/>
        <v>OUN ZACK</v>
      </c>
    </row>
    <row r="53" spans="1:7" x14ac:dyDescent="0.25">
      <c r="A53" s="8">
        <v>42759.311111111114</v>
      </c>
      <c r="B53" s="21" t="s">
        <v>305</v>
      </c>
      <c r="C53" s="21" t="s">
        <v>539</v>
      </c>
      <c r="D53" s="157">
        <v>1830000</v>
      </c>
      <c r="E53" s="21" t="s">
        <v>349</v>
      </c>
      <c r="F53" s="21" t="s">
        <v>350</v>
      </c>
      <c r="G53" s="8" t="str">
        <f t="shared" si="0"/>
        <v>YORK EDGAR</v>
      </c>
    </row>
    <row r="54" spans="1:7" x14ac:dyDescent="0.25">
      <c r="A54" s="8">
        <v>42759.318240740744</v>
      </c>
      <c r="B54" s="21" t="s">
        <v>272</v>
      </c>
      <c r="C54" s="21" t="s">
        <v>459</v>
      </c>
      <c r="D54" s="157">
        <v>2270000</v>
      </c>
      <c r="E54" s="21" t="s">
        <v>274</v>
      </c>
      <c r="F54" s="21" t="s">
        <v>275</v>
      </c>
      <c r="G54" s="8" t="str">
        <f t="shared" si="0"/>
        <v>BROWN JACOB</v>
      </c>
    </row>
    <row r="55" spans="1:7" x14ac:dyDescent="0.25">
      <c r="A55" s="8">
        <v>42759.319004629629</v>
      </c>
      <c r="B55" s="21" t="s">
        <v>344</v>
      </c>
      <c r="C55" s="21" t="s">
        <v>540</v>
      </c>
      <c r="D55" s="157">
        <v>2010000</v>
      </c>
      <c r="E55" s="21" t="s">
        <v>347</v>
      </c>
      <c r="F55" s="21" t="s">
        <v>348</v>
      </c>
      <c r="G55" s="8" t="str">
        <f t="shared" si="0"/>
        <v>MAELZER KURT</v>
      </c>
    </row>
    <row r="56" spans="1:7" x14ac:dyDescent="0.25">
      <c r="A56" s="8">
        <v>42759.320416666669</v>
      </c>
      <c r="B56" s="21" t="s">
        <v>344</v>
      </c>
      <c r="C56" s="21" t="s">
        <v>540</v>
      </c>
      <c r="D56" s="157">
        <v>2010000</v>
      </c>
      <c r="E56" s="21" t="s">
        <v>347</v>
      </c>
      <c r="F56" s="21" t="s">
        <v>348</v>
      </c>
      <c r="G56" s="8" t="str">
        <f t="shared" si="0"/>
        <v>MAELZER KURT</v>
      </c>
    </row>
    <row r="57" spans="1:7" x14ac:dyDescent="0.25">
      <c r="A57" s="8">
        <v>42759.326157407406</v>
      </c>
      <c r="B57" s="21" t="s">
        <v>383</v>
      </c>
      <c r="C57" s="21" t="s">
        <v>541</v>
      </c>
      <c r="D57" s="157">
        <v>1090000</v>
      </c>
      <c r="E57" s="21" t="s">
        <v>532</v>
      </c>
      <c r="F57" s="21" t="s">
        <v>213</v>
      </c>
      <c r="G57" s="8" t="str">
        <f t="shared" si="0"/>
        <v>SPECTOR MICHAEL</v>
      </c>
    </row>
    <row r="58" spans="1:7" x14ac:dyDescent="0.25">
      <c r="A58" s="8">
        <v>42759.327650462961</v>
      </c>
      <c r="B58" s="21" t="s">
        <v>517</v>
      </c>
      <c r="C58" s="21" t="s">
        <v>542</v>
      </c>
      <c r="D58" s="157">
        <v>1230000</v>
      </c>
      <c r="E58" s="21" t="s">
        <v>393</v>
      </c>
      <c r="F58" s="21" t="s">
        <v>394</v>
      </c>
      <c r="G58" s="8" t="str">
        <f t="shared" si="0"/>
        <v>YANAI IAN</v>
      </c>
    </row>
    <row r="59" spans="1:7" x14ac:dyDescent="0.25">
      <c r="A59" s="8">
        <v>42759.328969907408</v>
      </c>
      <c r="B59" s="21" t="s">
        <v>249</v>
      </c>
      <c r="C59" s="21" t="s">
        <v>543</v>
      </c>
      <c r="D59" s="157">
        <v>1290000</v>
      </c>
      <c r="E59" s="21" t="s">
        <v>506</v>
      </c>
      <c r="F59" s="21" t="s">
        <v>507</v>
      </c>
      <c r="G59" s="8" t="str">
        <f t="shared" si="0"/>
        <v>COOLAHAN JOHN</v>
      </c>
    </row>
    <row r="60" spans="1:7" x14ac:dyDescent="0.25">
      <c r="A60" s="8">
        <v>42759.336712962962</v>
      </c>
      <c r="B60" s="21" t="s">
        <v>390</v>
      </c>
      <c r="C60" s="21" t="s">
        <v>544</v>
      </c>
      <c r="D60" s="157">
        <v>1360000</v>
      </c>
      <c r="E60" s="21" t="s">
        <v>327</v>
      </c>
      <c r="F60" s="21" t="s">
        <v>328</v>
      </c>
      <c r="G60" s="8" t="str">
        <f t="shared" si="0"/>
        <v>SANTIZO D. EDY</v>
      </c>
    </row>
    <row r="61" spans="1:7" x14ac:dyDescent="0.25">
      <c r="A61" s="8">
        <v>42759.338125000002</v>
      </c>
      <c r="B61" s="21" t="s">
        <v>304</v>
      </c>
      <c r="C61" s="21" t="s">
        <v>545</v>
      </c>
      <c r="D61" s="157">
        <v>1830000</v>
      </c>
      <c r="E61" s="21" t="s">
        <v>349</v>
      </c>
      <c r="F61" s="21" t="s">
        <v>350</v>
      </c>
      <c r="G61" s="8" t="str">
        <f t="shared" si="0"/>
        <v>YORK EDGAR</v>
      </c>
    </row>
    <row r="62" spans="1:7" x14ac:dyDescent="0.25">
      <c r="A62" s="8">
        <v>42759.339814814812</v>
      </c>
      <c r="B62" s="21" t="s">
        <v>203</v>
      </c>
      <c r="C62" s="21" t="s">
        <v>546</v>
      </c>
      <c r="D62" s="157">
        <v>900000</v>
      </c>
      <c r="E62" s="21" t="s">
        <v>513</v>
      </c>
      <c r="F62" s="21" t="s">
        <v>514</v>
      </c>
      <c r="G62" s="8" t="str">
        <f t="shared" si="0"/>
        <v>ROCHA YAOTL</v>
      </c>
    </row>
    <row r="63" spans="1:7" x14ac:dyDescent="0.25">
      <c r="A63" s="8">
        <v>42759.345196759263</v>
      </c>
      <c r="B63" s="21" t="s">
        <v>197</v>
      </c>
      <c r="C63" s="21" t="s">
        <v>547</v>
      </c>
      <c r="D63" s="157">
        <v>2270000</v>
      </c>
      <c r="E63" s="21" t="s">
        <v>274</v>
      </c>
      <c r="F63" s="21" t="s">
        <v>275</v>
      </c>
      <c r="G63" s="8" t="str">
        <f t="shared" si="0"/>
        <v>BROWN JACOB</v>
      </c>
    </row>
    <row r="64" spans="1:7" x14ac:dyDescent="0.25">
      <c r="A64" s="27">
        <v>42759.34783564815</v>
      </c>
      <c r="B64" s="21" t="s">
        <v>153</v>
      </c>
      <c r="C64" s="21" t="s">
        <v>461</v>
      </c>
      <c r="D64" s="157">
        <v>1990000</v>
      </c>
      <c r="E64" s="21" t="s">
        <v>259</v>
      </c>
      <c r="F64" s="21" t="s">
        <v>303</v>
      </c>
      <c r="G64" s="8" t="str">
        <f t="shared" si="0"/>
        <v>DAVIS WENDY</v>
      </c>
    </row>
    <row r="65" spans="1:7" x14ac:dyDescent="0.25">
      <c r="A65" s="8">
        <v>42759.34847222222</v>
      </c>
      <c r="B65" s="21" t="s">
        <v>242</v>
      </c>
      <c r="C65" s="21" t="s">
        <v>548</v>
      </c>
      <c r="D65" s="157">
        <v>2110000</v>
      </c>
      <c r="E65" s="21" t="s">
        <v>345</v>
      </c>
      <c r="F65" s="21" t="s">
        <v>346</v>
      </c>
      <c r="G65" s="8" t="str">
        <f t="shared" si="0"/>
        <v>OUN ZACK</v>
      </c>
    </row>
    <row r="66" spans="1:7" x14ac:dyDescent="0.25">
      <c r="A66" s="8">
        <v>42759.352314814816</v>
      </c>
      <c r="B66" s="21" t="s">
        <v>305</v>
      </c>
      <c r="C66" s="21" t="s">
        <v>549</v>
      </c>
      <c r="D66" s="157">
        <v>1830000</v>
      </c>
      <c r="E66" s="21" t="s">
        <v>349</v>
      </c>
      <c r="F66" s="21" t="s">
        <v>350</v>
      </c>
      <c r="G66" s="8" t="str">
        <f t="shared" si="0"/>
        <v>YORK EDGAR</v>
      </c>
    </row>
    <row r="67" spans="1:7" x14ac:dyDescent="0.25">
      <c r="A67" s="8">
        <v>42759.3596412037</v>
      </c>
      <c r="B67" s="21" t="s">
        <v>272</v>
      </c>
      <c r="C67" s="21" t="s">
        <v>460</v>
      </c>
      <c r="D67" s="157">
        <v>2270000</v>
      </c>
      <c r="E67" s="21" t="s">
        <v>274</v>
      </c>
      <c r="F67" s="21" t="s">
        <v>275</v>
      </c>
      <c r="G67" s="8" t="str">
        <f t="shared" ref="G67:G130" si="1">E67&amp;" "&amp;F67</f>
        <v>BROWN JACOB</v>
      </c>
    </row>
    <row r="68" spans="1:7" x14ac:dyDescent="0.25">
      <c r="A68" s="8">
        <v>42759.359768518516</v>
      </c>
      <c r="B68" s="21" t="s">
        <v>351</v>
      </c>
      <c r="C68" s="21" t="s">
        <v>550</v>
      </c>
      <c r="D68" s="157">
        <v>2010000</v>
      </c>
      <c r="E68" s="21" t="s">
        <v>347</v>
      </c>
      <c r="F68" s="21" t="s">
        <v>348</v>
      </c>
      <c r="G68" s="8" t="str">
        <f t="shared" si="1"/>
        <v>MAELZER KURT</v>
      </c>
    </row>
    <row r="69" spans="1:7" x14ac:dyDescent="0.25">
      <c r="A69" s="8">
        <v>42759.362361111111</v>
      </c>
      <c r="B69" s="21" t="s">
        <v>494</v>
      </c>
      <c r="C69" s="21" t="s">
        <v>551</v>
      </c>
      <c r="D69" s="157">
        <v>1230000</v>
      </c>
      <c r="E69" s="21" t="s">
        <v>393</v>
      </c>
      <c r="F69" s="21" t="s">
        <v>394</v>
      </c>
      <c r="G69" s="8" t="str">
        <f t="shared" si="1"/>
        <v>YANAI IAN</v>
      </c>
    </row>
    <row r="70" spans="1:7" x14ac:dyDescent="0.25">
      <c r="A70" s="8">
        <v>42759.363344907404</v>
      </c>
      <c r="B70" s="21" t="s">
        <v>250</v>
      </c>
      <c r="C70" s="21" t="s">
        <v>552</v>
      </c>
      <c r="D70" s="157">
        <v>1290000</v>
      </c>
      <c r="E70" s="21" t="s">
        <v>506</v>
      </c>
      <c r="F70" s="21" t="s">
        <v>507</v>
      </c>
      <c r="G70" s="8" t="str">
        <f t="shared" si="1"/>
        <v>COOLAHAN JOHN</v>
      </c>
    </row>
    <row r="71" spans="1:7" x14ac:dyDescent="0.25">
      <c r="A71" s="8">
        <v>42759.371736111112</v>
      </c>
      <c r="B71" s="21" t="s">
        <v>202</v>
      </c>
      <c r="C71" s="21" t="s">
        <v>553</v>
      </c>
      <c r="D71" s="157">
        <v>900000</v>
      </c>
      <c r="E71" s="21" t="s">
        <v>513</v>
      </c>
      <c r="F71" s="21" t="s">
        <v>514</v>
      </c>
      <c r="G71" s="8" t="str">
        <f t="shared" si="1"/>
        <v>ROCHA YAOTL</v>
      </c>
    </row>
    <row r="72" spans="1:7" x14ac:dyDescent="0.25">
      <c r="A72" s="8">
        <v>42759.379224537035</v>
      </c>
      <c r="B72" s="21" t="s">
        <v>385</v>
      </c>
      <c r="C72" s="21" t="s">
        <v>554</v>
      </c>
      <c r="D72" s="157">
        <v>1360000</v>
      </c>
      <c r="E72" s="21" t="s">
        <v>327</v>
      </c>
      <c r="F72" s="21" t="s">
        <v>328</v>
      </c>
      <c r="G72" s="8" t="str">
        <f t="shared" si="1"/>
        <v>SANTIZO D. EDY</v>
      </c>
    </row>
    <row r="73" spans="1:7" x14ac:dyDescent="0.25">
      <c r="A73" s="8">
        <v>42759.385127314818</v>
      </c>
      <c r="B73" s="21" t="s">
        <v>273</v>
      </c>
      <c r="C73" s="21" t="s">
        <v>555</v>
      </c>
      <c r="D73" s="157">
        <v>2110000</v>
      </c>
      <c r="E73" s="21" t="s">
        <v>345</v>
      </c>
      <c r="F73" s="21" t="s">
        <v>346</v>
      </c>
      <c r="G73" s="8" t="str">
        <f t="shared" si="1"/>
        <v>OUN ZACK</v>
      </c>
    </row>
    <row r="74" spans="1:7" x14ac:dyDescent="0.25">
      <c r="A74" s="8">
        <v>42759.386874999997</v>
      </c>
      <c r="B74" s="21" t="s">
        <v>197</v>
      </c>
      <c r="C74" s="21" t="s">
        <v>556</v>
      </c>
      <c r="D74" s="157">
        <v>2270000</v>
      </c>
      <c r="E74" s="21" t="s">
        <v>274</v>
      </c>
      <c r="F74" s="21" t="s">
        <v>275</v>
      </c>
      <c r="G74" s="8" t="str">
        <f t="shared" si="1"/>
        <v>BROWN JACOB</v>
      </c>
    </row>
    <row r="75" spans="1:7" x14ac:dyDescent="0.25">
      <c r="A75" s="8">
        <v>42759.39</v>
      </c>
      <c r="B75" s="21" t="s">
        <v>154</v>
      </c>
      <c r="C75" s="21" t="s">
        <v>557</v>
      </c>
      <c r="D75" s="157">
        <v>1990000</v>
      </c>
      <c r="E75" s="21" t="s">
        <v>259</v>
      </c>
      <c r="F75" s="21" t="s">
        <v>303</v>
      </c>
      <c r="G75" s="8" t="str">
        <f t="shared" si="1"/>
        <v>DAVIS WENDY</v>
      </c>
    </row>
    <row r="76" spans="1:7" x14ac:dyDescent="0.25">
      <c r="A76" s="8">
        <v>42759.399756944447</v>
      </c>
      <c r="B76" s="21" t="s">
        <v>344</v>
      </c>
      <c r="C76" s="21" t="s">
        <v>558</v>
      </c>
      <c r="D76" s="157">
        <v>2010000</v>
      </c>
      <c r="E76" s="21" t="s">
        <v>347</v>
      </c>
      <c r="F76" s="21" t="s">
        <v>348</v>
      </c>
      <c r="G76" s="8" t="str">
        <f t="shared" si="1"/>
        <v>MAELZER KURT</v>
      </c>
    </row>
    <row r="77" spans="1:7" x14ac:dyDescent="0.25">
      <c r="A77" s="8">
        <v>42759.399942129632</v>
      </c>
      <c r="B77" s="21" t="s">
        <v>249</v>
      </c>
      <c r="C77" s="21" t="s">
        <v>559</v>
      </c>
      <c r="D77" s="157">
        <v>1290000</v>
      </c>
      <c r="E77" s="21" t="s">
        <v>506</v>
      </c>
      <c r="F77" s="21" t="s">
        <v>507</v>
      </c>
      <c r="G77" s="8" t="str">
        <f t="shared" si="1"/>
        <v>COOLAHAN JOHN</v>
      </c>
    </row>
    <row r="78" spans="1:7" x14ac:dyDescent="0.25">
      <c r="A78" s="8">
        <v>42759.406365740739</v>
      </c>
      <c r="B78" s="21" t="s">
        <v>517</v>
      </c>
      <c r="C78" s="21" t="s">
        <v>560</v>
      </c>
      <c r="D78" s="157">
        <v>1230000</v>
      </c>
      <c r="E78" s="21" t="s">
        <v>393</v>
      </c>
      <c r="F78" s="21" t="s">
        <v>394</v>
      </c>
      <c r="G78" s="8" t="str">
        <f t="shared" si="1"/>
        <v>YANAI IAN</v>
      </c>
    </row>
    <row r="79" spans="1:7" x14ac:dyDescent="0.25">
      <c r="A79" s="8">
        <v>42759.413622685184</v>
      </c>
      <c r="B79" s="21" t="s">
        <v>203</v>
      </c>
      <c r="C79" s="21" t="s">
        <v>462</v>
      </c>
      <c r="D79" s="157">
        <v>900000</v>
      </c>
      <c r="E79" s="21" t="s">
        <v>513</v>
      </c>
      <c r="F79" s="21" t="s">
        <v>514</v>
      </c>
      <c r="G79" s="8" t="str">
        <f t="shared" si="1"/>
        <v>ROCHA YAOTL</v>
      </c>
    </row>
    <row r="80" spans="1:7" x14ac:dyDescent="0.25">
      <c r="A80" s="8">
        <v>42759.419930555552</v>
      </c>
      <c r="B80" s="21" t="s">
        <v>390</v>
      </c>
      <c r="C80" s="21" t="s">
        <v>463</v>
      </c>
      <c r="D80" s="157">
        <v>940000</v>
      </c>
      <c r="E80" s="21" t="s">
        <v>386</v>
      </c>
      <c r="F80" s="21" t="s">
        <v>387</v>
      </c>
      <c r="G80" s="8" t="str">
        <f t="shared" si="1"/>
        <v>BONDS REYNALDO</v>
      </c>
    </row>
    <row r="81" spans="1:7" x14ac:dyDescent="0.25">
      <c r="A81" s="8">
        <v>42759.422129629631</v>
      </c>
      <c r="B81" s="21" t="s">
        <v>242</v>
      </c>
      <c r="C81" s="21" t="s">
        <v>561</v>
      </c>
      <c r="D81" s="157">
        <v>2110000</v>
      </c>
      <c r="E81" s="21" t="s">
        <v>345</v>
      </c>
      <c r="F81" s="21" t="s">
        <v>346</v>
      </c>
      <c r="G81" s="8" t="str">
        <f t="shared" si="1"/>
        <v>OUN ZACK</v>
      </c>
    </row>
    <row r="82" spans="1:7" x14ac:dyDescent="0.25">
      <c r="A82" s="8">
        <v>42759.424710648149</v>
      </c>
      <c r="B82" s="21" t="s">
        <v>397</v>
      </c>
      <c r="C82" s="21" t="s">
        <v>464</v>
      </c>
      <c r="D82" s="157">
        <v>2270000</v>
      </c>
      <c r="E82" s="21" t="s">
        <v>274</v>
      </c>
      <c r="F82" s="21" t="s">
        <v>275</v>
      </c>
      <c r="G82" s="8" t="str">
        <f t="shared" si="1"/>
        <v>BROWN JACOB</v>
      </c>
    </row>
    <row r="83" spans="1:7" x14ac:dyDescent="0.25">
      <c r="A83" s="8">
        <v>42759.433842592596</v>
      </c>
      <c r="B83" s="21" t="s">
        <v>222</v>
      </c>
      <c r="C83" s="21" t="s">
        <v>562</v>
      </c>
      <c r="D83" s="157">
        <v>2040000</v>
      </c>
      <c r="E83" s="21" t="s">
        <v>391</v>
      </c>
      <c r="F83" s="21" t="s">
        <v>392</v>
      </c>
      <c r="G83" s="8" t="str">
        <f t="shared" si="1"/>
        <v>MOSES BRADLEY</v>
      </c>
    </row>
    <row r="84" spans="1:7" x14ac:dyDescent="0.25">
      <c r="A84" s="8">
        <v>42759.435034722221</v>
      </c>
      <c r="B84" s="21" t="s">
        <v>351</v>
      </c>
      <c r="C84" s="21" t="s">
        <v>563</v>
      </c>
      <c r="D84" s="157">
        <v>2010000</v>
      </c>
      <c r="E84" s="21" t="s">
        <v>347</v>
      </c>
      <c r="F84" s="21" t="s">
        <v>348</v>
      </c>
      <c r="G84" s="8" t="str">
        <f t="shared" si="1"/>
        <v>MAELZER KURT</v>
      </c>
    </row>
    <row r="85" spans="1:7" x14ac:dyDescent="0.25">
      <c r="A85" s="8">
        <v>42759.435972222222</v>
      </c>
      <c r="B85" s="21" t="s">
        <v>153</v>
      </c>
      <c r="C85" s="21" t="s">
        <v>564</v>
      </c>
      <c r="D85" s="157">
        <v>1830000</v>
      </c>
      <c r="E85" s="21" t="s">
        <v>349</v>
      </c>
      <c r="F85" s="21" t="s">
        <v>350</v>
      </c>
      <c r="G85" s="8" t="str">
        <f t="shared" si="1"/>
        <v>YORK EDGAR</v>
      </c>
    </row>
    <row r="86" spans="1:7" x14ac:dyDescent="0.25">
      <c r="A86" s="8">
        <v>42759.443472222221</v>
      </c>
      <c r="B86" s="21" t="s">
        <v>383</v>
      </c>
      <c r="C86" s="21" t="s">
        <v>565</v>
      </c>
      <c r="D86" s="157">
        <v>2270000</v>
      </c>
      <c r="E86" s="21" t="s">
        <v>274</v>
      </c>
      <c r="F86" s="21" t="s">
        <v>275</v>
      </c>
      <c r="G86" s="8" t="str">
        <f t="shared" si="1"/>
        <v>BROWN JACOB</v>
      </c>
    </row>
    <row r="87" spans="1:7" x14ac:dyDescent="0.25">
      <c r="A87" s="8">
        <v>42759.443865740737</v>
      </c>
      <c r="B87" s="21" t="s">
        <v>494</v>
      </c>
      <c r="C87" s="21" t="s">
        <v>566</v>
      </c>
      <c r="D87" s="157">
        <v>1230000</v>
      </c>
      <c r="E87" s="21" t="s">
        <v>393</v>
      </c>
      <c r="F87" s="21" t="s">
        <v>394</v>
      </c>
      <c r="G87" s="8" t="str">
        <f t="shared" si="1"/>
        <v>YANAI IAN</v>
      </c>
    </row>
    <row r="88" spans="1:7" x14ac:dyDescent="0.25">
      <c r="A88" s="8">
        <v>42759.44667824074</v>
      </c>
      <c r="B88" s="21" t="s">
        <v>250</v>
      </c>
      <c r="C88" s="21" t="s">
        <v>567</v>
      </c>
      <c r="D88" s="157">
        <v>1780000</v>
      </c>
      <c r="E88" s="21" t="s">
        <v>568</v>
      </c>
      <c r="F88" s="21" t="s">
        <v>569</v>
      </c>
      <c r="G88" s="8" t="str">
        <f t="shared" si="1"/>
        <v>DE LA ROSA ALEX</v>
      </c>
    </row>
    <row r="89" spans="1:7" x14ac:dyDescent="0.25">
      <c r="A89" s="8">
        <v>42759.448182870372</v>
      </c>
      <c r="B89" s="21" t="s">
        <v>250</v>
      </c>
      <c r="C89" s="21" t="s">
        <v>567</v>
      </c>
      <c r="D89" s="157">
        <v>1780000</v>
      </c>
      <c r="E89" s="21" t="s">
        <v>568</v>
      </c>
      <c r="F89" s="21" t="s">
        <v>569</v>
      </c>
      <c r="G89" s="8" t="str">
        <f t="shared" si="1"/>
        <v>DE LA ROSA ALEX</v>
      </c>
    </row>
    <row r="90" spans="1:7" x14ac:dyDescent="0.25">
      <c r="A90" s="8">
        <v>42759.449016203704</v>
      </c>
      <c r="B90" s="21" t="s">
        <v>202</v>
      </c>
      <c r="C90" s="21" t="s">
        <v>570</v>
      </c>
      <c r="D90" s="157">
        <v>2090000</v>
      </c>
      <c r="E90" s="21" t="s">
        <v>571</v>
      </c>
      <c r="F90" s="21" t="s">
        <v>213</v>
      </c>
      <c r="G90" s="8" t="str">
        <f t="shared" si="1"/>
        <v>HAITHCOX MICHAEL</v>
      </c>
    </row>
    <row r="91" spans="1:7" x14ac:dyDescent="0.25">
      <c r="A91" s="8">
        <v>42759.449895833335</v>
      </c>
      <c r="B91" s="21" t="s">
        <v>261</v>
      </c>
      <c r="C91" s="21" t="s">
        <v>466</v>
      </c>
      <c r="D91" s="157">
        <v>1140000</v>
      </c>
      <c r="E91" s="21" t="s">
        <v>572</v>
      </c>
      <c r="F91" s="21" t="s">
        <v>573</v>
      </c>
      <c r="G91" s="8" t="str">
        <f t="shared" si="1"/>
        <v>YOUNG ELIZABETH</v>
      </c>
    </row>
    <row r="92" spans="1:7" x14ac:dyDescent="0.25">
      <c r="A92" s="8">
        <v>42759.453750000001</v>
      </c>
      <c r="B92" s="21" t="s">
        <v>246</v>
      </c>
      <c r="C92" s="21" t="s">
        <v>574</v>
      </c>
      <c r="D92" s="157">
        <v>2350000</v>
      </c>
      <c r="E92" s="21" t="s">
        <v>395</v>
      </c>
      <c r="F92" s="21" t="s">
        <v>396</v>
      </c>
      <c r="G92" s="8" t="str">
        <f t="shared" si="1"/>
        <v>BERLING GARY</v>
      </c>
    </row>
    <row r="93" spans="1:7" x14ac:dyDescent="0.25">
      <c r="A93" s="8">
        <v>42759.455787037034</v>
      </c>
      <c r="B93" s="21" t="s">
        <v>385</v>
      </c>
      <c r="C93" s="21" t="s">
        <v>465</v>
      </c>
      <c r="D93" s="157">
        <v>940000</v>
      </c>
      <c r="E93" s="21" t="s">
        <v>386</v>
      </c>
      <c r="F93" s="21" t="s">
        <v>387</v>
      </c>
      <c r="G93" s="8" t="str">
        <f t="shared" si="1"/>
        <v>BONDS REYNALDO</v>
      </c>
    </row>
    <row r="94" spans="1:7" x14ac:dyDescent="0.25">
      <c r="A94" s="8">
        <v>42759.458379629628</v>
      </c>
      <c r="B94" s="21" t="s">
        <v>246</v>
      </c>
      <c r="C94" s="21" t="s">
        <v>574</v>
      </c>
      <c r="D94" s="157">
        <v>2350000</v>
      </c>
      <c r="E94" s="21" t="s">
        <v>395</v>
      </c>
      <c r="F94" s="21" t="s">
        <v>396</v>
      </c>
      <c r="G94" s="8" t="str">
        <f t="shared" si="1"/>
        <v>BERLING GARY</v>
      </c>
    </row>
    <row r="95" spans="1:7" x14ac:dyDescent="0.25">
      <c r="A95" s="8">
        <v>42759.45988425926</v>
      </c>
      <c r="B95" s="21" t="s">
        <v>246</v>
      </c>
      <c r="C95" s="21" t="s">
        <v>574</v>
      </c>
      <c r="D95" s="157">
        <v>2350000</v>
      </c>
      <c r="E95" s="21" t="s">
        <v>395</v>
      </c>
      <c r="F95" s="21" t="s">
        <v>396</v>
      </c>
      <c r="G95" s="8" t="str">
        <f t="shared" si="1"/>
        <v>BERLING GARY</v>
      </c>
    </row>
    <row r="96" spans="1:7" x14ac:dyDescent="0.25">
      <c r="A96" s="8">
        <v>42759.46197916667</v>
      </c>
      <c r="B96" s="21" t="s">
        <v>273</v>
      </c>
      <c r="C96" s="21" t="s">
        <v>575</v>
      </c>
      <c r="D96" s="157">
        <v>2150000</v>
      </c>
      <c r="E96" s="21" t="s">
        <v>388</v>
      </c>
      <c r="F96" s="21" t="s">
        <v>389</v>
      </c>
      <c r="G96" s="8" t="str">
        <f t="shared" si="1"/>
        <v>SWANSON BRYCE</v>
      </c>
    </row>
    <row r="97" spans="1:7" x14ac:dyDescent="0.25">
      <c r="A97" s="8">
        <v>42759.465474537035</v>
      </c>
      <c r="B97" s="21" t="s">
        <v>397</v>
      </c>
      <c r="C97" s="21" t="s">
        <v>576</v>
      </c>
      <c r="D97" s="157">
        <v>2270000</v>
      </c>
      <c r="E97" s="21" t="s">
        <v>274</v>
      </c>
      <c r="F97" s="21" t="s">
        <v>275</v>
      </c>
      <c r="G97" s="8" t="str">
        <f t="shared" si="1"/>
        <v>BROWN JACOB</v>
      </c>
    </row>
    <row r="98" spans="1:7" x14ac:dyDescent="0.25">
      <c r="A98" s="8">
        <v>42759.471446759257</v>
      </c>
      <c r="B98" s="21" t="s">
        <v>154</v>
      </c>
      <c r="C98" s="21" t="s">
        <v>469</v>
      </c>
      <c r="D98" s="157">
        <v>1830000</v>
      </c>
      <c r="E98" s="21" t="s">
        <v>349</v>
      </c>
      <c r="F98" s="21" t="s">
        <v>350</v>
      </c>
      <c r="G98" s="8" t="str">
        <f t="shared" si="1"/>
        <v>YORK EDGAR</v>
      </c>
    </row>
    <row r="99" spans="1:7" x14ac:dyDescent="0.25">
      <c r="A99" s="8">
        <v>42759.474560185183</v>
      </c>
      <c r="B99" s="21" t="s">
        <v>344</v>
      </c>
      <c r="C99" s="21" t="s">
        <v>577</v>
      </c>
      <c r="D99" s="157">
        <v>1180000</v>
      </c>
      <c r="E99" s="21" t="s">
        <v>280</v>
      </c>
      <c r="F99" s="21" t="s">
        <v>281</v>
      </c>
      <c r="G99" s="8" t="str">
        <f t="shared" si="1"/>
        <v>LEVERE CRAIG</v>
      </c>
    </row>
    <row r="100" spans="1:7" x14ac:dyDescent="0.25">
      <c r="A100" s="8">
        <v>42759.483530092592</v>
      </c>
      <c r="B100" s="21" t="s">
        <v>249</v>
      </c>
      <c r="C100" s="21" t="s">
        <v>578</v>
      </c>
      <c r="D100" s="157">
        <v>1780000</v>
      </c>
      <c r="E100" s="21" t="s">
        <v>568</v>
      </c>
      <c r="F100" s="21" t="s">
        <v>569</v>
      </c>
      <c r="G100" s="8" t="str">
        <f t="shared" si="1"/>
        <v>DE LA ROSA ALEX</v>
      </c>
    </row>
    <row r="101" spans="1:7" x14ac:dyDescent="0.25">
      <c r="A101" s="8">
        <v>42759.483796296299</v>
      </c>
      <c r="B101" s="21" t="s">
        <v>279</v>
      </c>
      <c r="C101" s="21" t="s">
        <v>579</v>
      </c>
      <c r="D101" s="157">
        <v>2420000</v>
      </c>
      <c r="E101" s="21" t="s">
        <v>580</v>
      </c>
      <c r="F101" s="21" t="s">
        <v>581</v>
      </c>
      <c r="G101" s="8" t="str">
        <f t="shared" si="1"/>
        <v>HOLCOMB KAMDEN</v>
      </c>
    </row>
    <row r="102" spans="1:7" x14ac:dyDescent="0.25">
      <c r="A102" s="8">
        <v>42759.484780092593</v>
      </c>
      <c r="B102" s="21" t="s">
        <v>383</v>
      </c>
      <c r="C102" s="21" t="s">
        <v>470</v>
      </c>
      <c r="D102" s="157">
        <v>2270000</v>
      </c>
      <c r="E102" s="21" t="s">
        <v>274</v>
      </c>
      <c r="F102" s="21" t="s">
        <v>275</v>
      </c>
      <c r="G102" s="8" t="str">
        <f t="shared" si="1"/>
        <v>BROWN JACOB</v>
      </c>
    </row>
    <row r="103" spans="1:7" x14ac:dyDescent="0.25">
      <c r="A103" s="8">
        <v>42759.493009259262</v>
      </c>
      <c r="B103" s="21" t="s">
        <v>390</v>
      </c>
      <c r="C103" s="21" t="s">
        <v>582</v>
      </c>
      <c r="D103" s="157">
        <v>2250000</v>
      </c>
      <c r="E103" s="21" t="s">
        <v>354</v>
      </c>
      <c r="F103" s="21" t="s">
        <v>355</v>
      </c>
      <c r="G103" s="8" t="str">
        <f t="shared" si="1"/>
        <v>CRAYTON QUNTRELL</v>
      </c>
    </row>
    <row r="104" spans="1:7" x14ac:dyDescent="0.25">
      <c r="A104" s="8">
        <v>42759.494351851848</v>
      </c>
      <c r="B104" s="21" t="s">
        <v>203</v>
      </c>
      <c r="C104" s="21" t="s">
        <v>583</v>
      </c>
      <c r="D104" s="157">
        <v>2090000</v>
      </c>
      <c r="E104" s="21" t="s">
        <v>571</v>
      </c>
      <c r="F104" s="21" t="s">
        <v>213</v>
      </c>
      <c r="G104" s="8" t="str">
        <f t="shared" si="1"/>
        <v>HAITHCOX MICHAEL</v>
      </c>
    </row>
    <row r="105" spans="1:7" x14ac:dyDescent="0.25">
      <c r="A105" s="8">
        <v>42759.495844907404</v>
      </c>
      <c r="B105" s="21" t="s">
        <v>344</v>
      </c>
      <c r="C105" s="21" t="s">
        <v>577</v>
      </c>
      <c r="D105" s="157">
        <v>1180000</v>
      </c>
      <c r="E105" s="21" t="s">
        <v>280</v>
      </c>
      <c r="F105" s="21" t="s">
        <v>281</v>
      </c>
      <c r="G105" s="8" t="str">
        <f t="shared" si="1"/>
        <v>LEVERE CRAIG</v>
      </c>
    </row>
    <row r="106" spans="1:7" x14ac:dyDescent="0.25">
      <c r="A106" s="8">
        <v>42759.497442129628</v>
      </c>
      <c r="B106" s="21" t="s">
        <v>197</v>
      </c>
      <c r="C106" s="21" t="s">
        <v>584</v>
      </c>
      <c r="D106" s="157">
        <v>2350000</v>
      </c>
      <c r="E106" s="21" t="s">
        <v>395</v>
      </c>
      <c r="F106" s="21" t="s">
        <v>396</v>
      </c>
      <c r="G106" s="8" t="str">
        <f t="shared" si="1"/>
        <v>BERLING GARY</v>
      </c>
    </row>
    <row r="107" spans="1:7" x14ac:dyDescent="0.25">
      <c r="A107" s="8">
        <v>42759.502013888887</v>
      </c>
      <c r="B107" s="21" t="s">
        <v>242</v>
      </c>
      <c r="C107" s="21" t="s">
        <v>585</v>
      </c>
      <c r="D107" s="157">
        <v>2150000</v>
      </c>
      <c r="E107" s="21" t="s">
        <v>388</v>
      </c>
      <c r="F107" s="21" t="s">
        <v>389</v>
      </c>
      <c r="G107" s="8" t="str">
        <f t="shared" si="1"/>
        <v>SWANSON BRYCE</v>
      </c>
    </row>
    <row r="108" spans="1:7" x14ac:dyDescent="0.25">
      <c r="A108" s="8">
        <v>42759.504976851851</v>
      </c>
      <c r="B108" s="21" t="s">
        <v>397</v>
      </c>
      <c r="C108" s="21" t="s">
        <v>586</v>
      </c>
      <c r="D108" s="157">
        <v>2270000</v>
      </c>
      <c r="E108" s="21" t="s">
        <v>274</v>
      </c>
      <c r="F108" s="21" t="s">
        <v>275</v>
      </c>
      <c r="G108" s="8" t="str">
        <f t="shared" si="1"/>
        <v>BROWN JACOB</v>
      </c>
    </row>
    <row r="109" spans="1:7" x14ac:dyDescent="0.25">
      <c r="A109" s="8">
        <v>42759.509074074071</v>
      </c>
      <c r="B109" s="21" t="s">
        <v>153</v>
      </c>
      <c r="C109" s="21" t="s">
        <v>587</v>
      </c>
      <c r="D109" s="157">
        <v>2470000</v>
      </c>
      <c r="E109" s="21" t="s">
        <v>306</v>
      </c>
      <c r="F109" s="21" t="s">
        <v>307</v>
      </c>
      <c r="G109" s="8" t="str">
        <f t="shared" si="1"/>
        <v>ROMERO CHAD</v>
      </c>
    </row>
    <row r="110" spans="1:7" x14ac:dyDescent="0.25">
      <c r="A110" s="8">
        <v>42759.511608796296</v>
      </c>
      <c r="B110" s="21" t="s">
        <v>245</v>
      </c>
      <c r="C110" s="21" t="s">
        <v>588</v>
      </c>
      <c r="D110" s="157">
        <v>1830000</v>
      </c>
      <c r="E110" s="21" t="s">
        <v>349</v>
      </c>
      <c r="F110" s="21" t="s">
        <v>350</v>
      </c>
      <c r="G110" s="8" t="str">
        <f t="shared" si="1"/>
        <v>YORK EDGAR</v>
      </c>
    </row>
    <row r="111" spans="1:7" x14ac:dyDescent="0.25">
      <c r="A111" s="8">
        <v>42759.519513888888</v>
      </c>
      <c r="B111" s="21" t="s">
        <v>351</v>
      </c>
      <c r="C111" s="21" t="s">
        <v>589</v>
      </c>
      <c r="D111" s="157">
        <v>1180000</v>
      </c>
      <c r="E111" s="21" t="s">
        <v>280</v>
      </c>
      <c r="F111" s="21" t="s">
        <v>281</v>
      </c>
      <c r="G111" s="8" t="str">
        <f t="shared" si="1"/>
        <v>LEVERE CRAIG</v>
      </c>
    </row>
    <row r="112" spans="1:7" x14ac:dyDescent="0.25">
      <c r="A112" s="8">
        <v>42759.522523148145</v>
      </c>
      <c r="B112" s="21" t="s">
        <v>250</v>
      </c>
      <c r="C112" s="21" t="s">
        <v>590</v>
      </c>
      <c r="D112" s="157">
        <v>1190000</v>
      </c>
      <c r="E112" s="21" t="s">
        <v>591</v>
      </c>
      <c r="F112" s="21" t="s">
        <v>592</v>
      </c>
      <c r="G112" s="8" t="str">
        <f t="shared" si="1"/>
        <v>BRANNON JEFFREY</v>
      </c>
    </row>
    <row r="113" spans="1:7" x14ac:dyDescent="0.25">
      <c r="A113" s="8">
        <v>42759.526053240741</v>
      </c>
      <c r="B113" s="21" t="s">
        <v>383</v>
      </c>
      <c r="C113" s="21" t="s">
        <v>586</v>
      </c>
      <c r="D113" s="157">
        <v>2270000</v>
      </c>
      <c r="E113" s="21" t="s">
        <v>274</v>
      </c>
      <c r="F113" s="21" t="s">
        <v>275</v>
      </c>
      <c r="G113" s="8" t="str">
        <f t="shared" si="1"/>
        <v>BROWN JACOB</v>
      </c>
    </row>
    <row r="114" spans="1:7" x14ac:dyDescent="0.25">
      <c r="A114" s="8">
        <v>42759.52621527778</v>
      </c>
      <c r="B114" s="21" t="s">
        <v>234</v>
      </c>
      <c r="C114" s="21" t="s">
        <v>472</v>
      </c>
      <c r="D114" s="157">
        <v>2420000</v>
      </c>
      <c r="E114" s="21" t="s">
        <v>580</v>
      </c>
      <c r="F114" s="21" t="s">
        <v>581</v>
      </c>
      <c r="G114" s="8" t="str">
        <f t="shared" si="1"/>
        <v>HOLCOMB KAMDEN</v>
      </c>
    </row>
    <row r="115" spans="1:7" x14ac:dyDescent="0.25">
      <c r="A115" s="8">
        <v>42759.526782407411</v>
      </c>
      <c r="B115" s="21" t="s">
        <v>383</v>
      </c>
      <c r="C115" s="21" t="s">
        <v>593</v>
      </c>
      <c r="D115" s="157">
        <v>2270000</v>
      </c>
      <c r="E115" s="21" t="s">
        <v>274</v>
      </c>
      <c r="F115" s="21" t="s">
        <v>275</v>
      </c>
      <c r="G115" s="8" t="str">
        <f t="shared" si="1"/>
        <v>BROWN JACOB</v>
      </c>
    </row>
    <row r="116" spans="1:7" x14ac:dyDescent="0.25">
      <c r="A116" s="8">
        <v>42759.532592592594</v>
      </c>
      <c r="B116" s="21" t="s">
        <v>385</v>
      </c>
      <c r="C116" s="21" t="s">
        <v>473</v>
      </c>
      <c r="D116" s="157">
        <v>2250000</v>
      </c>
      <c r="E116" s="21" t="s">
        <v>354</v>
      </c>
      <c r="F116" s="21" t="s">
        <v>355</v>
      </c>
      <c r="G116" s="8" t="str">
        <f t="shared" si="1"/>
        <v>CRAYTON QUNTRELL</v>
      </c>
    </row>
    <row r="117" spans="1:7" x14ac:dyDescent="0.25">
      <c r="A117" s="8">
        <v>42759.533865740741</v>
      </c>
      <c r="B117" s="21" t="s">
        <v>202</v>
      </c>
      <c r="C117" s="21" t="s">
        <v>471</v>
      </c>
      <c r="D117" s="157">
        <v>2090000</v>
      </c>
      <c r="E117" s="21" t="s">
        <v>571</v>
      </c>
      <c r="F117" s="21" t="s">
        <v>213</v>
      </c>
      <c r="G117" s="8" t="str">
        <f t="shared" si="1"/>
        <v>HAITHCOX MICHAEL</v>
      </c>
    </row>
    <row r="118" spans="1:7" x14ac:dyDescent="0.25">
      <c r="A118" s="8">
        <v>42759.542187500003</v>
      </c>
      <c r="B118" s="21" t="s">
        <v>154</v>
      </c>
      <c r="C118" s="21" t="s">
        <v>594</v>
      </c>
      <c r="D118" s="157">
        <v>2470000</v>
      </c>
      <c r="E118" s="21" t="s">
        <v>306</v>
      </c>
      <c r="F118" s="21" t="s">
        <v>307</v>
      </c>
      <c r="G118" s="8" t="str">
        <f t="shared" si="1"/>
        <v>ROMERO CHAD</v>
      </c>
    </row>
    <row r="119" spans="1:7" x14ac:dyDescent="0.25">
      <c r="A119" s="8">
        <v>42759.542731481481</v>
      </c>
      <c r="B119" s="21" t="s">
        <v>273</v>
      </c>
      <c r="C119" s="21" t="s">
        <v>595</v>
      </c>
      <c r="D119" s="157">
        <v>2150000</v>
      </c>
      <c r="E119" s="21" t="s">
        <v>388</v>
      </c>
      <c r="F119" s="21" t="s">
        <v>389</v>
      </c>
      <c r="G119" s="8" t="str">
        <f t="shared" si="1"/>
        <v>SWANSON BRYCE</v>
      </c>
    </row>
    <row r="120" spans="1:7" x14ac:dyDescent="0.25">
      <c r="A120" s="8">
        <v>42759.552071759259</v>
      </c>
      <c r="B120" s="21" t="s">
        <v>397</v>
      </c>
      <c r="C120" s="21" t="s">
        <v>596</v>
      </c>
      <c r="D120" s="157">
        <v>1300000</v>
      </c>
      <c r="E120" s="21" t="s">
        <v>352</v>
      </c>
      <c r="F120" s="21" t="s">
        <v>353</v>
      </c>
      <c r="G120" s="8" t="str">
        <f t="shared" si="1"/>
        <v>LEVIN SCOTT</v>
      </c>
    </row>
    <row r="121" spans="1:7" x14ac:dyDescent="0.25">
      <c r="A121" s="8">
        <v>42759.554652777777</v>
      </c>
      <c r="B121" s="21" t="s">
        <v>344</v>
      </c>
      <c r="C121" s="21" t="s">
        <v>597</v>
      </c>
      <c r="D121" s="157">
        <v>1180000</v>
      </c>
      <c r="E121" s="21" t="s">
        <v>280</v>
      </c>
      <c r="F121" s="21" t="s">
        <v>281</v>
      </c>
      <c r="G121" s="8" t="str">
        <f t="shared" si="1"/>
        <v>LEVERE CRAIG</v>
      </c>
    </row>
    <row r="122" spans="1:7" x14ac:dyDescent="0.25">
      <c r="A122" s="8">
        <v>42759.555983796294</v>
      </c>
      <c r="B122" s="26" t="s">
        <v>249</v>
      </c>
      <c r="C122" s="21" t="s">
        <v>598</v>
      </c>
      <c r="D122" s="157">
        <v>1190000</v>
      </c>
      <c r="E122" s="21" t="s">
        <v>591</v>
      </c>
      <c r="F122" s="21" t="s">
        <v>592</v>
      </c>
      <c r="G122" s="8" t="str">
        <f t="shared" si="1"/>
        <v>BRANNON JEFFREY</v>
      </c>
    </row>
    <row r="123" spans="1:7" x14ac:dyDescent="0.25">
      <c r="A123" s="8">
        <v>42759.561215277776</v>
      </c>
      <c r="B123" s="21" t="s">
        <v>517</v>
      </c>
      <c r="C123" s="21" t="s">
        <v>599</v>
      </c>
      <c r="D123" s="157">
        <v>1780000</v>
      </c>
      <c r="E123" s="21" t="s">
        <v>568</v>
      </c>
      <c r="F123" s="21" t="s">
        <v>569</v>
      </c>
      <c r="G123" s="8" t="str">
        <f t="shared" si="1"/>
        <v>DE LA ROSA ALEX</v>
      </c>
    </row>
    <row r="124" spans="1:7" x14ac:dyDescent="0.25">
      <c r="A124" s="8">
        <v>42759.567685185182</v>
      </c>
      <c r="B124" s="21" t="s">
        <v>383</v>
      </c>
      <c r="C124" s="21" t="s">
        <v>600</v>
      </c>
      <c r="D124" s="157">
        <v>1300000</v>
      </c>
      <c r="E124" s="21" t="s">
        <v>352</v>
      </c>
      <c r="F124" s="21" t="s">
        <v>353</v>
      </c>
      <c r="G124" s="8" t="str">
        <f t="shared" si="1"/>
        <v>LEVIN SCOTT</v>
      </c>
    </row>
    <row r="125" spans="1:7" x14ac:dyDescent="0.25">
      <c r="A125" s="8">
        <v>42759.569814814815</v>
      </c>
      <c r="B125" s="21" t="s">
        <v>203</v>
      </c>
      <c r="C125" s="21" t="s">
        <v>601</v>
      </c>
      <c r="D125" s="157">
        <v>2090000</v>
      </c>
      <c r="E125" s="21" t="s">
        <v>571</v>
      </c>
      <c r="F125" s="21" t="s">
        <v>213</v>
      </c>
      <c r="G125" s="8" t="str">
        <f t="shared" si="1"/>
        <v>HAITHCOX MICHAEL</v>
      </c>
    </row>
    <row r="126" spans="1:7" x14ac:dyDescent="0.25">
      <c r="A126" s="8">
        <v>42759.573449074072</v>
      </c>
      <c r="B126" s="21" t="s">
        <v>390</v>
      </c>
      <c r="C126" s="21" t="s">
        <v>602</v>
      </c>
      <c r="D126" s="157">
        <v>2250000</v>
      </c>
      <c r="E126" s="21" t="s">
        <v>354</v>
      </c>
      <c r="F126" s="21" t="s">
        <v>355</v>
      </c>
      <c r="G126" s="8" t="str">
        <f t="shared" si="1"/>
        <v>CRAYTON QUNTRELL</v>
      </c>
    </row>
    <row r="127" spans="1:7" x14ac:dyDescent="0.25">
      <c r="A127" s="8">
        <v>42759.577534722222</v>
      </c>
      <c r="B127" s="21" t="s">
        <v>242</v>
      </c>
      <c r="C127" s="21" t="s">
        <v>603</v>
      </c>
      <c r="D127" s="157">
        <v>2150000</v>
      </c>
      <c r="E127" s="21" t="s">
        <v>388</v>
      </c>
      <c r="F127" s="21" t="s">
        <v>389</v>
      </c>
      <c r="G127" s="8" t="str">
        <f t="shared" si="1"/>
        <v>SWANSON BRYCE</v>
      </c>
    </row>
    <row r="128" spans="1:7" x14ac:dyDescent="0.25">
      <c r="A128" s="8">
        <v>42759.579675925925</v>
      </c>
      <c r="B128" s="21" t="s">
        <v>153</v>
      </c>
      <c r="C128" s="21" t="s">
        <v>604</v>
      </c>
      <c r="D128" s="157">
        <v>2470000</v>
      </c>
      <c r="E128" s="21" t="s">
        <v>306</v>
      </c>
      <c r="F128" s="21" t="s">
        <v>307</v>
      </c>
      <c r="G128" s="8" t="str">
        <f t="shared" si="1"/>
        <v>ROMERO CHAD</v>
      </c>
    </row>
    <row r="129" spans="1:7" x14ac:dyDescent="0.25">
      <c r="A129" s="8">
        <v>42759.589606481481</v>
      </c>
      <c r="B129" s="21" t="s">
        <v>351</v>
      </c>
      <c r="C129" s="21" t="s">
        <v>605</v>
      </c>
      <c r="D129" s="157">
        <v>1180000</v>
      </c>
      <c r="E129" s="21" t="s">
        <v>280</v>
      </c>
      <c r="F129" s="21" t="s">
        <v>281</v>
      </c>
      <c r="G129" s="8" t="str">
        <f t="shared" si="1"/>
        <v>LEVERE CRAIG</v>
      </c>
    </row>
    <row r="130" spans="1:7" x14ac:dyDescent="0.25">
      <c r="A130" s="8">
        <v>42759.591620370367</v>
      </c>
      <c r="B130" s="21" t="s">
        <v>250</v>
      </c>
      <c r="C130" s="21" t="s">
        <v>606</v>
      </c>
      <c r="D130" s="157">
        <v>1190000</v>
      </c>
      <c r="E130" s="21" t="s">
        <v>591</v>
      </c>
      <c r="F130" s="21" t="s">
        <v>592</v>
      </c>
      <c r="G130" s="8" t="str">
        <f t="shared" si="1"/>
        <v>BRANNON JEFFREY</v>
      </c>
    </row>
    <row r="131" spans="1:7" x14ac:dyDescent="0.25">
      <c r="A131" s="8">
        <v>42759.595057870371</v>
      </c>
      <c r="B131" s="21" t="s">
        <v>397</v>
      </c>
      <c r="C131" s="21" t="s">
        <v>607</v>
      </c>
      <c r="D131" s="157">
        <v>1300000</v>
      </c>
      <c r="E131" s="21" t="s">
        <v>352</v>
      </c>
      <c r="F131" s="21" t="s">
        <v>353</v>
      </c>
      <c r="G131" s="8" t="str">
        <f t="shared" ref="G131:G194" si="2">E131&amp;" "&amp;F131</f>
        <v>LEVIN SCOTT</v>
      </c>
    </row>
    <row r="132" spans="1:7" x14ac:dyDescent="0.25">
      <c r="A132" s="8">
        <v>42759.597650462965</v>
      </c>
      <c r="B132" s="21" t="s">
        <v>494</v>
      </c>
      <c r="C132" s="21" t="s">
        <v>608</v>
      </c>
      <c r="D132" s="157">
        <v>1780000</v>
      </c>
      <c r="E132" s="21" t="s">
        <v>568</v>
      </c>
      <c r="F132" s="21" t="s">
        <v>569</v>
      </c>
      <c r="G132" s="8" t="str">
        <f t="shared" si="2"/>
        <v>DE LA ROSA ALEX</v>
      </c>
    </row>
    <row r="133" spans="1:7" x14ac:dyDescent="0.25">
      <c r="A133" s="8">
        <v>42759.603692129633</v>
      </c>
      <c r="B133" s="21" t="s">
        <v>202</v>
      </c>
      <c r="C133" s="21" t="s">
        <v>609</v>
      </c>
      <c r="D133" s="157">
        <v>2090000</v>
      </c>
      <c r="E133" s="21" t="s">
        <v>571</v>
      </c>
      <c r="F133" s="21" t="s">
        <v>213</v>
      </c>
      <c r="G133" s="8" t="str">
        <f t="shared" si="2"/>
        <v>HAITHCOX MICHAEL</v>
      </c>
    </row>
    <row r="134" spans="1:7" x14ac:dyDescent="0.25">
      <c r="A134" s="8">
        <v>42759.609039351853</v>
      </c>
      <c r="B134" s="21" t="s">
        <v>385</v>
      </c>
      <c r="C134" s="21" t="s">
        <v>610</v>
      </c>
      <c r="D134" s="157">
        <v>2250000</v>
      </c>
      <c r="E134" s="21" t="s">
        <v>354</v>
      </c>
      <c r="F134" s="21" t="s">
        <v>355</v>
      </c>
      <c r="G134" s="8" t="str">
        <f t="shared" si="2"/>
        <v>CRAYTON QUNTRELL</v>
      </c>
    </row>
    <row r="135" spans="1:7" x14ac:dyDescent="0.25">
      <c r="A135" s="8">
        <v>42759.609861111108</v>
      </c>
      <c r="B135" s="21" t="s">
        <v>383</v>
      </c>
      <c r="C135" s="21" t="s">
        <v>611</v>
      </c>
      <c r="D135" s="157">
        <v>1300000</v>
      </c>
      <c r="E135" s="21" t="s">
        <v>352</v>
      </c>
      <c r="F135" s="21" t="s">
        <v>353</v>
      </c>
      <c r="G135" s="8" t="str">
        <f t="shared" si="2"/>
        <v>LEVIN SCOTT</v>
      </c>
    </row>
    <row r="136" spans="1:7" x14ac:dyDescent="0.25">
      <c r="A136" s="8">
        <v>42759.613217592596</v>
      </c>
      <c r="B136" s="21" t="s">
        <v>154</v>
      </c>
      <c r="C136" s="21" t="s">
        <v>612</v>
      </c>
      <c r="D136" s="157">
        <v>2470000</v>
      </c>
      <c r="E136" s="21" t="s">
        <v>306</v>
      </c>
      <c r="F136" s="21" t="s">
        <v>307</v>
      </c>
      <c r="G136" s="8" t="str">
        <f t="shared" si="2"/>
        <v>ROMERO CHAD</v>
      </c>
    </row>
    <row r="137" spans="1:7" x14ac:dyDescent="0.25">
      <c r="A137" s="8">
        <v>42759.614560185182</v>
      </c>
      <c r="B137" s="21" t="s">
        <v>273</v>
      </c>
      <c r="C137" s="21" t="s">
        <v>613</v>
      </c>
      <c r="D137" s="157">
        <v>2150000</v>
      </c>
      <c r="E137" s="21" t="s">
        <v>388</v>
      </c>
      <c r="F137" s="21" t="s">
        <v>389</v>
      </c>
      <c r="G137" s="8" t="str">
        <f t="shared" si="2"/>
        <v>SWANSON BRYCE</v>
      </c>
    </row>
    <row r="138" spans="1:7" x14ac:dyDescent="0.25">
      <c r="A138" s="8">
        <v>42759.624976851854</v>
      </c>
      <c r="B138" s="21" t="s">
        <v>344</v>
      </c>
      <c r="C138" s="21" t="s">
        <v>614</v>
      </c>
      <c r="D138" s="157">
        <v>1180000</v>
      </c>
      <c r="E138" s="21" t="s">
        <v>280</v>
      </c>
      <c r="F138" s="21" t="s">
        <v>281</v>
      </c>
      <c r="G138" s="8" t="str">
        <f t="shared" si="2"/>
        <v>LEVERE CRAIG</v>
      </c>
    </row>
    <row r="139" spans="1:7" x14ac:dyDescent="0.25">
      <c r="A139" s="8">
        <v>42759.630347222221</v>
      </c>
      <c r="B139" s="21" t="s">
        <v>197</v>
      </c>
      <c r="C139" s="21" t="s">
        <v>474</v>
      </c>
      <c r="D139" s="157">
        <v>2420000</v>
      </c>
      <c r="E139" s="21" t="s">
        <v>580</v>
      </c>
      <c r="F139" s="21" t="s">
        <v>581</v>
      </c>
      <c r="G139" s="8" t="str">
        <f t="shared" si="2"/>
        <v>HOLCOMB KAMDEN</v>
      </c>
    </row>
    <row r="140" spans="1:7" x14ac:dyDescent="0.25">
      <c r="A140" s="8">
        <v>42759.630532407406</v>
      </c>
      <c r="B140" s="21" t="s">
        <v>249</v>
      </c>
      <c r="C140" s="21" t="s">
        <v>615</v>
      </c>
      <c r="D140" s="157">
        <v>1190000</v>
      </c>
      <c r="E140" s="21" t="s">
        <v>591</v>
      </c>
      <c r="F140" s="21" t="s">
        <v>592</v>
      </c>
      <c r="G140" s="8" t="str">
        <f t="shared" si="2"/>
        <v>BRANNON JEFFREY</v>
      </c>
    </row>
    <row r="141" spans="1:7" x14ac:dyDescent="0.25">
      <c r="A141" s="8">
        <v>42759.637245370373</v>
      </c>
      <c r="B141" s="21" t="s">
        <v>397</v>
      </c>
      <c r="C141" s="21" t="s">
        <v>616</v>
      </c>
      <c r="D141" s="157">
        <v>1300000</v>
      </c>
      <c r="E141" s="21" t="s">
        <v>352</v>
      </c>
      <c r="F141" s="21" t="s">
        <v>353</v>
      </c>
      <c r="G141" s="8" t="str">
        <f t="shared" si="2"/>
        <v>LEVIN SCOTT</v>
      </c>
    </row>
    <row r="142" spans="1:7" x14ac:dyDescent="0.25">
      <c r="A142" s="8">
        <v>42759.641157407408</v>
      </c>
      <c r="B142" s="21" t="s">
        <v>203</v>
      </c>
      <c r="C142" s="21" t="s">
        <v>477</v>
      </c>
      <c r="D142" s="157">
        <v>2090000</v>
      </c>
      <c r="E142" s="21" t="s">
        <v>571</v>
      </c>
      <c r="F142" s="21" t="s">
        <v>213</v>
      </c>
      <c r="G142" s="8" t="str">
        <f t="shared" si="2"/>
        <v>HAITHCOX MICHAEL</v>
      </c>
    </row>
    <row r="143" spans="1:7" x14ac:dyDescent="0.25">
      <c r="A143" s="8">
        <v>42759.641898148147</v>
      </c>
      <c r="B143" s="21" t="s">
        <v>304</v>
      </c>
      <c r="C143" s="21" t="s">
        <v>617</v>
      </c>
      <c r="D143" s="157">
        <v>2220000</v>
      </c>
      <c r="E143" s="21" t="s">
        <v>243</v>
      </c>
      <c r="F143" s="21" t="s">
        <v>244</v>
      </c>
      <c r="G143" s="8" t="str">
        <f t="shared" si="2"/>
        <v>HILLS DUSTIN</v>
      </c>
    </row>
    <row r="144" spans="1:7" x14ac:dyDescent="0.25">
      <c r="A144" s="8">
        <v>42759.644328703704</v>
      </c>
      <c r="B144" s="21" t="s">
        <v>390</v>
      </c>
      <c r="C144" s="21" t="s">
        <v>618</v>
      </c>
      <c r="D144" s="157">
        <v>2250000</v>
      </c>
      <c r="E144" s="21" t="s">
        <v>354</v>
      </c>
      <c r="F144" s="21" t="s">
        <v>355</v>
      </c>
      <c r="G144" s="8" t="str">
        <f t="shared" si="2"/>
        <v>CRAYTON QUNTRELL</v>
      </c>
    </row>
    <row r="145" spans="1:7" x14ac:dyDescent="0.25">
      <c r="A145" s="8">
        <v>42759.64912037037</v>
      </c>
      <c r="B145" s="21" t="s">
        <v>203</v>
      </c>
      <c r="C145" s="21" t="s">
        <v>477</v>
      </c>
      <c r="D145" s="157">
        <v>2090000</v>
      </c>
      <c r="E145" s="21" t="s">
        <v>571</v>
      </c>
      <c r="F145" s="21" t="s">
        <v>213</v>
      </c>
      <c r="G145" s="8" t="str">
        <f t="shared" si="2"/>
        <v>HAITHCOX MICHAEL</v>
      </c>
    </row>
    <row r="146" spans="1:7" x14ac:dyDescent="0.25">
      <c r="A146" s="8">
        <v>42759.651238425926</v>
      </c>
      <c r="B146" s="21" t="s">
        <v>383</v>
      </c>
      <c r="C146" s="21" t="s">
        <v>619</v>
      </c>
      <c r="D146" s="157">
        <v>1300000</v>
      </c>
      <c r="E146" s="21" t="s">
        <v>352</v>
      </c>
      <c r="F146" s="21" t="s">
        <v>353</v>
      </c>
      <c r="G146" s="8" t="str">
        <f t="shared" si="2"/>
        <v>LEVIN SCOTT</v>
      </c>
    </row>
    <row r="147" spans="1:7" x14ac:dyDescent="0.25">
      <c r="A147" s="8">
        <v>42759.652245370373</v>
      </c>
      <c r="B147" s="21" t="s">
        <v>305</v>
      </c>
      <c r="C147" s="21" t="s">
        <v>475</v>
      </c>
      <c r="D147" s="157">
        <v>2220000</v>
      </c>
      <c r="E147" s="21" t="s">
        <v>243</v>
      </c>
      <c r="F147" s="21" t="s">
        <v>244</v>
      </c>
      <c r="G147" s="8" t="str">
        <f t="shared" si="2"/>
        <v>HILLS DUSTIN</v>
      </c>
    </row>
    <row r="148" spans="1:7" x14ac:dyDescent="0.25">
      <c r="A148" s="8">
        <v>42759.652986111112</v>
      </c>
      <c r="B148" s="21" t="s">
        <v>242</v>
      </c>
      <c r="C148" s="21" t="s">
        <v>620</v>
      </c>
      <c r="D148" s="157">
        <v>2150000</v>
      </c>
      <c r="E148" s="21" t="s">
        <v>388</v>
      </c>
      <c r="F148" s="21" t="s">
        <v>389</v>
      </c>
      <c r="G148" s="8" t="str">
        <f t="shared" si="2"/>
        <v>SWANSON BRYCE</v>
      </c>
    </row>
    <row r="149" spans="1:7" x14ac:dyDescent="0.25">
      <c r="A149" s="8">
        <v>42759.65353009259</v>
      </c>
      <c r="B149" s="21" t="s">
        <v>153</v>
      </c>
      <c r="C149" s="21" t="s">
        <v>621</v>
      </c>
      <c r="D149" s="157">
        <v>2470000</v>
      </c>
      <c r="E149" s="21" t="s">
        <v>306</v>
      </c>
      <c r="F149" s="21" t="s">
        <v>307</v>
      </c>
      <c r="G149" s="8" t="str">
        <f t="shared" si="2"/>
        <v>ROMERO CHAD</v>
      </c>
    </row>
    <row r="150" spans="1:7" x14ac:dyDescent="0.25">
      <c r="A150" s="8">
        <v>42759.662187499998</v>
      </c>
      <c r="B150" s="21" t="s">
        <v>351</v>
      </c>
      <c r="C150" s="21" t="s">
        <v>622</v>
      </c>
      <c r="D150" s="157">
        <v>1180000</v>
      </c>
      <c r="E150" s="21" t="s">
        <v>280</v>
      </c>
      <c r="F150" s="21" t="s">
        <v>281</v>
      </c>
      <c r="G150" s="8" t="str">
        <f t="shared" si="2"/>
        <v>LEVERE CRAIG</v>
      </c>
    </row>
    <row r="151" spans="1:7" x14ac:dyDescent="0.25">
      <c r="A151" s="8">
        <v>42759.664675925924</v>
      </c>
      <c r="B151" s="21" t="s">
        <v>250</v>
      </c>
      <c r="C151" s="21" t="s">
        <v>623</v>
      </c>
      <c r="D151" s="157">
        <v>1190000</v>
      </c>
      <c r="E151" s="21" t="s">
        <v>591</v>
      </c>
      <c r="F151" s="21" t="s">
        <v>592</v>
      </c>
      <c r="G151" s="8" t="str">
        <f t="shared" si="2"/>
        <v>BRANNON JEFFREY</v>
      </c>
    </row>
    <row r="152" spans="1:7" x14ac:dyDescent="0.25">
      <c r="A152" s="8">
        <v>42759.669293981482</v>
      </c>
      <c r="B152" s="21" t="s">
        <v>517</v>
      </c>
      <c r="C152" s="21" t="s">
        <v>624</v>
      </c>
      <c r="D152" s="157">
        <v>1780000</v>
      </c>
      <c r="E152" s="21" t="s">
        <v>568</v>
      </c>
      <c r="F152" s="21" t="s">
        <v>569</v>
      </c>
      <c r="G152" s="8" t="str">
        <f t="shared" si="2"/>
        <v>DE LA ROSA ALEX</v>
      </c>
    </row>
    <row r="153" spans="1:7" x14ac:dyDescent="0.25">
      <c r="A153" s="8">
        <v>42759.671342592592</v>
      </c>
      <c r="B153" s="21" t="s">
        <v>272</v>
      </c>
      <c r="C153" s="21" t="s">
        <v>625</v>
      </c>
      <c r="D153" s="157">
        <v>2420000</v>
      </c>
      <c r="E153" s="21" t="s">
        <v>580</v>
      </c>
      <c r="F153" s="21" t="s">
        <v>581</v>
      </c>
      <c r="G153" s="8" t="str">
        <f t="shared" si="2"/>
        <v>HOLCOMB KAMDEN</v>
      </c>
    </row>
    <row r="154" spans="1:7" x14ac:dyDescent="0.25">
      <c r="A154" s="8">
        <v>42759.673935185187</v>
      </c>
      <c r="B154" s="21" t="s">
        <v>304</v>
      </c>
      <c r="C154" s="21" t="s">
        <v>476</v>
      </c>
      <c r="D154" s="157">
        <v>2220000</v>
      </c>
      <c r="E154" s="21" t="s">
        <v>243</v>
      </c>
      <c r="F154" s="21" t="s">
        <v>244</v>
      </c>
      <c r="G154" s="8" t="str">
        <f t="shared" si="2"/>
        <v>HILLS DUSTIN</v>
      </c>
    </row>
    <row r="155" spans="1:7" x14ac:dyDescent="0.25">
      <c r="A155" s="8">
        <v>42759.677106481482</v>
      </c>
      <c r="B155" s="21" t="s">
        <v>397</v>
      </c>
      <c r="C155" s="21" t="s">
        <v>626</v>
      </c>
      <c r="D155" s="157">
        <v>1300000</v>
      </c>
      <c r="E155" s="21" t="s">
        <v>352</v>
      </c>
      <c r="F155" s="21" t="s">
        <v>353</v>
      </c>
      <c r="G155" s="8" t="str">
        <f t="shared" si="2"/>
        <v>LEVIN SCOTT</v>
      </c>
    </row>
    <row r="156" spans="1:7" x14ac:dyDescent="0.25">
      <c r="A156" s="8">
        <v>42759.682685185187</v>
      </c>
      <c r="B156" s="21" t="s">
        <v>385</v>
      </c>
      <c r="C156" s="21" t="s">
        <v>627</v>
      </c>
      <c r="D156" s="157">
        <v>2250000</v>
      </c>
      <c r="E156" s="21" t="s">
        <v>354</v>
      </c>
      <c r="F156" s="21" t="s">
        <v>355</v>
      </c>
      <c r="G156" s="8" t="str">
        <f t="shared" si="2"/>
        <v>CRAYTON QUNTRELL</v>
      </c>
    </row>
    <row r="157" spans="1:7" x14ac:dyDescent="0.25">
      <c r="A157" s="8">
        <v>42759.685023148151</v>
      </c>
      <c r="B157" s="21" t="s">
        <v>202</v>
      </c>
      <c r="C157" s="21" t="s">
        <v>628</v>
      </c>
      <c r="D157" s="157">
        <v>2090000</v>
      </c>
      <c r="E157" s="21" t="s">
        <v>571</v>
      </c>
      <c r="F157" s="21" t="s">
        <v>213</v>
      </c>
      <c r="G157" s="8" t="str">
        <f t="shared" si="2"/>
        <v>HAITHCOX MICHAEL</v>
      </c>
    </row>
    <row r="158" spans="1:7" x14ac:dyDescent="0.25">
      <c r="A158" s="8">
        <v>42759.685763888891</v>
      </c>
      <c r="B158" s="21" t="s">
        <v>272</v>
      </c>
      <c r="C158" s="21" t="s">
        <v>625</v>
      </c>
      <c r="D158" s="157">
        <v>2420000</v>
      </c>
      <c r="E158" s="21" t="s">
        <v>580</v>
      </c>
      <c r="F158" s="21" t="s">
        <v>581</v>
      </c>
      <c r="G158" s="8" t="str">
        <f t="shared" si="2"/>
        <v>HOLCOMB KAMDEN</v>
      </c>
    </row>
    <row r="159" spans="1:7" x14ac:dyDescent="0.25">
      <c r="A159" s="8">
        <v>42759.686481481483</v>
      </c>
      <c r="B159" s="21" t="s">
        <v>272</v>
      </c>
      <c r="C159" s="21" t="s">
        <v>625</v>
      </c>
      <c r="D159" s="157">
        <v>2420000</v>
      </c>
      <c r="E159" s="21" t="s">
        <v>580</v>
      </c>
      <c r="F159" s="21" t="s">
        <v>581</v>
      </c>
      <c r="G159" s="8" t="str">
        <f t="shared" si="2"/>
        <v>HOLCOMB KAMDEN</v>
      </c>
    </row>
    <row r="160" spans="1:7" x14ac:dyDescent="0.25">
      <c r="A160" s="8">
        <v>42759.686550925922</v>
      </c>
      <c r="B160" s="21" t="s">
        <v>202</v>
      </c>
      <c r="C160" s="21" t="s">
        <v>628</v>
      </c>
      <c r="D160" s="157">
        <v>2090000</v>
      </c>
      <c r="E160" s="21" t="s">
        <v>571</v>
      </c>
      <c r="F160" s="21" t="s">
        <v>213</v>
      </c>
      <c r="G160" s="8" t="str">
        <f t="shared" si="2"/>
        <v>HAITHCOX MICHAEL</v>
      </c>
    </row>
    <row r="161" spans="1:7" x14ac:dyDescent="0.25">
      <c r="A161" s="8">
        <v>42759.687199074076</v>
      </c>
      <c r="B161" s="21" t="s">
        <v>305</v>
      </c>
      <c r="C161" s="21" t="s">
        <v>629</v>
      </c>
      <c r="D161" s="157">
        <v>2220000</v>
      </c>
      <c r="E161" s="21" t="s">
        <v>243</v>
      </c>
      <c r="F161" s="21" t="s">
        <v>244</v>
      </c>
      <c r="G161" s="8" t="str">
        <f t="shared" si="2"/>
        <v>HILLS DUSTIN</v>
      </c>
    </row>
    <row r="162" spans="1:7" x14ac:dyDescent="0.25">
      <c r="A162" s="8">
        <v>42759.691331018519</v>
      </c>
      <c r="B162" s="21" t="s">
        <v>154</v>
      </c>
      <c r="C162" s="21" t="s">
        <v>478</v>
      </c>
      <c r="D162" s="157">
        <v>2470000</v>
      </c>
      <c r="E162" s="21" t="s">
        <v>306</v>
      </c>
      <c r="F162" s="21" t="s">
        <v>307</v>
      </c>
      <c r="G162" s="8" t="str">
        <f t="shared" si="2"/>
        <v>ROMERO CHAD</v>
      </c>
    </row>
    <row r="163" spans="1:7" x14ac:dyDescent="0.25">
      <c r="A163" s="8">
        <v>42759.692893518521</v>
      </c>
      <c r="B163" s="21" t="s">
        <v>383</v>
      </c>
      <c r="C163" s="21" t="s">
        <v>630</v>
      </c>
      <c r="D163" s="157">
        <v>1300000</v>
      </c>
      <c r="E163" s="21" t="s">
        <v>352</v>
      </c>
      <c r="F163" s="21" t="s">
        <v>353</v>
      </c>
      <c r="G163" s="8" t="str">
        <f t="shared" si="2"/>
        <v>LEVIN SCOTT</v>
      </c>
    </row>
    <row r="164" spans="1:7" x14ac:dyDescent="0.25">
      <c r="A164" s="8">
        <v>42759.695868055554</v>
      </c>
      <c r="B164" s="21" t="s">
        <v>344</v>
      </c>
      <c r="C164" s="21" t="s">
        <v>631</v>
      </c>
      <c r="D164" s="157">
        <v>1180000</v>
      </c>
      <c r="E164" s="21" t="s">
        <v>280</v>
      </c>
      <c r="F164" s="21" t="s">
        <v>281</v>
      </c>
      <c r="G164" s="8" t="str">
        <f t="shared" si="2"/>
        <v>LEVERE CRAIG</v>
      </c>
    </row>
    <row r="165" spans="1:7" x14ac:dyDescent="0.25">
      <c r="A165" s="8">
        <v>42759.700439814813</v>
      </c>
      <c r="B165" s="21" t="s">
        <v>273</v>
      </c>
      <c r="C165" s="21" t="s">
        <v>632</v>
      </c>
      <c r="D165" s="157">
        <v>2150000</v>
      </c>
      <c r="E165" s="21" t="s">
        <v>388</v>
      </c>
      <c r="F165" s="21" t="s">
        <v>389</v>
      </c>
      <c r="G165" s="8" t="str">
        <f t="shared" si="2"/>
        <v>SWANSON BRYCE</v>
      </c>
    </row>
    <row r="166" spans="1:7" x14ac:dyDescent="0.25">
      <c r="A166" s="8">
        <v>42759.702893518515</v>
      </c>
      <c r="B166" s="21" t="s">
        <v>249</v>
      </c>
      <c r="C166" s="21" t="s">
        <v>479</v>
      </c>
      <c r="D166" s="157">
        <v>1190000</v>
      </c>
      <c r="E166" s="21" t="s">
        <v>591</v>
      </c>
      <c r="F166" s="21" t="s">
        <v>592</v>
      </c>
      <c r="G166" s="8" t="str">
        <f t="shared" si="2"/>
        <v>BRANNON JEFFREY</v>
      </c>
    </row>
    <row r="167" spans="1:7" x14ac:dyDescent="0.25">
      <c r="A167" s="8">
        <v>42759.711782407408</v>
      </c>
      <c r="B167" s="21" t="s">
        <v>494</v>
      </c>
      <c r="C167" s="21" t="s">
        <v>633</v>
      </c>
      <c r="D167" s="157">
        <v>1780000</v>
      </c>
      <c r="E167" s="21" t="s">
        <v>568</v>
      </c>
      <c r="F167" s="21" t="s">
        <v>569</v>
      </c>
      <c r="G167" s="8" t="str">
        <f t="shared" si="2"/>
        <v>DE LA ROSA ALEX</v>
      </c>
    </row>
    <row r="168" spans="1:7" x14ac:dyDescent="0.25">
      <c r="A168" s="8">
        <v>42759.714444444442</v>
      </c>
      <c r="B168" s="21" t="s">
        <v>246</v>
      </c>
      <c r="C168" s="21" t="s">
        <v>634</v>
      </c>
      <c r="D168" s="157">
        <v>1810000</v>
      </c>
      <c r="E168" s="21" t="s">
        <v>218</v>
      </c>
      <c r="F168" s="21" t="s">
        <v>208</v>
      </c>
      <c r="G168" s="8" t="str">
        <f t="shared" si="2"/>
        <v>NEWELL JAMES</v>
      </c>
    </row>
    <row r="169" spans="1:7" x14ac:dyDescent="0.25">
      <c r="A169" s="8">
        <v>42759.714884259258</v>
      </c>
      <c r="B169" s="21" t="s">
        <v>304</v>
      </c>
      <c r="C169" s="21" t="s">
        <v>635</v>
      </c>
      <c r="D169" s="157">
        <v>2220000</v>
      </c>
      <c r="E169" s="21" t="s">
        <v>243</v>
      </c>
      <c r="F169" s="21" t="s">
        <v>244</v>
      </c>
      <c r="G169" s="8" t="str">
        <f t="shared" si="2"/>
        <v>HILLS DUSTIN</v>
      </c>
    </row>
    <row r="170" spans="1:7" x14ac:dyDescent="0.25">
      <c r="A170" s="8">
        <v>42759.716157407405</v>
      </c>
      <c r="B170" s="21" t="s">
        <v>246</v>
      </c>
      <c r="C170" s="21" t="s">
        <v>636</v>
      </c>
      <c r="D170" s="157">
        <v>1810000</v>
      </c>
      <c r="E170" s="21" t="s">
        <v>218</v>
      </c>
      <c r="F170" s="21" t="s">
        <v>208</v>
      </c>
      <c r="G170" s="8" t="str">
        <f t="shared" si="2"/>
        <v>NEWELL JAMES</v>
      </c>
    </row>
    <row r="171" spans="1:7" x14ac:dyDescent="0.25">
      <c r="A171" s="8">
        <v>42759.717013888891</v>
      </c>
      <c r="B171" s="21" t="s">
        <v>197</v>
      </c>
      <c r="C171" s="21" t="s">
        <v>637</v>
      </c>
      <c r="D171" s="157">
        <v>2420000</v>
      </c>
      <c r="E171" s="21" t="s">
        <v>580</v>
      </c>
      <c r="F171" s="21" t="s">
        <v>581</v>
      </c>
      <c r="G171" s="8" t="str">
        <f t="shared" si="2"/>
        <v>HOLCOMB KAMDEN</v>
      </c>
    </row>
    <row r="172" spans="1:7" x14ac:dyDescent="0.25">
      <c r="A172" s="8">
        <v>42759.718229166669</v>
      </c>
      <c r="B172" s="21" t="s">
        <v>390</v>
      </c>
      <c r="C172" s="21" t="s">
        <v>638</v>
      </c>
      <c r="D172" s="157">
        <v>1800000</v>
      </c>
      <c r="E172" s="21" t="s">
        <v>356</v>
      </c>
      <c r="F172" s="21" t="s">
        <v>357</v>
      </c>
      <c r="G172" s="8" t="str">
        <f t="shared" si="2"/>
        <v>CHANDLER KELVIN</v>
      </c>
    </row>
    <row r="173" spans="1:7" x14ac:dyDescent="0.25">
      <c r="A173" s="8">
        <v>42759.719490740739</v>
      </c>
      <c r="B173" s="21" t="s">
        <v>397</v>
      </c>
      <c r="C173" s="21" t="s">
        <v>639</v>
      </c>
      <c r="D173" s="157">
        <v>1300000</v>
      </c>
      <c r="E173" s="21" t="s">
        <v>352</v>
      </c>
      <c r="F173" s="21" t="s">
        <v>353</v>
      </c>
      <c r="G173" s="8" t="str">
        <f t="shared" si="2"/>
        <v>LEVIN SCOTT</v>
      </c>
    </row>
    <row r="174" spans="1:7" x14ac:dyDescent="0.25">
      <c r="A174" s="8">
        <v>42759.721388888887</v>
      </c>
      <c r="B174" s="21" t="s">
        <v>203</v>
      </c>
      <c r="C174" s="21" t="s">
        <v>640</v>
      </c>
      <c r="D174" s="157">
        <v>2090000</v>
      </c>
      <c r="E174" s="21" t="s">
        <v>571</v>
      </c>
      <c r="F174" s="21" t="s">
        <v>213</v>
      </c>
      <c r="G174" s="8" t="str">
        <f t="shared" si="2"/>
        <v>HAITHCOX MICHAEL</v>
      </c>
    </row>
    <row r="175" spans="1:7" x14ac:dyDescent="0.25">
      <c r="A175" s="8">
        <v>42759.727037037039</v>
      </c>
      <c r="B175" s="21" t="s">
        <v>153</v>
      </c>
      <c r="C175" s="21" t="s">
        <v>641</v>
      </c>
      <c r="D175" s="157">
        <v>2250000</v>
      </c>
      <c r="E175" s="21" t="s">
        <v>354</v>
      </c>
      <c r="F175" s="21" t="s">
        <v>355</v>
      </c>
      <c r="G175" s="8" t="str">
        <f t="shared" si="2"/>
        <v>CRAYTON QUNTRELL</v>
      </c>
    </row>
    <row r="176" spans="1:7" x14ac:dyDescent="0.25">
      <c r="A176" s="8">
        <v>42759.728194444448</v>
      </c>
      <c r="B176" s="21" t="s">
        <v>305</v>
      </c>
      <c r="C176" s="21" t="s">
        <v>480</v>
      </c>
      <c r="D176" s="157">
        <v>2220000</v>
      </c>
      <c r="E176" s="21" t="s">
        <v>243</v>
      </c>
      <c r="F176" s="21" t="s">
        <v>244</v>
      </c>
      <c r="G176" s="8" t="str">
        <f t="shared" si="2"/>
        <v>HILLS DUSTIN</v>
      </c>
    </row>
    <row r="177" spans="1:7" x14ac:dyDescent="0.25">
      <c r="A177" s="8">
        <v>42759.730324074073</v>
      </c>
      <c r="B177" s="21" t="s">
        <v>351</v>
      </c>
      <c r="C177" s="21" t="s">
        <v>642</v>
      </c>
      <c r="D177" s="157">
        <v>1180000</v>
      </c>
      <c r="E177" s="21" t="s">
        <v>280</v>
      </c>
      <c r="F177" s="21" t="s">
        <v>281</v>
      </c>
      <c r="G177" s="8" t="str">
        <f t="shared" si="2"/>
        <v>LEVERE CRAIG</v>
      </c>
    </row>
    <row r="178" spans="1:7" x14ac:dyDescent="0.25">
      <c r="A178" s="8">
        <v>42759.735069444447</v>
      </c>
      <c r="B178" s="21" t="s">
        <v>383</v>
      </c>
      <c r="C178" s="21" t="s">
        <v>643</v>
      </c>
      <c r="D178" s="157">
        <v>1300000</v>
      </c>
      <c r="E178" s="21" t="s">
        <v>352</v>
      </c>
      <c r="F178" s="21" t="s">
        <v>353</v>
      </c>
      <c r="G178" s="8" t="str">
        <f t="shared" si="2"/>
        <v>LEVIN SCOTT</v>
      </c>
    </row>
    <row r="179" spans="1:7" x14ac:dyDescent="0.25">
      <c r="A179" s="8">
        <v>42759.735277777778</v>
      </c>
      <c r="B179" s="21" t="s">
        <v>279</v>
      </c>
      <c r="C179" s="21" t="s">
        <v>634</v>
      </c>
      <c r="D179" s="157">
        <v>1810000</v>
      </c>
      <c r="E179" s="21" t="s">
        <v>218</v>
      </c>
      <c r="F179" s="21" t="s">
        <v>208</v>
      </c>
      <c r="G179" s="8" t="str">
        <f t="shared" si="2"/>
        <v>NEWELL JAMES</v>
      </c>
    </row>
    <row r="180" spans="1:7" x14ac:dyDescent="0.25">
      <c r="A180" s="8">
        <v>42759.739594907405</v>
      </c>
      <c r="B180" s="21" t="s">
        <v>242</v>
      </c>
      <c r="C180" s="21" t="s">
        <v>483</v>
      </c>
      <c r="D180" s="157">
        <v>2150000</v>
      </c>
      <c r="E180" s="21" t="s">
        <v>388</v>
      </c>
      <c r="F180" s="21" t="s">
        <v>389</v>
      </c>
      <c r="G180" s="8" t="str">
        <f t="shared" si="2"/>
        <v>SWANSON BRYCE</v>
      </c>
    </row>
    <row r="181" spans="1:7" x14ac:dyDescent="0.25">
      <c r="A181" s="8">
        <v>42759.741527777776</v>
      </c>
      <c r="B181" s="21" t="s">
        <v>199</v>
      </c>
      <c r="C181" s="21" t="s">
        <v>481</v>
      </c>
      <c r="D181" s="157">
        <v>2680000</v>
      </c>
      <c r="E181" s="21" t="s">
        <v>644</v>
      </c>
      <c r="F181" s="21" t="s">
        <v>645</v>
      </c>
      <c r="G181" s="8" t="str">
        <f t="shared" si="2"/>
        <v>DUNCAN SHEILA</v>
      </c>
    </row>
    <row r="182" spans="1:7" x14ac:dyDescent="0.25">
      <c r="A182" s="8">
        <v>42759.745706018519</v>
      </c>
      <c r="B182" s="21" t="s">
        <v>245</v>
      </c>
      <c r="C182" s="21" t="s">
        <v>646</v>
      </c>
      <c r="D182" s="157">
        <v>2040000</v>
      </c>
      <c r="E182" s="21" t="s">
        <v>391</v>
      </c>
      <c r="F182" s="21" t="s">
        <v>392</v>
      </c>
      <c r="G182" s="8" t="str">
        <f t="shared" si="2"/>
        <v>MOSES BRADLEY</v>
      </c>
    </row>
    <row r="183" spans="1:7" x14ac:dyDescent="0.25">
      <c r="A183" s="8">
        <v>42759.748993055553</v>
      </c>
      <c r="B183" s="21" t="s">
        <v>517</v>
      </c>
      <c r="C183" s="21" t="s">
        <v>647</v>
      </c>
      <c r="D183" s="157">
        <v>1190000</v>
      </c>
      <c r="E183" s="21" t="s">
        <v>591</v>
      </c>
      <c r="F183" s="21" t="s">
        <v>592</v>
      </c>
      <c r="G183" s="8" t="str">
        <f t="shared" si="2"/>
        <v>BRANNON JEFFREY</v>
      </c>
    </row>
    <row r="184" spans="1:7" x14ac:dyDescent="0.25">
      <c r="A184" s="8">
        <v>42759.754374999997</v>
      </c>
      <c r="B184" s="21" t="s">
        <v>250</v>
      </c>
      <c r="C184" s="21" t="s">
        <v>648</v>
      </c>
      <c r="D184" s="157">
        <v>2350000</v>
      </c>
      <c r="E184" s="21" t="s">
        <v>395</v>
      </c>
      <c r="F184" s="21" t="s">
        <v>396</v>
      </c>
      <c r="G184" s="8" t="str">
        <f t="shared" si="2"/>
        <v>BERLING GARY</v>
      </c>
    </row>
    <row r="185" spans="1:7" x14ac:dyDescent="0.25">
      <c r="A185" s="8">
        <v>42759.756736111114</v>
      </c>
      <c r="B185" s="21" t="s">
        <v>385</v>
      </c>
      <c r="C185" s="21" t="s">
        <v>649</v>
      </c>
      <c r="D185" s="157">
        <v>1800000</v>
      </c>
      <c r="E185" s="21" t="s">
        <v>356</v>
      </c>
      <c r="F185" s="21" t="s">
        <v>357</v>
      </c>
      <c r="G185" s="8" t="str">
        <f t="shared" si="2"/>
        <v>CHANDLER KELVIN</v>
      </c>
    </row>
    <row r="186" spans="1:7" x14ac:dyDescent="0.25">
      <c r="A186" s="8">
        <v>42759.757557870369</v>
      </c>
      <c r="B186" s="21" t="s">
        <v>304</v>
      </c>
      <c r="C186" s="21" t="s">
        <v>482</v>
      </c>
      <c r="D186" s="157">
        <v>2220000</v>
      </c>
      <c r="E186" s="21" t="s">
        <v>243</v>
      </c>
      <c r="F186" s="21" t="s">
        <v>244</v>
      </c>
      <c r="G186" s="8" t="str">
        <f t="shared" si="2"/>
        <v>HILLS DUSTIN</v>
      </c>
    </row>
    <row r="187" spans="1:7" x14ac:dyDescent="0.25">
      <c r="A187" s="8">
        <v>42759.761689814812</v>
      </c>
      <c r="B187" s="21" t="s">
        <v>397</v>
      </c>
      <c r="C187" s="21" t="s">
        <v>650</v>
      </c>
      <c r="D187" s="157">
        <v>1300000</v>
      </c>
      <c r="E187" s="21" t="s">
        <v>352</v>
      </c>
      <c r="F187" s="21" t="s">
        <v>353</v>
      </c>
      <c r="G187" s="8" t="str">
        <f t="shared" si="2"/>
        <v>LEVIN SCOTT</v>
      </c>
    </row>
    <row r="188" spans="1:7" x14ac:dyDescent="0.25">
      <c r="A188" s="8">
        <v>42759.762326388889</v>
      </c>
      <c r="B188" s="21" t="s">
        <v>202</v>
      </c>
      <c r="C188" s="21" t="s">
        <v>651</v>
      </c>
      <c r="D188" s="157">
        <v>1740000</v>
      </c>
      <c r="E188" s="21" t="s">
        <v>265</v>
      </c>
      <c r="F188" s="21" t="s">
        <v>266</v>
      </c>
      <c r="G188" s="8" t="str">
        <f t="shared" si="2"/>
        <v>STORY SAMANTHA</v>
      </c>
    </row>
    <row r="189" spans="1:7" x14ac:dyDescent="0.25">
      <c r="A189" s="8">
        <v>42759.763912037037</v>
      </c>
      <c r="B189" s="21" t="s">
        <v>154</v>
      </c>
      <c r="C189" s="21" t="s">
        <v>652</v>
      </c>
      <c r="D189" s="157">
        <v>2250000</v>
      </c>
      <c r="E189" s="21" t="s">
        <v>354</v>
      </c>
      <c r="F189" s="21" t="s">
        <v>355</v>
      </c>
      <c r="G189" s="8" t="str">
        <f t="shared" si="2"/>
        <v>CRAYTON QUNTRELL</v>
      </c>
    </row>
    <row r="190" spans="1:7" x14ac:dyDescent="0.25">
      <c r="A190" s="8">
        <v>42759.770127314812</v>
      </c>
      <c r="B190" s="21" t="s">
        <v>234</v>
      </c>
      <c r="C190" s="21" t="s">
        <v>653</v>
      </c>
      <c r="D190" s="157">
        <v>1810000</v>
      </c>
      <c r="E190" s="21" t="s">
        <v>218</v>
      </c>
      <c r="F190" s="21" t="s">
        <v>208</v>
      </c>
      <c r="G190" s="8" t="str">
        <f t="shared" si="2"/>
        <v>NEWELL JAMES</v>
      </c>
    </row>
    <row r="191" spans="1:7" x14ac:dyDescent="0.25">
      <c r="A191" s="8">
        <v>42759.770266203705</v>
      </c>
      <c r="B191" s="21" t="s">
        <v>305</v>
      </c>
      <c r="C191" s="21" t="s">
        <v>484</v>
      </c>
      <c r="D191" s="157">
        <v>2220000</v>
      </c>
      <c r="E191" s="21" t="s">
        <v>243</v>
      </c>
      <c r="F191" s="21" t="s">
        <v>244</v>
      </c>
      <c r="G191" s="8" t="str">
        <f t="shared" si="2"/>
        <v>HILLS DUSTIN</v>
      </c>
    </row>
    <row r="192" spans="1:7" x14ac:dyDescent="0.25">
      <c r="A192" s="8">
        <v>42759.770960648151</v>
      </c>
      <c r="B192" s="21" t="s">
        <v>344</v>
      </c>
      <c r="C192" s="21" t="s">
        <v>654</v>
      </c>
      <c r="D192" s="157">
        <v>2000000</v>
      </c>
      <c r="E192" s="21" t="s">
        <v>309</v>
      </c>
      <c r="F192" s="21" t="s">
        <v>208</v>
      </c>
      <c r="G192" s="8" t="str">
        <f t="shared" si="2"/>
        <v>STAMBAUGH JAMES</v>
      </c>
    </row>
    <row r="193" spans="1:7" x14ac:dyDescent="0.25">
      <c r="A193" s="8">
        <v>42759.776261574072</v>
      </c>
      <c r="B193" s="21" t="s">
        <v>383</v>
      </c>
      <c r="C193" s="21" t="s">
        <v>655</v>
      </c>
      <c r="D193" s="157">
        <v>1300000</v>
      </c>
      <c r="E193" s="21" t="s">
        <v>352</v>
      </c>
      <c r="F193" s="21" t="s">
        <v>353</v>
      </c>
      <c r="G193" s="8" t="str">
        <f t="shared" si="2"/>
        <v>LEVIN SCOTT</v>
      </c>
    </row>
    <row r="194" spans="1:7" x14ac:dyDescent="0.25">
      <c r="A194" s="8">
        <v>42759.782800925925</v>
      </c>
      <c r="B194" s="21" t="s">
        <v>494</v>
      </c>
      <c r="C194" s="21" t="s">
        <v>656</v>
      </c>
      <c r="D194" s="157">
        <v>1190000</v>
      </c>
      <c r="E194" s="21" t="s">
        <v>591</v>
      </c>
      <c r="F194" s="21" t="s">
        <v>592</v>
      </c>
      <c r="G194" s="8" t="str">
        <f t="shared" si="2"/>
        <v>BRANNON JEFFREY</v>
      </c>
    </row>
    <row r="195" spans="1:7" x14ac:dyDescent="0.25">
      <c r="A195" s="8">
        <v>42759.783715277779</v>
      </c>
      <c r="B195" s="21" t="s">
        <v>273</v>
      </c>
      <c r="C195" s="21" t="s">
        <v>657</v>
      </c>
      <c r="D195" s="157">
        <v>2150000</v>
      </c>
      <c r="E195" s="21" t="s">
        <v>388</v>
      </c>
      <c r="F195" s="21" t="s">
        <v>389</v>
      </c>
      <c r="G195" s="8" t="str">
        <f t="shared" ref="G195:G258" si="3">E195&amp;" "&amp;F195</f>
        <v>SWANSON BRYCE</v>
      </c>
    </row>
    <row r="196" spans="1:7" x14ac:dyDescent="0.25">
      <c r="A196" s="8">
        <v>42759.79005787037</v>
      </c>
      <c r="B196" s="21" t="s">
        <v>390</v>
      </c>
      <c r="C196" s="21" t="s">
        <v>658</v>
      </c>
      <c r="D196" s="157">
        <v>1800000</v>
      </c>
      <c r="E196" s="21" t="s">
        <v>356</v>
      </c>
      <c r="F196" s="21" t="s">
        <v>357</v>
      </c>
      <c r="G196" s="8" t="str">
        <f t="shared" si="3"/>
        <v>CHANDLER KELVIN</v>
      </c>
    </row>
    <row r="197" spans="1:7" x14ac:dyDescent="0.25">
      <c r="A197" s="8">
        <v>42759.795844907407</v>
      </c>
      <c r="B197" s="21" t="s">
        <v>203</v>
      </c>
      <c r="C197" s="21" t="s">
        <v>659</v>
      </c>
      <c r="D197" s="157">
        <v>1740000</v>
      </c>
      <c r="E197" s="21" t="s">
        <v>265</v>
      </c>
      <c r="F197" s="21" t="s">
        <v>266</v>
      </c>
      <c r="G197" s="8" t="str">
        <f t="shared" si="3"/>
        <v>STORY SAMANTHA</v>
      </c>
    </row>
    <row r="198" spans="1:7" x14ac:dyDescent="0.25">
      <c r="A198" s="8">
        <v>42759.798831018517</v>
      </c>
      <c r="B198" s="21" t="s">
        <v>304</v>
      </c>
      <c r="C198" s="21" t="s">
        <v>660</v>
      </c>
      <c r="D198" s="157">
        <v>2220000</v>
      </c>
      <c r="E198" s="21" t="s">
        <v>243</v>
      </c>
      <c r="F198" s="21" t="s">
        <v>244</v>
      </c>
      <c r="G198" s="8" t="str">
        <f t="shared" si="3"/>
        <v>HILLS DUSTIN</v>
      </c>
    </row>
    <row r="199" spans="1:7" x14ac:dyDescent="0.25">
      <c r="A199" s="8">
        <v>42759.799849537034</v>
      </c>
      <c r="B199" s="21" t="s">
        <v>351</v>
      </c>
      <c r="C199" s="21" t="s">
        <v>487</v>
      </c>
      <c r="D199" s="157">
        <v>2000000</v>
      </c>
      <c r="E199" s="21" t="s">
        <v>309</v>
      </c>
      <c r="F199" s="21" t="s">
        <v>208</v>
      </c>
      <c r="G199" s="8" t="str">
        <f t="shared" si="3"/>
        <v>STAMBAUGH JAMES</v>
      </c>
    </row>
    <row r="200" spans="1:7" x14ac:dyDescent="0.25">
      <c r="A200" s="8">
        <v>42759.801365740743</v>
      </c>
      <c r="B200" s="21" t="s">
        <v>153</v>
      </c>
      <c r="C200" s="21" t="s">
        <v>661</v>
      </c>
      <c r="D200" s="157">
        <v>2250000</v>
      </c>
      <c r="E200" s="21" t="s">
        <v>354</v>
      </c>
      <c r="F200" s="21" t="s">
        <v>355</v>
      </c>
      <c r="G200" s="8" t="str">
        <f t="shared" si="3"/>
        <v>CRAYTON QUNTRELL</v>
      </c>
    </row>
    <row r="201" spans="1:7" x14ac:dyDescent="0.25">
      <c r="A201" s="8">
        <v>42759.803912037038</v>
      </c>
      <c r="B201" s="21" t="s">
        <v>397</v>
      </c>
      <c r="C201" s="21" t="s">
        <v>485</v>
      </c>
      <c r="D201" s="157">
        <v>1300000</v>
      </c>
      <c r="E201" s="21" t="s">
        <v>352</v>
      </c>
      <c r="F201" s="21" t="s">
        <v>353</v>
      </c>
      <c r="G201" s="8" t="str">
        <f t="shared" si="3"/>
        <v>LEVIN SCOTT</v>
      </c>
    </row>
    <row r="202" spans="1:7" x14ac:dyDescent="0.25">
      <c r="A202" s="27">
        <v>42759.808020833334</v>
      </c>
      <c r="B202" s="21" t="s">
        <v>279</v>
      </c>
      <c r="C202" s="21" t="s">
        <v>662</v>
      </c>
      <c r="D202" s="157">
        <v>1810000</v>
      </c>
      <c r="E202" s="21" t="s">
        <v>218</v>
      </c>
      <c r="F202" s="21" t="s">
        <v>208</v>
      </c>
      <c r="G202" s="8" t="str">
        <f t="shared" si="3"/>
        <v>NEWELL JAMES</v>
      </c>
    </row>
    <row r="203" spans="1:7" x14ac:dyDescent="0.25">
      <c r="A203" s="8">
        <v>42759.817326388889</v>
      </c>
      <c r="B203" s="21" t="s">
        <v>383</v>
      </c>
      <c r="C203" s="21" t="s">
        <v>486</v>
      </c>
      <c r="D203" s="157">
        <v>1300000</v>
      </c>
      <c r="E203" s="21" t="s">
        <v>352</v>
      </c>
      <c r="F203" s="21" t="s">
        <v>353</v>
      </c>
      <c r="G203" s="8" t="str">
        <f t="shared" si="3"/>
        <v>LEVIN SCOTT</v>
      </c>
    </row>
    <row r="204" spans="1:7" x14ac:dyDescent="0.25">
      <c r="A204" s="8">
        <v>42759.819328703707</v>
      </c>
      <c r="B204" s="21" t="s">
        <v>517</v>
      </c>
      <c r="C204" s="21" t="s">
        <v>663</v>
      </c>
      <c r="D204" s="157">
        <v>1190000</v>
      </c>
      <c r="E204" s="21" t="s">
        <v>591</v>
      </c>
      <c r="F204" s="21" t="s">
        <v>592</v>
      </c>
      <c r="G204" s="8" t="str">
        <f t="shared" si="3"/>
        <v>BRANNON JEFFREY</v>
      </c>
    </row>
    <row r="205" spans="1:7" x14ac:dyDescent="0.25">
      <c r="A205" s="8">
        <v>42759.829247685186</v>
      </c>
      <c r="B205" s="21" t="s">
        <v>385</v>
      </c>
      <c r="C205" s="21" t="s">
        <v>664</v>
      </c>
      <c r="D205" s="157">
        <v>1800000</v>
      </c>
      <c r="E205" s="21" t="s">
        <v>356</v>
      </c>
      <c r="F205" s="21" t="s">
        <v>357</v>
      </c>
      <c r="G205" s="8" t="str">
        <f t="shared" si="3"/>
        <v>CHANDLER KELVIN</v>
      </c>
    </row>
    <row r="206" spans="1:7" x14ac:dyDescent="0.25">
      <c r="A206" s="8">
        <v>42759.831319444442</v>
      </c>
      <c r="B206" s="21" t="s">
        <v>202</v>
      </c>
      <c r="C206" s="21" t="s">
        <v>488</v>
      </c>
      <c r="D206" s="157">
        <v>1740000</v>
      </c>
      <c r="E206" s="21" t="s">
        <v>265</v>
      </c>
      <c r="F206" s="21" t="s">
        <v>266</v>
      </c>
      <c r="G206" s="8" t="str">
        <f t="shared" si="3"/>
        <v>STORY SAMANTHA</v>
      </c>
    </row>
    <row r="207" spans="1:7" x14ac:dyDescent="0.25">
      <c r="A207" s="8">
        <v>42759.839756944442</v>
      </c>
      <c r="B207" s="21" t="s">
        <v>344</v>
      </c>
      <c r="C207" s="21" t="s">
        <v>665</v>
      </c>
      <c r="D207" s="157">
        <v>2000000</v>
      </c>
      <c r="E207" s="21" t="s">
        <v>309</v>
      </c>
      <c r="F207" s="21" t="s">
        <v>208</v>
      </c>
      <c r="G207" s="8" t="str">
        <f t="shared" si="3"/>
        <v>STAMBAUGH JAMES</v>
      </c>
    </row>
    <row r="208" spans="1:7" x14ac:dyDescent="0.25">
      <c r="A208" s="8">
        <v>42759.84516203704</v>
      </c>
      <c r="B208" s="21" t="s">
        <v>397</v>
      </c>
      <c r="C208" s="21" t="s">
        <v>666</v>
      </c>
      <c r="D208" s="157">
        <v>1300000</v>
      </c>
      <c r="E208" s="21" t="s">
        <v>352</v>
      </c>
      <c r="F208" s="21" t="s">
        <v>353</v>
      </c>
      <c r="G208" s="8" t="str">
        <f t="shared" si="3"/>
        <v>LEVIN SCOTT</v>
      </c>
    </row>
    <row r="209" spans="1:7" x14ac:dyDescent="0.25">
      <c r="A209" s="8">
        <v>42759.846041666664</v>
      </c>
      <c r="B209" s="21" t="s">
        <v>234</v>
      </c>
      <c r="C209" s="21" t="s">
        <v>667</v>
      </c>
      <c r="D209" s="157">
        <v>1810000</v>
      </c>
      <c r="E209" s="21" t="s">
        <v>218</v>
      </c>
      <c r="F209" s="21" t="s">
        <v>208</v>
      </c>
      <c r="G209" s="8" t="str">
        <f t="shared" si="3"/>
        <v>NEWELL JAMES</v>
      </c>
    </row>
    <row r="210" spans="1:7" x14ac:dyDescent="0.25">
      <c r="A210" s="8">
        <v>42759.859513888892</v>
      </c>
      <c r="B210" s="21" t="s">
        <v>383</v>
      </c>
      <c r="C210" s="21" t="s">
        <v>668</v>
      </c>
      <c r="D210" s="157">
        <v>1300000</v>
      </c>
      <c r="E210" s="21" t="s">
        <v>352</v>
      </c>
      <c r="F210" s="21" t="s">
        <v>353</v>
      </c>
      <c r="G210" s="8" t="str">
        <f t="shared" si="3"/>
        <v>LEVIN SCOTT</v>
      </c>
    </row>
    <row r="211" spans="1:7" x14ac:dyDescent="0.25">
      <c r="A211" s="8">
        <v>42759.869826388887</v>
      </c>
      <c r="B211" s="21" t="s">
        <v>203</v>
      </c>
      <c r="C211" s="21" t="s">
        <v>669</v>
      </c>
      <c r="D211" s="157">
        <v>1740000</v>
      </c>
      <c r="E211" s="21" t="s">
        <v>265</v>
      </c>
      <c r="F211" s="21" t="s">
        <v>266</v>
      </c>
      <c r="G211" s="8" t="str">
        <f t="shared" si="3"/>
        <v>STORY SAMANTHA</v>
      </c>
    </row>
    <row r="212" spans="1:7" x14ac:dyDescent="0.25">
      <c r="A212" s="8">
        <v>42759.874247685184</v>
      </c>
      <c r="B212" s="21" t="s">
        <v>390</v>
      </c>
      <c r="C212" s="21" t="s">
        <v>670</v>
      </c>
      <c r="D212" s="157">
        <v>1800000</v>
      </c>
      <c r="E212" s="21" t="s">
        <v>356</v>
      </c>
      <c r="F212" s="21" t="s">
        <v>357</v>
      </c>
      <c r="G212" s="8" t="str">
        <f t="shared" si="3"/>
        <v>CHANDLER KELVIN</v>
      </c>
    </row>
    <row r="213" spans="1:7" x14ac:dyDescent="0.25">
      <c r="A213" s="8">
        <v>42759.87704861111</v>
      </c>
      <c r="B213" s="21" t="s">
        <v>397</v>
      </c>
      <c r="C213" s="21" t="s">
        <v>489</v>
      </c>
      <c r="D213" s="157">
        <v>2220000</v>
      </c>
      <c r="E213" s="21" t="s">
        <v>243</v>
      </c>
      <c r="F213" s="21" t="s">
        <v>244</v>
      </c>
      <c r="G213" s="8" t="str">
        <f t="shared" si="3"/>
        <v>HILLS DUSTIN</v>
      </c>
    </row>
    <row r="214" spans="1:7" x14ac:dyDescent="0.25">
      <c r="A214" s="8">
        <v>42759.882731481484</v>
      </c>
      <c r="B214" s="21" t="s">
        <v>279</v>
      </c>
      <c r="C214" s="21" t="s">
        <v>671</v>
      </c>
      <c r="D214" s="157">
        <v>1810000</v>
      </c>
      <c r="E214" s="21" t="s">
        <v>218</v>
      </c>
      <c r="F214" s="21" t="s">
        <v>208</v>
      </c>
      <c r="G214" s="8" t="str">
        <f t="shared" si="3"/>
        <v>NEWELL JAMES</v>
      </c>
    </row>
    <row r="215" spans="1:7" x14ac:dyDescent="0.25">
      <c r="A215" s="8">
        <v>42759.892534722225</v>
      </c>
      <c r="B215" s="21" t="s">
        <v>351</v>
      </c>
      <c r="C215" s="21" t="s">
        <v>672</v>
      </c>
      <c r="D215" s="157">
        <v>2000000</v>
      </c>
      <c r="E215" s="21" t="s">
        <v>309</v>
      </c>
      <c r="F215" s="21" t="s">
        <v>208</v>
      </c>
      <c r="G215" s="8" t="str">
        <f t="shared" si="3"/>
        <v>STAMBAUGH JAMES</v>
      </c>
    </row>
    <row r="216" spans="1:7" x14ac:dyDescent="0.25">
      <c r="A216" s="8">
        <v>42759.903796296298</v>
      </c>
      <c r="B216" s="21" t="s">
        <v>383</v>
      </c>
      <c r="C216" s="21" t="s">
        <v>490</v>
      </c>
      <c r="D216" s="157">
        <v>2220000</v>
      </c>
      <c r="E216" s="21" t="s">
        <v>243</v>
      </c>
      <c r="F216" s="21" t="s">
        <v>244</v>
      </c>
      <c r="G216" s="8" t="str">
        <f t="shared" si="3"/>
        <v>HILLS DUSTIN</v>
      </c>
    </row>
    <row r="217" spans="1:7" x14ac:dyDescent="0.25">
      <c r="A217" s="8">
        <v>42759.906145833331</v>
      </c>
      <c r="B217" s="21" t="s">
        <v>202</v>
      </c>
      <c r="C217" s="21" t="s">
        <v>673</v>
      </c>
      <c r="D217" s="157">
        <v>1740000</v>
      </c>
      <c r="E217" s="21" t="s">
        <v>265</v>
      </c>
      <c r="F217" s="21" t="s">
        <v>266</v>
      </c>
      <c r="G217" s="8" t="str">
        <f t="shared" si="3"/>
        <v>STORY SAMANTHA</v>
      </c>
    </row>
    <row r="218" spans="1:7" x14ac:dyDescent="0.25">
      <c r="A218" s="8">
        <v>42759.913240740738</v>
      </c>
      <c r="B218" s="21" t="s">
        <v>385</v>
      </c>
      <c r="C218" s="21" t="s">
        <v>674</v>
      </c>
      <c r="D218" s="157">
        <v>1800000</v>
      </c>
      <c r="E218" s="21" t="s">
        <v>356</v>
      </c>
      <c r="F218" s="21" t="s">
        <v>357</v>
      </c>
      <c r="G218" s="8" t="str">
        <f t="shared" si="3"/>
        <v>CHANDLER KELVIN</v>
      </c>
    </row>
    <row r="219" spans="1:7" x14ac:dyDescent="0.25">
      <c r="A219" s="8">
        <v>42759.918229166666</v>
      </c>
      <c r="B219" s="21" t="s">
        <v>397</v>
      </c>
      <c r="C219" s="21" t="s">
        <v>675</v>
      </c>
      <c r="D219" s="157">
        <v>2220000</v>
      </c>
      <c r="E219" s="21" t="s">
        <v>243</v>
      </c>
      <c r="F219" s="21" t="s">
        <v>244</v>
      </c>
      <c r="G219" s="8" t="str">
        <f t="shared" si="3"/>
        <v>HILLS DUSTIN</v>
      </c>
    </row>
    <row r="220" spans="1:7" x14ac:dyDescent="0.25">
      <c r="A220" s="8">
        <v>42759.926493055558</v>
      </c>
      <c r="B220" s="21" t="s">
        <v>344</v>
      </c>
      <c r="C220" s="21" t="s">
        <v>676</v>
      </c>
      <c r="D220" s="157">
        <v>2000000</v>
      </c>
      <c r="E220" s="21" t="s">
        <v>309</v>
      </c>
      <c r="F220" s="21" t="s">
        <v>208</v>
      </c>
      <c r="G220" s="8" t="str">
        <f t="shared" si="3"/>
        <v>STAMBAUGH JAMES</v>
      </c>
    </row>
    <row r="221" spans="1:7" x14ac:dyDescent="0.25">
      <c r="A221" s="8">
        <v>42759.931875000002</v>
      </c>
      <c r="B221" s="21" t="s">
        <v>234</v>
      </c>
      <c r="C221" s="21" t="s">
        <v>677</v>
      </c>
      <c r="D221" s="157">
        <v>1810000</v>
      </c>
      <c r="E221" s="21" t="s">
        <v>218</v>
      </c>
      <c r="F221" s="21" t="s">
        <v>208</v>
      </c>
      <c r="G221" s="8" t="str">
        <f t="shared" si="3"/>
        <v>NEWELL JAMES</v>
      </c>
    </row>
    <row r="222" spans="1:7" x14ac:dyDescent="0.25">
      <c r="A222" s="8">
        <v>42759.943171296298</v>
      </c>
      <c r="B222" s="21" t="s">
        <v>383</v>
      </c>
      <c r="C222" s="21" t="s">
        <v>678</v>
      </c>
      <c r="D222" s="157">
        <v>2220000</v>
      </c>
      <c r="E222" s="21" t="s">
        <v>243</v>
      </c>
      <c r="F222" s="21" t="s">
        <v>244</v>
      </c>
      <c r="G222" s="8" t="str">
        <f t="shared" si="3"/>
        <v>HILLS DUSTIN</v>
      </c>
    </row>
    <row r="223" spans="1:7" x14ac:dyDescent="0.25">
      <c r="A223" s="8">
        <v>42759.946643518517</v>
      </c>
      <c r="B223" s="21" t="s">
        <v>203</v>
      </c>
      <c r="C223" s="21" t="s">
        <v>679</v>
      </c>
      <c r="D223" s="157">
        <v>1740000</v>
      </c>
      <c r="E223" s="21" t="s">
        <v>265</v>
      </c>
      <c r="F223" s="21" t="s">
        <v>266</v>
      </c>
      <c r="G223" s="8" t="str">
        <f t="shared" si="3"/>
        <v>STORY SAMANTHA</v>
      </c>
    </row>
    <row r="224" spans="1:7" x14ac:dyDescent="0.25">
      <c r="A224" s="8">
        <v>42759.950243055559</v>
      </c>
      <c r="B224" t="s">
        <v>397</v>
      </c>
      <c r="C224" t="s">
        <v>678</v>
      </c>
      <c r="D224" s="157">
        <v>2220000</v>
      </c>
      <c r="E224" t="s">
        <v>243</v>
      </c>
      <c r="F224" s="21" t="s">
        <v>244</v>
      </c>
      <c r="G224" s="8" t="str">
        <f t="shared" si="3"/>
        <v>HILLS DUSTIN</v>
      </c>
    </row>
    <row r="225" spans="1:7" x14ac:dyDescent="0.25">
      <c r="A225" s="8">
        <v>42759.957303240742</v>
      </c>
      <c r="B225" t="s">
        <v>390</v>
      </c>
      <c r="C225" t="s">
        <v>680</v>
      </c>
      <c r="D225" s="157">
        <v>1800000</v>
      </c>
      <c r="E225" t="s">
        <v>356</v>
      </c>
      <c r="F225" s="21" t="s">
        <v>357</v>
      </c>
      <c r="G225" s="8" t="str">
        <f t="shared" si="3"/>
        <v>CHANDLER KELVIN</v>
      </c>
    </row>
    <row r="226" spans="1:7" x14ac:dyDescent="0.25">
      <c r="A226" s="8">
        <v>42759.964722222219</v>
      </c>
      <c r="B226" t="s">
        <v>279</v>
      </c>
      <c r="C226" t="s">
        <v>681</v>
      </c>
      <c r="D226" s="157">
        <v>1810000</v>
      </c>
      <c r="E226" t="s">
        <v>218</v>
      </c>
      <c r="F226" s="21" t="s">
        <v>208</v>
      </c>
      <c r="G226" s="8" t="str">
        <f t="shared" si="3"/>
        <v>NEWELL JAMES</v>
      </c>
    </row>
    <row r="227" spans="1:7" x14ac:dyDescent="0.25">
      <c r="A227" s="8">
        <v>42759.975925925923</v>
      </c>
      <c r="B227" t="s">
        <v>351</v>
      </c>
      <c r="C227" t="s">
        <v>682</v>
      </c>
      <c r="D227" s="157">
        <v>2000000</v>
      </c>
      <c r="E227" t="s">
        <v>309</v>
      </c>
      <c r="F227" s="21" t="s">
        <v>208</v>
      </c>
      <c r="G227" s="8" t="str">
        <f t="shared" si="3"/>
        <v>STAMBAUGH JAMES</v>
      </c>
    </row>
    <row r="228" spans="1:7" x14ac:dyDescent="0.25">
      <c r="A228" s="8">
        <v>42759.990162037036</v>
      </c>
      <c r="B228" t="s">
        <v>202</v>
      </c>
      <c r="C228" t="s">
        <v>683</v>
      </c>
      <c r="D228" s="157">
        <v>1740000</v>
      </c>
      <c r="E228" t="s">
        <v>265</v>
      </c>
      <c r="F228" s="21" t="s">
        <v>266</v>
      </c>
      <c r="G228" s="8" t="str">
        <f t="shared" si="3"/>
        <v>STORY SAMANTHA</v>
      </c>
    </row>
    <row r="229" spans="1:7" x14ac:dyDescent="0.25">
      <c r="A229" s="8">
        <v>42759.995879629627</v>
      </c>
      <c r="B229" t="s">
        <v>385</v>
      </c>
      <c r="C229" t="s">
        <v>684</v>
      </c>
      <c r="D229" s="157">
        <v>1800000</v>
      </c>
      <c r="E229" t="s">
        <v>356</v>
      </c>
      <c r="F229" s="21" t="s">
        <v>357</v>
      </c>
      <c r="G229" s="8" t="str">
        <f t="shared" si="3"/>
        <v>CHANDLER KELVIN</v>
      </c>
    </row>
    <row r="230" spans="1:7" x14ac:dyDescent="0.25">
      <c r="A230" s="8">
        <v>42760.009108796294</v>
      </c>
      <c r="B230" t="s">
        <v>344</v>
      </c>
      <c r="C230" t="s">
        <v>491</v>
      </c>
      <c r="D230" s="157">
        <v>2000000</v>
      </c>
      <c r="E230" t="s">
        <v>309</v>
      </c>
      <c r="F230" s="21" t="s">
        <v>208</v>
      </c>
      <c r="G230" s="8" t="str">
        <f t="shared" si="3"/>
        <v>STAMBAUGH JAMES</v>
      </c>
    </row>
    <row r="231" spans="1:7" x14ac:dyDescent="0.25">
      <c r="A231" s="8">
        <v>42760.015706018516</v>
      </c>
      <c r="B231" t="s">
        <v>234</v>
      </c>
      <c r="C231" t="s">
        <v>685</v>
      </c>
      <c r="D231" s="157">
        <v>1810000</v>
      </c>
      <c r="E231" t="s">
        <v>218</v>
      </c>
      <c r="F231" s="21" t="s">
        <v>208</v>
      </c>
      <c r="G231" s="8" t="str">
        <f t="shared" si="3"/>
        <v>NEWELL JAMES</v>
      </c>
    </row>
    <row r="232" spans="1:7" x14ac:dyDescent="0.25">
      <c r="A232" s="8">
        <v>42760.024872685186</v>
      </c>
      <c r="B232" t="s">
        <v>195</v>
      </c>
      <c r="C232" t="s">
        <v>686</v>
      </c>
      <c r="D232" s="157">
        <v>2610000</v>
      </c>
      <c r="E232" t="s">
        <v>687</v>
      </c>
      <c r="F232" s="21" t="s">
        <v>688</v>
      </c>
      <c r="G232" s="8" t="str">
        <f t="shared" si="3"/>
        <v>MAGEE KENYA</v>
      </c>
    </row>
    <row r="233" spans="1:7" x14ac:dyDescent="0.25">
      <c r="A233" s="8">
        <v>42760.030289351853</v>
      </c>
      <c r="B233" t="s">
        <v>390</v>
      </c>
      <c r="C233" t="s">
        <v>689</v>
      </c>
      <c r="D233" s="157">
        <v>1800000</v>
      </c>
      <c r="E233" t="s">
        <v>356</v>
      </c>
      <c r="F233" s="21" t="s">
        <v>357</v>
      </c>
      <c r="G233" s="8" t="str">
        <f t="shared" si="3"/>
        <v>CHANDLER KELVIN</v>
      </c>
    </row>
    <row r="234" spans="1:7" x14ac:dyDescent="0.25">
      <c r="A234" s="8">
        <v>42760.035925925928</v>
      </c>
      <c r="B234" t="s">
        <v>203</v>
      </c>
      <c r="C234" t="s">
        <v>690</v>
      </c>
      <c r="D234" s="157">
        <v>1740000</v>
      </c>
      <c r="E234" t="s">
        <v>265</v>
      </c>
      <c r="F234" s="21" t="s">
        <v>266</v>
      </c>
      <c r="G234" s="8" t="str">
        <f t="shared" si="3"/>
        <v>STORY SAMANTHA</v>
      </c>
    </row>
    <row r="235" spans="1:7" x14ac:dyDescent="0.25">
      <c r="A235" s="8">
        <v>42760.048020833332</v>
      </c>
      <c r="B235" t="s">
        <v>279</v>
      </c>
      <c r="C235" t="s">
        <v>691</v>
      </c>
      <c r="D235" s="157">
        <v>1810000</v>
      </c>
      <c r="E235" t="s">
        <v>218</v>
      </c>
      <c r="F235" s="21" t="s">
        <v>208</v>
      </c>
      <c r="G235" s="8" t="str">
        <f t="shared" si="3"/>
        <v>NEWELL JAMES</v>
      </c>
    </row>
    <row r="236" spans="1:7" x14ac:dyDescent="0.25">
      <c r="A236" s="8">
        <v>42760.059849537036</v>
      </c>
      <c r="B236" t="s">
        <v>351</v>
      </c>
      <c r="C236" t="s">
        <v>692</v>
      </c>
      <c r="D236" s="157">
        <v>2000000</v>
      </c>
      <c r="E236" t="s">
        <v>309</v>
      </c>
      <c r="F236" s="21" t="s">
        <v>208</v>
      </c>
      <c r="G236" s="8" t="str">
        <f t="shared" si="3"/>
        <v>STAMBAUGH JAMES</v>
      </c>
    </row>
    <row r="237" spans="1:7" x14ac:dyDescent="0.25">
      <c r="A237" s="8">
        <v>42760.066921296297</v>
      </c>
      <c r="B237" t="s">
        <v>195</v>
      </c>
      <c r="C237" t="s">
        <v>693</v>
      </c>
      <c r="D237" s="157">
        <v>2610000</v>
      </c>
      <c r="E237" t="s">
        <v>687</v>
      </c>
      <c r="F237" s="21" t="s">
        <v>688</v>
      </c>
      <c r="G237" s="8" t="str">
        <f t="shared" si="3"/>
        <v>MAGEE KENYA</v>
      </c>
    </row>
    <row r="238" spans="1:7" x14ac:dyDescent="0.25">
      <c r="A238" s="8">
        <v>42760.069108796299</v>
      </c>
      <c r="B238" t="s">
        <v>202</v>
      </c>
      <c r="C238" t="s">
        <v>694</v>
      </c>
      <c r="D238" s="157">
        <v>1740000</v>
      </c>
      <c r="E238" t="s">
        <v>265</v>
      </c>
      <c r="F238" s="21" t="s">
        <v>266</v>
      </c>
      <c r="G238" s="8" t="str">
        <f t="shared" si="3"/>
        <v>STORY SAMANTHA</v>
      </c>
    </row>
    <row r="239" spans="1:7" x14ac:dyDescent="0.25">
      <c r="A239" s="8">
        <v>42760.076331018521</v>
      </c>
      <c r="B239" t="s">
        <v>199</v>
      </c>
      <c r="C239" t="s">
        <v>695</v>
      </c>
      <c r="D239" s="157">
        <v>2610000</v>
      </c>
      <c r="E239" t="s">
        <v>687</v>
      </c>
      <c r="F239" s="21" t="s">
        <v>688</v>
      </c>
      <c r="G239" s="8" t="str">
        <f t="shared" si="3"/>
        <v>MAGEE KENYA</v>
      </c>
    </row>
    <row r="240" spans="1:7" x14ac:dyDescent="0.25">
      <c r="A240" s="8">
        <v>42760.089143518519</v>
      </c>
      <c r="B240" t="s">
        <v>344</v>
      </c>
      <c r="C240" t="s">
        <v>696</v>
      </c>
      <c r="D240" s="157">
        <v>2000000</v>
      </c>
      <c r="E240" t="s">
        <v>309</v>
      </c>
      <c r="F240" s="21" t="s">
        <v>208</v>
      </c>
      <c r="G240" s="8" t="str">
        <f t="shared" si="3"/>
        <v>STAMBAUGH JAMES</v>
      </c>
    </row>
    <row r="241" spans="1:7" x14ac:dyDescent="0.25">
      <c r="A241" s="8">
        <v>42760.103981481479</v>
      </c>
      <c r="B241" t="s">
        <v>195</v>
      </c>
      <c r="C241" t="s">
        <v>693</v>
      </c>
      <c r="D241" s="157">
        <v>2610000</v>
      </c>
      <c r="E241" t="s">
        <v>687</v>
      </c>
      <c r="F241" s="21" t="s">
        <v>688</v>
      </c>
      <c r="G241" s="8" t="str">
        <f t="shared" si="3"/>
        <v>MAGEE KENYA</v>
      </c>
    </row>
    <row r="242" spans="1:7" x14ac:dyDescent="0.25">
      <c r="A242" s="8">
        <v>42755.924675925926</v>
      </c>
      <c r="B242" t="s">
        <v>260</v>
      </c>
      <c r="C242" t="s">
        <v>310</v>
      </c>
      <c r="D242" s="157">
        <v>2230000</v>
      </c>
      <c r="E242" t="s">
        <v>308</v>
      </c>
      <c r="F242" s="21" t="s">
        <v>213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234</v>
      </c>
      <c r="C243" t="s">
        <v>311</v>
      </c>
      <c r="D243" s="157">
        <v>1740000</v>
      </c>
      <c r="E243" t="s">
        <v>265</v>
      </c>
      <c r="F243" s="21" t="s">
        <v>266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258</v>
      </c>
      <c r="C244" t="s">
        <v>312</v>
      </c>
      <c r="D244" s="157">
        <v>2230000</v>
      </c>
      <c r="E244" t="s">
        <v>308</v>
      </c>
      <c r="F244" s="21" t="s">
        <v>213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302</v>
      </c>
      <c r="D245" s="157">
        <v>2270000</v>
      </c>
      <c r="E245" t="s">
        <v>274</v>
      </c>
      <c r="F245" s="21" t="s">
        <v>275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313</v>
      </c>
      <c r="D246" s="157">
        <v>2000000</v>
      </c>
      <c r="E246" t="s">
        <v>309</v>
      </c>
      <c r="F246" s="21" t="s">
        <v>208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222</v>
      </c>
      <c r="C247" t="s">
        <v>314</v>
      </c>
      <c r="D247" s="157">
        <v>2220000</v>
      </c>
      <c r="E247" t="s">
        <v>243</v>
      </c>
      <c r="F247" s="21" t="s">
        <v>244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279</v>
      </c>
      <c r="C248" t="s">
        <v>315</v>
      </c>
      <c r="D248" s="157">
        <v>1740000</v>
      </c>
      <c r="E248" t="s">
        <v>265</v>
      </c>
      <c r="F248" s="21" t="s">
        <v>266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316</v>
      </c>
      <c r="D249" s="157">
        <v>2000000</v>
      </c>
      <c r="E249" t="s">
        <v>309</v>
      </c>
      <c r="F249" s="21" t="s">
        <v>208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272</v>
      </c>
      <c r="C250" t="s">
        <v>317</v>
      </c>
      <c r="D250" s="157">
        <v>2270000</v>
      </c>
      <c r="E250" t="s">
        <v>274</v>
      </c>
      <c r="F250" s="21" t="s">
        <v>275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261</v>
      </c>
      <c r="C251" t="s">
        <v>318</v>
      </c>
      <c r="D251" s="157">
        <v>2220000</v>
      </c>
      <c r="E251" t="s">
        <v>243</v>
      </c>
      <c r="F251" s="21" t="s">
        <v>244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234</v>
      </c>
      <c r="C252" t="s">
        <v>319</v>
      </c>
      <c r="D252" s="157">
        <v>1740000</v>
      </c>
      <c r="E252" t="s">
        <v>265</v>
      </c>
      <c r="F252" s="21" t="s">
        <v>266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320</v>
      </c>
      <c r="D253" s="157">
        <v>2000000</v>
      </c>
      <c r="E253" t="s">
        <v>309</v>
      </c>
      <c r="F253" s="21" t="s">
        <v>208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321</v>
      </c>
      <c r="D254" s="157">
        <v>2270000</v>
      </c>
      <c r="E254" t="s">
        <v>274</v>
      </c>
      <c r="F254" s="21" t="s">
        <v>275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279</v>
      </c>
      <c r="C255" t="s">
        <v>322</v>
      </c>
      <c r="D255" s="157">
        <v>1740000</v>
      </c>
      <c r="E255" t="s">
        <v>265</v>
      </c>
      <c r="F255" s="21" t="s">
        <v>266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222</v>
      </c>
      <c r="C256" t="s">
        <v>323</v>
      </c>
      <c r="D256" s="157">
        <v>2220000</v>
      </c>
      <c r="E256" t="s">
        <v>243</v>
      </c>
      <c r="F256" s="21" t="s">
        <v>244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324</v>
      </c>
      <c r="D257" s="157">
        <v>2000000</v>
      </c>
      <c r="E257" t="s">
        <v>309</v>
      </c>
      <c r="F257" s="21" t="s">
        <v>208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261</v>
      </c>
      <c r="C258" t="s">
        <v>325</v>
      </c>
      <c r="D258" s="157">
        <v>2220000</v>
      </c>
      <c r="E258" t="s">
        <v>243</v>
      </c>
      <c r="F258" s="21" t="s">
        <v>244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304</v>
      </c>
      <c r="C259" t="s">
        <v>326</v>
      </c>
      <c r="D259" s="157">
        <v>1360000</v>
      </c>
      <c r="E259" t="s">
        <v>327</v>
      </c>
      <c r="F259" s="21" t="s">
        <v>328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279</v>
      </c>
      <c r="C260" t="s">
        <v>287</v>
      </c>
      <c r="D260" s="157">
        <v>2450000</v>
      </c>
      <c r="E260" t="s">
        <v>283</v>
      </c>
      <c r="F260" s="21" t="s">
        <v>284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249</v>
      </c>
      <c r="C261" t="s">
        <v>294</v>
      </c>
      <c r="D261" s="157">
        <v>1810000</v>
      </c>
      <c r="E261" t="s">
        <v>218</v>
      </c>
      <c r="F261" s="21" t="s">
        <v>208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288</v>
      </c>
      <c r="C262" t="s">
        <v>292</v>
      </c>
      <c r="D262" s="157">
        <v>2670000</v>
      </c>
      <c r="E262" t="s">
        <v>290</v>
      </c>
      <c r="F262" s="21" t="s">
        <v>291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245</v>
      </c>
      <c r="C263" t="s">
        <v>286</v>
      </c>
      <c r="D263" s="157">
        <v>2540000</v>
      </c>
      <c r="E263" t="s">
        <v>251</v>
      </c>
      <c r="F263" s="21" t="s">
        <v>252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234</v>
      </c>
      <c r="C264" t="s">
        <v>282</v>
      </c>
      <c r="D264" s="157">
        <v>2450000</v>
      </c>
      <c r="E264" t="s">
        <v>283</v>
      </c>
      <c r="F264" s="21" t="s">
        <v>284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273</v>
      </c>
      <c r="C265" t="s">
        <v>295</v>
      </c>
      <c r="D265" s="157">
        <v>2270000</v>
      </c>
      <c r="E265" t="s">
        <v>274</v>
      </c>
      <c r="F265" s="21" t="s">
        <v>275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246</v>
      </c>
      <c r="C266" t="s">
        <v>285</v>
      </c>
      <c r="D266" s="157">
        <v>2540000</v>
      </c>
      <c r="E266" t="s">
        <v>251</v>
      </c>
      <c r="F266" s="21" t="s">
        <v>252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279</v>
      </c>
      <c r="C267" t="s">
        <v>287</v>
      </c>
      <c r="D267" s="157">
        <v>2450000</v>
      </c>
      <c r="E267" t="s">
        <v>283</v>
      </c>
      <c r="F267" s="21" t="s">
        <v>284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273</v>
      </c>
      <c r="C268" t="s">
        <v>295</v>
      </c>
      <c r="D268" s="157">
        <v>2270000</v>
      </c>
      <c r="E268" t="s">
        <v>274</v>
      </c>
      <c r="F268" s="21" t="s">
        <v>275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245</v>
      </c>
      <c r="C269" t="s">
        <v>286</v>
      </c>
      <c r="D269" s="157">
        <v>2540000</v>
      </c>
      <c r="E269" t="s">
        <v>251</v>
      </c>
      <c r="F269" s="21" t="s">
        <v>252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250</v>
      </c>
      <c r="C270" t="s">
        <v>296</v>
      </c>
      <c r="D270" s="157">
        <v>1810000</v>
      </c>
      <c r="E270" t="s">
        <v>218</v>
      </c>
      <c r="F270" s="21" t="s">
        <v>208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293</v>
      </c>
      <c r="C271" t="s">
        <v>289</v>
      </c>
      <c r="D271" s="157">
        <v>2670000</v>
      </c>
      <c r="E271" t="s">
        <v>290</v>
      </c>
      <c r="F271" s="21" t="s">
        <v>291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234</v>
      </c>
      <c r="C272" t="s">
        <v>282</v>
      </c>
      <c r="D272" s="157">
        <v>2450000</v>
      </c>
      <c r="E272" t="s">
        <v>283</v>
      </c>
      <c r="F272" s="21" t="s">
        <v>284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246</v>
      </c>
      <c r="C273" t="s">
        <v>285</v>
      </c>
      <c r="D273" s="157">
        <v>2540000</v>
      </c>
      <c r="E273" t="s">
        <v>251</v>
      </c>
      <c r="F273" s="21" t="s">
        <v>252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697</v>
      </c>
      <c r="I1" s="172" t="s">
        <v>170</v>
      </c>
      <c r="J1" s="172" t="s">
        <v>171</v>
      </c>
      <c r="K1" s="172" t="s">
        <v>402</v>
      </c>
      <c r="L1" s="172" t="s">
        <v>165</v>
      </c>
      <c r="M1" s="172" t="s">
        <v>163</v>
      </c>
      <c r="N1" s="172" t="s">
        <v>158</v>
      </c>
      <c r="O1" s="172" t="s">
        <v>168</v>
      </c>
      <c r="P1" s="172" t="s">
        <v>162</v>
      </c>
      <c r="Q1" s="172" t="s">
        <v>169</v>
      </c>
      <c r="R1" s="172" t="s">
        <v>166</v>
      </c>
    </row>
    <row r="2" spans="1:18" x14ac:dyDescent="0.25">
      <c r="A2" s="162">
        <v>29.79</v>
      </c>
      <c r="B2" s="162">
        <v>0.75</v>
      </c>
      <c r="C2" s="162">
        <v>26.58</v>
      </c>
      <c r="D2" s="8">
        <v>42759</v>
      </c>
      <c r="E2" s="162">
        <v>0.76</v>
      </c>
      <c r="F2" s="162" t="s">
        <v>329</v>
      </c>
      <c r="G2" s="162">
        <v>329.9</v>
      </c>
      <c r="H2" s="162"/>
      <c r="I2" s="162">
        <v>0</v>
      </c>
      <c r="J2" s="162">
        <v>0</v>
      </c>
      <c r="K2" s="162"/>
      <c r="L2" s="162">
        <v>1000.89</v>
      </c>
      <c r="M2" s="162" t="s">
        <v>330</v>
      </c>
      <c r="N2" s="162">
        <v>33.24</v>
      </c>
      <c r="O2" s="162">
        <v>1485241200</v>
      </c>
      <c r="P2" s="162">
        <v>4.1900000000000004</v>
      </c>
      <c r="Q2" s="162">
        <v>342</v>
      </c>
      <c r="R2" s="162">
        <v>3.74</v>
      </c>
    </row>
    <row r="3" spans="1:18" x14ac:dyDescent="0.25">
      <c r="A3" s="162">
        <v>31.73</v>
      </c>
      <c r="B3" s="162">
        <v>0.77</v>
      </c>
      <c r="C3" s="162">
        <v>26.47</v>
      </c>
      <c r="D3" s="8">
        <v>42759.041666666664</v>
      </c>
      <c r="E3" s="162">
        <v>0.81</v>
      </c>
      <c r="F3" s="162" t="s">
        <v>329</v>
      </c>
      <c r="G3" s="162">
        <v>336.87</v>
      </c>
      <c r="H3" s="162"/>
      <c r="I3" s="162">
        <v>0</v>
      </c>
      <c r="J3" s="162">
        <v>0</v>
      </c>
      <c r="K3" s="162"/>
      <c r="L3" s="162">
        <v>1001.11</v>
      </c>
      <c r="M3" s="162" t="s">
        <v>330</v>
      </c>
      <c r="N3" s="162">
        <v>31.73</v>
      </c>
      <c r="O3" s="162">
        <v>1485244800</v>
      </c>
      <c r="P3" s="162">
        <v>4.29</v>
      </c>
      <c r="Q3" s="162">
        <v>313</v>
      </c>
      <c r="R3" s="162">
        <v>2.5</v>
      </c>
    </row>
    <row r="4" spans="1:18" x14ac:dyDescent="0.25">
      <c r="A4" s="162">
        <v>30.44</v>
      </c>
      <c r="B4" s="162">
        <v>0.76</v>
      </c>
      <c r="C4" s="162">
        <v>26.53</v>
      </c>
      <c r="D4" s="8">
        <v>42759.083333333336</v>
      </c>
      <c r="E4" s="162">
        <v>0.85</v>
      </c>
      <c r="F4" s="162" t="s">
        <v>329</v>
      </c>
      <c r="G4" s="162">
        <v>343.85</v>
      </c>
      <c r="H4" s="162"/>
      <c r="I4" s="162">
        <v>0</v>
      </c>
      <c r="J4" s="162">
        <v>0</v>
      </c>
      <c r="K4" s="162"/>
      <c r="L4" s="162">
        <v>1001.45</v>
      </c>
      <c r="M4" s="162" t="s">
        <v>330</v>
      </c>
      <c r="N4" s="162">
        <v>30.44</v>
      </c>
      <c r="O4" s="162">
        <v>1485248400</v>
      </c>
      <c r="P4" s="162">
        <v>3.55</v>
      </c>
      <c r="Q4" s="162">
        <v>321</v>
      </c>
      <c r="R4" s="162">
        <v>2.06</v>
      </c>
    </row>
    <row r="5" spans="1:18" x14ac:dyDescent="0.25">
      <c r="A5" s="162">
        <v>29.77</v>
      </c>
      <c r="B5" s="162">
        <v>0.76</v>
      </c>
      <c r="C5" s="162">
        <v>26.31</v>
      </c>
      <c r="D5" s="8">
        <v>42759.125</v>
      </c>
      <c r="E5" s="162">
        <v>0.87</v>
      </c>
      <c r="F5" s="162" t="s">
        <v>329</v>
      </c>
      <c r="G5" s="162">
        <v>345.58</v>
      </c>
      <c r="H5" s="162"/>
      <c r="I5" s="162">
        <v>0</v>
      </c>
      <c r="J5" s="162">
        <v>0</v>
      </c>
      <c r="K5" s="162"/>
      <c r="L5" s="162">
        <v>1001.91</v>
      </c>
      <c r="M5" s="162" t="s">
        <v>330</v>
      </c>
      <c r="N5" s="162">
        <v>29.77</v>
      </c>
      <c r="O5" s="162">
        <v>1485252000</v>
      </c>
      <c r="P5" s="162">
        <v>3.22</v>
      </c>
      <c r="Q5" s="162">
        <v>320</v>
      </c>
      <c r="R5" s="162">
        <v>1.68</v>
      </c>
    </row>
    <row r="6" spans="1:18" x14ac:dyDescent="0.25">
      <c r="A6" s="162">
        <v>28.94</v>
      </c>
      <c r="B6" s="162">
        <v>0.79</v>
      </c>
      <c r="C6" s="162">
        <v>25.15</v>
      </c>
      <c r="D6" s="8">
        <v>42759.166666666664</v>
      </c>
      <c r="E6" s="162">
        <v>0.86</v>
      </c>
      <c r="F6" s="162" t="s">
        <v>329</v>
      </c>
      <c r="G6" s="162">
        <v>345.1</v>
      </c>
      <c r="H6" s="162"/>
      <c r="I6" s="162">
        <v>0</v>
      </c>
      <c r="J6" s="162">
        <v>0</v>
      </c>
      <c r="K6" s="162"/>
      <c r="L6" s="162">
        <v>1002.45</v>
      </c>
      <c r="M6" s="162" t="s">
        <v>330</v>
      </c>
      <c r="N6" s="162">
        <v>28.94</v>
      </c>
      <c r="O6" s="162">
        <v>1485255600</v>
      </c>
      <c r="P6" s="162">
        <v>3.3</v>
      </c>
      <c r="Q6" s="162">
        <v>321</v>
      </c>
      <c r="R6" s="162">
        <v>1.72</v>
      </c>
    </row>
    <row r="7" spans="1:18" x14ac:dyDescent="0.25">
      <c r="A7" s="162">
        <v>27.79</v>
      </c>
      <c r="B7" s="162">
        <v>0.79</v>
      </c>
      <c r="C7" s="162">
        <v>23.77</v>
      </c>
      <c r="D7" s="8">
        <v>42759.208333333336</v>
      </c>
      <c r="E7" s="162">
        <v>0.85</v>
      </c>
      <c r="F7" s="162" t="s">
        <v>329</v>
      </c>
      <c r="G7" s="162">
        <v>344.94</v>
      </c>
      <c r="H7" s="162"/>
      <c r="I7" s="162">
        <v>0</v>
      </c>
      <c r="J7" s="162">
        <v>0</v>
      </c>
      <c r="K7" s="162"/>
      <c r="L7" s="162">
        <v>1003.04</v>
      </c>
      <c r="M7" s="162" t="s">
        <v>330</v>
      </c>
      <c r="N7" s="162">
        <v>27.79</v>
      </c>
      <c r="O7" s="162">
        <v>1485259200</v>
      </c>
      <c r="P7" s="162">
        <v>4.1399999999999997</v>
      </c>
      <c r="Q7" s="162">
        <v>317</v>
      </c>
      <c r="R7" s="162">
        <v>1.78</v>
      </c>
    </row>
    <row r="8" spans="1:18" x14ac:dyDescent="0.25">
      <c r="A8" s="162">
        <v>28.34</v>
      </c>
      <c r="B8" s="162">
        <v>0.67</v>
      </c>
      <c r="C8" s="162">
        <v>24.19</v>
      </c>
      <c r="D8" s="8">
        <v>42759.25</v>
      </c>
      <c r="E8" s="162">
        <v>0.84</v>
      </c>
      <c r="F8" s="162" t="s">
        <v>329</v>
      </c>
      <c r="G8" s="162">
        <v>345.89</v>
      </c>
      <c r="H8" s="162"/>
      <c r="I8" s="162">
        <v>0</v>
      </c>
      <c r="J8" s="162">
        <v>0</v>
      </c>
      <c r="K8" s="162"/>
      <c r="L8" s="162">
        <v>1003.59</v>
      </c>
      <c r="M8" s="162" t="s">
        <v>330</v>
      </c>
      <c r="N8" s="162">
        <v>28.34</v>
      </c>
      <c r="O8" s="162">
        <v>1485262800</v>
      </c>
      <c r="P8" s="162">
        <v>5.16</v>
      </c>
      <c r="Q8" s="162">
        <v>302</v>
      </c>
      <c r="R8" s="162">
        <v>1.2</v>
      </c>
    </row>
    <row r="9" spans="1:18" x14ac:dyDescent="0.25">
      <c r="A9" s="162">
        <v>28.36</v>
      </c>
      <c r="B9" s="162">
        <v>0.54</v>
      </c>
      <c r="C9" s="162">
        <v>24.34</v>
      </c>
      <c r="D9" s="8">
        <v>42759.291666666664</v>
      </c>
      <c r="E9" s="162">
        <v>0.85</v>
      </c>
      <c r="F9" s="162" t="s">
        <v>329</v>
      </c>
      <c r="G9" s="162">
        <v>347.16</v>
      </c>
      <c r="H9" s="162"/>
      <c r="I9" s="162">
        <v>0</v>
      </c>
      <c r="J9" s="162">
        <v>0</v>
      </c>
      <c r="K9" s="162"/>
      <c r="L9" s="162">
        <v>1004.16</v>
      </c>
      <c r="M9" s="162" t="s">
        <v>332</v>
      </c>
      <c r="N9" s="162">
        <v>28.36</v>
      </c>
      <c r="O9" s="162">
        <v>1485266400</v>
      </c>
      <c r="P9" s="162">
        <v>4.04</v>
      </c>
      <c r="Q9" s="162">
        <v>325</v>
      </c>
      <c r="R9" s="162">
        <v>1.72</v>
      </c>
    </row>
    <row r="10" spans="1:18" x14ac:dyDescent="0.25">
      <c r="A10" s="162">
        <v>28.06</v>
      </c>
      <c r="B10" s="162">
        <v>0.47</v>
      </c>
      <c r="C10" s="162">
        <v>23.89</v>
      </c>
      <c r="D10" s="8">
        <v>42759.333333333336</v>
      </c>
      <c r="E10" s="162">
        <v>0.84</v>
      </c>
      <c r="F10" s="162" t="s">
        <v>331</v>
      </c>
      <c r="G10" s="162">
        <v>348.86</v>
      </c>
      <c r="H10" s="162"/>
      <c r="I10" s="162">
        <v>0</v>
      </c>
      <c r="J10" s="162">
        <v>0</v>
      </c>
      <c r="K10" s="162"/>
      <c r="L10" s="162">
        <v>1004.69</v>
      </c>
      <c r="M10" s="162" t="s">
        <v>332</v>
      </c>
      <c r="N10" s="162">
        <v>28.06</v>
      </c>
      <c r="O10" s="162">
        <v>1485270000</v>
      </c>
      <c r="P10" s="162">
        <v>3.12</v>
      </c>
      <c r="Q10" s="162">
        <v>285</v>
      </c>
      <c r="R10" s="162">
        <v>1.82</v>
      </c>
    </row>
    <row r="11" spans="1:18" x14ac:dyDescent="0.25">
      <c r="A11" s="162">
        <v>30.21</v>
      </c>
      <c r="B11" s="162">
        <v>0.56000000000000005</v>
      </c>
      <c r="C11" s="162">
        <v>25.19</v>
      </c>
      <c r="D11" s="8">
        <v>42759.375</v>
      </c>
      <c r="E11" s="162">
        <v>0.81</v>
      </c>
      <c r="F11" s="162" t="s">
        <v>331</v>
      </c>
      <c r="G11" s="162">
        <v>351.08</v>
      </c>
      <c r="H11" s="162"/>
      <c r="I11" s="162">
        <v>0</v>
      </c>
      <c r="J11" s="162">
        <v>0</v>
      </c>
      <c r="K11" s="162"/>
      <c r="L11" s="162">
        <v>1005.21</v>
      </c>
      <c r="M11" s="162" t="s">
        <v>332</v>
      </c>
      <c r="N11" s="162">
        <v>30.21</v>
      </c>
      <c r="O11" s="162">
        <v>1485273600</v>
      </c>
      <c r="P11" s="162">
        <v>2.13</v>
      </c>
      <c r="Q11" s="162">
        <v>324</v>
      </c>
      <c r="R11" s="162">
        <v>2.27</v>
      </c>
    </row>
    <row r="12" spans="1:18" x14ac:dyDescent="0.25">
      <c r="A12" s="162">
        <v>30.8</v>
      </c>
      <c r="B12" s="162">
        <v>0.71</v>
      </c>
      <c r="C12" s="162">
        <v>24.03</v>
      </c>
      <c r="D12" s="8">
        <v>42759.416666666664</v>
      </c>
      <c r="E12" s="162">
        <v>0.76</v>
      </c>
      <c r="F12" s="162" t="s">
        <v>331</v>
      </c>
      <c r="G12" s="162">
        <v>353.74</v>
      </c>
      <c r="H12" s="162"/>
      <c r="I12" s="162">
        <v>0</v>
      </c>
      <c r="J12" s="162">
        <v>0</v>
      </c>
      <c r="K12" s="162"/>
      <c r="L12" s="162">
        <v>1005.77</v>
      </c>
      <c r="M12" s="162" t="s">
        <v>330</v>
      </c>
      <c r="N12" s="162">
        <v>30.8</v>
      </c>
      <c r="O12" s="162">
        <v>1485277200</v>
      </c>
      <c r="P12" s="162">
        <v>3.96</v>
      </c>
      <c r="Q12" s="162">
        <v>11</v>
      </c>
      <c r="R12" s="162">
        <v>2.91</v>
      </c>
    </row>
    <row r="13" spans="1:18" x14ac:dyDescent="0.25">
      <c r="A13" s="162">
        <v>23.77</v>
      </c>
      <c r="B13" s="162">
        <v>0.82</v>
      </c>
      <c r="C13" s="162">
        <v>27.36</v>
      </c>
      <c r="D13" s="8">
        <v>42759.458333333336</v>
      </c>
      <c r="E13" s="162">
        <v>0.89</v>
      </c>
      <c r="F13" s="162" t="s">
        <v>331</v>
      </c>
      <c r="G13" s="162">
        <v>356.66</v>
      </c>
      <c r="H13" s="162">
        <v>8.0000000000000002E-3</v>
      </c>
      <c r="I13" s="162">
        <v>8.9999999999999998E-4</v>
      </c>
      <c r="J13" s="162">
        <v>0.01</v>
      </c>
      <c r="K13" s="162" t="s">
        <v>698</v>
      </c>
      <c r="L13" s="162">
        <v>1006.1</v>
      </c>
      <c r="M13" s="162" t="s">
        <v>330</v>
      </c>
      <c r="N13" s="162">
        <v>30.29</v>
      </c>
      <c r="O13" s="162">
        <v>1485280800</v>
      </c>
      <c r="P13" s="162">
        <v>2.3199999999999998</v>
      </c>
      <c r="Q13" s="162">
        <v>9</v>
      </c>
      <c r="R13" s="162">
        <v>6.55</v>
      </c>
    </row>
    <row r="14" spans="1:18" x14ac:dyDescent="0.25">
      <c r="A14" s="162">
        <v>20.43</v>
      </c>
      <c r="B14" s="162">
        <v>0.8</v>
      </c>
      <c r="C14" s="162">
        <v>25.41</v>
      </c>
      <c r="D14" s="8">
        <v>42759.5</v>
      </c>
      <c r="E14" s="162">
        <v>0.91</v>
      </c>
      <c r="F14" s="162" t="s">
        <v>698</v>
      </c>
      <c r="G14" s="162">
        <v>360.13</v>
      </c>
      <c r="H14" s="162">
        <v>1.6E-2</v>
      </c>
      <c r="I14" s="162">
        <v>1.6000000000000001E-3</v>
      </c>
      <c r="J14" s="162">
        <v>0.03</v>
      </c>
      <c r="K14" s="162" t="s">
        <v>698</v>
      </c>
      <c r="L14" s="162">
        <v>1005.73</v>
      </c>
      <c r="M14" s="162" t="s">
        <v>699</v>
      </c>
      <c r="N14" s="162">
        <v>27.76</v>
      </c>
      <c r="O14" s="162">
        <v>1485284400</v>
      </c>
      <c r="P14" s="162">
        <v>1.2</v>
      </c>
      <c r="Q14" s="162">
        <v>17</v>
      </c>
      <c r="R14" s="162">
        <v>6.95</v>
      </c>
    </row>
    <row r="15" spans="1:18" x14ac:dyDescent="0.25">
      <c r="A15" s="162">
        <v>21.28</v>
      </c>
      <c r="B15" s="162">
        <v>0.78</v>
      </c>
      <c r="C15" s="162">
        <v>25.5</v>
      </c>
      <c r="D15" s="8">
        <v>42759.541666666664</v>
      </c>
      <c r="E15" s="162">
        <v>0.9</v>
      </c>
      <c r="F15" s="162" t="s">
        <v>698</v>
      </c>
      <c r="G15" s="162">
        <v>363.87</v>
      </c>
      <c r="H15" s="162">
        <v>2.3E-2</v>
      </c>
      <c r="I15" s="162">
        <v>2.3E-3</v>
      </c>
      <c r="J15" s="162">
        <v>0.06</v>
      </c>
      <c r="K15" s="162" t="s">
        <v>698</v>
      </c>
      <c r="L15" s="162">
        <v>1005.39</v>
      </c>
      <c r="M15" s="162" t="s">
        <v>699</v>
      </c>
      <c r="N15" s="162">
        <v>28.14</v>
      </c>
      <c r="O15" s="162">
        <v>1485288000</v>
      </c>
      <c r="P15" s="162">
        <v>2.23</v>
      </c>
      <c r="Q15" s="162">
        <v>20</v>
      </c>
      <c r="R15" s="162">
        <v>6.42</v>
      </c>
    </row>
    <row r="16" spans="1:18" x14ac:dyDescent="0.25">
      <c r="A16" s="162">
        <v>22.44</v>
      </c>
      <c r="B16" s="162">
        <v>0.76</v>
      </c>
      <c r="C16" s="162">
        <v>23.73</v>
      </c>
      <c r="D16" s="8">
        <v>42759.583333333336</v>
      </c>
      <c r="E16" s="162">
        <v>0.83</v>
      </c>
      <c r="F16" s="162" t="s">
        <v>331</v>
      </c>
      <c r="G16" s="162">
        <v>366.87</v>
      </c>
      <c r="H16" s="162"/>
      <c r="I16" s="162">
        <v>2.8999999999999998E-3</v>
      </c>
      <c r="J16" s="162">
        <v>0.09</v>
      </c>
      <c r="K16" s="162" t="s">
        <v>700</v>
      </c>
      <c r="L16" s="162">
        <v>1005.81</v>
      </c>
      <c r="M16" s="162" t="s">
        <v>330</v>
      </c>
      <c r="N16" s="162">
        <v>28.25</v>
      </c>
      <c r="O16" s="162">
        <v>1485291600</v>
      </c>
      <c r="P16" s="162">
        <v>2.89</v>
      </c>
      <c r="Q16" s="162">
        <v>21</v>
      </c>
      <c r="R16" s="162">
        <v>5.24</v>
      </c>
    </row>
    <row r="17" spans="1:18" x14ac:dyDescent="0.25">
      <c r="A17" s="162">
        <v>22.68</v>
      </c>
      <c r="B17" s="162">
        <v>0.82</v>
      </c>
      <c r="C17" s="162">
        <v>23.38</v>
      </c>
      <c r="D17" s="8">
        <v>42759.625</v>
      </c>
      <c r="E17" s="162">
        <v>0.82</v>
      </c>
      <c r="F17" s="162" t="s">
        <v>698</v>
      </c>
      <c r="G17" s="162">
        <v>368.91</v>
      </c>
      <c r="H17" s="162">
        <v>3.1E-2</v>
      </c>
      <c r="I17" s="162">
        <v>3.0999999999999999E-3</v>
      </c>
      <c r="J17" s="162">
        <v>0.1</v>
      </c>
      <c r="K17" s="162" t="s">
        <v>698</v>
      </c>
      <c r="L17" s="162">
        <v>1006.95</v>
      </c>
      <c r="M17" s="162" t="s">
        <v>701</v>
      </c>
      <c r="N17" s="162">
        <v>28.02</v>
      </c>
      <c r="O17" s="162">
        <v>1485295200</v>
      </c>
      <c r="P17" s="162">
        <v>3.18</v>
      </c>
      <c r="Q17" s="162">
        <v>16</v>
      </c>
      <c r="R17" s="162">
        <v>4.71</v>
      </c>
    </row>
    <row r="18" spans="1:18" x14ac:dyDescent="0.25">
      <c r="A18" s="162">
        <v>22.72</v>
      </c>
      <c r="B18" s="162">
        <v>0.9</v>
      </c>
      <c r="C18" s="162">
        <v>22.95</v>
      </c>
      <c r="D18" s="8">
        <v>42759.666666666664</v>
      </c>
      <c r="E18" s="162">
        <v>0.8</v>
      </c>
      <c r="F18" s="162" t="s">
        <v>698</v>
      </c>
      <c r="G18" s="162">
        <v>370.21</v>
      </c>
      <c r="H18" s="162">
        <v>1.6E-2</v>
      </c>
      <c r="I18" s="162">
        <v>1.6000000000000001E-3</v>
      </c>
      <c r="J18" s="162">
        <v>0.03</v>
      </c>
      <c r="K18" s="162" t="s">
        <v>698</v>
      </c>
      <c r="L18" s="162">
        <v>1008.79</v>
      </c>
      <c r="M18" s="162" t="s">
        <v>699</v>
      </c>
      <c r="N18" s="162">
        <v>28.19</v>
      </c>
      <c r="O18" s="162">
        <v>1485298800</v>
      </c>
      <c r="P18" s="162">
        <v>4.33</v>
      </c>
      <c r="Q18" s="162">
        <v>21</v>
      </c>
      <c r="R18" s="162">
        <v>4.87</v>
      </c>
    </row>
    <row r="19" spans="1:18" x14ac:dyDescent="0.25">
      <c r="A19" s="162">
        <v>21.27</v>
      </c>
      <c r="B19" s="162">
        <v>0.97</v>
      </c>
      <c r="C19" s="162">
        <v>21.39</v>
      </c>
      <c r="D19" s="8">
        <v>42759.708333333336</v>
      </c>
      <c r="E19" s="162">
        <v>0.79</v>
      </c>
      <c r="F19" s="162" t="s">
        <v>702</v>
      </c>
      <c r="G19" s="162">
        <v>370.48</v>
      </c>
      <c r="H19" s="162">
        <v>1.0999999999999999E-2</v>
      </c>
      <c r="I19" s="162">
        <v>1E-3</v>
      </c>
      <c r="J19" s="162">
        <v>0.01</v>
      </c>
      <c r="K19" s="162" t="s">
        <v>698</v>
      </c>
      <c r="L19" s="162">
        <v>1010.8</v>
      </c>
      <c r="M19" s="162" t="s">
        <v>703</v>
      </c>
      <c r="N19" s="162">
        <v>26.97</v>
      </c>
      <c r="O19" s="162">
        <v>1485302400</v>
      </c>
      <c r="P19" s="162">
        <v>4.55</v>
      </c>
      <c r="Q19" s="162">
        <v>34</v>
      </c>
      <c r="R19" s="162">
        <v>4.9000000000000004</v>
      </c>
    </row>
    <row r="20" spans="1:18" x14ac:dyDescent="0.25">
      <c r="A20" s="162">
        <v>18.96</v>
      </c>
      <c r="B20" s="162">
        <v>0.91</v>
      </c>
      <c r="C20" s="162">
        <v>19.41</v>
      </c>
      <c r="D20" s="8">
        <v>42759.75</v>
      </c>
      <c r="E20" s="162">
        <v>0.78</v>
      </c>
      <c r="F20" s="162" t="s">
        <v>329</v>
      </c>
      <c r="G20" s="162">
        <v>369.34</v>
      </c>
      <c r="H20" s="162"/>
      <c r="I20" s="162">
        <v>0</v>
      </c>
      <c r="J20" s="162">
        <v>0</v>
      </c>
      <c r="K20" s="162"/>
      <c r="L20" s="162">
        <v>1012.5</v>
      </c>
      <c r="M20" s="162" t="s">
        <v>330</v>
      </c>
      <c r="N20" s="162">
        <v>25.17</v>
      </c>
      <c r="O20" s="162">
        <v>1485306000</v>
      </c>
      <c r="P20" s="162">
        <v>5.48</v>
      </c>
      <c r="Q20" s="162">
        <v>44</v>
      </c>
      <c r="R20" s="162">
        <v>5.09</v>
      </c>
    </row>
    <row r="21" spans="1:18" x14ac:dyDescent="0.25">
      <c r="A21" s="162">
        <v>16.95</v>
      </c>
      <c r="B21" s="162">
        <v>0.77</v>
      </c>
      <c r="C21" s="162">
        <v>17.5</v>
      </c>
      <c r="D21" s="8">
        <v>42759.791666666664</v>
      </c>
      <c r="E21" s="162">
        <v>0.76</v>
      </c>
      <c r="F21" s="162" t="s">
        <v>329</v>
      </c>
      <c r="G21" s="162">
        <v>367.17</v>
      </c>
      <c r="H21" s="162"/>
      <c r="I21" s="162">
        <v>0</v>
      </c>
      <c r="J21" s="162">
        <v>0</v>
      </c>
      <c r="K21" s="162"/>
      <c r="L21" s="162">
        <v>1014.01</v>
      </c>
      <c r="M21" s="162" t="s">
        <v>330</v>
      </c>
      <c r="N21" s="162">
        <v>24.03</v>
      </c>
      <c r="O21" s="162">
        <v>1485309600</v>
      </c>
      <c r="P21" s="162">
        <v>4.49</v>
      </c>
      <c r="Q21" s="162">
        <v>58</v>
      </c>
      <c r="R21" s="162">
        <v>5.76</v>
      </c>
    </row>
    <row r="22" spans="1:18" x14ac:dyDescent="0.25">
      <c r="A22" s="162">
        <v>17.12</v>
      </c>
      <c r="B22" s="162">
        <v>0.7</v>
      </c>
      <c r="C22" s="162">
        <v>16.059999999999999</v>
      </c>
      <c r="D22" s="8">
        <v>42759.833333333336</v>
      </c>
      <c r="E22" s="162">
        <v>0.74</v>
      </c>
      <c r="F22" s="162" t="s">
        <v>329</v>
      </c>
      <c r="G22" s="162">
        <v>364.83</v>
      </c>
      <c r="H22" s="162"/>
      <c r="I22" s="162">
        <v>0</v>
      </c>
      <c r="J22" s="162">
        <v>0</v>
      </c>
      <c r="K22" s="162"/>
      <c r="L22" s="162">
        <v>1015.32</v>
      </c>
      <c r="M22" s="162" t="s">
        <v>330</v>
      </c>
      <c r="N22" s="162">
        <v>23.06</v>
      </c>
      <c r="O22" s="162">
        <v>1485313200</v>
      </c>
      <c r="P22" s="162">
        <v>4.08</v>
      </c>
      <c r="Q22" s="162">
        <v>56</v>
      </c>
      <c r="R22" s="162">
        <v>4.51</v>
      </c>
    </row>
    <row r="23" spans="1:18" x14ac:dyDescent="0.25">
      <c r="A23" s="162">
        <v>16.940000000000001</v>
      </c>
      <c r="B23" s="162">
        <v>0.83</v>
      </c>
      <c r="C23" s="162">
        <v>15.75</v>
      </c>
      <c r="D23" s="8">
        <v>42759.875</v>
      </c>
      <c r="E23" s="162">
        <v>0.78</v>
      </c>
      <c r="F23" s="162" t="s">
        <v>329</v>
      </c>
      <c r="G23" s="162">
        <v>362.33</v>
      </c>
      <c r="H23" s="162"/>
      <c r="I23" s="162">
        <v>0</v>
      </c>
      <c r="J23" s="162">
        <v>0</v>
      </c>
      <c r="K23" s="162"/>
      <c r="L23" s="162">
        <v>1016.55</v>
      </c>
      <c r="M23" s="162" t="s">
        <v>330</v>
      </c>
      <c r="N23" s="162">
        <v>21.67</v>
      </c>
      <c r="O23" s="162">
        <v>1485316800</v>
      </c>
      <c r="P23" s="162">
        <v>4.04</v>
      </c>
      <c r="Q23" s="162">
        <v>39</v>
      </c>
      <c r="R23" s="162">
        <v>3.43</v>
      </c>
    </row>
    <row r="24" spans="1:18" x14ac:dyDescent="0.25">
      <c r="A24" s="162">
        <v>16.79</v>
      </c>
      <c r="B24" s="162">
        <v>0.91</v>
      </c>
      <c r="C24" s="162">
        <v>15.62</v>
      </c>
      <c r="D24" s="8">
        <v>42759.916666666664</v>
      </c>
      <c r="E24" s="162">
        <v>0.78</v>
      </c>
      <c r="F24" s="162" t="s">
        <v>329</v>
      </c>
      <c r="G24" s="162">
        <v>359.67</v>
      </c>
      <c r="H24" s="162"/>
      <c r="I24" s="162">
        <v>0</v>
      </c>
      <c r="J24" s="162">
        <v>0</v>
      </c>
      <c r="K24" s="162"/>
      <c r="L24" s="162">
        <v>1017.68</v>
      </c>
      <c r="M24" s="162" t="s">
        <v>330</v>
      </c>
      <c r="N24" s="162">
        <v>21.29</v>
      </c>
      <c r="O24" s="162">
        <v>1485320400</v>
      </c>
      <c r="P24" s="162">
        <v>3.21</v>
      </c>
      <c r="Q24" s="162">
        <v>59</v>
      </c>
      <c r="R24" s="162">
        <v>3.25</v>
      </c>
    </row>
    <row r="25" spans="1:18" x14ac:dyDescent="0.25">
      <c r="A25" s="162">
        <v>16.14</v>
      </c>
      <c r="B25" s="162">
        <v>0.91</v>
      </c>
      <c r="C25" s="162">
        <v>15.32</v>
      </c>
      <c r="D25" s="8">
        <v>42759.958333333336</v>
      </c>
      <c r="E25" s="162">
        <v>0.78</v>
      </c>
      <c r="F25" s="162" t="s">
        <v>329</v>
      </c>
      <c r="G25" s="162">
        <v>357.68</v>
      </c>
      <c r="H25" s="162"/>
      <c r="I25" s="162">
        <v>0</v>
      </c>
      <c r="J25" s="162">
        <v>0</v>
      </c>
      <c r="K25" s="162"/>
      <c r="L25" s="162">
        <v>1018.56</v>
      </c>
      <c r="M25" s="162" t="s">
        <v>330</v>
      </c>
      <c r="N25" s="162">
        <v>21.03</v>
      </c>
      <c r="O25" s="162">
        <v>1485324000</v>
      </c>
      <c r="P25" s="162">
        <v>3.07</v>
      </c>
      <c r="Q25" s="162">
        <v>88</v>
      </c>
      <c r="R25" s="162">
        <v>3.48</v>
      </c>
    </row>
    <row r="26" spans="1:18" x14ac:dyDescent="0.25">
      <c r="A26" s="162">
        <v>20.34</v>
      </c>
      <c r="B26" s="162">
        <v>0.84</v>
      </c>
      <c r="C26" s="162">
        <v>13.89</v>
      </c>
      <c r="D26" s="8">
        <v>42760</v>
      </c>
      <c r="E26" s="162">
        <v>0.76</v>
      </c>
      <c r="F26" s="162" t="s">
        <v>329</v>
      </c>
      <c r="G26" s="162">
        <v>357.32</v>
      </c>
      <c r="H26" s="162"/>
      <c r="I26" s="162">
        <v>0</v>
      </c>
      <c r="J26" s="162">
        <v>0</v>
      </c>
      <c r="K26" s="162"/>
      <c r="L26" s="162">
        <v>1018.88</v>
      </c>
      <c r="M26" s="162" t="s">
        <v>330</v>
      </c>
      <c r="N26" s="162">
        <v>20.34</v>
      </c>
      <c r="O26" s="162">
        <v>1485327600</v>
      </c>
      <c r="P26" s="162">
        <v>3.08</v>
      </c>
      <c r="Q26" s="162">
        <v>77</v>
      </c>
      <c r="R26" s="162">
        <v>3</v>
      </c>
    </row>
    <row r="27" spans="1:18" x14ac:dyDescent="0.25">
      <c r="A27" s="162">
        <v>19.77</v>
      </c>
      <c r="B27" s="162">
        <v>0.79</v>
      </c>
      <c r="C27" s="162">
        <v>13.43</v>
      </c>
      <c r="D27" s="8">
        <v>42760.041666666664</v>
      </c>
      <c r="E27" s="162">
        <v>0.76</v>
      </c>
      <c r="F27" s="162" t="s">
        <v>329</v>
      </c>
      <c r="G27" s="162">
        <v>356.96</v>
      </c>
      <c r="H27" s="162"/>
      <c r="I27" s="162">
        <v>0</v>
      </c>
      <c r="J27" s="162">
        <v>0</v>
      </c>
      <c r="K27" s="162"/>
      <c r="L27" s="162">
        <v>1019.2</v>
      </c>
      <c r="M27" s="162" t="s">
        <v>330</v>
      </c>
      <c r="N27" s="162">
        <v>19.77</v>
      </c>
      <c r="O27" s="162">
        <v>1485331200</v>
      </c>
      <c r="P27" s="162">
        <v>3.95</v>
      </c>
      <c r="Q27" s="162">
        <v>90</v>
      </c>
      <c r="R27" s="162">
        <v>2.7</v>
      </c>
    </row>
    <row r="28" spans="1:18" x14ac:dyDescent="0.25">
      <c r="A28" s="162">
        <v>19.36</v>
      </c>
      <c r="B28" s="162">
        <v>0.74</v>
      </c>
      <c r="C28" s="162">
        <v>12.26</v>
      </c>
      <c r="D28" s="8">
        <v>42760.083333333336</v>
      </c>
      <c r="E28" s="162">
        <v>0.73</v>
      </c>
      <c r="F28" s="162" t="s">
        <v>329</v>
      </c>
      <c r="G28" s="162">
        <v>356.6</v>
      </c>
      <c r="H28" s="162"/>
      <c r="I28" s="162">
        <v>0</v>
      </c>
      <c r="J28" s="162">
        <v>0</v>
      </c>
      <c r="K28" s="162"/>
      <c r="L28" s="162">
        <v>1019.52</v>
      </c>
      <c r="M28" s="162" t="s">
        <v>330</v>
      </c>
      <c r="N28" s="162">
        <v>19.36</v>
      </c>
      <c r="O28" s="162">
        <v>1485334800</v>
      </c>
      <c r="P28" s="162">
        <v>3.97</v>
      </c>
      <c r="Q28" s="162">
        <v>141</v>
      </c>
      <c r="R28" s="162">
        <v>1.86</v>
      </c>
    </row>
    <row r="29" spans="1:18" x14ac:dyDescent="0.25">
      <c r="A29" s="162">
        <v>16.010000000000002</v>
      </c>
      <c r="B29" s="162">
        <v>0.73</v>
      </c>
      <c r="C29" s="162">
        <v>9.06</v>
      </c>
      <c r="D29" s="8">
        <v>42760.125</v>
      </c>
      <c r="E29" s="162">
        <v>0.73</v>
      </c>
      <c r="F29" s="162" t="s">
        <v>329</v>
      </c>
      <c r="G29" s="162">
        <v>357.22</v>
      </c>
      <c r="H29" s="162"/>
      <c r="I29" s="162">
        <v>0</v>
      </c>
      <c r="J29" s="162">
        <v>0</v>
      </c>
      <c r="K29" s="162"/>
      <c r="L29" s="162">
        <v>1020.09</v>
      </c>
      <c r="M29" s="162" t="s">
        <v>330</v>
      </c>
      <c r="N29" s="162">
        <v>16.010000000000002</v>
      </c>
      <c r="O29" s="162">
        <v>1485338400</v>
      </c>
      <c r="P29" s="162">
        <v>6.44</v>
      </c>
      <c r="Q29" s="162">
        <v>131</v>
      </c>
      <c r="R29" s="162">
        <v>1.4</v>
      </c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2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42759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866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451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867</v>
      </c>
      <c r="J20" s="162" t="s">
        <v>87</v>
      </c>
      <c r="M20" s="162" t="s">
        <v>226</v>
      </c>
    </row>
    <row r="21" spans="3:13" x14ac:dyDescent="0.25">
      <c r="C21" t="s">
        <v>868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869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870</v>
      </c>
      <c r="J23" s="185" t="s">
        <v>95</v>
      </c>
      <c r="M23" s="162" t="str">
        <f>"-07"</f>
        <v>-07</v>
      </c>
    </row>
    <row r="24" spans="3:13" x14ac:dyDescent="0.25">
      <c r="C24" t="s">
        <v>871</v>
      </c>
      <c r="J24" s="162" t="s">
        <v>108</v>
      </c>
      <c r="M24" s="162" t="s">
        <v>110</v>
      </c>
    </row>
    <row r="25" spans="3:13" x14ac:dyDescent="0.25">
      <c r="C25" t="s">
        <v>872</v>
      </c>
      <c r="J25" s="162" t="s">
        <v>150</v>
      </c>
      <c r="M25" s="162" t="b">
        <v>1</v>
      </c>
    </row>
    <row r="26" spans="3:13" x14ac:dyDescent="0.25">
      <c r="C26" t="s">
        <v>873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C:\Users\stu\Documents\GitHub\eaglep3-reporting\EC\2017-01-24-refined-times.txt</v>
      </c>
    </row>
    <row r="27" spans="3:13" x14ac:dyDescent="0.25">
      <c r="C27" t="s">
        <v>874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C:\Users\stu\Documents\GitHub\eaglep3-reporting\EC\2017-01-24-Enforcements.txt</v>
      </c>
    </row>
    <row r="28" spans="3:13" x14ac:dyDescent="0.25">
      <c r="C28" t="s">
        <v>875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C:\Users\stu\Documents\GitHub\eaglep3-reporting\EC\2017-01-24-Runs-refined.txt</v>
      </c>
    </row>
    <row r="29" spans="3:13" x14ac:dyDescent="0.25">
      <c r="C29" t="s">
        <v>876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C:\Users\stu\Documents\GitHub\eaglep3-reporting\EC\2017-01-24-Trips.txt</v>
      </c>
    </row>
    <row r="30" spans="3:13" x14ac:dyDescent="0.25">
      <c r="C30" t="s">
        <v>877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C:\Users\stu\Documents\GitHub\eaglep3-reporting\EC\2017-01-24-Weather.txt</v>
      </c>
    </row>
    <row r="31" spans="3:13" x14ac:dyDescent="0.25">
      <c r="C31" t="s">
        <v>878</v>
      </c>
      <c r="J31" s="162" t="s">
        <v>224</v>
      </c>
      <c r="M31" s="162" t="s">
        <v>225</v>
      </c>
    </row>
    <row r="32" spans="3:13" x14ac:dyDescent="0.25">
      <c r="C32" t="s">
        <v>879</v>
      </c>
    </row>
    <row r="33" spans="3:3" x14ac:dyDescent="0.25">
      <c r="C33" t="s">
        <v>880</v>
      </c>
    </row>
    <row r="34" spans="3:3" x14ac:dyDescent="0.25">
      <c r="C34" t="s">
        <v>881</v>
      </c>
    </row>
    <row r="35" spans="3:3" x14ac:dyDescent="0.25">
      <c r="C35" t="s">
        <v>882</v>
      </c>
    </row>
    <row r="36" spans="3:3" x14ac:dyDescent="0.25">
      <c r="C36" t="s">
        <v>452</v>
      </c>
    </row>
    <row r="37" spans="3:3" x14ac:dyDescent="0.25">
      <c r="C37" t="s">
        <v>883</v>
      </c>
    </row>
    <row r="38" spans="3:3" x14ac:dyDescent="0.25">
      <c r="C38" t="s">
        <v>884</v>
      </c>
    </row>
    <row r="39" spans="3:3" x14ac:dyDescent="0.25">
      <c r="C39" t="s">
        <v>885</v>
      </c>
    </row>
    <row r="40" spans="3:3" x14ac:dyDescent="0.25">
      <c r="C40" t="s">
        <v>886</v>
      </c>
    </row>
    <row r="41" spans="3:3" x14ac:dyDescent="0.25">
      <c r="C41" t="s">
        <v>887</v>
      </c>
    </row>
    <row r="42" spans="3:3" x14ac:dyDescent="0.25">
      <c r="C42" t="s">
        <v>888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activeCell="B58" sqref="B58:C120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899</v>
      </c>
      <c r="B1" t="str">
        <f t="shared" ref="B1:B30" si="0">MID(A1,6,23)</f>
        <v>2017/01/24 12:47:28.716</v>
      </c>
      <c r="C1" t="e">
        <f>ABS(B1-#REF!)</f>
        <v>#REF!</v>
      </c>
    </row>
    <row r="2" spans="1:3" x14ac:dyDescent="0.25">
      <c r="A2" t="s">
        <v>900</v>
      </c>
      <c r="B2" s="21" t="str">
        <f t="shared" si="0"/>
        <v>2017/01/24 12:47:28.773</v>
      </c>
      <c r="C2">
        <f>ABS(B2-B1)</f>
        <v>6.5971835283562541E-7</v>
      </c>
    </row>
    <row r="3" spans="1:3" x14ac:dyDescent="0.25">
      <c r="A3" t="s">
        <v>901</v>
      </c>
      <c r="B3" s="21" t="str">
        <f t="shared" si="0"/>
        <v>2017/01/24 12:47:29.543</v>
      </c>
      <c r="C3" s="21">
        <f t="shared" ref="C3:C30" si="1">ABS(B3-B2)</f>
        <v>8.9120367192663252E-6</v>
      </c>
    </row>
    <row r="4" spans="1:3" x14ac:dyDescent="0.25">
      <c r="A4" t="s">
        <v>902</v>
      </c>
      <c r="B4" s="21" t="str">
        <f t="shared" si="0"/>
        <v>2017/01/24 12:56:10.048</v>
      </c>
      <c r="C4" s="21">
        <f t="shared" si="1"/>
        <v>6.0243634288781323E-3</v>
      </c>
    </row>
    <row r="5" spans="1:3" x14ac:dyDescent="0.25">
      <c r="A5" t="s">
        <v>903</v>
      </c>
      <c r="B5" s="21" t="str">
        <f t="shared" si="0"/>
        <v>2017/01/24 12:56:10.176</v>
      </c>
      <c r="C5" s="21">
        <f t="shared" si="1"/>
        <v>1.4814795576967299E-6</v>
      </c>
    </row>
    <row r="6" spans="1:3" x14ac:dyDescent="0.25">
      <c r="A6" t="s">
        <v>904</v>
      </c>
      <c r="B6" s="21" t="str">
        <f t="shared" si="0"/>
        <v>2017/01/24 12:58:08.054</v>
      </c>
      <c r="C6" s="21">
        <f t="shared" si="1"/>
        <v>1.3643287020386197E-3</v>
      </c>
    </row>
    <row r="7" spans="1:3" x14ac:dyDescent="0.25">
      <c r="A7" t="s">
        <v>905</v>
      </c>
      <c r="B7" s="21" t="str">
        <f t="shared" si="0"/>
        <v>2017/01/24 12:58:08.190</v>
      </c>
      <c r="C7" s="21">
        <f t="shared" si="1"/>
        <v>1.5740733942948282E-6</v>
      </c>
    </row>
    <row r="8" spans="1:3" x14ac:dyDescent="0.25">
      <c r="A8" t="s">
        <v>906</v>
      </c>
      <c r="B8" s="21" t="str">
        <f t="shared" si="0"/>
        <v>2017/01/24 12:59:29.381</v>
      </c>
      <c r="C8" s="21">
        <f t="shared" si="1"/>
        <v>9.3971064779907465E-4</v>
      </c>
    </row>
    <row r="9" spans="1:3" x14ac:dyDescent="0.25">
      <c r="A9" t="s">
        <v>907</v>
      </c>
      <c r="B9" s="21" t="str">
        <f t="shared" si="0"/>
        <v>2017/01/24 12:59:29.443</v>
      </c>
      <c r="C9" s="21">
        <f t="shared" si="1"/>
        <v>7.1759859565645456E-7</v>
      </c>
    </row>
    <row r="10" spans="1:3" x14ac:dyDescent="0.25">
      <c r="A10" t="s">
        <v>908</v>
      </c>
      <c r="B10" s="21" t="str">
        <f t="shared" si="0"/>
        <v>2017/01/24 13:00:03.438</v>
      </c>
      <c r="C10" s="21">
        <f t="shared" si="1"/>
        <v>3.9346064295386896E-4</v>
      </c>
    </row>
    <row r="11" spans="1:3" x14ac:dyDescent="0.25">
      <c r="A11" t="s">
        <v>909</v>
      </c>
      <c r="B11" s="21" t="str">
        <f t="shared" si="0"/>
        <v>2017/01/24 13:00:06.380</v>
      </c>
      <c r="C11" s="21">
        <f t="shared" si="1"/>
        <v>3.4050928661599755E-5</v>
      </c>
    </row>
    <row r="12" spans="1:3" x14ac:dyDescent="0.25">
      <c r="A12" t="s">
        <v>910</v>
      </c>
      <c r="B12" s="21" t="str">
        <f t="shared" si="0"/>
        <v>2017/01/24 13:00:36.384</v>
      </c>
      <c r="C12" s="21">
        <f t="shared" si="1"/>
        <v>3.472685202723369E-4</v>
      </c>
    </row>
    <row r="13" spans="1:3" x14ac:dyDescent="0.25">
      <c r="A13" t="s">
        <v>911</v>
      </c>
      <c r="B13" s="21" t="str">
        <f t="shared" si="0"/>
        <v>2017/01/24 13:00:36.440</v>
      </c>
      <c r="C13" s="21">
        <f t="shared" si="1"/>
        <v>6.4814958022907376E-7</v>
      </c>
    </row>
    <row r="14" spans="1:3" x14ac:dyDescent="0.25">
      <c r="A14" t="s">
        <v>912</v>
      </c>
      <c r="B14" s="21" t="str">
        <f t="shared" si="0"/>
        <v>2017/01/24 13:11:35.100</v>
      </c>
      <c r="C14" s="21">
        <f t="shared" si="1"/>
        <v>7.6233796280575916E-3</v>
      </c>
    </row>
    <row r="15" spans="1:3" x14ac:dyDescent="0.25">
      <c r="A15" t="s">
        <v>913</v>
      </c>
      <c r="B15" s="21" t="str">
        <f t="shared" si="0"/>
        <v>2017/01/24 13:11:35.493</v>
      </c>
      <c r="C15" s="21">
        <f t="shared" si="1"/>
        <v>4.5486085582524538E-6</v>
      </c>
    </row>
    <row r="16" spans="1:3" x14ac:dyDescent="0.25">
      <c r="A16" t="s">
        <v>914</v>
      </c>
      <c r="B16" s="21" t="str">
        <f t="shared" si="0"/>
        <v>2017/01/24 13:11:35.643</v>
      </c>
      <c r="C16" s="21">
        <f t="shared" si="1"/>
        <v>1.7361089703626931E-6</v>
      </c>
    </row>
    <row r="17" spans="1:3" x14ac:dyDescent="0.25">
      <c r="A17" t="s">
        <v>915</v>
      </c>
      <c r="B17" s="21" t="str">
        <f t="shared" si="0"/>
        <v>2017/01/24 14:12:50.655</v>
      </c>
      <c r="C17" s="21">
        <f t="shared" si="1"/>
        <v>4.2534861117019318E-2</v>
      </c>
    </row>
    <row r="18" spans="1:3" x14ac:dyDescent="0.25">
      <c r="A18" t="s">
        <v>916</v>
      </c>
      <c r="B18" s="21" t="str">
        <f t="shared" si="0"/>
        <v>2017/01/24 14:45:01.060</v>
      </c>
      <c r="C18" s="21">
        <f t="shared" si="1"/>
        <v>2.2342650459904689E-2</v>
      </c>
    </row>
    <row r="19" spans="1:3" x14ac:dyDescent="0.25">
      <c r="A19" t="s">
        <v>917</v>
      </c>
      <c r="B19" s="21" t="str">
        <f t="shared" si="0"/>
        <v>2017/01/24 14:45:01.178</v>
      </c>
      <c r="C19" s="21">
        <f t="shared" si="1"/>
        <v>1.3657408999279141E-6</v>
      </c>
    </row>
    <row r="20" spans="1:3" x14ac:dyDescent="0.25">
      <c r="A20" t="s">
        <v>918</v>
      </c>
      <c r="B20" s="21" t="str">
        <f t="shared" si="0"/>
        <v>2017/01/24 14:48:29.450</v>
      </c>
      <c r="C20" s="21">
        <f t="shared" si="1"/>
        <v>2.4105555567075498E-3</v>
      </c>
    </row>
    <row r="21" spans="1:3" x14ac:dyDescent="0.25">
      <c r="A21" t="s">
        <v>919</v>
      </c>
      <c r="B21" s="21" t="str">
        <f t="shared" si="0"/>
        <v>2017/01/24 14:48:30.397</v>
      </c>
      <c r="C21" s="21">
        <f t="shared" si="1"/>
        <v>1.0960648069158196E-5</v>
      </c>
    </row>
    <row r="22" spans="1:3" x14ac:dyDescent="0.25">
      <c r="A22" t="s">
        <v>920</v>
      </c>
      <c r="B22" s="21" t="str">
        <f t="shared" si="0"/>
        <v>2017/01/24 15:43:14.416</v>
      </c>
      <c r="C22" s="21">
        <f t="shared" si="1"/>
        <v>3.8009479168977123E-2</v>
      </c>
    </row>
    <row r="23" spans="1:3" x14ac:dyDescent="0.25">
      <c r="A23" t="s">
        <v>921</v>
      </c>
      <c r="B23" s="21" t="str">
        <f t="shared" si="0"/>
        <v>2017/01/24 15:43:14.463</v>
      </c>
      <c r="C23" s="21">
        <f t="shared" si="1"/>
        <v>5.4397969506680965E-7</v>
      </c>
    </row>
    <row r="24" spans="1:3" x14ac:dyDescent="0.25">
      <c r="A24" t="s">
        <v>922</v>
      </c>
      <c r="B24" s="21" t="str">
        <f t="shared" si="0"/>
        <v>2017/01/24 15:48:55.445</v>
      </c>
      <c r="C24" s="21">
        <f t="shared" si="1"/>
        <v>3.94655092532048E-3</v>
      </c>
    </row>
    <row r="25" spans="1:3" x14ac:dyDescent="0.25">
      <c r="A25" t="s">
        <v>923</v>
      </c>
      <c r="B25" s="21" t="str">
        <f t="shared" si="0"/>
        <v>2017/01/24 16:09:44.744</v>
      </c>
      <c r="C25" s="21">
        <f t="shared" si="1"/>
        <v>1.4459479163633659E-2</v>
      </c>
    </row>
    <row r="26" spans="1:3" x14ac:dyDescent="0.25">
      <c r="A26" t="s">
        <v>924</v>
      </c>
      <c r="B26" s="21" t="str">
        <f t="shared" si="0"/>
        <v>2017/01/24 16:09:45.213</v>
      </c>
      <c r="C26" s="21">
        <f t="shared" si="1"/>
        <v>5.4282427299767733E-6</v>
      </c>
    </row>
    <row r="27" spans="1:3" x14ac:dyDescent="0.25">
      <c r="A27" t="s">
        <v>925</v>
      </c>
      <c r="B27" s="21" t="str">
        <f t="shared" si="0"/>
        <v>2017/01/24 16:09:45.841</v>
      </c>
      <c r="C27" s="21">
        <f t="shared" si="1"/>
        <v>7.2685215855017304E-6</v>
      </c>
    </row>
    <row r="28" spans="1:3" x14ac:dyDescent="0.25">
      <c r="A28" t="s">
        <v>926</v>
      </c>
      <c r="B28" s="21" t="str">
        <f t="shared" si="0"/>
        <v>2017/01/24 16:59:03.669</v>
      </c>
      <c r="C28" s="21">
        <f t="shared" si="1"/>
        <v>3.4234120364999399E-2</v>
      </c>
    </row>
    <row r="29" spans="1:3" x14ac:dyDescent="0.25">
      <c r="A29" t="s">
        <v>927</v>
      </c>
      <c r="B29" s="21" t="str">
        <f t="shared" si="0"/>
        <v>2017/01/24 16:59:04.274</v>
      </c>
      <c r="C29" s="21">
        <f t="shared" si="1"/>
        <v>7.0023161242716014E-6</v>
      </c>
    </row>
    <row r="30" spans="1:3" x14ac:dyDescent="0.25">
      <c r="A30" t="s">
        <v>928</v>
      </c>
      <c r="B30" s="21" t="str">
        <f t="shared" si="0"/>
        <v>2017/01/24 17:16:05.629</v>
      </c>
      <c r="C30" s="21">
        <f t="shared" si="1"/>
        <v>1.1821238425909542E-2</v>
      </c>
    </row>
    <row r="31" spans="1:3" x14ac:dyDescent="0.25">
      <c r="A31" t="s">
        <v>929</v>
      </c>
      <c r="B31" s="21" t="str">
        <f t="shared" ref="B31:B32" si="2">MID(A31,6,23)</f>
        <v>2017/01/24 17:32:02.262</v>
      </c>
      <c r="C31" s="21">
        <f t="shared" ref="C31:C32" si="3">ABS(B31-B30)</f>
        <v>1.1072141205659136E-2</v>
      </c>
    </row>
    <row r="32" spans="1:3" x14ac:dyDescent="0.25">
      <c r="A32" t="s">
        <v>930</v>
      </c>
      <c r="B32" s="21" t="str">
        <f t="shared" si="2"/>
        <v>2017/01/24 17:32:02.671</v>
      </c>
      <c r="C32" s="21">
        <f t="shared" si="3"/>
        <v>4.7337962314486504E-6</v>
      </c>
    </row>
    <row r="33" spans="1:3" x14ac:dyDescent="0.25">
      <c r="A33" t="s">
        <v>931</v>
      </c>
      <c r="B33" s="21" t="str">
        <f t="shared" ref="B33:B58" si="4">MID(A33,6,23)</f>
        <v>2017/01/24 17:36:13.617</v>
      </c>
      <c r="C33" s="21">
        <f t="shared" ref="C33:C58" si="5">ABS(B33-B32)</f>
        <v>2.9044675902696326E-3</v>
      </c>
    </row>
    <row r="34" spans="1:3" x14ac:dyDescent="0.25">
      <c r="A34" t="s">
        <v>932</v>
      </c>
      <c r="B34" s="21" t="str">
        <f t="shared" si="4"/>
        <v>2017/01/24 17:36:13.753</v>
      </c>
      <c r="C34" s="21">
        <f t="shared" si="5"/>
        <v>1.5740733942948282E-6</v>
      </c>
    </row>
    <row r="35" spans="1:3" x14ac:dyDescent="0.25">
      <c r="A35" t="s">
        <v>933</v>
      </c>
      <c r="B35" s="21" t="str">
        <f t="shared" si="4"/>
        <v>2017/01/24 17:36:13.840</v>
      </c>
      <c r="C35" s="21">
        <f t="shared" si="5"/>
        <v>1.006948878057301E-6</v>
      </c>
    </row>
    <row r="36" spans="1:3" x14ac:dyDescent="0.25">
      <c r="A36" t="s">
        <v>934</v>
      </c>
      <c r="B36" s="21" t="str">
        <f t="shared" si="4"/>
        <v>2017/01/24 17:43:31.654</v>
      </c>
      <c r="C36" s="21">
        <f t="shared" si="5"/>
        <v>5.0672916622716002E-3</v>
      </c>
    </row>
    <row r="37" spans="1:3" x14ac:dyDescent="0.25">
      <c r="A37" t="s">
        <v>935</v>
      </c>
      <c r="B37" s="21" t="str">
        <f t="shared" si="4"/>
        <v>2017/01/24 18:11:24.178</v>
      </c>
      <c r="C37" s="21">
        <f t="shared" si="5"/>
        <v>1.9357916666194797E-2</v>
      </c>
    </row>
    <row r="38" spans="1:3" x14ac:dyDescent="0.25">
      <c r="A38" t="s">
        <v>936</v>
      </c>
      <c r="B38" s="21" t="str">
        <f t="shared" si="4"/>
        <v>2017/01/24 18:11:25.058</v>
      </c>
      <c r="C38" s="21">
        <f t="shared" si="5"/>
        <v>1.0185191058553755E-5</v>
      </c>
    </row>
    <row r="39" spans="1:3" x14ac:dyDescent="0.25">
      <c r="A39" t="s">
        <v>937</v>
      </c>
      <c r="B39" s="21" t="str">
        <f t="shared" si="4"/>
        <v>2017/01/24 18:12:11.056</v>
      </c>
      <c r="C39" s="21">
        <f t="shared" si="5"/>
        <v>5.3238425607560202E-4</v>
      </c>
    </row>
    <row r="40" spans="1:3" x14ac:dyDescent="0.25">
      <c r="A40" t="s">
        <v>938</v>
      </c>
      <c r="B40" s="21" t="str">
        <f t="shared" si="4"/>
        <v>2017/01/24 18:12:11.180</v>
      </c>
      <c r="C40" s="21">
        <f t="shared" si="5"/>
        <v>1.4351826393976808E-6</v>
      </c>
    </row>
    <row r="41" spans="1:3" x14ac:dyDescent="0.25">
      <c r="A41" t="s">
        <v>939</v>
      </c>
      <c r="B41" s="21" t="str">
        <f t="shared" si="4"/>
        <v>2017/01/24 18:30:17.053</v>
      </c>
      <c r="C41" s="21">
        <f t="shared" si="5"/>
        <v>1.2567974539706483E-2</v>
      </c>
    </row>
    <row r="42" spans="1:3" x14ac:dyDescent="0.25">
      <c r="A42" t="s">
        <v>940</v>
      </c>
      <c r="B42" s="21" t="str">
        <f t="shared" si="4"/>
        <v>2017/01/24 18:30:17.190</v>
      </c>
      <c r="C42" s="21">
        <f t="shared" si="5"/>
        <v>1.585649442858994E-6</v>
      </c>
    </row>
    <row r="43" spans="1:3" x14ac:dyDescent="0.25">
      <c r="A43" t="s">
        <v>941</v>
      </c>
      <c r="B43" s="21" t="str">
        <f t="shared" si="4"/>
        <v>2017/01/24 18:38:03.060</v>
      </c>
      <c r="C43" s="21">
        <f t="shared" si="5"/>
        <v>5.39201388892252E-3</v>
      </c>
    </row>
    <row r="44" spans="1:3" x14ac:dyDescent="0.25">
      <c r="A44" t="s">
        <v>942</v>
      </c>
      <c r="B44" s="21" t="str">
        <f t="shared" si="4"/>
        <v>2017/01/24 18:38:04.185</v>
      </c>
      <c r="C44" s="21">
        <f t="shared" si="5"/>
        <v>1.3020828191656619E-5</v>
      </c>
    </row>
    <row r="45" spans="1:3" x14ac:dyDescent="0.25">
      <c r="A45" t="s">
        <v>943</v>
      </c>
      <c r="B45" s="21" t="str">
        <f t="shared" si="4"/>
        <v>2017/01/24 18:40:03.700</v>
      </c>
      <c r="C45" s="21">
        <f t="shared" si="5"/>
        <v>1.3832754630129784E-3</v>
      </c>
    </row>
    <row r="46" spans="1:3" x14ac:dyDescent="0.25">
      <c r="A46" t="s">
        <v>944</v>
      </c>
      <c r="B46" s="21" t="str">
        <f t="shared" si="4"/>
        <v>2017/01/24 18:40:03.812</v>
      </c>
      <c r="C46" s="21">
        <f t="shared" si="5"/>
        <v>1.2962991604581475E-6</v>
      </c>
    </row>
    <row r="47" spans="1:3" x14ac:dyDescent="0.25">
      <c r="A47" t="s">
        <v>945</v>
      </c>
      <c r="B47" s="21" t="str">
        <f t="shared" si="4"/>
        <v>2017/01/24 18:40:04.527</v>
      </c>
      <c r="C47" s="21">
        <f t="shared" si="5"/>
        <v>8.2754631876014173E-6</v>
      </c>
    </row>
    <row r="48" spans="1:3" x14ac:dyDescent="0.25">
      <c r="A48" t="s">
        <v>946</v>
      </c>
      <c r="B48" s="21" t="str">
        <f t="shared" si="4"/>
        <v>2017/01/24 18:51:50.503</v>
      </c>
      <c r="C48" s="21">
        <f t="shared" si="5"/>
        <v>8.1710185186238959E-3</v>
      </c>
    </row>
    <row r="49" spans="1:3" x14ac:dyDescent="0.25">
      <c r="A49" t="s">
        <v>947</v>
      </c>
      <c r="B49" s="21" t="str">
        <f t="shared" si="4"/>
        <v>2017/01/24 18:51:50.785</v>
      </c>
      <c r="C49" s="21">
        <f t="shared" si="5"/>
        <v>3.2638927223160863E-6</v>
      </c>
    </row>
    <row r="50" spans="1:3" x14ac:dyDescent="0.25">
      <c r="A50" t="s">
        <v>948</v>
      </c>
      <c r="B50" s="21" t="str">
        <f t="shared" si="4"/>
        <v>2017/01/24 18:51:50.860</v>
      </c>
      <c r="C50" s="21">
        <f t="shared" si="5"/>
        <v>8.6805084720253944E-7</v>
      </c>
    </row>
    <row r="51" spans="1:3" x14ac:dyDescent="0.25">
      <c r="A51" t="s">
        <v>949</v>
      </c>
      <c r="B51" s="21" t="str">
        <f t="shared" si="4"/>
        <v>2017/01/24 20:04:56.730</v>
      </c>
      <c r="C51" s="21">
        <f t="shared" si="5"/>
        <v>5.0762384256813675E-2</v>
      </c>
    </row>
    <row r="52" spans="1:3" x14ac:dyDescent="0.25">
      <c r="A52" t="s">
        <v>950</v>
      </c>
      <c r="B52" s="21" t="str">
        <f t="shared" si="4"/>
        <v>2017/01/24 20:19:28.370</v>
      </c>
      <c r="C52" s="21">
        <f t="shared" si="5"/>
        <v>1.0088425930007361E-2</v>
      </c>
    </row>
    <row r="53" spans="1:3" x14ac:dyDescent="0.25">
      <c r="A53" t="s">
        <v>951</v>
      </c>
      <c r="B53" s="21" t="str">
        <f t="shared" si="4"/>
        <v>2017/01/24 20:19:28.669</v>
      </c>
      <c r="C53" s="21">
        <f t="shared" si="5"/>
        <v>3.4606491681188345E-6</v>
      </c>
    </row>
    <row r="54" spans="1:3" x14ac:dyDescent="0.25">
      <c r="A54" t="s">
        <v>952</v>
      </c>
      <c r="B54" s="21" t="str">
        <f t="shared" si="4"/>
        <v>2017/01/24 20:19:29.155</v>
      </c>
      <c r="C54" s="21">
        <f t="shared" si="5"/>
        <v>5.6249991757795215E-6</v>
      </c>
    </row>
    <row r="55" spans="1:3" x14ac:dyDescent="0.25">
      <c r="A55" t="s">
        <v>953</v>
      </c>
      <c r="B55" s="21" t="str">
        <f t="shared" si="4"/>
        <v>2017/01/24 20:22:12.924</v>
      </c>
      <c r="C55" s="21">
        <f t="shared" si="5"/>
        <v>1.8954745391965844E-3</v>
      </c>
    </row>
    <row r="56" spans="1:3" x14ac:dyDescent="0.25">
      <c r="A56" t="s">
        <v>954</v>
      </c>
      <c r="B56" s="21" t="str">
        <f t="shared" si="4"/>
        <v>2017/01/24 20:22:13.432</v>
      </c>
      <c r="C56" s="21">
        <f t="shared" si="5"/>
        <v>5.8796285884454846E-6</v>
      </c>
    </row>
    <row r="57" spans="1:3" x14ac:dyDescent="0.25">
      <c r="A57" t="s">
        <v>955</v>
      </c>
      <c r="B57" s="21" t="str">
        <f t="shared" si="4"/>
        <v>2017/01/24 20:36:06.347</v>
      </c>
      <c r="C57" s="21">
        <f t="shared" si="5"/>
        <v>9.6402199051226489E-3</v>
      </c>
    </row>
    <row r="58" spans="1:3" x14ac:dyDescent="0.25">
      <c r="A58" t="s">
        <v>956</v>
      </c>
      <c r="B58" s="21" t="str">
        <f t="shared" si="4"/>
        <v>2017/01/24 20:36:07.140</v>
      </c>
      <c r="C58" s="21">
        <f t="shared" si="5"/>
        <v>9.1782421804964542E-6</v>
      </c>
    </row>
    <row r="59" spans="1:3" x14ac:dyDescent="0.25">
      <c r="A59" t="s">
        <v>957</v>
      </c>
      <c r="B59" s="21" t="str">
        <f t="shared" ref="B59:B120" si="6">MID(A59,6,23)</f>
        <v>2017/01/24 20:36:07.261</v>
      </c>
      <c r="C59" s="21">
        <f t="shared" ref="C59:C120" si="7">ABS(B59-B58)</f>
        <v>1.4004617696627975E-6</v>
      </c>
    </row>
    <row r="60" spans="1:3" x14ac:dyDescent="0.25">
      <c r="A60" t="s">
        <v>958</v>
      </c>
      <c r="B60" s="21" t="str">
        <f t="shared" si="6"/>
        <v>2017/01/24 20:43:12.054</v>
      </c>
      <c r="C60" s="21">
        <f t="shared" si="7"/>
        <v>4.9165856471518055E-3</v>
      </c>
    </row>
    <row r="61" spans="1:3" x14ac:dyDescent="0.25">
      <c r="A61" t="s">
        <v>959</v>
      </c>
      <c r="B61" s="21" t="str">
        <f t="shared" si="6"/>
        <v>2017/01/24 22:17:33.339</v>
      </c>
      <c r="C61" s="21">
        <f t="shared" si="7"/>
        <v>6.5524131947313435E-2</v>
      </c>
    </row>
    <row r="62" spans="1:3" x14ac:dyDescent="0.25">
      <c r="A62" t="s">
        <v>960</v>
      </c>
      <c r="B62" s="21" t="str">
        <f t="shared" si="6"/>
        <v>2017/01/24 22:33:57.916</v>
      </c>
      <c r="C62" s="21">
        <f t="shared" si="7"/>
        <v>1.139556712587364E-2</v>
      </c>
    </row>
    <row r="63" spans="1:3" x14ac:dyDescent="0.25">
      <c r="A63" t="s">
        <v>961</v>
      </c>
      <c r="B63" s="21" t="str">
        <f t="shared" si="6"/>
        <v>2017/01/24 22:39:01.370</v>
      </c>
      <c r="C63" s="21">
        <f t="shared" si="7"/>
        <v>3.5121990731568076E-3</v>
      </c>
    </row>
    <row r="64" spans="1:3" x14ac:dyDescent="0.25">
      <c r="A64" t="s">
        <v>962</v>
      </c>
      <c r="B64" s="21" t="str">
        <f t="shared" si="6"/>
        <v>2017/01/24 22:39:01.389</v>
      </c>
      <c r="C64" s="21">
        <f t="shared" si="7"/>
        <v>2.1990854293107986E-7</v>
      </c>
    </row>
    <row r="65" spans="1:3" x14ac:dyDescent="0.25">
      <c r="A65" t="s">
        <v>963</v>
      </c>
      <c r="B65" s="21" t="str">
        <f t="shared" si="6"/>
        <v>2017/01/24 22:39:01.768</v>
      </c>
      <c r="C65" s="21">
        <f t="shared" si="7"/>
        <v>4.3865729821845889E-6</v>
      </c>
    </row>
    <row r="66" spans="1:3" x14ac:dyDescent="0.25">
      <c r="A66" t="s">
        <v>964</v>
      </c>
      <c r="B66" s="21" t="str">
        <f t="shared" si="6"/>
        <v>2017/01/24 23:07:36.808</v>
      </c>
      <c r="C66" s="21">
        <f t="shared" si="7"/>
        <v>1.9850000004225876E-2</v>
      </c>
    </row>
    <row r="67" spans="1:3" x14ac:dyDescent="0.25">
      <c r="A67" t="s">
        <v>965</v>
      </c>
      <c r="B67" s="21" t="str">
        <f t="shared" si="6"/>
        <v>2017/01/24 23:07:37.915</v>
      </c>
      <c r="C67" s="21">
        <f t="shared" si="7"/>
        <v>1.2812495697289705E-5</v>
      </c>
    </row>
    <row r="68" spans="1:3" x14ac:dyDescent="0.25">
      <c r="A68" t="s">
        <v>966</v>
      </c>
      <c r="B68" s="21" t="str">
        <f t="shared" si="6"/>
        <v>2017/01/24 23:20:26.985</v>
      </c>
      <c r="C68" s="21">
        <f t="shared" si="7"/>
        <v>8.9012731477851048E-3</v>
      </c>
    </row>
    <row r="69" spans="1:3" x14ac:dyDescent="0.25">
      <c r="A69" t="s">
        <v>967</v>
      </c>
      <c r="B69" s="21" t="str">
        <f t="shared" si="6"/>
        <v>2017/01/24 23:20:27.517</v>
      </c>
      <c r="C69" s="21">
        <f t="shared" si="7"/>
        <v>6.1574100982397795E-6</v>
      </c>
    </row>
    <row r="70" spans="1:3" x14ac:dyDescent="0.25">
      <c r="A70" t="s">
        <v>968</v>
      </c>
      <c r="B70" s="21" t="str">
        <f t="shared" si="6"/>
        <v>2017/01/24 23:23:23.287</v>
      </c>
      <c r="C70" s="21">
        <f t="shared" si="7"/>
        <v>2.0343750002211891E-3</v>
      </c>
    </row>
    <row r="71" spans="1:3" x14ac:dyDescent="0.25">
      <c r="A71" t="s">
        <v>969</v>
      </c>
      <c r="B71" s="21" t="str">
        <f t="shared" si="6"/>
        <v>2017/01/24 23:23:23.317</v>
      </c>
      <c r="C71" s="21">
        <f t="shared" si="7"/>
        <v>3.4722324926406145E-7</v>
      </c>
    </row>
    <row r="72" spans="1:3" x14ac:dyDescent="0.25">
      <c r="A72" t="s">
        <v>970</v>
      </c>
      <c r="B72" s="21" t="str">
        <f t="shared" si="6"/>
        <v>2017/01/24 23:23:23.411</v>
      </c>
      <c r="C72" s="21">
        <f t="shared" si="7"/>
        <v>1.0879593901336193E-6</v>
      </c>
    </row>
    <row r="73" spans="1:3" x14ac:dyDescent="0.25">
      <c r="A73" t="s">
        <v>971</v>
      </c>
      <c r="B73" s="21" t="str">
        <f t="shared" si="6"/>
        <v>2017/01/24 23:26:17.510</v>
      </c>
      <c r="C73" s="21">
        <f t="shared" si="7"/>
        <v>2.0150347263552248E-3</v>
      </c>
    </row>
    <row r="74" spans="1:3" x14ac:dyDescent="0.25">
      <c r="A74" t="s">
        <v>972</v>
      </c>
      <c r="B74" s="21" t="str">
        <f t="shared" si="6"/>
        <v>2017/01/24 23:26:17.918</v>
      </c>
      <c r="C74" s="21">
        <f t="shared" si="7"/>
        <v>4.7222201828844845E-6</v>
      </c>
    </row>
    <row r="75" spans="1:3" x14ac:dyDescent="0.25">
      <c r="A75" t="s">
        <v>973</v>
      </c>
      <c r="B75" s="21" t="str">
        <f t="shared" si="6"/>
        <v>2017/01/24 23:26:17.988</v>
      </c>
      <c r="C75" s="21">
        <f t="shared" si="7"/>
        <v>8.1018515629693866E-7</v>
      </c>
    </row>
    <row r="76" spans="1:3" x14ac:dyDescent="0.25">
      <c r="A76" t="s">
        <v>974</v>
      </c>
      <c r="B76" s="21" t="str">
        <f t="shared" si="6"/>
        <v>2017/01/24 23:43:58.717</v>
      </c>
      <c r="C76" s="21">
        <f t="shared" si="7"/>
        <v>1.2276956018467899E-2</v>
      </c>
    </row>
    <row r="77" spans="1:3" x14ac:dyDescent="0.25">
      <c r="A77" t="s">
        <v>975</v>
      </c>
      <c r="B77" s="21" t="str">
        <f t="shared" si="6"/>
        <v>2017/01/24 23:43:58.823</v>
      </c>
      <c r="C77" s="21">
        <f t="shared" si="7"/>
        <v>1.2268501450307667E-6</v>
      </c>
    </row>
    <row r="78" spans="1:3" x14ac:dyDescent="0.25">
      <c r="A78" t="s">
        <v>976</v>
      </c>
      <c r="B78" s="21" t="str">
        <f t="shared" si="6"/>
        <v>2017/01/24 23:43:59.542</v>
      </c>
      <c r="C78" s="21">
        <f t="shared" si="7"/>
        <v>8.3217601059004664E-6</v>
      </c>
    </row>
    <row r="79" spans="1:3" x14ac:dyDescent="0.25">
      <c r="A79" t="s">
        <v>977</v>
      </c>
      <c r="B79" s="21" t="str">
        <f t="shared" si="6"/>
        <v>2017/01/24 23:54:19.700</v>
      </c>
      <c r="C79" s="21">
        <f t="shared" si="7"/>
        <v>7.1777546327211894E-3</v>
      </c>
    </row>
    <row r="80" spans="1:3" x14ac:dyDescent="0.25">
      <c r="A80" t="s">
        <v>978</v>
      </c>
      <c r="B80" s="21" t="str">
        <f t="shared" si="6"/>
        <v>2017/01/24 23:54:19.811</v>
      </c>
      <c r="C80" s="21">
        <f t="shared" si="7"/>
        <v>1.2847231118939817E-6</v>
      </c>
    </row>
    <row r="81" spans="1:3" x14ac:dyDescent="0.25">
      <c r="A81" t="s">
        <v>979</v>
      </c>
      <c r="B81" s="21" t="str">
        <f t="shared" si="6"/>
        <v>2017/01/24 23:54:20.526</v>
      </c>
      <c r="C81" s="21">
        <f t="shared" si="7"/>
        <v>8.2754631876014173E-6</v>
      </c>
    </row>
    <row r="82" spans="1:3" x14ac:dyDescent="0.25">
      <c r="A82" t="s">
        <v>980</v>
      </c>
      <c r="B82" s="21" t="str">
        <f t="shared" si="6"/>
        <v>2017/01/25 00:43:06.103</v>
      </c>
      <c r="C82" s="21">
        <f t="shared" si="7"/>
        <v>3.3860844901937526E-2</v>
      </c>
    </row>
    <row r="83" spans="1:3" x14ac:dyDescent="0.25">
      <c r="A83" t="s">
        <v>981</v>
      </c>
      <c r="B83" s="21" t="str">
        <f t="shared" si="6"/>
        <v>2017/01/25 00:43:06.492</v>
      </c>
      <c r="C83" s="21">
        <f t="shared" si="7"/>
        <v>4.5023189159110188E-6</v>
      </c>
    </row>
    <row r="84" spans="1:3" x14ac:dyDescent="0.25">
      <c r="A84" t="s">
        <v>982</v>
      </c>
      <c r="B84" s="21" t="str">
        <f t="shared" si="6"/>
        <v>2017/01/25 00:43:06.635</v>
      </c>
      <c r="C84" s="21">
        <f t="shared" si="7"/>
        <v>1.6550911823287606E-6</v>
      </c>
    </row>
    <row r="85" spans="1:3" x14ac:dyDescent="0.25">
      <c r="A85" t="s">
        <v>983</v>
      </c>
      <c r="B85" s="21" t="str">
        <f t="shared" si="6"/>
        <v>2017/01/25 00:55:10.820</v>
      </c>
      <c r="C85" s="21">
        <f t="shared" si="7"/>
        <v>8.3817708364222199E-3</v>
      </c>
    </row>
    <row r="86" spans="1:3" x14ac:dyDescent="0.25">
      <c r="A86" t="s">
        <v>984</v>
      </c>
      <c r="B86" s="21" t="str">
        <f t="shared" si="6"/>
        <v>2017/01/25 00:55:10.932</v>
      </c>
      <c r="C86" s="21">
        <f t="shared" si="7"/>
        <v>1.2962918845005333E-6</v>
      </c>
    </row>
    <row r="87" spans="1:3" x14ac:dyDescent="0.25">
      <c r="A87" t="s">
        <v>985</v>
      </c>
      <c r="B87" s="21" t="str">
        <f t="shared" si="6"/>
        <v>2017/01/25 01:07:54.802</v>
      </c>
      <c r="C87" s="21">
        <f t="shared" si="7"/>
        <v>8.8410879616276361E-3</v>
      </c>
    </row>
    <row r="88" spans="1:3" x14ac:dyDescent="0.25">
      <c r="A88" t="s">
        <v>986</v>
      </c>
      <c r="B88" s="21" t="str">
        <f t="shared" si="6"/>
        <v>2017/01/25 01:07:54.913</v>
      </c>
      <c r="C88" s="21">
        <f t="shared" si="7"/>
        <v>1.2847231118939817E-6</v>
      </c>
    </row>
    <row r="89" spans="1:3" x14ac:dyDescent="0.25">
      <c r="A89" t="s">
        <v>987</v>
      </c>
      <c r="B89" s="21" t="str">
        <f t="shared" si="6"/>
        <v>2017/01/25 01:26:30.917</v>
      </c>
      <c r="C89" s="21">
        <f t="shared" si="7"/>
        <v>1.2916712963487953E-2</v>
      </c>
    </row>
    <row r="90" spans="1:3" x14ac:dyDescent="0.25">
      <c r="A90" t="s">
        <v>988</v>
      </c>
      <c r="B90" s="21" t="str">
        <f t="shared" si="6"/>
        <v>2017/01/25 01:26:33.502</v>
      </c>
      <c r="C90" s="21">
        <f t="shared" si="7"/>
        <v>2.991898509208113E-5</v>
      </c>
    </row>
    <row r="91" spans="1:3" x14ac:dyDescent="0.25">
      <c r="A91" t="s">
        <v>989</v>
      </c>
      <c r="B91" s="21" t="str">
        <f t="shared" si="6"/>
        <v>2017/01/25 01:26:33.976</v>
      </c>
      <c r="C91" s="21">
        <f t="shared" si="7"/>
        <v>5.486108420882374E-6</v>
      </c>
    </row>
    <row r="92" spans="1:3" x14ac:dyDescent="0.25">
      <c r="A92" t="s">
        <v>990</v>
      </c>
      <c r="B92" s="21" t="str">
        <f t="shared" si="6"/>
        <v>2017/01/25 01:40:44.425</v>
      </c>
      <c r="C92" s="21">
        <f t="shared" si="7"/>
        <v>9.8431597216404043E-3</v>
      </c>
    </row>
    <row r="93" spans="1:3" x14ac:dyDescent="0.25">
      <c r="A93" t="s">
        <v>991</v>
      </c>
      <c r="B93" s="21" t="str">
        <f t="shared" si="6"/>
        <v>2017/01/25 01:40:44.588</v>
      </c>
      <c r="C93" s="21">
        <f t="shared" si="7"/>
        <v>1.8865757738240063E-6</v>
      </c>
    </row>
    <row r="94" spans="1:3" x14ac:dyDescent="0.25">
      <c r="A94" t="s">
        <v>992</v>
      </c>
      <c r="B94" s="21" t="str">
        <f t="shared" si="6"/>
        <v>2017/01/25 02:05:53.808</v>
      </c>
      <c r="C94" s="21">
        <f t="shared" si="7"/>
        <v>1.746782407280989E-2</v>
      </c>
    </row>
    <row r="95" spans="1:3" x14ac:dyDescent="0.25">
      <c r="A95" t="s">
        <v>993</v>
      </c>
      <c r="B95" s="21" t="str">
        <f t="shared" si="6"/>
        <v>2017/01/25 02:05:53.916</v>
      </c>
      <c r="C95" s="21">
        <f t="shared" si="7"/>
        <v>1.2500022421590984E-6</v>
      </c>
    </row>
    <row r="96" spans="1:3" x14ac:dyDescent="0.25">
      <c r="A96" t="s">
        <v>994</v>
      </c>
      <c r="B96" s="21" t="str">
        <f t="shared" si="6"/>
        <v>2017/01/25 02:06:55.807</v>
      </c>
      <c r="C96" s="21">
        <f t="shared" si="7"/>
        <v>7.163310147006996E-4</v>
      </c>
    </row>
    <row r="97" spans="1:3" x14ac:dyDescent="0.25">
      <c r="A97" t="s">
        <v>995</v>
      </c>
      <c r="B97" s="21" t="str">
        <f t="shared" si="6"/>
        <v>2017/01/25 02:06:55.916</v>
      </c>
      <c r="C97" s="21">
        <f t="shared" si="7"/>
        <v>1.2615782907232642E-6</v>
      </c>
    </row>
    <row r="98" spans="1:3" x14ac:dyDescent="0.25">
      <c r="A98" t="s">
        <v>996</v>
      </c>
      <c r="B98" s="21" t="str">
        <f t="shared" si="6"/>
        <v>2017/01/25 02:34:54.551</v>
      </c>
      <c r="C98" s="21">
        <f t="shared" si="7"/>
        <v>1.9428645828156732E-2</v>
      </c>
    </row>
    <row r="99" spans="1:3" x14ac:dyDescent="0.25">
      <c r="A99" t="s">
        <v>997</v>
      </c>
      <c r="B99" s="21" t="str">
        <f t="shared" si="6"/>
        <v>2017/01/25 02:34:54.753</v>
      </c>
      <c r="C99" s="21">
        <f t="shared" si="7"/>
        <v>2.3379689082503319E-6</v>
      </c>
    </row>
    <row r="100" spans="1:3" x14ac:dyDescent="0.25">
      <c r="A100" t="s">
        <v>998</v>
      </c>
      <c r="B100" s="21" t="str">
        <f t="shared" si="6"/>
        <v>2017/01/25 02:34:54.866</v>
      </c>
      <c r="C100" s="21">
        <f t="shared" si="7"/>
        <v>1.3078679330646992E-6</v>
      </c>
    </row>
    <row r="101" spans="1:3" x14ac:dyDescent="0.25">
      <c r="A101" t="s">
        <v>999</v>
      </c>
      <c r="B101" s="21" t="str">
        <f t="shared" si="6"/>
        <v>2017/01/25 02:57:26.780</v>
      </c>
      <c r="C101" s="21">
        <f t="shared" si="7"/>
        <v>1.5647152780729812E-2</v>
      </c>
    </row>
    <row r="102" spans="1:3" x14ac:dyDescent="0.25">
      <c r="A102" t="s">
        <v>1000</v>
      </c>
      <c r="B102" s="21" t="str">
        <f t="shared" si="6"/>
        <v>2017/01/25 02:57:26.849</v>
      </c>
      <c r="C102" s="21">
        <f t="shared" si="7"/>
        <v>7.9860910773277283E-7</v>
      </c>
    </row>
    <row r="103" spans="1:3" x14ac:dyDescent="0.25">
      <c r="A103" t="s">
        <v>1001</v>
      </c>
      <c r="B103" s="21" t="str">
        <f t="shared" si="6"/>
        <v>2017/01/25 02:58:15.069</v>
      </c>
      <c r="C103" s="21">
        <f t="shared" si="7"/>
        <v>5.5810184858273715E-4</v>
      </c>
    </row>
    <row r="104" spans="1:3" x14ac:dyDescent="0.25">
      <c r="A104" t="s">
        <v>1002</v>
      </c>
      <c r="B104" s="21" t="str">
        <f t="shared" si="6"/>
        <v>2017/01/25 02:58:15.350</v>
      </c>
      <c r="C104" s="21">
        <f t="shared" si="7"/>
        <v>3.2523166737519205E-6</v>
      </c>
    </row>
    <row r="105" spans="1:3" x14ac:dyDescent="0.25">
      <c r="A105" t="s">
        <v>1003</v>
      </c>
      <c r="B105" s="21" t="str">
        <f t="shared" si="6"/>
        <v>2017/01/25 02:58:15.736</v>
      </c>
      <c r="C105" s="21">
        <f t="shared" si="7"/>
        <v>4.4675907702185214E-6</v>
      </c>
    </row>
    <row r="106" spans="1:3" x14ac:dyDescent="0.25">
      <c r="A106" t="s">
        <v>1004</v>
      </c>
      <c r="B106" s="21" t="str">
        <f t="shared" si="6"/>
        <v>2017/01/25 03:45:53.249</v>
      </c>
      <c r="C106" s="21">
        <f t="shared" si="7"/>
        <v>3.3073067133955192E-2</v>
      </c>
    </row>
    <row r="107" spans="1:3" x14ac:dyDescent="0.25">
      <c r="A107" t="s">
        <v>1005</v>
      </c>
      <c r="B107" s="21" t="str">
        <f t="shared" si="6"/>
        <v>2017/01/25 03:45:53.351</v>
      </c>
      <c r="C107" s="21">
        <f t="shared" si="7"/>
        <v>1.1805532267317176E-6</v>
      </c>
    </row>
    <row r="108" spans="1:3" x14ac:dyDescent="0.25">
      <c r="A108" t="s">
        <v>1006</v>
      </c>
      <c r="B108" s="21" t="str">
        <f t="shared" si="6"/>
        <v>2017/01/25 03:45:54.141</v>
      </c>
      <c r="C108" s="21">
        <f t="shared" si="7"/>
        <v>9.1435213107615709E-6</v>
      </c>
    </row>
    <row r="109" spans="1:3" x14ac:dyDescent="0.25">
      <c r="A109" t="s">
        <v>1007</v>
      </c>
      <c r="B109" s="21" t="str">
        <f t="shared" si="6"/>
        <v>2017/01/25 04:36:07.547</v>
      </c>
      <c r="C109" s="21">
        <f t="shared" si="7"/>
        <v>3.487738425610587E-2</v>
      </c>
    </row>
    <row r="110" spans="1:3" x14ac:dyDescent="0.25">
      <c r="A110" t="s">
        <v>1008</v>
      </c>
      <c r="B110" s="21" t="str">
        <f t="shared" si="6"/>
        <v>2017/01/25 04:36:07.864</v>
      </c>
      <c r="C110" s="21">
        <f t="shared" si="7"/>
        <v>3.6689816624857485E-6</v>
      </c>
    </row>
    <row r="111" spans="1:3" x14ac:dyDescent="0.25">
      <c r="A111" t="s">
        <v>1009</v>
      </c>
      <c r="B111" s="21" t="str">
        <f t="shared" si="6"/>
        <v>2017/01/25 04:36:08.748</v>
      </c>
      <c r="C111" s="21">
        <f t="shared" si="7"/>
        <v>1.023148070089519E-5</v>
      </c>
    </row>
    <row r="112" spans="1:3" x14ac:dyDescent="0.25">
      <c r="A112" t="s">
        <v>1010</v>
      </c>
      <c r="B112" s="21" t="str">
        <f t="shared" si="6"/>
        <v>2017/01/25 04:48:16.656</v>
      </c>
      <c r="C112" s="21">
        <f t="shared" si="7"/>
        <v>8.4248611092334613E-3</v>
      </c>
    </row>
    <row r="113" spans="1:3" x14ac:dyDescent="0.25">
      <c r="A113" t="s">
        <v>1011</v>
      </c>
      <c r="B113" s="21" t="str">
        <f t="shared" si="6"/>
        <v>2017/01/25 04:48:16.790</v>
      </c>
      <c r="C113" s="21">
        <f t="shared" si="7"/>
        <v>1.5509285731241107E-6</v>
      </c>
    </row>
    <row r="114" spans="1:3" x14ac:dyDescent="0.25">
      <c r="A114" t="s">
        <v>1012</v>
      </c>
      <c r="B114" s="21" t="str">
        <f t="shared" si="6"/>
        <v>2017/01/25 04:48:16.869</v>
      </c>
      <c r="C114" s="21">
        <f t="shared" si="7"/>
        <v>9.1435504145920277E-7</v>
      </c>
    </row>
    <row r="115" spans="1:3" x14ac:dyDescent="0.25">
      <c r="A115" t="s">
        <v>1013</v>
      </c>
      <c r="B115" s="21" t="str">
        <f t="shared" si="6"/>
        <v>2017/01/25 04:53:50.646</v>
      </c>
      <c r="C115" s="21">
        <f t="shared" si="7"/>
        <v>3.8631597199128009E-3</v>
      </c>
    </row>
    <row r="116" spans="1:3" x14ac:dyDescent="0.25">
      <c r="A116" t="s">
        <v>1014</v>
      </c>
      <c r="B116" s="21" t="str">
        <f t="shared" si="6"/>
        <v>2017/01/25 04:53:50.784</v>
      </c>
      <c r="C116" s="21">
        <f t="shared" si="7"/>
        <v>1.5972182154655457E-6</v>
      </c>
    </row>
    <row r="117" spans="1:3" x14ac:dyDescent="0.25">
      <c r="A117" t="s">
        <v>1015</v>
      </c>
      <c r="B117" s="21" t="str">
        <f t="shared" si="6"/>
        <v>2017/01/25 04:53:50.852</v>
      </c>
      <c r="C117" s="21">
        <f t="shared" si="7"/>
        <v>7.8704033512622118E-7</v>
      </c>
    </row>
    <row r="118" spans="1:3" x14ac:dyDescent="0.25">
      <c r="A118" t="s">
        <v>1016</v>
      </c>
      <c r="B118" s="21" t="str">
        <f t="shared" si="6"/>
        <v>2017/01/25 04:56:19.644</v>
      </c>
      <c r="C118" s="21">
        <f t="shared" si="7"/>
        <v>1.7221296293428168E-3</v>
      </c>
    </row>
    <row r="119" spans="1:3" x14ac:dyDescent="0.25">
      <c r="A119" t="s">
        <v>1017</v>
      </c>
      <c r="B119" s="21" t="str">
        <f t="shared" si="6"/>
        <v>2017/01/25 04:57:52.781</v>
      </c>
      <c r="C119" s="21">
        <f t="shared" si="7"/>
        <v>1.0779745352920145E-3</v>
      </c>
    </row>
    <row r="120" spans="1:3" x14ac:dyDescent="0.25">
      <c r="A120" t="s">
        <v>1018</v>
      </c>
      <c r="B120" s="21" t="str">
        <f t="shared" si="6"/>
        <v>2017/01/25 04:57:52.849</v>
      </c>
      <c r="C120" s="21">
        <f t="shared" si="7"/>
        <v>7.8704033512622118E-7</v>
      </c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2017-01-25T19:41:05Z</dcterms:modified>
</cp:coreProperties>
</file>