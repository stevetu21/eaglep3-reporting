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Enforcements!$A$6:$AC$37</definedName>
    <definedName name="_xlnm._FilterDatabase" localSheetId="2" hidden="1">'Missing Trips'!$A$2:$J$134</definedName>
    <definedName name="_xlnm._FilterDatabase" localSheetId="0" hidden="1">'Train Runs'!$A$12:$AG$245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" i="3" l="1"/>
  <c r="AC11" i="3"/>
  <c r="AD11" i="3"/>
  <c r="AE11" i="3"/>
  <c r="R11" i="3"/>
  <c r="S11" i="3"/>
  <c r="T11" i="3"/>
  <c r="U11" i="3"/>
  <c r="V11" i="3"/>
  <c r="N11" i="3"/>
  <c r="M11" i="3"/>
  <c r="W11" i="3"/>
  <c r="P134" i="1" l="1"/>
  <c r="X158" i="1"/>
  <c r="X159" i="1"/>
  <c r="X160" i="1"/>
  <c r="X161" i="1"/>
  <c r="X162" i="1"/>
  <c r="K14" i="1" l="1"/>
  <c r="L14" i="1"/>
  <c r="M14" i="1"/>
  <c r="N14" i="1" s="1"/>
  <c r="V14" i="1"/>
  <c r="Y14" i="1"/>
  <c r="Z14" i="1"/>
  <c r="AA14" i="1" s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AG19" i="1" s="1"/>
  <c r="AE19" i="1"/>
  <c r="AF19" i="1"/>
  <c r="AH19" i="1"/>
  <c r="AI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G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AG39" i="1" s="1"/>
  <c r="AI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AA47" i="1" s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T48" i="1"/>
  <c r="V48" i="1"/>
  <c r="X48" i="1"/>
  <c r="Y48" i="1"/>
  <c r="Z48" i="1"/>
  <c r="AA48" i="1" s="1"/>
  <c r="W48" i="1" s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S8" i="3" s="1"/>
  <c r="Y49" i="1"/>
  <c r="Z49" i="1"/>
  <c r="AB49" i="1"/>
  <c r="AC49" i="1"/>
  <c r="AD49" i="1"/>
  <c r="AE49" i="1"/>
  <c r="AF49" i="1"/>
  <c r="AG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I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X51" i="1" s="1"/>
  <c r="AE51" i="1"/>
  <c r="AF51" i="1"/>
  <c r="AH51" i="1"/>
  <c r="AM51" i="1"/>
  <c r="AN51" i="1"/>
  <c r="K52" i="1"/>
  <c r="L52" i="1"/>
  <c r="M52" i="1"/>
  <c r="P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R15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/>
  <c r="T61" i="1"/>
  <c r="V61" i="1"/>
  <c r="S13" i="3" s="1"/>
  <c r="Y61" i="1"/>
  <c r="Z61" i="1"/>
  <c r="AA61" i="1" s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P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T65" i="1"/>
  <c r="V65" i="1"/>
  <c r="X65" i="1"/>
  <c r="Y65" i="1"/>
  <c r="Z65" i="1"/>
  <c r="AA65" i="1" s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G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T82" i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A84" i="1" s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AA88" i="1" s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P89" i="1" s="1"/>
  <c r="V89" i="1"/>
  <c r="Y89" i="1"/>
  <c r="Z89" i="1"/>
  <c r="AI89" i="1" s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/>
  <c r="V91" i="1"/>
  <c r="X91" i="1"/>
  <c r="Y91" i="1"/>
  <c r="Z91" i="1"/>
  <c r="AB91" i="1"/>
  <c r="AC91" i="1"/>
  <c r="AD91" i="1"/>
  <c r="T91" i="1" s="1"/>
  <c r="AE91" i="1"/>
  <c r="AF91" i="1"/>
  <c r="AG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I93" i="1" s="1"/>
  <c r="AB93" i="1"/>
  <c r="AC93" i="1"/>
  <c r="AD93" i="1"/>
  <c r="AG93" i="1" s="1"/>
  <c r="AE93" i="1"/>
  <c r="AF93" i="1"/>
  <c r="AH93" i="1"/>
  <c r="AM93" i="1"/>
  <c r="AN93" i="1"/>
  <c r="K158" i="1"/>
  <c r="L158" i="1"/>
  <c r="M158" i="1"/>
  <c r="N158" i="1" s="1"/>
  <c r="V158" i="1"/>
  <c r="Y158" i="1"/>
  <c r="AA158" i="1" s="1"/>
  <c r="Z158" i="1"/>
  <c r="AB158" i="1"/>
  <c r="AC158" i="1"/>
  <c r="AD158" i="1"/>
  <c r="T158" i="1" s="1"/>
  <c r="AE158" i="1"/>
  <c r="AF158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00" i="1"/>
  <c r="AM100" i="1"/>
  <c r="AN100" i="1"/>
  <c r="K165" i="1"/>
  <c r="L165" i="1"/>
  <c r="M165" i="1"/>
  <c r="N165" i="1"/>
  <c r="V165" i="1"/>
  <c r="Y165" i="1"/>
  <c r="Z165" i="1"/>
  <c r="AA165" i="1" s="1"/>
  <c r="W165" i="1" s="1"/>
  <c r="AB165" i="1"/>
  <c r="AC165" i="1"/>
  <c r="AD165" i="1"/>
  <c r="AG165" i="1" s="1"/>
  <c r="AE165" i="1"/>
  <c r="AF165" i="1"/>
  <c r="AH101" i="1"/>
  <c r="AM101" i="1"/>
  <c r="AN101" i="1"/>
  <c r="K166" i="1"/>
  <c r="L166" i="1"/>
  <c r="M166" i="1"/>
  <c r="N166" i="1" s="1"/>
  <c r="T166" i="1"/>
  <c r="V166" i="1"/>
  <c r="Y166" i="1"/>
  <c r="Z166" i="1"/>
  <c r="AB166" i="1"/>
  <c r="AC166" i="1"/>
  <c r="AD166" i="1"/>
  <c r="AE166" i="1"/>
  <c r="AF166" i="1"/>
  <c r="AH102" i="1"/>
  <c r="AM102" i="1"/>
  <c r="AN102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3" i="1"/>
  <c r="AM103" i="1"/>
  <c r="AN10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04" i="1"/>
  <c r="AM104" i="1"/>
  <c r="AN104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A172" i="1" s="1"/>
  <c r="W172" i="1" s="1"/>
  <c r="AB172" i="1"/>
  <c r="AC172" i="1"/>
  <c r="AD172" i="1"/>
  <c r="AG172" i="1" s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AM110" i="1"/>
  <c r="AN110" i="1"/>
  <c r="K174" i="1"/>
  <c r="L174" i="1"/>
  <c r="M174" i="1"/>
  <c r="N174" i="1" s="1"/>
  <c r="V174" i="1"/>
  <c r="Y174" i="1"/>
  <c r="Z174" i="1"/>
  <c r="AI174" i="1" s="1"/>
  <c r="AB174" i="1"/>
  <c r="AC174" i="1"/>
  <c r="AD174" i="1"/>
  <c r="T174" i="1" s="1"/>
  <c r="AE174" i="1"/>
  <c r="AF174" i="1"/>
  <c r="AG174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2" i="1"/>
  <c r="AM112" i="1"/>
  <c r="AN1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3" i="1"/>
  <c r="AM113" i="1"/>
  <c r="AN113" i="1"/>
  <c r="K177" i="1"/>
  <c r="L177" i="1"/>
  <c r="M177" i="1"/>
  <c r="N177" i="1" s="1"/>
  <c r="V177" i="1"/>
  <c r="Y177" i="1"/>
  <c r="AA177" i="1" s="1"/>
  <c r="Z177" i="1"/>
  <c r="AB177" i="1"/>
  <c r="AC177" i="1"/>
  <c r="AD177" i="1"/>
  <c r="AE177" i="1"/>
  <c r="AF177" i="1"/>
  <c r="AH114" i="1"/>
  <c r="AM114" i="1"/>
  <c r="AN11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115" i="1"/>
  <c r="AM115" i="1"/>
  <c r="AN11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6" i="1"/>
  <c r="AM116" i="1"/>
  <c r="AN116" i="1"/>
  <c r="K179" i="1"/>
  <c r="L179" i="1"/>
  <c r="M179" i="1"/>
  <c r="N179" i="1" s="1"/>
  <c r="T179" i="1"/>
  <c r="V179" i="1"/>
  <c r="Y179" i="1"/>
  <c r="Z179" i="1"/>
  <c r="AB179" i="1"/>
  <c r="AC179" i="1"/>
  <c r="AD179" i="1"/>
  <c r="AG179" i="1" s="1"/>
  <c r="U179" i="1" s="1"/>
  <c r="AE179" i="1"/>
  <c r="AF179" i="1"/>
  <c r="AH117" i="1"/>
  <c r="AM117" i="1"/>
  <c r="AN11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8" i="1"/>
  <c r="AM118" i="1"/>
  <c r="AN118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9" i="1"/>
  <c r="AM119" i="1"/>
  <c r="AN11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20" i="1"/>
  <c r="AM120" i="1"/>
  <c r="AN120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21" i="1"/>
  <c r="AM121" i="1"/>
  <c r="AN12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2" i="1"/>
  <c r="AM122" i="1"/>
  <c r="AN122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3" i="1"/>
  <c r="AM123" i="1"/>
  <c r="AN123" i="1"/>
  <c r="K186" i="1"/>
  <c r="L186" i="1"/>
  <c r="M186" i="1"/>
  <c r="N186" i="1"/>
  <c r="V186" i="1"/>
  <c r="Y186" i="1"/>
  <c r="Z186" i="1"/>
  <c r="AB186" i="1"/>
  <c r="AC186" i="1"/>
  <c r="AD186" i="1"/>
  <c r="AE186" i="1"/>
  <c r="AF186" i="1"/>
  <c r="AH124" i="1"/>
  <c r="AM124" i="1"/>
  <c r="AN124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5" i="1"/>
  <c r="AM125" i="1"/>
  <c r="AN12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26" i="1"/>
  <c r="AM126" i="1"/>
  <c r="AN126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7" i="1"/>
  <c r="AM127" i="1"/>
  <c r="AN12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8" i="1"/>
  <c r="AM128" i="1"/>
  <c r="AN12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9" i="1"/>
  <c r="AM129" i="1"/>
  <c r="AN129" i="1"/>
  <c r="K191" i="1"/>
  <c r="L191" i="1"/>
  <c r="M191" i="1"/>
  <c r="N191" i="1" s="1"/>
  <c r="V191" i="1"/>
  <c r="Y191" i="1"/>
  <c r="Z191" i="1"/>
  <c r="AA191" i="1" s="1"/>
  <c r="W191" i="1" s="1"/>
  <c r="AB191" i="1"/>
  <c r="AC191" i="1"/>
  <c r="AD191" i="1"/>
  <c r="AG191" i="1" s="1"/>
  <c r="AE191" i="1"/>
  <c r="AF191" i="1"/>
  <c r="AH130" i="1"/>
  <c r="AM130" i="1"/>
  <c r="AN130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131" i="1"/>
  <c r="AM131" i="1"/>
  <c r="AN131" i="1"/>
  <c r="K98" i="1"/>
  <c r="L98" i="1"/>
  <c r="M98" i="1"/>
  <c r="N98" i="1" s="1"/>
  <c r="T98" i="1"/>
  <c r="V98" i="1"/>
  <c r="X98" i="1"/>
  <c r="Y98" i="1"/>
  <c r="Z98" i="1"/>
  <c r="AA98" i="1" s="1"/>
  <c r="AB98" i="1"/>
  <c r="AC98" i="1"/>
  <c r="AD98" i="1"/>
  <c r="AE98" i="1"/>
  <c r="AF98" i="1"/>
  <c r="AG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7" i="1"/>
  <c r="AM137" i="1"/>
  <c r="AN137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38" i="1"/>
  <c r="AM138" i="1"/>
  <c r="AN13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41" i="1"/>
  <c r="AM141" i="1"/>
  <c r="AN141" i="1"/>
  <c r="K106" i="1"/>
  <c r="L106" i="1"/>
  <c r="M106" i="1"/>
  <c r="N106" i="1"/>
  <c r="V106" i="1"/>
  <c r="Y106" i="1"/>
  <c r="AA106" i="1" s="1"/>
  <c r="Z106" i="1"/>
  <c r="AB106" i="1"/>
  <c r="AC106" i="1"/>
  <c r="AD106" i="1"/>
  <c r="AG106" i="1" s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AE111" i="1"/>
  <c r="R10" i="3" s="1"/>
  <c r="AF111" i="1"/>
  <c r="AG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AA115" i="1"/>
  <c r="AB115" i="1"/>
  <c r="AC115" i="1"/>
  <c r="AD115" i="1"/>
  <c r="AG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2" i="1"/>
  <c r="AM152" i="1"/>
  <c r="AN152" i="1"/>
  <c r="K117" i="1"/>
  <c r="L117" i="1"/>
  <c r="M117" i="1"/>
  <c r="N117" i="1"/>
  <c r="V117" i="1"/>
  <c r="Y117" i="1"/>
  <c r="Z117" i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AA119" i="1" s="1"/>
  <c r="Z119" i="1"/>
  <c r="AB119" i="1"/>
  <c r="AC119" i="1"/>
  <c r="AD119" i="1"/>
  <c r="T119" i="1" s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A122" i="1" s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8" i="1"/>
  <c r="AM158" i="1"/>
  <c r="AN158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59" i="1"/>
  <c r="AM159" i="1"/>
  <c r="AN159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0" i="1"/>
  <c r="AM160" i="1"/>
  <c r="AN160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1" i="1"/>
  <c r="AM161" i="1"/>
  <c r="AN161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G127" i="1"/>
  <c r="AH162" i="1"/>
  <c r="AI162" i="1"/>
  <c r="AM162" i="1"/>
  <c r="AN162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63" i="1"/>
  <c r="AM163" i="1"/>
  <c r="AN163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N130" i="1"/>
  <c r="V130" i="1"/>
  <c r="Y130" i="1"/>
  <c r="Z130" i="1"/>
  <c r="AB130" i="1"/>
  <c r="AC130" i="1"/>
  <c r="AD130" i="1"/>
  <c r="AG130" i="1" s="1"/>
  <c r="AE130" i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7" i="1"/>
  <c r="AM167" i="1"/>
  <c r="AN167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V134" i="1"/>
  <c r="Y134" i="1"/>
  <c r="AA134" i="1"/>
  <c r="W134" i="1" s="1"/>
  <c r="AB134" i="1"/>
  <c r="AC134" i="1"/>
  <c r="AD134" i="1"/>
  <c r="AG134" i="1" s="1"/>
  <c r="AE134" i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G135" i="1"/>
  <c r="AI135" i="1" s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/>
  <c r="V138" i="1"/>
  <c r="Y138" i="1"/>
  <c r="AA138" i="1" s="1"/>
  <c r="Z138" i="1"/>
  <c r="AB138" i="1"/>
  <c r="AC138" i="1"/>
  <c r="AD138" i="1"/>
  <c r="AG138" i="1" s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5" i="1"/>
  <c r="AM175" i="1"/>
  <c r="AN175" i="1"/>
  <c r="K141" i="1"/>
  <c r="L141" i="1"/>
  <c r="M141" i="1"/>
  <c r="N141" i="1"/>
  <c r="V141" i="1"/>
  <c r="Y141" i="1"/>
  <c r="Z141" i="1"/>
  <c r="AB141" i="1"/>
  <c r="AC141" i="1"/>
  <c r="AD141" i="1"/>
  <c r="T141" i="1" s="1"/>
  <c r="AE141" i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AM177" i="1"/>
  <c r="AN177" i="1"/>
  <c r="K143" i="1"/>
  <c r="L143" i="1"/>
  <c r="M143" i="1"/>
  <c r="N143" i="1" s="1"/>
  <c r="V143" i="1"/>
  <c r="Y143" i="1"/>
  <c r="AA143" i="1" s="1"/>
  <c r="Z143" i="1"/>
  <c r="AB143" i="1"/>
  <c r="AC143" i="1"/>
  <c r="AD143" i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X144" i="1" s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N146" i="1"/>
  <c r="V146" i="1"/>
  <c r="Y146" i="1"/>
  <c r="AA146" i="1" s="1"/>
  <c r="Z146" i="1"/>
  <c r="AB146" i="1"/>
  <c r="AC146" i="1"/>
  <c r="AD146" i="1"/>
  <c r="AG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A149" i="1" s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N150" i="1"/>
  <c r="V150" i="1"/>
  <c r="Y150" i="1"/>
  <c r="AA150" i="1" s="1"/>
  <c r="Z150" i="1"/>
  <c r="AB150" i="1"/>
  <c r="AC150" i="1"/>
  <c r="AD150" i="1"/>
  <c r="AG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G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92" i="1"/>
  <c r="AM192" i="1"/>
  <c r="AN192" i="1"/>
  <c r="AH193" i="1"/>
  <c r="AM193" i="1"/>
  <c r="AN193" i="1"/>
  <c r="K192" i="1"/>
  <c r="L192" i="1"/>
  <c r="M192" i="1"/>
  <c r="N192" i="1" s="1"/>
  <c r="V192" i="1"/>
  <c r="Y192" i="1"/>
  <c r="AA192" i="1" s="1"/>
  <c r="Z192" i="1"/>
  <c r="AB192" i="1"/>
  <c r="AC192" i="1"/>
  <c r="AD192" i="1"/>
  <c r="X192" i="1" s="1"/>
  <c r="AE192" i="1"/>
  <c r="AF192" i="1"/>
  <c r="AH194" i="1"/>
  <c r="AM194" i="1"/>
  <c r="AN194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195" i="1"/>
  <c r="AM195" i="1"/>
  <c r="AN195" i="1"/>
  <c r="K194" i="1"/>
  <c r="L194" i="1"/>
  <c r="M194" i="1"/>
  <c r="N194" i="1"/>
  <c r="V194" i="1"/>
  <c r="Y194" i="1"/>
  <c r="Z194" i="1"/>
  <c r="AA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/>
  <c r="V195" i="1"/>
  <c r="Y195" i="1"/>
  <c r="Z195" i="1"/>
  <c r="AA195" i="1" s="1"/>
  <c r="W195" i="1" s="1"/>
  <c r="AB195" i="1"/>
  <c r="AC195" i="1"/>
  <c r="AD195" i="1"/>
  <c r="AG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/>
  <c r="V198" i="1"/>
  <c r="Y198" i="1"/>
  <c r="AA198" i="1" s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/>
  <c r="V199" i="1"/>
  <c r="Y199" i="1"/>
  <c r="AA199" i="1" s="1"/>
  <c r="W199" i="1" s="1"/>
  <c r="Z199" i="1"/>
  <c r="AB199" i="1"/>
  <c r="AC199" i="1"/>
  <c r="AD199" i="1"/>
  <c r="AG199" i="1" s="1"/>
  <c r="AE199" i="1"/>
  <c r="AF199" i="1"/>
  <c r="AH201" i="1"/>
  <c r="AM201" i="1"/>
  <c r="AN201" i="1"/>
  <c r="K200" i="1"/>
  <c r="L200" i="1"/>
  <c r="M200" i="1"/>
  <c r="N200" i="1" s="1"/>
  <c r="T200" i="1"/>
  <c r="V200" i="1"/>
  <c r="X200" i="1"/>
  <c r="Y200" i="1"/>
  <c r="Z200" i="1"/>
  <c r="AB200" i="1"/>
  <c r="AC200" i="1"/>
  <c r="AD200" i="1"/>
  <c r="AE200" i="1"/>
  <c r="AF200" i="1"/>
  <c r="AG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/>
  <c r="V203" i="1"/>
  <c r="Y203" i="1"/>
  <c r="Z203" i="1"/>
  <c r="AA203" i="1" s="1"/>
  <c r="AB203" i="1"/>
  <c r="AC203" i="1"/>
  <c r="AD203" i="1"/>
  <c r="AG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R25" i="3" s="1"/>
  <c r="AF209" i="1"/>
  <c r="AH209" i="1"/>
  <c r="AM209" i="1"/>
  <c r="AN209" i="1"/>
  <c r="K210" i="1"/>
  <c r="L210" i="1"/>
  <c r="M210" i="1"/>
  <c r="N210" i="1" s="1"/>
  <c r="T210" i="1"/>
  <c r="V210" i="1"/>
  <c r="Y210" i="1"/>
  <c r="Z210" i="1"/>
  <c r="AB210" i="1"/>
  <c r="AC210" i="1"/>
  <c r="AD210" i="1"/>
  <c r="X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R21" i="3" s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R26" i="3" s="1"/>
  <c r="AF213" i="1"/>
  <c r="AH213" i="1"/>
  <c r="AM213" i="1"/>
  <c r="AN213" i="1"/>
  <c r="K214" i="1"/>
  <c r="L214" i="1"/>
  <c r="M214" i="1"/>
  <c r="N214" i="1" s="1"/>
  <c r="T214" i="1"/>
  <c r="V214" i="1"/>
  <c r="Y214" i="1"/>
  <c r="Z214" i="1"/>
  <c r="AB214" i="1"/>
  <c r="AC214" i="1"/>
  <c r="AD214" i="1"/>
  <c r="X214" i="1" s="1"/>
  <c r="AE214" i="1"/>
  <c r="AF214" i="1"/>
  <c r="AH214" i="1"/>
  <c r="AM214" i="1"/>
  <c r="AN214" i="1"/>
  <c r="K215" i="1"/>
  <c r="L215" i="1"/>
  <c r="M215" i="1"/>
  <c r="N215" i="1" s="1"/>
  <c r="V215" i="1"/>
  <c r="S28" i="3" s="1"/>
  <c r="Y215" i="1"/>
  <c r="Z215" i="1"/>
  <c r="AA215" i="1" s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/>
  <c r="V216" i="1"/>
  <c r="Y216" i="1"/>
  <c r="AA216" i="1" s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19" i="1"/>
  <c r="AM219" i="1"/>
  <c r="AN219" i="1"/>
  <c r="M8" i="3"/>
  <c r="R8" i="3"/>
  <c r="U8" i="3"/>
  <c r="T8" i="3" s="1"/>
  <c r="V8" i="3"/>
  <c r="W8" i="3"/>
  <c r="X8" i="3"/>
  <c r="M12" i="3"/>
  <c r="R12" i="3"/>
  <c r="S12" i="3"/>
  <c r="U12" i="3"/>
  <c r="V12" i="3"/>
  <c r="W12" i="3"/>
  <c r="X12" i="3"/>
  <c r="M18" i="3"/>
  <c r="R18" i="3"/>
  <c r="S18" i="3"/>
  <c r="U18" i="3"/>
  <c r="AC18" i="3" s="1"/>
  <c r="V18" i="3"/>
  <c r="W18" i="3"/>
  <c r="X18" i="3"/>
  <c r="M20" i="3"/>
  <c r="R20" i="3"/>
  <c r="S20" i="3"/>
  <c r="U20" i="3"/>
  <c r="AC20" i="3" s="1"/>
  <c r="V20" i="3"/>
  <c r="W20" i="3"/>
  <c r="X20" i="3"/>
  <c r="AD20" i="3"/>
  <c r="M7" i="3"/>
  <c r="R7" i="3"/>
  <c r="S7" i="3"/>
  <c r="U7" i="3"/>
  <c r="T7" i="3" s="1"/>
  <c r="V7" i="3"/>
  <c r="W7" i="3"/>
  <c r="X7" i="3"/>
  <c r="AC7" i="3"/>
  <c r="M16" i="3"/>
  <c r="S16" i="3"/>
  <c r="U16" i="3"/>
  <c r="V16" i="3"/>
  <c r="W16" i="3"/>
  <c r="X16" i="3"/>
  <c r="M13" i="3"/>
  <c r="R13" i="3"/>
  <c r="U13" i="3"/>
  <c r="AC13" i="3" s="1"/>
  <c r="V13" i="3"/>
  <c r="W13" i="3"/>
  <c r="X13" i="3"/>
  <c r="M15" i="3"/>
  <c r="S15" i="3"/>
  <c r="U15" i="3"/>
  <c r="T15" i="3" s="1"/>
  <c r="V15" i="3"/>
  <c r="W15" i="3"/>
  <c r="X15" i="3"/>
  <c r="M25" i="3"/>
  <c r="S25" i="3"/>
  <c r="U25" i="3"/>
  <c r="V25" i="3"/>
  <c r="W25" i="3"/>
  <c r="X25" i="3"/>
  <c r="M21" i="3"/>
  <c r="S21" i="3"/>
  <c r="U21" i="3"/>
  <c r="AC21" i="3" s="1"/>
  <c r="V21" i="3"/>
  <c r="W21" i="3"/>
  <c r="X21" i="3"/>
  <c r="M22" i="3"/>
  <c r="R22" i="3"/>
  <c r="S22" i="3"/>
  <c r="U22" i="3"/>
  <c r="AC22" i="3" s="1"/>
  <c r="V22" i="3"/>
  <c r="W22" i="3"/>
  <c r="X22" i="3"/>
  <c r="M23" i="3"/>
  <c r="R23" i="3"/>
  <c r="S23" i="3"/>
  <c r="U23" i="3"/>
  <c r="T23" i="3" s="1"/>
  <c r="V23" i="3"/>
  <c r="W23" i="3"/>
  <c r="X23" i="3"/>
  <c r="AC23" i="3"/>
  <c r="M24" i="3"/>
  <c r="R24" i="3"/>
  <c r="S24" i="3"/>
  <c r="U24" i="3"/>
  <c r="AD24" i="3" s="1"/>
  <c r="V24" i="3"/>
  <c r="W24" i="3"/>
  <c r="X24" i="3"/>
  <c r="M26" i="3"/>
  <c r="S26" i="3"/>
  <c r="U26" i="3"/>
  <c r="AC26" i="3" s="1"/>
  <c r="V26" i="3"/>
  <c r="W26" i="3"/>
  <c r="X26" i="3"/>
  <c r="M27" i="3"/>
  <c r="S27" i="3"/>
  <c r="U27" i="3"/>
  <c r="AC27" i="3" s="1"/>
  <c r="V27" i="3"/>
  <c r="W27" i="3"/>
  <c r="X27" i="3"/>
  <c r="AD27" i="3"/>
  <c r="M9" i="3"/>
  <c r="R9" i="3"/>
  <c r="S9" i="3"/>
  <c r="U9" i="3"/>
  <c r="T9" i="3" s="1"/>
  <c r="V9" i="3"/>
  <c r="W9" i="3"/>
  <c r="X9" i="3"/>
  <c r="AC9" i="3"/>
  <c r="M19" i="3"/>
  <c r="R19" i="3"/>
  <c r="S19" i="3"/>
  <c r="U19" i="3"/>
  <c r="AD19" i="3" s="1"/>
  <c r="V19" i="3"/>
  <c r="W19" i="3"/>
  <c r="X19" i="3"/>
  <c r="M14" i="3"/>
  <c r="R14" i="3"/>
  <c r="S14" i="3"/>
  <c r="U14" i="3"/>
  <c r="AC14" i="3" s="1"/>
  <c r="V14" i="3"/>
  <c r="W14" i="3"/>
  <c r="X14" i="3"/>
  <c r="M28" i="3"/>
  <c r="R28" i="3"/>
  <c r="U28" i="3"/>
  <c r="AC28" i="3" s="1"/>
  <c r="V28" i="3"/>
  <c r="W28" i="3"/>
  <c r="X28" i="3"/>
  <c r="M10" i="3"/>
  <c r="S10" i="3"/>
  <c r="U10" i="3"/>
  <c r="T10" i="3" s="1"/>
  <c r="V10" i="3"/>
  <c r="W10" i="3"/>
  <c r="X10" i="3"/>
  <c r="AC10" i="3"/>
  <c r="Y24" i="3" l="1"/>
  <c r="Y25" i="3"/>
  <c r="Y12" i="3"/>
  <c r="AC15" i="3"/>
  <c r="Y16" i="3"/>
  <c r="AD15" i="3"/>
  <c r="Y21" i="3"/>
  <c r="Y19" i="3"/>
  <c r="AD28" i="3"/>
  <c r="Y14" i="3"/>
  <c r="Y23" i="3"/>
  <c r="Y15" i="3"/>
  <c r="Y20" i="3"/>
  <c r="AD8" i="3"/>
  <c r="AC8" i="3"/>
  <c r="Y9" i="3"/>
  <c r="Y18" i="3"/>
  <c r="Y8" i="3"/>
  <c r="R27" i="3"/>
  <c r="AA217" i="1"/>
  <c r="AG214" i="1"/>
  <c r="U214" i="1" s="1"/>
  <c r="S214" i="1" s="1"/>
  <c r="AA206" i="1"/>
  <c r="X203" i="1"/>
  <c r="AA155" i="1"/>
  <c r="W155" i="1" s="1"/>
  <c r="AA153" i="1"/>
  <c r="AA151" i="1"/>
  <c r="AG136" i="1"/>
  <c r="X136" i="1"/>
  <c r="AA128" i="1"/>
  <c r="AG120" i="1"/>
  <c r="X120" i="1"/>
  <c r="AA113" i="1"/>
  <c r="X97" i="1"/>
  <c r="AA187" i="1"/>
  <c r="X180" i="1"/>
  <c r="AA163" i="1"/>
  <c r="AA160" i="1"/>
  <c r="T86" i="1"/>
  <c r="U82" i="1"/>
  <c r="T78" i="1"/>
  <c r="AA75" i="1"/>
  <c r="W75" i="1" s="1"/>
  <c r="X57" i="1"/>
  <c r="AG47" i="1"/>
  <c r="X40" i="1"/>
  <c r="T39" i="1"/>
  <c r="AA38" i="1"/>
  <c r="AA15" i="1"/>
  <c r="W15" i="1" s="1"/>
  <c r="W106" i="1"/>
  <c r="R16" i="3"/>
  <c r="AA157" i="1"/>
  <c r="AA154" i="1"/>
  <c r="AA136" i="1"/>
  <c r="AG128" i="1"/>
  <c r="AI128" i="1" s="1"/>
  <c r="AA127" i="1"/>
  <c r="W127" i="1" s="1"/>
  <c r="AA120" i="1"/>
  <c r="AA114" i="1"/>
  <c r="AA111" i="1"/>
  <c r="W111" i="1" s="1"/>
  <c r="AA107" i="1"/>
  <c r="AG208" i="1"/>
  <c r="AA207" i="1"/>
  <c r="W207" i="1" s="1"/>
  <c r="AA164" i="1"/>
  <c r="W164" i="1" s="1"/>
  <c r="AG163" i="1"/>
  <c r="X163" i="1"/>
  <c r="AG41" i="1"/>
  <c r="AA40" i="1"/>
  <c r="W40" i="1" s="1"/>
  <c r="T40" i="1"/>
  <c r="AA35" i="1"/>
  <c r="AG31" i="1"/>
  <c r="AG210" i="1"/>
  <c r="U210" i="1" s="1"/>
  <c r="S210" i="1" s="1"/>
  <c r="X147" i="1"/>
  <c r="T128" i="1"/>
  <c r="X187" i="1"/>
  <c r="X177" i="1"/>
  <c r="X81" i="1"/>
  <c r="T51" i="1"/>
  <c r="W19" i="1"/>
  <c r="X16" i="1"/>
  <c r="AA212" i="1"/>
  <c r="AG204" i="1"/>
  <c r="X204" i="1"/>
  <c r="AA202" i="1"/>
  <c r="T196" i="1"/>
  <c r="AG156" i="1"/>
  <c r="U156" i="1" s="1"/>
  <c r="X156" i="1"/>
  <c r="X155" i="1"/>
  <c r="X152" i="1"/>
  <c r="AA144" i="1"/>
  <c r="T144" i="1"/>
  <c r="AA142" i="1"/>
  <c r="W142" i="1" s="1"/>
  <c r="AA139" i="1"/>
  <c r="AA135" i="1"/>
  <c r="W135" i="1" s="1"/>
  <c r="AA131" i="1"/>
  <c r="W131" i="1" s="1"/>
  <c r="AA130" i="1"/>
  <c r="W130" i="1" s="1"/>
  <c r="X127" i="1"/>
  <c r="X124" i="1"/>
  <c r="AA121" i="1"/>
  <c r="AG112" i="1"/>
  <c r="W112" i="1" s="1"/>
  <c r="X112" i="1"/>
  <c r="X111" i="1"/>
  <c r="X108" i="1"/>
  <c r="AG104" i="1"/>
  <c r="AI104" i="1" s="1"/>
  <c r="X104" i="1"/>
  <c r="AA208" i="1"/>
  <c r="W208" i="1" s="1"/>
  <c r="AA101" i="1"/>
  <c r="W101" i="1" s="1"/>
  <c r="AI100" i="1"/>
  <c r="AA100" i="1"/>
  <c r="W100" i="1" s="1"/>
  <c r="AG97" i="1"/>
  <c r="W97" i="1" s="1"/>
  <c r="AA183" i="1"/>
  <c r="AA182" i="1"/>
  <c r="AA179" i="1"/>
  <c r="W179" i="1" s="1"/>
  <c r="X176" i="1"/>
  <c r="T165" i="1"/>
  <c r="AA162" i="1"/>
  <c r="W162" i="1" s="1"/>
  <c r="T162" i="1"/>
  <c r="AA93" i="1"/>
  <c r="W93" i="1" s="1"/>
  <c r="T90" i="1"/>
  <c r="AG88" i="1"/>
  <c r="W88" i="1" s="1"/>
  <c r="AA76" i="1"/>
  <c r="T74" i="1"/>
  <c r="U74" i="1" s="1"/>
  <c r="S74" i="1" s="1"/>
  <c r="AA73" i="1"/>
  <c r="T73" i="1"/>
  <c r="AA72" i="1"/>
  <c r="AA69" i="1"/>
  <c r="T58" i="1"/>
  <c r="U58" i="1" s="1"/>
  <c r="S58" i="1" s="1"/>
  <c r="AA57" i="1"/>
  <c r="AA53" i="1"/>
  <c r="W114" i="1"/>
  <c r="AA81" i="1"/>
  <c r="T81" i="1"/>
  <c r="AA80" i="1"/>
  <c r="AA77" i="1"/>
  <c r="AA59" i="1"/>
  <c r="AA54" i="1"/>
  <c r="W54" i="1" s="1"/>
  <c r="W47" i="1"/>
  <c r="AA43" i="1"/>
  <c r="W43" i="1" s="1"/>
  <c r="T35" i="1"/>
  <c r="AA33" i="1"/>
  <c r="AG32" i="1"/>
  <c r="X32" i="1"/>
  <c r="AA31" i="1"/>
  <c r="W31" i="1" s="1"/>
  <c r="AA28" i="1"/>
  <c r="T28" i="1"/>
  <c r="AG27" i="1"/>
  <c r="AI27" i="1" s="1"/>
  <c r="AA23" i="1"/>
  <c r="W23" i="1" s="1"/>
  <c r="X20" i="1"/>
  <c r="AA17" i="1"/>
  <c r="AI15" i="1"/>
  <c r="X218" i="1"/>
  <c r="AA213" i="1"/>
  <c r="AA209" i="1"/>
  <c r="AA201" i="1"/>
  <c r="AG196" i="1"/>
  <c r="AG192" i="1"/>
  <c r="W192" i="1" s="1"/>
  <c r="AA156" i="1"/>
  <c r="AG144" i="1"/>
  <c r="AI144" i="1" s="1"/>
  <c r="X143" i="1"/>
  <c r="X140" i="1"/>
  <c r="X139" i="1"/>
  <c r="X131" i="1"/>
  <c r="AA126" i="1"/>
  <c r="W126" i="1" s="1"/>
  <c r="AA123" i="1"/>
  <c r="AG119" i="1"/>
  <c r="W119" i="1" s="1"/>
  <c r="AA118" i="1"/>
  <c r="W118" i="1" s="1"/>
  <c r="AA112" i="1"/>
  <c r="AA110" i="1"/>
  <c r="W110" i="1" s="1"/>
  <c r="AA104" i="1"/>
  <c r="X101" i="1"/>
  <c r="AA99" i="1"/>
  <c r="X183" i="1"/>
  <c r="AA176" i="1"/>
  <c r="AG173" i="1"/>
  <c r="U173" i="1" s="1"/>
  <c r="S173" i="1" s="1"/>
  <c r="AG170" i="1"/>
  <c r="AI170" i="1" s="1"/>
  <c r="X170" i="1"/>
  <c r="AI94" i="1"/>
  <c r="AG158" i="1"/>
  <c r="W158" i="1" s="1"/>
  <c r="AA90" i="1"/>
  <c r="AA85" i="1"/>
  <c r="AA71" i="1"/>
  <c r="AG66" i="1"/>
  <c r="U66" i="1" s="1"/>
  <c r="AA63" i="1"/>
  <c r="AA50" i="1"/>
  <c r="W50" i="1" s="1"/>
  <c r="AA45" i="1"/>
  <c r="W39" i="1"/>
  <c r="U31" i="1"/>
  <c r="S31" i="1" s="1"/>
  <c r="X213" i="1"/>
  <c r="X195" i="1"/>
  <c r="AA147" i="1"/>
  <c r="W146" i="1"/>
  <c r="AG143" i="1"/>
  <c r="W143" i="1" s="1"/>
  <c r="X115" i="1"/>
  <c r="AI98" i="1"/>
  <c r="X189" i="1"/>
  <c r="T169" i="1"/>
  <c r="U169" i="1" s="1"/>
  <c r="S169" i="1" s="1"/>
  <c r="AA79" i="1"/>
  <c r="T62" i="1"/>
  <c r="U62" i="1" s="1"/>
  <c r="S62" i="1" s="1"/>
  <c r="AA60" i="1"/>
  <c r="AA55" i="1"/>
  <c r="AG51" i="1"/>
  <c r="U51" i="1" s="1"/>
  <c r="AA42" i="1"/>
  <c r="W42" i="1" s="1"/>
  <c r="AG37" i="1"/>
  <c r="AA32" i="1"/>
  <c r="W32" i="1" s="1"/>
  <c r="AA30" i="1"/>
  <c r="AG28" i="1"/>
  <c r="U28" i="1" s="1"/>
  <c r="AG17" i="1"/>
  <c r="X17" i="1"/>
  <c r="AI147" i="1"/>
  <c r="W183" i="1"/>
  <c r="AA218" i="1"/>
  <c r="AG217" i="1"/>
  <c r="X217" i="1"/>
  <c r="AG218" i="1"/>
  <c r="AI218" i="1" s="1"/>
  <c r="AA211" i="1"/>
  <c r="AI192" i="1"/>
  <c r="AI131" i="1"/>
  <c r="W115" i="1"/>
  <c r="AI101" i="1"/>
  <c r="W187" i="1"/>
  <c r="W147" i="1"/>
  <c r="AA210" i="1"/>
  <c r="W210" i="1" s="1"/>
  <c r="T209" i="1"/>
  <c r="AA200" i="1"/>
  <c r="W200" i="1" s="1"/>
  <c r="T199" i="1"/>
  <c r="T192" i="1"/>
  <c r="U192" i="1" s="1"/>
  <c r="S192" i="1" s="1"/>
  <c r="T155" i="1"/>
  <c r="U155" i="1" s="1"/>
  <c r="S155" i="1" s="1"/>
  <c r="AA152" i="1"/>
  <c r="T152" i="1"/>
  <c r="AG151" i="1"/>
  <c r="AG148" i="1"/>
  <c r="X148" i="1"/>
  <c r="T143" i="1"/>
  <c r="AA141" i="1"/>
  <c r="AA140" i="1"/>
  <c r="T140" i="1"/>
  <c r="AG139" i="1"/>
  <c r="X135" i="1"/>
  <c r="AG132" i="1"/>
  <c r="X132" i="1"/>
  <c r="T127" i="1"/>
  <c r="U127" i="1" s="1"/>
  <c r="S127" i="1" s="1"/>
  <c r="AA125" i="1"/>
  <c r="AA124" i="1"/>
  <c r="T124" i="1"/>
  <c r="AG123" i="1"/>
  <c r="U123" i="1" s="1"/>
  <c r="S123" i="1" s="1"/>
  <c r="X119" i="1"/>
  <c r="AG116" i="1"/>
  <c r="X116" i="1"/>
  <c r="T111" i="1"/>
  <c r="AA109" i="1"/>
  <c r="AA108" i="1"/>
  <c r="T108" i="1"/>
  <c r="AG107" i="1"/>
  <c r="U107" i="1" s="1"/>
  <c r="S107" i="1" s="1"/>
  <c r="X208" i="1"/>
  <c r="AG102" i="1"/>
  <c r="X102" i="1"/>
  <c r="T97" i="1"/>
  <c r="AA190" i="1"/>
  <c r="AA189" i="1"/>
  <c r="T189" i="1"/>
  <c r="AG96" i="1"/>
  <c r="X96" i="1"/>
  <c r="AG184" i="1"/>
  <c r="X184" i="1"/>
  <c r="AA180" i="1"/>
  <c r="S179" i="1"/>
  <c r="AA178" i="1"/>
  <c r="AA95" i="1"/>
  <c r="T177" i="1"/>
  <c r="AG176" i="1"/>
  <c r="U176" i="1" s="1"/>
  <c r="S176" i="1" s="1"/>
  <c r="X173" i="1"/>
  <c r="T172" i="1"/>
  <c r="U172" i="1" s="1"/>
  <c r="S172" i="1" s="1"/>
  <c r="AA171" i="1"/>
  <c r="AA169" i="1"/>
  <c r="W169" i="1" s="1"/>
  <c r="X166" i="1"/>
  <c r="AG166" i="1"/>
  <c r="AI166" i="1" s="1"/>
  <c r="AA166" i="1"/>
  <c r="W163" i="1"/>
  <c r="U162" i="1"/>
  <c r="S162" i="1" s="1"/>
  <c r="U78" i="1"/>
  <c r="T68" i="1"/>
  <c r="X69" i="1"/>
  <c r="AG68" i="1"/>
  <c r="W157" i="1"/>
  <c r="X151" i="1"/>
  <c r="T147" i="1"/>
  <c r="U147" i="1" s="1"/>
  <c r="S147" i="1" s="1"/>
  <c r="T131" i="1"/>
  <c r="U131" i="1" s="1"/>
  <c r="S131" i="1" s="1"/>
  <c r="W128" i="1"/>
  <c r="X123" i="1"/>
  <c r="AI155" i="1"/>
  <c r="T115" i="1"/>
  <c r="U115" i="1" s="1"/>
  <c r="S115" i="1" s="1"/>
  <c r="U111" i="1"/>
  <c r="S111" i="1" s="1"/>
  <c r="X107" i="1"/>
  <c r="T101" i="1"/>
  <c r="U101" i="1" s="1"/>
  <c r="S101" i="1" s="1"/>
  <c r="W98" i="1"/>
  <c r="U97" i="1"/>
  <c r="S97" i="1" s="1"/>
  <c r="T187" i="1"/>
  <c r="U187" i="1" s="1"/>
  <c r="S187" i="1" s="1"/>
  <c r="T183" i="1"/>
  <c r="U183" i="1" s="1"/>
  <c r="S183" i="1" s="1"/>
  <c r="T180" i="1"/>
  <c r="AI97" i="1"/>
  <c r="AG161" i="1"/>
  <c r="T161" i="1"/>
  <c r="U90" i="1"/>
  <c r="W90" i="1"/>
  <c r="AG87" i="1"/>
  <c r="W87" i="1" s="1"/>
  <c r="X87" i="1"/>
  <c r="U86" i="1"/>
  <c r="T76" i="1"/>
  <c r="X77" i="1"/>
  <c r="AG76" i="1"/>
  <c r="W76" i="1" s="1"/>
  <c r="AA214" i="1"/>
  <c r="T213" i="1"/>
  <c r="X209" i="1"/>
  <c r="AA204" i="1"/>
  <c r="W204" i="1" s="1"/>
  <c r="T203" i="1"/>
  <c r="X199" i="1"/>
  <c r="AA196" i="1"/>
  <c r="W196" i="1" s="1"/>
  <c r="T195" i="1"/>
  <c r="AG152" i="1"/>
  <c r="AA148" i="1"/>
  <c r="W148" i="1" s="1"/>
  <c r="AG140" i="1"/>
  <c r="AA133" i="1"/>
  <c r="AA132" i="1"/>
  <c r="W132" i="1" s="1"/>
  <c r="AG124" i="1"/>
  <c r="U124" i="1" s="1"/>
  <c r="S124" i="1" s="1"/>
  <c r="AA117" i="1"/>
  <c r="AA116" i="1"/>
  <c r="W116" i="1" s="1"/>
  <c r="AG108" i="1"/>
  <c r="AI143" i="1"/>
  <c r="AA103" i="1"/>
  <c r="AA102" i="1"/>
  <c r="W102" i="1" s="1"/>
  <c r="AG189" i="1"/>
  <c r="AI189" i="1" s="1"/>
  <c r="AI127" i="1"/>
  <c r="AA188" i="1"/>
  <c r="W188" i="1" s="1"/>
  <c r="AA186" i="1"/>
  <c r="AA185" i="1"/>
  <c r="W185" i="1" s="1"/>
  <c r="AG180" i="1"/>
  <c r="U180" i="1" s="1"/>
  <c r="AG177" i="1"/>
  <c r="AA94" i="1"/>
  <c r="W94" i="1" s="1"/>
  <c r="T167" i="1"/>
  <c r="X167" i="1"/>
  <c r="AG167" i="1"/>
  <c r="T84" i="1"/>
  <c r="X85" i="1"/>
  <c r="AG84" i="1"/>
  <c r="AI43" i="1"/>
  <c r="U35" i="1"/>
  <c r="S35" i="1" s="1"/>
  <c r="AI35" i="1"/>
  <c r="AI23" i="1"/>
  <c r="W136" i="1"/>
  <c r="U135" i="1"/>
  <c r="S135" i="1" s="1"/>
  <c r="W120" i="1"/>
  <c r="U119" i="1"/>
  <c r="S119" i="1" s="1"/>
  <c r="U208" i="1"/>
  <c r="S208" i="1" s="1"/>
  <c r="U70" i="1"/>
  <c r="W68" i="1"/>
  <c r="U17" i="1"/>
  <c r="AA175" i="1"/>
  <c r="AA174" i="1"/>
  <c r="W174" i="1" s="1"/>
  <c r="AA173" i="1"/>
  <c r="AA161" i="1"/>
  <c r="W161" i="1" s="1"/>
  <c r="X93" i="1"/>
  <c r="AA92" i="1"/>
  <c r="W92" i="1" s="1"/>
  <c r="AA89" i="1"/>
  <c r="W89" i="1" s="1"/>
  <c r="AA87" i="1"/>
  <c r="AA82" i="1"/>
  <c r="X82" i="1"/>
  <c r="AG80" i="1"/>
  <c r="AA74" i="1"/>
  <c r="X74" i="1"/>
  <c r="AG72" i="1"/>
  <c r="AA66" i="1"/>
  <c r="X66" i="1"/>
  <c r="AG64" i="1"/>
  <c r="AA58" i="1"/>
  <c r="X58" i="1"/>
  <c r="AG56" i="1"/>
  <c r="AA51" i="1"/>
  <c r="W51" i="1" s="1"/>
  <c r="AA49" i="1"/>
  <c r="W49" i="1" s="1"/>
  <c r="AA46" i="1"/>
  <c r="X44" i="1"/>
  <c r="AA36" i="1"/>
  <c r="T36" i="1"/>
  <c r="AG33" i="1"/>
  <c r="AA29" i="1"/>
  <c r="AG25" i="1"/>
  <c r="AG24" i="1"/>
  <c r="AI24" i="1" s="1"/>
  <c r="X24" i="1"/>
  <c r="T23" i="1"/>
  <c r="U23" i="1" s="1"/>
  <c r="S23" i="1" s="1"/>
  <c r="AA22" i="1"/>
  <c r="AA21" i="1"/>
  <c r="AA20" i="1"/>
  <c r="T20" i="1"/>
  <c r="AG16" i="1"/>
  <c r="AI16" i="1" s="1"/>
  <c r="T50" i="1"/>
  <c r="U50" i="1" s="1"/>
  <c r="S50" i="1" s="1"/>
  <c r="U47" i="1"/>
  <c r="S47" i="1" s="1"/>
  <c r="T43" i="1"/>
  <c r="U43" i="1" s="1"/>
  <c r="S43" i="1" s="1"/>
  <c r="T15" i="1"/>
  <c r="U15" i="1" s="1"/>
  <c r="S15" i="1" s="1"/>
  <c r="U163" i="1"/>
  <c r="S163" i="1" s="1"/>
  <c r="T93" i="1"/>
  <c r="AA86" i="1"/>
  <c r="X86" i="1"/>
  <c r="AA78" i="1"/>
  <c r="X78" i="1"/>
  <c r="AA70" i="1"/>
  <c r="X70" i="1"/>
  <c r="W64" i="1"/>
  <c r="AA62" i="1"/>
  <c r="X62" i="1"/>
  <c r="AG60" i="1"/>
  <c r="W56" i="1"/>
  <c r="AI54" i="1"/>
  <c r="AG45" i="1"/>
  <c r="W45" i="1" s="1"/>
  <c r="AA44" i="1"/>
  <c r="T44" i="1"/>
  <c r="U44" i="1" s="1"/>
  <c r="S44" i="1" s="1"/>
  <c r="U41" i="1"/>
  <c r="AA41" i="1"/>
  <c r="W41" i="1" s="1"/>
  <c r="AA37" i="1"/>
  <c r="AG36" i="1"/>
  <c r="AI36" i="1" s="1"/>
  <c r="W35" i="1"/>
  <c r="AA34" i="1"/>
  <c r="AA26" i="1"/>
  <c r="AA24" i="1"/>
  <c r="AG21" i="1"/>
  <c r="AG20" i="1"/>
  <c r="AI20" i="1" s="1"/>
  <c r="T19" i="1"/>
  <c r="U19" i="1" s="1"/>
  <c r="S19" i="1" s="1"/>
  <c r="X61" i="1"/>
  <c r="X54" i="1"/>
  <c r="AI47" i="1"/>
  <c r="U39" i="1"/>
  <c r="S39" i="1" s="1"/>
  <c r="U32" i="1"/>
  <c r="AI31" i="1"/>
  <c r="W28" i="1"/>
  <c r="U25" i="1"/>
  <c r="W17" i="1"/>
  <c r="W217" i="1"/>
  <c r="W209" i="1"/>
  <c r="U217" i="1"/>
  <c r="S217" i="1" s="1"/>
  <c r="AI217" i="1"/>
  <c r="U199" i="1"/>
  <c r="S199" i="1" s="1"/>
  <c r="U209" i="1"/>
  <c r="S209" i="1" s="1"/>
  <c r="AI209" i="1"/>
  <c r="W213" i="1"/>
  <c r="W203" i="1"/>
  <c r="U213" i="1"/>
  <c r="S213" i="1" s="1"/>
  <c r="AI213" i="1"/>
  <c r="U203" i="1"/>
  <c r="S203" i="1" s="1"/>
  <c r="U195" i="1"/>
  <c r="S195" i="1" s="1"/>
  <c r="U204" i="1"/>
  <c r="S204" i="1" s="1"/>
  <c r="U200" i="1"/>
  <c r="S200" i="1" s="1"/>
  <c r="U196" i="1"/>
  <c r="S196" i="1" s="1"/>
  <c r="W150" i="1"/>
  <c r="W138" i="1"/>
  <c r="AI169" i="1"/>
  <c r="W122" i="1"/>
  <c r="AI154" i="1"/>
  <c r="AI138" i="1"/>
  <c r="AG219" i="1"/>
  <c r="AG215" i="1"/>
  <c r="W215" i="1" s="1"/>
  <c r="AG211" i="1"/>
  <c r="AG205" i="1"/>
  <c r="W205" i="1" s="1"/>
  <c r="AG201" i="1"/>
  <c r="AI201" i="1" s="1"/>
  <c r="AG197" i="1"/>
  <c r="W197" i="1" s="1"/>
  <c r="AG193" i="1"/>
  <c r="T157" i="1"/>
  <c r="U157" i="1" s="1"/>
  <c r="S157" i="1" s="1"/>
  <c r="X157" i="1"/>
  <c r="W156" i="1"/>
  <c r="AI185" i="1"/>
  <c r="AI173" i="1"/>
  <c r="AI142" i="1"/>
  <c r="X219" i="1"/>
  <c r="AG216" i="1"/>
  <c r="X215" i="1"/>
  <c r="AG212" i="1"/>
  <c r="W212" i="1" s="1"/>
  <c r="X211" i="1"/>
  <c r="AG206" i="1"/>
  <c r="W206" i="1" s="1"/>
  <c r="X205" i="1"/>
  <c r="AG202" i="1"/>
  <c r="W202" i="1" s="1"/>
  <c r="X201" i="1"/>
  <c r="AG198" i="1"/>
  <c r="X197" i="1"/>
  <c r="AI198" i="1"/>
  <c r="AG194" i="1"/>
  <c r="AI194" i="1" s="1"/>
  <c r="X193" i="1"/>
  <c r="AI177" i="1"/>
  <c r="AI161" i="1"/>
  <c r="AI146" i="1"/>
  <c r="AI130" i="1"/>
  <c r="X216" i="1"/>
  <c r="X212" i="1"/>
  <c r="X206" i="1"/>
  <c r="X202" i="1"/>
  <c r="X198" i="1"/>
  <c r="X194" i="1"/>
  <c r="S156" i="1"/>
  <c r="AI191" i="1"/>
  <c r="W154" i="1"/>
  <c r="AI165" i="1"/>
  <c r="AI150" i="1"/>
  <c r="AI134" i="1"/>
  <c r="X154" i="1"/>
  <c r="T154" i="1"/>
  <c r="U154" i="1" s="1"/>
  <c r="S154" i="1" s="1"/>
  <c r="X150" i="1"/>
  <c r="T150" i="1"/>
  <c r="U150" i="1" s="1"/>
  <c r="S150" i="1" s="1"/>
  <c r="X146" i="1"/>
  <c r="T146" i="1"/>
  <c r="U146" i="1" s="1"/>
  <c r="S146" i="1" s="1"/>
  <c r="X142" i="1"/>
  <c r="T142" i="1"/>
  <c r="U142" i="1" s="1"/>
  <c r="S142" i="1" s="1"/>
  <c r="X138" i="1"/>
  <c r="T138" i="1"/>
  <c r="U138" i="1" s="1"/>
  <c r="S138" i="1" s="1"/>
  <c r="X134" i="1"/>
  <c r="T134" i="1"/>
  <c r="U134" i="1" s="1"/>
  <c r="S134" i="1" s="1"/>
  <c r="X130" i="1"/>
  <c r="T130" i="1"/>
  <c r="U130" i="1" s="1"/>
  <c r="S130" i="1" s="1"/>
  <c r="X126" i="1"/>
  <c r="T126" i="1"/>
  <c r="U126" i="1" s="1"/>
  <c r="S126" i="1" s="1"/>
  <c r="X122" i="1"/>
  <c r="T122" i="1"/>
  <c r="U122" i="1" s="1"/>
  <c r="S122" i="1" s="1"/>
  <c r="X118" i="1"/>
  <c r="T118" i="1"/>
  <c r="U118" i="1" s="1"/>
  <c r="S118" i="1" s="1"/>
  <c r="X114" i="1"/>
  <c r="T114" i="1"/>
  <c r="U114" i="1" s="1"/>
  <c r="S114" i="1" s="1"/>
  <c r="X110" i="1"/>
  <c r="T110" i="1"/>
  <c r="U110" i="1" s="1"/>
  <c r="S110" i="1" s="1"/>
  <c r="X106" i="1"/>
  <c r="T106" i="1"/>
  <c r="U106" i="1" s="1"/>
  <c r="S106" i="1" s="1"/>
  <c r="X207" i="1"/>
  <c r="T207" i="1"/>
  <c r="U207" i="1" s="1"/>
  <c r="S207" i="1" s="1"/>
  <c r="X100" i="1"/>
  <c r="T100" i="1"/>
  <c r="U100" i="1" s="1"/>
  <c r="S100" i="1" s="1"/>
  <c r="X191" i="1"/>
  <c r="T191" i="1"/>
  <c r="U191" i="1" s="1"/>
  <c r="S191" i="1" s="1"/>
  <c r="AI122" i="1"/>
  <c r="AA181" i="1"/>
  <c r="T95" i="1"/>
  <c r="X95" i="1"/>
  <c r="AG175" i="1"/>
  <c r="T175" i="1"/>
  <c r="X175" i="1"/>
  <c r="AG171" i="1"/>
  <c r="X172" i="1"/>
  <c r="T171" i="1"/>
  <c r="X171" i="1"/>
  <c r="U152" i="1"/>
  <c r="S152" i="1" s="1"/>
  <c r="U148" i="1"/>
  <c r="S148" i="1" s="1"/>
  <c r="U140" i="1"/>
  <c r="S140" i="1" s="1"/>
  <c r="U136" i="1"/>
  <c r="S136" i="1" s="1"/>
  <c r="U132" i="1"/>
  <c r="S132" i="1" s="1"/>
  <c r="U120" i="1"/>
  <c r="S120" i="1" s="1"/>
  <c r="U116" i="1"/>
  <c r="S116" i="1" s="1"/>
  <c r="U108" i="1"/>
  <c r="S108" i="1" s="1"/>
  <c r="U102" i="1"/>
  <c r="S102" i="1" s="1"/>
  <c r="U98" i="1"/>
  <c r="S98" i="1" s="1"/>
  <c r="U189" i="1"/>
  <c r="S189" i="1" s="1"/>
  <c r="AI126" i="1"/>
  <c r="T181" i="1"/>
  <c r="X181" i="1"/>
  <c r="AG178" i="1"/>
  <c r="AI178" i="1" s="1"/>
  <c r="T178" i="1"/>
  <c r="X178" i="1"/>
  <c r="AI115" i="1"/>
  <c r="AI111" i="1"/>
  <c r="U170" i="1"/>
  <c r="S170" i="1" s="1"/>
  <c r="AI107" i="1"/>
  <c r="U91" i="1"/>
  <c r="AG153" i="1"/>
  <c r="AG149" i="1"/>
  <c r="AG145" i="1"/>
  <c r="W145" i="1" s="1"/>
  <c r="AG141" i="1"/>
  <c r="AG137" i="1"/>
  <c r="W137" i="1" s="1"/>
  <c r="AG133" i="1"/>
  <c r="W133" i="1" s="1"/>
  <c r="AG129" i="1"/>
  <c r="W129" i="1" s="1"/>
  <c r="AG125" i="1"/>
  <c r="AI125" i="1" s="1"/>
  <c r="AG121" i="1"/>
  <c r="AI121" i="1" s="1"/>
  <c r="AG117" i="1"/>
  <c r="AI117" i="1" s="1"/>
  <c r="AG113" i="1"/>
  <c r="AI113" i="1" s="1"/>
  <c r="AG109" i="1"/>
  <c r="AI109" i="1" s="1"/>
  <c r="AG105" i="1"/>
  <c r="AG103" i="1"/>
  <c r="W103" i="1" s="1"/>
  <c r="AG99" i="1"/>
  <c r="W99" i="1" s="1"/>
  <c r="AG190" i="1"/>
  <c r="T185" i="1"/>
  <c r="U185" i="1" s="1"/>
  <c r="S185" i="1" s="1"/>
  <c r="X185" i="1"/>
  <c r="AA184" i="1"/>
  <c r="W184" i="1" s="1"/>
  <c r="U184" i="1"/>
  <c r="S184" i="1" s="1"/>
  <c r="AG182" i="1"/>
  <c r="AI182" i="1" s="1"/>
  <c r="T182" i="1"/>
  <c r="X182" i="1"/>
  <c r="AG181" i="1"/>
  <c r="AI181" i="1" s="1"/>
  <c r="U95" i="1"/>
  <c r="S95" i="1" s="1"/>
  <c r="AI114" i="1"/>
  <c r="U174" i="1"/>
  <c r="S174" i="1" s="1"/>
  <c r="AI106" i="1"/>
  <c r="AG168" i="1"/>
  <c r="W168" i="1" s="1"/>
  <c r="T168" i="1"/>
  <c r="X169" i="1"/>
  <c r="X168" i="1"/>
  <c r="X153" i="1"/>
  <c r="AI187" i="1"/>
  <c r="X149" i="1"/>
  <c r="AI183" i="1"/>
  <c r="X145" i="1"/>
  <c r="AI179" i="1"/>
  <c r="X141" i="1"/>
  <c r="AI175" i="1"/>
  <c r="X137" i="1"/>
  <c r="AI171" i="1"/>
  <c r="X133" i="1"/>
  <c r="AI167" i="1"/>
  <c r="X129" i="1"/>
  <c r="AI163" i="1"/>
  <c r="X125" i="1"/>
  <c r="X121" i="1"/>
  <c r="AI156" i="1"/>
  <c r="X117" i="1"/>
  <c r="AI152" i="1"/>
  <c r="X113" i="1"/>
  <c r="AI148" i="1"/>
  <c r="X109" i="1"/>
  <c r="X105" i="1"/>
  <c r="AI140" i="1"/>
  <c r="X103" i="1"/>
  <c r="AI136" i="1"/>
  <c r="X99" i="1"/>
  <c r="AI132" i="1"/>
  <c r="X190" i="1"/>
  <c r="T188" i="1"/>
  <c r="U188" i="1" s="1"/>
  <c r="S188" i="1" s="1"/>
  <c r="X188" i="1"/>
  <c r="AA96" i="1"/>
  <c r="W96" i="1" s="1"/>
  <c r="U96" i="1"/>
  <c r="S96" i="1" s="1"/>
  <c r="AG186" i="1"/>
  <c r="AI186" i="1" s="1"/>
  <c r="T186" i="1"/>
  <c r="X186" i="1"/>
  <c r="AI123" i="1"/>
  <c r="S180" i="1"/>
  <c r="AI118" i="1"/>
  <c r="X179" i="1"/>
  <c r="W95" i="1"/>
  <c r="W175" i="1"/>
  <c r="W171" i="1"/>
  <c r="AA170" i="1"/>
  <c r="W170" i="1" s="1"/>
  <c r="T94" i="1"/>
  <c r="U94" i="1" s="1"/>
  <c r="S94" i="1" s="1"/>
  <c r="X94" i="1"/>
  <c r="AI99" i="1"/>
  <c r="U161" i="1"/>
  <c r="S161" i="1" s="1"/>
  <c r="AI92" i="1"/>
  <c r="AA91" i="1"/>
  <c r="W91" i="1" s="1"/>
  <c r="AI90" i="1"/>
  <c r="S90" i="1"/>
  <c r="X89" i="1"/>
  <c r="T87" i="1"/>
  <c r="W86" i="1"/>
  <c r="AG83" i="1"/>
  <c r="T83" i="1"/>
  <c r="X83" i="1"/>
  <c r="W82" i="1"/>
  <c r="AG79" i="1"/>
  <c r="T79" i="1"/>
  <c r="X79" i="1"/>
  <c r="W78" i="1"/>
  <c r="AG75" i="1"/>
  <c r="T75" i="1"/>
  <c r="X75" i="1"/>
  <c r="W74" i="1"/>
  <c r="AG71" i="1"/>
  <c r="T71" i="1"/>
  <c r="X71" i="1"/>
  <c r="W70" i="1"/>
  <c r="AG67" i="1"/>
  <c r="T67" i="1"/>
  <c r="X67" i="1"/>
  <c r="W66" i="1"/>
  <c r="AG63" i="1"/>
  <c r="T63" i="1"/>
  <c r="X63" i="1"/>
  <c r="W62" i="1"/>
  <c r="AG59" i="1"/>
  <c r="T59" i="1"/>
  <c r="X59" i="1"/>
  <c r="W58" i="1"/>
  <c r="AG55" i="1"/>
  <c r="T55" i="1"/>
  <c r="X55" i="1"/>
  <c r="AI29" i="1"/>
  <c r="U29" i="1"/>
  <c r="S29" i="1" s="1"/>
  <c r="U166" i="1"/>
  <c r="S166" i="1" s="1"/>
  <c r="U165" i="1"/>
  <c r="S165" i="1" s="1"/>
  <c r="AA159" i="1"/>
  <c r="T92" i="1"/>
  <c r="U92" i="1" s="1"/>
  <c r="S92" i="1" s="1"/>
  <c r="X92" i="1"/>
  <c r="S86" i="1"/>
  <c r="S82" i="1"/>
  <c r="AI82" i="1"/>
  <c r="S78" i="1"/>
  <c r="AI78" i="1"/>
  <c r="AI74" i="1"/>
  <c r="S70" i="1"/>
  <c r="AI70" i="1"/>
  <c r="S66" i="1"/>
  <c r="AI66" i="1"/>
  <c r="AI62" i="1"/>
  <c r="AI58" i="1"/>
  <c r="T53" i="1"/>
  <c r="X53" i="1"/>
  <c r="AG53" i="1"/>
  <c r="W53" i="1" s="1"/>
  <c r="X52" i="1"/>
  <c r="AG52" i="1"/>
  <c r="X43" i="1"/>
  <c r="T42" i="1"/>
  <c r="X42" i="1"/>
  <c r="AG42" i="1"/>
  <c r="T160" i="1"/>
  <c r="T159" i="1"/>
  <c r="S91" i="1"/>
  <c r="AI91" i="1"/>
  <c r="AI49" i="1"/>
  <c r="AI44" i="1"/>
  <c r="AI37" i="1"/>
  <c r="U37" i="1"/>
  <c r="S37" i="1" s="1"/>
  <c r="X27" i="1"/>
  <c r="T26" i="1"/>
  <c r="X26" i="1"/>
  <c r="AG26" i="1"/>
  <c r="W26" i="1" s="1"/>
  <c r="X15" i="1"/>
  <c r="T14" i="1"/>
  <c r="AG14" i="1"/>
  <c r="W14" i="1" s="1"/>
  <c r="X174" i="1"/>
  <c r="AI110" i="1"/>
  <c r="AA167" i="1"/>
  <c r="W167" i="1" s="1"/>
  <c r="U167" i="1"/>
  <c r="S167" i="1" s="1"/>
  <c r="AI102" i="1"/>
  <c r="X165" i="1"/>
  <c r="T164" i="1"/>
  <c r="U164" i="1" s="1"/>
  <c r="S164" i="1" s="1"/>
  <c r="X164" i="1"/>
  <c r="AG160" i="1"/>
  <c r="AG159" i="1"/>
  <c r="AI159" i="1" s="1"/>
  <c r="U93" i="1"/>
  <c r="S93" i="1" s="1"/>
  <c r="X90" i="1"/>
  <c r="T89" i="1"/>
  <c r="U89" i="1" s="1"/>
  <c r="S89" i="1" s="1"/>
  <c r="AI86" i="1"/>
  <c r="W83" i="1"/>
  <c r="W79" i="1"/>
  <c r="W71" i="1"/>
  <c r="W67" i="1"/>
  <c r="W63" i="1"/>
  <c r="W59" i="1"/>
  <c r="W55" i="1"/>
  <c r="T52" i="1"/>
  <c r="AI33" i="1"/>
  <c r="U33" i="1"/>
  <c r="S33" i="1" s="1"/>
  <c r="AI45" i="1"/>
  <c r="AI21" i="1"/>
  <c r="S17" i="1"/>
  <c r="AI17" i="1"/>
  <c r="X88" i="1"/>
  <c r="AG85" i="1"/>
  <c r="W85" i="1" s="1"/>
  <c r="X84" i="1"/>
  <c r="AG81" i="1"/>
  <c r="W81" i="1" s="1"/>
  <c r="X80" i="1"/>
  <c r="AG77" i="1"/>
  <c r="W77" i="1" s="1"/>
  <c r="X76" i="1"/>
  <c r="AG73" i="1"/>
  <c r="W73" i="1" s="1"/>
  <c r="X72" i="1"/>
  <c r="AG69" i="1"/>
  <c r="W69" i="1" s="1"/>
  <c r="X68" i="1"/>
  <c r="AG65" i="1"/>
  <c r="W65" i="1" s="1"/>
  <c r="X64" i="1"/>
  <c r="AG61" i="1"/>
  <c r="W61" i="1" s="1"/>
  <c r="X60" i="1"/>
  <c r="AG57" i="1"/>
  <c r="X56" i="1"/>
  <c r="T54" i="1"/>
  <c r="U54" i="1" s="1"/>
  <c r="S54" i="1" s="1"/>
  <c r="AA52" i="1"/>
  <c r="AI51" i="1"/>
  <c r="S51" i="1"/>
  <c r="X50" i="1"/>
  <c r="T49" i="1"/>
  <c r="U49" i="1" s="1"/>
  <c r="S49" i="1" s="1"/>
  <c r="X49" i="1"/>
  <c r="U45" i="1"/>
  <c r="S45" i="1" s="1"/>
  <c r="W44" i="1"/>
  <c r="U40" i="1"/>
  <c r="S40" i="1" s="1"/>
  <c r="AI40" i="1"/>
  <c r="X39" i="1"/>
  <c r="T38" i="1"/>
  <c r="X38" i="1"/>
  <c r="AG38" i="1"/>
  <c r="W38" i="1" s="1"/>
  <c r="W37" i="1"/>
  <c r="X35" i="1"/>
  <c r="T34" i="1"/>
  <c r="X34" i="1"/>
  <c r="AG34" i="1"/>
  <c r="W33" i="1"/>
  <c r="X31" i="1"/>
  <c r="T30" i="1"/>
  <c r="X30" i="1"/>
  <c r="AG30" i="1"/>
  <c r="W30" i="1" s="1"/>
  <c r="W29" i="1"/>
  <c r="AA25" i="1"/>
  <c r="W25" i="1" s="1"/>
  <c r="U21" i="1"/>
  <c r="S21" i="1" s="1"/>
  <c r="U20" i="1"/>
  <c r="S20" i="1" s="1"/>
  <c r="U48" i="1"/>
  <c r="S48" i="1" s="1"/>
  <c r="AI48" i="1"/>
  <c r="X47" i="1"/>
  <c r="T46" i="1"/>
  <c r="X46" i="1"/>
  <c r="AG46" i="1"/>
  <c r="W46" i="1" s="1"/>
  <c r="S41" i="1"/>
  <c r="AI41" i="1"/>
  <c r="S25" i="1"/>
  <c r="AI25" i="1"/>
  <c r="X23" i="1"/>
  <c r="T22" i="1"/>
  <c r="X22" i="1"/>
  <c r="AG22" i="1"/>
  <c r="X19" i="1"/>
  <c r="T18" i="1"/>
  <c r="X18" i="1"/>
  <c r="AG18" i="1"/>
  <c r="W18" i="1" s="1"/>
  <c r="U16" i="1"/>
  <c r="S16" i="1" s="1"/>
  <c r="X45" i="1"/>
  <c r="X41" i="1"/>
  <c r="X37" i="1"/>
  <c r="X33" i="1"/>
  <c r="AI32" i="1"/>
  <c r="S32" i="1"/>
  <c r="X29" i="1"/>
  <c r="X25" i="1"/>
  <c r="X21" i="1"/>
  <c r="Y10" i="3"/>
  <c r="Y26" i="3"/>
  <c r="Y7" i="3"/>
  <c r="AD12" i="3"/>
  <c r="AD22" i="3"/>
  <c r="AD16" i="3"/>
  <c r="Y27" i="3"/>
  <c r="AE28" i="3"/>
  <c r="AC19" i="3"/>
  <c r="AE27" i="3"/>
  <c r="AC24" i="3"/>
  <c r="AE22" i="3"/>
  <c r="AC25" i="3"/>
  <c r="AE15" i="3"/>
  <c r="AC16" i="3"/>
  <c r="AE20" i="3"/>
  <c r="AC12" i="3"/>
  <c r="AD10" i="3"/>
  <c r="AE10" i="3"/>
  <c r="T28" i="3"/>
  <c r="AD9" i="3"/>
  <c r="T27" i="3"/>
  <c r="AD23" i="3"/>
  <c r="T22" i="3"/>
  <c r="T13" i="3"/>
  <c r="AD7" i="3"/>
  <c r="T20" i="3"/>
  <c r="Y28" i="3"/>
  <c r="Y22" i="3"/>
  <c r="Y13" i="3"/>
  <c r="AE14" i="3"/>
  <c r="T14" i="3"/>
  <c r="AE18" i="3"/>
  <c r="T18" i="3"/>
  <c r="AE26" i="3"/>
  <c r="T26" i="3"/>
  <c r="AE21" i="3"/>
  <c r="T21" i="3"/>
  <c r="AD14" i="3"/>
  <c r="AE19" i="3"/>
  <c r="T19" i="3"/>
  <c r="AD26" i="3"/>
  <c r="AE24" i="3"/>
  <c r="T24" i="3"/>
  <c r="AD21" i="3"/>
  <c r="T25" i="3"/>
  <c r="AD13" i="3"/>
  <c r="AE16" i="3"/>
  <c r="T16" i="3"/>
  <c r="AD18" i="3"/>
  <c r="AE12" i="3"/>
  <c r="T12" i="3"/>
  <c r="AE13" i="3"/>
  <c r="AE9" i="3"/>
  <c r="AE23" i="3"/>
  <c r="AE7" i="3"/>
  <c r="AE8" i="3"/>
  <c r="W57" i="1" l="1"/>
  <c r="AI87" i="1"/>
  <c r="U112" i="1"/>
  <c r="S112" i="1" s="1"/>
  <c r="U128" i="1"/>
  <c r="S128" i="1" s="1"/>
  <c r="U144" i="1"/>
  <c r="S144" i="1" s="1"/>
  <c r="AI210" i="1"/>
  <c r="U218" i="1"/>
  <c r="S218" i="1" s="1"/>
  <c r="U27" i="1"/>
  <c r="S27" i="1" s="1"/>
  <c r="W173" i="1"/>
  <c r="W104" i="1"/>
  <c r="U177" i="1"/>
  <c r="S177" i="1" s="1"/>
  <c r="W144" i="1"/>
  <c r="S28" i="1"/>
  <c r="U24" i="1"/>
  <c r="S24" i="1" s="1"/>
  <c r="AI103" i="1"/>
  <c r="U87" i="1"/>
  <c r="S87" i="1" s="1"/>
  <c r="U104" i="1"/>
  <c r="S104" i="1" s="1"/>
  <c r="AI28" i="1"/>
  <c r="W141" i="1"/>
  <c r="AI214" i="1"/>
  <c r="W214" i="1"/>
  <c r="U143" i="1"/>
  <c r="S143" i="1" s="1"/>
  <c r="W218" i="1"/>
  <c r="U88" i="1"/>
  <c r="S88" i="1" s="1"/>
  <c r="AI88" i="1"/>
  <c r="W52" i="1"/>
  <c r="W152" i="1"/>
  <c r="W176" i="1"/>
  <c r="W24" i="1"/>
  <c r="U36" i="1"/>
  <c r="S36" i="1" s="1"/>
  <c r="W20" i="1"/>
  <c r="W27" i="1"/>
  <c r="U158" i="1"/>
  <c r="S158" i="1" s="1"/>
  <c r="AI158" i="1"/>
  <c r="AI202" i="1"/>
  <c r="AI197" i="1"/>
  <c r="W36" i="1"/>
  <c r="U64" i="1"/>
  <c r="S64" i="1" s="1"/>
  <c r="AI64" i="1"/>
  <c r="U68" i="1"/>
  <c r="S68" i="1" s="1"/>
  <c r="AI68" i="1"/>
  <c r="W166" i="1"/>
  <c r="W180" i="1"/>
  <c r="U139" i="1"/>
  <c r="S139" i="1" s="1"/>
  <c r="AI139" i="1"/>
  <c r="W193" i="1"/>
  <c r="AI193" i="1"/>
  <c r="U56" i="1"/>
  <c r="S56" i="1" s="1"/>
  <c r="AI56" i="1"/>
  <c r="W177" i="1"/>
  <c r="W139" i="1"/>
  <c r="W159" i="1"/>
  <c r="AI205" i="1"/>
  <c r="U60" i="1"/>
  <c r="S60" i="1" s="1"/>
  <c r="AI60" i="1"/>
  <c r="U80" i="1"/>
  <c r="S80" i="1" s="1"/>
  <c r="AI80" i="1"/>
  <c r="W60" i="1"/>
  <c r="U84" i="1"/>
  <c r="S84" i="1" s="1"/>
  <c r="AI84" i="1"/>
  <c r="W80" i="1"/>
  <c r="W189" i="1"/>
  <c r="W108" i="1"/>
  <c r="W124" i="1"/>
  <c r="W140" i="1"/>
  <c r="W123" i="1"/>
  <c r="W190" i="1"/>
  <c r="AI190" i="1"/>
  <c r="AI206" i="1"/>
  <c r="W21" i="1"/>
  <c r="U72" i="1"/>
  <c r="S72" i="1" s="1"/>
  <c r="AI72" i="1"/>
  <c r="U76" i="1"/>
  <c r="S76" i="1" s="1"/>
  <c r="AI76" i="1"/>
  <c r="W84" i="1"/>
  <c r="W16" i="1"/>
  <c r="W72" i="1"/>
  <c r="U151" i="1"/>
  <c r="S151" i="1" s="1"/>
  <c r="AI151" i="1"/>
  <c r="W107" i="1"/>
  <c r="W151" i="1"/>
  <c r="AI18" i="1"/>
  <c r="U18" i="1"/>
  <c r="S18" i="1" s="1"/>
  <c r="AI22" i="1"/>
  <c r="U22" i="1"/>
  <c r="S22" i="1" s="1"/>
  <c r="AI34" i="1"/>
  <c r="U34" i="1"/>
  <c r="S34" i="1" s="1"/>
  <c r="AI42" i="1"/>
  <c r="U42" i="1"/>
  <c r="S42" i="1" s="1"/>
  <c r="AI38" i="1"/>
  <c r="U38" i="1"/>
  <c r="S38" i="1" s="1"/>
  <c r="AI61" i="1"/>
  <c r="U61" i="1"/>
  <c r="S61" i="1" s="1"/>
  <c r="AI69" i="1"/>
  <c r="U69" i="1"/>
  <c r="S69" i="1" s="1"/>
  <c r="AI77" i="1"/>
  <c r="U77" i="1"/>
  <c r="S77" i="1" s="1"/>
  <c r="AI85" i="1"/>
  <c r="U85" i="1"/>
  <c r="S85" i="1" s="1"/>
  <c r="W34" i="1"/>
  <c r="AI95" i="1"/>
  <c r="U159" i="1"/>
  <c r="S159" i="1" s="1"/>
  <c r="AI52" i="1"/>
  <c r="U52" i="1"/>
  <c r="S52" i="1" s="1"/>
  <c r="U55" i="1"/>
  <c r="S55" i="1" s="1"/>
  <c r="AI55" i="1"/>
  <c r="U59" i="1"/>
  <c r="S59" i="1" s="1"/>
  <c r="AI59" i="1"/>
  <c r="U63" i="1"/>
  <c r="S63" i="1" s="1"/>
  <c r="AI63" i="1"/>
  <c r="U67" i="1"/>
  <c r="S67" i="1" s="1"/>
  <c r="AI67" i="1"/>
  <c r="U71" i="1"/>
  <c r="S71" i="1" s="1"/>
  <c r="AI71" i="1"/>
  <c r="U75" i="1"/>
  <c r="S75" i="1" s="1"/>
  <c r="AI75" i="1"/>
  <c r="U79" i="1"/>
  <c r="S79" i="1" s="1"/>
  <c r="AI79" i="1"/>
  <c r="U83" i="1"/>
  <c r="S83" i="1" s="1"/>
  <c r="AI83" i="1"/>
  <c r="U103" i="1"/>
  <c r="S103" i="1"/>
  <c r="AI137" i="1"/>
  <c r="U117" i="1"/>
  <c r="S117" i="1" s="1"/>
  <c r="AI153" i="1"/>
  <c r="U133" i="1"/>
  <c r="S133" i="1" s="1"/>
  <c r="AI168" i="1"/>
  <c r="U149" i="1"/>
  <c r="S149" i="1" s="1"/>
  <c r="AI184" i="1"/>
  <c r="U171" i="1"/>
  <c r="S171" i="1" s="1"/>
  <c r="AI108" i="1"/>
  <c r="W117" i="1"/>
  <c r="U198" i="1"/>
  <c r="S198" i="1" s="1"/>
  <c r="AI200" i="1"/>
  <c r="U216" i="1"/>
  <c r="S216" i="1" s="1"/>
  <c r="AI216" i="1"/>
  <c r="AI203" i="1"/>
  <c r="U201" i="1"/>
  <c r="S201" i="1" s="1"/>
  <c r="AI219" i="1"/>
  <c r="U219" i="1"/>
  <c r="S219" i="1" s="1"/>
  <c r="W22" i="1"/>
  <c r="U182" i="1"/>
  <c r="S182" i="1" s="1"/>
  <c r="AI120" i="1"/>
  <c r="U105" i="1"/>
  <c r="S105" i="1" s="1"/>
  <c r="AI141" i="1"/>
  <c r="U121" i="1"/>
  <c r="S121" i="1" s="1"/>
  <c r="AI157" i="1"/>
  <c r="U137" i="1"/>
  <c r="S137" i="1"/>
  <c r="AI172" i="1"/>
  <c r="U153" i="1"/>
  <c r="S153" i="1" s="1"/>
  <c r="AI188" i="1"/>
  <c r="U194" i="1"/>
  <c r="S194" i="1" s="1"/>
  <c r="AI196" i="1"/>
  <c r="U212" i="1"/>
  <c r="S212" i="1" s="1"/>
  <c r="AI212" i="1"/>
  <c r="AI207" i="1"/>
  <c r="U205" i="1"/>
  <c r="S205" i="1" s="1"/>
  <c r="W105" i="1"/>
  <c r="W198" i="1"/>
  <c r="W216" i="1"/>
  <c r="W194" i="1"/>
  <c r="AI30" i="1"/>
  <c r="U30" i="1"/>
  <c r="S30" i="1" s="1"/>
  <c r="AI57" i="1"/>
  <c r="U57" i="1"/>
  <c r="S57" i="1" s="1"/>
  <c r="AI65" i="1"/>
  <c r="U65" i="1"/>
  <c r="S65" i="1" s="1"/>
  <c r="AI73" i="1"/>
  <c r="U73" i="1"/>
  <c r="S73" i="1" s="1"/>
  <c r="AI81" i="1"/>
  <c r="U81" i="1"/>
  <c r="S81" i="1" s="1"/>
  <c r="AI53" i="1"/>
  <c r="U53" i="1"/>
  <c r="U186" i="1"/>
  <c r="S186" i="1" s="1"/>
  <c r="AI124" i="1"/>
  <c r="AI119" i="1"/>
  <c r="U181" i="1"/>
  <c r="S181" i="1" s="1"/>
  <c r="U190" i="1"/>
  <c r="S190" i="1" s="1"/>
  <c r="AI129" i="1"/>
  <c r="U109" i="1"/>
  <c r="S109" i="1" s="1"/>
  <c r="AI145" i="1"/>
  <c r="U125" i="1"/>
  <c r="S125" i="1" s="1"/>
  <c r="AI160" i="1"/>
  <c r="U141" i="1"/>
  <c r="S141" i="1" s="1"/>
  <c r="AI176" i="1"/>
  <c r="W181" i="1"/>
  <c r="W186" i="1"/>
  <c r="W182" i="1"/>
  <c r="W153" i="1"/>
  <c r="U206" i="1"/>
  <c r="S206" i="1" s="1"/>
  <c r="AI208" i="1"/>
  <c r="W109" i="1"/>
  <c r="AI195" i="1"/>
  <c r="U193" i="1"/>
  <c r="S193" i="1" s="1"/>
  <c r="AI211" i="1"/>
  <c r="U211" i="1"/>
  <c r="S211" i="1" s="1"/>
  <c r="W121" i="1"/>
  <c r="U160" i="1"/>
  <c r="S160" i="1" s="1"/>
  <c r="AI96" i="1"/>
  <c r="AI46" i="1"/>
  <c r="U46" i="1"/>
  <c r="S46" i="1" s="1"/>
  <c r="AI14" i="1"/>
  <c r="U14" i="1"/>
  <c r="S14" i="1" s="1"/>
  <c r="AI26" i="1"/>
  <c r="U26" i="1"/>
  <c r="S26" i="1" s="1"/>
  <c r="U168" i="1"/>
  <c r="S168" i="1" s="1"/>
  <c r="AI105" i="1"/>
  <c r="U99" i="1"/>
  <c r="S99" i="1" s="1"/>
  <c r="AI133" i="1"/>
  <c r="U113" i="1"/>
  <c r="S113" i="1" s="1"/>
  <c r="AI149" i="1"/>
  <c r="U129" i="1"/>
  <c r="S129" i="1" s="1"/>
  <c r="AI164" i="1"/>
  <c r="U145" i="1"/>
  <c r="S145" i="1" s="1"/>
  <c r="AI180" i="1"/>
  <c r="W160" i="1"/>
  <c r="U178" i="1"/>
  <c r="S178" i="1" s="1"/>
  <c r="AI116" i="1"/>
  <c r="U175" i="1"/>
  <c r="S175" i="1" s="1"/>
  <c r="AI112" i="1"/>
  <c r="W113" i="1"/>
  <c r="U202" i="1"/>
  <c r="S202" i="1" s="1"/>
  <c r="AI204" i="1"/>
  <c r="W178" i="1"/>
  <c r="W125" i="1"/>
  <c r="AI199" i="1"/>
  <c r="U197" i="1"/>
  <c r="S197" i="1" s="1"/>
  <c r="AI215" i="1"/>
  <c r="U215" i="1"/>
  <c r="S215" i="1" s="1"/>
  <c r="W149" i="1"/>
  <c r="W201" i="1"/>
  <c r="W211" i="1"/>
  <c r="W219" i="1"/>
  <c r="K13" i="1"/>
  <c r="L13" i="1"/>
  <c r="M13" i="1"/>
  <c r="P13" i="1" s="1"/>
  <c r="V13" i="1"/>
  <c r="S17" i="3" s="1"/>
  <c r="Y13" i="1"/>
  <c r="Z13" i="1"/>
  <c r="AB13" i="1"/>
  <c r="AC13" i="1"/>
  <c r="AD13" i="1"/>
  <c r="AE13" i="1"/>
  <c r="R17" i="3" s="1"/>
  <c r="AF13" i="1"/>
  <c r="AM13" i="1"/>
  <c r="AN13" i="1"/>
  <c r="M17" i="3"/>
  <c r="U17" i="3"/>
  <c r="V17" i="3"/>
  <c r="W17" i="3"/>
  <c r="X17" i="3"/>
  <c r="AA13" i="1" l="1"/>
  <c r="X13" i="1"/>
  <c r="X14" i="1"/>
  <c r="T17" i="3"/>
  <c r="AD25" i="3"/>
  <c r="AE25" i="3"/>
  <c r="AC17" i="3"/>
  <c r="AG13" i="1"/>
  <c r="AI13" i="1" s="1"/>
  <c r="T13" i="1"/>
  <c r="Y17" i="3"/>
  <c r="U13" i="1" l="1"/>
  <c r="S13" i="1" s="1"/>
  <c r="W13" i="1"/>
  <c r="AE17" i="3"/>
  <c r="AD17" i="3"/>
  <c r="M23" i="5" l="1"/>
  <c r="M28" i="5" l="1"/>
  <c r="B31" i="9" l="1"/>
  <c r="B32" i="9"/>
  <c r="C32" i="9" l="1"/>
  <c r="B3" i="6" l="1"/>
  <c r="I3" i="6" s="1"/>
  <c r="G3" i="6" l="1"/>
  <c r="J3" i="6"/>
  <c r="F3" i="6"/>
  <c r="B4" i="6" l="1"/>
  <c r="I4" i="6" s="1"/>
  <c r="G4" i="6" l="1"/>
  <c r="J4" i="6"/>
  <c r="F4" i="6"/>
  <c r="H4" i="6"/>
  <c r="B5" i="6"/>
  <c r="I5" i="6" s="1"/>
  <c r="G5" i="6" l="1"/>
  <c r="H5" i="6"/>
  <c r="J5" i="6"/>
  <c r="F5" i="6"/>
  <c r="B6" i="6"/>
  <c r="I6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N8" i="3" s="1"/>
  <c r="G56" i="4"/>
  <c r="G57" i="4"/>
  <c r="N12" i="3" s="1"/>
  <c r="G58" i="4"/>
  <c r="G59" i="4"/>
  <c r="G60" i="4"/>
  <c r="G61" i="4"/>
  <c r="N18" i="3" s="1"/>
  <c r="G62" i="4"/>
  <c r="G63" i="4"/>
  <c r="G64" i="4"/>
  <c r="G65" i="4"/>
  <c r="G66" i="4"/>
  <c r="G67" i="4"/>
  <c r="G68" i="4"/>
  <c r="G69" i="4"/>
  <c r="N20" i="3" s="1"/>
  <c r="G70" i="4"/>
  <c r="G71" i="4"/>
  <c r="N7" i="3" s="1"/>
  <c r="G72" i="4"/>
  <c r="G73" i="4"/>
  <c r="G74" i="4"/>
  <c r="G75" i="4"/>
  <c r="N15" i="3" s="1"/>
  <c r="G76" i="4"/>
  <c r="G77" i="4"/>
  <c r="N13" i="3" s="1"/>
  <c r="G78" i="4"/>
  <c r="G79" i="4"/>
  <c r="N25" i="3" s="1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N17" i="3" s="1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9" i="3" s="1"/>
  <c r="G114" i="4"/>
  <c r="N19" i="3" s="1"/>
  <c r="G115" i="4"/>
  <c r="G116" i="4"/>
  <c r="G117" i="4"/>
  <c r="G118" i="4"/>
  <c r="G119" i="4"/>
  <c r="G120" i="4"/>
  <c r="G121" i="4"/>
  <c r="G122" i="4"/>
  <c r="G123" i="4"/>
  <c r="G124" i="4"/>
  <c r="N14" i="3" s="1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N10" i="3" s="1"/>
  <c r="G146" i="4"/>
  <c r="G147" i="4"/>
  <c r="G148" i="4"/>
  <c r="N28" i="3" s="1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6" i="3" l="1"/>
  <c r="H3" i="6"/>
  <c r="N26" i="3"/>
  <c r="N27" i="3"/>
  <c r="N21" i="3"/>
  <c r="N22" i="3"/>
  <c r="N23" i="3"/>
  <c r="N24" i="3"/>
  <c r="B7" i="6"/>
  <c r="I7" i="6" s="1"/>
  <c r="G6" i="6"/>
  <c r="F6" i="6"/>
  <c r="J6" i="6"/>
  <c r="H6" i="6"/>
  <c r="F7" i="6" l="1"/>
  <c r="J7" i="6"/>
  <c r="G7" i="6"/>
  <c r="H7" i="6"/>
  <c r="B8" i="6"/>
  <c r="I8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8" i="6" l="1"/>
  <c r="J8" i="6"/>
  <c r="F8" i="6"/>
  <c r="H8" i="6"/>
  <c r="B9" i="6"/>
  <c r="I9" i="6" s="1"/>
  <c r="G9" i="6" l="1"/>
  <c r="H9" i="6"/>
  <c r="F9" i="6"/>
  <c r="J9" i="6"/>
  <c r="B10" i="6"/>
  <c r="I10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1" i="6" l="1"/>
  <c r="I11" i="6" s="1"/>
  <c r="G10" i="6"/>
  <c r="F10" i="6"/>
  <c r="J10" i="6"/>
  <c r="H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2" i="6" l="1"/>
  <c r="I12" i="6" s="1"/>
  <c r="F11" i="6"/>
  <c r="J11" i="6"/>
  <c r="G11" i="6"/>
  <c r="H11" i="6"/>
  <c r="M30" i="5"/>
  <c r="M29" i="5"/>
  <c r="M27" i="5"/>
  <c r="G12" i="6" l="1"/>
  <c r="J12" i="6"/>
  <c r="F12" i="6"/>
  <c r="H12" i="6"/>
  <c r="B13" i="6"/>
  <c r="I13" i="6" s="1"/>
  <c r="M26" i="5"/>
  <c r="AH13" i="1" l="1"/>
  <c r="G13" i="6"/>
  <c r="H13" i="6"/>
  <c r="F13" i="6"/>
  <c r="J13" i="6"/>
  <c r="B14" i="6"/>
  <c r="I14" i="6" s="1"/>
  <c r="J7" i="1"/>
  <c r="B15" i="6" l="1"/>
  <c r="I15" i="6" s="1"/>
  <c r="G14" i="6"/>
  <c r="F14" i="6"/>
  <c r="J14" i="6"/>
  <c r="H14" i="6"/>
  <c r="X6" i="1"/>
  <c r="W6" i="1"/>
  <c r="V6" i="1"/>
  <c r="S6" i="1"/>
  <c r="R2" i="1"/>
  <c r="I2" i="1"/>
  <c r="O6" i="1"/>
  <c r="N6" i="1"/>
  <c r="M6" i="1"/>
  <c r="J6" i="1"/>
  <c r="F15" i="6" l="1"/>
  <c r="J15" i="6"/>
  <c r="G15" i="6"/>
  <c r="H15" i="6"/>
  <c r="B16" i="6"/>
  <c r="I16" i="6" s="1"/>
  <c r="P3" i="5"/>
  <c r="G16" i="6" l="1"/>
  <c r="J16" i="6"/>
  <c r="F16" i="6"/>
  <c r="H16" i="6"/>
  <c r="B17" i="6"/>
  <c r="I17" i="6" s="1"/>
  <c r="M18" i="5"/>
  <c r="G17" i="6" l="1"/>
  <c r="H17" i="6"/>
  <c r="F17" i="6"/>
  <c r="J17" i="6"/>
  <c r="B18" i="6"/>
  <c r="I18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9" i="6" l="1"/>
  <c r="I19" i="6" s="1"/>
  <c r="G18" i="6"/>
  <c r="F18" i="6"/>
  <c r="J18" i="6"/>
  <c r="H18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0" i="6" l="1"/>
  <c r="I20" i="6" s="1"/>
  <c r="F19" i="6"/>
  <c r="J19" i="6"/>
  <c r="G19" i="6"/>
  <c r="H19" i="6"/>
  <c r="G259" i="4"/>
  <c r="G260" i="4"/>
  <c r="G261" i="4"/>
  <c r="G262" i="4"/>
  <c r="G263" i="4"/>
  <c r="G264" i="4"/>
  <c r="G265" i="4"/>
  <c r="F20" i="6" l="1"/>
  <c r="J20" i="6"/>
  <c r="G20" i="6"/>
  <c r="H20" i="6"/>
  <c r="B21" i="6"/>
  <c r="I21" i="6" s="1"/>
  <c r="M14" i="5"/>
  <c r="M13" i="5"/>
  <c r="M12" i="5"/>
  <c r="M11" i="5"/>
  <c r="M10" i="5"/>
  <c r="M9" i="5"/>
  <c r="M8" i="5"/>
  <c r="M7" i="5"/>
  <c r="M6" i="5"/>
  <c r="M5" i="5"/>
  <c r="M4" i="5"/>
  <c r="M3" i="5"/>
  <c r="F21" i="6" l="1"/>
  <c r="H21" i="6"/>
  <c r="J21" i="6"/>
  <c r="G21" i="6"/>
  <c r="B22" i="6"/>
  <c r="I22" i="6" s="1"/>
  <c r="O2" i="3"/>
  <c r="O3" i="3" s="1"/>
  <c r="F22" i="6" l="1"/>
  <c r="J22" i="6"/>
  <c r="G22" i="6"/>
  <c r="H22" i="6"/>
  <c r="B23" i="6"/>
  <c r="I23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3" i="6" l="1"/>
  <c r="F23" i="6"/>
  <c r="G23" i="6"/>
  <c r="H23" i="6"/>
  <c r="B24" i="6"/>
  <c r="I24" i="6" s="1"/>
  <c r="J8" i="1"/>
  <c r="J4" i="1"/>
  <c r="S8" i="1"/>
  <c r="S4" i="1"/>
  <c r="F24" i="6" l="1"/>
  <c r="J24" i="6"/>
  <c r="H24" i="6"/>
  <c r="G24" i="6"/>
  <c r="B25" i="6"/>
  <c r="I25" i="6" s="1"/>
  <c r="S9" i="1"/>
  <c r="J9" i="1"/>
  <c r="B26" i="6" l="1"/>
  <c r="I26" i="6" s="1"/>
  <c r="F25" i="6"/>
  <c r="G25" i="6"/>
  <c r="J25" i="6"/>
  <c r="H25" i="6"/>
  <c r="S11" i="1"/>
  <c r="A11" i="1"/>
  <c r="B27" i="6" l="1"/>
  <c r="I27" i="6" s="1"/>
  <c r="G26" i="6"/>
  <c r="H26" i="6"/>
  <c r="J26" i="6"/>
  <c r="F26" i="6"/>
  <c r="B1" i="6"/>
  <c r="A5" i="3"/>
  <c r="G27" i="6" l="1"/>
  <c r="F27" i="6"/>
  <c r="J27" i="6"/>
  <c r="H27" i="6"/>
  <c r="B28" i="6"/>
  <c r="I28" i="6" s="1"/>
  <c r="F28" i="6" l="1"/>
  <c r="J28" i="6"/>
  <c r="G28" i="6"/>
  <c r="H28" i="6"/>
  <c r="B29" i="6"/>
  <c r="I29" i="6" s="1"/>
  <c r="B30" i="6" l="1"/>
  <c r="I30" i="6" s="1"/>
  <c r="J29" i="6"/>
  <c r="G29" i="6"/>
  <c r="F29" i="6"/>
  <c r="H29" i="6"/>
  <c r="F30" i="6" l="1"/>
  <c r="G30" i="6"/>
  <c r="H30" i="6"/>
  <c r="J30" i="6"/>
  <c r="B31" i="6"/>
  <c r="I31" i="6" s="1"/>
  <c r="J31" i="6" l="1"/>
  <c r="H31" i="6"/>
  <c r="F31" i="6"/>
  <c r="G31" i="6"/>
  <c r="B32" i="6"/>
  <c r="I32" i="6" s="1"/>
  <c r="B33" i="6" l="1"/>
  <c r="I33" i="6" s="1"/>
  <c r="J32" i="6"/>
  <c r="F32" i="6"/>
  <c r="H32" i="6"/>
  <c r="G32" i="6"/>
  <c r="F33" i="6" l="1"/>
  <c r="G33" i="6"/>
  <c r="H33" i="6"/>
  <c r="J33" i="6"/>
  <c r="B34" i="6"/>
  <c r="I34" i="6" s="1"/>
  <c r="G34" i="6" l="1"/>
  <c r="H34" i="6"/>
  <c r="J34" i="6"/>
  <c r="F34" i="6"/>
  <c r="B35" i="6"/>
  <c r="I35" i="6" s="1"/>
  <c r="F35" i="6" l="1"/>
  <c r="H35" i="6"/>
  <c r="J35" i="6"/>
  <c r="G35" i="6"/>
  <c r="B36" i="6"/>
  <c r="I36" i="6" s="1"/>
  <c r="F36" i="6" l="1"/>
  <c r="J36" i="6"/>
  <c r="G36" i="6"/>
  <c r="H36" i="6"/>
  <c r="B37" i="6"/>
  <c r="I37" i="6" s="1"/>
  <c r="B38" i="6" l="1"/>
  <c r="I38" i="6" s="1"/>
  <c r="F37" i="6"/>
  <c r="H37" i="6"/>
  <c r="J37" i="6"/>
  <c r="G37" i="6"/>
  <c r="F38" i="6" l="1"/>
  <c r="H38" i="6"/>
  <c r="J38" i="6"/>
  <c r="G38" i="6"/>
  <c r="B39" i="6"/>
  <c r="I39" i="6" s="1"/>
  <c r="J39" i="6" l="1"/>
  <c r="H39" i="6"/>
  <c r="F39" i="6"/>
  <c r="G39" i="6"/>
  <c r="B40" i="6"/>
  <c r="I40" i="6" s="1"/>
  <c r="B41" i="6" l="1"/>
  <c r="I41" i="6" s="1"/>
  <c r="F40" i="6"/>
  <c r="G40" i="6"/>
  <c r="H40" i="6"/>
  <c r="J40" i="6"/>
  <c r="B42" i="6" l="1"/>
  <c r="I42" i="6" s="1"/>
  <c r="H41" i="6"/>
  <c r="F41" i="6"/>
  <c r="J41" i="6"/>
  <c r="G41" i="6"/>
  <c r="B43" i="6" l="1"/>
  <c r="I43" i="6" s="1"/>
  <c r="F42" i="6"/>
  <c r="H42" i="6"/>
  <c r="J42" i="6"/>
  <c r="G42" i="6"/>
  <c r="F43" i="6" l="1"/>
  <c r="G43" i="6"/>
  <c r="J43" i="6"/>
  <c r="H43" i="6"/>
  <c r="B44" i="6"/>
  <c r="I44" i="6" s="1"/>
  <c r="F44" i="6" l="1"/>
  <c r="J44" i="6"/>
  <c r="H44" i="6"/>
  <c r="G44" i="6"/>
  <c r="B45" i="6"/>
  <c r="I45" i="6" s="1"/>
  <c r="F45" i="6" l="1"/>
  <c r="H45" i="6"/>
  <c r="G45" i="6"/>
  <c r="J45" i="6"/>
  <c r="B46" i="6"/>
  <c r="I46" i="6" s="1"/>
  <c r="B47" i="6" l="1"/>
  <c r="I47" i="6" s="1"/>
  <c r="G46" i="6"/>
  <c r="F46" i="6"/>
  <c r="H46" i="6"/>
  <c r="J46" i="6"/>
  <c r="J47" i="6" l="1"/>
  <c r="H47" i="6"/>
  <c r="F47" i="6"/>
  <c r="G47" i="6"/>
  <c r="B48" i="6"/>
  <c r="I48" i="6" s="1"/>
  <c r="H48" i="6" l="1"/>
  <c r="J48" i="6"/>
  <c r="F48" i="6"/>
  <c r="G48" i="6"/>
  <c r="B49" i="6"/>
  <c r="I49" i="6" s="1"/>
  <c r="H49" i="6" l="1"/>
  <c r="J49" i="6"/>
  <c r="F49" i="6"/>
  <c r="G49" i="6"/>
  <c r="B50" i="6"/>
  <c r="I50" i="6" s="1"/>
  <c r="H50" i="6" l="1"/>
  <c r="J50" i="6"/>
  <c r="F50" i="6"/>
  <c r="G50" i="6"/>
  <c r="B51" i="6"/>
  <c r="I51" i="6" s="1"/>
  <c r="G51" i="6" l="1"/>
  <c r="F51" i="6"/>
  <c r="H51" i="6"/>
  <c r="J51" i="6"/>
  <c r="B52" i="6"/>
  <c r="I52" i="6" s="1"/>
  <c r="B53" i="6" l="1"/>
  <c r="I53" i="6" s="1"/>
  <c r="J52" i="6"/>
  <c r="G52" i="6"/>
  <c r="F52" i="6"/>
  <c r="H52" i="6"/>
  <c r="B54" i="6" l="1"/>
  <c r="I54" i="6" s="1"/>
  <c r="J53" i="6"/>
  <c r="G53" i="6"/>
  <c r="F53" i="6"/>
  <c r="H53" i="6"/>
  <c r="F54" i="6" l="1"/>
  <c r="H54" i="6"/>
  <c r="J54" i="6"/>
  <c r="G54" i="6"/>
  <c r="B55" i="6"/>
  <c r="I55" i="6" s="1"/>
  <c r="B56" i="6" l="1"/>
  <c r="I56" i="6" s="1"/>
  <c r="F55" i="6"/>
  <c r="G55" i="6"/>
  <c r="J55" i="6"/>
  <c r="H55" i="6"/>
  <c r="G56" i="6" l="1"/>
  <c r="F56" i="6"/>
  <c r="H56" i="6"/>
  <c r="J56" i="6"/>
  <c r="B57" i="6"/>
  <c r="I57" i="6" s="1"/>
  <c r="F57" i="6" l="1"/>
  <c r="J57" i="6"/>
  <c r="G57" i="6"/>
  <c r="H57" i="6"/>
  <c r="B58" i="6"/>
  <c r="I58" i="6" s="1"/>
  <c r="G58" i="6" l="1"/>
  <c r="H58" i="6"/>
  <c r="J58" i="6"/>
  <c r="F58" i="6"/>
  <c r="B59" i="6"/>
  <c r="I59" i="6" s="1"/>
  <c r="B60" i="6" l="1"/>
  <c r="I60" i="6" s="1"/>
  <c r="J59" i="6"/>
  <c r="H59" i="6"/>
  <c r="F59" i="6"/>
  <c r="G59" i="6"/>
  <c r="J60" i="6" l="1"/>
  <c r="G60" i="6"/>
  <c r="F60" i="6"/>
  <c r="H60" i="6"/>
  <c r="B61" i="6"/>
  <c r="I61" i="6" s="1"/>
  <c r="B62" i="6" l="1"/>
  <c r="I62" i="6" s="1"/>
  <c r="G61" i="6"/>
  <c r="J61" i="6"/>
  <c r="F61" i="6"/>
  <c r="H61" i="6"/>
  <c r="F62" i="6" l="1"/>
  <c r="G62" i="6"/>
  <c r="J62" i="6"/>
  <c r="H62" i="6"/>
  <c r="B63" i="6"/>
  <c r="I63" i="6" s="1"/>
  <c r="B64" i="6" l="1"/>
  <c r="I64" i="6" s="1"/>
  <c r="F63" i="6"/>
  <c r="G63" i="6"/>
  <c r="J63" i="6"/>
  <c r="H63" i="6"/>
  <c r="G64" i="6" l="1"/>
  <c r="H64" i="6"/>
  <c r="J64" i="6"/>
  <c r="F64" i="6"/>
  <c r="B65" i="6"/>
  <c r="I65" i="6" s="1"/>
  <c r="B66" i="6" l="1"/>
  <c r="I66" i="6" s="1"/>
  <c r="G65" i="6"/>
  <c r="H65" i="6"/>
  <c r="J65" i="6"/>
  <c r="F65" i="6"/>
  <c r="F66" i="6" l="1"/>
  <c r="G66" i="6"/>
  <c r="H66" i="6"/>
  <c r="J66" i="6"/>
  <c r="B67" i="6"/>
  <c r="I67" i="6" s="1"/>
  <c r="G67" i="6" l="1"/>
  <c r="F67" i="6"/>
  <c r="H67" i="6"/>
  <c r="J67" i="6"/>
  <c r="B68" i="6"/>
  <c r="I68" i="6" s="1"/>
  <c r="B69" i="6" l="1"/>
  <c r="I69" i="6" s="1"/>
  <c r="J68" i="6"/>
  <c r="G68" i="6"/>
  <c r="F68" i="6"/>
  <c r="H68" i="6"/>
  <c r="B70" i="6" l="1"/>
  <c r="I70" i="6" s="1"/>
  <c r="J69" i="6"/>
  <c r="G69" i="6"/>
  <c r="F69" i="6"/>
  <c r="H69" i="6"/>
  <c r="H70" i="6" l="1"/>
  <c r="F70" i="6"/>
  <c r="G70" i="6"/>
  <c r="J70" i="6"/>
  <c r="B71" i="6"/>
  <c r="I71" i="6" s="1"/>
  <c r="B72" i="6" l="1"/>
  <c r="I72" i="6" s="1"/>
  <c r="F71" i="6"/>
  <c r="G71" i="6"/>
  <c r="J71" i="6"/>
  <c r="H71" i="6"/>
  <c r="B73" i="6" l="1"/>
  <c r="I73" i="6" s="1"/>
  <c r="J72" i="6"/>
  <c r="F72" i="6"/>
  <c r="G72" i="6"/>
  <c r="H72" i="6"/>
  <c r="F73" i="6" l="1"/>
  <c r="J73" i="6"/>
  <c r="G73" i="6"/>
  <c r="H73" i="6"/>
  <c r="B74" i="6"/>
  <c r="I74" i="6" s="1"/>
  <c r="H74" i="6" l="1"/>
  <c r="J74" i="6"/>
  <c r="G74" i="6"/>
  <c r="F74" i="6"/>
  <c r="B75" i="6"/>
  <c r="I75" i="6" s="1"/>
  <c r="B76" i="6" l="1"/>
  <c r="I76" i="6" s="1"/>
  <c r="J75" i="6"/>
  <c r="H75" i="6"/>
  <c r="F75" i="6"/>
  <c r="G75" i="6"/>
  <c r="J76" i="6" l="1"/>
  <c r="G76" i="6"/>
  <c r="F76" i="6"/>
  <c r="H76" i="6"/>
  <c r="B77" i="6"/>
  <c r="I77" i="6" s="1"/>
  <c r="G77" i="6" l="1"/>
  <c r="H77" i="6"/>
  <c r="J77" i="6"/>
  <c r="F77" i="6"/>
  <c r="B78" i="6"/>
  <c r="I78" i="6" s="1"/>
  <c r="G78" i="6" l="1"/>
  <c r="F78" i="6"/>
  <c r="H78" i="6"/>
  <c r="J78" i="6"/>
  <c r="B79" i="6"/>
  <c r="I79" i="6" s="1"/>
  <c r="B80" i="6" l="1"/>
  <c r="I80" i="6" s="1"/>
  <c r="J79" i="6"/>
  <c r="F79" i="6"/>
  <c r="H79" i="6"/>
  <c r="G79" i="6"/>
  <c r="B81" i="6" l="1"/>
  <c r="I81" i="6" s="1"/>
  <c r="J80" i="6"/>
  <c r="F80" i="6"/>
  <c r="G80" i="6"/>
  <c r="H80" i="6"/>
  <c r="H81" i="6" l="1"/>
  <c r="G81" i="6"/>
  <c r="F81" i="6"/>
  <c r="J81" i="6"/>
  <c r="B82" i="6"/>
  <c r="I82" i="6" s="1"/>
  <c r="G82" i="6" l="1"/>
  <c r="H82" i="6"/>
  <c r="J82" i="6"/>
  <c r="F82" i="6"/>
  <c r="B83" i="6"/>
  <c r="I83" i="6" s="1"/>
  <c r="B84" i="6" l="1"/>
  <c r="I84" i="6" s="1"/>
  <c r="J83" i="6"/>
  <c r="F83" i="6"/>
  <c r="H83" i="6"/>
  <c r="G83" i="6"/>
  <c r="B85" i="6" l="1"/>
  <c r="I85" i="6" s="1"/>
  <c r="J84" i="6"/>
  <c r="F84" i="6"/>
  <c r="G84" i="6"/>
  <c r="H84" i="6"/>
  <c r="B86" i="6" l="1"/>
  <c r="I86" i="6" s="1"/>
  <c r="J85" i="6"/>
  <c r="F85" i="6"/>
  <c r="G85" i="6"/>
  <c r="H85" i="6"/>
  <c r="J86" i="6" l="1"/>
  <c r="F86" i="6"/>
  <c r="H86" i="6"/>
  <c r="G86" i="6"/>
  <c r="B87" i="6"/>
  <c r="I87" i="6" s="1"/>
  <c r="F87" i="6" l="1"/>
  <c r="J87" i="6"/>
  <c r="H87" i="6"/>
  <c r="G87" i="6"/>
  <c r="B88" i="6"/>
  <c r="I88" i="6" s="1"/>
  <c r="J88" i="6" l="1"/>
  <c r="G88" i="6"/>
  <c r="F88" i="6"/>
  <c r="H88" i="6"/>
  <c r="B89" i="6"/>
  <c r="I89" i="6" s="1"/>
  <c r="B90" i="6" l="1"/>
  <c r="I90" i="6" s="1"/>
  <c r="F89" i="6"/>
  <c r="G89" i="6"/>
  <c r="H89" i="6"/>
  <c r="J89" i="6"/>
  <c r="F90" i="6" l="1"/>
  <c r="G90" i="6"/>
  <c r="H90" i="6"/>
  <c r="J90" i="6"/>
  <c r="B91" i="6"/>
  <c r="I91" i="6" s="1"/>
  <c r="B92" i="6" l="1"/>
  <c r="I92" i="6" s="1"/>
  <c r="J91" i="6"/>
  <c r="F91" i="6"/>
  <c r="G91" i="6"/>
  <c r="H91" i="6"/>
  <c r="F92" i="6" l="1"/>
  <c r="H92" i="6"/>
  <c r="G92" i="6"/>
  <c r="J92" i="6"/>
  <c r="B93" i="6"/>
  <c r="I93" i="6" s="1"/>
  <c r="B94" i="6" l="1"/>
  <c r="I94" i="6" s="1"/>
  <c r="H93" i="6"/>
  <c r="G93" i="6"/>
  <c r="F93" i="6"/>
  <c r="J93" i="6"/>
  <c r="B95" i="6" l="1"/>
  <c r="I95" i="6" s="1"/>
  <c r="J94" i="6"/>
  <c r="H94" i="6"/>
  <c r="F94" i="6"/>
  <c r="G94" i="6"/>
  <c r="J95" i="6" l="1"/>
  <c r="H95" i="6"/>
  <c r="F95" i="6"/>
  <c r="G95" i="6"/>
  <c r="B96" i="6"/>
  <c r="I96" i="6" s="1"/>
  <c r="J96" i="6" l="1"/>
  <c r="F96" i="6"/>
  <c r="H96" i="6"/>
  <c r="G96" i="6"/>
  <c r="B97" i="6"/>
  <c r="I97" i="6" s="1"/>
  <c r="B98" i="6" l="1"/>
  <c r="I98" i="6" s="1"/>
  <c r="F97" i="6"/>
  <c r="J97" i="6"/>
  <c r="G97" i="6"/>
  <c r="H97" i="6"/>
  <c r="B99" i="6" l="1"/>
  <c r="I99" i="6" s="1"/>
  <c r="F98" i="6"/>
  <c r="G98" i="6"/>
  <c r="H98" i="6"/>
  <c r="J98" i="6"/>
  <c r="B100" i="6" l="1"/>
  <c r="I100" i="6" s="1"/>
  <c r="J99" i="6"/>
  <c r="H99" i="6"/>
  <c r="G99" i="6"/>
  <c r="F99" i="6"/>
  <c r="B101" i="6" l="1"/>
  <c r="I101" i="6" s="1"/>
  <c r="H100" i="6"/>
  <c r="J100" i="6"/>
  <c r="F100" i="6"/>
  <c r="G100" i="6"/>
  <c r="G101" i="6" l="1"/>
  <c r="H101" i="6"/>
  <c r="J101" i="6"/>
  <c r="F101" i="6"/>
  <c r="B102" i="6"/>
  <c r="I102" i="6" s="1"/>
  <c r="B103" i="6" l="1"/>
  <c r="I103" i="6" s="1"/>
  <c r="G102" i="6"/>
  <c r="J102" i="6"/>
  <c r="H102" i="6"/>
  <c r="F102" i="6"/>
  <c r="F103" i="6" l="1"/>
  <c r="H103" i="6"/>
  <c r="J103" i="6"/>
  <c r="G103" i="6"/>
  <c r="B104" i="6"/>
  <c r="I104" i="6" s="1"/>
  <c r="H104" i="6" l="1"/>
  <c r="F104" i="6"/>
  <c r="G104" i="6"/>
  <c r="J104" i="6"/>
  <c r="B105" i="6"/>
  <c r="I105" i="6" s="1"/>
  <c r="H105" i="6" l="1"/>
  <c r="G105" i="6"/>
  <c r="F105" i="6"/>
  <c r="J105" i="6"/>
  <c r="B106" i="6"/>
  <c r="I106" i="6" s="1"/>
  <c r="H106" i="6" l="1"/>
  <c r="J106" i="6"/>
  <c r="G106" i="6"/>
  <c r="F106" i="6"/>
  <c r="B107" i="6"/>
  <c r="I107" i="6" s="1"/>
  <c r="J107" i="6" l="1"/>
  <c r="G107" i="6"/>
  <c r="F107" i="6"/>
  <c r="H107" i="6"/>
  <c r="B108" i="6"/>
  <c r="I108" i="6" s="1"/>
  <c r="J108" i="6" l="1"/>
  <c r="F108" i="6"/>
  <c r="H108" i="6"/>
  <c r="G108" i="6"/>
  <c r="B109" i="6"/>
  <c r="I109" i="6" s="1"/>
  <c r="G109" i="6" l="1"/>
  <c r="H109" i="6"/>
  <c r="F109" i="6"/>
  <c r="J109" i="6"/>
  <c r="B110" i="6"/>
  <c r="I110" i="6" s="1"/>
  <c r="B111" i="6" l="1"/>
  <c r="I111" i="6" s="1"/>
  <c r="J110" i="6"/>
  <c r="G110" i="6"/>
  <c r="H110" i="6"/>
  <c r="F110" i="6"/>
  <c r="J111" i="6" l="1"/>
  <c r="F111" i="6"/>
  <c r="H111" i="6"/>
  <c r="G111" i="6"/>
  <c r="B112" i="6"/>
  <c r="I112" i="6" s="1"/>
  <c r="B113" i="6" l="1"/>
  <c r="I113" i="6" s="1"/>
  <c r="J112" i="6"/>
  <c r="G112" i="6"/>
  <c r="H112" i="6"/>
  <c r="F112" i="6"/>
  <c r="B114" i="6" l="1"/>
  <c r="I114" i="6" s="1"/>
  <c r="F113" i="6"/>
  <c r="H113" i="6"/>
  <c r="G113" i="6"/>
  <c r="J113" i="6"/>
  <c r="B115" i="6" l="1"/>
  <c r="I115" i="6" s="1"/>
  <c r="J114" i="6"/>
  <c r="F114" i="6"/>
  <c r="G114" i="6"/>
  <c r="H114" i="6"/>
  <c r="B116" i="6" l="1"/>
  <c r="I116" i="6" s="1"/>
  <c r="J115" i="6"/>
  <c r="H115" i="6"/>
  <c r="G115" i="6"/>
  <c r="F115" i="6"/>
  <c r="G116" i="6" l="1"/>
  <c r="H116" i="6"/>
  <c r="J116" i="6"/>
  <c r="F116" i="6"/>
  <c r="B117" i="6"/>
  <c r="I117" i="6" s="1"/>
  <c r="B118" i="6" l="1"/>
  <c r="I118" i="6" s="1"/>
  <c r="J117" i="6"/>
  <c r="F117" i="6"/>
  <c r="G117" i="6"/>
  <c r="H117" i="6"/>
  <c r="F118" i="6" l="1"/>
  <c r="G118" i="6"/>
  <c r="H118" i="6"/>
  <c r="J118" i="6"/>
  <c r="B119" i="6"/>
  <c r="I119" i="6" s="1"/>
  <c r="F119" i="6" l="1"/>
  <c r="H119" i="6"/>
  <c r="G119" i="6"/>
  <c r="J119" i="6"/>
  <c r="B120" i="6"/>
  <c r="I120" i="6" s="1"/>
  <c r="J120" i="6" l="1"/>
  <c r="H120" i="6"/>
  <c r="F120" i="6"/>
  <c r="G120" i="6"/>
  <c r="B121" i="6"/>
  <c r="I121" i="6" s="1"/>
  <c r="F121" i="6" l="1"/>
  <c r="H121" i="6"/>
  <c r="G121" i="6"/>
  <c r="J121" i="6"/>
  <c r="B122" i="6"/>
  <c r="I122" i="6" s="1"/>
  <c r="F122" i="6" l="1"/>
  <c r="H122" i="6"/>
  <c r="G122" i="6"/>
  <c r="J122" i="6"/>
  <c r="B123" i="6"/>
  <c r="I123" i="6" s="1"/>
  <c r="J123" i="6" l="1"/>
  <c r="F123" i="6"/>
  <c r="G123" i="6"/>
  <c r="H123" i="6"/>
  <c r="B124" i="6"/>
  <c r="I124" i="6" s="1"/>
  <c r="G124" i="6" l="1"/>
  <c r="H124" i="6"/>
  <c r="J124" i="6"/>
  <c r="F124" i="6"/>
  <c r="B125" i="6"/>
  <c r="I125" i="6" s="1"/>
  <c r="B126" i="6" l="1"/>
  <c r="I126" i="6" s="1"/>
  <c r="H125" i="6"/>
  <c r="G125" i="6"/>
  <c r="J125" i="6"/>
  <c r="F125" i="6"/>
  <c r="B127" i="6" l="1"/>
  <c r="I127" i="6" s="1"/>
  <c r="J126" i="6"/>
  <c r="G126" i="6"/>
  <c r="H126" i="6"/>
  <c r="F126" i="6"/>
  <c r="H127" i="6" l="1"/>
  <c r="F127" i="6"/>
  <c r="G127" i="6"/>
  <c r="J127" i="6"/>
  <c r="B128" i="6"/>
  <c r="I128" i="6" s="1"/>
  <c r="F128" i="6" l="1"/>
  <c r="H128" i="6"/>
  <c r="J128" i="6"/>
  <c r="G128" i="6"/>
  <c r="B129" i="6"/>
  <c r="I129" i="6" s="1"/>
  <c r="F129" i="6" l="1"/>
  <c r="G129" i="6"/>
  <c r="J129" i="6"/>
  <c r="H129" i="6"/>
  <c r="B130" i="6"/>
  <c r="I130" i="6" s="1"/>
  <c r="B131" i="6" l="1"/>
  <c r="I131" i="6" s="1"/>
  <c r="H130" i="6"/>
  <c r="J130" i="6"/>
  <c r="F130" i="6"/>
  <c r="G130" i="6"/>
  <c r="B132" i="6" l="1"/>
  <c r="I132" i="6" s="1"/>
  <c r="J131" i="6"/>
  <c r="H131" i="6"/>
  <c r="G131" i="6"/>
  <c r="F131" i="6"/>
  <c r="B134" i="6" l="1"/>
  <c r="I134" i="6" s="1"/>
  <c r="B133" i="6"/>
  <c r="I133" i="6" s="1"/>
  <c r="F132" i="6"/>
  <c r="G132" i="6"/>
  <c r="H132" i="6"/>
  <c r="J132" i="6"/>
  <c r="G133" i="6" l="1"/>
  <c r="H133" i="6"/>
  <c r="J133" i="6"/>
  <c r="F133" i="6"/>
  <c r="J134" i="6"/>
  <c r="F134" i="6"/>
  <c r="G134" i="6"/>
  <c r="H13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<sst xmlns="http://schemas.openxmlformats.org/spreadsheetml/2006/main" count="2417" uniqueCount="852">
  <si>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</si>
  <si>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</si>
  <si>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</si>
  <si>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</si>
  <si>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</si>
  <si>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</si>
  <si>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</si>
  <si>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</si>
  <si>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</si>
  <si>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</si>
  <si>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</si>
  <si>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</si>
  <si>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</si>
  <si>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</si>
  <si>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</si>
  <si>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</si>
  <si>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</si>
  <si>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</si>
  <si>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</si>
  <si>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</si>
  <si>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</si>
  <si>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</si>
  <si>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</si>
  <si>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</si>
  <si>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</si>
  <si>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</si>
  <si>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</si>
  <si>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</si>
  <si>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</si>
  <si>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</si>
  <si>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</si>
  <si>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</si>
  <si>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</si>
  <si>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</si>
  <si>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</si>
  <si>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</si>
  <si>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</si>
  <si>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</si>
  <si>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</si>
  <si>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</si>
  <si>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</si>
  <si>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</si>
  <si>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</si>
  <si>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</si>
  <si>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</si>
  <si>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</si>
  <si>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</si>
  <si>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</si>
  <si>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</si>
  <si>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</si>
  <si>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</si>
  <si>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</si>
  <si>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</si>
  <si>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</si>
  <si>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</si>
  <si>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</si>
  <si>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</si>
  <si>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</si>
  <si>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</si>
  <si>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</si>
  <si>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</si>
  <si>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</si>
  <si>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</si>
  <si>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</si>
  <si>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</si>
  <si>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</si>
  <si>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</si>
  <si>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</si>
  <si>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</si>
  <si>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</si>
  <si>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</si>
  <si>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</si>
  <si>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</si>
  <si>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</si>
  <si>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</si>
  <si>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</si>
  <si>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</si>
  <si>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</si>
  <si>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</si>
  <si>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</si>
  <si>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</si>
  <si>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</si>
  <si>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</si>
  <si>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</si>
  <si>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</si>
  <si>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</si>
  <si>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</si>
  <si>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</si>
  <si>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</si>
  <si>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</si>
  <si>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</si>
  <si>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</si>
  <si>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</si>
  <si>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</si>
  <si>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</si>
  <si>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</si>
  <si>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</si>
  <si>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</si>
  <si>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</si>
  <si>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</si>
  <si>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</si>
  <si>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</si>
  <si>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</si>
  <si>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</si>
  <si>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</si>
  <si>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</si>
  <si>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</si>
  <si>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</si>
  <si>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</si>
  <si>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</si>
  <si>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</si>
  <si>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</si>
  <si>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</si>
  <si>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</si>
  <si>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</si>
  <si>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</si>
  <si>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</si>
  <si>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</si>
  <si>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</si>
  <si>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</si>
  <si>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</si>
  <si>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</si>
  <si>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</si>
  <si>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</si>
  <si>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</si>
  <si>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</si>
  <si>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</si>
  <si>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</si>
  <si>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</si>
  <si>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</si>
  <si>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</si>
  <si>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</si>
  <si>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</si>
  <si>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</si>
  <si>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</si>
  <si>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</si>
  <si>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</si>
  <si>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</si>
  <si>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</si>
  <si>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</si>
  <si>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</si>
  <si>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</si>
  <si>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</si>
  <si>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</si>
  <si>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</si>
  <si>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</si>
  <si>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</si>
  <si>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</si>
  <si>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</si>
  <si>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</si>
  <si>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</si>
  <si>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</si>
  <si>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</si>
  <si>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</si>
  <si>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</si>
  <si>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</si>
  <si>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</si>
  <si>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</si>
  <si>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</si>
  <si>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</si>
  <si>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</si>
  <si>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</si>
  <si>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</si>
  <si>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</si>
  <si>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</si>
  <si>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</si>
  <si>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</si>
  <si>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</si>
  <si>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</si>
  <si>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</si>
  <si>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</si>
  <si>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</si>
  <si>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</si>
  <si>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</si>
  <si>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</si>
  <si>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</si>
  <si>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</si>
  <si>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</si>
  <si>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</si>
  <si>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</si>
  <si>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</si>
  <si>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</si>
  <si>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</si>
  <si>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</si>
  <si>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</si>
  <si>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</si>
  <si>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</si>
  <si>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</si>
  <si>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</si>
  <si>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</si>
  <si>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</si>
  <si>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</si>
  <si>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</si>
  <si>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</si>
  <si>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</si>
  <si>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</si>
  <si>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</si>
  <si>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</si>
  <si>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</si>
  <si>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</si>
  <si>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</si>
  <si>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</si>
  <si>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</si>
  <si>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</si>
  <si>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</si>
  <si>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204:455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</si>
  <si>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</si>
  <si>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</si>
  <si>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</si>
  <si>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</si>
  <si>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</si>
  <si>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</si>
  <si>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</si>
  <si>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204:139</t>
  </si>
  <si>
    <t>MICHAEL</t>
  </si>
  <si>
    <t>204:232977</t>
  </si>
  <si>
    <t>204:160</t>
  </si>
  <si>
    <t>204:462</t>
  </si>
  <si>
    <t>204:232986</t>
  </si>
  <si>
    <t>NEWELL</t>
  </si>
  <si>
    <t>204:449</t>
  </si>
  <si>
    <t>204:152</t>
  </si>
  <si>
    <t>204:158</t>
  </si>
  <si>
    <t>204:156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</si>
  <si>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</si>
  <si>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</si>
  <si>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</si>
  <si>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</si>
  <si>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</si>
  <si>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204:446</t>
  </si>
  <si>
    <t>PERMANENT SPEED RESTRICTION</t>
  </si>
  <si>
    <t>Speed (6)</t>
  </si>
  <si>
    <t>Y</t>
  </si>
  <si>
    <t>204:469</t>
  </si>
  <si>
    <t>204:232987</t>
  </si>
  <si>
    <t>204:233299</t>
  </si>
  <si>
    <t>204:233293</t>
  </si>
  <si>
    <t>204:232984</t>
  </si>
  <si>
    <t>rtdc.l.rtdc.4026:itc</t>
  </si>
  <si>
    <t>204:138</t>
  </si>
  <si>
    <t>204:233304</t>
  </si>
  <si>
    <t>204:163</t>
  </si>
  <si>
    <t>204:154</t>
  </si>
  <si>
    <t>204:233297</t>
  </si>
  <si>
    <t>204:442</t>
  </si>
  <si>
    <t>204:458</t>
  </si>
  <si>
    <t>rtdc.l.rtdc.4008:itc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</si>
  <si>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</si>
  <si>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</si>
  <si>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</si>
  <si>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</si>
  <si>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</si>
  <si>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</si>
  <si>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</si>
  <si>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</si>
  <si>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DAVID</t>
  </si>
  <si>
    <t>MCREYNOLDS</t>
  </si>
  <si>
    <t>KYLE</t>
  </si>
  <si>
    <t>204:143</t>
  </si>
  <si>
    <t>204:466</t>
  </si>
  <si>
    <t>204:233295</t>
  </si>
  <si>
    <t>204:132</t>
  </si>
  <si>
    <t>204:233302</t>
  </si>
  <si>
    <t>204:232990</t>
  </si>
  <si>
    <t>204:440</t>
  </si>
  <si>
    <t>204:233311</t>
  </si>
  <si>
    <t>rtdc.l.rtdc.4015:itc</t>
  </si>
  <si>
    <t>DAVIS</t>
  </si>
  <si>
    <t>rtdc.l.rtdc.4016:itc</t>
  </si>
  <si>
    <t>rtdc.l.rtdc.4029:itc</t>
  </si>
  <si>
    <t>204:232978</t>
  </si>
  <si>
    <t>204:426</t>
  </si>
  <si>
    <t>204:451</t>
  </si>
  <si>
    <t>204:233308</t>
  </si>
  <si>
    <t>204:457</t>
  </si>
  <si>
    <t>300:23346</t>
  </si>
  <si>
    <t>STORY</t>
  </si>
  <si>
    <t>SAMANTHA</t>
  </si>
  <si>
    <t>204:460</t>
  </si>
  <si>
    <t>204:232996</t>
  </si>
  <si>
    <t>204:233314</t>
  </si>
  <si>
    <t>204:233000</t>
  </si>
  <si>
    <t>204:165</t>
  </si>
  <si>
    <t>204:232993</t>
  </si>
  <si>
    <t>204:161</t>
  </si>
  <si>
    <t>204:232998</t>
  </si>
  <si>
    <t>300:58626</t>
  </si>
  <si>
    <t>rtdc.l.rtdc.4018:itc</t>
  </si>
  <si>
    <t>rtdc.l.rtdc.4039:itc</t>
  </si>
  <si>
    <t>rtdc.l.rtdc.4007:itc</t>
  </si>
  <si>
    <t>rtdc.l.rtdc.4017:itc</t>
  </si>
  <si>
    <t>JOHN</t>
  </si>
  <si>
    <t>BROWN</t>
  </si>
  <si>
    <t>JACOB</t>
  </si>
  <si>
    <t>204:233011</t>
  </si>
  <si>
    <t>204:444</t>
  </si>
  <si>
    <t>204:233332</t>
  </si>
  <si>
    <t>300:23302</t>
  </si>
  <si>
    <t>300:58617</t>
  </si>
  <si>
    <t>300:58944</t>
  </si>
  <si>
    <t>300:58939</t>
  </si>
  <si>
    <t>GEBRETEKLE</t>
  </si>
  <si>
    <t>DAGNEW</t>
  </si>
  <si>
    <t>rtdc.l.rtdc.4025:itc</t>
  </si>
  <si>
    <t>LEVERE</t>
  </si>
  <si>
    <t>CRAIG</t>
  </si>
  <si>
    <t>HELVIE</t>
  </si>
  <si>
    <t>ADAM</t>
  </si>
  <si>
    <t>DELGADO</t>
  </si>
  <si>
    <t>DIANAH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</si>
  <si>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</si>
  <si>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</si>
  <si>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</si>
  <si>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</si>
  <si>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</si>
  <si>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</si>
  <si>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</si>
  <si>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</si>
  <si>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</si>
  <si>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</si>
  <si>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</si>
  <si>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</si>
  <si>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</si>
  <si>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</si>
  <si>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</si>
  <si>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204:233327</t>
  </si>
  <si>
    <t>204:141</t>
  </si>
  <si>
    <t>204:433</t>
  </si>
  <si>
    <t>204:754</t>
  </si>
  <si>
    <t>204:464</t>
  </si>
  <si>
    <t>204:232979</t>
  </si>
  <si>
    <t>204:167</t>
  </si>
  <si>
    <t>204:233019</t>
  </si>
  <si>
    <t>204:233310</t>
  </si>
  <si>
    <t>204:123</t>
  </si>
  <si>
    <t>204:435</t>
  </si>
  <si>
    <t>300:58941</t>
  </si>
  <si>
    <t>204:745</t>
  </si>
  <si>
    <t>204:685</t>
  </si>
  <si>
    <t>843-20</t>
  </si>
  <si>
    <t>224-20</t>
  </si>
  <si>
    <t>228-20</t>
  </si>
  <si>
    <t>230-20</t>
  </si>
  <si>
    <t>237-20</t>
  </si>
  <si>
    <t>PERKINS</t>
  </si>
  <si>
    <t>DARREN</t>
  </si>
  <si>
    <t>WENDY</t>
  </si>
  <si>
    <t>ROBINSON</t>
  </si>
  <si>
    <t>KADDIBA</t>
  </si>
  <si>
    <t>rtdc.l.rtdc.4043:itc</t>
  </si>
  <si>
    <t>rtdc.l.rtdc.4044:itc</t>
  </si>
  <si>
    <t>rtdc.l.rtdc.4002:itc</t>
  </si>
  <si>
    <t>SHOOK</t>
  </si>
  <si>
    <t>STEWART</t>
  </si>
  <si>
    <t>ROMERO</t>
  </si>
  <si>
    <t>CHAD</t>
  </si>
  <si>
    <t>BRUDER</t>
  </si>
  <si>
    <t>RICHARD</t>
  </si>
  <si>
    <t>KILLION</t>
  </si>
  <si>
    <t>LOPES</t>
  </si>
  <si>
    <t>KIMBERLY</t>
  </si>
  <si>
    <t>SMITH</t>
  </si>
  <si>
    <t>WHITED</t>
  </si>
  <si>
    <t>STAMBAUGH</t>
  </si>
  <si>
    <t>305-20</t>
  </si>
  <si>
    <t>841-20</t>
  </si>
  <si>
    <t>223-20</t>
  </si>
  <si>
    <t>840-20</t>
  </si>
  <si>
    <t>222-20</t>
  </si>
  <si>
    <t>307-20</t>
  </si>
  <si>
    <t>225-20</t>
  </si>
  <si>
    <t>227-20</t>
  </si>
  <si>
    <t>842-20</t>
  </si>
  <si>
    <t>226-20</t>
  </si>
  <si>
    <t>229-20</t>
  </si>
  <si>
    <t>845-20</t>
  </si>
  <si>
    <t>231-20</t>
  </si>
  <si>
    <t>233-20</t>
  </si>
  <si>
    <t>844-20</t>
  </si>
  <si>
    <t>235-20</t>
  </si>
  <si>
    <t>847-20</t>
  </si>
  <si>
    <t>232-20</t>
  </si>
  <si>
    <t>908-20</t>
  </si>
  <si>
    <t>234-20</t>
  </si>
  <si>
    <t>236-20</t>
  </si>
  <si>
    <t>239-20</t>
  </si>
  <si>
    <t>241-20</t>
  </si>
  <si>
    <t>238-20</t>
  </si>
  <si>
    <t>243-20</t>
  </si>
  <si>
    <t>240-20</t>
  </si>
  <si>
    <t>242-20</t>
  </si>
  <si>
    <t>245-20</t>
  </si>
  <si>
    <t>309-20</t>
  </si>
  <si>
    <t>244-20</t>
  </si>
  <si>
    <t>311-20</t>
  </si>
  <si>
    <t>313-20</t>
  </si>
  <si>
    <t>302-21</t>
  </si>
  <si>
    <t>SANTIZO</t>
  </si>
  <si>
    <t>D. EDY</t>
  </si>
  <si>
    <t>partly-cloudy-night</t>
  </si>
  <si>
    <t>Mostly Cloudy</t>
  </si>
  <si>
    <t>partly-cloudy-day</t>
  </si>
  <si>
    <t>Partly Cloudy</t>
  </si>
  <si>
    <t>204:741</t>
  </si>
  <si>
    <t>204:232988</t>
  </si>
  <si>
    <t>204:232973</t>
  </si>
  <si>
    <t>204:453</t>
  </si>
  <si>
    <t>204:232965</t>
  </si>
  <si>
    <t>204:233329</t>
  </si>
  <si>
    <t>204:475</t>
  </si>
  <si>
    <t>204:233334</t>
  </si>
  <si>
    <t>204:473</t>
  </si>
  <si>
    <t>204:233291</t>
  </si>
  <si>
    <t>204:174</t>
  </si>
  <si>
    <t>204:233340</t>
  </si>
  <si>
    <t>204:233006</t>
  </si>
  <si>
    <t>204:88</t>
  </si>
  <si>
    <t>204:233349</t>
  </si>
  <si>
    <t>204:130</t>
  </si>
  <si>
    <t>204:471</t>
  </si>
  <si>
    <t>300:24214</t>
  </si>
  <si>
    <t>204:988</t>
  </si>
  <si>
    <t>204:752</t>
  </si>
  <si>
    <t>204:750</t>
  </si>
  <si>
    <t>300:58967</t>
  </si>
  <si>
    <t>300:58634</t>
  </si>
  <si>
    <t>300:58647</t>
  </si>
  <si>
    <t>Cancelled, replaced by 121-20</t>
  </si>
  <si>
    <t>rtdc.l.rtdc.4003:itc</t>
  </si>
  <si>
    <t>101-22</t>
  </si>
  <si>
    <t>137-22</t>
  </si>
  <si>
    <t>139-22</t>
  </si>
  <si>
    <t>136-22</t>
  </si>
  <si>
    <t>rtdc.l.rtdc.4032:itc</t>
  </si>
  <si>
    <t>1808-22</t>
  </si>
  <si>
    <t>144-22</t>
  </si>
  <si>
    <t>151-22</t>
  </si>
  <si>
    <t>148-22</t>
  </si>
  <si>
    <t>146-22</t>
  </si>
  <si>
    <t>50-22</t>
  </si>
  <si>
    <t>52-22</t>
  </si>
  <si>
    <t>56-22</t>
  </si>
  <si>
    <t>179-22</t>
  </si>
  <si>
    <t>172-22</t>
  </si>
  <si>
    <t>187-22</t>
  </si>
  <si>
    <t>58-22</t>
  </si>
  <si>
    <t>198-22</t>
  </si>
  <si>
    <t>245-21</t>
  </si>
  <si>
    <t>309-21</t>
  </si>
  <si>
    <t>244-21</t>
  </si>
  <si>
    <t>311-21</t>
  </si>
  <si>
    <t>246-21</t>
  </si>
  <si>
    <t>313-21</t>
  </si>
  <si>
    <t>315-21</t>
  </si>
  <si>
    <t>302-22</t>
  </si>
  <si>
    <t>OUN</t>
  </si>
  <si>
    <t>ZACK</t>
  </si>
  <si>
    <t>304-22</t>
  </si>
  <si>
    <t>MAELZER</t>
  </si>
  <si>
    <t>KURT</t>
  </si>
  <si>
    <t>103-22</t>
  </si>
  <si>
    <t>306-22</t>
  </si>
  <si>
    <t>102-22</t>
  </si>
  <si>
    <t>308-22</t>
  </si>
  <si>
    <t>105-22</t>
  </si>
  <si>
    <t>310-22</t>
  </si>
  <si>
    <t>107-22</t>
  </si>
  <si>
    <t>104-22</t>
  </si>
  <si>
    <t>109-22</t>
  </si>
  <si>
    <t>111-22</t>
  </si>
  <si>
    <t>106-22</t>
  </si>
  <si>
    <t>113-22</t>
  </si>
  <si>
    <t>108-22</t>
  </si>
  <si>
    <t>115-22</t>
  </si>
  <si>
    <t>rtdc.l.rtdc.4031:itc</t>
  </si>
  <si>
    <t>1901-22</t>
  </si>
  <si>
    <t>YORK</t>
  </si>
  <si>
    <t>EDGAR</t>
  </si>
  <si>
    <t>110-22</t>
  </si>
  <si>
    <t>117-22</t>
  </si>
  <si>
    <t>1800-22</t>
  </si>
  <si>
    <t>rtdc.l.rtdc.4004:itc</t>
  </si>
  <si>
    <t>112-22</t>
  </si>
  <si>
    <t>1801-22</t>
  </si>
  <si>
    <t>119-22</t>
  </si>
  <si>
    <t>114-22</t>
  </si>
  <si>
    <t>121-22</t>
  </si>
  <si>
    <t>116-22</t>
  </si>
  <si>
    <t>123-22</t>
  </si>
  <si>
    <t>118-22</t>
  </si>
  <si>
    <t>125-22</t>
  </si>
  <si>
    <t>1802-22</t>
  </si>
  <si>
    <t>120-22</t>
  </si>
  <si>
    <t>127-22</t>
  </si>
  <si>
    <t>1803-22</t>
  </si>
  <si>
    <t>122-22</t>
  </si>
  <si>
    <t>129-22</t>
  </si>
  <si>
    <t>124-22</t>
  </si>
  <si>
    <t>131-22</t>
  </si>
  <si>
    <t>126-22</t>
  </si>
  <si>
    <t>133-22</t>
  </si>
  <si>
    <t>1804-22</t>
  </si>
  <si>
    <t>128-22</t>
  </si>
  <si>
    <t>135-22</t>
  </si>
  <si>
    <t>1805-22</t>
  </si>
  <si>
    <t>130-22</t>
  </si>
  <si>
    <t>132-22</t>
  </si>
  <si>
    <t>134-22</t>
  </si>
  <si>
    <t>141-22</t>
  </si>
  <si>
    <t>1806-22</t>
  </si>
  <si>
    <t>143-22</t>
  </si>
  <si>
    <t>1807-22</t>
  </si>
  <si>
    <t>138-22</t>
  </si>
  <si>
    <t>145-22</t>
  </si>
  <si>
    <t>140-22</t>
  </si>
  <si>
    <t>147-22</t>
  </si>
  <si>
    <t>142-22</t>
  </si>
  <si>
    <t>149-22</t>
  </si>
  <si>
    <t>1809-22</t>
  </si>
  <si>
    <t>153-22</t>
  </si>
  <si>
    <t>155-22</t>
  </si>
  <si>
    <t>1810-22</t>
  </si>
  <si>
    <t>150-22</t>
  </si>
  <si>
    <t>157-22</t>
  </si>
  <si>
    <t>152-22</t>
  </si>
  <si>
    <t>LEVIN</t>
  </si>
  <si>
    <t>SCOTT</t>
  </si>
  <si>
    <t>159-22</t>
  </si>
  <si>
    <t>1811-22</t>
  </si>
  <si>
    <t>154-22</t>
  </si>
  <si>
    <t>156-22</t>
  </si>
  <si>
    <t>161-22</t>
  </si>
  <si>
    <t>51-22</t>
  </si>
  <si>
    <t>ARVIDSON</t>
  </si>
  <si>
    <t>DANIEL</t>
  </si>
  <si>
    <t>163-22</t>
  </si>
  <si>
    <t>158-22</t>
  </si>
  <si>
    <t>53-22</t>
  </si>
  <si>
    <t>1812-22</t>
  </si>
  <si>
    <t>165-22</t>
  </si>
  <si>
    <t>167-22</t>
  </si>
  <si>
    <t>CRAYTON</t>
  </si>
  <si>
    <t>QUNTRELL</t>
  </si>
  <si>
    <t>160-22</t>
  </si>
  <si>
    <t>1813-22</t>
  </si>
  <si>
    <t>169-22</t>
  </si>
  <si>
    <t>162-22</t>
  </si>
  <si>
    <t>164-22</t>
  </si>
  <si>
    <t>171-22</t>
  </si>
  <si>
    <t>57-22</t>
  </si>
  <si>
    <t>166-22</t>
  </si>
  <si>
    <t>173-22</t>
  </si>
  <si>
    <t>1814-22</t>
  </si>
  <si>
    <t>168-22</t>
  </si>
  <si>
    <t>175-22</t>
  </si>
  <si>
    <t>170-22</t>
  </si>
  <si>
    <t>1815-22</t>
  </si>
  <si>
    <t>177-22</t>
  </si>
  <si>
    <t>174-22</t>
  </si>
  <si>
    <t>1816-22</t>
  </si>
  <si>
    <t>181-22</t>
  </si>
  <si>
    <t>176-22</t>
  </si>
  <si>
    <t>183-22</t>
  </si>
  <si>
    <t>1817-22</t>
  </si>
  <si>
    <t>HOLCOMB</t>
  </si>
  <si>
    <t>KAMDEN</t>
  </si>
  <si>
    <t>178-22</t>
  </si>
  <si>
    <t>185-22</t>
  </si>
  <si>
    <t>180-22</t>
  </si>
  <si>
    <t>182-22</t>
  </si>
  <si>
    <t>184-22</t>
  </si>
  <si>
    <t>1818-22</t>
  </si>
  <si>
    <t>189-22</t>
  </si>
  <si>
    <t>191-22</t>
  </si>
  <si>
    <t>186-22</t>
  </si>
  <si>
    <t>193-22</t>
  </si>
  <si>
    <t>1819-22</t>
  </si>
  <si>
    <t>188-22</t>
  </si>
  <si>
    <t>195-22</t>
  </si>
  <si>
    <t>190-22</t>
  </si>
  <si>
    <t>1820-22</t>
  </si>
  <si>
    <t>197-22</t>
  </si>
  <si>
    <t>192-22</t>
  </si>
  <si>
    <t>199-22</t>
  </si>
  <si>
    <t>194-22</t>
  </si>
  <si>
    <t>201-22</t>
  </si>
  <si>
    <t>1821-22</t>
  </si>
  <si>
    <t>196-22</t>
  </si>
  <si>
    <t>203-22</t>
  </si>
  <si>
    <t>1822-22</t>
  </si>
  <si>
    <t>205-22</t>
  </si>
  <si>
    <t>CHANDLER</t>
  </si>
  <si>
    <t>KELVIN</t>
  </si>
  <si>
    <t>207-22</t>
  </si>
  <si>
    <t>200-22</t>
  </si>
  <si>
    <t>202-22</t>
  </si>
  <si>
    <t>209-22</t>
  </si>
  <si>
    <t>1823-22</t>
  </si>
  <si>
    <t>71-22</t>
  </si>
  <si>
    <t>211-22</t>
  </si>
  <si>
    <t>204-22</t>
  </si>
  <si>
    <t>55-22</t>
  </si>
  <si>
    <t>206-22</t>
  </si>
  <si>
    <t>1824-22</t>
  </si>
  <si>
    <t>213-22</t>
  </si>
  <si>
    <t>208-22</t>
  </si>
  <si>
    <t>215-22</t>
  </si>
  <si>
    <t>60-22</t>
  </si>
  <si>
    <t>62-22</t>
  </si>
  <si>
    <t>210-22</t>
  </si>
  <si>
    <t>217-22</t>
  </si>
  <si>
    <t>1825-22</t>
  </si>
  <si>
    <t>212-22</t>
  </si>
  <si>
    <t>219-22</t>
  </si>
  <si>
    <t>59-22</t>
  </si>
  <si>
    <t>214-22</t>
  </si>
  <si>
    <t>1826-22</t>
  </si>
  <si>
    <t>303-22</t>
  </si>
  <si>
    <t>216-22</t>
  </si>
  <si>
    <t>221-22</t>
  </si>
  <si>
    <t>218-22</t>
  </si>
  <si>
    <t>305-22</t>
  </si>
  <si>
    <t>220-22</t>
  </si>
  <si>
    <t>1827-22</t>
  </si>
  <si>
    <t>223-22</t>
  </si>
  <si>
    <t>1828-22</t>
  </si>
  <si>
    <t>307-22</t>
  </si>
  <si>
    <t>222-22</t>
  </si>
  <si>
    <t>225-22</t>
  </si>
  <si>
    <t>227-22</t>
  </si>
  <si>
    <t>224-22</t>
  </si>
  <si>
    <t>1829-22</t>
  </si>
  <si>
    <t>1830-22</t>
  </si>
  <si>
    <t>226-22</t>
  </si>
  <si>
    <t>229-22</t>
  </si>
  <si>
    <t>231-22</t>
  </si>
  <si>
    <t>1831-22</t>
  </si>
  <si>
    <t>228-22</t>
  </si>
  <si>
    <t>1832-22</t>
  </si>
  <si>
    <t>233-22</t>
  </si>
  <si>
    <t>230-22</t>
  </si>
  <si>
    <t>235-22</t>
  </si>
  <si>
    <t>1833-22</t>
  </si>
  <si>
    <t>232-22</t>
  </si>
  <si>
    <t>1902-22</t>
  </si>
  <si>
    <t>234-22</t>
  </si>
  <si>
    <t>237-22</t>
  </si>
  <si>
    <t>239-22</t>
  </si>
  <si>
    <t>236-22</t>
  </si>
  <si>
    <t>241-22</t>
  </si>
  <si>
    <t>238-22</t>
  </si>
  <si>
    <t>243-22</t>
  </si>
  <si>
    <t>240-22</t>
  </si>
  <si>
    <t>309-22</t>
  </si>
  <si>
    <t>242-22</t>
  </si>
  <si>
    <t>311-22</t>
  </si>
  <si>
    <t>244-22</t>
  </si>
  <si>
    <t>313-22</t>
  </si>
  <si>
    <t>315-22</t>
  </si>
  <si>
    <t>204:759</t>
  </si>
  <si>
    <t>204:229199</t>
  </si>
  <si>
    <t>204:232689</t>
  </si>
  <si>
    <t>204:121</t>
  </si>
  <si>
    <t>204:772</t>
  </si>
  <si>
    <t>204:233385</t>
  </si>
  <si>
    <t>204:232711</t>
  </si>
  <si>
    <t>204:790</t>
  </si>
  <si>
    <t>204:232690</t>
  </si>
  <si>
    <t>204:233316</t>
  </si>
  <si>
    <t>204:233321</t>
  </si>
  <si>
    <t>204:233030</t>
  </si>
  <si>
    <t>204:232992</t>
  </si>
  <si>
    <t>204:233351</t>
  </si>
  <si>
    <t>204:803</t>
  </si>
  <si>
    <t>204:233315</t>
  </si>
  <si>
    <t>204:232985</t>
  </si>
  <si>
    <t>204:732</t>
  </si>
  <si>
    <t>204:233259</t>
  </si>
  <si>
    <t>204:232948</t>
  </si>
  <si>
    <t>204:232981</t>
  </si>
  <si>
    <t>204:233322</t>
  </si>
  <si>
    <t>204:233013</t>
  </si>
  <si>
    <t>204:480</t>
  </si>
  <si>
    <t>204:233347</t>
  </si>
  <si>
    <t>204:233032</t>
  </si>
  <si>
    <t>204:233266</t>
  </si>
  <si>
    <t>204:233286</t>
  </si>
  <si>
    <t>204:233376</t>
  </si>
  <si>
    <t>204:127863</t>
  </si>
  <si>
    <t>204:233027</t>
  </si>
  <si>
    <t>204:233007</t>
  </si>
  <si>
    <t>204:233323</t>
  </si>
  <si>
    <t>204:233305</t>
  </si>
  <si>
    <t>204:172</t>
  </si>
  <si>
    <t>204:233002</t>
  </si>
  <si>
    <t>204:431</t>
  </si>
  <si>
    <t>204:193748</t>
  </si>
  <si>
    <t>204:232950</t>
  </si>
  <si>
    <t>204:495</t>
  </si>
  <si>
    <t>204:233004</t>
  </si>
  <si>
    <t>204:232980</t>
  </si>
  <si>
    <t>204:233326</t>
  </si>
  <si>
    <t>204:232989</t>
  </si>
  <si>
    <t>204:233366</t>
  </si>
  <si>
    <t>204:233051</t>
  </si>
  <si>
    <t>204:232991</t>
  </si>
  <si>
    <t>204:232971</t>
  </si>
  <si>
    <t>204:18799</t>
  </si>
  <si>
    <t>204:422</t>
  </si>
  <si>
    <t>204:233344</t>
  </si>
  <si>
    <t>204:110</t>
  </si>
  <si>
    <t>300:58604</t>
  </si>
  <si>
    <t>204:1034</t>
  </si>
  <si>
    <t>300:58931</t>
  </si>
  <si>
    <t>300:58613</t>
  </si>
  <si>
    <t>204:1035</t>
  </si>
  <si>
    <t>300:58943</t>
  </si>
  <si>
    <t>204:766</t>
  </si>
  <si>
    <t>204:1021</t>
  </si>
  <si>
    <t>204:755</t>
  </si>
  <si>
    <t>300:58630</t>
  </si>
  <si>
    <t>204:738</t>
  </si>
  <si>
    <t>204:497</t>
  </si>
  <si>
    <t>204:233287</t>
  </si>
  <si>
    <t>300:58623</t>
  </si>
  <si>
    <t>204:747</t>
  </si>
  <si>
    <t>204:762</t>
  </si>
  <si>
    <t>204:1030</t>
  </si>
  <si>
    <t>204:757</t>
  </si>
  <si>
    <t>204:1032</t>
  </si>
  <si>
    <t>300:58928</t>
  </si>
  <si>
    <t>204:764</t>
  </si>
  <si>
    <t>204:1041</t>
  </si>
  <si>
    <t>300:58918</t>
  </si>
  <si>
    <t>300:58454</t>
  </si>
  <si>
    <t>204:836</t>
  </si>
  <si>
    <t>204:1128</t>
  </si>
  <si>
    <t>300:58950</t>
  </si>
  <si>
    <t>300:58638</t>
  </si>
  <si>
    <t>204:962</t>
  </si>
  <si>
    <t>300:58624</t>
  </si>
  <si>
    <t>204:701</t>
  </si>
  <si>
    <t>300:58946</t>
  </si>
  <si>
    <t>204:1044</t>
  </si>
  <si>
    <t>204:1023</t>
  </si>
  <si>
    <t>204:1051</t>
  </si>
  <si>
    <t>204:1048</t>
  </si>
  <si>
    <t>204:1055</t>
  </si>
  <si>
    <t>300:58952</t>
  </si>
  <si>
    <t>204:233300</t>
  </si>
  <si>
    <t>204:233278</t>
  </si>
  <si>
    <t>204:233312</t>
  </si>
  <si>
    <t>300:30087</t>
  </si>
  <si>
    <t>300:58628</t>
  </si>
  <si>
    <t>300:28784</t>
  </si>
  <si>
    <t>204:233368</t>
  </si>
  <si>
    <t>204:232957</t>
  </si>
  <si>
    <t>204:233353</t>
  </si>
  <si>
    <t>204:233276</t>
  </si>
  <si>
    <t>204:232970</t>
  </si>
  <si>
    <t>204:233289</t>
  </si>
  <si>
    <t>204:170</t>
  </si>
  <si>
    <t>204:429</t>
  </si>
  <si>
    <t>204:233410</t>
  </si>
  <si>
    <t>204:233069</t>
  </si>
  <si>
    <t>204:233346</t>
  </si>
  <si>
    <t>204:233021</t>
  </si>
  <si>
    <t>204:232966</t>
  </si>
  <si>
    <t>204:232968</t>
  </si>
  <si>
    <t>204:196</t>
  </si>
  <si>
    <t>300:23133</t>
  </si>
  <si>
    <t>300:23304</t>
  </si>
  <si>
    <t>300:19771</t>
  </si>
  <si>
    <t>300:22824</t>
  </si>
  <si>
    <t>300:31611</t>
  </si>
  <si>
    <t>300:23463</t>
  </si>
  <si>
    <t>300:22216</t>
  </si>
  <si>
    <t>300:23306</t>
  </si>
  <si>
    <t>300:22812</t>
  </si>
  <si>
    <t>300:23308</t>
  </si>
  <si>
    <t>204:502</t>
  </si>
  <si>
    <t>300:21960</t>
  </si>
  <si>
    <t>204:249</t>
  </si>
  <si>
    <t>300:24226</t>
  </si>
  <si>
    <t>300:22480</t>
  </si>
  <si>
    <t>300:21735</t>
  </si>
  <si>
    <t>204:1157</t>
  </si>
  <si>
    <t>300:25577</t>
  </si>
  <si>
    <t>300:21146</t>
  </si>
  <si>
    <t>204:73</t>
  </si>
  <si>
    <t>204:394</t>
  </si>
  <si>
    <t>300:23235</t>
  </si>
  <si>
    <t>300:21795</t>
  </si>
  <si>
    <t>204:1109</t>
  </si>
  <si>
    <t>300:23408</t>
  </si>
  <si>
    <t>204:1488</t>
  </si>
  <si>
    <t>start /low /b %USERPROFILE%\Documents\GitHub\eaglep3\Utilities\DownloadLogsFromS3.py --loco 4003 --day 2017-01-22</t>
  </si>
  <si>
    <t>start /low /b %USERPROFILE%\Documents\GitHub\eaglep3\Utilities\DownloadLogsFromS3.py --loco 4004 --day 2017-01-22</t>
  </si>
  <si>
    <t>start /low /b %USERPROFILE%\Documents\GitHub\eaglep3\Utilities\DownloadLogsFromS3.py --loco 4022 --day 2017-01-22</t>
  </si>
  <si>
    <t>start /low /b %USERPROFILE%\Documents\GitHub\eaglep3\Utilities\DownloadLogsFromS3.py --loco 4015 --day 2017-01-22</t>
  </si>
  <si>
    <t>start /low /b %USERPROFILE%\Documents\GitHub\eaglep3\Utilities\DownloadLogsFromS3.py --loco 4037 --day 2017-01-22</t>
  </si>
  <si>
    <t>start /low /b %USERPROFILE%\Documents\GitHub\eaglep3\Utilities\DownloadLogsFromS3.py --loco 4043 --day 2017-01-22</t>
  </si>
  <si>
    <t>start /low /b %USERPROFILE%\Documents\GitHub\eaglep3\Utilities\DownloadLogsFromS3.py --loco 4045 --day 2017-01-23</t>
  </si>
  <si>
    <t>start /low /b %USERPROFILE%\Documents\GitHub\eaglep3\Utilities\DownloadLogsFromS3.py --loco 4038 --day 2017-01-22</t>
  </si>
  <si>
    <t>start /low /b %USERPROFILE%\Documents\GitHub\eaglep3\Utilities\DownloadLogsFromS3.py --loco 4008 --day 2017-01-22</t>
  </si>
  <si>
    <t>start /low /b %USERPROFILE%\Documents\GitHub\eaglep3\Utilities\DownloadLogsFromS3.py --loco 4032 --day 2017-01-22</t>
  </si>
  <si>
    <t>Efficiency test? DIA 4N STOP (no clear requests from dispatch)</t>
  </si>
  <si>
    <t>Onboard in-route failure</t>
  </si>
  <si>
    <t>At 10:29:39, Pena 2N dropped from PROCEED CAB to STOP, do logs tell us anything unusual?</t>
  </si>
  <si>
    <t>Premature downgrade at Pena 2N</t>
  </si>
  <si>
    <t>No Form C for Holly was issued by dispatch to this trip (but Form C was still in effect) - in fact, pair 4015/4016 was the only pair that didn't get the Form C when cross-referencing data vs Incident 35312</t>
  </si>
  <si>
    <t>Departure delayed by Onboard in-route failure</t>
  </si>
  <si>
    <t>Form C</t>
  </si>
  <si>
    <t>Early arrival</t>
  </si>
  <si>
    <t>Wi-MAX data drop</t>
  </si>
  <si>
    <t>SYS :2017/01/22 10:50:28.282:ENFORCEMENT:Predictive Enforcement Action:  Target Number: 00006049  Target Speed:   0.0  Current Speed:  23.4</t>
  </si>
  <si>
    <t>SYS :2017/01/22 10:50:28.887:ENFORCEMENT:Predictive Enforcement Action:  Target Number: 00006049  Target Speed:   0.0  Current Speed:  23.4</t>
  </si>
  <si>
    <t>SYS :2017/01/22 10:50:29.883:ENFORCEMENT:Predictive Enforcement Action:  Target Number: 00006049  Target Speed:   0.0  Current Speed:  22.5</t>
  </si>
  <si>
    <t>SYS :2017/01/22 15:22:19.793:ENFORCEMENT:Reactive Enforcement Action:  Target Number: 00017033  Target Speed:   0.0  Current Speed:  18.0</t>
  </si>
  <si>
    <t>SYS :2017/01/22 15:22:20.414:ENFORCEMENT:Reactive Enforcement Action:  Target Number: 00017033  Target Speed:   0.0  Current Speed:  16.3</t>
  </si>
  <si>
    <t>SYS :2017/01/22 15:22:20.800:ENFORCEMENT:Reactive Enforcement Action:  Target Number: 00017033  Target Speed:   0.0  Current Speed:  18.0</t>
  </si>
  <si>
    <t>SYS :2017/01/22 15:32:15.907:ENFORCEMENT:Reactive Enforcement Action:  Target Number: 00010078  Target Speed:  20.0  Current Speed:  26.3</t>
  </si>
  <si>
    <t>SYS :2017/01/22 15:32:16.299:ENFORCEMENT:Reactive Enforcement Action:  Target Number: 00010077  Target Speed:  20.0  Current Speed:  26.3</t>
  </si>
  <si>
    <t>SYS :2017/01/22 15:32:16.911:ENFORCEMENT:Reactive Enforcement Action:  Target Number: 00010078  Target Speed:  20.0  Current Speed:  26.3</t>
  </si>
  <si>
    <t>SYS :2017/01/22 16:36:37.590:ENFORCEMENT:Predictive Enforcement Action:  Target Number: 00001009  Target Speed:   0.0  Current Speed:   7.4</t>
  </si>
  <si>
    <t>SYS :2017/01/22 16:46:55.632:ENFORCEMENT:Reactive Enforcement Action:  Target Number: 00010061  Target Speed:  40.0  Current Speed:  45.2</t>
  </si>
  <si>
    <t>SYS :2017/01/22 16:46:56.227:ENFORCEMENT:Reactive Enforcement Action:  Target Number: 00010061  Target Speed:  40.0  Current Speed:  45.2</t>
  </si>
  <si>
    <t>SYS :2017/01/22 16:46:56.658:ENFORCEMENT:Reactive Enforcement Action:  Target Number: 00010061  Target Speed:  40.0  Current Speed:  45.2</t>
  </si>
  <si>
    <t>SYS :2017/01/22 17:27:49.084:ENFORCEMENT:Predictive Enforcement Action:  Target Number: 00017047  Target Speed:   0.0  Current Speed:  12.7</t>
  </si>
  <si>
    <t>SYS :2017/01/22 17:27:49.542:ENFORCEMENT:Reactive Enforcement Action:  Target Number: 00017047  Target Speed:   0.0  Current Speed:  12.1</t>
  </si>
  <si>
    <t>SYS :2017/01/22 17:27:51.038:ENFORCEMENT:Reactive Enforcement Action:  Target Number: 00017047  Target Speed:   0.0  Current Speed:  11.6</t>
  </si>
  <si>
    <t>SYS :2017/01/22 17:29:40.804:ENFORCEMENT:Predictive Enforcement Action:  Target Number: 00006127  Target Speed:   0.0  Current Speed:  60.0</t>
  </si>
  <si>
    <t>SYS :2017/01/22 17:29:41.399:ENFORCEMENT:Reactive Enforcement Action:  Target Number: 00006116  Target Speed:   0.0  Current Speed:  59.9</t>
  </si>
  <si>
    <t>SYS :2017/01/22 17:31:59.393:ENFORCEMENT:Reactive Enforcement Action:  Target Number: 00006116  Target Speed:   0.0  Current Speed:   0.7</t>
  </si>
  <si>
    <t>SYS :2017/01/22 17:31:59.792:ENFORCEMENT:Reactive Enforcement Action:  Target Number: 00006127  Target Speed:   0.0  Current Speed:   0.7</t>
  </si>
  <si>
    <t>SYS :2017/01/22 17:35:17.998:ENFORCEMENT:Reactive Enforcement Action:  Target Number: 00010056  Target Speed:  60.0  Current Speed:  65.4</t>
  </si>
  <si>
    <t>SYS :2017/01/22 17:35:18.022:ENFORCEMENT:Reactive Enforcement Action:  Target Number: 00010056  Target Speed:  60.0  Current Speed:  65.4</t>
  </si>
  <si>
    <t>SYS :2017/01/22 17:35:18.034:ENFORCEMENT:Reactive Enforcement Action:  Target Number: 00010056  Target Speed:  60.0  Current Speed:  65.4</t>
  </si>
  <si>
    <t>SYS :2017/01/22 17:38:10.422:ENFORCEMENT:Predictive Enforcement Action:  Target Number: 0000612D  Target Speed:   0.0  Current Speed:  17.8</t>
  </si>
  <si>
    <t>SYS :2017/01/22 20:43:41.520:ENFORCEMENT:Predictive Enforcement Action:  Target Number: 0000E002  Target Speed:   0.0  Current Speed:  10.0</t>
  </si>
  <si>
    <t>SYS :2017/01/22 21:08:16.026:ENFORCEMENT:Predictive Enforcement Action:  Target Number: 0000100C  Target Speed:   0.0  Current Speed:   5.7</t>
  </si>
  <si>
    <t>SYS :2017/01/22 21:08:16.531:ENFORCEMENT:Predictive Enforcement Action:  Target Number: 0000100B  Target Speed:   0.0  Current Speed:   5.6</t>
  </si>
  <si>
    <t>SYS :2017/01/22 22:04:30.950:ENFORCEMENT:Predictive Enforcement Action:  Target Number: 000100E9  Target Speed:  35.0  Current Speed:  50.8</t>
  </si>
  <si>
    <t>SYS :2017/01/22 22:04:31.449:ENFORCEMENT:Predictive Enforcement Action:  Target Number: 000100EB  Target Speed:  35.0  Current Speed:  50.3</t>
  </si>
  <si>
    <t>SYS :2017/01/23 00:04:30.568:ENFORCEMENT:Predictive Enforcement Action:  Target Number: 000170B9  Target Speed:  17.0  Current Speed:  22.2</t>
  </si>
  <si>
    <t>SYS :2017/01/23 00:04:31.605:ENFORCEMENT:Predictive Enforcement Action:  Target Number: 000170B9  Target Speed:  17.0  Current Speed:  22.2</t>
  </si>
  <si>
    <t>SYS :2017/01/23 00:04:31.760:ENFORCEMENT:Predictive Enforcement Action:  Target Number: 000170B9  Target Speed:  17.0  Current Speed:  22.2</t>
  </si>
  <si>
    <t>Banner w/o braking</t>
  </si>
  <si>
    <t>Unhealthy xing @ Chambers due to train stopping</t>
  </si>
  <si>
    <t xml:space="preserve">Incident 35328 </t>
  </si>
  <si>
    <t>Braking w/o banner</t>
  </si>
  <si>
    <t>Another train was occupying DIA Track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</si>
</sst>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9"/>
  <sheetViews>
    <sheetView tabSelected="1" topLeftCell="A76" workbookViewId="0">
      <selection activeCell="V89" sqref="V89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5.140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42757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42757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34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COUNTIFS($N$13:$N$9372,"&gt;0",$AG$13:$AG$9372,I1)</f>
        <v>139</v>
      </c>
      <c r="K5" s="41"/>
      <c r="L5" s="41"/>
      <c r="M5" s="42">
        <f>AVERAGEIFS($N$13:$N$9372,$AG$13:$AG$9372,I1)</f>
        <v>38.00779376464574</v>
      </c>
      <c r="N5" s="40">
        <f t="array" ref="N5">MIN(IF($AG$13:$AG$9372=I1,IF(ISNUMBER($N$13:$N$9372),IF($N$13:$N$9372&gt;0,$N$13:$N$9372))))</f>
        <v>34.283333342755213</v>
      </c>
      <c r="O5" s="3">
        <f t="array" ref="O5">MAX(IF($AG$13:$AG$9372=I1,IF(ISNUMBER($N$13:$N$9372),IF($N$13:$N$9372&gt;0,$N$13:$N$9372))))</f>
        <v>42.900000001536682</v>
      </c>
      <c r="P5" s="2"/>
      <c r="R5" s="76" t="s">
        <v>17</v>
      </c>
      <c r="S5" s="52">
        <f>COUNTIFS($N$13:$N$9372,"&gt;0",$AG$13:$AG$9372,R1)</f>
        <v>34</v>
      </c>
      <c r="T5" s="41"/>
      <c r="U5" s="161"/>
      <c r="V5" s="42">
        <f>AVERAGEIFS($N$13:$N$9372,$AG$13:$AG$9372,R1)</f>
        <v>14.646078431122827</v>
      </c>
      <c r="W5" s="40">
        <f t="array" ref="W5">MIN(IF($AG$13:$AG$9372=R1,IF(ISNUMBER($N$13:$N$9372),IF($N$13:$N$9372&gt;0,$N$13:$N$9372))))</f>
        <v>12.316666675033048</v>
      </c>
      <c r="X5" s="166">
        <f t="array" ref="X5">MAX(IF($AG$13:$AG$9372=R1,IF(ISNUMBER($N$13:$N$9372),IF($N$13:$N$9372&gt;0,$N$13:$N$9372))))</f>
        <v>19.433333339402452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COUNT($O$13:$O$125)</f>
        <v>0</v>
      </c>
      <c r="K6" s="41"/>
      <c r="L6" s="41"/>
      <c r="M6" s="42">
        <f>IFERROR(AVERAGE($O$13:$O$125),0)</f>
        <v>0</v>
      </c>
      <c r="N6" s="40">
        <f>MIN($O$13:$O$125)</f>
        <v>0</v>
      </c>
      <c r="O6" s="3">
        <f>MAX($O$13:$O$125)</f>
        <v>0</v>
      </c>
      <c r="P6" s="2"/>
      <c r="R6" s="77" t="s">
        <v>43</v>
      </c>
      <c r="S6" s="52">
        <f>COUNT($O$13:$O$125)</f>
        <v>0</v>
      </c>
      <c r="T6" s="41"/>
      <c r="U6" s="161"/>
      <c r="V6" s="42">
        <f>IFERROR(AVERAGE($O$13:$O$125),0)</f>
        <v>0</v>
      </c>
      <c r="W6" s="40">
        <f>MIN($O$13:$O$125)</f>
        <v>0</v>
      </c>
      <c r="X6" s="166">
        <f>MAX($O$13:$O$125)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COUNTIFS($P$13:$P$9372,"&gt;0",$AG$13:$AG$9372,I1)</f>
        <v>5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COUNTIFS($P$13:$P$9372,"&gt;0",$AG$13:$AG$9372,R1)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139</v>
      </c>
      <c r="K8" s="41"/>
      <c r="L8" s="41"/>
      <c r="M8" s="42">
        <f>M5</f>
        <v>38.00779376464574</v>
      </c>
      <c r="N8" s="40">
        <f>N5</f>
        <v>34.283333342755213</v>
      </c>
      <c r="O8" s="3">
        <f>O5</f>
        <v>42.900000001536682</v>
      </c>
      <c r="P8" s="2"/>
      <c r="R8" s="76" t="s">
        <v>16</v>
      </c>
      <c r="S8" s="52">
        <f>S5</f>
        <v>34</v>
      </c>
      <c r="T8" s="41"/>
      <c r="U8" s="161"/>
      <c r="V8" s="42">
        <f>V5</f>
        <v>14.646078431122827</v>
      </c>
      <c r="W8" s="40">
        <f>W5</f>
        <v>12.316666675033048</v>
      </c>
      <c r="X8" s="166">
        <f>X5</f>
        <v>19.433333339402452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0.96527777777777779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- 2017-01-22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AVERAGE(S13:S88)</f>
        <v>1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225</v>
      </c>
      <c r="AN12" s="48" t="s">
        <v>252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429</v>
      </c>
      <c r="B13" s="7">
        <v>4003</v>
      </c>
      <c r="C13" s="22" t="s">
        <v>196</v>
      </c>
      <c r="D13" s="22" t="s">
        <v>659</v>
      </c>
      <c r="E13" s="13">
        <v>42757.130497685182</v>
      </c>
      <c r="F13" s="13">
        <v>42757.135625000003</v>
      </c>
      <c r="G13" s="7">
        <v>1</v>
      </c>
      <c r="H13" s="22" t="s">
        <v>660</v>
      </c>
      <c r="I13" s="13">
        <v>42757.160219907404</v>
      </c>
      <c r="J13" s="7">
        <v>1</v>
      </c>
      <c r="K13" s="105" t="str">
        <f t="shared" ref="K13:K76" si="0">IF(ISEVEN(B13),(B13-1)&amp;"/"&amp;B13,B13&amp;"/"&amp;(B13+1))</f>
        <v>4003/4004</v>
      </c>
      <c r="L13" s="22" t="str">
        <f>VLOOKUP(A13,'Trips&amp;Operators'!$C$1:$G$99999,5,FALSE)</f>
        <v>OUN ZACK</v>
      </c>
      <c r="M13" s="6">
        <f t="shared" ref="M13:M76" si="1">I13-F13</f>
        <v>2.4594907401478849E-2</v>
      </c>
      <c r="N13" s="7"/>
      <c r="O13" s="7"/>
      <c r="P13" s="7">
        <f t="shared" ref="N13:P76" si="2">24*60*SUM($M13:$M13)</f>
        <v>35.416666658129543</v>
      </c>
      <c r="Q13" s="23"/>
      <c r="R13" s="23" t="s">
        <v>851</v>
      </c>
      <c r="S13" s="32">
        <f t="shared" ref="S13:S76" si="3">SUM(U13:U13)/IF(AG13="EC",12,1)</f>
        <v>1</v>
      </c>
      <c r="T13" s="47" t="str">
        <f t="shared" ref="T13:T76" si="4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-22T02:07:55-0700',mode:absolute,to:'2017-01-22T04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" s="49" t="str">
        <f t="shared" ref="W13:W76" si="6">IF(AA13&lt;IF(AG13="EC",23,5.65),"Y","N")</f>
        <v>Y</v>
      </c>
      <c r="X13" s="170" t="e">
        <f t="shared" ref="X13:X76" si="7">VALUE(LEFT(AD13,4))-VALUE(LEFT(AD12,4))</f>
        <v>#VALUE!</v>
      </c>
      <c r="Y13" s="64">
        <f t="shared" ref="Y13:Y76" si="8">RIGHT(D13,LEN(D13)-4)/10000</f>
        <v>7.5899999999999995E-2</v>
      </c>
      <c r="Z13" s="64">
        <f t="shared" ref="Z13:Z76" si="9">RIGHT(H13,LEN(H13)-4)/10000</f>
        <v>22.919899999999998</v>
      </c>
      <c r="AA13" s="64">
        <f t="shared" ref="AA13:AA76" si="10">ABS(Z13-Y13)</f>
        <v>22.843999999999998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 t="shared" ref="AD13:AD76" si="11">IF(LEN(A13)=6,"0"&amp;A13,A13)</f>
        <v>0101-22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/stypes="app*4003*20170122*"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4003 --swversion DE.1.0.8.0 --startMP 204:759 --initTime 2017-01-22T03:07:55 --startdatetime 2017-01-22T03:15:18 --delay 1 --endMP 204:229199 --enddatetime 2017-01-22T03:50:43 --enforcementcount 1 &gt;&gt;C:\Users\stu\Documents\GitHub\eaglep3-reporting\EC\2017-01-22-refined-times.txt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{"issue":{"subject":"Another train was occupying DIA Track 2","project_id":79,"tracker_id":40,"status_id":1,"priority_id":2,"assigned_to_id":23,"start_date":"2017-01-22","description":"","custom_fields":[{"id":1,"name":"Subdivision","value":"EC"},{"id":4,"name":"Milepost","value":"22.9199"},{"id":17,"name":"Train ID","value":"101-22"},{"id":16,"name":"Locomotive ID","value":"4003"},{"id":130,"name":"Impact","value":""},{"id":150,"name":"Time of Event (Mountain Time)","value":"03:50:43"},{"id":151,"name":"Denver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7">"start /low /b "&amp;dls3logs&amp;" --loco "&amp;B13&amp;" --day "&amp;TEXT(F13,"YYYY-MM-DD")</f>
        <v>start /low /b %USERPROFILE%\Documents\GitHub\eaglep3\Utilities\DownloadLogsFromS3.py --loco 4003 --day 2017-01-22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462</v>
      </c>
      <c r="B14" s="7">
        <v>4045</v>
      </c>
      <c r="C14" s="22" t="s">
        <v>196</v>
      </c>
      <c r="D14" s="22" t="s">
        <v>661</v>
      </c>
      <c r="E14" s="13">
        <v>42757.168240740742</v>
      </c>
      <c r="F14" s="13">
        <v>42757.174513888887</v>
      </c>
      <c r="G14" s="7">
        <v>1</v>
      </c>
      <c r="H14" s="22" t="s">
        <v>662</v>
      </c>
      <c r="I14" s="13">
        <v>42757.202326388891</v>
      </c>
      <c r="J14" s="7">
        <v>1</v>
      </c>
      <c r="K14" s="105" t="str">
        <f t="shared" si="0"/>
        <v>4045/4046</v>
      </c>
      <c r="L14" s="22" t="str">
        <f>VLOOKUP(A14,'Trips&amp;Operators'!$C$1:$G$99999,5,FALSE)</f>
        <v>OUN ZACK</v>
      </c>
      <c r="M14" s="6">
        <f t="shared" si="1"/>
        <v>2.7812500004074536E-2</v>
      </c>
      <c r="N14" s="7">
        <f t="shared" si="2"/>
        <v>40.050000005867332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d0f6bd738d7f1b3e5a7ca70fe4ff75f0.us-east-1.aws.found.io/app/kibana#/discover/Steve-Slow-Train-Analysis-(2080s-and-2083s)?_g=(refreshInterval:(display:Off,pause:!f,section:0,value:0),time:(from:'2017-01-22T03:02:16-0700',mode:absolute,to:'2017-01-22T05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" s="49" t="str">
        <f t="shared" si="6"/>
        <v>N</v>
      </c>
      <c r="X14" s="170">
        <f t="shared" si="7"/>
        <v>1</v>
      </c>
      <c r="Y14" s="64">
        <f t="shared" si="8"/>
        <v>23.268899999999999</v>
      </c>
      <c r="Z14" s="64">
        <f t="shared" si="9"/>
        <v>1.21E-2</v>
      </c>
      <c r="AA14" s="64">
        <f t="shared" si="10"/>
        <v>23.256799999999998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 t="shared" si="11"/>
        <v>0102-22</v>
      </c>
      <c r="AE14" s="87" t="str">
        <f t="shared" si="12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14" s="84" t="str">
        <f t="shared" si="13"/>
        <v>"C:\Program Files (x86)\AstroGrep\AstroGrep.exe" /spath="%USERPROFILE%\AppData\Local\Temp\OnboardLogs" /stypes="app*4045*20170122*"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4045 --swversion DE.1.0.8.0 --startMP 204:232689 --initTime 2017-01-22T04:02:16 --startdatetime 2017-01-22T04:11:18 --delay 1 --endMP 204:121 --enddatetime 2017-01-22T04:51:21 --enforcementcount 1 &gt;&gt;C:\Users\stu\Documents\GitHub\eaglep3-reporting\EC\2017-01-22-refined-times.txt</v>
      </c>
      <c r="AI14" s="115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{"issue":{"subject":"","project_id":79,"tracker_id":40,"status_id":1,"priority_id":2,"assigned_to_id":23,"start_date":"2017-01-22","description":"","custom_fields":[{"id":1,"name":"Subdivision","value":"EC"},{"id":4,"name":"Milepost","value":"0.0121"},{"id":17,"name":"Train ID","value":"102-22"},{"id":16,"name":"Locomotive ID","value":"4045"},{"id":130,"name":"Impact","value":""},{"id":150,"name":"Time of Event (Mountain Time)","value":"04:51:21"},{"id":151,"name":"Denver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7" si="20">"start /low /b "&amp;dls3logs&amp;" --loco "&amp;B14&amp;" --day "&amp;TEXT(F14,"YYYY-MM-DD")</f>
        <v>start /low /b %USERPROFILE%\Documents\GitHub\eaglep3\Utilities\DownloadLogsFromS3.py --loco 4045 --day 2017-01-22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460</v>
      </c>
      <c r="B15" s="7">
        <v>4044</v>
      </c>
      <c r="C15" s="22" t="s">
        <v>196</v>
      </c>
      <c r="D15" s="22" t="s">
        <v>663</v>
      </c>
      <c r="E15" s="13">
        <v>42757.147962962961</v>
      </c>
      <c r="F15" s="13">
        <v>42757.156539351854</v>
      </c>
      <c r="G15" s="7">
        <v>1</v>
      </c>
      <c r="H15" s="22" t="s">
        <v>664</v>
      </c>
      <c r="I15" s="13">
        <v>42757.181701388887</v>
      </c>
      <c r="J15" s="7">
        <v>1</v>
      </c>
      <c r="K15" s="105" t="str">
        <f t="shared" si="0"/>
        <v>4043/4044</v>
      </c>
      <c r="L15" s="22" t="str">
        <f>VLOOKUP(A15,'Trips&amp;Operators'!$C$1:$G$99999,5,FALSE)</f>
        <v>MAELZER KURT</v>
      </c>
      <c r="M15" s="6">
        <f t="shared" si="1"/>
        <v>2.5162037032714579E-2</v>
      </c>
      <c r="N15" s="7">
        <f t="shared" si="2"/>
        <v>36.233333327108994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d0f6bd738d7f1b3e5a7ca70fe4ff75f0.us-east-1.aws.found.io/app/kibana#/discover/Steve-Slow-Train-Analysis-(2080s-and-2083s)?_g=(refreshInterval:(display:Off,pause:!f,section:0,value:0),time:(from:'2017-01-22T02:33:04-0700',mode:absolute,to:'2017-01-22T05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49" t="str">
        <f t="shared" si="6"/>
        <v>N</v>
      </c>
      <c r="X15" s="170">
        <f t="shared" si="7"/>
        <v>1</v>
      </c>
      <c r="Y15" s="64">
        <f t="shared" si="8"/>
        <v>7.7200000000000005E-2</v>
      </c>
      <c r="Z15" s="64">
        <f t="shared" si="9"/>
        <v>23.3385</v>
      </c>
      <c r="AA15" s="64">
        <f t="shared" si="10"/>
        <v>23.261299999999999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11"/>
        <v>0103-22</v>
      </c>
      <c r="AE15" s="87" t="str">
        <f t="shared" si="12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15" s="84" t="str">
        <f t="shared" si="13"/>
        <v>"C:\Program Files (x86)\AstroGrep\AstroGrep.exe" /spath="%USERPROFILE%\AppData\Local\Temp\OnboardLogs" /stypes="app*4044*20170122*"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103-22 --locoid 4044 --swversion DE.1.0.8.0 --startMP 204:772 --initTime 2017-01-22T03:33:04 --startdatetime 2017-01-22T03:45:25 --delay 1 --endMP 204:233385 --enddatetime 2017-01-22T04:21:39 --enforcementcount 1 &gt;&gt;C:\Users\stu\Documents\GitHub\eaglep3-reporting\EC\2017-01-22-refined-times.txt</v>
      </c>
      <c r="AI15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{"issue":{"subject":"","project_id":79,"tracker_id":40,"status_id":1,"priority_id":2,"assigned_to_id":23,"start_date":"2017-01-22","description":"","custom_fields":[{"id":1,"name":"Subdivision","value":"EC"},{"id":4,"name":"Milepost","value":"23.3385"},{"id":17,"name":"Train ID","value":"103-22"},{"id":16,"name":"Locomotive ID","value":"4044"},{"id":130,"name":"Impact","value":""},{"id":150,"name":"Time of Event (Mountain Time)","value":"04:21:39"},{"id":151,"name":"Denver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20"/>
        <v>start /low /b %USERPROFILE%\Documents\GitHub\eaglep3\Utilities\DownloadLogsFromS3.py --loco 4044 --day 2017-01-22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467</v>
      </c>
      <c r="B16" s="7">
        <v>4037</v>
      </c>
      <c r="C16" s="22" t="s">
        <v>196</v>
      </c>
      <c r="D16" s="22" t="s">
        <v>665</v>
      </c>
      <c r="E16" s="13">
        <v>42757.187939814816</v>
      </c>
      <c r="F16" s="13">
        <v>42757.195451388892</v>
      </c>
      <c r="G16" s="7">
        <v>1</v>
      </c>
      <c r="H16" s="22" t="s">
        <v>239</v>
      </c>
      <c r="I16" s="13">
        <v>42757.223865740743</v>
      </c>
      <c r="J16" s="7">
        <v>1</v>
      </c>
      <c r="K16" s="105" t="str">
        <f t="shared" si="0"/>
        <v>4037/4038</v>
      </c>
      <c r="L16" s="22" t="str">
        <f>VLOOKUP(A16,'Trips&amp;Operators'!$C$1:$G$99999,5,FALSE)</f>
        <v>MAELZER KURT</v>
      </c>
      <c r="M16" s="6">
        <f t="shared" si="1"/>
        <v>2.8414351851097308E-2</v>
      </c>
      <c r="N16" s="7">
        <f t="shared" si="2"/>
        <v>40.916666665580124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d0f6bd738d7f1b3e5a7ca70fe4ff75f0.us-east-1.aws.found.io/app/kibana#/discover/Steve-Slow-Train-Analysis-(2080s-and-2083s)?_g=(refreshInterval:(display:Off,pause:!f,section:0,value:0),time:(from:'2017-01-22T03:30:38-0700',mode:absolute,to:'2017-01-22T06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6" s="49" t="str">
        <f t="shared" si="6"/>
        <v>N</v>
      </c>
      <c r="X16" s="170">
        <f t="shared" si="7"/>
        <v>1</v>
      </c>
      <c r="Y16" s="64">
        <f t="shared" si="8"/>
        <v>23.271100000000001</v>
      </c>
      <c r="Z16" s="64">
        <f t="shared" si="9"/>
        <v>1.38E-2</v>
      </c>
      <c r="AA16" s="64">
        <f t="shared" si="10"/>
        <v>23.257300000000001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si="11"/>
        <v>0104-22</v>
      </c>
      <c r="AE16" s="87" t="str">
        <f t="shared" si="12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16" s="84" t="str">
        <f t="shared" si="13"/>
        <v>"C:\Program Files (x86)\AstroGrep\AstroGrep.exe" /spath="%USERPROFILE%\AppData\Local\Temp\OnboardLogs" /stypes="app*4037*20170122*"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104-22 --locoid 4037 --swversion DE.1.0.8.0 --startMP 204:232711 --initTime 2017-01-22T04:30:38 --startdatetime 2017-01-22T04:41:27 --delay 1 --endMP 204:138 --enddatetime 2017-01-22T05:22:22 --enforcementcount 1 &gt;&gt;C:\Users\stu\Documents\GitHub\eaglep3-reporting\EC\2017-01-22-refined-times.txt</v>
      </c>
      <c r="AI16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{"issue":{"subject":"","project_id":79,"tracker_id":40,"status_id":1,"priority_id":2,"assigned_to_id":23,"start_date":"2017-01-22","description":"","custom_fields":[{"id":1,"name":"Subdivision","value":"EC"},{"id":4,"name":"Milepost","value":"0.0138"},{"id":17,"name":"Train ID","value":"104-22"},{"id":16,"name":"Locomotive ID","value":"4037"},{"id":130,"name":"Impact","value":""},{"id":150,"name":"Time of Event (Mountain Time)","value":"05:22:22"},{"id":151,"name":"Denver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20"/>
        <v>start /low /b %USERPROFILE%\Documents\GitHub\eaglep3\Utilities\DownloadLogsFromS3.py --loco 4037 --day 2017-01-22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464</v>
      </c>
      <c r="B17" s="7">
        <v>4016</v>
      </c>
      <c r="C17" s="22" t="s">
        <v>196</v>
      </c>
      <c r="D17" s="22" t="s">
        <v>666</v>
      </c>
      <c r="E17" s="13">
        <v>42757.174004629633</v>
      </c>
      <c r="F17" s="13">
        <v>42757.177372685182</v>
      </c>
      <c r="G17" s="7">
        <v>1</v>
      </c>
      <c r="H17" s="22" t="s">
        <v>408</v>
      </c>
      <c r="I17" s="13">
        <v>42757.203738425924</v>
      </c>
      <c r="J17" s="7">
        <v>1</v>
      </c>
      <c r="K17" s="105" t="str">
        <f t="shared" si="0"/>
        <v>4015/4016</v>
      </c>
      <c r="L17" s="22" t="str">
        <f>VLOOKUP(A17,'Trips&amp;Operators'!$C$1:$G$99999,5,FALSE)</f>
        <v>PERKINS DARREN</v>
      </c>
      <c r="M17" s="6">
        <f t="shared" si="1"/>
        <v>2.6365740741312038E-2</v>
      </c>
      <c r="N17" s="7">
        <f t="shared" si="2"/>
        <v>37.966666667489335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d0f6bd738d7f1b3e5a7ca70fe4ff75f0.us-east-1.aws.found.io/app/kibana#/discover/Steve-Slow-Train-Analysis-(2080s-and-2083s)?_g=(refreshInterval:(display:Off,pause:!f,section:0,value:0),time:(from:'2017-01-22T03:10:34-0700',mode:absolute,to:'2017-01-22T05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49" t="str">
        <f t="shared" si="6"/>
        <v>N</v>
      </c>
      <c r="X17" s="170">
        <f t="shared" si="7"/>
        <v>1</v>
      </c>
      <c r="Y17" s="64">
        <f t="shared" si="8"/>
        <v>7.9000000000000001E-2</v>
      </c>
      <c r="Z17" s="64">
        <f t="shared" si="9"/>
        <v>23.332899999999999</v>
      </c>
      <c r="AA17" s="64">
        <f t="shared" si="10"/>
        <v>23.253899999999998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11"/>
        <v>0105-22</v>
      </c>
      <c r="AE17" s="87" t="str">
        <f t="shared" si="12"/>
        <v>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 &amp; 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</v>
      </c>
      <c r="AF17" s="84" t="str">
        <f t="shared" si="13"/>
        <v>"C:\Program Files (x86)\AstroGrep\AstroGrep.exe" /spath="%USERPROFILE%\AppData\Local\Temp\OnboardLogs" /stypes="app*4016*20170122*"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105-22 --locoid 4016 --swversion DE.1.0.8.0 --startMP 204:790 --initTime 2017-01-22T04:10:34 --startdatetime 2017-01-22T04:15:25 --delay 1 --endMP 204:233329 --enddatetime 2017-01-22T04:53:23 --enforcementcount 1 &gt;&gt;C:\Users\stu\Documents\GitHub\eaglep3-reporting\EC\2017-01-22-refined-times.txt</v>
      </c>
      <c r="AI17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{"issue":{"subject":"","project_id":79,"tracker_id":40,"status_id":1,"priority_id":2,"assigned_to_id":23,"start_date":"2017-01-22","description":"","custom_fields":[{"id":1,"name":"Subdivision","value":"EC"},{"id":4,"name":"Milepost","value":"23.3329"},{"id":17,"name":"Train ID","value":"105-22"},{"id":16,"name":"Locomotive ID","value":"4016"},{"id":130,"name":"Impact","value":""},{"id":150,"name":"Time of Event (Mountain Time)","value":"04:53:23"},{"id":151,"name":"Denver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20"/>
        <v>start /low /b %USERPROFILE%\Documents\GitHub\eaglep3\Utilities\DownloadLogsFromS3.py --loco 4016 --day 2017-01-22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"%USERPROFILE%\AppData\Local\Temp\OnboardLogs"\RTDC4016\*4016*20170122* | grep -SE "(Enforcement Action)|(\[TIMEOUT)|(CHR.+\|PRM\|1\|D.+(SWITCH|SIGNAL).+UNKNOWN)" - &gt;&gt; 2017-01-22-UncaughtWiMAX.txt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470</v>
      </c>
      <c r="B18" s="7">
        <v>4028</v>
      </c>
      <c r="C18" s="22" t="s">
        <v>196</v>
      </c>
      <c r="D18" s="22" t="s">
        <v>667</v>
      </c>
      <c r="E18" s="13">
        <v>42757.206736111111</v>
      </c>
      <c r="F18" s="13">
        <v>42757.216145833336</v>
      </c>
      <c r="G18" s="7">
        <v>1</v>
      </c>
      <c r="H18" s="22" t="s">
        <v>326</v>
      </c>
      <c r="I18" s="13">
        <v>42757.243055555555</v>
      </c>
      <c r="J18" s="7">
        <v>1</v>
      </c>
      <c r="K18" s="105" t="str">
        <f t="shared" si="0"/>
        <v>4027/4028</v>
      </c>
      <c r="L18" s="22" t="str">
        <f>VLOOKUP(A18,'Trips&amp;Operators'!$C$1:$G$99999,5,FALSE)</f>
        <v>PERKINS DARREN</v>
      </c>
      <c r="M18" s="6">
        <f t="shared" si="1"/>
        <v>2.6909722218988463E-2</v>
      </c>
      <c r="N18" s="7">
        <f t="shared" si="2"/>
        <v>38.749999995343387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d0f6bd738d7f1b3e5a7ca70fe4ff75f0.us-east-1.aws.found.io/app/kibana#/discover/Steve-Slow-Train-Analysis-(2080s-and-2083s)?_g=(refreshInterval:(display:Off,pause:!f,section:0,value:0),time:(from:'2017-01-22T03:57:42-0700',mode:absolute,to:'2017-01-22T06:50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" s="49" t="str">
        <f t="shared" si="6"/>
        <v>N</v>
      </c>
      <c r="X18" s="170">
        <f t="shared" si="7"/>
        <v>1</v>
      </c>
      <c r="Y18" s="64">
        <f t="shared" si="8"/>
        <v>23.268999999999998</v>
      </c>
      <c r="Z18" s="64">
        <f t="shared" si="9"/>
        <v>1.41E-2</v>
      </c>
      <c r="AA18" s="64">
        <f t="shared" si="10"/>
        <v>23.254899999999999</v>
      </c>
      <c r="AB18" s="61" t="e">
        <f>VLOOKUP(A18,Enforcements!$C$7:$K$16,8,0)</f>
        <v>#N/A</v>
      </c>
      <c r="AC18" s="57" t="e">
        <f>VLOOKUP(A18,Enforcements!$C$7:$E$16,3,0)</f>
        <v>#N/A</v>
      </c>
      <c r="AD18" s="58" t="str">
        <f t="shared" si="11"/>
        <v>0106-22</v>
      </c>
      <c r="AE18" s="87" t="str">
        <f t="shared" si="12"/>
        <v>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 &amp; 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</v>
      </c>
      <c r="AF18" s="84" t="str">
        <f t="shared" si="13"/>
        <v>"C:\Program Files (x86)\AstroGrep\AstroGrep.exe" /spath="%USERPROFILE%\AppData\Local\Temp\OnboardLogs" /stypes="app*4028*20170122*"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106-22 --locoid 4028 --swversion DE.1.0.8.0 --startMP 204:232690 --initTime 2017-01-22T04:57:42 --startdatetime 2017-01-22T05:11:15 --delay 1 --endMP 204:141 --enddatetime 2017-01-22T05:50:00 --enforcementcount 1 &gt;&gt;C:\Users\stu\Documents\GitHub\eaglep3-reporting\EC\2017-01-22-refined-times.txt</v>
      </c>
      <c r="AI18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{"issue":{"subject":"","project_id":79,"tracker_id":40,"status_id":1,"priority_id":2,"assigned_to_id":23,"start_date":"2017-01-22","description":"","custom_fields":[{"id":1,"name":"Subdivision","value":"EC"},{"id":4,"name":"Milepost","value":"0.0141"},{"id":17,"name":"Train ID","value":"106-22"},{"id":16,"name":"Locomotive ID","value":"4028"},{"id":130,"name":"Impact","value":""},{"id":150,"name":"Time of Event (Mountain Time)","value":"05:50:00"},{"id":151,"name":"Denver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20"/>
        <v>start /low /b %USERPROFILE%\Documents\GitHub\eaglep3\Utilities\DownloadLogsFromS3.py --loco 4028 --day 2017-01-22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"%USERPROFILE%\AppData\Local\Temp\OnboardLogs"\RTDC4028\*4028*20170122* | grep -SE "(Enforcement Action)|(\[TIMEOUT)|(CHR.+\|PRM\|1\|D.+(SWITCH|SIGNAL).+UNKNOWN)" - &gt;&gt; 2017-01-22-UncaughtWiMAX.txt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466</v>
      </c>
      <c r="B19" s="7">
        <v>4007</v>
      </c>
      <c r="C19" s="22" t="s">
        <v>196</v>
      </c>
      <c r="D19" s="22" t="s">
        <v>329</v>
      </c>
      <c r="E19" s="13">
        <v>42757.182951388888</v>
      </c>
      <c r="F19" s="13">
        <v>42757.187719907408</v>
      </c>
      <c r="G19" s="7">
        <v>1</v>
      </c>
      <c r="H19" s="22" t="s">
        <v>668</v>
      </c>
      <c r="I19" s="13">
        <v>42757.213530092595</v>
      </c>
      <c r="J19" s="7">
        <v>1</v>
      </c>
      <c r="K19" s="105" t="str">
        <f t="shared" si="0"/>
        <v>4007/4008</v>
      </c>
      <c r="L19" s="22" t="str">
        <f>VLOOKUP(A19,'Trips&amp;Operators'!$C$1:$G$99999,5,FALSE)</f>
        <v>DAVIS WENDY</v>
      </c>
      <c r="M19" s="6">
        <f t="shared" si="1"/>
        <v>2.5810185186855961E-2</v>
      </c>
      <c r="N19" s="7">
        <f t="shared" si="2"/>
        <v>37.166666669072583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d0f6bd738d7f1b3e5a7ca70fe4ff75f0.us-east-1.aws.found.io/app/kibana#/discover/Steve-Slow-Train-Analysis-(2080s-and-2083s)?_g=(refreshInterval:(display:Off,pause:!f,section:0,value:0),time:(from:'2017-01-22T03:23:27-0700',mode:absolute,to:'2017-01-22T06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" s="49" t="str">
        <f t="shared" si="6"/>
        <v>N</v>
      </c>
      <c r="X19" s="170">
        <f t="shared" si="7"/>
        <v>1</v>
      </c>
      <c r="Y19" s="64">
        <f t="shared" si="8"/>
        <v>4.6399999999999997E-2</v>
      </c>
      <c r="Z19" s="64">
        <f t="shared" si="9"/>
        <v>23.331600000000002</v>
      </c>
      <c r="AA19" s="64">
        <f t="shared" si="10"/>
        <v>23.285200000000003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11"/>
        <v>0107-22</v>
      </c>
      <c r="AE19" s="87" t="str">
        <f t="shared" si="12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19" s="84" t="str">
        <f t="shared" si="13"/>
        <v>"C:\Program Files (x86)\AstroGrep\AstroGrep.exe" /spath="%USERPROFILE%\AppData\Local\Temp\OnboardLogs" /stypes="app*4007*20170122*"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107-22 --locoid 4007 --swversion DE.1.0.8.0 --startMP 204:464 --initTime 2017-01-22T04:23:27 --startdatetime 2017-01-22T04:30:19 --delay 1 --endMP 204:233316 --enddatetime 2017-01-22T05:07:29 --enforcementcount 1 &gt;&gt;C:\Users\stu\Documents\GitHub\eaglep3-reporting\EC\2017-01-22-refined-times.txt</v>
      </c>
      <c r="AI19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{"issue":{"subject":"","project_id":79,"tracker_id":40,"status_id":1,"priority_id":2,"assigned_to_id":23,"start_date":"2017-01-22","description":"","custom_fields":[{"id":1,"name":"Subdivision","value":"EC"},{"id":4,"name":"Milepost","value":"23.3316"},{"id":17,"name":"Train ID","value":"107-22"},{"id":16,"name":"Locomotive ID","value":"4007"},{"id":130,"name":"Impact","value":""},{"id":150,"name":"Time of Event (Mountain Time)","value":"05:07:29"},{"id":151,"name":"Denver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20"/>
        <v>start /low /b %USERPROFILE%\Documents\GitHub\eaglep3\Utilities\DownloadLogsFromS3.py --loco 4007 --day 2017-01-22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2017-01-22-UncaughtWiMAX.txt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472</v>
      </c>
      <c r="B20" s="7">
        <v>4008</v>
      </c>
      <c r="C20" s="22" t="s">
        <v>196</v>
      </c>
      <c r="D20" s="22" t="s">
        <v>270</v>
      </c>
      <c r="E20" s="13">
        <v>42757.22488425926</v>
      </c>
      <c r="F20" s="13">
        <v>42757.226550925923</v>
      </c>
      <c r="G20" s="7">
        <v>1</v>
      </c>
      <c r="H20" s="22" t="s">
        <v>284</v>
      </c>
      <c r="I20" s="13">
        <v>42757.255949074075</v>
      </c>
      <c r="J20" s="7">
        <v>1</v>
      </c>
      <c r="K20" s="105" t="str">
        <f t="shared" si="0"/>
        <v>4007/4008</v>
      </c>
      <c r="L20" s="22" t="str">
        <f>VLOOKUP(A20,'Trips&amp;Operators'!$C$1:$G$99999,5,FALSE)</f>
        <v>DAVIS WENDY</v>
      </c>
      <c r="M20" s="6">
        <f t="shared" si="1"/>
        <v>2.9398148151813075E-2</v>
      </c>
      <c r="N20" s="7">
        <f t="shared" si="2"/>
        <v>42.333333338610828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d0f6bd738d7f1b3e5a7ca70fe4ff75f0.us-east-1.aws.found.io/app/kibana#/discover/Steve-Slow-Train-Analysis-(2080s-and-2083s)?_g=(refreshInterval:(display:Off,pause:!f,section:0,value:0),time:(from:'2017-01-22T04:23:50-0700',mode:absolute,to:'2017-01-22T07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" s="49" t="str">
        <f t="shared" si="6"/>
        <v>N</v>
      </c>
      <c r="X20" s="170">
        <f t="shared" si="7"/>
        <v>1</v>
      </c>
      <c r="Y20" s="64">
        <f t="shared" si="8"/>
        <v>23.297799999999999</v>
      </c>
      <c r="Z20" s="64">
        <f t="shared" si="9"/>
        <v>1.61E-2</v>
      </c>
      <c r="AA20" s="64">
        <f t="shared" si="10"/>
        <v>23.281699999999997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11"/>
        <v>0108-22</v>
      </c>
      <c r="AE20" s="87" t="str">
        <f t="shared" si="12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20" s="84" t="str">
        <f t="shared" si="13"/>
        <v>"C:\Program Files (x86)\AstroGrep\AstroGrep.exe" /spath="%USERPROFILE%\AppData\Local\Temp\OnboardLogs" /stypes="app*4008*20170122*"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108-22 --locoid 4008 --swversion DE.1.0.8.0 --startMP 204:232978 --initTime 2017-01-22T05:23:50 --startdatetime 2017-01-22T05:26:14 --delay 1 --endMP 204:161 --enddatetime 2017-01-22T06:08:34 --enforcementcount 1 &gt;&gt;C:\Users\stu\Documents\GitHub\eaglep3-reporting\EC\2017-01-22-refined-times.txt</v>
      </c>
      <c r="AI20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{"issue":{"subject":"","project_id":79,"tracker_id":40,"status_id":1,"priority_id":2,"assigned_to_id":23,"start_date":"2017-01-22","description":"","custom_fields":[{"id":1,"name":"Subdivision","value":"EC"},{"id":4,"name":"Milepost","value":"0.0161"},{"id":17,"name":"Train ID","value":"108-22"},{"id":16,"name":"Locomotive ID","value":"4008"},{"id":130,"name":"Impact","value":""},{"id":150,"name":"Time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20"/>
        <v>start /low /b %USERPROFILE%\Documents\GitHub\eaglep3\Utilities\DownloadLogsFromS3.py --loco 4008 --day 2017-01-22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468</v>
      </c>
      <c r="B21" s="7">
        <v>4022</v>
      </c>
      <c r="C21" s="22" t="s">
        <v>196</v>
      </c>
      <c r="D21" s="22" t="s">
        <v>272</v>
      </c>
      <c r="E21" s="13">
        <v>42757.194699074076</v>
      </c>
      <c r="F21" s="13">
        <v>42757.198136574072</v>
      </c>
      <c r="G21" s="7">
        <v>1</v>
      </c>
      <c r="H21" s="22" t="s">
        <v>669</v>
      </c>
      <c r="I21" s="13">
        <v>42757.224398148152</v>
      </c>
      <c r="J21" s="7">
        <v>1</v>
      </c>
      <c r="K21" s="105" t="str">
        <f t="shared" si="0"/>
        <v>4021/4022</v>
      </c>
      <c r="L21" s="22" t="str">
        <f>VLOOKUP(A21,'Trips&amp;Operators'!$C$1:$G$99999,5,FALSE)</f>
        <v>ROBINSON KADDIBA</v>
      </c>
      <c r="M21" s="6">
        <f t="shared" si="1"/>
        <v>2.6261574079398997E-2</v>
      </c>
      <c r="N21" s="7">
        <f t="shared" si="2"/>
        <v>37.816666674334556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d0f6bd738d7f1b3e5a7ca70fe4ff75f0.us-east-1.aws.found.io/app/kibana#/discover/Steve-Slow-Train-Analysis-(2080s-and-2083s)?_g=(refreshInterval:(display:Off,pause:!f,section:0,value:0),time:(from:'2017-01-22T03:40:22-0700',mode:absolute,to:'2017-01-22T06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" s="49" t="str">
        <f t="shared" si="6"/>
        <v>N</v>
      </c>
      <c r="X21" s="170">
        <f t="shared" si="7"/>
        <v>1</v>
      </c>
      <c r="Y21" s="64">
        <f t="shared" si="8"/>
        <v>4.5100000000000001E-2</v>
      </c>
      <c r="Z21" s="64">
        <f t="shared" si="9"/>
        <v>23.332100000000001</v>
      </c>
      <c r="AA21" s="64">
        <f t="shared" si="10"/>
        <v>23.286999999999999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11"/>
        <v>0109-22</v>
      </c>
      <c r="AE21" s="87" t="str">
        <f t="shared" si="12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21" s="84" t="str">
        <f t="shared" si="13"/>
        <v>"C:\Program Files (x86)\AstroGrep\AstroGrep.exe" /spath="%USERPROFILE%\AppData\Local\Temp\OnboardLogs" /stypes="app*4022*20170122*"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109-22 --locoid 4022 --swversion DE.1.0.8.0 --startMP 204:451 --initTime 2017-01-22T04:40:22 --startdatetime 2017-01-22T04:45:19 --delay 1 --endMP 204:233321 --enddatetime 2017-01-22T05:23:08 --enforcementcount 1 &gt;&gt;C:\Users\stu\Documents\GitHub\eaglep3-reporting\EC\2017-01-22-refined-times.txt</v>
      </c>
      <c r="AI21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{"issue":{"subject":"","project_id":79,"tracker_id":40,"status_id":1,"priority_id":2,"assigned_to_id":23,"start_date":"2017-01-22","description":"","custom_fields":[{"id":1,"name":"Subdivision","value":"EC"},{"id":4,"name":"Milepost","value":"23.3321"},{"id":17,"name":"Train ID","value":"109-22"},{"id":16,"name":"Locomotive ID","value":"4022"},{"id":130,"name":"Impact","value":""},{"id":150,"name":"Time of Event (Mountain Time)","value":"05:23:08"},{"id":151,"name":"Denver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20"/>
        <v>start /low /b %USERPROFILE%\Documents\GitHub\eaglep3\Utilities\DownloadLogsFromS3.py --loco 4022 --day 2017-01-22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2017-01-22-UncaughtWiMAX.txt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478</v>
      </c>
      <c r="B22" s="7">
        <v>4021</v>
      </c>
      <c r="C22" s="22" t="s">
        <v>196</v>
      </c>
      <c r="D22" s="22" t="s">
        <v>670</v>
      </c>
      <c r="E22" s="13">
        <v>42757.231145833335</v>
      </c>
      <c r="F22" s="13">
        <v>42757.236979166664</v>
      </c>
      <c r="G22" s="7">
        <v>1</v>
      </c>
      <c r="H22" s="22" t="s">
        <v>186</v>
      </c>
      <c r="I22" s="13">
        <v>42757.263842592591</v>
      </c>
      <c r="J22" s="7">
        <v>1</v>
      </c>
      <c r="K22" s="105" t="str">
        <f t="shared" si="0"/>
        <v>4021/4022</v>
      </c>
      <c r="L22" s="22" t="str">
        <f>VLOOKUP(A22,'Trips&amp;Operators'!$C$1:$G$99999,5,FALSE)</f>
        <v>ROBINSON KADDIBA</v>
      </c>
      <c r="M22" s="6">
        <f t="shared" si="1"/>
        <v>2.6863425926421769E-2</v>
      </c>
      <c r="N22" s="7">
        <f t="shared" si="2"/>
        <v>38.683333334047347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d0f6bd738d7f1b3e5a7ca70fe4ff75f0.us-east-1.aws.found.io/app/kibana#/discover/Steve-Slow-Train-Analysis-(2080s-and-2083s)?_g=(refreshInterval:(display:Off,pause:!f,section:0,value:0),time:(from:'2017-01-22T04:32:51-0700',mode:absolute,to:'2017-01-22T07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" s="49" t="str">
        <f t="shared" si="6"/>
        <v>N</v>
      </c>
      <c r="X22" s="170">
        <f t="shared" si="7"/>
        <v>1</v>
      </c>
      <c r="Y22" s="64">
        <f t="shared" si="8"/>
        <v>23.303000000000001</v>
      </c>
      <c r="Z22" s="64">
        <f t="shared" si="9"/>
        <v>1.49E-2</v>
      </c>
      <c r="AA22" s="64">
        <f t="shared" si="10"/>
        <v>23.2881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11"/>
        <v>0110-22</v>
      </c>
      <c r="AE22" s="87" t="str">
        <f t="shared" si="12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22" s="84" t="str">
        <f t="shared" si="13"/>
        <v>"C:\Program Files (x86)\AstroGrep\AstroGrep.exe" /spath="%USERPROFILE%\AppData\Local\Temp\OnboardLogs" /stypes="app*4021*20170122*"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110-22 --locoid 4021 --swversion DE.1.0.8.0 --startMP 204:233030 --initTime 2017-01-22T05:32:51 --startdatetime 2017-01-22T05:41:15 --delay 1 --endMP 204:149 --enddatetime 2017-01-22T06:19:56 --enforcementcount 1 &gt;&gt;C:\Users\stu\Documents\GitHub\eaglep3-reporting\EC\2017-01-22-refined-times.txt</v>
      </c>
      <c r="AI22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{"issue":{"subject":"","project_id":79,"tracker_id":40,"status_id":1,"priority_id":2,"assigned_to_id":23,"start_date":"2017-01-22","description":"","custom_fields":[{"id":1,"name":"Subdivision","value":"EC"},{"id":4,"name":"Milepost","value":"0.0149"},{"id":17,"name":"Train ID","value":"110-22"},{"id":16,"name":"Locomotive ID","value":"4021"},{"id":130,"name":"Impact","value":""},{"id":150,"name":"Time of Event (Mountain Time)","value":"06:19:56"},{"id":151,"name":"Denver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20"/>
        <v>start /low /b %USERPROFILE%\Documents\GitHub\eaglep3\Utilities\DownloadLogsFromS3.py --loco 4021 --day 2017-01-22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469</v>
      </c>
      <c r="B23" s="7">
        <v>4003</v>
      </c>
      <c r="C23" s="22" t="s">
        <v>196</v>
      </c>
      <c r="D23" s="22" t="s">
        <v>423</v>
      </c>
      <c r="E23" s="13">
        <v>42757.204745370371</v>
      </c>
      <c r="F23" s="13">
        <v>42757.208541666667</v>
      </c>
      <c r="G23" s="7">
        <v>2</v>
      </c>
      <c r="H23" s="22" t="s">
        <v>260</v>
      </c>
      <c r="I23" s="13">
        <v>42757.232928240737</v>
      </c>
      <c r="J23" s="7">
        <v>1</v>
      </c>
      <c r="K23" s="105" t="str">
        <f t="shared" si="0"/>
        <v>4003/4004</v>
      </c>
      <c r="L23" s="22" t="str">
        <f>VLOOKUP(A23,'Trips&amp;Operators'!$C$1:$G$99999,5,FALSE)</f>
        <v>GEBRETEKLE DAGNEW</v>
      </c>
      <c r="M23" s="6">
        <f t="shared" si="1"/>
        <v>2.438657407037681E-2</v>
      </c>
      <c r="N23" s="7">
        <f t="shared" si="2"/>
        <v>35.116666661342606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d0f6bd738d7f1b3e5a7ca70fe4ff75f0.us-east-1.aws.found.io/app/kibana#/discover/Steve-Slow-Train-Analysis-(2080s-and-2083s)?_g=(refreshInterval:(display:Off,pause:!f,section:0,value:0),time:(from:'2017-01-22T03:54:50-0700',mode:absolute,to:'2017-01-22T06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" s="49" t="str">
        <f t="shared" si="6"/>
        <v>N</v>
      </c>
      <c r="X23" s="170">
        <f t="shared" si="7"/>
        <v>1</v>
      </c>
      <c r="Y23" s="64">
        <f t="shared" si="8"/>
        <v>7.4999999999999997E-2</v>
      </c>
      <c r="Z23" s="64">
        <f t="shared" si="9"/>
        <v>23.329499999999999</v>
      </c>
      <c r="AA23" s="64">
        <f t="shared" si="10"/>
        <v>23.2545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11"/>
        <v>0111-22</v>
      </c>
      <c r="AE23" s="87" t="str">
        <f t="shared" si="12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23" s="84" t="str">
        <f t="shared" si="13"/>
        <v>"C:\Program Files (x86)\AstroGrep\AstroGrep.exe" /spath="%USERPROFILE%\AppData\Local\Temp\OnboardLogs" /stypes="app*4003*20170122*"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111-22 --locoid 4003 --swversion DE.1.0.8.0 --startMP 204:750 --initTime 2017-01-22T04:54:50 --startdatetime 2017-01-22T05:00:18 --delay 2 --endMP 204:233295 --enddatetime 2017-01-22T05:35:25 --enforcementcount 1 &gt;&gt;C:\Users\stu\Documents\GitHub\eaglep3-reporting\EC\2017-01-22-refined-times.txt</v>
      </c>
      <c r="AI23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{"issue":{"subject":"","project_id":79,"tracker_id":40,"status_id":1,"priority_id":2,"assigned_to_id":23,"start_date":"2017-01-22","description":"","custom_fields":[{"id":1,"name":"Subdivision","value":"EC"},{"id":4,"name":"Milepost","value":"23.3295"},{"id":17,"name":"Train ID","value":"111-22"},{"id":16,"name":"Locomotive ID","value":"4003"},{"id":130,"name":"Impact","value":""},{"id":150,"name":"Time of Event (Mountain Time)","value":"05:35:25"},{"id":151,"name":"Denver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20"/>
        <v>start /low /b %USERPROFILE%\Documents\GitHub\eaglep3\Utilities\DownloadLogsFromS3.py --loco 4003 --day 2017-01-22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482</v>
      </c>
      <c r="B24" s="7">
        <v>4004</v>
      </c>
      <c r="C24" s="22" t="s">
        <v>196</v>
      </c>
      <c r="D24" s="22" t="s">
        <v>671</v>
      </c>
      <c r="E24" s="13">
        <v>42757.242037037038</v>
      </c>
      <c r="F24" s="13">
        <v>42757.247407407405</v>
      </c>
      <c r="G24" s="7">
        <v>1</v>
      </c>
      <c r="H24" s="22" t="s">
        <v>186</v>
      </c>
      <c r="I24" s="13">
        <v>42757.274097222224</v>
      </c>
      <c r="J24" s="7">
        <v>1</v>
      </c>
      <c r="K24" s="105" t="str">
        <f t="shared" si="0"/>
        <v>4003/4004</v>
      </c>
      <c r="L24" s="22" t="str">
        <f>VLOOKUP(A24,'Trips&amp;Operators'!$C$1:$G$99999,5,FALSE)</f>
        <v>GEBRETEKLE DAGNEW</v>
      </c>
      <c r="M24" s="6">
        <f t="shared" si="1"/>
        <v>2.6689814818382729E-2</v>
      </c>
      <c r="N24" s="7">
        <f t="shared" si="2"/>
        <v>38.43333333847113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d0f6bd738d7f1b3e5a7ca70fe4ff75f0.us-east-1.aws.found.io/app/kibana#/discover/Steve-Slow-Train-Analysis-(2080s-and-2083s)?_g=(refreshInterval:(display:Off,pause:!f,section:0,value:0),time:(from:'2017-01-22T04:48:32-0700',mode:absolute,to:'2017-01-22T07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" s="49" t="str">
        <f t="shared" si="6"/>
        <v>N</v>
      </c>
      <c r="X24" s="170">
        <f t="shared" si="7"/>
        <v>1</v>
      </c>
      <c r="Y24" s="64">
        <f t="shared" si="8"/>
        <v>23.299199999999999</v>
      </c>
      <c r="Z24" s="64">
        <f t="shared" si="9"/>
        <v>1.49E-2</v>
      </c>
      <c r="AA24" s="64">
        <f t="shared" si="10"/>
        <v>23.284299999999998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11"/>
        <v>0112-22</v>
      </c>
      <c r="AE24" s="87" t="str">
        <f t="shared" si="12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24" s="84" t="str">
        <f t="shared" si="13"/>
        <v>"C:\Program Files (x86)\AstroGrep\AstroGrep.exe" /spath="%USERPROFILE%\AppData\Local\Temp\OnboardLogs" /stypes="app*4004*20170122*"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112-22 --locoid 4004 --swversion DE.1.0.8.0 --startMP 204:232992 --initTime 2017-01-22T05:48:32 --startdatetime 2017-01-22T05:56:16 --delay 1 --endMP 204:149 --enddatetime 2017-01-22T06:34:42 --enforcementcount 1 &gt;&gt;C:\Users\stu\Documents\GitHub\eaglep3-reporting\EC\2017-01-22-refined-times.txt</v>
      </c>
      <c r="AI24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{"issue":{"subject":"","project_id":79,"tracker_id":40,"status_id":1,"priority_id":2,"assigned_to_id":23,"start_date":"2017-01-22","description":"","custom_fields":[{"id":1,"name":"Subdivision","value":"EC"},{"id":4,"name":"Milepost","value":"0.0149"},{"id":17,"name":"Train ID","value":"112-22"},{"id":16,"name":"Locomotive ID","value":"4004"},{"id":130,"name":"Impact","value":""},{"id":150,"name":"Time of Event (Mountain Time)","value":"06:34:42"},{"id":151,"name":"Denver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20"/>
        <v>start /low /b %USERPROFILE%\Documents\GitHub\eaglep3\Utilities\DownloadLogsFromS3.py --loco 4004 --day 2017-01-22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471</v>
      </c>
      <c r="B25" s="7">
        <v>4046</v>
      </c>
      <c r="C25" s="22" t="s">
        <v>196</v>
      </c>
      <c r="D25" s="22" t="s">
        <v>335</v>
      </c>
      <c r="E25" s="13">
        <v>42757.210312499999</v>
      </c>
      <c r="F25" s="13">
        <v>42757.218946759262</v>
      </c>
      <c r="G25" s="7">
        <v>1</v>
      </c>
      <c r="H25" s="22" t="s">
        <v>672</v>
      </c>
      <c r="I25" s="13">
        <v>42757.245474537034</v>
      </c>
      <c r="J25" s="7">
        <v>1</v>
      </c>
      <c r="K25" s="105" t="str">
        <f t="shared" si="0"/>
        <v>4045/4046</v>
      </c>
      <c r="L25" s="22" t="str">
        <f>VLOOKUP(A25,'Trips&amp;Operators'!$C$1:$G$99999,5,FALSE)</f>
        <v>OUN ZACK</v>
      </c>
      <c r="M25" s="6">
        <f t="shared" si="1"/>
        <v>2.6527777772571426E-2</v>
      </c>
      <c r="N25" s="7">
        <f t="shared" si="2"/>
        <v>38.199999992502853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d0f6bd738d7f1b3e5a7ca70fe4ff75f0.us-east-1.aws.found.io/app/kibana#/discover/Steve-Slow-Train-Analysis-(2080s-and-2083s)?_g=(refreshInterval:(display:Off,pause:!f,section:0,value:0),time:(from:'2017-01-22T04:02:51-0700',mode:absolute,to:'2017-01-22T06:53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" s="49" t="str">
        <f t="shared" si="6"/>
        <v>N</v>
      </c>
      <c r="X25" s="170">
        <f t="shared" si="7"/>
        <v>1</v>
      </c>
      <c r="Y25" s="64">
        <f t="shared" si="8"/>
        <v>4.3499999999999997E-2</v>
      </c>
      <c r="Z25" s="64">
        <f t="shared" si="9"/>
        <v>23.335100000000001</v>
      </c>
      <c r="AA25" s="64">
        <f t="shared" si="10"/>
        <v>23.291599999999999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11"/>
        <v>0113-22</v>
      </c>
      <c r="AE25" s="87" t="str">
        <f t="shared" si="12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25" s="84" t="str">
        <f t="shared" si="13"/>
        <v>"C:\Program Files (x86)\AstroGrep\AstroGrep.exe" /spath="%USERPROFILE%\AppData\Local\Temp\OnboardLogs" /stypes="app*4046*20170122*"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113-22 --locoid 4046 --swversion DE.1.0.8.0 --startMP 204:435 --initTime 2017-01-22T05:02:51 --startdatetime 2017-01-22T05:15:17 --delay 1 --endMP 204:233351 --enddatetime 2017-01-22T05:53:29 --enforcementcount 1 &gt;&gt;C:\Users\stu\Documents\GitHub\eaglep3-reporting\EC\2017-01-22-refined-times.txt</v>
      </c>
      <c r="AI25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{"issue":{"subject":"","project_id":79,"tracker_id":40,"status_id":1,"priority_id":2,"assigned_to_id":23,"start_date":"2017-01-22","description":"","custom_fields":[{"id":1,"name":"Subdivision","value":"EC"},{"id":4,"name":"Milepost","value":"23.3351"},{"id":17,"name":"Train ID","value":"113-22"},{"id":16,"name":"Locomotive ID","value":"4046"},{"id":130,"name":"Impact","value":""},{"id":150,"name":"Time of Event (Mountain Time)","value":"05:53:29"},{"id":151,"name":"Denver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20"/>
        <v>start /low /b %USERPROFILE%\Documents\GitHub\eaglep3\Utilities\DownloadLogsFromS3.py --loco 4046 --day 2017-01-22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"%USERPROFILE%\AppData\Local\Temp\OnboardLogs"\RTDC4046\*4046*20170122* | grep -SE "(Enforcement Action)|(\[TIMEOUT)|(CHR.+\|PRM\|1\|D.+(SWITCH|SIGNAL).+UNKNOWN)" - &gt;&gt; 2017-01-22-UncaughtWiMAX.txt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485</v>
      </c>
      <c r="B26" s="7">
        <v>4045</v>
      </c>
      <c r="C26" s="22" t="s">
        <v>196</v>
      </c>
      <c r="D26" s="22" t="s">
        <v>670</v>
      </c>
      <c r="E26" s="13">
        <v>42757.254664351851</v>
      </c>
      <c r="F26" s="13">
        <v>42757.257835648146</v>
      </c>
      <c r="G26" s="7">
        <v>1</v>
      </c>
      <c r="H26" s="22" t="s">
        <v>213</v>
      </c>
      <c r="I26" s="13">
        <v>42757.284675925926</v>
      </c>
      <c r="J26" s="7">
        <v>1</v>
      </c>
      <c r="K26" s="105" t="str">
        <f t="shared" si="0"/>
        <v>4045/4046</v>
      </c>
      <c r="L26" s="22" t="str">
        <f>VLOOKUP(A26,'Trips&amp;Operators'!$C$1:$G$99999,5,FALSE)</f>
        <v>OUN ZACK</v>
      </c>
      <c r="M26" s="6">
        <f t="shared" si="1"/>
        <v>2.6840277780138422E-2</v>
      </c>
      <c r="N26" s="7">
        <f t="shared" si="2"/>
        <v>38.650000003399327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d0f6bd738d7f1b3e5a7ca70fe4ff75f0.us-east-1.aws.found.io/app/kibana#/discover/Steve-Slow-Train-Analysis-(2080s-and-2083s)?_g=(refreshInterval:(display:Off,pause:!f,section:0,value:0),time:(from:'2017-01-22T05:06:43-0700',mode:absolute,to:'2017-01-22T07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6" s="49" t="str">
        <f t="shared" si="6"/>
        <v>N</v>
      </c>
      <c r="X26" s="170">
        <f t="shared" si="7"/>
        <v>1</v>
      </c>
      <c r="Y26" s="64">
        <f t="shared" si="8"/>
        <v>23.303000000000001</v>
      </c>
      <c r="Z26" s="64">
        <f t="shared" si="9"/>
        <v>1.3899999999999999E-2</v>
      </c>
      <c r="AA26" s="64">
        <f t="shared" si="10"/>
        <v>23.289100000000001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11"/>
        <v>0114-22</v>
      </c>
      <c r="AE26" s="87" t="str">
        <f t="shared" si="12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26" s="84" t="str">
        <f t="shared" si="13"/>
        <v>"C:\Program Files (x86)\AstroGrep\AstroGrep.exe" /spath="%USERPROFILE%\AppData\Local\Temp\OnboardLogs" /stypes="app*4045*20170122*"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114-22 --locoid 4045 --swversion DE.1.0.8.0 --startMP 204:233030 --initTime 2017-01-22T06:06:43 --startdatetime 2017-01-22T06:11:17 --delay 1 --endMP 204:139 --enddatetime 2017-01-22T06:49:56 --enforcementcount 1 &gt;&gt;C:\Users\stu\Documents\GitHub\eaglep3-reporting\EC\2017-01-22-refined-times.txt</v>
      </c>
      <c r="AI26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{"issue":{"subject":"","project_id":79,"tracker_id":40,"status_id":1,"priority_id":2,"assigned_to_id":23,"start_date":"2017-01-22","description":"","custom_fields":[{"id":1,"name":"Subdivision","value":"EC"},{"id":4,"name":"Milepost","value":"0.0139"},{"id":17,"name":"Train ID","value":"114-22"},{"id":16,"name":"Locomotive ID","value":"4045"},{"id":130,"name":"Impact","value":""},{"id":150,"name":"Time of Event (Mountain Time)","value":"06:49:56"},{"id":151,"name":"Denver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20"/>
        <v>start /low /b %USERPROFILE%\Documents\GitHub\eaglep3\Utilities\DownloadLogsFromS3.py --loco 4045 --day 2017-01-22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473</v>
      </c>
      <c r="B27" s="7">
        <v>4044</v>
      </c>
      <c r="C27" s="22" t="s">
        <v>196</v>
      </c>
      <c r="D27" s="22" t="s">
        <v>673</v>
      </c>
      <c r="E27" s="13">
        <v>42757.227511574078</v>
      </c>
      <c r="F27" s="13">
        <v>42757.229409722226</v>
      </c>
      <c r="G27" s="7">
        <v>1</v>
      </c>
      <c r="H27" s="22" t="s">
        <v>410</v>
      </c>
      <c r="I27" s="13">
        <v>42757.25608796296</v>
      </c>
      <c r="J27" s="7">
        <v>1</v>
      </c>
      <c r="K27" s="105" t="str">
        <f t="shared" si="0"/>
        <v>4043/4044</v>
      </c>
      <c r="L27" s="22" t="str">
        <f>VLOOKUP(A27,'Trips&amp;Operators'!$C$1:$G$99999,5,FALSE)</f>
        <v>SHOOK JOHN</v>
      </c>
      <c r="M27" s="6">
        <f t="shared" si="1"/>
        <v>2.6678240734327119E-2</v>
      </c>
      <c r="N27" s="7">
        <f t="shared" si="2"/>
        <v>38.416666657431051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d0f6bd738d7f1b3e5a7ca70fe4ff75f0.us-east-1.aws.found.io/app/kibana#/discover/Steve-Slow-Train-Analysis-(2080s-and-2083s)?_g=(refreshInterval:(display:Off,pause:!f,section:0,value:0),time:(from:'2017-01-22T04:27:37-0700',mode:absolute,to:'2017-01-22T07:08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7" s="49" t="str">
        <f t="shared" si="6"/>
        <v>N</v>
      </c>
      <c r="X27" s="170">
        <f t="shared" si="7"/>
        <v>1</v>
      </c>
      <c r="Y27" s="64">
        <f t="shared" si="8"/>
        <v>8.0299999999999996E-2</v>
      </c>
      <c r="Z27" s="64">
        <f t="shared" si="9"/>
        <v>23.333400000000001</v>
      </c>
      <c r="AA27" s="64">
        <f t="shared" si="10"/>
        <v>23.2531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11"/>
        <v>0115-22</v>
      </c>
      <c r="AE27" s="87" t="str">
        <f t="shared" si="12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27" s="84" t="str">
        <f t="shared" si="13"/>
        <v>"C:\Program Files (x86)\AstroGrep\AstroGrep.exe" /spath="%USERPROFILE%\AppData\Local\Temp\OnboardLogs" /stypes="app*4044*20170122*"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115-22 --locoid 4044 --swversion DE.1.0.8.0 --startMP 204:803 --initTime 2017-01-22T05:27:37 --startdatetime 2017-01-22T05:30:21 --delay 1 --endMP 204:233334 --enddatetime 2017-01-22T06:08:46 --enforcementcount 1 &gt;&gt;C:\Users\stu\Documents\GitHub\eaglep3-reporting\EC\2017-01-22-refined-times.txt</v>
      </c>
      <c r="AI27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{"issue":{"subject":"","project_id":79,"tracker_id":40,"status_id":1,"priority_id":2,"assigned_to_id":23,"start_date":"2017-01-22","description":"","custom_fields":[{"id":1,"name":"Subdivision","value":"EC"},{"id":4,"name":"Milepost","value":"23.3334"},{"id":17,"name":"Train ID","value":"115-22"},{"id":16,"name":"Locomotive ID","value":"4044"},{"id":130,"name":"Impact","value":""},{"id":150,"name":"Time of Event (Mountain Time)","value":"06:08:46"},{"id":151,"name":"Denver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20"/>
        <v>start /low /b %USERPROFILE%\Documents\GitHub\eaglep3\Utilities\DownloadLogsFromS3.py --loco 4044 --day 2017-01-22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487</v>
      </c>
      <c r="B28" s="7">
        <v>4043</v>
      </c>
      <c r="C28" s="22" t="s">
        <v>196</v>
      </c>
      <c r="D28" s="22" t="s">
        <v>332</v>
      </c>
      <c r="E28" s="13">
        <v>42757.257951388892</v>
      </c>
      <c r="F28" s="13">
        <v>42757.268252314818</v>
      </c>
      <c r="G28" s="7">
        <v>1</v>
      </c>
      <c r="H28" s="22" t="s">
        <v>200</v>
      </c>
      <c r="I28" s="13">
        <v>42757.296203703707</v>
      </c>
      <c r="J28" s="7">
        <v>1</v>
      </c>
      <c r="K28" s="105" t="str">
        <f t="shared" si="0"/>
        <v>4043/4044</v>
      </c>
      <c r="L28" s="22" t="str">
        <f>VLOOKUP(A28,'Trips&amp;Operators'!$C$1:$G$99999,5,FALSE)</f>
        <v>SHOOK JOHN</v>
      </c>
      <c r="M28" s="6">
        <f t="shared" si="1"/>
        <v>2.7951388889050577E-2</v>
      </c>
      <c r="N28" s="7">
        <f t="shared" si="2"/>
        <v>40.250000000232831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d0f6bd738d7f1b3e5a7ca70fe4ff75f0.us-east-1.aws.found.io/app/kibana#/discover/Steve-Slow-Train-Analysis-(2080s-and-2083s)?_g=(refreshInterval:(display:Off,pause:!f,section:0,value:0),time:(from:'2017-01-22T05:11:27-0700',mode:absolute,to:'2017-01-22T08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8" s="49" t="str">
        <f t="shared" si="6"/>
        <v>N</v>
      </c>
      <c r="X28" s="170">
        <f t="shared" si="7"/>
        <v>1</v>
      </c>
      <c r="Y28" s="64">
        <f t="shared" si="8"/>
        <v>23.3019</v>
      </c>
      <c r="Z28" s="64">
        <f t="shared" si="9"/>
        <v>1.4999999999999999E-2</v>
      </c>
      <c r="AA28" s="64">
        <f t="shared" si="10"/>
        <v>23.286899999999999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11"/>
        <v>0116-22</v>
      </c>
      <c r="AE28" s="87" t="str">
        <f t="shared" si="12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28" s="84" t="str">
        <f t="shared" si="13"/>
        <v>"C:\Program Files (x86)\AstroGrep\AstroGrep.exe" /spath="%USERPROFILE%\AppData\Local\Temp\OnboardLogs" /stypes="app*4043*20170122*"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116-22 --locoid 4043 --swversion DE.1.0.8.0 --startMP 204:233019 --initTime 2017-01-22T06:11:27 --startdatetime 2017-01-22T06:26:17 --delay 1 --endMP 204:150 --enddatetime 2017-01-22T07:06:32 --enforcementcount 1 &gt;&gt;C:\Users\stu\Documents\GitHub\eaglep3-reporting\EC\2017-01-22-refined-times.txt</v>
      </c>
      <c r="AI28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{"issue":{"subject":"","project_id":79,"tracker_id":40,"status_id":1,"priority_id":2,"assigned_to_id":23,"start_date":"2017-01-22","description":"","custom_fields":[{"id":1,"name":"Subdivision","value":"EC"},{"id":4,"name":"Milepost","value":"0.015"},{"id":17,"name":"Train ID","value":"116-22"},{"id":16,"name":"Locomotive ID","value":"4043"},{"id":130,"name":"Impact","value":""},{"id":150,"name":"Time of Event (Mountain Time)","value":"07:06:32"},{"id":151,"name":"Denver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20"/>
        <v>start /low /b %USERPROFILE%\Documents\GitHub\eaglep3\Utilities\DownloadLogsFromS3.py --loco 4043 --day 2017-01-22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2017-01-22-UncaughtWiMAX.txt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479</v>
      </c>
      <c r="B29" s="7">
        <v>4038</v>
      </c>
      <c r="C29" s="22" t="s">
        <v>196</v>
      </c>
      <c r="D29" s="22" t="s">
        <v>406</v>
      </c>
      <c r="E29" s="13">
        <v>42757.232048611113</v>
      </c>
      <c r="F29" s="13">
        <v>42757.23982638889</v>
      </c>
      <c r="G29" s="7">
        <v>1</v>
      </c>
      <c r="H29" s="22" t="s">
        <v>674</v>
      </c>
      <c r="I29" s="13">
        <v>42757.265219907407</v>
      </c>
      <c r="J29" s="7">
        <v>1</v>
      </c>
      <c r="K29" s="105" t="str">
        <f t="shared" si="0"/>
        <v>4037/4038</v>
      </c>
      <c r="L29" s="22" t="str">
        <f>VLOOKUP(A29,'Trips&amp;Operators'!$C$1:$G$99999,5,FALSE)</f>
        <v>MAELZER KURT</v>
      </c>
      <c r="M29" s="6">
        <f t="shared" si="1"/>
        <v>2.5393518517375924E-2</v>
      </c>
      <c r="N29" s="7">
        <f t="shared" si="2"/>
        <v>36.56666666502133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d0f6bd738d7f1b3e5a7ca70fe4ff75f0.us-east-1.aws.found.io/app/kibana#/discover/Steve-Slow-Train-Analysis-(2080s-and-2083s)?_g=(refreshInterval:(display:Off,pause:!f,section:0,value:0),time:(from:'2017-01-22T04:34:09-0700',mode:absolute,to:'2017-01-22T07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9" s="49" t="str">
        <f t="shared" si="6"/>
        <v>N</v>
      </c>
      <c r="X29" s="170">
        <f t="shared" si="7"/>
        <v>1</v>
      </c>
      <c r="Y29" s="64">
        <f t="shared" si="8"/>
        <v>4.53E-2</v>
      </c>
      <c r="Z29" s="64">
        <f t="shared" si="9"/>
        <v>23.331499999999998</v>
      </c>
      <c r="AA29" s="64">
        <f t="shared" si="10"/>
        <v>23.286199999999997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11"/>
        <v>0117-22</v>
      </c>
      <c r="AE29" s="87" t="str">
        <f t="shared" si="12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29" s="84" t="str">
        <f t="shared" si="13"/>
        <v>"C:\Program Files (x86)\AstroGrep\AstroGrep.exe" /spath="%USERPROFILE%\AppData\Local\Temp\OnboardLogs" /stypes="app*4038*20170122*"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117-22 --locoid 4038 --swversion DE.1.0.8.0 --startMP 204:453 --initTime 2017-01-22T05:34:09 --startdatetime 2017-01-22T05:45:21 --delay 1 --endMP 204:233315 --enddatetime 2017-01-22T06:21:55 --enforcementcount 1 &gt;&gt;C:\Users\stu\Documents\GitHub\eaglep3-reporting\EC\2017-01-22-refined-times.txt</v>
      </c>
      <c r="AI29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{"issue":{"subject":"","project_id":79,"tracker_id":40,"status_id":1,"priority_id":2,"assigned_to_id":23,"start_date":"2017-01-22","description":"","custom_fields":[{"id":1,"name":"Subdivision","value":"EC"},{"id":4,"name":"Milepost","value":"23.3315"},{"id":17,"name":"Train ID","value":"117-22"},{"id":16,"name":"Locomotive ID","value":"4038"},{"id":130,"name":"Impact","value":""},{"id":150,"name":"Time of Event (Mountain Time)","value":"06:21:55"},{"id":151,"name":"Denver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20"/>
        <v>start /low /b %USERPROFILE%\Documents\GitHub\eaglep3\Utilities\DownloadLogsFromS3.py --loco 4038 --day 2017-01-22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"%USERPROFILE%\AppData\Local\Temp\OnboardLogs"\RTDC4038\*4038*20170122* | grep -SE "(Enforcement Action)|(\[TIMEOUT)|(CHR.+\|PRM\|1\|D.+(SWITCH|SIGNAL).+UNKNOWN)" - &gt;&gt; 2017-01-22-UncaughtWiMAX.txt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489</v>
      </c>
      <c r="B30" s="7">
        <v>4037</v>
      </c>
      <c r="C30" s="22" t="s">
        <v>196</v>
      </c>
      <c r="D30" s="22" t="s">
        <v>675</v>
      </c>
      <c r="E30" s="13">
        <v>42757.273738425924</v>
      </c>
      <c r="F30" s="13">
        <v>42757.278900462959</v>
      </c>
      <c r="G30" s="7">
        <v>5</v>
      </c>
      <c r="H30" s="22" t="s">
        <v>206</v>
      </c>
      <c r="I30" s="13">
        <v>42757.305474537039</v>
      </c>
      <c r="J30" s="7">
        <v>1</v>
      </c>
      <c r="K30" s="105" t="str">
        <f t="shared" si="0"/>
        <v>4037/4038</v>
      </c>
      <c r="L30" s="22" t="str">
        <f>VLOOKUP(A30,'Trips&amp;Operators'!$C$1:$G$99999,5,FALSE)</f>
        <v>MAELZER KURT</v>
      </c>
      <c r="M30" s="6">
        <f t="shared" si="1"/>
        <v>2.6574074079690035E-2</v>
      </c>
      <c r="N30" s="7">
        <f t="shared" si="2"/>
        <v>38.266666674753651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d0f6bd738d7f1b3e5a7ca70fe4ff75f0.us-east-1.aws.found.io/app/kibana#/discover/Steve-Slow-Train-Analysis-(2080s-and-2083s)?_g=(refreshInterval:(display:Off,pause:!f,section:0,value:0),time:(from:'2017-01-22T05:34:11-0700',mode:absolute,to:'2017-01-22T08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30" s="49" t="str">
        <f t="shared" si="6"/>
        <v>N</v>
      </c>
      <c r="X30" s="170">
        <f t="shared" si="7"/>
        <v>1</v>
      </c>
      <c r="Y30" s="64">
        <f t="shared" si="8"/>
        <v>23.298500000000001</v>
      </c>
      <c r="Z30" s="64">
        <f t="shared" si="9"/>
        <v>1.4500000000000001E-2</v>
      </c>
      <c r="AA30" s="64">
        <f t="shared" si="10"/>
        <v>23.283999999999999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11"/>
        <v>0118-22</v>
      </c>
      <c r="AE30" s="87" t="str">
        <f t="shared" si="12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30" s="84" t="str">
        <f t="shared" si="13"/>
        <v>"C:\Program Files (x86)\AstroGrep\AstroGrep.exe" /spath="%USERPROFILE%\AppData\Local\Temp\OnboardLogs" /stypes="app*4037*20170122*"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118-22 --locoid 4037 --swversion DE.1.0.8.0 --startMP 204:232985 --initTime 2017-01-22T06:34:11 --startdatetime 2017-01-22T06:41:37 --delay 5 --endMP 204:145 --enddatetime 2017-01-22T07:19:53 --enforcementcount 1 &gt;&gt;C:\Users\stu\Documents\GitHub\eaglep3-reporting\EC\2017-01-22-refined-times.txt</v>
      </c>
      <c r="AI30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{"issue":{"subject":"","project_id":79,"tracker_id":40,"status_id":1,"priority_id":2,"assigned_to_id":23,"start_date":"2017-01-22","description":"","custom_fields":[{"id":1,"name":"Subdivision","value":"EC"},{"id":4,"name":"Milepost","value":"0.0145"},{"id":17,"name":"Train ID","value":"118-22"},{"id":16,"name":"Locomotive ID","value":"4037"},{"id":130,"name":"Impact","value":""},{"id":150,"name":"Time of Event (Mountain Time)","value":"07:19:53"},{"id":151,"name":"Denver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20"/>
        <v>start /low /b %USERPROFILE%\Documents\GitHub\eaglep3\Utilities\DownloadLogsFromS3.py --loco 4037 --day 2017-01-22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484</v>
      </c>
      <c r="B31" s="7">
        <v>4016</v>
      </c>
      <c r="C31" s="22" t="s">
        <v>196</v>
      </c>
      <c r="D31" s="22" t="s">
        <v>676</v>
      </c>
      <c r="E31" s="13">
        <v>42757.248657407406</v>
      </c>
      <c r="F31" s="13">
        <v>42757.250439814816</v>
      </c>
      <c r="G31" s="7">
        <v>1</v>
      </c>
      <c r="H31" s="22" t="s">
        <v>677</v>
      </c>
      <c r="I31" s="13">
        <v>42757.275590277779</v>
      </c>
      <c r="J31" s="7">
        <v>1</v>
      </c>
      <c r="K31" s="105" t="str">
        <f t="shared" si="0"/>
        <v>4015/4016</v>
      </c>
      <c r="L31" s="22" t="str">
        <f>VLOOKUP(A31,'Trips&amp;Operators'!$C$1:$G$99999,5,FALSE)</f>
        <v>PERKINS DARREN</v>
      </c>
      <c r="M31" s="6">
        <f t="shared" si="1"/>
        <v>2.5150462963210884E-2</v>
      </c>
      <c r="N31" s="7">
        <f t="shared" si="2"/>
        <v>36.216666667023674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d0f6bd738d7f1b3e5a7ca70fe4ff75f0.us-east-1.aws.found.io/app/kibana#/discover/Steve-Slow-Train-Analysis-(2080s-and-2083s)?_g=(refreshInterval:(display:Off,pause:!f,section:0,value:0),time:(from:'2017-01-22T04:58:04-0700',mode:absolute,to:'2017-01-22T07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49" t="str">
        <f t="shared" si="6"/>
        <v>N</v>
      </c>
      <c r="X31" s="170">
        <f t="shared" si="7"/>
        <v>1</v>
      </c>
      <c r="Y31" s="64">
        <f t="shared" si="8"/>
        <v>7.3200000000000001E-2</v>
      </c>
      <c r="Z31" s="64">
        <f t="shared" si="9"/>
        <v>23.325900000000001</v>
      </c>
      <c r="AA31" s="64">
        <f t="shared" si="10"/>
        <v>23.252700000000001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11"/>
        <v>0119-22</v>
      </c>
      <c r="AE31" s="87" t="str">
        <f t="shared" si="12"/>
        <v>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 &amp; 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</v>
      </c>
      <c r="AF31" s="84" t="str">
        <f t="shared" si="13"/>
        <v>"C:\Program Files (x86)\AstroGrep\AstroGrep.exe" /spath="%USERPROFILE%\AppData\Local\Temp\OnboardLogs" /stypes="app*4016*20170122*"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119-22 --locoid 4016 --swversion DE.1.0.8.0 --startMP 204:732 --initTime 2017-01-22T05:58:04 --startdatetime 2017-01-22T06:00:38 --delay 1 --endMP 204:233259 --enddatetime 2017-01-22T06:36:51 --enforcementcount 1 &gt;&gt;C:\Users\stu\Documents\GitHub\eaglep3-reporting\EC\2017-01-22-refined-times.txt</v>
      </c>
      <c r="AI31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{"issue":{"subject":"","project_id":79,"tracker_id":40,"status_id":1,"priority_id":2,"assigned_to_id":23,"start_date":"2017-01-22","description":"","custom_fields":[{"id":1,"name":"Subdivision","value":"EC"},{"id":4,"name":"Milepost","value":"23.3259"},{"id":17,"name":"Train ID","value":"119-22"},{"id":16,"name":"Locomotive ID","value":"4016"},{"id":130,"name":"Impact","value":""},{"id":150,"name":"Time of Event (Mountain Time)","value":"06:36:51"},{"id":151,"name":"Denver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20"/>
        <v>start /low /b %USERPROFILE%\Documents\GitHub\eaglep3\Utilities\DownloadLogsFromS3.py --loco 4016 --day 2017-01-22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"%USERPROFILE%\AppData\Local\Temp\OnboardLogs"\RTDC4016\*4016*20170122* | grep -SE "(Enforcement Action)|(\[TIMEOUT)|(CHR.+\|PRM\|1\|D.+(SWITCH|SIGNAL).+UNKNOWN)" - &gt;&gt; 2017-01-22-UncaughtWiMAX.txt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492</v>
      </c>
      <c r="B32" s="7">
        <v>4015</v>
      </c>
      <c r="C32" s="22" t="s">
        <v>196</v>
      </c>
      <c r="D32" s="22" t="s">
        <v>678</v>
      </c>
      <c r="E32" s="13">
        <v>42757.285300925927</v>
      </c>
      <c r="F32" s="13">
        <v>42757.289039351854</v>
      </c>
      <c r="G32" s="7">
        <v>1</v>
      </c>
      <c r="H32" s="22" t="s">
        <v>239</v>
      </c>
      <c r="I32" s="13">
        <v>42757.316307870373</v>
      </c>
      <c r="J32" s="7">
        <v>1</v>
      </c>
      <c r="K32" s="105" t="str">
        <f t="shared" si="0"/>
        <v>4015/4016</v>
      </c>
      <c r="L32" s="22" t="str">
        <f>VLOOKUP(A32,'Trips&amp;Operators'!$C$1:$G$99999,5,FALSE)</f>
        <v>PERKINS DARREN</v>
      </c>
      <c r="M32" s="6">
        <f t="shared" si="1"/>
        <v>2.7268518519122154E-2</v>
      </c>
      <c r="N32" s="7">
        <f t="shared" si="2"/>
        <v>39.266666667535901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d0f6bd738d7f1b3e5a7ca70fe4ff75f0.us-east-1.aws.found.io/app/kibana#/discover/Steve-Slow-Train-Analysis-(2080s-and-2083s)?_g=(refreshInterval:(display:Off,pause:!f,section:0,value:0),time:(from:'2017-01-22T05:50:50-0700',mode:absolute,to:'2017-01-22T08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49" t="str">
        <f t="shared" si="6"/>
        <v>N</v>
      </c>
      <c r="X32" s="170">
        <f t="shared" si="7"/>
        <v>1</v>
      </c>
      <c r="Y32" s="64">
        <f t="shared" si="8"/>
        <v>23.294799999999999</v>
      </c>
      <c r="Z32" s="64">
        <f t="shared" si="9"/>
        <v>1.38E-2</v>
      </c>
      <c r="AA32" s="64">
        <f t="shared" si="10"/>
        <v>23.280999999999999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11"/>
        <v>0120-22</v>
      </c>
      <c r="AE32" s="87" t="str">
        <f t="shared" si="12"/>
        <v>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 &amp; 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</v>
      </c>
      <c r="AF32" s="84" t="str">
        <f t="shared" si="13"/>
        <v>"C:\Program Files (x86)\AstroGrep\AstroGrep.exe" /spath="%USERPROFILE%\AppData\Local\Temp\OnboardLogs" /stypes="app*4015*20170122*"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120-22 --locoid 4015 --swversion DE.1.0.8.0 --startMP 204:232948 --initTime 2017-01-22T06:50:50 --startdatetime 2017-01-22T06:56:13 --delay 1 --endMP 204:138 --enddatetime 2017-01-22T07:35:29 --enforcementcount 1 &gt;&gt;C:\Users\stu\Documents\GitHub\eaglep3-reporting\EC\2017-01-22-refined-times.txt</v>
      </c>
      <c r="AI32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{"issue":{"subject":"","project_id":79,"tracker_id":40,"status_id":1,"priority_id":2,"assigned_to_id":23,"start_date":"2017-01-22","description":"","custom_fields":[{"id":1,"name":"Subdivision","value":"EC"},{"id":4,"name":"Milepost","value":"0.0138"},{"id":17,"name":"Train ID","value":"120-22"},{"id":16,"name":"Locomotive ID","value":"4015"},{"id":130,"name":"Impact","value":""},{"id":150,"name":"Time of Event (Mountain Time)","value":"07:35:29"},{"id":151,"name":"Denver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20"/>
        <v>start /low /b %USERPROFILE%\Documents\GitHub\eaglep3\Utilities\DownloadLogsFromS3.py --loco 4015 --day 2017-01-22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"%USERPROFILE%\AppData\Local\Temp\OnboardLogs"\RTDC4015\*4015*20170122* | grep -SE "(Enforcement Action)|(\[TIMEOUT)|(CHR.+\|PRM\|1\|D.+(SWITCH|SIGNAL).+UNKNOWN)" - &gt;&gt; 2017-01-22-UncaughtWiMAX.txt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486</v>
      </c>
      <c r="B33" s="7">
        <v>4007</v>
      </c>
      <c r="C33" s="22" t="s">
        <v>196</v>
      </c>
      <c r="D33" s="22" t="s">
        <v>274</v>
      </c>
      <c r="E33" s="13">
        <v>42757.2577662037</v>
      </c>
      <c r="F33" s="13">
        <v>42757.26059027778</v>
      </c>
      <c r="G33" s="7">
        <v>1</v>
      </c>
      <c r="H33" s="22" t="s">
        <v>236</v>
      </c>
      <c r="I33" s="13">
        <v>42757.286805555559</v>
      </c>
      <c r="J33" s="7">
        <v>1</v>
      </c>
      <c r="K33" s="105" t="str">
        <f t="shared" si="0"/>
        <v>4007/4008</v>
      </c>
      <c r="L33" s="22" t="str">
        <f>VLOOKUP(A33,'Trips&amp;Operators'!$C$1:$G$99999,5,FALSE)</f>
        <v>DAVIS WENDY</v>
      </c>
      <c r="M33" s="6">
        <f t="shared" si="1"/>
        <v>2.6215277779556345E-2</v>
      </c>
      <c r="N33" s="7">
        <f t="shared" si="2"/>
        <v>37.750000002561137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d0f6bd738d7f1b3e5a7ca70fe4ff75f0.us-east-1.aws.found.io/app/kibana#/discover/Steve-Slow-Train-Analysis-(2080s-and-2083s)?_g=(refreshInterval:(display:Off,pause:!f,section:0,value:0),time:(from:'2017-01-22T05:11:11-0700',mode:absolute,to:'2017-01-22T07:53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3" s="49" t="str">
        <f t="shared" si="6"/>
        <v>N</v>
      </c>
      <c r="X33" s="170">
        <f t="shared" si="7"/>
        <v>1</v>
      </c>
      <c r="Y33" s="64">
        <f t="shared" si="8"/>
        <v>4.5699999999999998E-2</v>
      </c>
      <c r="Z33" s="64">
        <f t="shared" si="9"/>
        <v>23.3293</v>
      </c>
      <c r="AA33" s="64">
        <f t="shared" si="10"/>
        <v>23.2836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11"/>
        <v>0121-22</v>
      </c>
      <c r="AE33" s="87" t="str">
        <f t="shared" si="12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33" s="84" t="str">
        <f t="shared" si="13"/>
        <v>"C:\Program Files (x86)\AstroGrep\AstroGrep.exe" /spath="%USERPROFILE%\AppData\Local\Temp\OnboardLogs" /stypes="app*4007*20170122*"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121-22 --locoid 4007 --swversion DE.1.0.8.0 --startMP 204:457 --initTime 2017-01-22T06:11:11 --startdatetime 2017-01-22T06:15:15 --delay 1 --endMP 204:233293 --enddatetime 2017-01-22T06:53:00 --enforcementcount 1 &gt;&gt;C:\Users\stu\Documents\GitHub\eaglep3-reporting\EC\2017-01-22-refined-times.txt</v>
      </c>
      <c r="AI33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{"issue":{"subject":"","project_id":79,"tracker_id":40,"status_id":1,"priority_id":2,"assigned_to_id":23,"start_date":"2017-01-22","description":"","custom_fields":[{"id":1,"name":"Subdivision","value":"EC"},{"id":4,"name":"Milepost","value":"23.3293"},{"id":17,"name":"Train ID","value":"121-22"},{"id":16,"name":"Locomotive ID","value":"4007"},{"id":130,"name":"Impact","value":""},{"id":150,"name":"Time of Event (Mountain Time)","value":"06:53:00"},{"id":151,"name":"Denver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20"/>
        <v>start /low /b %USERPROFILE%\Documents\GitHub\eaglep3\Utilities\DownloadLogsFromS3.py --loco 4007 --day 2017-01-22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2017-01-22-UncaughtWiMAX.txt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495</v>
      </c>
      <c r="B34" s="7">
        <v>4008</v>
      </c>
      <c r="C34" s="22" t="s">
        <v>196</v>
      </c>
      <c r="D34" s="22" t="s">
        <v>679</v>
      </c>
      <c r="E34" s="13">
        <v>42757.297997685186</v>
      </c>
      <c r="F34" s="13">
        <v>42757.299490740741</v>
      </c>
      <c r="G34" s="7">
        <v>1</v>
      </c>
      <c r="H34" s="22" t="s">
        <v>212</v>
      </c>
      <c r="I34" s="13">
        <v>42757.327511574076</v>
      </c>
      <c r="J34" s="7">
        <v>1</v>
      </c>
      <c r="K34" s="105" t="str">
        <f t="shared" si="0"/>
        <v>4007/4008</v>
      </c>
      <c r="L34" s="22" t="str">
        <f>VLOOKUP(A34,'Trips&amp;Operators'!$C$1:$G$99999,5,FALSE)</f>
        <v>DAVIS WENDY</v>
      </c>
      <c r="M34" s="6">
        <f t="shared" si="1"/>
        <v>2.8020833335176576E-2</v>
      </c>
      <c r="N34" s="7">
        <f t="shared" si="2"/>
        <v>40.350000002654269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d0f6bd738d7f1b3e5a7ca70fe4ff75f0.us-east-1.aws.found.io/app/kibana#/discover/Steve-Slow-Train-Analysis-(2080s-and-2083s)?_g=(refreshInterval:(display:Off,pause:!f,section:0,value:0),time:(from:'2017-01-22T06:09:07-0700',mode:absolute,to:'2017-01-22T08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4" s="49" t="str">
        <f t="shared" si="6"/>
        <v>N</v>
      </c>
      <c r="X34" s="170">
        <f t="shared" si="7"/>
        <v>1</v>
      </c>
      <c r="Y34" s="64">
        <f t="shared" si="8"/>
        <v>23.298100000000002</v>
      </c>
      <c r="Z34" s="64">
        <f t="shared" si="9"/>
        <v>1.47E-2</v>
      </c>
      <c r="AA34" s="64">
        <f t="shared" si="10"/>
        <v>23.2834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11"/>
        <v>0122-22</v>
      </c>
      <c r="AE34" s="87" t="str">
        <f t="shared" si="12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34" s="84" t="str">
        <f t="shared" si="13"/>
        <v>"C:\Program Files (x86)\AstroGrep\AstroGrep.exe" /spath="%USERPROFILE%\AppData\Local\Temp\OnboardLogs" /stypes="app*4008*20170122*"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122-22 --locoid 4008 --swversion DE.1.0.8.0 --startMP 204:232981 --initTime 2017-01-22T07:09:07 --startdatetime 2017-01-22T07:11:16 --delay 1 --endMP 204:147 --enddatetime 2017-01-22T07:51:37 --enforcementcount 1 &gt;&gt;C:\Users\stu\Documents\GitHub\eaglep3-reporting\EC\2017-01-22-refined-times.txt</v>
      </c>
      <c r="AI34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{"issue":{"subject":"","project_id":79,"tracker_id":40,"status_id":1,"priority_id":2,"assigned_to_id":23,"start_date":"2017-01-22","description":"","custom_fields":[{"id":1,"name":"Subdivision","value":"EC"},{"id":4,"name":"Milepost","value":"0.0147"},{"id":17,"name":"Train ID","value":"122-22"},{"id":16,"name":"Locomotive ID","value":"4008"},{"id":130,"name":"Impact","value":""},{"id":150,"name":"Time of Event (Mountain Time)","value":"07:51:37"},{"id":151,"name":"Denver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20"/>
        <v>start /low /b %USERPROFILE%\Documents\GitHub\eaglep3\Utilities\DownloadLogsFromS3.py --loco 4008 --day 2017-01-22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488</v>
      </c>
      <c r="B35" s="7">
        <v>4022</v>
      </c>
      <c r="C35" s="22" t="s">
        <v>196</v>
      </c>
      <c r="D35" s="22" t="s">
        <v>245</v>
      </c>
      <c r="E35" s="13">
        <v>42757.267152777778</v>
      </c>
      <c r="F35" s="13">
        <v>42757.271122685182</v>
      </c>
      <c r="G35" s="7">
        <v>1</v>
      </c>
      <c r="H35" s="22" t="s">
        <v>265</v>
      </c>
      <c r="I35" s="13">
        <v>42757.298449074071</v>
      </c>
      <c r="J35" s="7">
        <v>1</v>
      </c>
      <c r="K35" s="105" t="str">
        <f t="shared" si="0"/>
        <v>4021/4022</v>
      </c>
      <c r="L35" s="22" t="str">
        <f>VLOOKUP(A35,'Trips&amp;Operators'!$C$1:$G$99999,5,FALSE)</f>
        <v>ROBINSON KADDIBA</v>
      </c>
      <c r="M35" s="6">
        <f t="shared" si="1"/>
        <v>2.73263888884685E-2</v>
      </c>
      <c r="N35" s="7">
        <f t="shared" si="2"/>
        <v>39.34999999939464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d0f6bd738d7f1b3e5a7ca70fe4ff75f0.us-east-1.aws.found.io/app/kibana#/discover/Steve-Slow-Train-Analysis-(2080s-and-2083s)?_g=(refreshInterval:(display:Off,pause:!f,section:0,value:0),time:(from:'2017-01-22T05:24:42-0700',mode:absolute,to:'2017-01-22T08:09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5" s="49" t="str">
        <f t="shared" si="6"/>
        <v>N</v>
      </c>
      <c r="X35" s="170">
        <f t="shared" si="7"/>
        <v>1</v>
      </c>
      <c r="Y35" s="64">
        <f t="shared" si="8"/>
        <v>4.58E-2</v>
      </c>
      <c r="Z35" s="64">
        <f t="shared" si="9"/>
        <v>23.331099999999999</v>
      </c>
      <c r="AA35" s="64">
        <f t="shared" si="10"/>
        <v>23.285299999999999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 t="shared" si="11"/>
        <v>0123-22</v>
      </c>
      <c r="AE35" s="87" t="str">
        <f t="shared" si="12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35" s="84" t="str">
        <f t="shared" si="13"/>
        <v>"C:\Program Files (x86)\AstroGrep\AstroGrep.exe" /spath="%USERPROFILE%\AppData\Local\Temp\OnboardLogs" /stypes="app*4022*20170122*"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123-22 --locoid 4022 --swversion DE.1.0.8.0 --startMP 204:458 --initTime 2017-01-22T06:24:42 --startdatetime 2017-01-22T06:30:25 --delay 1 --endMP 204:233311 --enddatetime 2017-01-22T07:09:46 --enforcementcount 1 &gt;&gt;C:\Users\stu\Documents\GitHub\eaglep3-reporting\EC\2017-01-22-refined-times.txt</v>
      </c>
      <c r="AI35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{"issue":{"subject":"","project_id":79,"tracker_id":40,"status_id":1,"priority_id":2,"assigned_to_id":23,"start_date":"2017-01-22","description":"","custom_fields":[{"id":1,"name":"Subdivision","value":"EC"},{"id":4,"name":"Milepost","value":"23.3311"},{"id":17,"name":"Train ID","value":"123-22"},{"id":16,"name":"Locomotive ID","value":"4022"},{"id":130,"name":"Impact","value":""},{"id":150,"name":"Time of Event (Mountain Time)","value":"07:09:46"},{"id":151,"name":"Denver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20"/>
        <v>start /low /b %USERPROFILE%\Documents\GitHub\eaglep3\Utilities\DownloadLogsFromS3.py --loco 4022 --day 2017-01-22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2017-01-22-UncaughtWiMAX.txt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497</v>
      </c>
      <c r="B36" s="7">
        <v>4021</v>
      </c>
      <c r="C36" s="22" t="s">
        <v>196</v>
      </c>
      <c r="D36" s="22" t="s">
        <v>215</v>
      </c>
      <c r="E36" s="13">
        <v>42757.305439814816</v>
      </c>
      <c r="F36" s="13">
        <v>42757.309884259259</v>
      </c>
      <c r="G36" s="7">
        <v>1</v>
      </c>
      <c r="H36" s="22" t="s">
        <v>258</v>
      </c>
      <c r="I36" s="13">
        <v>42757.336539351854</v>
      </c>
      <c r="J36" s="7">
        <v>1</v>
      </c>
      <c r="K36" s="105" t="str">
        <f t="shared" si="0"/>
        <v>4021/4022</v>
      </c>
      <c r="L36" s="22" t="str">
        <f>VLOOKUP(A36,'Trips&amp;Operators'!$C$1:$G$99999,5,FALSE)</f>
        <v>ROBINSON KADDIBA</v>
      </c>
      <c r="M36" s="6">
        <f t="shared" si="1"/>
        <v>2.6655092595319729E-2</v>
      </c>
      <c r="N36" s="7">
        <f t="shared" si="2"/>
        <v>38.38333333726041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d0f6bd738d7f1b3e5a7ca70fe4ff75f0.us-east-1.aws.found.io/app/kibana#/discover/Steve-Slow-Train-Analysis-(2080s-and-2083s)?_g=(refreshInterval:(display:Off,pause:!f,section:0,value:0),time:(from:'2017-01-22T06:19:50-0700',mode:absolute,to:'2017-01-22T09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6" s="49" t="str">
        <f t="shared" si="6"/>
        <v>N</v>
      </c>
      <c r="X36" s="170">
        <f t="shared" si="7"/>
        <v>1</v>
      </c>
      <c r="Y36" s="64">
        <f t="shared" si="8"/>
        <v>23.297699999999999</v>
      </c>
      <c r="Z36" s="64">
        <f t="shared" si="9"/>
        <v>1.43E-2</v>
      </c>
      <c r="AA36" s="64">
        <f t="shared" si="10"/>
        <v>23.2834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11"/>
        <v>0124-22</v>
      </c>
      <c r="AE36" s="87" t="str">
        <f t="shared" si="12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36" s="84" t="str">
        <f t="shared" si="13"/>
        <v>"C:\Program Files (x86)\AstroGrep\AstroGrep.exe" /spath="%USERPROFILE%\AppData\Local\Temp\OnboardLogs" /stypes="app*4021*20170122*"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124-22 --locoid 4021 --swversion DE.1.0.8.0 --startMP 204:232977 --initTime 2017-01-22T07:19:50 --startdatetime 2017-01-22T07:26:14 --delay 1 --endMP 204:143 --enddatetime 2017-01-22T08:04:37 --enforcementcount 1 &gt;&gt;C:\Users\stu\Documents\GitHub\eaglep3-reporting\EC\2017-01-22-refined-times.txt</v>
      </c>
      <c r="AI36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{"issue":{"subject":"","project_id":79,"tracker_id":40,"status_id":1,"priority_id":2,"assigned_to_id":23,"start_date":"2017-01-22","description":"","custom_fields":[{"id":1,"name":"Subdivision","value":"EC"},{"id":4,"name":"Milepost","value":"0.0143"},{"id":17,"name":"Train ID","value":"124-22"},{"id":16,"name":"Locomotive ID","value":"4021"},{"id":130,"name":"Impact","value":""},{"id":150,"name":"Time of Event (Mountain Time)","value":"08:04:37"},{"id":151,"name":"Denver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20"/>
        <v>start /low /b %USERPROFILE%\Documents\GitHub\eaglep3\Utilities\DownloadLogsFromS3.py --loco 4021 --day 2017-01-22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490</v>
      </c>
      <c r="B37" s="7">
        <v>4003</v>
      </c>
      <c r="C37" s="22" t="s">
        <v>196</v>
      </c>
      <c r="D37" s="22" t="s">
        <v>419</v>
      </c>
      <c r="E37" s="13">
        <v>42757.27611111111</v>
      </c>
      <c r="F37" s="13">
        <v>42757.281435185185</v>
      </c>
      <c r="G37" s="7">
        <v>1</v>
      </c>
      <c r="H37" s="22" t="s">
        <v>262</v>
      </c>
      <c r="I37" s="13">
        <v>42757.306064814817</v>
      </c>
      <c r="J37" s="7">
        <v>1</v>
      </c>
      <c r="K37" s="105" t="str">
        <f t="shared" si="0"/>
        <v>4003/4004</v>
      </c>
      <c r="L37" s="22" t="str">
        <f>VLOOKUP(A37,'Trips&amp;Operators'!$C$1:$G$99999,5,FALSE)</f>
        <v>GEBRETEKLE DAGNEW</v>
      </c>
      <c r="M37" s="6">
        <f t="shared" si="1"/>
        <v>2.4629629631817807E-2</v>
      </c>
      <c r="N37" s="7">
        <f t="shared" si="2"/>
        <v>35.466666669817641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d0f6bd738d7f1b3e5a7ca70fe4ff75f0.us-east-1.aws.found.io/app/kibana#/discover/Steve-Slow-Train-Analysis-(2080s-and-2083s)?_g=(refreshInterval:(display:Off,pause:!f,section:0,value:0),time:(from:'2017-01-22T05:37:36-0700',mode:absolute,to:'2017-01-22T08:20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7" s="49" t="str">
        <f t="shared" si="6"/>
        <v>N</v>
      </c>
      <c r="X37" s="170">
        <f t="shared" si="7"/>
        <v>1</v>
      </c>
      <c r="Y37" s="64">
        <f t="shared" si="8"/>
        <v>4.7100000000000003E-2</v>
      </c>
      <c r="Z37" s="64">
        <f t="shared" si="9"/>
        <v>23.330200000000001</v>
      </c>
      <c r="AA37" s="64">
        <f t="shared" si="10"/>
        <v>23.283100000000001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11"/>
        <v>0125-22</v>
      </c>
      <c r="AE37" s="87" t="str">
        <f t="shared" si="12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37" s="84" t="str">
        <f t="shared" si="13"/>
        <v>"C:\Program Files (x86)\AstroGrep\AstroGrep.exe" /spath="%USERPROFILE%\AppData\Local\Temp\OnboardLogs" /stypes="app*4003*20170122*"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125-22 --locoid 4003 --swversion DE.1.0.8.0 --startMP 204:471 --initTime 2017-01-22T06:37:36 --startdatetime 2017-01-22T06:45:16 --delay 1 --endMP 204:233302 --enddatetime 2017-01-22T07:20:44 --enforcementcount 1 &gt;&gt;C:\Users\stu\Documents\GitHub\eaglep3-reporting\EC\2017-01-22-refined-times.txt</v>
      </c>
      <c r="AI37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{"issue":{"subject":"","project_id":79,"tracker_id":40,"status_id":1,"priority_id":2,"assigned_to_id":23,"start_date":"2017-01-22","description":"","custom_fields":[{"id":1,"name":"Subdivision","value":"EC"},{"id":4,"name":"Milepost","value":"23.3302"},{"id":17,"name":"Train ID","value":"125-22"},{"id":16,"name":"Locomotive ID","value":"4003"},{"id":130,"name":"Impact","value":""},{"id":150,"name":"Time of Event (Mountain Time)","value":"07:20:44"},{"id":151,"name":"Denver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20"/>
        <v>start /low /b %USERPROFILE%\Documents\GitHub\eaglep3\Utilities\DownloadLogsFromS3.py --loco 4003 --day 2017-01-22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499</v>
      </c>
      <c r="B38" s="7">
        <v>4004</v>
      </c>
      <c r="C38" s="22" t="s">
        <v>196</v>
      </c>
      <c r="D38" s="22" t="s">
        <v>675</v>
      </c>
      <c r="E38" s="13">
        <v>42757.316817129627</v>
      </c>
      <c r="F38" s="13">
        <v>42757.320428240739</v>
      </c>
      <c r="G38" s="7">
        <v>1</v>
      </c>
      <c r="H38" s="22" t="s">
        <v>221</v>
      </c>
      <c r="I38" s="13">
        <v>42757.346354166664</v>
      </c>
      <c r="J38" s="7">
        <v>1</v>
      </c>
      <c r="K38" s="105" t="str">
        <f t="shared" si="0"/>
        <v>4003/4004</v>
      </c>
      <c r="L38" s="22" t="str">
        <f>VLOOKUP(A38,'Trips&amp;Operators'!$C$1:$G$99999,5,FALSE)</f>
        <v>GEBRETEKLE DAGNEW</v>
      </c>
      <c r="M38" s="6">
        <f t="shared" si="1"/>
        <v>2.5925925925548654E-2</v>
      </c>
      <c r="N38" s="7">
        <f t="shared" si="2"/>
        <v>37.333333332790062</v>
      </c>
      <c r="O38" s="7"/>
      <c r="P38" s="7"/>
      <c r="Q38" s="23"/>
      <c r="R38" s="23" t="s">
        <v>848</v>
      </c>
      <c r="S38" s="32">
        <f t="shared" si="3"/>
        <v>1</v>
      </c>
      <c r="T38" s="47" t="str">
        <f t="shared" si="4"/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d0f6bd738d7f1b3e5a7ca70fe4ff75f0.us-east-1.aws.found.io/app/kibana#/discover/Steve-Slow-Train-Analysis-(2080s-and-2083s)?_g=(refreshInterval:(display:Off,pause:!f,section:0,value:0),time:(from:'2017-01-22T06:36:13-0700',mode:absolute,to:'2017-01-22T09:18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8" s="49" t="str">
        <f t="shared" si="6"/>
        <v>N</v>
      </c>
      <c r="X38" s="170">
        <f t="shared" si="7"/>
        <v>1</v>
      </c>
      <c r="Y38" s="64">
        <f t="shared" si="8"/>
        <v>23.298500000000001</v>
      </c>
      <c r="Z38" s="64">
        <f t="shared" si="9"/>
        <v>1.52E-2</v>
      </c>
      <c r="AA38" s="64">
        <f t="shared" si="10"/>
        <v>23.283300000000001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11"/>
        <v>0126-22</v>
      </c>
      <c r="AE38" s="87" t="str">
        <f t="shared" si="12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38" s="84" t="str">
        <f t="shared" si="13"/>
        <v>"C:\Program Files (x86)\AstroGrep\AstroGrep.exe" /spath="%USERPROFILE%\AppData\Local\Temp\OnboardLogs" /stypes="app*4004*20170122*"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126-22 --locoid 4004 --swversion DE.1.0.8.0 --startMP 204:232985 --initTime 2017-01-22T07:36:13 --startdatetime 2017-01-22T07:41:25 --delay 1 --endMP 204:152 --enddatetime 2017-01-22T08:18:45 --enforcementcount 1 &gt;&gt;C:\Users\stu\Documents\GitHub\eaglep3-reporting\EC\2017-01-22-refined-times.txt</v>
      </c>
      <c r="AI38" s="115" t="str">
        <f t="shared" si="19"/>
        <v>echo {"issue":{"subject":"Unhealthy xing @ Chambers due to train stopping","project_id":79,"tracker_id":40,"status_id":1,"priority_id":2,"assigned_to_id":23,"start_date":"2017-01-22","description":"","custom_fields":[{"id":1,"name":"Subdivision","value":"EC"},{"id":4,"name":"Milepost","value":"0.0152"},{"id":17,"name":"Train ID","value":"126-22"},{"id":16,"name":"Locomotive ID","value":"4004"},{"id":130,"name":"Impact","value":""},{"id":150,"name":"Time of Event (Mountain Time)","value":"08:18:45"},{"id":151,"name":"Denver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20"/>
        <v>start /low /b %USERPROFILE%\Documents\GitHub\eaglep3\Utilities\DownloadLogsFromS3.py --loco 4004 --day 2017-01-22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493</v>
      </c>
      <c r="B39" s="7">
        <v>4046</v>
      </c>
      <c r="C39" s="22" t="s">
        <v>196</v>
      </c>
      <c r="D39" s="22" t="s">
        <v>278</v>
      </c>
      <c r="E39" s="13">
        <v>42757.287210648145</v>
      </c>
      <c r="F39" s="13">
        <v>42757.291898148149</v>
      </c>
      <c r="G39" s="7">
        <v>2</v>
      </c>
      <c r="H39" s="22" t="s">
        <v>680</v>
      </c>
      <c r="I39" s="13">
        <v>42757.317627314813</v>
      </c>
      <c r="J39" s="7">
        <v>1</v>
      </c>
      <c r="K39" s="105" t="str">
        <f t="shared" si="0"/>
        <v>4045/4046</v>
      </c>
      <c r="L39" s="22" t="str">
        <f>VLOOKUP(A39,'Trips&amp;Operators'!$C$1:$G$99999,5,FALSE)</f>
        <v>OUN ZACK</v>
      </c>
      <c r="M39" s="6">
        <f t="shared" si="1"/>
        <v>2.5729166663950309E-2</v>
      </c>
      <c r="N39" s="7">
        <f t="shared" si="2"/>
        <v>37.049999996088445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d0f6bd738d7f1b3e5a7ca70fe4ff75f0.us-east-1.aws.found.io/app/kibana#/discover/Steve-Slow-Train-Analysis-(2080s-and-2083s)?_g=(refreshInterval:(display:Off,pause:!f,section:0,value:0),time:(from:'2017-01-22T05:53:35-0700',mode:absolute,to:'2017-01-22T08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9" s="49" t="str">
        <f t="shared" si="6"/>
        <v>N</v>
      </c>
      <c r="X39" s="170">
        <f t="shared" si="7"/>
        <v>1</v>
      </c>
      <c r="Y39" s="64">
        <f t="shared" si="8"/>
        <v>4.5999999999999999E-2</v>
      </c>
      <c r="Z39" s="64">
        <f t="shared" si="9"/>
        <v>23.3322</v>
      </c>
      <c r="AA39" s="64">
        <f t="shared" si="10"/>
        <v>23.286200000000001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11"/>
        <v>0127-22</v>
      </c>
      <c r="AE39" s="87" t="str">
        <f t="shared" si="12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39" s="84" t="str">
        <f t="shared" si="13"/>
        <v>"C:\Program Files (x86)\AstroGrep\AstroGrep.exe" /spath="%USERPROFILE%\AppData\Local\Temp\OnboardLogs" /stypes="app*4046*20170122*"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127-22 --locoid 4046 --swversion DE.1.0.8.0 --startMP 204:460 --initTime 2017-01-22T06:53:35 --startdatetime 2017-01-22T07:00:20 --delay 2 --endMP 204:233322 --enddatetime 2017-01-22T07:37:23 --enforcementcount 1 &gt;&gt;C:\Users\stu\Documents\GitHub\eaglep3-reporting\EC\2017-01-22-refined-times.txt</v>
      </c>
      <c r="AI39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{"issue":{"subject":"","project_id":79,"tracker_id":40,"status_id":1,"priority_id":2,"assigned_to_id":23,"start_date":"2017-01-22","description":"","custom_fields":[{"id":1,"name":"Subdivision","value":"EC"},{"id":4,"name":"Milepost","value":"23.3322"},{"id":17,"name":"Train ID","value":"127-22"},{"id":16,"name":"Locomotive ID","value":"4046"},{"id":130,"name":"Impact","value":""},{"id":150,"name":"Time of Event (Mountain Time)","value":"07:37:23"},{"id":151,"name":"Denver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20"/>
        <v>start /low /b %USERPROFILE%\Documents\GitHub\eaglep3\Utilities\DownloadLogsFromS3.py --loco 4046 --day 2017-01-22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"%USERPROFILE%\AppData\Local\Temp\OnboardLogs"\RTDC4046\*4046*20170122* | grep -SE "(Enforcement Action)|(\[TIMEOUT)|(CHR.+\|PRM\|1\|D.+(SWITCH|SIGNAL).+UNKNOWN)" - &gt;&gt; 2017-01-22-UncaughtWiMAX.txt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502</v>
      </c>
      <c r="B40" s="7">
        <v>4045</v>
      </c>
      <c r="C40" s="22" t="s">
        <v>196</v>
      </c>
      <c r="D40" s="22" t="s">
        <v>681</v>
      </c>
      <c r="E40" s="13">
        <v>42757.325740740744</v>
      </c>
      <c r="F40" s="13">
        <v>42757.33079861111</v>
      </c>
      <c r="G40" s="7">
        <v>1</v>
      </c>
      <c r="H40" s="22" t="s">
        <v>418</v>
      </c>
      <c r="I40" s="13">
        <v>42757.357407407406</v>
      </c>
      <c r="J40" s="7">
        <v>1</v>
      </c>
      <c r="K40" s="105" t="str">
        <f t="shared" si="0"/>
        <v>4045/4046</v>
      </c>
      <c r="L40" s="22" t="str">
        <f>VLOOKUP(A40,'Trips&amp;Operators'!$C$1:$G$99999,5,FALSE)</f>
        <v>OUN ZACK</v>
      </c>
      <c r="M40" s="6">
        <f t="shared" si="1"/>
        <v>2.6608796295477077E-2</v>
      </c>
      <c r="N40" s="7">
        <f t="shared" si="2"/>
        <v>38.316666665486991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d0f6bd738d7f1b3e5a7ca70fe4ff75f0.us-east-1.aws.found.io/app/kibana#/discover/Steve-Slow-Train-Analysis-(2080s-and-2083s)?_g=(refreshInterval:(display:Off,pause:!f,section:0,value:0),time:(from:'2017-01-22T06:49:04-0700',mode:absolute,to:'2017-01-22T09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0" s="49" t="str">
        <f t="shared" si="6"/>
        <v>N</v>
      </c>
      <c r="X40" s="170">
        <f t="shared" si="7"/>
        <v>1</v>
      </c>
      <c r="Y40" s="64">
        <f t="shared" si="8"/>
        <v>23.301300000000001</v>
      </c>
      <c r="Z40" s="64">
        <f t="shared" si="9"/>
        <v>1.2999999999999999E-2</v>
      </c>
      <c r="AA40" s="64">
        <f t="shared" si="10"/>
        <v>23.2883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11"/>
        <v>0128-22</v>
      </c>
      <c r="AE40" s="87" t="str">
        <f t="shared" si="12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40" s="84" t="str">
        <f t="shared" si="13"/>
        <v>"C:\Program Files (x86)\AstroGrep\AstroGrep.exe" /spath="%USERPROFILE%\AppData\Local\Temp\OnboardLogs" /stypes="app*4045*20170122*"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128-22 --locoid 4045 --swversion DE.1.0.8.0 --startMP 204:233013 --initTime 2017-01-22T07:49:04 --startdatetime 2017-01-22T07:56:21 --delay 1 --endMP 204:130 --enddatetime 2017-01-22T08:34:40 --enforcementcount 1 &gt;&gt;C:\Users\stu\Documents\GitHub\eaglep3-reporting\EC\2017-01-22-refined-times.txt</v>
      </c>
      <c r="AI40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{"issue":{"subject":"","project_id":79,"tracker_id":40,"status_id":1,"priority_id":2,"assigned_to_id":23,"start_date":"2017-01-22","description":"","custom_fields":[{"id":1,"name":"Subdivision","value":"EC"},{"id":4,"name":"Milepost","value":"0.013"},{"id":17,"name":"Train ID","value":"128-22"},{"id":16,"name":"Locomotive ID","value":"4045"},{"id":130,"name":"Impact","value":""},{"id":150,"name":"Time of Event (Mountain Time)","value":"08:34:40"},{"id":151,"name":"Denver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20"/>
        <v>start /low /b %USERPROFILE%\Documents\GitHub\eaglep3\Utilities\DownloadLogsFromS3.py --loco 4045 --day 2017-01-22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496</v>
      </c>
      <c r="B41" s="7">
        <v>4044</v>
      </c>
      <c r="C41" s="22" t="s">
        <v>196</v>
      </c>
      <c r="D41" s="22" t="s">
        <v>682</v>
      </c>
      <c r="E41" s="13">
        <v>42757.298101851855</v>
      </c>
      <c r="F41" s="13">
        <v>42757.302291666667</v>
      </c>
      <c r="G41" s="7">
        <v>1</v>
      </c>
      <c r="H41" s="22" t="s">
        <v>683</v>
      </c>
      <c r="I41" s="13">
        <v>42757.328472222223</v>
      </c>
      <c r="J41" s="7">
        <v>1</v>
      </c>
      <c r="K41" s="105" t="str">
        <f t="shared" si="0"/>
        <v>4043/4044</v>
      </c>
      <c r="L41" s="22" t="str">
        <f>VLOOKUP(A41,'Trips&amp;Operators'!$C$1:$G$99999,5,FALSE)</f>
        <v>SHOOK JOHN</v>
      </c>
      <c r="M41" s="6">
        <f t="shared" si="1"/>
        <v>2.6180555556493346E-2</v>
      </c>
      <c r="N41" s="7">
        <f t="shared" si="2"/>
        <v>37.700000001350418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d0f6bd738d7f1b3e5a7ca70fe4ff75f0.us-east-1.aws.found.io/app/kibana#/discover/Steve-Slow-Train-Analysis-(2080s-and-2083s)?_g=(refreshInterval:(display:Off,pause:!f,section:0,value:0),time:(from:'2017-01-22T06:09:16-0700',mode:absolute,to:'2017-01-22T08:53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1" s="49" t="str">
        <f t="shared" si="6"/>
        <v>N</v>
      </c>
      <c r="X41" s="170">
        <f t="shared" si="7"/>
        <v>1</v>
      </c>
      <c r="Y41" s="64">
        <f t="shared" si="8"/>
        <v>4.8000000000000001E-2</v>
      </c>
      <c r="Z41" s="64">
        <f t="shared" si="9"/>
        <v>23.334700000000002</v>
      </c>
      <c r="AA41" s="64">
        <f t="shared" si="10"/>
        <v>23.286700000000003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11"/>
        <v>0129-22</v>
      </c>
      <c r="AE41" s="87" t="str">
        <f t="shared" si="12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41" s="84" t="str">
        <f t="shared" si="13"/>
        <v>"C:\Program Files (x86)\AstroGrep\AstroGrep.exe" /spath="%USERPROFILE%\AppData\Local\Temp\OnboardLogs" /stypes="app*4044*20170122*"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129-22 --locoid 4044 --swversion DE.1.0.8.0 --startMP 204:480 --initTime 2017-01-22T07:09:16 --startdatetime 2017-01-22T07:15:18 --delay 1 --endMP 204:233347 --enddatetime 2017-01-22T07:53:00 --enforcementcount 1 &gt;&gt;C:\Users\stu\Documents\GitHub\eaglep3-reporting\EC\2017-01-22-refined-times.txt</v>
      </c>
      <c r="AI41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{"issue":{"subject":"","project_id":79,"tracker_id":40,"status_id":1,"priority_id":2,"assigned_to_id":23,"start_date":"2017-01-22","description":"","custom_fields":[{"id":1,"name":"Subdivision","value":"EC"},{"id":4,"name":"Milepost","value":"23.3347"},{"id":17,"name":"Train ID","value":"129-22"},{"id":16,"name":"Locomotive ID","value":"4044"},{"id":130,"name":"Impact","value":""},{"id":150,"name":"Time of Event (Mountain Time)","value":"07:53:00"},{"id":151,"name":"Denver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20"/>
        <v>start /low /b %USERPROFILE%\Documents\GitHub\eaglep3\Utilities\DownloadLogsFromS3.py --loco 4044 --day 2017-01-22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505</v>
      </c>
      <c r="B42" s="7">
        <v>4043</v>
      </c>
      <c r="C42" s="22" t="s">
        <v>196</v>
      </c>
      <c r="D42" s="22" t="s">
        <v>684</v>
      </c>
      <c r="E42" s="13">
        <v>42757.330995370372</v>
      </c>
      <c r="F42" s="13">
        <v>42757.341145833336</v>
      </c>
      <c r="G42" s="7">
        <v>1</v>
      </c>
      <c r="H42" s="22" t="s">
        <v>223</v>
      </c>
      <c r="I42" s="13">
        <v>42757.368252314816</v>
      </c>
      <c r="J42" s="7">
        <v>1</v>
      </c>
      <c r="K42" s="105" t="str">
        <f t="shared" si="0"/>
        <v>4043/4044</v>
      </c>
      <c r="L42" s="22" t="str">
        <f>VLOOKUP(A42,'Trips&amp;Operators'!$C$1:$G$99999,5,FALSE)</f>
        <v>SHOOK JOHN</v>
      </c>
      <c r="M42" s="6">
        <f t="shared" si="1"/>
        <v>2.7106481480586808E-2</v>
      </c>
      <c r="N42" s="7">
        <f t="shared" si="2"/>
        <v>39.033333332045004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d0f6bd738d7f1b3e5a7ca70fe4ff75f0.us-east-1.aws.found.io/app/kibana#/discover/Steve-Slow-Train-Analysis-(2080s-and-2083s)?_g=(refreshInterval:(display:Off,pause:!f,section:0,value:0),time:(from:'2017-01-22T06:56:38-0700',mode:absolute,to:'2017-01-22T09:50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2" s="49" t="str">
        <f t="shared" si="6"/>
        <v>N</v>
      </c>
      <c r="X42" s="170">
        <f t="shared" si="7"/>
        <v>1</v>
      </c>
      <c r="Y42" s="64">
        <f t="shared" si="8"/>
        <v>23.3032</v>
      </c>
      <c r="Z42" s="64">
        <f t="shared" si="9"/>
        <v>1.5599999999999999E-2</v>
      </c>
      <c r="AA42" s="64">
        <f t="shared" si="10"/>
        <v>23.287600000000001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11"/>
        <v>0130-22</v>
      </c>
      <c r="AE42" s="87" t="str">
        <f t="shared" si="12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42" s="84" t="str">
        <f t="shared" si="13"/>
        <v>"C:\Program Files (x86)\AstroGrep\AstroGrep.exe" /spath="%USERPROFILE%\AppData\Local\Temp\OnboardLogs" /stypes="app*4043*20170122*"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130-22 --locoid 4043 --swversion DE.1.0.8.0 --startMP 204:233032 --initTime 2017-01-22T07:56:38 --startdatetime 2017-01-22T08:11:15 --delay 1 --endMP 204:156 --enddatetime 2017-01-22T08:50:17 --enforcementcount 1 &gt;&gt;C:\Users\stu\Documents\GitHub\eaglep3-reporting\EC\2017-01-22-refined-times.txt</v>
      </c>
      <c r="AI42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{"issue":{"subject":"","project_id":79,"tracker_id":40,"status_id":1,"priority_id":2,"assigned_to_id":23,"start_date":"2017-01-22","description":"","custom_fields":[{"id":1,"name":"Subdivision","value":"EC"},{"id":4,"name":"Milepost","value":"0.0156"},{"id":17,"name":"Train ID","value":"130-22"},{"id":16,"name":"Locomotive ID","value":"4043"},{"id":130,"name":"Impact","value":""},{"id":150,"name":"Time of Event (Mountain Time)","value":"08:50:17"},{"id":151,"name":"Denver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20"/>
        <v>start /low /b %USERPROFILE%\Documents\GitHub\eaglep3\Utilities\DownloadLogsFromS3.py --loco 4043 --day 2017-01-22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2017-01-22-UncaughtWiMAX.txt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498</v>
      </c>
      <c r="B43" s="7">
        <v>4038</v>
      </c>
      <c r="C43" s="22" t="s">
        <v>196</v>
      </c>
      <c r="D43" s="22" t="s">
        <v>406</v>
      </c>
      <c r="E43" s="13">
        <v>42757.307152777779</v>
      </c>
      <c r="F43" s="13">
        <v>42757.313032407408</v>
      </c>
      <c r="G43" s="7">
        <v>1</v>
      </c>
      <c r="H43" s="22" t="s">
        <v>243</v>
      </c>
      <c r="I43" s="13">
        <v>42757.338530092595</v>
      </c>
      <c r="J43" s="7">
        <v>1</v>
      </c>
      <c r="K43" s="105" t="str">
        <f t="shared" si="0"/>
        <v>4037/4038</v>
      </c>
      <c r="L43" s="22" t="str">
        <f>VLOOKUP(A43,'Trips&amp;Operators'!$C$1:$G$99999,5,FALSE)</f>
        <v>MAELZER KURT</v>
      </c>
      <c r="M43" s="6">
        <f t="shared" si="1"/>
        <v>2.5497685186564922E-2</v>
      </c>
      <c r="N43" s="7">
        <f t="shared" si="2"/>
        <v>36.716666668653488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d0f6bd738d7f1b3e5a7ca70fe4ff75f0.us-east-1.aws.found.io/app/kibana#/discover/Steve-Slow-Train-Analysis-(2080s-and-2083s)?_g=(refreshInterval:(display:Off,pause:!f,section:0,value:0),time:(from:'2017-01-22T06:22:18-0700',mode:absolute,to:'2017-01-22T09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43" s="49" t="str">
        <f t="shared" si="6"/>
        <v>N</v>
      </c>
      <c r="X43" s="170">
        <f t="shared" si="7"/>
        <v>1</v>
      </c>
      <c r="Y43" s="64">
        <f t="shared" si="8"/>
        <v>4.53E-2</v>
      </c>
      <c r="Z43" s="64">
        <f t="shared" si="9"/>
        <v>23.329699999999999</v>
      </c>
      <c r="AA43" s="64">
        <f t="shared" si="10"/>
        <v>23.284399999999998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11"/>
        <v>0131-22</v>
      </c>
      <c r="AE43" s="87" t="str">
        <f t="shared" si="12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43" s="84" t="str">
        <f t="shared" si="13"/>
        <v>"C:\Program Files (x86)\AstroGrep\AstroGrep.exe" /spath="%USERPROFILE%\AppData\Local\Temp\OnboardLogs" /stypes="app*4038*20170122*"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131-22 --locoid 4038 --swversion DE.1.0.8.0 --startMP 204:453 --initTime 2017-01-22T07:22:18 --startdatetime 2017-01-22T07:30:46 --delay 1 --endMP 204:233297 --enddatetime 2017-01-22T08:07:29 --enforcementcount 1 &gt;&gt;C:\Users\stu\Documents\GitHub\eaglep3-reporting\EC\2017-01-22-refined-times.txt</v>
      </c>
      <c r="AI43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{"issue":{"subject":"","project_id":79,"tracker_id":40,"status_id":1,"priority_id":2,"assigned_to_id":23,"start_date":"2017-01-22","description":"","custom_fields":[{"id":1,"name":"Subdivision","value":"EC"},{"id":4,"name":"Milepost","value":"23.3297"},{"id":17,"name":"Train ID","value":"131-22"},{"id":16,"name":"Locomotive ID","value":"4038"},{"id":130,"name":"Impact","value":""},{"id":150,"name":"Time of Event (Mountain Time)","value":"08:07:29"},{"id":151,"name":"Denver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20"/>
        <v>start /low /b %USERPROFILE%\Documents\GitHub\eaglep3\Utilities\DownloadLogsFromS3.py --loco 4038 --day 2017-01-22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"%USERPROFILE%\AppData\Local\Temp\OnboardLogs"\RTDC4038\*4038*20170122* | grep -SE "(Enforcement Action)|(\[TIMEOUT)|(CHR.+\|PRM\|1\|D.+(SWITCH|SIGNAL).+UNKNOWN)" - &gt;&gt; 2017-01-22-UncaughtWiMAX.txt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506</v>
      </c>
      <c r="B44" s="7">
        <v>4037</v>
      </c>
      <c r="C44" s="22" t="s">
        <v>196</v>
      </c>
      <c r="D44" s="22" t="s">
        <v>285</v>
      </c>
      <c r="E44" s="13">
        <v>42757.346053240741</v>
      </c>
      <c r="F44" s="13">
        <v>42757.351666666669</v>
      </c>
      <c r="G44" s="7">
        <v>1</v>
      </c>
      <c r="H44" s="22" t="s">
        <v>418</v>
      </c>
      <c r="I44" s="13">
        <v>42757.379965277774</v>
      </c>
      <c r="J44" s="7">
        <v>1</v>
      </c>
      <c r="K44" s="105" t="str">
        <f t="shared" si="0"/>
        <v>4037/4038</v>
      </c>
      <c r="L44" s="22" t="str">
        <f>VLOOKUP(A44,'Trips&amp;Operators'!$C$1:$G$99999,5,FALSE)</f>
        <v>MAELZER KURT</v>
      </c>
      <c r="M44" s="6">
        <f t="shared" si="1"/>
        <v>2.8298611105128657E-2</v>
      </c>
      <c r="N44" s="7">
        <f t="shared" si="2"/>
        <v>40.749999991385266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d0f6bd738d7f1b3e5a7ca70fe4ff75f0.us-east-1.aws.found.io/app/kibana#/discover/Steve-Slow-Train-Analysis-(2080s-and-2083s)?_g=(refreshInterval:(display:Off,pause:!f,section:0,value:0),time:(from:'2017-01-22T07:18:19-0700',mode:absolute,to:'2017-01-22T10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44" s="49" t="str">
        <f t="shared" si="6"/>
        <v>N</v>
      </c>
      <c r="X44" s="170">
        <f t="shared" si="7"/>
        <v>1</v>
      </c>
      <c r="Y44" s="64">
        <f t="shared" si="8"/>
        <v>23.299800000000001</v>
      </c>
      <c r="Z44" s="64">
        <f t="shared" si="9"/>
        <v>1.2999999999999999E-2</v>
      </c>
      <c r="AA44" s="64">
        <f t="shared" si="10"/>
        <v>23.286799999999999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11"/>
        <v>0132-22</v>
      </c>
      <c r="AE44" s="87" t="str">
        <f t="shared" si="12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44" s="84" t="str">
        <f t="shared" si="13"/>
        <v>"C:\Program Files (x86)\AstroGrep\AstroGrep.exe" /spath="%USERPROFILE%\AppData\Local\Temp\OnboardLogs" /stypes="app*4037*20170122*"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132-22 --locoid 4037 --swversion DE.1.0.8.0 --startMP 204:232998 --initTime 2017-01-22T08:18:19 --startdatetime 2017-01-22T08:26:24 --delay 1 --endMP 204:130 --enddatetime 2017-01-22T09:07:09 --enforcementcount 1 &gt;&gt;C:\Users\stu\Documents\GitHub\eaglep3-reporting\EC\2017-01-22-refined-times.txt</v>
      </c>
      <c r="AI44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{"issue":{"subject":"","project_id":79,"tracker_id":40,"status_id":1,"priority_id":2,"assigned_to_id":23,"start_date":"2017-01-22","description":"","custom_fields":[{"id":1,"name":"Subdivision","value":"EC"},{"id":4,"name":"Milepost","value":"0.013"},{"id":17,"name":"Train ID","value":"132-22"},{"id":16,"name":"Locomotive ID","value":"4037"},{"id":130,"name":"Impact","value":""},{"id":150,"name":"Time of Event (Mountain Time)","value":"09:07:09"},{"id":151,"name":"Denver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20"/>
        <v>start /low /b %USERPROFILE%\Documents\GitHub\eaglep3\Utilities\DownloadLogsFromS3.py --loco 4037 --day 2017-01-22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500</v>
      </c>
      <c r="B45" s="7">
        <v>4016</v>
      </c>
      <c r="C45" s="22" t="s">
        <v>196</v>
      </c>
      <c r="D45" s="22" t="s">
        <v>274</v>
      </c>
      <c r="E45" s="13">
        <v>42757.318009259259</v>
      </c>
      <c r="F45" s="13">
        <v>42757.323159722226</v>
      </c>
      <c r="G45" s="7">
        <v>2</v>
      </c>
      <c r="H45" s="22" t="s">
        <v>685</v>
      </c>
      <c r="I45" s="13">
        <v>42757.347824074073</v>
      </c>
      <c r="J45" s="7">
        <v>1</v>
      </c>
      <c r="K45" s="105" t="str">
        <f t="shared" si="0"/>
        <v>4015/4016</v>
      </c>
      <c r="L45" s="22" t="str">
        <f>VLOOKUP(A45,'Trips&amp;Operators'!$C$1:$G$99999,5,FALSE)</f>
        <v>PERKINS DARREN</v>
      </c>
      <c r="M45" s="6">
        <f t="shared" si="1"/>
        <v>2.4664351847604848E-2</v>
      </c>
      <c r="N45" s="7">
        <f t="shared" si="2"/>
        <v>35.516666660550982</v>
      </c>
      <c r="O45" s="7"/>
      <c r="P45" s="7"/>
      <c r="Q45" s="23"/>
      <c r="R45" s="23"/>
      <c r="S45" s="32">
        <f t="shared" si="3"/>
        <v>1</v>
      </c>
      <c r="T45" s="47" t="str">
        <f t="shared" si="4"/>
        <v>NorthBound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d0f6bd738d7f1b3e5a7ca70fe4ff75f0.us-east-1.aws.found.io/app/kibana#/discover/Steve-Slow-Train-Analysis-(2080s-and-2083s)?_g=(refreshInterval:(display:Off,pause:!f,section:0,value:0),time:(from:'2017-01-22T06:37:56-0700',mode:absolute,to:'2017-01-22T09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49" t="str">
        <f t="shared" si="6"/>
        <v>N</v>
      </c>
      <c r="X45" s="170">
        <f t="shared" si="7"/>
        <v>1</v>
      </c>
      <c r="Y45" s="64">
        <f t="shared" si="8"/>
        <v>4.5699999999999998E-2</v>
      </c>
      <c r="Z45" s="64">
        <f t="shared" si="9"/>
        <v>23.326599999999999</v>
      </c>
      <c r="AA45" s="64">
        <f t="shared" si="10"/>
        <v>23.280899999999999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 t="shared" si="11"/>
        <v>0133-22</v>
      </c>
      <c r="AE45" s="87" t="str">
        <f t="shared" si="12"/>
        <v>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 &amp; 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</v>
      </c>
      <c r="AF45" s="84" t="str">
        <f t="shared" si="13"/>
        <v>"C:\Program Files (x86)\AstroGrep\AstroGrep.exe" /spath="%USERPROFILE%\AppData\Local\Temp\OnboardLogs" /stypes="app*4016*20170122*"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133-22 --locoid 4016 --swversion DE.1.0.8.0 --startMP 204:457 --initTime 2017-01-22T07:37:56 --startdatetime 2017-01-22T07:45:21 --delay 2 --endMP 204:233266 --enddatetime 2017-01-22T08:20:52 --enforcementcount 1 &gt;&gt;C:\Users\stu\Documents\GitHub\eaglep3-reporting\EC\2017-01-22-refined-times.txt</v>
      </c>
      <c r="AI45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{"issue":{"subject":"","project_id":79,"tracker_id":40,"status_id":1,"priority_id":2,"assigned_to_id":23,"start_date":"2017-01-22","description":"","custom_fields":[{"id":1,"name":"Subdivision","value":"EC"},{"id":4,"name":"Milepost","value":"23.3266"},{"id":17,"name":"Train ID","value":"133-22"},{"id":16,"name":"Locomotive ID","value":"4016"},{"id":130,"name":"Impact","value":""},{"id":150,"name":"Time of Event (Mountain Time)","value":"08:20:52"},{"id":151,"name":"Denver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20"/>
        <v>start /low /b %USERPROFILE%\Documents\GitHub\eaglep3\Utilities\DownloadLogsFromS3.py --loco 4016 --day 2017-01-22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"%USERPROFILE%\AppData\Local\Temp\OnboardLogs"\RTDC4016\*4016*20170122* | grep -SE "(Enforcement Action)|(\[TIMEOUT)|(CHR.+\|PRM\|1\|D.+(SWITCH|SIGNAL).+UNKNOWN)" - &gt;&gt; 2017-01-22-UncaughtWiMAX.txt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507</v>
      </c>
      <c r="B46" s="7">
        <v>4015</v>
      </c>
      <c r="C46" s="22" t="s">
        <v>196</v>
      </c>
      <c r="D46" s="22" t="s">
        <v>415</v>
      </c>
      <c r="E46" s="13">
        <v>42757.354085648149</v>
      </c>
      <c r="F46" s="13">
        <v>42757.362013888887</v>
      </c>
      <c r="G46" s="7">
        <v>1</v>
      </c>
      <c r="H46" s="22" t="s">
        <v>212</v>
      </c>
      <c r="I46" s="13">
        <v>42757.38857638889</v>
      </c>
      <c r="J46" s="7">
        <v>1</v>
      </c>
      <c r="K46" s="105" t="str">
        <f t="shared" si="0"/>
        <v>4015/4016</v>
      </c>
      <c r="L46" s="22" t="str">
        <f>VLOOKUP(A46,'Trips&amp;Operators'!$C$1:$G$99999,5,FALSE)</f>
        <v>PERKINS DARREN</v>
      </c>
      <c r="M46" s="6">
        <f t="shared" si="1"/>
        <v>2.6562500002910383E-2</v>
      </c>
      <c r="N46" s="7">
        <f t="shared" si="2"/>
        <v>38.250000004190952</v>
      </c>
      <c r="O46" s="7"/>
      <c r="P46" s="7"/>
      <c r="Q46" s="23"/>
      <c r="R46" s="23"/>
      <c r="S46" s="32">
        <f t="shared" si="3"/>
        <v>1</v>
      </c>
      <c r="T46" s="47" t="str">
        <f t="shared" si="4"/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d0f6bd738d7f1b3e5a7ca70fe4ff75f0.us-east-1.aws.found.io/app/kibana#/discover/Steve-Slow-Train-Analysis-(2080s-and-2083s)?_g=(refreshInterval:(display:Off,pause:!f,section:0,value:0),time:(from:'2017-01-22T07:29:53-0700',mode:absolute,to:'2017-01-22T10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49" t="str">
        <f t="shared" si="6"/>
        <v>N</v>
      </c>
      <c r="X46" s="170">
        <f t="shared" si="7"/>
        <v>1</v>
      </c>
      <c r="Y46" s="64">
        <f t="shared" si="8"/>
        <v>23.300599999999999</v>
      </c>
      <c r="Z46" s="64">
        <f t="shared" si="9"/>
        <v>1.47E-2</v>
      </c>
      <c r="AA46" s="64">
        <f t="shared" si="10"/>
        <v>23.285899999999998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11"/>
        <v>0134-22</v>
      </c>
      <c r="AE46" s="87" t="str">
        <f t="shared" si="12"/>
        <v>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 &amp; 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</v>
      </c>
      <c r="AF46" s="84" t="str">
        <f t="shared" si="13"/>
        <v>"C:\Program Files (x86)\AstroGrep\AstroGrep.exe" /spath="%USERPROFILE%\AppData\Local\Temp\OnboardLogs" /stypes="app*4015*20170122*"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134-22 --locoid 4015 --swversion DE.1.0.8.0 --startMP 204:233006 --initTime 2017-01-22T08:29:53 --startdatetime 2017-01-22T08:41:18 --delay 1 --endMP 204:147 --enddatetime 2017-01-22T09:19:33 --enforcementcount 1 &gt;&gt;C:\Users\stu\Documents\GitHub\eaglep3-reporting\EC\2017-01-22-refined-times.txt</v>
      </c>
      <c r="AI46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{"issue":{"subject":"","project_id":79,"tracker_id":40,"status_id":1,"priority_id":2,"assigned_to_id":23,"start_date":"2017-01-22","description":"","custom_fields":[{"id":1,"name":"Subdivision","value":"EC"},{"id":4,"name":"Milepost","value":"0.0147"},{"id":17,"name":"Train ID","value":"134-22"},{"id":16,"name":"Locomotive ID","value":"4015"},{"id":130,"name":"Impact","value":""},{"id":150,"name":"Time of Event (Mountain Time)","value":"09:19:33"},{"id":151,"name":"Denver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20"/>
        <v>start /low /b %USERPROFILE%\Documents\GitHub\eaglep3\Utilities\DownloadLogsFromS3.py --loco 4015 --day 2017-01-22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"%USERPROFILE%\AppData\Local\Temp\OnboardLogs"\RTDC4015\*4015*20170122* | grep -SE "(Enforcement Action)|(\[TIMEOUT)|(CHR.+\|PRM\|1\|D.+(SWITCH|SIGNAL).+UNKNOWN)" - &gt;&gt; 2017-01-22-UncaughtWiMAX.txt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503</v>
      </c>
      <c r="B47" s="7">
        <v>4007</v>
      </c>
      <c r="C47" s="22" t="s">
        <v>196</v>
      </c>
      <c r="D47" s="22" t="s">
        <v>264</v>
      </c>
      <c r="E47" s="13">
        <v>42757.329386574071</v>
      </c>
      <c r="F47" s="13">
        <v>42757.333506944444</v>
      </c>
      <c r="G47" s="7">
        <v>1</v>
      </c>
      <c r="H47" s="22" t="s">
        <v>686</v>
      </c>
      <c r="I47" s="13">
        <v>42757.358923611115</v>
      </c>
      <c r="J47" s="7">
        <v>1</v>
      </c>
      <c r="K47" s="105" t="str">
        <f t="shared" si="0"/>
        <v>4007/4008</v>
      </c>
      <c r="L47" s="22" t="str">
        <f>VLOOKUP(A47,'Trips&amp;Operators'!$C$1:$G$99999,5,FALSE)</f>
        <v>DAVIS WENDY</v>
      </c>
      <c r="M47" s="6">
        <f t="shared" si="1"/>
        <v>2.5416666670935228E-2</v>
      </c>
      <c r="N47" s="7">
        <f t="shared" si="2"/>
        <v>36.600000006146729</v>
      </c>
      <c r="O47" s="7"/>
      <c r="P47" s="7"/>
      <c r="Q47" s="23"/>
      <c r="R47" s="23"/>
      <c r="S47" s="32">
        <f t="shared" si="3"/>
        <v>1</v>
      </c>
      <c r="T47" s="47" t="str">
        <f t="shared" si="4"/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d0f6bd738d7f1b3e5a7ca70fe4ff75f0.us-east-1.aws.found.io/app/kibana#/discover/Steve-Slow-Train-Analysis-(2080s-and-2083s)?_g=(refreshInterval:(display:Off,pause:!f,section:0,value:0),time:(from:'2017-01-22T06:54:19-0700',mode:absolute,to:'2017-01-22T09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7" s="49" t="str">
        <f t="shared" si="6"/>
        <v>N</v>
      </c>
      <c r="X47" s="170">
        <f t="shared" si="7"/>
        <v>1</v>
      </c>
      <c r="Y47" s="64">
        <f t="shared" si="8"/>
        <v>4.3999999999999997E-2</v>
      </c>
      <c r="Z47" s="64">
        <f t="shared" si="9"/>
        <v>23.328600000000002</v>
      </c>
      <c r="AA47" s="64">
        <f t="shared" si="10"/>
        <v>23.284600000000001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11"/>
        <v>0135-22</v>
      </c>
      <c r="AE47" s="87" t="str">
        <f t="shared" si="12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47" s="84" t="str">
        <f t="shared" si="13"/>
        <v>"C:\Program Files (x86)\AstroGrep\AstroGrep.exe" /spath="%USERPROFILE%\AppData\Local\Temp\OnboardLogs" /stypes="app*4007*20170122*"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135-22 --locoid 4007 --swversion DE.1.0.8.0 --startMP 204:440 --initTime 2017-01-22T07:54:19 --startdatetime 2017-01-22T08:00:15 --delay 1 --endMP 204:233286 --enddatetime 2017-01-22T08:36:51 --enforcementcount 1 &gt;&gt;C:\Users\stu\Documents\GitHub\eaglep3-reporting\EC\2017-01-22-refined-times.txt</v>
      </c>
      <c r="AI47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{"issue":{"subject":"","project_id":79,"tracker_id":40,"status_id":1,"priority_id":2,"assigned_to_id":23,"start_date":"2017-01-22","description":"","custom_fields":[{"id":1,"name":"Subdivision","value":"EC"},{"id":4,"name":"Milepost","value":"23.3286"},{"id":17,"name":"Train ID","value":"135-22"},{"id":16,"name":"Locomotive ID","value":"4007"},{"id":130,"name":"Impact","value":""},{"id":150,"name":"Time of Event (Mountain Time)","value":"08:36:51"},{"id":151,"name":"Denver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20"/>
        <v>start /low /b %USERPROFILE%\Documents\GitHub\eaglep3\Utilities\DownloadLogsFromS3.py --loco 4007 --day 2017-01-22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2017-01-22-UncaughtWiMAX.txt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432</v>
      </c>
      <c r="B48" s="7">
        <v>4008</v>
      </c>
      <c r="C48" s="22" t="s">
        <v>196</v>
      </c>
      <c r="D48" s="22" t="s">
        <v>407</v>
      </c>
      <c r="E48" s="13">
        <v>42757.369259259256</v>
      </c>
      <c r="F48" s="13">
        <v>42757.372395833336</v>
      </c>
      <c r="G48" s="7">
        <v>1</v>
      </c>
      <c r="H48" s="22" t="s">
        <v>222</v>
      </c>
      <c r="I48" s="13">
        <v>42757.400671296295</v>
      </c>
      <c r="J48" s="7">
        <v>1</v>
      </c>
      <c r="K48" s="105" t="str">
        <f t="shared" si="0"/>
        <v>4007/4008</v>
      </c>
      <c r="L48" s="22" t="str">
        <f>VLOOKUP(A48,'Trips&amp;Operators'!$C$1:$G$99999,5,FALSE)</f>
        <v>DAVIS WENDY</v>
      </c>
      <c r="M48" s="6">
        <f t="shared" si="1"/>
        <v>2.827546295884531E-2</v>
      </c>
      <c r="N48" s="7">
        <f t="shared" si="2"/>
        <v>40.716666660737246</v>
      </c>
      <c r="O48" s="7"/>
      <c r="P48" s="7"/>
      <c r="Q48" s="23"/>
      <c r="R48" s="23"/>
      <c r="S48" s="32">
        <f t="shared" si="3"/>
        <v>1</v>
      </c>
      <c r="T48" s="47" t="str">
        <f t="shared" si="4"/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d0f6bd738d7f1b3e5a7ca70fe4ff75f0.us-east-1.aws.found.io/app/kibana#/discover/Steve-Slow-Train-Analysis-(2080s-and-2083s)?_g=(refreshInterval:(display:Off,pause:!f,section:0,value:0),time:(from:'2017-01-22T07:51:44-0700',mode:absolute,to:'2017-01-22T10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8" s="49" t="str">
        <f t="shared" si="6"/>
        <v>N</v>
      </c>
      <c r="X48" s="170">
        <f t="shared" si="7"/>
        <v>1</v>
      </c>
      <c r="Y48" s="64">
        <f t="shared" si="8"/>
        <v>23.296500000000002</v>
      </c>
      <c r="Z48" s="64">
        <f t="shared" si="9"/>
        <v>1.5800000000000002E-2</v>
      </c>
      <c r="AA48" s="64">
        <f t="shared" si="10"/>
        <v>23.280700000000003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11"/>
        <v>0136-22</v>
      </c>
      <c r="AE48" s="87" t="str">
        <f t="shared" si="12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48" s="84" t="str">
        <f t="shared" si="13"/>
        <v>"C:\Program Files (x86)\AstroGrep\AstroGrep.exe" /spath="%USERPROFILE%\AppData\Local\Temp\OnboardLogs" /stypes="app*4008*20170122*"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136-22 --locoid 4008 --swversion DE.1.0.8.0 --startMP 204:232965 --initTime 2017-01-22T08:51:44 --startdatetime 2017-01-22T08:56:15 --delay 1 --endMP 204:158 --enddatetime 2017-01-22T09:36:58 --enforcementcount 1 &gt;&gt;C:\Users\stu\Documents\GitHub\eaglep3-reporting\EC\2017-01-22-refined-times.txt</v>
      </c>
      <c r="AI48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{"issue":{"subject":"","project_id":79,"tracker_id":40,"status_id":1,"priority_id":2,"assigned_to_id":23,"start_date":"2017-01-22","description":"","custom_fields":[{"id":1,"name":"Subdivision","value":"EC"},{"id":4,"name":"Milepost","value":"0.0158"},{"id":17,"name":"Train ID","value":"136-22"},{"id":16,"name":"Locomotive ID","value":"4008"},{"id":130,"name":"Impact","value":""},{"id":150,"name":"Time of Event (Mountain Time)","value":"09:36:58"},{"id":151,"name":"Denver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20"/>
        <v>start /low /b %USERPROFILE%\Documents\GitHub\eaglep3\Utilities\DownloadLogsFromS3.py --loco 4008 --day 2017-01-22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430</v>
      </c>
      <c r="B49" s="7">
        <v>4022</v>
      </c>
      <c r="C49" s="22" t="s">
        <v>196</v>
      </c>
      <c r="D49" s="22" t="s">
        <v>274</v>
      </c>
      <c r="E49" s="13">
        <v>42757.339780092596</v>
      </c>
      <c r="F49" s="13">
        <v>42757.343912037039</v>
      </c>
      <c r="G49" s="7">
        <v>1</v>
      </c>
      <c r="H49" s="22" t="s">
        <v>240</v>
      </c>
      <c r="I49" s="13">
        <v>42757.368900462963</v>
      </c>
      <c r="J49" s="7">
        <v>1</v>
      </c>
      <c r="K49" s="105" t="str">
        <f t="shared" si="0"/>
        <v>4021/4022</v>
      </c>
      <c r="L49" s="22" t="str">
        <f>VLOOKUP(A49,'Trips&amp;Operators'!$C$1:$G$99999,5,FALSE)</f>
        <v>ROBINSON KADDIBA</v>
      </c>
      <c r="M49" s="6">
        <f t="shared" si="1"/>
        <v>2.4988425924675539E-2</v>
      </c>
      <c r="N49" s="7">
        <f t="shared" si="2"/>
        <v>35.983333331532776</v>
      </c>
      <c r="O49" s="7"/>
      <c r="P49" s="7"/>
      <c r="Q49" s="23"/>
      <c r="R49" s="23"/>
      <c r="S49" s="32">
        <f t="shared" si="3"/>
        <v>1</v>
      </c>
      <c r="T49" s="47" t="str">
        <f t="shared" si="4"/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d0f6bd738d7f1b3e5a7ca70fe4ff75f0.us-east-1.aws.found.io/app/kibana#/discover/Steve-Slow-Train-Analysis-(2080s-and-2083s)?_g=(refreshInterval:(display:Off,pause:!f,section:0,value:0),time:(from:'2017-01-22T07:09:17-0700',mode:absolute,to:'2017-01-22T09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9" s="49" t="str">
        <f t="shared" si="6"/>
        <v>N</v>
      </c>
      <c r="X49" s="170">
        <f t="shared" si="7"/>
        <v>1</v>
      </c>
      <c r="Y49" s="64">
        <f t="shared" si="8"/>
        <v>4.5699999999999998E-2</v>
      </c>
      <c r="Z49" s="64">
        <f t="shared" si="9"/>
        <v>23.330400000000001</v>
      </c>
      <c r="AA49" s="64">
        <f t="shared" si="10"/>
        <v>23.284700000000001</v>
      </c>
      <c r="AB49" s="61" t="str">
        <f>VLOOKUP(A49,Enforcements!$C$7:$K$16,8,0)</f>
        <v>Bulletin (2)</v>
      </c>
      <c r="AC49" s="57" t="str">
        <f>VLOOKUP(A49,Enforcements!$C$7:$E$16,3,0)</f>
        <v>GRADE CROSSING</v>
      </c>
      <c r="AD49" s="58" t="str">
        <f t="shared" si="11"/>
        <v>0137-22</v>
      </c>
      <c r="AE49" s="87" t="str">
        <f t="shared" si="12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49" s="84" t="str">
        <f t="shared" si="13"/>
        <v>"C:\Program Files (x86)\AstroGrep\AstroGrep.exe" /spath="%USERPROFILE%\AppData\Local\Temp\OnboardLogs" /stypes="app*4022*20170122*"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137-22 --locoid 4022 --swversion DE.1.0.8.0 --startMP 204:457 --initTime 2017-01-22T08:09:17 --startdatetime 2017-01-22T08:15:14 --delay 1 --endMP 204:233304 --enddatetime 2017-01-22T08:51:13 --enforcementcount 1 &gt;&gt;C:\Users\stu\Documents\GitHub\eaglep3-reporting\EC\2017-01-22-refined-times.txt</v>
      </c>
      <c r="AI49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{"issue":{"subject":"","project_id":79,"tracker_id":40,"status_id":1,"priority_id":2,"assigned_to_id":23,"start_date":"2017-01-22","description":"","custom_fields":[{"id":1,"name":"Subdivision","value":"EC"},{"id":4,"name":"Milepost","value":"23.3304"},{"id":17,"name":"Train ID","value":"137-22"},{"id":16,"name":"Locomotive ID","value":"4022"},{"id":130,"name":"Impact","value":""},{"id":150,"name":"Time of Event (Mountain Time)","value":"08:51:13"},{"id":151,"name":"Denver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20"/>
        <v>start /low /b %USERPROFILE%\Documents\GitHub\eaglep3\Utilities\DownloadLogsFromS3.py --loco 4022 --day 2017-01-22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2017-01-22-UncaughtWiMAX.txt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512</v>
      </c>
      <c r="B50" s="7">
        <v>4021</v>
      </c>
      <c r="C50" s="22" t="s">
        <v>196</v>
      </c>
      <c r="D50" s="22" t="s">
        <v>675</v>
      </c>
      <c r="E50" s="13">
        <v>42757.378564814811</v>
      </c>
      <c r="F50" s="13">
        <v>42757.382847222223</v>
      </c>
      <c r="G50" s="7">
        <v>1</v>
      </c>
      <c r="H50" s="22" t="s">
        <v>206</v>
      </c>
      <c r="I50" s="13">
        <v>42757.409270833334</v>
      </c>
      <c r="J50" s="7">
        <v>1</v>
      </c>
      <c r="K50" s="105" t="str">
        <f t="shared" si="0"/>
        <v>4021/4022</v>
      </c>
      <c r="L50" s="22" t="str">
        <f>VLOOKUP(A50,'Trips&amp;Operators'!$C$1:$G$99999,5,FALSE)</f>
        <v>ROBINSON KADDIBA</v>
      </c>
      <c r="M50" s="6">
        <f t="shared" si="1"/>
        <v>2.6423611110658385E-2</v>
      </c>
      <c r="N50" s="7">
        <f t="shared" si="2"/>
        <v>38.049999999348074</v>
      </c>
      <c r="O50" s="7"/>
      <c r="P50" s="7"/>
      <c r="Q50" s="23"/>
      <c r="R50" s="23"/>
      <c r="S50" s="32">
        <f t="shared" si="3"/>
        <v>1</v>
      </c>
      <c r="T50" s="47" t="str">
        <f t="shared" si="4"/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d0f6bd738d7f1b3e5a7ca70fe4ff75f0.us-east-1.aws.found.io/app/kibana#/discover/Steve-Slow-Train-Analysis-(2080s-and-2083s)?_g=(refreshInterval:(display:Off,pause:!f,section:0,value:0),time:(from:'2017-01-22T08:05:08-0700',mode:absolute,to:'2017-01-22T10:49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0" s="49" t="str">
        <f t="shared" si="6"/>
        <v>N</v>
      </c>
      <c r="X50" s="170">
        <f t="shared" si="7"/>
        <v>1</v>
      </c>
      <c r="Y50" s="64">
        <f t="shared" si="8"/>
        <v>23.298500000000001</v>
      </c>
      <c r="Z50" s="64">
        <f t="shared" si="9"/>
        <v>1.4500000000000001E-2</v>
      </c>
      <c r="AA50" s="64">
        <f t="shared" si="10"/>
        <v>23.283999999999999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11"/>
        <v>0138-22</v>
      </c>
      <c r="AE50" s="87" t="str">
        <f t="shared" si="12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50" s="84" t="str">
        <f t="shared" si="13"/>
        <v>"C:\Program Files (x86)\AstroGrep\AstroGrep.exe" /spath="%USERPROFILE%\AppData\Local\Temp\OnboardLogs" /stypes="app*4021*20170122*"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138-22 --locoid 4021 --swversion DE.1.0.8.0 --startMP 204:232985 --initTime 2017-01-22T09:05:08 --startdatetime 2017-01-22T09:11:18 --delay 1 --endMP 204:145 --enddatetime 2017-01-22T09:49:21 --enforcementcount 1 &gt;&gt;C:\Users\stu\Documents\GitHub\eaglep3-reporting\EC\2017-01-22-refined-times.txt</v>
      </c>
      <c r="AI50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{"issue":{"subject":"","project_id":79,"tracker_id":40,"status_id":1,"priority_id":2,"assigned_to_id":23,"start_date":"2017-01-22","description":"","custom_fields":[{"id":1,"name":"Subdivision","value":"EC"},{"id":4,"name":"Milepost","value":"0.0145"},{"id":17,"name":"Train ID","value":"138-22"},{"id":16,"name":"Locomotive ID","value":"4021"},{"id":130,"name":"Impact","value":""},{"id":150,"name":"Time of Event (Mountain Time)","value":"09:49:21"},{"id":151,"name":"Denver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20"/>
        <v>start /low /b %USERPROFILE%\Documents\GitHub\eaglep3\Utilities\DownloadLogsFromS3.py --loco 4021 --day 2017-01-22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431</v>
      </c>
      <c r="B51" s="7">
        <v>4003</v>
      </c>
      <c r="C51" s="22" t="s">
        <v>196</v>
      </c>
      <c r="D51" s="22" t="s">
        <v>406</v>
      </c>
      <c r="E51" s="13">
        <v>42757.349965277775</v>
      </c>
      <c r="F51" s="13">
        <v>42757.354386574072</v>
      </c>
      <c r="G51" s="7">
        <v>1</v>
      </c>
      <c r="H51" s="22" t="s">
        <v>687</v>
      </c>
      <c r="I51" s="13">
        <v>42757.379560185182</v>
      </c>
      <c r="J51" s="7">
        <v>1</v>
      </c>
      <c r="K51" s="105" t="str">
        <f t="shared" si="0"/>
        <v>4003/4004</v>
      </c>
      <c r="L51" s="22" t="str">
        <f>VLOOKUP(A51,'Trips&amp;Operators'!$C$1:$G$99999,5,FALSE)</f>
        <v>GEBRETEKLE DAGNEW</v>
      </c>
      <c r="M51" s="6">
        <f t="shared" si="1"/>
        <v>2.5173611109494232E-2</v>
      </c>
      <c r="N51" s="7">
        <f t="shared" si="2"/>
        <v>36.249999997671694</v>
      </c>
      <c r="O51" s="7"/>
      <c r="P51" s="7"/>
      <c r="Q51" s="23"/>
      <c r="R51" s="23"/>
      <c r="S51" s="32">
        <f t="shared" si="3"/>
        <v>1</v>
      </c>
      <c r="T51" s="47" t="str">
        <f t="shared" si="4"/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d0f6bd738d7f1b3e5a7ca70fe4ff75f0.us-east-1.aws.found.io/app/kibana#/discover/Steve-Slow-Train-Analysis-(2080s-and-2083s)?_g=(refreshInterval:(display:Off,pause:!f,section:0,value:0),time:(from:'2017-01-22T07:23:57-0700',mode:absolute,to:'2017-01-22T10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1" s="49" t="str">
        <f t="shared" si="6"/>
        <v>N</v>
      </c>
      <c r="X51" s="170">
        <f t="shared" si="7"/>
        <v>1</v>
      </c>
      <c r="Y51" s="64">
        <f t="shared" si="8"/>
        <v>4.53E-2</v>
      </c>
      <c r="Z51" s="64">
        <f t="shared" si="9"/>
        <v>23.337599999999998</v>
      </c>
      <c r="AA51" s="64">
        <f t="shared" si="10"/>
        <v>23.292299999999997</v>
      </c>
      <c r="AB51" s="61" t="str">
        <f>VLOOKUP(A51,Enforcements!$C$7:$K$16,8,0)</f>
        <v>Speed (6)</v>
      </c>
      <c r="AC51" s="57" t="str">
        <f>VLOOKUP(A51,Enforcements!$C$7:$E$16,3,0)</f>
        <v>PERMANENT SPEED RESTRICTION</v>
      </c>
      <c r="AD51" s="58" t="str">
        <f t="shared" si="11"/>
        <v>0139-22</v>
      </c>
      <c r="AE51" s="87" t="str">
        <f t="shared" si="12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51" s="84" t="str">
        <f t="shared" si="13"/>
        <v>"C:\Program Files (x86)\AstroGrep\AstroGrep.exe" /spath="%USERPROFILE%\AppData\Local\Temp\OnboardLogs" /stypes="app*4003*20170122*"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139-22 --locoid 4003 --swversion DE.1.0.8.0 --startMP 204:453 --initTime 2017-01-22T08:23:57 --startdatetime 2017-01-22T08:30:19 --delay 1 --endMP 204:233376 --enddatetime 2017-01-22T09:06:34 --enforcementcount 1 &gt;&gt;C:\Users\stu\Documents\GitHub\eaglep3-reporting\EC\2017-01-22-refined-times.txt</v>
      </c>
      <c r="AI51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{"issue":{"subject":"","project_id":79,"tracker_id":40,"status_id":1,"priority_id":2,"assigned_to_id":23,"start_date":"2017-01-22","description":"","custom_fields":[{"id":1,"name":"Subdivision","value":"EC"},{"id":4,"name":"Milepost","value":"23.3376"},{"id":17,"name":"Train ID","value":"139-22"},{"id":16,"name":"Locomotive ID","value":"4003"},{"id":130,"name":"Impact","value":""},{"id":150,"name":"Time of Event (Mountain Time)","value":"09:06:34"},{"id":151,"name":"Denver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20"/>
        <v>start /low /b %USERPROFILE%\Documents\GitHub\eaglep3\Utilities\DownloadLogsFromS3.py --loco 4003 --day 2017-01-22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514</v>
      </c>
      <c r="B52" s="7">
        <v>4004</v>
      </c>
      <c r="C52" s="22" t="s">
        <v>196</v>
      </c>
      <c r="D52" s="22" t="s">
        <v>688</v>
      </c>
      <c r="E52" s="13">
        <v>42757.404710648145</v>
      </c>
      <c r="F52" s="13">
        <v>42757.406597222223</v>
      </c>
      <c r="G52" s="7">
        <v>1</v>
      </c>
      <c r="H52" s="22" t="s">
        <v>282</v>
      </c>
      <c r="I52" s="13">
        <v>42757.422951388886</v>
      </c>
      <c r="J52" s="7">
        <v>1</v>
      </c>
      <c r="K52" s="105" t="str">
        <f t="shared" si="0"/>
        <v>4003/4004</v>
      </c>
      <c r="L52" s="22" t="str">
        <f>VLOOKUP(A52,'Trips&amp;Operators'!$C$1:$G$99999,5,FALSE)</f>
        <v>GEBRETEKLE DAGNEW</v>
      </c>
      <c r="M52" s="6">
        <f t="shared" si="1"/>
        <v>1.6354166662495118E-2</v>
      </c>
      <c r="N52" s="7"/>
      <c r="O52" s="7"/>
      <c r="P52" s="7">
        <f t="shared" si="2"/>
        <v>23.549999993992969</v>
      </c>
      <c r="Q52" s="23"/>
      <c r="R52" s="23" t="s">
        <v>807</v>
      </c>
      <c r="S52" s="32">
        <f t="shared" si="3"/>
        <v>1</v>
      </c>
      <c r="T52" s="47" t="str">
        <f t="shared" si="4"/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d0f6bd738d7f1b3e5a7ca70fe4ff75f0.us-east-1.aws.found.io/app/kibana#/discover/Steve-Slow-Train-Analysis-(2080s-and-2083s)?_g=(refreshInterval:(display:Off,pause:!f,section:0,value:0),time:(from:'2017-01-22T08:42:47-0700',mode:absolute,to:'2017-01-22T11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2" s="49" t="str">
        <f t="shared" si="6"/>
        <v>Y</v>
      </c>
      <c r="X52" s="170">
        <f t="shared" si="7"/>
        <v>1</v>
      </c>
      <c r="Y52" s="64">
        <f t="shared" si="8"/>
        <v>12.786300000000001</v>
      </c>
      <c r="Z52" s="64">
        <f t="shared" si="9"/>
        <v>1.6500000000000001E-2</v>
      </c>
      <c r="AA52" s="64">
        <f t="shared" si="10"/>
        <v>12.7698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11"/>
        <v>0140-22</v>
      </c>
      <c r="AE52" s="87" t="str">
        <f t="shared" si="12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52" s="84" t="str">
        <f t="shared" si="13"/>
        <v>"C:\Program Files (x86)\AstroGrep\AstroGrep.exe" /spath="%USERPROFILE%\AppData\Local\Temp\OnboardLogs" /stypes="app*4004*20170122*"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140-22 --locoid 4004 --swversion DE.1.0.8.0 --startMP 204:127863 --initTime 2017-01-22T09:42:47 --startdatetime 2017-01-22T09:45:30 --delay 1 --endMP 204:165 --enddatetime 2017-01-22T10:09:03 --enforcementcount 1 &gt;&gt;C:\Users\stu\Documents\GitHub\eaglep3-reporting\EC\2017-01-22-refined-times.txt</v>
      </c>
      <c r="AI52" s="115" t="str">
        <f t="shared" si="19"/>
        <v>echo {"issue":{"subject":"Onboard in-route failure","project_id":79,"tracker_id":40,"status_id":1,"priority_id":2,"assigned_to_id":23,"start_date":"2017-01-22","description":"","custom_fields":[{"id":1,"name":"Subdivision","value":"EC"},{"id":4,"name":"Milepost","value":"0.0165"},{"id":17,"name":"Train ID","value":"140-22"},{"id":16,"name":"Locomotive ID","value":"4004"},{"id":130,"name":"Impact","value":""},{"id":150,"name":"Time of Event (Mountain Time)","value":"10:09:03"},{"id":151,"name":"Denver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20"/>
        <v>start /low /b %USERPROFILE%\Documents\GitHub\eaglep3\Utilities\DownloadLogsFromS3.py --loco 4004 --day 2017-01-22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514</v>
      </c>
      <c r="B53" s="7">
        <v>4004</v>
      </c>
      <c r="C53" s="22" t="s">
        <v>196</v>
      </c>
      <c r="D53" s="22" t="s">
        <v>404</v>
      </c>
      <c r="E53" s="13">
        <v>42757.388715277775</v>
      </c>
      <c r="F53" s="13">
        <v>42757.406597222223</v>
      </c>
      <c r="G53" s="7">
        <v>1</v>
      </c>
      <c r="H53" s="22" t="s">
        <v>282</v>
      </c>
      <c r="I53" s="13">
        <v>42757.422951388886</v>
      </c>
      <c r="J53" s="7">
        <v>1</v>
      </c>
      <c r="K53" s="105" t="str">
        <f t="shared" si="0"/>
        <v>4003/4004</v>
      </c>
      <c r="L53" s="22" t="str">
        <f>VLOOKUP(A53,'Trips&amp;Operators'!$C$1:$G$99999,5,FALSE)</f>
        <v>GEBRETEKLE DAGNEW</v>
      </c>
      <c r="M53" s="6">
        <f t="shared" si="1"/>
        <v>1.6354166662495118E-2</v>
      </c>
      <c r="N53" s="7"/>
      <c r="O53" s="7"/>
      <c r="P53" s="7"/>
      <c r="Q53" s="23"/>
      <c r="R53" s="23"/>
      <c r="S53" s="32"/>
      <c r="T53" s="47" t="str">
        <f t="shared" si="4"/>
        <v>Southbound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d0f6bd738d7f1b3e5a7ca70fe4ff75f0.us-east-1.aws.found.io/app/kibana#/discover/Steve-Slow-Train-Analysis-(2080s-and-2083s)?_g=(refreshInterval:(display:Off,pause:!f,section:0,value:0),time:(from:'2017-01-22T08:19:45-0700',mode:absolute,to:'2017-01-22T11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49" t="str">
        <f t="shared" si="6"/>
        <v>N</v>
      </c>
      <c r="X53" s="170">
        <f t="shared" si="7"/>
        <v>0</v>
      </c>
      <c r="Y53" s="64">
        <f t="shared" si="8"/>
        <v>23.2988</v>
      </c>
      <c r="Z53" s="64">
        <f t="shared" si="9"/>
        <v>1.6500000000000001E-2</v>
      </c>
      <c r="AA53" s="64">
        <f t="shared" si="10"/>
        <v>23.282299999999999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11"/>
        <v>0140-22</v>
      </c>
      <c r="AE53" s="87" t="str">
        <f t="shared" si="12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53" s="84" t="str">
        <f t="shared" si="13"/>
        <v>"C:\Program Files (x86)\AstroGrep\AstroGrep.exe" /spath="%USERPROFILE%\AppData\Local\Temp\OnboardLogs" /stypes="app*4004*20170122*"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140-22 --locoid 4004 --swversion DE.1.0.8.0 --startMP 204:232988 --initTime 2017-01-22T09:19:45 --startdatetime 2017-01-22T09:45:30 --delay 1 --endMP 204:165 --enddatetime 2017-01-22T10:09:03 --enforcementcount 1 &gt;&gt;C:\Users\stu\Documents\GitHub\eaglep3-reporting\EC\2017-01-22-refined-times.txt</v>
      </c>
      <c r="AI53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{"issue":{"subject":"","project_id":79,"tracker_id":40,"status_id":1,"priority_id":2,"assigned_to_id":23,"start_date":"2017-01-22","description":"","custom_fields":[{"id":1,"name":"Subdivision","value":"EC"},{"id":4,"name":"Milepost","value":"0.0165"},{"id":17,"name":"Train ID","value":"140-22"},{"id":16,"name":"Locomotive ID","value":"4004"},{"id":130,"name":"Impact","value":""},{"id":150,"name":"Time of Event (Mountain Time)","value":"10:09:03"},{"id":151,"name":"Denver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20"/>
        <v>start /low /b %USERPROFILE%\Documents\GitHub\eaglep3\Utilities\DownloadLogsFromS3.py --loco 4004 --day 2017-01-22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508</v>
      </c>
      <c r="B54" s="7">
        <v>4046</v>
      </c>
      <c r="C54" s="22" t="s">
        <v>196</v>
      </c>
      <c r="D54" s="22" t="s">
        <v>220</v>
      </c>
      <c r="E54" s="13">
        <v>42757.359375</v>
      </c>
      <c r="F54" s="13">
        <v>42757.364837962959</v>
      </c>
      <c r="G54" s="7">
        <v>1</v>
      </c>
      <c r="H54" s="22" t="s">
        <v>414</v>
      </c>
      <c r="I54" s="13">
        <v>42757.389965277776</v>
      </c>
      <c r="J54" s="7">
        <v>1</v>
      </c>
      <c r="K54" s="105" t="str">
        <f t="shared" si="0"/>
        <v>4045/4046</v>
      </c>
      <c r="L54" s="22" t="str">
        <f>VLOOKUP(A54,'Trips&amp;Operators'!$C$1:$G$99999,5,FALSE)</f>
        <v>OUN ZACK</v>
      </c>
      <c r="M54" s="6">
        <f t="shared" si="1"/>
        <v>2.5127314816927537E-2</v>
      </c>
      <c r="N54" s="7">
        <f t="shared" si="2"/>
        <v>36.183333336375654</v>
      </c>
      <c r="O54" s="7"/>
      <c r="P54" s="7"/>
      <c r="Q54" s="23"/>
      <c r="R54" s="23"/>
      <c r="S54" s="32">
        <f t="shared" si="3"/>
        <v>1</v>
      </c>
      <c r="T54" s="47" t="str">
        <f t="shared" si="4"/>
        <v>NorthBound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d0f6bd738d7f1b3e5a7ca70fe4ff75f0.us-east-1.aws.found.io/app/kibana#/discover/Steve-Slow-Train-Analysis-(2080s-and-2083s)?_g=(refreshInterval:(display:Off,pause:!f,section:0,value:0),time:(from:'2017-01-22T07:37:30-0700',mode:absolute,to:'2017-01-22T10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4" s="49" t="str">
        <f t="shared" si="6"/>
        <v>N</v>
      </c>
      <c r="X54" s="170">
        <f t="shared" si="7"/>
        <v>1</v>
      </c>
      <c r="Y54" s="64">
        <f t="shared" si="8"/>
        <v>4.4900000000000002E-2</v>
      </c>
      <c r="Z54" s="64">
        <f t="shared" si="9"/>
        <v>23.334</v>
      </c>
      <c r="AA54" s="64">
        <f t="shared" si="10"/>
        <v>23.289100000000001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11"/>
        <v>0141-22</v>
      </c>
      <c r="AE54" s="87" t="str">
        <f t="shared" si="12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54" s="84" t="str">
        <f t="shared" si="13"/>
        <v>"C:\Program Files (x86)\AstroGrep\AstroGrep.exe" /spath="%USERPROFILE%\AppData\Local\Temp\OnboardLogs" /stypes="app*4046*20170122*"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141-22 --locoid 4046 --swversion DE.1.0.8.0 --startMP 204:449 --initTime 2017-01-22T08:37:30 --startdatetime 2017-01-22T08:45:22 --delay 1 --endMP 204:233340 --enddatetime 2017-01-22T09:21:33 --enforcementcount 1 &gt;&gt;C:\Users\stu\Documents\GitHub\eaglep3-reporting\EC\2017-01-22-refined-times.txt</v>
      </c>
      <c r="AI54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{"issue":{"subject":"","project_id":79,"tracker_id":40,"status_id":1,"priority_id":2,"assigned_to_id":23,"start_date":"2017-01-22","description":"","custom_fields":[{"id":1,"name":"Subdivision","value":"EC"},{"id":4,"name":"Milepost","value":"23.334"},{"id":17,"name":"Train ID","value":"141-22"},{"id":16,"name":"Locomotive ID","value":"4046"},{"id":130,"name":"Impact","value":""},{"id":150,"name":"Time of Event (Mountain Time)","value":"09:21:33"},{"id":151,"name":"Denver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20"/>
        <v>start /low /b %USERPROFILE%\Documents\GitHub\eaglep3\Utilities\DownloadLogsFromS3.py --loco 4046 --day 2017-01-22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"%USERPROFILE%\AppData\Local\Temp\OnboardLogs"\RTDC4046\*4046*20170122* | grep -SE "(Enforcement Action)|(\[TIMEOUT)|(CHR.+\|PRM\|1\|D.+(SWITCH|SIGNAL).+UNKNOWN)" - &gt;&gt; 2017-01-22-UncaughtWiMAX.txt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516</v>
      </c>
      <c r="B55" s="7">
        <v>4045</v>
      </c>
      <c r="C55" s="22" t="s">
        <v>196</v>
      </c>
      <c r="D55" s="22" t="s">
        <v>689</v>
      </c>
      <c r="E55" s="13">
        <v>42757.398888888885</v>
      </c>
      <c r="F55" s="13">
        <v>42757.403645833336</v>
      </c>
      <c r="G55" s="7">
        <v>1</v>
      </c>
      <c r="H55" s="22" t="s">
        <v>258</v>
      </c>
      <c r="I55" s="13">
        <v>42757.430243055554</v>
      </c>
      <c r="J55" s="7">
        <v>1</v>
      </c>
      <c r="K55" s="105" t="str">
        <f t="shared" si="0"/>
        <v>4045/4046</v>
      </c>
      <c r="L55" s="22" t="str">
        <f>VLOOKUP(A55,'Trips&amp;Operators'!$C$1:$G$99999,5,FALSE)</f>
        <v>OUN ZACK</v>
      </c>
      <c r="M55" s="6">
        <f t="shared" si="1"/>
        <v>2.6597222218697425E-2</v>
      </c>
      <c r="N55" s="7">
        <f t="shared" si="2"/>
        <v>38.299999994924292</v>
      </c>
      <c r="O55" s="7"/>
      <c r="P55" s="7"/>
      <c r="Q55" s="23"/>
      <c r="R55" s="23"/>
      <c r="S55" s="32">
        <f t="shared" si="3"/>
        <v>1</v>
      </c>
      <c r="T55" s="47" t="str">
        <f t="shared" si="4"/>
        <v>Southbound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d0f6bd738d7f1b3e5a7ca70fe4ff75f0.us-east-1.aws.found.io/app/kibana#/discover/Steve-Slow-Train-Analysis-(2080s-and-2083s)?_g=(refreshInterval:(display:Off,pause:!f,section:0,value:0),time:(from:'2017-01-22T08:34:24-0700',mode:absolute,to:'2017-01-22T11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5" s="49" t="str">
        <f t="shared" si="6"/>
        <v>N</v>
      </c>
      <c r="X55" s="170">
        <f t="shared" si="7"/>
        <v>1</v>
      </c>
      <c r="Y55" s="64">
        <f t="shared" si="8"/>
        <v>23.302700000000002</v>
      </c>
      <c r="Z55" s="64">
        <f t="shared" si="9"/>
        <v>1.43E-2</v>
      </c>
      <c r="AA55" s="64">
        <f t="shared" si="10"/>
        <v>23.288400000000003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11"/>
        <v>0142-22</v>
      </c>
      <c r="AE55" s="87" t="str">
        <f t="shared" si="12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55" s="84" t="str">
        <f t="shared" si="13"/>
        <v>"C:\Program Files (x86)\AstroGrep\AstroGrep.exe" /spath="%USERPROFILE%\AppData\Local\Temp\OnboardLogs" /stypes="app*4045*20170122*"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142-22 --locoid 4045 --swversion DE.1.0.8.0 --startMP 204:233027 --initTime 2017-01-22T09:34:24 --startdatetime 2017-01-22T09:41:15 --delay 1 --endMP 204:143 --enddatetime 2017-01-22T10:19:33 --enforcementcount 1 &gt;&gt;C:\Users\stu\Documents\GitHub\eaglep3-reporting\EC\2017-01-22-refined-times.txt</v>
      </c>
      <c r="AI55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{"issue":{"subject":"","project_id":79,"tracker_id":40,"status_id":1,"priority_id":2,"assigned_to_id":23,"start_date":"2017-01-22","description":"","custom_fields":[{"id":1,"name":"Subdivision","value":"EC"},{"id":4,"name":"Milepost","value":"0.0143"},{"id":17,"name":"Train ID","value":"142-22"},{"id":16,"name":"Locomotive ID","value":"4045"},{"id":130,"name":"Impact","value":""},{"id":150,"name":"Time of Event (Mountain Time)","value":"10:19:33"},{"id":151,"name":"Denver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20"/>
        <v>start /low /b %USERPROFILE%\Documents\GitHub\eaglep3\Utilities\DownloadLogsFromS3.py --loco 4045 --day 2017-01-22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510</v>
      </c>
      <c r="B56" s="7">
        <v>4044</v>
      </c>
      <c r="C56" s="22" t="s">
        <v>196</v>
      </c>
      <c r="D56" s="22" t="s">
        <v>406</v>
      </c>
      <c r="E56" s="13">
        <v>42757.370162037034</v>
      </c>
      <c r="F56" s="13">
        <v>42757.375196759262</v>
      </c>
      <c r="G56" s="7">
        <v>1</v>
      </c>
      <c r="H56" s="22" t="s">
        <v>280</v>
      </c>
      <c r="I56" s="13">
        <v>42757.401759259257</v>
      </c>
      <c r="J56" s="7">
        <v>1</v>
      </c>
      <c r="K56" s="105" t="str">
        <f t="shared" si="0"/>
        <v>4043/4044</v>
      </c>
      <c r="L56" s="22" t="str">
        <f>VLOOKUP(A56,'Trips&amp;Operators'!$C$1:$G$99999,5,FALSE)</f>
        <v>SHOOK JOHN</v>
      </c>
      <c r="M56" s="6">
        <f t="shared" si="1"/>
        <v>2.6562499995634425E-2</v>
      </c>
      <c r="N56" s="7">
        <f t="shared" si="2"/>
        <v>38.249999993713573</v>
      </c>
      <c r="O56" s="7"/>
      <c r="P56" s="7"/>
      <c r="Q56" s="23"/>
      <c r="R56" s="23"/>
      <c r="S56" s="32">
        <f t="shared" si="3"/>
        <v>1</v>
      </c>
      <c r="T56" s="47" t="str">
        <f t="shared" si="4"/>
        <v>NorthBound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d0f6bd738d7f1b3e5a7ca70fe4ff75f0.us-east-1.aws.found.io/app/kibana#/discover/Steve-Slow-Train-Analysis-(2080s-and-2083s)?_g=(refreshInterval:(display:Off,pause:!f,section:0,value:0),time:(from:'2017-01-22T07:53:02-0700',mode:absolute,to:'2017-01-22T10:38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6" s="49" t="str">
        <f t="shared" si="6"/>
        <v>N</v>
      </c>
      <c r="X56" s="170">
        <f t="shared" si="7"/>
        <v>1</v>
      </c>
      <c r="Y56" s="64">
        <f t="shared" si="8"/>
        <v>4.53E-2</v>
      </c>
      <c r="Z56" s="64">
        <f t="shared" si="9"/>
        <v>23.331399999999999</v>
      </c>
      <c r="AA56" s="64">
        <f t="shared" si="10"/>
        <v>23.286099999999998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11"/>
        <v>0143-22</v>
      </c>
      <c r="AE56" s="87" t="str">
        <f t="shared" si="12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56" s="84" t="str">
        <f t="shared" si="13"/>
        <v>"C:\Program Files (x86)\AstroGrep\AstroGrep.exe" /spath="%USERPROFILE%\AppData\Local\Temp\OnboardLogs" /stypes="app*4044*20170122*"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143-22 --locoid 4044 --swversion DE.1.0.8.0 --startMP 204:453 --initTime 2017-01-22T08:53:02 --startdatetime 2017-01-22T09:00:17 --delay 1 --endMP 204:233314 --enddatetime 2017-01-22T09:38:32 --enforcementcount 1 &gt;&gt;C:\Users\stu\Documents\GitHub\eaglep3-reporting\EC\2017-01-22-refined-times.txt</v>
      </c>
      <c r="AI56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{"issue":{"subject":"","project_id":79,"tracker_id":40,"status_id":1,"priority_id":2,"assigned_to_id":23,"start_date":"2017-01-22","description":"","custom_fields":[{"id":1,"name":"Subdivision","value":"EC"},{"id":4,"name":"Milepost","value":"23.3314"},{"id":17,"name":"Train ID","value":"143-22"},{"id":16,"name":"Locomotive ID","value":"4044"},{"id":130,"name":"Impact","value":""},{"id":150,"name":"Time of Event (Mountain Time)","value":"09:38:32"},{"id":151,"name":"Denver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20"/>
        <v>start /low /b %USERPROFILE%\Documents\GitHub\eaglep3\Utilities\DownloadLogsFromS3.py --loco 4044 --day 2017-01-22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435</v>
      </c>
      <c r="B57" s="7">
        <v>4043</v>
      </c>
      <c r="C57" s="22" t="s">
        <v>196</v>
      </c>
      <c r="D57" s="22" t="s">
        <v>690</v>
      </c>
      <c r="E57" s="13">
        <v>42757.403402777774</v>
      </c>
      <c r="F57" s="13">
        <v>42757.414074074077</v>
      </c>
      <c r="G57" s="7">
        <v>1</v>
      </c>
      <c r="H57" s="22" t="s">
        <v>221</v>
      </c>
      <c r="I57" s="13">
        <v>42757.442337962966</v>
      </c>
      <c r="J57" s="7">
        <v>1</v>
      </c>
      <c r="K57" s="105" t="str">
        <f t="shared" si="0"/>
        <v>4043/4044</v>
      </c>
      <c r="L57" s="22" t="str">
        <f>VLOOKUP(A57,'Trips&amp;Operators'!$C$1:$G$99999,5,FALSE)</f>
        <v>SHOOK JOHN</v>
      </c>
      <c r="M57" s="6">
        <f t="shared" si="1"/>
        <v>2.8263888889341615E-2</v>
      </c>
      <c r="N57" s="7">
        <f t="shared" si="2"/>
        <v>40.700000000651926</v>
      </c>
      <c r="O57" s="7"/>
      <c r="P57" s="7"/>
      <c r="Q57" s="23"/>
      <c r="R57" s="23"/>
      <c r="S57" s="32">
        <f t="shared" si="3"/>
        <v>1</v>
      </c>
      <c r="T57" s="47" t="str">
        <f t="shared" si="4"/>
        <v>Southbound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d0f6bd738d7f1b3e5a7ca70fe4ff75f0.us-east-1.aws.found.io/app/kibana#/discover/Steve-Slow-Train-Analysis-(2080s-and-2083s)?_g=(refreshInterval:(display:Off,pause:!f,section:0,value:0),time:(from:'2017-01-22T08:40:54-0700',mode:absolute,to:'2017-01-22T11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7" s="49" t="str">
        <f t="shared" si="6"/>
        <v>N</v>
      </c>
      <c r="X57" s="170">
        <f t="shared" si="7"/>
        <v>1</v>
      </c>
      <c r="Y57" s="64">
        <f t="shared" si="8"/>
        <v>23.300699999999999</v>
      </c>
      <c r="Z57" s="64">
        <f t="shared" si="9"/>
        <v>1.52E-2</v>
      </c>
      <c r="AA57" s="64">
        <f t="shared" si="10"/>
        <v>23.285499999999999</v>
      </c>
      <c r="AB57" s="61" t="str">
        <f>VLOOKUP(A57,Enforcements!$C$7:$K$16,8,0)</f>
        <v>Bulletin (2)</v>
      </c>
      <c r="AC57" s="57" t="str">
        <f>VLOOKUP(A57,Enforcements!$C$7:$E$16,3,0)</f>
        <v>GRADE CROSSING</v>
      </c>
      <c r="AD57" s="58" t="str">
        <f t="shared" si="11"/>
        <v>0144-22</v>
      </c>
      <c r="AE57" s="87" t="str">
        <f t="shared" si="12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57" s="84" t="str">
        <f t="shared" si="13"/>
        <v>"C:\Program Files (x86)\AstroGrep\AstroGrep.exe" /spath="%USERPROFILE%\AppData\Local\Temp\OnboardLogs" /stypes="app*4043*20170122*"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144-22 --locoid 4043 --swversion DE.1.0.8.0 --startMP 204:233007 --initTime 2017-01-22T09:40:54 --startdatetime 2017-01-22T09:56:16 --delay 1 --endMP 204:152 --enddatetime 2017-01-22T10:36:58 --enforcementcount 1 &gt;&gt;C:\Users\stu\Documents\GitHub\eaglep3-reporting\EC\2017-01-22-refined-times.txt</v>
      </c>
      <c r="AI57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{"issue":{"subject":"","project_id":79,"tracker_id":40,"status_id":1,"priority_id":2,"assigned_to_id":23,"start_date":"2017-01-22","description":"","custom_fields":[{"id":1,"name":"Subdivision","value":"EC"},{"id":4,"name":"Milepost","value":"0.0152"},{"id":17,"name":"Train ID","value":"144-22"},{"id":16,"name":"Locomotive ID","value":"4043"},{"id":130,"name":"Impact","value":""},{"id":150,"name":"Time of Event (Mountain Time)","value":"10:36:58"},{"id":151,"name":"Denver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20"/>
        <v>start /low /b %USERPROFILE%\Documents\GitHub\eaglep3\Utilities\DownloadLogsFromS3.py --loco 4043 --day 2017-01-22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2017-01-22-UncaughtWiMAX.txt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513</v>
      </c>
      <c r="B58" s="7">
        <v>4038</v>
      </c>
      <c r="C58" s="22" t="s">
        <v>196</v>
      </c>
      <c r="D58" s="22" t="s">
        <v>271</v>
      </c>
      <c r="E58" s="13">
        <v>42757.383206018516</v>
      </c>
      <c r="F58" s="13">
        <v>42757.385682870372</v>
      </c>
      <c r="G58" s="7">
        <v>1</v>
      </c>
      <c r="H58" s="22" t="s">
        <v>691</v>
      </c>
      <c r="I58" s="13">
        <v>42757.410682870373</v>
      </c>
      <c r="J58" s="7">
        <v>1</v>
      </c>
      <c r="K58" s="105" t="str">
        <f t="shared" si="0"/>
        <v>4037/4038</v>
      </c>
      <c r="L58" s="22" t="str">
        <f>VLOOKUP(A58,'Trips&amp;Operators'!$C$1:$G$99999,5,FALSE)</f>
        <v>MAELZER KURT</v>
      </c>
      <c r="M58" s="6">
        <f t="shared" si="1"/>
        <v>2.5000000001455192E-2</v>
      </c>
      <c r="N58" s="7">
        <f t="shared" si="2"/>
        <v>36.000000002095476</v>
      </c>
      <c r="O58" s="7"/>
      <c r="P58" s="7"/>
      <c r="Q58" s="23"/>
      <c r="R58" s="23"/>
      <c r="S58" s="32">
        <f t="shared" si="3"/>
        <v>1</v>
      </c>
      <c r="T58" s="47" t="str">
        <f t="shared" si="4"/>
        <v>NorthBound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d0f6bd738d7f1b3e5a7ca70fe4ff75f0.us-east-1.aws.found.io/app/kibana#/discover/Steve-Slow-Train-Analysis-(2080s-and-2083s)?_g=(refreshInterval:(display:Off,pause:!f,section:0,value:0),time:(from:'2017-01-22T08:11:49-0700',mode:absolute,to:'2017-01-22T10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8" s="49" t="str">
        <f t="shared" si="6"/>
        <v>N</v>
      </c>
      <c r="X58" s="170">
        <f t="shared" si="7"/>
        <v>1</v>
      </c>
      <c r="Y58" s="64">
        <f t="shared" si="8"/>
        <v>4.2599999999999999E-2</v>
      </c>
      <c r="Z58" s="64">
        <f t="shared" si="9"/>
        <v>23.3323</v>
      </c>
      <c r="AA58" s="64">
        <f t="shared" si="10"/>
        <v>23.2897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11"/>
        <v>0145-22</v>
      </c>
      <c r="AE58" s="87" t="str">
        <f t="shared" si="12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58" s="84" t="str">
        <f t="shared" si="13"/>
        <v>"C:\Program Files (x86)\AstroGrep\AstroGrep.exe" /spath="%USERPROFILE%\AppData\Local\Temp\OnboardLogs" /stypes="app*4038*20170122*"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145-22 --locoid 4038 --swversion DE.1.0.8.0 --startMP 204:426 --initTime 2017-01-22T09:11:49 --startdatetime 2017-01-22T09:15:23 --delay 1 --endMP 204:233323 --enddatetime 2017-01-22T09:51:23 --enforcementcount 1 &gt;&gt;C:\Users\stu\Documents\GitHub\eaglep3-reporting\EC\2017-01-22-refined-times.txt</v>
      </c>
      <c r="AI58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{"issue":{"subject":"","project_id":79,"tracker_id":40,"status_id":1,"priority_id":2,"assigned_to_id":23,"start_date":"2017-01-22","description":"","custom_fields":[{"id":1,"name":"Subdivision","value":"EC"},{"id":4,"name":"Milepost","value":"23.3323"},{"id":17,"name":"Train ID","value":"145-22"},{"id":16,"name":"Locomotive ID","value":"4038"},{"id":130,"name":"Impact","value":""},{"id":150,"name":"Time of Event (Mountain Time)","value":"09:51:23"},{"id":151,"name":"Denver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20"/>
        <v>start /low /b %USERPROFILE%\Documents\GitHub\eaglep3\Utilities\DownloadLogsFromS3.py --loco 4038 --day 2017-01-22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"%USERPROFILE%\AppData\Local\Temp\OnboardLogs"\RTDC4038\*4038*20170122* | grep -SE "(Enforcement Action)|(\[TIMEOUT)|(CHR.+\|PRM\|1\|D.+(SWITCH|SIGNAL).+UNKNOWN)" - &gt;&gt; 2017-01-22-UncaughtWiMAX.txt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438</v>
      </c>
      <c r="B59" s="7">
        <v>4037</v>
      </c>
      <c r="C59" s="22" t="s">
        <v>196</v>
      </c>
      <c r="D59" s="22" t="s">
        <v>294</v>
      </c>
      <c r="E59" s="13">
        <v>42757.421122685184</v>
      </c>
      <c r="F59" s="13">
        <v>42757.42459490741</v>
      </c>
      <c r="G59" s="7">
        <v>1</v>
      </c>
      <c r="H59" s="22" t="s">
        <v>239</v>
      </c>
      <c r="I59" s="13">
        <v>42757.453148148146</v>
      </c>
      <c r="J59" s="7">
        <v>1</v>
      </c>
      <c r="K59" s="105" t="str">
        <f t="shared" si="0"/>
        <v>4037/4038</v>
      </c>
      <c r="L59" s="22" t="str">
        <f>VLOOKUP(A59,'Trips&amp;Operators'!$C$1:$G$99999,5,FALSE)</f>
        <v>MAELZER KURT</v>
      </c>
      <c r="M59" s="6">
        <f t="shared" si="1"/>
        <v>2.8553240736073349E-2</v>
      </c>
      <c r="N59" s="7">
        <f t="shared" si="2"/>
        <v>41.116666659945622</v>
      </c>
      <c r="O59" s="7"/>
      <c r="P59" s="7"/>
      <c r="Q59" s="23"/>
      <c r="R59" s="23"/>
      <c r="S59" s="32">
        <f t="shared" si="3"/>
        <v>1</v>
      </c>
      <c r="T59" s="47" t="str">
        <f t="shared" si="4"/>
        <v>Southbound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d0f6bd738d7f1b3e5a7ca70fe4ff75f0.us-east-1.aws.found.io/app/kibana#/discover/Steve-Slow-Train-Analysis-(2080s-and-2083s)?_g=(refreshInterval:(display:Off,pause:!f,section:0,value:0),time:(from:'2017-01-22T09:06:25-0700',mode:absolute,to:'2017-01-22T11:52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59" s="49" t="str">
        <f t="shared" si="6"/>
        <v>N</v>
      </c>
      <c r="X59" s="170">
        <f t="shared" si="7"/>
        <v>1</v>
      </c>
      <c r="Y59" s="64">
        <f t="shared" si="8"/>
        <v>23.301100000000002</v>
      </c>
      <c r="Z59" s="64">
        <f t="shared" si="9"/>
        <v>1.38E-2</v>
      </c>
      <c r="AA59" s="64">
        <f t="shared" si="10"/>
        <v>23.287300000000002</v>
      </c>
      <c r="AB59" s="61" t="str">
        <f>VLOOKUP(A59,Enforcements!$C$7:$K$16,8,0)</f>
        <v>Signal based authority (5)</v>
      </c>
      <c r="AC59" s="57" t="str">
        <f>VLOOKUP(A59,Enforcements!$C$7:$E$16,3,0)</f>
        <v>SIGNAL</v>
      </c>
      <c r="AD59" s="58" t="str">
        <f t="shared" si="11"/>
        <v>0146-22</v>
      </c>
      <c r="AE59" s="87" t="str">
        <f t="shared" si="12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59" s="84" t="str">
        <f t="shared" si="13"/>
        <v>"C:\Program Files (x86)\AstroGrep\AstroGrep.exe" /spath="%USERPROFILE%\AppData\Local\Temp\OnboardLogs" /stypes="app*4037*20170122*"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146-22 --locoid 4037 --swversion DE.1.0.8.0 --startMP 204:233011 --initTime 2017-01-22T10:06:25 --startdatetime 2017-01-22T10:11:25 --delay 1 --endMP 204:138 --enddatetime 2017-01-22T10:52:32 --enforcementcount 1 &gt;&gt;C:\Users\stu\Documents\GitHub\eaglep3-reporting\EC\2017-01-22-refined-times.txt</v>
      </c>
      <c r="AI59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{"issue":{"subject":"","project_id":79,"tracker_id":40,"status_id":1,"priority_id":2,"assigned_to_id":23,"start_date":"2017-01-22","description":"","custom_fields":[{"id":1,"name":"Subdivision","value":"EC"},{"id":4,"name":"Milepost","value":"0.0138"},{"id":17,"name":"Train ID","value":"146-22"},{"id":16,"name":"Locomotive ID","value":"4037"},{"id":130,"name":"Impact","value":""},{"id":150,"name":"Time of Event (Mountain Time)","value":"10:52:32"},{"id":151,"name":"Denver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20"/>
        <v>start /low /b %USERPROFILE%\Documents\GitHub\eaglep3\Utilities\DownloadLogsFromS3.py --loco 4037 --day 2017-01-22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515</v>
      </c>
      <c r="B60" s="7">
        <v>4016</v>
      </c>
      <c r="C60" s="22" t="s">
        <v>196</v>
      </c>
      <c r="D60" s="22" t="s">
        <v>245</v>
      </c>
      <c r="E60" s="13">
        <v>42757.390729166669</v>
      </c>
      <c r="F60" s="13">
        <v>42757.396041666667</v>
      </c>
      <c r="G60" s="7">
        <v>1</v>
      </c>
      <c r="H60" s="22" t="s">
        <v>692</v>
      </c>
      <c r="I60" s="13">
        <v>42757.420972222222</v>
      </c>
      <c r="J60" s="7">
        <v>1</v>
      </c>
      <c r="K60" s="105" t="str">
        <f t="shared" si="0"/>
        <v>4015/4016</v>
      </c>
      <c r="L60" s="22" t="str">
        <f>VLOOKUP(A60,'Trips&amp;Operators'!$C$1:$G$99999,5,FALSE)</f>
        <v>PERKINS DARREN</v>
      </c>
      <c r="M60" s="6">
        <f t="shared" si="1"/>
        <v>2.4930555555329192E-2</v>
      </c>
      <c r="N60" s="7">
        <f t="shared" si="2"/>
        <v>35.899999999674037</v>
      </c>
      <c r="O60" s="7"/>
      <c r="P60" s="7"/>
      <c r="Q60" s="23"/>
      <c r="R60" s="23"/>
      <c r="S60" s="32">
        <f t="shared" si="3"/>
        <v>1</v>
      </c>
      <c r="T60" s="47" t="str">
        <f t="shared" si="4"/>
        <v>NorthBound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d0f6bd738d7f1b3e5a7ca70fe4ff75f0.us-east-1.aws.found.io/app/kibana#/discover/Steve-Slow-Train-Analysis-(2080s-and-2083s)?_g=(refreshInterval:(display:Off,pause:!f,section:0,value:0),time:(from:'2017-01-22T08:22:39-0700',mode:absolute,to:'2017-01-22T11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0" s="49" t="str">
        <f t="shared" si="6"/>
        <v>N</v>
      </c>
      <c r="X60" s="170">
        <f t="shared" si="7"/>
        <v>1</v>
      </c>
      <c r="Y60" s="64">
        <f t="shared" si="8"/>
        <v>4.58E-2</v>
      </c>
      <c r="Z60" s="64">
        <f t="shared" si="9"/>
        <v>23.330500000000001</v>
      </c>
      <c r="AA60" s="64">
        <f t="shared" si="10"/>
        <v>23.284700000000001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11"/>
        <v>0147-22</v>
      </c>
      <c r="AE60" s="87" t="str">
        <f t="shared" si="12"/>
        <v>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 &amp; 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</v>
      </c>
      <c r="AF60" s="84" t="str">
        <f t="shared" si="13"/>
        <v>"C:\Program Files (x86)\AstroGrep\AstroGrep.exe" /spath="%USERPROFILE%\AppData\Local\Temp\OnboardLogs" /stypes="app*4016*20170122*"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147-22 --locoid 4016 --swversion DE.1.0.8.0 --startMP 204:458 --initTime 2017-01-22T09:22:39 --startdatetime 2017-01-22T09:30:18 --delay 1 --endMP 204:233305 --enddatetime 2017-01-22T10:06:12 --enforcementcount 1 &gt;&gt;C:\Users\stu\Documents\GitHub\eaglep3-reporting\EC\2017-01-22-refined-times.txt</v>
      </c>
      <c r="AI60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{"issue":{"subject":"","project_id":79,"tracker_id":40,"status_id":1,"priority_id":2,"assigned_to_id":23,"start_date":"2017-01-22","description":"","custom_fields":[{"id":1,"name":"Subdivision","value":"EC"},{"id":4,"name":"Milepost","value":"23.3305"},{"id":17,"name":"Train ID","value":"147-22"},{"id":16,"name":"Locomotive ID","value":"4016"},{"id":130,"name":"Impact","value":""},{"id":150,"name":"Time of Event (Mountain Time)","value":"10:06:12"},{"id":151,"name":"Denver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20"/>
        <v>start /low /b %USERPROFILE%\Documents\GitHub\eaglep3\Utilities\DownloadLogsFromS3.py --loco 4016 --day 2017-01-22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"%USERPROFILE%\AppData\Local\Temp\OnboardLogs"\RTDC4016\*4016*20170122* | grep -SE "(Enforcement Action)|(\[TIMEOUT)|(CHR.+\|PRM\|1\|D.+(SWITCH|SIGNAL).+UNKNOWN)" - &gt;&gt; 2017-01-22-UncaughtWiMAX.txt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437</v>
      </c>
      <c r="B61" s="7">
        <v>4015</v>
      </c>
      <c r="C61" s="22" t="s">
        <v>196</v>
      </c>
      <c r="D61" s="22" t="s">
        <v>671</v>
      </c>
      <c r="E61" s="13">
        <v>42757.426990740743</v>
      </c>
      <c r="F61" s="13">
        <v>42757.434861111113</v>
      </c>
      <c r="G61" s="7">
        <v>1</v>
      </c>
      <c r="H61" s="22" t="s">
        <v>693</v>
      </c>
      <c r="I61" s="13">
        <v>42757.464189814818</v>
      </c>
      <c r="J61" s="7">
        <v>1</v>
      </c>
      <c r="K61" s="105" t="str">
        <f t="shared" si="0"/>
        <v>4015/4016</v>
      </c>
      <c r="L61" s="22" t="str">
        <f>VLOOKUP(A61,'Trips&amp;Operators'!$C$1:$G$99999,5,FALSE)</f>
        <v>PERKINS DARREN</v>
      </c>
      <c r="M61" s="6">
        <f t="shared" si="1"/>
        <v>2.9328703705687076E-2</v>
      </c>
      <c r="N61" s="7">
        <f t="shared" si="2"/>
        <v>42.233333336189389</v>
      </c>
      <c r="O61" s="7"/>
      <c r="P61" s="7"/>
      <c r="Q61" s="23"/>
      <c r="R61" s="23"/>
      <c r="S61" s="32">
        <f t="shared" si="3"/>
        <v>1</v>
      </c>
      <c r="T61" s="47" t="str">
        <f t="shared" si="4"/>
        <v>Southbound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d0f6bd738d7f1b3e5a7ca70fe4ff75f0.us-east-1.aws.found.io/app/kibana#/discover/Steve-Slow-Train-Analysis-(2080s-and-2083s)?_g=(refreshInterval:(display:Off,pause:!f,section:0,value:0),time:(from:'2017-01-22T09:14:52-0700',mode:absolute,to:'2017-01-22T12:08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1" s="49" t="str">
        <f t="shared" si="6"/>
        <v>N</v>
      </c>
      <c r="X61" s="170">
        <f t="shared" si="7"/>
        <v>1</v>
      </c>
      <c r="Y61" s="64">
        <f t="shared" si="8"/>
        <v>23.299199999999999</v>
      </c>
      <c r="Z61" s="64">
        <f t="shared" si="9"/>
        <v>1.72E-2</v>
      </c>
      <c r="AA61" s="64">
        <f t="shared" si="10"/>
        <v>23.282</v>
      </c>
      <c r="AB61" s="61" t="str">
        <f>VLOOKUP(A61,Enforcements!$C$7:$K$16,8,0)</f>
        <v>Speed (6)</v>
      </c>
      <c r="AC61" s="57" t="str">
        <f>VLOOKUP(A61,Enforcements!$C$7:$E$16,3,0)</f>
        <v>PERMANENT SPEED RESTRICTION</v>
      </c>
      <c r="AD61" s="58" t="str">
        <f t="shared" si="11"/>
        <v>0148-22</v>
      </c>
      <c r="AE61" s="87" t="str">
        <f t="shared" si="12"/>
        <v>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 &amp; 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</v>
      </c>
      <c r="AF61" s="84" t="str">
        <f t="shared" si="13"/>
        <v>"C:\Program Files (x86)\AstroGrep\AstroGrep.exe" /spath="%USERPROFILE%\AppData\Local\Temp\OnboardLogs" /stypes="app*4015*20170122*"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148-22 --locoid 4015 --swversion DE.1.0.8.0 --startMP 204:232992 --initTime 2017-01-22T10:14:52 --startdatetime 2017-01-22T10:26:12 --delay 1 --endMP 204:172 --enddatetime 2017-01-22T11:08:26 --enforcementcount 1 &gt;&gt;C:\Users\stu\Documents\GitHub\eaglep3-reporting\EC\2017-01-22-refined-times.txt</v>
      </c>
      <c r="AI61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{"issue":{"subject":"","project_id":79,"tracker_id":40,"status_id":1,"priority_id":2,"assigned_to_id":23,"start_date":"2017-01-22","description":"","custom_fields":[{"id":1,"name":"Subdivision","value":"EC"},{"id":4,"name":"Milepost","value":"0.0172"},{"id":17,"name":"Train ID","value":"148-22"},{"id":16,"name":"Locomotive ID","value":"4015"},{"id":130,"name":"Impact","value":""},{"id":150,"name":"Time of Event (Mountain Time)","value":"11:08:26"},{"id":151,"name":"Denver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20"/>
        <v>start /low /b %USERPROFILE%\Documents\GitHub\eaglep3\Utilities\DownloadLogsFromS3.py --loco 4015 --day 2017-01-22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"%USERPROFILE%\AppData\Local\Temp\OnboardLogs"\RTDC4015\*4015*20170122* | grep -SE "(Enforcement Action)|(\[TIMEOUT)|(CHR.+\|PRM\|1\|D.+(SWITCH|SIGNAL).+UNKNOWN)" - &gt;&gt; 2017-01-22-UncaughtWiMAX.txt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517</v>
      </c>
      <c r="B62" s="7">
        <v>4007</v>
      </c>
      <c r="C62" s="22" t="s">
        <v>196</v>
      </c>
      <c r="D62" s="22" t="s">
        <v>217</v>
      </c>
      <c r="E62" s="13">
        <v>42757.402037037034</v>
      </c>
      <c r="F62" s="13">
        <v>42757.406435185185</v>
      </c>
      <c r="G62" s="7">
        <v>1</v>
      </c>
      <c r="H62" s="22" t="s">
        <v>333</v>
      </c>
      <c r="I62" s="13">
        <v>42757.431851851848</v>
      </c>
      <c r="J62" s="7">
        <v>1</v>
      </c>
      <c r="K62" s="105" t="str">
        <f t="shared" si="0"/>
        <v>4007/4008</v>
      </c>
      <c r="L62" s="22" t="str">
        <f>VLOOKUP(A62,'Trips&amp;Operators'!$C$1:$G$99999,5,FALSE)</f>
        <v>DAVIS WENDY</v>
      </c>
      <c r="M62" s="6">
        <f t="shared" si="1"/>
        <v>2.5416666663659271E-2</v>
      </c>
      <c r="N62" s="7">
        <f t="shared" si="2"/>
        <v>36.59999999566935</v>
      </c>
      <c r="O62" s="7"/>
      <c r="P62" s="7"/>
      <c r="Q62" s="23"/>
      <c r="R62" s="23"/>
      <c r="S62" s="32">
        <f t="shared" si="3"/>
        <v>1</v>
      </c>
      <c r="T62" s="47" t="str">
        <f t="shared" si="4"/>
        <v>NorthBound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d0f6bd738d7f1b3e5a7ca70fe4ff75f0.us-east-1.aws.found.io/app/kibana#/discover/Steve-Slow-Train-Analysis-(2080s-and-2083s)?_g=(refreshInterval:(display:Off,pause:!f,section:0,value:0),time:(from:'2017-01-22T08:38:56-0700',mode:absolute,to:'2017-01-22T11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2" s="49" t="str">
        <f t="shared" si="6"/>
        <v>N</v>
      </c>
      <c r="X62" s="170">
        <f t="shared" si="7"/>
        <v>1</v>
      </c>
      <c r="Y62" s="64">
        <f t="shared" si="8"/>
        <v>4.6199999999999998E-2</v>
      </c>
      <c r="Z62" s="64">
        <f t="shared" si="9"/>
        <v>23.331</v>
      </c>
      <c r="AA62" s="64">
        <f t="shared" si="10"/>
        <v>23.284800000000001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11"/>
        <v>0149-22</v>
      </c>
      <c r="AE62" s="87" t="str">
        <f t="shared" si="12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62" s="84" t="str">
        <f t="shared" si="13"/>
        <v>"C:\Program Files (x86)\AstroGrep\AstroGrep.exe" /spath="%USERPROFILE%\AppData\Local\Temp\OnboardLogs" /stypes="app*4007*20170122*"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149-22 --locoid 4007 --swversion DE.1.0.8.0 --startMP 204:462 --initTime 2017-01-22T09:38:56 --startdatetime 2017-01-22T09:45:16 --delay 1 --endMP 204:233310 --enddatetime 2017-01-22T10:21:52 --enforcementcount 1 &gt;&gt;C:\Users\stu\Documents\GitHub\eaglep3-reporting\EC\2017-01-22-refined-times.txt</v>
      </c>
      <c r="AI62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{"issue":{"subject":"","project_id":79,"tracker_id":40,"status_id":1,"priority_id":2,"assigned_to_id":23,"start_date":"2017-01-22","description":"","custom_fields":[{"id":1,"name":"Subdivision","value":"EC"},{"id":4,"name":"Milepost","value":"23.331"},{"id":17,"name":"Train ID","value":"149-22"},{"id":16,"name":"Locomotive ID","value":"4007"},{"id":130,"name":"Impact","value":""},{"id":150,"name":"Time of Event (Mountain Time)","value":"10:21:52"},{"id":151,"name":"Denver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20"/>
        <v>start /low /b %USERPROFILE%\Documents\GitHub\eaglep3\Utilities\DownloadLogsFromS3.py --loco 4007 --day 2017-01-22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2017-01-22-UncaughtWiMAX.txt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522</v>
      </c>
      <c r="B63" s="7">
        <v>4008</v>
      </c>
      <c r="C63" s="22" t="s">
        <v>196</v>
      </c>
      <c r="D63" s="22" t="s">
        <v>694</v>
      </c>
      <c r="E63" s="13">
        <v>42757.443206018521</v>
      </c>
      <c r="F63" s="13">
        <v>42757.4453125</v>
      </c>
      <c r="G63" s="7">
        <v>1</v>
      </c>
      <c r="H63" s="22" t="s">
        <v>221</v>
      </c>
      <c r="I63" s="13">
        <v>42757.473530092589</v>
      </c>
      <c r="J63" s="7">
        <v>1</v>
      </c>
      <c r="K63" s="105" t="str">
        <f t="shared" si="0"/>
        <v>4007/4008</v>
      </c>
      <c r="L63" s="22" t="str">
        <f>VLOOKUP(A63,'Trips&amp;Operators'!$C$1:$G$99999,5,FALSE)</f>
        <v>DAVIS WENDY</v>
      </c>
      <c r="M63" s="6">
        <f t="shared" si="1"/>
        <v>2.8217592589498963E-2</v>
      </c>
      <c r="N63" s="7">
        <f t="shared" si="2"/>
        <v>40.633333328878507</v>
      </c>
      <c r="O63" s="7"/>
      <c r="P63" s="7"/>
      <c r="Q63" s="23"/>
      <c r="R63" s="23"/>
      <c r="S63" s="32">
        <f t="shared" si="3"/>
        <v>1</v>
      </c>
      <c r="T63" s="47" t="str">
        <f t="shared" si="4"/>
        <v>Southbound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d0f6bd738d7f1b3e5a7ca70fe4ff75f0.us-east-1.aws.found.io/app/kibana#/discover/Steve-Slow-Train-Analysis-(2080s-and-2083s)?_g=(refreshInterval:(display:Off,pause:!f,section:0,value:0),time:(from:'2017-01-22T09:38:13-0700',mode:absolute,to:'2017-01-22T12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49" t="str">
        <f t="shared" si="6"/>
        <v>N</v>
      </c>
      <c r="X63" s="170">
        <f t="shared" si="7"/>
        <v>1</v>
      </c>
      <c r="Y63" s="64">
        <f t="shared" si="8"/>
        <v>23.3002</v>
      </c>
      <c r="Z63" s="64">
        <f t="shared" si="9"/>
        <v>1.52E-2</v>
      </c>
      <c r="AA63" s="64">
        <f t="shared" si="10"/>
        <v>23.285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11"/>
        <v>0150-22</v>
      </c>
      <c r="AE63" s="87" t="str">
        <f t="shared" si="12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63" s="84" t="str">
        <f t="shared" si="13"/>
        <v>"C:\Program Files (x86)\AstroGrep\AstroGrep.exe" /spath="%USERPROFILE%\AppData\Local\Temp\OnboardLogs" /stypes="app*4008*20170122*"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150-22 --locoid 4008 --swversion DE.1.0.8.0 --startMP 204:233002 --initTime 2017-01-22T10:38:13 --startdatetime 2017-01-22T10:41:15 --delay 1 --endMP 204:152 --enddatetime 2017-01-22T11:21:53 --enforcementcount 1 &gt;&gt;C:\Users\stu\Documents\GitHub\eaglep3-reporting\EC\2017-01-22-refined-times.txt</v>
      </c>
      <c r="AI63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{"issue":{"subject":"","project_id":79,"tracker_id":40,"status_id":1,"priority_id":2,"assigned_to_id":23,"start_date":"2017-01-22","description":"","custom_fields":[{"id":1,"name":"Subdivision","value":"EC"},{"id":4,"name":"Milepost","value":"0.0152"},{"id":17,"name":"Train ID","value":"150-22"},{"id":16,"name":"Locomotive ID","value":"4008"},{"id":130,"name":"Impact","value":""},{"id":150,"name":"Time of Event (Mountain Time)","value":"11:21:53"},{"id":151,"name":"Denver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20"/>
        <v>start /low /b %USERPROFILE%\Documents\GitHub\eaglep3\Utilities\DownloadLogsFromS3.py --loco 4008 --day 2017-01-22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436</v>
      </c>
      <c r="B64" s="7">
        <v>4022</v>
      </c>
      <c r="C64" s="22" t="s">
        <v>196</v>
      </c>
      <c r="D64" s="22" t="s">
        <v>695</v>
      </c>
      <c r="E64" s="13">
        <v>42757.411296296297</v>
      </c>
      <c r="F64" s="13">
        <v>42757.416828703703</v>
      </c>
      <c r="G64" s="7">
        <v>1</v>
      </c>
      <c r="H64" s="22" t="s">
        <v>696</v>
      </c>
      <c r="I64" s="13">
        <v>42757.437581018516</v>
      </c>
      <c r="J64" s="7">
        <v>1</v>
      </c>
      <c r="K64" s="105" t="str">
        <f t="shared" si="0"/>
        <v>4021/4022</v>
      </c>
      <c r="L64" s="22" t="str">
        <f>VLOOKUP(A64,'Trips&amp;Operators'!$C$1:$G$99999,5,FALSE)</f>
        <v>ROBINSON KADDIBA</v>
      </c>
      <c r="M64" s="6">
        <f t="shared" si="1"/>
        <v>2.0752314812853001E-2</v>
      </c>
      <c r="N64" s="7"/>
      <c r="O64" s="7"/>
      <c r="P64" s="7">
        <f t="shared" si="2"/>
        <v>29.883333330508322</v>
      </c>
      <c r="Q64" s="23"/>
      <c r="R64" s="23" t="s">
        <v>809</v>
      </c>
      <c r="S64" s="32">
        <f t="shared" si="3"/>
        <v>1</v>
      </c>
      <c r="T64" s="47" t="str">
        <f t="shared" si="4"/>
        <v>NorthBound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d0f6bd738d7f1b3e5a7ca70fe4ff75f0.us-east-1.aws.found.io/app/kibana#/discover/Steve-Slow-Train-Analysis-(2080s-and-2083s)?_g=(refreshInterval:(display:Off,pause:!f,section:0,value:0),time:(from:'2017-01-22T08:52:16-0700',mode:absolute,to:'2017-01-22T11:30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4" s="49" t="str">
        <f t="shared" si="6"/>
        <v>Y</v>
      </c>
      <c r="X64" s="170">
        <f t="shared" si="7"/>
        <v>1</v>
      </c>
      <c r="Y64" s="64">
        <f t="shared" si="8"/>
        <v>4.3099999999999999E-2</v>
      </c>
      <c r="Z64" s="64">
        <f t="shared" si="9"/>
        <v>19.3748</v>
      </c>
      <c r="AA64" s="64">
        <f t="shared" si="10"/>
        <v>19.331700000000001</v>
      </c>
      <c r="AB64" s="61" t="str">
        <f>VLOOKUP(A64,Enforcements!$C$7:$K$16,8,0)</f>
        <v>Signal based authority (5)</v>
      </c>
      <c r="AC64" s="57" t="str">
        <f>VLOOKUP(A64,Enforcements!$C$7:$E$16,3,0)</f>
        <v>SIGNAL</v>
      </c>
      <c r="AD64" s="58" t="str">
        <f t="shared" si="11"/>
        <v>0151-22</v>
      </c>
      <c r="AE64" s="87" t="str">
        <f t="shared" si="12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64" s="84" t="str">
        <f t="shared" si="13"/>
        <v>"C:\Program Files (x86)\AstroGrep\AstroGrep.exe" /spath="%USERPROFILE%\AppData\Local\Temp\OnboardLogs" /stypes="app*4022*20170122*"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151-22 --locoid 4022 --swversion DE.1.0.8.0 --startMP 204:431 --initTime 2017-01-22T09:52:16 --startdatetime 2017-01-22T10:00:14 --delay 1 --endMP 204:193748 --enddatetime 2017-01-22T10:30:07 --enforcementcount 1 &gt;&gt;C:\Users\stu\Documents\GitHub\eaglep3-reporting\EC\2017-01-22-refined-times.txt</v>
      </c>
      <c r="AI64" s="115" t="str">
        <f t="shared" si="19"/>
        <v>echo {"issue":{"subject":"Premature downgrade at Pena 2N","project_id":79,"tracker_id":40,"status_id":1,"priority_id":2,"assigned_to_id":23,"start_date":"2017-01-22","description":"At 10:29:39, Pena 2N dropped from PROCEED CAB to STOP, do logs tell us anything unusual?","custom_fields":[{"id":1,"name":"Subdivision","value":"EC"},{"id":4,"name":"Milepost","value":"19.3748"},{"id":17,"name":"Train ID","value":"151-22"},{"id":16,"name":"Locomotive ID","value":"4022"},{"id":130,"name":"Impact","value":"Enforcement"},{"id":150,"name":"Time of Event (Mountain Time)","value":"10:30:07"},{"id":151,"name":"Denver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4" s="50" t="s">
        <v>808</v>
      </c>
      <c r="AK64" s="50" t="s">
        <v>124</v>
      </c>
      <c r="AL64" s="50" t="s">
        <v>129</v>
      </c>
      <c r="AM64" s="177" t="str">
        <f t="shared" si="20"/>
        <v>start /low /b %USERPROFILE%\Documents\GitHub\eaglep3\Utilities\DownloadLogsFromS3.py --loco 4022 --day 2017-01-22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2017-01-22-UncaughtWiMAX.txt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524</v>
      </c>
      <c r="B65" s="7">
        <v>4021</v>
      </c>
      <c r="C65" s="22" t="s">
        <v>196</v>
      </c>
      <c r="D65" s="22" t="s">
        <v>697</v>
      </c>
      <c r="E65" s="13">
        <v>42757.452037037037</v>
      </c>
      <c r="F65" s="13">
        <v>42757.455740740741</v>
      </c>
      <c r="G65" s="7">
        <v>1</v>
      </c>
      <c r="H65" s="22" t="s">
        <v>258</v>
      </c>
      <c r="I65" s="13">
        <v>42757.483043981483</v>
      </c>
      <c r="J65" s="7">
        <v>1</v>
      </c>
      <c r="K65" s="105" t="str">
        <f t="shared" si="0"/>
        <v>4021/4022</v>
      </c>
      <c r="L65" s="22" t="str">
        <f>VLOOKUP(A65,'Trips&amp;Operators'!$C$1:$G$99999,5,FALSE)</f>
        <v>ROBINSON KADDIBA</v>
      </c>
      <c r="M65" s="6">
        <f t="shared" si="1"/>
        <v>2.7303240742185153E-2</v>
      </c>
      <c r="N65" s="7">
        <f t="shared" si="2"/>
        <v>39.31666666874662</v>
      </c>
      <c r="O65" s="7"/>
      <c r="P65" s="7"/>
      <c r="Q65" s="23"/>
      <c r="R65" s="23"/>
      <c r="S65" s="32">
        <f t="shared" si="3"/>
        <v>1</v>
      </c>
      <c r="T65" s="47" t="str">
        <f t="shared" si="4"/>
        <v>Southbound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d0f6bd738d7f1b3e5a7ca70fe4ff75f0.us-east-1.aws.found.io/app/kibana#/discover/Steve-Slow-Train-Analysis-(2080s-and-2083s)?_g=(refreshInterval:(display:Off,pause:!f,section:0,value:0),time:(from:'2017-01-22T09:50:56-0700',mode:absolute,to:'2017-01-22T12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5" s="49" t="str">
        <f t="shared" si="6"/>
        <v>N</v>
      </c>
      <c r="X65" s="170">
        <f t="shared" si="7"/>
        <v>1</v>
      </c>
      <c r="Y65" s="64">
        <f t="shared" si="8"/>
        <v>23.295000000000002</v>
      </c>
      <c r="Z65" s="64">
        <f t="shared" si="9"/>
        <v>1.43E-2</v>
      </c>
      <c r="AA65" s="64">
        <f t="shared" si="10"/>
        <v>23.280700000000003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11"/>
        <v>0152-22</v>
      </c>
      <c r="AE65" s="87" t="str">
        <f t="shared" si="12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65" s="84" t="str">
        <f t="shared" si="13"/>
        <v>"C:\Program Files (x86)\AstroGrep\AstroGrep.exe" /spath="%USERPROFILE%\AppData\Local\Temp\OnboardLogs" /stypes="app*4021*20170122*"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152-22 --locoid 4021 --swversion DE.1.0.8.0 --startMP 204:232950 --initTime 2017-01-22T10:50:56 --startdatetime 2017-01-22T10:56:16 --delay 1 --endMP 204:143 --enddatetime 2017-01-22T11:35:35 --enforcementcount 1 &gt;&gt;C:\Users\stu\Documents\GitHub\eaglep3-reporting\EC\2017-01-22-refined-times.txt</v>
      </c>
      <c r="AI65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{"issue":{"subject":"","project_id":79,"tracker_id":40,"status_id":1,"priority_id":2,"assigned_to_id":23,"start_date":"2017-01-22","description":"","custom_fields":[{"id":1,"name":"Subdivision","value":"EC"},{"id":4,"name":"Milepost","value":"0.0143"},{"id":17,"name":"Train ID","value":"152-22"},{"id":16,"name":"Locomotive ID","value":"4021"},{"id":130,"name":"Impact","value":""},{"id":150,"name":"Time of Event (Mountain Time)","value":"11:35:35"},{"id":151,"name":"Denver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20"/>
        <v>start /low /b %USERPROFILE%\Documents\GitHub\eaglep3\Utilities\DownloadLogsFromS3.py --loco 4021 --day 2017-01-22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519</v>
      </c>
      <c r="B66" s="7">
        <v>4003</v>
      </c>
      <c r="C66" s="22" t="s">
        <v>196</v>
      </c>
      <c r="D66" s="22" t="s">
        <v>698</v>
      </c>
      <c r="E66" s="13">
        <v>42757.42459490741</v>
      </c>
      <c r="F66" s="13">
        <v>42757.427256944444</v>
      </c>
      <c r="G66" s="7">
        <v>1</v>
      </c>
      <c r="H66" s="22" t="s">
        <v>333</v>
      </c>
      <c r="I66" s="13">
        <v>42757.452013888891</v>
      </c>
      <c r="J66" s="7">
        <v>1</v>
      </c>
      <c r="K66" s="105" t="str">
        <f t="shared" si="0"/>
        <v>4003/4004</v>
      </c>
      <c r="L66" s="22" t="str">
        <f>VLOOKUP(A66,'Trips&amp;Operators'!$C$1:$G$99999,5,FALSE)</f>
        <v>GEBRETEKLE DAGNEW</v>
      </c>
      <c r="M66" s="6">
        <f t="shared" si="1"/>
        <v>2.4756944447290152E-2</v>
      </c>
      <c r="N66" s="7">
        <f t="shared" si="2"/>
        <v>35.650000004097819</v>
      </c>
      <c r="O66" s="7"/>
      <c r="P66" s="7"/>
      <c r="Q66" s="23"/>
      <c r="R66" s="23"/>
      <c r="S66" s="32">
        <f t="shared" si="3"/>
        <v>1</v>
      </c>
      <c r="T66" s="47" t="str">
        <f t="shared" si="4"/>
        <v>NorthBound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d0f6bd738d7f1b3e5a7ca70fe4ff75f0.us-east-1.aws.found.io/app/kibana#/discover/Steve-Slow-Train-Analysis-(2080s-and-2083s)?_g=(refreshInterval:(display:Off,pause:!f,section:0,value:0),time:(from:'2017-01-22T09:11:25-0700',mode:absolute,to:'2017-01-22T11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6" s="49" t="str">
        <f t="shared" si="6"/>
        <v>N</v>
      </c>
      <c r="X66" s="170">
        <f t="shared" si="7"/>
        <v>1</v>
      </c>
      <c r="Y66" s="64">
        <f t="shared" si="8"/>
        <v>4.9500000000000002E-2</v>
      </c>
      <c r="Z66" s="64">
        <f t="shared" si="9"/>
        <v>23.331</v>
      </c>
      <c r="AA66" s="64">
        <f t="shared" si="10"/>
        <v>23.281500000000001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11"/>
        <v>0153-22</v>
      </c>
      <c r="AE66" s="87" t="str">
        <f t="shared" si="12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66" s="84" t="str">
        <f t="shared" si="13"/>
        <v>"C:\Program Files (x86)\AstroGrep\AstroGrep.exe" /spath="%USERPROFILE%\AppData\Local\Temp\OnboardLogs" /stypes="app*4003*20170122*"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153-22 --locoid 4003 --swversion DE.1.0.8.0 --startMP 204:495 --initTime 2017-01-22T10:11:25 --startdatetime 2017-01-22T10:15:15 --delay 1 --endMP 204:233310 --enddatetime 2017-01-22T10:50:54 --enforcementcount 1 &gt;&gt;C:\Users\stu\Documents\GitHub\eaglep3-reporting\EC\2017-01-22-refined-times.txt</v>
      </c>
      <c r="AI66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{"issue":{"subject":"","project_id":79,"tracker_id":40,"status_id":1,"priority_id":2,"assigned_to_id":23,"start_date":"2017-01-22","description":"","custom_fields":[{"id":1,"name":"Subdivision","value":"EC"},{"id":4,"name":"Milepost","value":"23.331"},{"id":17,"name":"Train ID","value":"153-22"},{"id":16,"name":"Locomotive ID","value":"4003"},{"id":130,"name":"Impact","value":""},{"id":150,"name":"Time of Event (Mountain Time)","value":"10:50:54"},{"id":151,"name":"Denver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20"/>
        <v>start /low /b %USERPROFILE%\Documents\GitHub\eaglep3\Utilities\DownloadLogsFromS3.py --loco 4003 --day 2017-01-22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529</v>
      </c>
      <c r="B67" s="7">
        <v>4004</v>
      </c>
      <c r="C67" s="22" t="s">
        <v>196</v>
      </c>
      <c r="D67" s="22" t="s">
        <v>699</v>
      </c>
      <c r="E67" s="13">
        <v>42757.461030092592</v>
      </c>
      <c r="F67" s="13">
        <v>42757.466157407405</v>
      </c>
      <c r="G67" s="7">
        <v>1</v>
      </c>
      <c r="H67" s="22" t="s">
        <v>242</v>
      </c>
      <c r="I67" s="13">
        <v>42757.492002314815</v>
      </c>
      <c r="J67" s="7">
        <v>1</v>
      </c>
      <c r="K67" s="105" t="str">
        <f t="shared" si="0"/>
        <v>4003/4004</v>
      </c>
      <c r="L67" s="22" t="str">
        <f>VLOOKUP(A67,'Trips&amp;Operators'!$C$1:$G$99999,5,FALSE)</f>
        <v>GEBRETEKLE DAGNEW</v>
      </c>
      <c r="M67" s="6">
        <f t="shared" si="1"/>
        <v>2.584490740991896E-2</v>
      </c>
      <c r="N67" s="7">
        <f t="shared" si="2"/>
        <v>37.216666670283303</v>
      </c>
      <c r="O67" s="7"/>
      <c r="P67" s="7"/>
      <c r="Q67" s="23"/>
      <c r="R67" s="23"/>
      <c r="S67" s="32">
        <f t="shared" si="3"/>
        <v>1</v>
      </c>
      <c r="T67" s="47" t="str">
        <f t="shared" si="4"/>
        <v>Southbound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d0f6bd738d7f1b3e5a7ca70fe4ff75f0.us-east-1.aws.found.io/app/kibana#/discover/Steve-Slow-Train-Analysis-(2080s-and-2083s)?_g=(refreshInterval:(display:Off,pause:!f,section:0,value:0),time:(from:'2017-01-22T10:03:53-0700',mode:absolute,to:'2017-01-22T12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7" s="49" t="str">
        <f t="shared" si="6"/>
        <v>N</v>
      </c>
      <c r="X67" s="170">
        <f t="shared" si="7"/>
        <v>1</v>
      </c>
      <c r="Y67" s="64">
        <f t="shared" si="8"/>
        <v>23.3004</v>
      </c>
      <c r="Z67" s="64">
        <f t="shared" si="9"/>
        <v>1.54E-2</v>
      </c>
      <c r="AA67" s="64">
        <f t="shared" si="10"/>
        <v>23.285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11"/>
        <v>0154-22</v>
      </c>
      <c r="AE67" s="87" t="str">
        <f t="shared" si="12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67" s="84" t="str">
        <f t="shared" si="13"/>
        <v>"C:\Program Files (x86)\AstroGrep\AstroGrep.exe" /spath="%USERPROFILE%\AppData\Local\Temp\OnboardLogs" /stypes="app*4004*20170122*"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154-22 --locoid 4004 --swversion DE.1.0.8.0 --startMP 204:233004 --initTime 2017-01-22T11:03:53 --startdatetime 2017-01-22T11:11:16 --delay 1 --endMP 204:154 --enddatetime 2017-01-22T11:48:29 --enforcementcount 1 &gt;&gt;C:\Users\stu\Documents\GitHub\eaglep3-reporting\EC\2017-01-22-refined-times.txt</v>
      </c>
      <c r="AI67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{"issue":{"subject":"","project_id":79,"tracker_id":40,"status_id":1,"priority_id":2,"assigned_to_id":23,"start_date":"2017-01-22","description":"","custom_fields":[{"id":1,"name":"Subdivision","value":"EC"},{"id":4,"name":"Milepost","value":"0.0154"},{"id":17,"name":"Train ID","value":"154-22"},{"id":16,"name":"Locomotive ID","value":"4004"},{"id":130,"name":"Impact","value":""},{"id":150,"name":"Time of Event (Mountain Time)","value":"11:48:29"},{"id":151,"name":"Denver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20"/>
        <v>start /low /b %USERPROFILE%\Documents\GitHub\eaglep3\Utilities\DownloadLogsFromS3.py --loco 4004 --day 2017-01-22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520</v>
      </c>
      <c r="B68" s="7">
        <v>4046</v>
      </c>
      <c r="C68" s="22" t="s">
        <v>196</v>
      </c>
      <c r="D68" s="22" t="s">
        <v>295</v>
      </c>
      <c r="E68" s="13">
        <v>42757.432268518518</v>
      </c>
      <c r="F68" s="13">
        <v>42757.437905092593</v>
      </c>
      <c r="G68" s="7">
        <v>2</v>
      </c>
      <c r="H68" s="22" t="s">
        <v>280</v>
      </c>
      <c r="I68" s="13">
        <v>42757.462164351855</v>
      </c>
      <c r="J68" s="7">
        <v>1</v>
      </c>
      <c r="K68" s="105" t="str">
        <f t="shared" si="0"/>
        <v>4045/4046</v>
      </c>
      <c r="L68" s="22" t="str">
        <f>VLOOKUP(A68,'Trips&amp;Operators'!$C$1:$G$99999,5,FALSE)</f>
        <v>ROMERO CHAD</v>
      </c>
      <c r="M68" s="6">
        <f t="shared" si="1"/>
        <v>2.4259259262180422E-2</v>
      </c>
      <c r="N68" s="7">
        <f t="shared" si="2"/>
        <v>34.933333337539807</v>
      </c>
      <c r="O68" s="7"/>
      <c r="P68" s="7"/>
      <c r="Q68" s="23"/>
      <c r="R68" s="23"/>
      <c r="S68" s="32">
        <f t="shared" si="3"/>
        <v>1</v>
      </c>
      <c r="T68" s="47" t="str">
        <f t="shared" si="4"/>
        <v>NorthBound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d0f6bd738d7f1b3e5a7ca70fe4ff75f0.us-east-1.aws.found.io/app/kibana#/discover/Steve-Slow-Train-Analysis-(2080s-and-2083s)?_g=(refreshInterval:(display:Off,pause:!f,section:0,value:0),time:(from:'2017-01-22T09:22:28-0700',mode:absolute,to:'2017-01-22T12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8" s="49" t="str">
        <f t="shared" si="6"/>
        <v>N</v>
      </c>
      <c r="X68" s="170">
        <f t="shared" si="7"/>
        <v>1</v>
      </c>
      <c r="Y68" s="64">
        <f t="shared" si="8"/>
        <v>4.4400000000000002E-2</v>
      </c>
      <c r="Z68" s="64">
        <f t="shared" si="9"/>
        <v>23.331399999999999</v>
      </c>
      <c r="AA68" s="64">
        <f t="shared" si="10"/>
        <v>23.286999999999999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11"/>
        <v>0155-22</v>
      </c>
      <c r="AE68" s="87" t="str">
        <f t="shared" si="12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68" s="84" t="str">
        <f t="shared" si="13"/>
        <v>"C:\Program Files (x86)\AstroGrep\AstroGrep.exe" /spath="%USERPROFILE%\AppData\Local\Temp\OnboardLogs" /stypes="app*4046*20170122*"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155-22 --locoid 4046 --swversion DE.1.0.8.0 --startMP 204:444 --initTime 2017-01-22T10:22:28 --startdatetime 2017-01-22T10:30:35 --delay 2 --endMP 204:233314 --enddatetime 2017-01-22T11:05:31 --enforcementcount 1 &gt;&gt;C:\Users\stu\Documents\GitHub\eaglep3-reporting\EC\2017-01-22-refined-times.txt</v>
      </c>
      <c r="AI68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{"issue":{"subject":"","project_id":79,"tracker_id":40,"status_id":1,"priority_id":2,"assigned_to_id":23,"start_date":"2017-01-22","description":"","custom_fields":[{"id":1,"name":"Subdivision","value":"EC"},{"id":4,"name":"Milepost","value":"23.3314"},{"id":17,"name":"Train ID","value":"155-22"},{"id":16,"name":"Locomotive ID","value":"4046"},{"id":130,"name":"Impact","value":""},{"id":150,"name":"Time of Event (Mountain Time)","value":"11:05:31"},{"id":151,"name":"Denver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20"/>
        <v>start /low /b %USERPROFILE%\Documents\GitHub\eaglep3\Utilities\DownloadLogsFromS3.py --loco 4046 --day 2017-01-22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"%USERPROFILE%\AppData\Local\Temp\OnboardLogs"\RTDC4046\*4046*20170122* | grep -SE "(Enforcement Action)|(\[TIMEOUT)|(CHR.+\|PRM\|1\|D.+(SWITCH|SIGNAL).+UNKNOWN)" - &gt;&gt; 2017-01-22-UncaughtWiMAX.txt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530</v>
      </c>
      <c r="B69" s="7">
        <v>4045</v>
      </c>
      <c r="C69" s="22" t="s">
        <v>196</v>
      </c>
      <c r="D69" s="22" t="s">
        <v>700</v>
      </c>
      <c r="E69" s="13">
        <v>42757.465555555558</v>
      </c>
      <c r="F69" s="13">
        <v>42757.476539351854</v>
      </c>
      <c r="G69" s="7">
        <v>1</v>
      </c>
      <c r="H69" s="22" t="s">
        <v>241</v>
      </c>
      <c r="I69" s="13">
        <v>42757.502199074072</v>
      </c>
      <c r="J69" s="7">
        <v>1</v>
      </c>
      <c r="K69" s="105" t="str">
        <f t="shared" si="0"/>
        <v>4045/4046</v>
      </c>
      <c r="L69" s="22" t="str">
        <f>VLOOKUP(A69,'Trips&amp;Operators'!$C$1:$G$99999,5,FALSE)</f>
        <v>ROMERO CHAD</v>
      </c>
      <c r="M69" s="6">
        <f t="shared" si="1"/>
        <v>2.565972221782431E-2</v>
      </c>
      <c r="N69" s="7">
        <f t="shared" si="2"/>
        <v>36.949999993667006</v>
      </c>
      <c r="O69" s="7"/>
      <c r="P69" s="7"/>
      <c r="Q69" s="23"/>
      <c r="R69" s="23"/>
      <c r="S69" s="32">
        <f t="shared" si="3"/>
        <v>1</v>
      </c>
      <c r="T69" s="47" t="str">
        <f t="shared" si="4"/>
        <v>Southbound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d0f6bd738d7f1b3e5a7ca70fe4ff75f0.us-east-1.aws.found.io/app/kibana#/discover/Steve-Slow-Train-Analysis-(2080s-and-2083s)?_g=(refreshInterval:(display:Off,pause:!f,section:0,value:0),time:(from:'2017-01-22T10:10:24-0700',mode:absolute,to:'2017-01-22T13:03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9" s="49" t="str">
        <f t="shared" si="6"/>
        <v>N</v>
      </c>
      <c r="X69" s="170">
        <f t="shared" si="7"/>
        <v>1</v>
      </c>
      <c r="Y69" s="64">
        <f t="shared" si="8"/>
        <v>23.297999999999998</v>
      </c>
      <c r="Z69" s="64">
        <f t="shared" si="9"/>
        <v>1.6299999999999999E-2</v>
      </c>
      <c r="AA69" s="64">
        <f t="shared" si="10"/>
        <v>23.281699999999997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11"/>
        <v>0156-22</v>
      </c>
      <c r="AE69" s="87" t="str">
        <f t="shared" si="12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69" s="84" t="str">
        <f t="shared" si="13"/>
        <v>"C:\Program Files (x86)\AstroGrep\AstroGrep.exe" /spath="%USERPROFILE%\AppData\Local\Temp\OnboardLogs" /stypes="app*4045*20170122*"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156-22 --locoid 4045 --swversion DE.1.0.8.0 --startMP 204:232980 --initTime 2017-01-22T11:10:24 --startdatetime 2017-01-22T11:26:13 --delay 1 --endMP 204:163 --enddatetime 2017-01-22T12:03:10 --enforcementcount 1 &gt;&gt;C:\Users\stu\Documents\GitHub\eaglep3-reporting\EC\2017-01-22-refined-times.txt</v>
      </c>
      <c r="AI69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{"issue":{"subject":"","project_id":79,"tracker_id":40,"status_id":1,"priority_id":2,"assigned_to_id":23,"start_date":"2017-01-22","description":"","custom_fields":[{"id":1,"name":"Subdivision","value":"EC"},{"id":4,"name":"Milepost","value":"0.0163"},{"id":17,"name":"Train ID","value":"156-22"},{"id":16,"name":"Locomotive ID","value":"4045"},{"id":130,"name":"Impact","value":""},{"id":150,"name":"Time of Event (Mountain Time)","value":"12:03:10"},{"id":151,"name":"Denver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20"/>
        <v>start /low /b %USERPROFILE%\Documents\GitHub\eaglep3\Utilities\DownloadLogsFromS3.py --loco 4045 --day 2017-01-22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523</v>
      </c>
      <c r="B70" s="7">
        <v>4044</v>
      </c>
      <c r="C70" s="22" t="s">
        <v>196</v>
      </c>
      <c r="D70" s="22" t="s">
        <v>205</v>
      </c>
      <c r="E70" s="13">
        <v>42757.444351851853</v>
      </c>
      <c r="F70" s="13">
        <v>42757.44809027778</v>
      </c>
      <c r="G70" s="7">
        <v>1</v>
      </c>
      <c r="H70" s="22" t="s">
        <v>296</v>
      </c>
      <c r="I70" s="13">
        <v>42757.473935185182</v>
      </c>
      <c r="J70" s="7">
        <v>1</v>
      </c>
      <c r="K70" s="105" t="str">
        <f t="shared" si="0"/>
        <v>4043/4044</v>
      </c>
      <c r="L70" s="22" t="str">
        <f>VLOOKUP(A70,'Trips&amp;Operators'!$C$1:$G$99999,5,FALSE)</f>
        <v>SHOOK JOHN</v>
      </c>
      <c r="M70" s="6">
        <f t="shared" si="1"/>
        <v>2.5844907402643003E-2</v>
      </c>
      <c r="N70" s="7">
        <f t="shared" si="2"/>
        <v>37.216666659805924</v>
      </c>
      <c r="O70" s="7"/>
      <c r="P70" s="7"/>
      <c r="Q70" s="23"/>
      <c r="R70" s="23"/>
      <c r="S70" s="32">
        <f t="shared" si="3"/>
        <v>1</v>
      </c>
      <c r="T70" s="47" t="str">
        <f t="shared" si="4"/>
        <v>NorthBound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d0f6bd738d7f1b3e5a7ca70fe4ff75f0.us-east-1.aws.found.io/app/kibana#/discover/Steve-Slow-Train-Analysis-(2080s-and-2083s)?_g=(refreshInterval:(display:Off,pause:!f,section:0,value:0),time:(from:'2017-01-22T09:39:52-0700',mode:absolute,to:'2017-01-22T12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0" s="49" t="str">
        <f t="shared" si="6"/>
        <v>N</v>
      </c>
      <c r="X70" s="170">
        <f t="shared" si="7"/>
        <v>1</v>
      </c>
      <c r="Y70" s="64">
        <f t="shared" si="8"/>
        <v>4.5499999999999999E-2</v>
      </c>
      <c r="Z70" s="64">
        <f t="shared" si="9"/>
        <v>23.333200000000001</v>
      </c>
      <c r="AA70" s="64">
        <f t="shared" si="10"/>
        <v>23.287700000000001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11"/>
        <v>0157-22</v>
      </c>
      <c r="AE70" s="87" t="str">
        <f t="shared" si="12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70" s="84" t="str">
        <f t="shared" si="13"/>
        <v>"C:\Program Files (x86)\AstroGrep\AstroGrep.exe" /spath="%USERPROFILE%\AppData\Local\Temp\OnboardLogs" /stypes="app*4044*20170122*"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157-22 --locoid 4044 --swversion DE.1.0.8.0 --startMP 204:455 --initTime 2017-01-22T10:39:52 --startdatetime 2017-01-22T10:45:15 --delay 1 --endMP 204:233332 --enddatetime 2017-01-22T11:22:28 --enforcementcount 1 &gt;&gt;C:\Users\stu\Documents\GitHub\eaglep3-reporting\EC\2017-01-22-refined-times.txt</v>
      </c>
      <c r="AI70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{"issue":{"subject":"","project_id":79,"tracker_id":40,"status_id":1,"priority_id":2,"assigned_to_id":23,"start_date":"2017-01-22","description":"","custom_fields":[{"id":1,"name":"Subdivision","value":"EC"},{"id":4,"name":"Milepost","value":"23.3332"},{"id":17,"name":"Train ID","value":"157-22"},{"id":16,"name":"Locomotive ID","value":"4044"},{"id":130,"name":"Impact","value":""},{"id":150,"name":"Time of Event (Mountain Time)","value":"11:22:28"},{"id":151,"name":"Denver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20"/>
        <v>start /low /b %USERPROFILE%\Documents\GitHub\eaglep3\Utilities\DownloadLogsFromS3.py --loco 4044 --day 2017-01-22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536</v>
      </c>
      <c r="B71" s="7">
        <v>4043</v>
      </c>
      <c r="C71" s="22" t="s">
        <v>196</v>
      </c>
      <c r="D71" s="22" t="s">
        <v>332</v>
      </c>
      <c r="E71" s="13">
        <v>42757.475752314815</v>
      </c>
      <c r="F71" s="13">
        <v>42757.486990740741</v>
      </c>
      <c r="G71" s="7">
        <v>1</v>
      </c>
      <c r="H71" s="22" t="s">
        <v>186</v>
      </c>
      <c r="I71" s="13">
        <v>42757.515092592592</v>
      </c>
      <c r="J71" s="7">
        <v>1</v>
      </c>
      <c r="K71" s="105" t="str">
        <f t="shared" si="0"/>
        <v>4043/4044</v>
      </c>
      <c r="L71" s="22" t="str">
        <f>VLOOKUP(A71,'Trips&amp;Operators'!$C$1:$G$99999,5,FALSE)</f>
        <v>SHOOK JOHN</v>
      </c>
      <c r="M71" s="6">
        <f t="shared" si="1"/>
        <v>2.810185185080627E-2</v>
      </c>
      <c r="N71" s="7">
        <f t="shared" si="2"/>
        <v>40.466666665161029</v>
      </c>
      <c r="O71" s="7"/>
      <c r="P71" s="7"/>
      <c r="Q71" s="23"/>
      <c r="R71" s="23"/>
      <c r="S71" s="32">
        <f t="shared" si="3"/>
        <v>1</v>
      </c>
      <c r="T71" s="47" t="str">
        <f t="shared" si="4"/>
        <v>Southbound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d0f6bd738d7f1b3e5a7ca70fe4ff75f0.us-east-1.aws.found.io/app/kibana#/discover/Steve-Slow-Train-Analysis-(2080s-and-2083s)?_g=(refreshInterval:(display:Off,pause:!f,section:0,value:0),time:(from:'2017-01-22T10:25:05-0700',mode:absolute,to:'2017-01-22T13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1" s="49" t="str">
        <f t="shared" si="6"/>
        <v>N</v>
      </c>
      <c r="X71" s="170">
        <f t="shared" si="7"/>
        <v>1</v>
      </c>
      <c r="Y71" s="64">
        <f t="shared" si="8"/>
        <v>23.3019</v>
      </c>
      <c r="Z71" s="64">
        <f t="shared" si="9"/>
        <v>1.49E-2</v>
      </c>
      <c r="AA71" s="64">
        <f t="shared" si="10"/>
        <v>23.286999999999999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11"/>
        <v>0158-22</v>
      </c>
      <c r="AE71" s="87" t="str">
        <f t="shared" si="12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71" s="84" t="str">
        <f t="shared" si="13"/>
        <v>"C:\Program Files (x86)\AstroGrep\AstroGrep.exe" /spath="%USERPROFILE%\AppData\Local\Temp\OnboardLogs" /stypes="app*4043*20170122*"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158-22 --locoid 4043 --swversion DE.1.0.8.0 --startMP 204:233019 --initTime 2017-01-22T11:25:05 --startdatetime 2017-01-22T11:41:16 --delay 1 --endMP 204:149 --enddatetime 2017-01-22T12:21:44 --enforcementcount 1 &gt;&gt;C:\Users\stu\Documents\GitHub\eaglep3-reporting\EC\2017-01-22-refined-times.txt</v>
      </c>
      <c r="AI71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{"issue":{"subject":"","project_id":79,"tracker_id":40,"status_id":1,"priority_id":2,"assigned_to_id":23,"start_date":"2017-01-22","description":"","custom_fields":[{"id":1,"name":"Subdivision","value":"EC"},{"id":4,"name":"Milepost","value":"0.0149"},{"id":17,"name":"Train ID","value":"158-22"},{"id":16,"name":"Locomotive ID","value":"4043"},{"id":130,"name":"Impact","value":""},{"id":150,"name":"Time of Event (Mountain Time)","value":"12:21:44"},{"id":151,"name":"Denver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20"/>
        <v>start /low /b %USERPROFILE%\Documents\GitHub\eaglep3\Utilities\DownloadLogsFromS3.py --loco 4043 --day 2017-01-22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2017-01-22-UncaughtWiMAX.txt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527</v>
      </c>
      <c r="B72" s="7">
        <v>4038</v>
      </c>
      <c r="C72" s="22" t="s">
        <v>196</v>
      </c>
      <c r="D72" s="22" t="s">
        <v>264</v>
      </c>
      <c r="E72" s="13">
        <v>42757.454918981479</v>
      </c>
      <c r="F72" s="13">
        <v>42757.458564814813</v>
      </c>
      <c r="G72" s="7">
        <v>2</v>
      </c>
      <c r="H72" s="22" t="s">
        <v>417</v>
      </c>
      <c r="I72" s="13">
        <v>42757.482905092591</v>
      </c>
      <c r="J72" s="7">
        <v>1</v>
      </c>
      <c r="K72" s="105" t="str">
        <f t="shared" si="0"/>
        <v>4037/4038</v>
      </c>
      <c r="L72" s="22" t="str">
        <f>VLOOKUP(A72,'Trips&amp;Operators'!$C$1:$G$99999,5,FALSE)</f>
        <v>STEWART MICHAEL</v>
      </c>
      <c r="M72" s="6">
        <f t="shared" si="1"/>
        <v>2.4340277777810115E-2</v>
      </c>
      <c r="N72" s="7">
        <f t="shared" si="2"/>
        <v>35.050000000046566</v>
      </c>
      <c r="O72" s="7"/>
      <c r="P72" s="7"/>
      <c r="Q72" s="23"/>
      <c r="R72" s="23"/>
      <c r="S72" s="32">
        <f t="shared" si="3"/>
        <v>1</v>
      </c>
      <c r="T72" s="47" t="str">
        <f t="shared" si="4"/>
        <v>NorthBound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d0f6bd738d7f1b3e5a7ca70fe4ff75f0.us-east-1.aws.found.io/app/kibana#/discover/Steve-Slow-Train-Analysis-(2080s-and-2083s)?_g=(refreshInterval:(display:Off,pause:!f,section:0,value:0),time:(from:'2017-01-22T09:55:05-0700',mode:absolute,to:'2017-01-22T12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72" s="49" t="str">
        <f t="shared" si="6"/>
        <v>N</v>
      </c>
      <c r="X72" s="170">
        <f t="shared" si="7"/>
        <v>1</v>
      </c>
      <c r="Y72" s="64">
        <f t="shared" si="8"/>
        <v>4.3999999999999997E-2</v>
      </c>
      <c r="Z72" s="64">
        <f t="shared" si="9"/>
        <v>23.334900000000001</v>
      </c>
      <c r="AA72" s="64">
        <f t="shared" si="10"/>
        <v>23.290900000000001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11"/>
        <v>0159-22</v>
      </c>
      <c r="AE72" s="87" t="str">
        <f t="shared" si="12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72" s="84" t="str">
        <f t="shared" si="13"/>
        <v>"C:\Program Files (x86)\AstroGrep\AstroGrep.exe" /spath="%USERPROFILE%\AppData\Local\Temp\OnboardLogs" /stypes="app*4038*20170122*"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159-22 --locoid 4038 --swversion DE.1.0.8.0 --startMP 204:440 --initTime 2017-01-22T10:55:05 --startdatetime 2017-01-22T11:00:20 --delay 2 --endMP 204:233349 --enddatetime 2017-01-22T11:35:23 --enforcementcount 1 &gt;&gt;C:\Users\stu\Documents\GitHub\eaglep3-reporting\EC\2017-01-22-refined-times.txt</v>
      </c>
      <c r="AI72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{"issue":{"subject":"","project_id":79,"tracker_id":40,"status_id":1,"priority_id":2,"assigned_to_id":23,"start_date":"2017-01-22","description":"","custom_fields":[{"id":1,"name":"Subdivision","value":"EC"},{"id":4,"name":"Milepost","value":"23.3349"},{"id":17,"name":"Train ID","value":"159-22"},{"id":16,"name":"Locomotive ID","value":"4038"},{"id":130,"name":"Impact","value":""},{"id":150,"name":"Time of Event (Mountain Time)","value":"11:35:23"},{"id":151,"name":"Denver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20"/>
        <v>start /low /b %USERPROFILE%\Documents\GitHub\eaglep3\Utilities\DownloadLogsFromS3.py --loco 4038 --day 2017-01-22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"%USERPROFILE%\AppData\Local\Temp\OnboardLogs"\RTDC4038\*4038*20170122* | grep -SE "(Enforcement Action)|(\[TIMEOUT)|(CHR.+\|PRM\|1\|D.+(SWITCH|SIGNAL).+UNKNOWN)" - &gt;&gt; 2017-01-22-UncaughtWiMAX.txt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543</v>
      </c>
      <c r="B73" s="7">
        <v>4037</v>
      </c>
      <c r="C73" s="22" t="s">
        <v>196</v>
      </c>
      <c r="D73" s="22" t="s">
        <v>215</v>
      </c>
      <c r="E73" s="13">
        <v>42757.494513888887</v>
      </c>
      <c r="F73" s="13">
        <v>42757.497499999998</v>
      </c>
      <c r="G73" s="7">
        <v>2</v>
      </c>
      <c r="H73" s="22" t="s">
        <v>331</v>
      </c>
      <c r="I73" s="13">
        <v>42757.523865740739</v>
      </c>
      <c r="J73" s="7">
        <v>1</v>
      </c>
      <c r="K73" s="105" t="str">
        <f t="shared" si="0"/>
        <v>4037/4038</v>
      </c>
      <c r="L73" s="22" t="str">
        <f>VLOOKUP(A73,'Trips&amp;Operators'!$C$1:$G$99999,5,FALSE)</f>
        <v>STEWART MICHAEL</v>
      </c>
      <c r="M73" s="6">
        <f t="shared" si="1"/>
        <v>2.6365740741312038E-2</v>
      </c>
      <c r="N73" s="7">
        <f t="shared" si="2"/>
        <v>37.966666667489335</v>
      </c>
      <c r="O73" s="7"/>
      <c r="P73" s="7"/>
      <c r="Q73" s="23"/>
      <c r="R73" s="23"/>
      <c r="S73" s="32">
        <f t="shared" si="3"/>
        <v>1</v>
      </c>
      <c r="T73" s="47" t="str">
        <f t="shared" si="4"/>
        <v>Southbound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d0f6bd738d7f1b3e5a7ca70fe4ff75f0.us-east-1.aws.found.io/app/kibana#/discover/Steve-Slow-Train-Analysis-(2080s-and-2083s)?_g=(refreshInterval:(display:Off,pause:!f,section:0,value:0),time:(from:'2017-01-22T10:52:06-0700',mode:absolute,to:'2017-01-22T13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73" s="49" t="str">
        <f t="shared" si="6"/>
        <v>N</v>
      </c>
      <c r="X73" s="170">
        <f t="shared" si="7"/>
        <v>1</v>
      </c>
      <c r="Y73" s="64">
        <f t="shared" si="8"/>
        <v>23.297699999999999</v>
      </c>
      <c r="Z73" s="64">
        <f t="shared" si="9"/>
        <v>1.67E-2</v>
      </c>
      <c r="AA73" s="64">
        <f t="shared" si="10"/>
        <v>23.280999999999999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11"/>
        <v>0160-22</v>
      </c>
      <c r="AE73" s="87" t="str">
        <f t="shared" si="12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73" s="84" t="str">
        <f t="shared" si="13"/>
        <v>"C:\Program Files (x86)\AstroGrep\AstroGrep.exe" /spath="%USERPROFILE%\AppData\Local\Temp\OnboardLogs" /stypes="app*4037*20170122*"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160-22 --locoid 4037 --swversion DE.1.0.8.0 --startMP 204:232977 --initTime 2017-01-22T11:52:06 --startdatetime 2017-01-22T11:56:24 --delay 2 --endMP 204:167 --enddatetime 2017-01-22T12:34:22 --enforcementcount 1 &gt;&gt;C:\Users\stu\Documents\GitHub\eaglep3-reporting\EC\2017-01-22-refined-times.txt</v>
      </c>
      <c r="AI73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{"issue":{"subject":"","project_id":79,"tracker_id":40,"status_id":1,"priority_id":2,"assigned_to_id":23,"start_date":"2017-01-22","description":"","custom_fields":[{"id":1,"name":"Subdivision","value":"EC"},{"id":4,"name":"Milepost","value":"0.0167"},{"id":17,"name":"Train ID","value":"160-22"},{"id":16,"name":"Locomotive ID","value":"4037"},{"id":130,"name":"Impact","value":""},{"id":150,"name":"Time of Event (Mountain Time)","value":"12:34:22"},{"id":151,"name":"Denver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20"/>
        <v>start /low /b %USERPROFILE%\Documents\GitHub\eaglep3\Utilities\DownloadLogsFromS3.py --loco 4037 --day 2017-01-22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531</v>
      </c>
      <c r="B74" s="7">
        <v>4016</v>
      </c>
      <c r="C74" s="22" t="s">
        <v>196</v>
      </c>
      <c r="D74" s="22" t="s">
        <v>406</v>
      </c>
      <c r="E74" s="13">
        <v>42757.466400462959</v>
      </c>
      <c r="F74" s="13">
        <v>42757.469155092593</v>
      </c>
      <c r="G74" s="7">
        <v>2</v>
      </c>
      <c r="H74" s="22" t="s">
        <v>674</v>
      </c>
      <c r="I74" s="13">
        <v>42757.495405092595</v>
      </c>
      <c r="J74" s="7">
        <v>1</v>
      </c>
      <c r="K74" s="105" t="str">
        <f t="shared" si="0"/>
        <v>4015/4016</v>
      </c>
      <c r="L74" s="22" t="str">
        <f>VLOOKUP(A74,'Trips&amp;Operators'!$C$1:$G$99999,5,FALSE)</f>
        <v>DAVIS MICHAEL</v>
      </c>
      <c r="M74" s="6">
        <f t="shared" si="1"/>
        <v>2.6250000002619345E-2</v>
      </c>
      <c r="N74" s="7">
        <f t="shared" si="2"/>
        <v>37.800000003771856</v>
      </c>
      <c r="O74" s="7"/>
      <c r="P74" s="7"/>
      <c r="Q74" s="23"/>
      <c r="R74" s="23"/>
      <c r="S74" s="32">
        <f t="shared" si="3"/>
        <v>1</v>
      </c>
      <c r="T74" s="47" t="str">
        <f t="shared" si="4"/>
        <v>NorthBound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d0f6bd738d7f1b3e5a7ca70fe4ff75f0.us-east-1.aws.found.io/app/kibana#/discover/Steve-Slow-Train-Analysis-(2080s-and-2083s)?_g=(refreshInterval:(display:Off,pause:!f,section:0,value:0),time:(from:'2017-01-22T10:11:37-0700',mode:absolute,to:'2017-01-22T12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4" s="49" t="str">
        <f t="shared" si="6"/>
        <v>N</v>
      </c>
      <c r="X74" s="170">
        <f t="shared" si="7"/>
        <v>1</v>
      </c>
      <c r="Y74" s="64">
        <f t="shared" si="8"/>
        <v>4.53E-2</v>
      </c>
      <c r="Z74" s="64">
        <f t="shared" si="9"/>
        <v>23.331499999999998</v>
      </c>
      <c r="AA74" s="64">
        <f t="shared" si="10"/>
        <v>23.286199999999997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11"/>
        <v>0161-22</v>
      </c>
      <c r="AE74" s="87" t="str">
        <f t="shared" si="12"/>
        <v>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 &amp; 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</v>
      </c>
      <c r="AF74" s="84" t="str">
        <f t="shared" si="13"/>
        <v>"C:\Program Files (x86)\AstroGrep\AstroGrep.exe" /spath="%USERPROFILE%\AppData\Local\Temp\OnboardLogs" /stypes="app*4016*20170122*"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161-22 --locoid 4016 --swversion DE.1.0.8.0 --startMP 204:453 --initTime 2017-01-22T11:11:37 --startdatetime 2017-01-22T11:15:35 --delay 2 --endMP 204:233315 --enddatetime 2017-01-22T11:53:23 --enforcementcount 1 &gt;&gt;C:\Users\stu\Documents\GitHub\eaglep3-reporting\EC\2017-01-22-refined-times.txt</v>
      </c>
      <c r="AI74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{"issue":{"subject":"","project_id":79,"tracker_id":40,"status_id":1,"priority_id":2,"assigned_to_id":23,"start_date":"2017-01-22","description":"","custom_fields":[{"id":1,"name":"Subdivision","value":"EC"},{"id":4,"name":"Milepost","value":"23.3315"},{"id":17,"name":"Train ID","value":"161-22"},{"id":16,"name":"Locomotive ID","value":"4016"},{"id":130,"name":"Impact","value":""},{"id":150,"name":"Time of Event (Mountain Time)","value":"11:53:23"},{"id":151,"name":"Denver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20"/>
        <v>start /low /b %USERPROFILE%\Documents\GitHub\eaglep3\Utilities\DownloadLogsFromS3.py --loco 4016 --day 2017-01-22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"%USERPROFILE%\AppData\Local\Temp\OnboardLogs"\RTDC4016\*4016*20170122* | grep -SE "(Enforcement Action)|(\[TIMEOUT)|(CHR.+\|PRM\|1\|D.+(SWITCH|SIGNAL).+UNKNOWN)" - &gt;&gt; 2017-01-22-UncaughtWiMAX.txt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546</v>
      </c>
      <c r="B75" s="7">
        <v>4015</v>
      </c>
      <c r="C75" s="22" t="s">
        <v>196</v>
      </c>
      <c r="D75" s="22" t="s">
        <v>281</v>
      </c>
      <c r="E75" s="13">
        <v>42757.504236111112</v>
      </c>
      <c r="F75" s="13">
        <v>42757.507986111108</v>
      </c>
      <c r="G75" s="7">
        <v>2</v>
      </c>
      <c r="H75" s="22" t="s">
        <v>258</v>
      </c>
      <c r="I75" s="13">
        <v>42757.535567129627</v>
      </c>
      <c r="J75" s="7">
        <v>1</v>
      </c>
      <c r="K75" s="105" t="str">
        <f t="shared" si="0"/>
        <v>4015/4016</v>
      </c>
      <c r="L75" s="22" t="str">
        <f>VLOOKUP(A75,'Trips&amp;Operators'!$C$1:$G$99999,5,FALSE)</f>
        <v>DAVIS MICHAEL</v>
      </c>
      <c r="M75" s="6">
        <f t="shared" si="1"/>
        <v>2.7581018519413192E-2</v>
      </c>
      <c r="N75" s="7">
        <f t="shared" si="2"/>
        <v>39.716666667954996</v>
      </c>
      <c r="O75" s="7"/>
      <c r="P75" s="7"/>
      <c r="Q75" s="23"/>
      <c r="R75" s="23"/>
      <c r="S75" s="32">
        <f t="shared" si="3"/>
        <v>1</v>
      </c>
      <c r="T75" s="47" t="str">
        <f t="shared" si="4"/>
        <v>Southbound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d0f6bd738d7f1b3e5a7ca70fe4ff75f0.us-east-1.aws.found.io/app/kibana#/discover/Steve-Slow-Train-Analysis-(2080s-and-2083s)?_g=(refreshInterval:(display:Off,pause:!f,section:0,value:0),time:(from:'2017-01-22T11:06:06-0700',mode:absolute,to:'2017-01-22T13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5" s="49" t="str">
        <f t="shared" si="6"/>
        <v>N</v>
      </c>
      <c r="X75" s="170">
        <f t="shared" si="7"/>
        <v>1</v>
      </c>
      <c r="Y75" s="64">
        <f t="shared" si="8"/>
        <v>23.3</v>
      </c>
      <c r="Z75" s="64">
        <f t="shared" si="9"/>
        <v>1.43E-2</v>
      </c>
      <c r="AA75" s="64">
        <f t="shared" si="10"/>
        <v>23.285700000000002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11"/>
        <v>0162-22</v>
      </c>
      <c r="AE75" s="87" t="str">
        <f t="shared" si="12"/>
        <v>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 &amp; 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</v>
      </c>
      <c r="AF75" s="84" t="str">
        <f t="shared" si="13"/>
        <v>"C:\Program Files (x86)\AstroGrep\AstroGrep.exe" /spath="%USERPROFILE%\AppData\Local\Temp\OnboardLogs" /stypes="app*4015*20170122*"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162-22 --locoid 4015 --swversion DE.1.0.8.0 --startMP 204:233000 --initTime 2017-01-22T12:06:06 --startdatetime 2017-01-22T12:11:30 --delay 2 --endMP 204:143 --enddatetime 2017-01-22T12:51:13 --enforcementcount 1 &gt;&gt;C:\Users\stu\Documents\GitHub\eaglep3-reporting\EC\2017-01-22-refined-times.txt</v>
      </c>
      <c r="AI75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{"issue":{"subject":"","project_id":79,"tracker_id":40,"status_id":1,"priority_id":2,"assigned_to_id":23,"start_date":"2017-01-22","description":"","custom_fields":[{"id":1,"name":"Subdivision","value":"EC"},{"id":4,"name":"Milepost","value":"0.0143"},{"id":17,"name":"Train ID","value":"162-22"},{"id":16,"name":"Locomotive ID","value":"4015"},{"id":130,"name":"Impact","value":""},{"id":150,"name":"Time of Event (Mountain Time)","value":"12:51:13"},{"id":151,"name":"Denver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20"/>
        <v>start /low /b %USERPROFILE%\Documents\GitHub\eaglep3\Utilities\DownloadLogsFromS3.py --loco 4015 --day 2017-01-22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"%USERPROFILE%\AppData\Local\Temp\OnboardLogs"\RTDC4015\*4015*20170122* | grep -SE "(Enforcement Action)|(\[TIMEOUT)|(CHR.+\|PRM\|1\|D.+(SWITCH|SIGNAL).+UNKNOWN)" - &gt;&gt; 2017-01-22-UncaughtWiMAX.txt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535</v>
      </c>
      <c r="B76" s="7">
        <v>4007</v>
      </c>
      <c r="C76" s="22" t="s">
        <v>196</v>
      </c>
      <c r="D76" s="22" t="s">
        <v>406</v>
      </c>
      <c r="E76" s="13">
        <v>42757.47556712963</v>
      </c>
      <c r="F76" s="13">
        <v>42757.479351851849</v>
      </c>
      <c r="G76" s="7">
        <v>1</v>
      </c>
      <c r="H76" s="22" t="s">
        <v>701</v>
      </c>
      <c r="I76" s="13">
        <v>42757.503935185188</v>
      </c>
      <c r="J76" s="7">
        <v>1</v>
      </c>
      <c r="K76" s="105" t="str">
        <f t="shared" si="0"/>
        <v>4007/4008</v>
      </c>
      <c r="L76" s="22" t="str">
        <f>VLOOKUP(A76,'Trips&amp;Operators'!$C$1:$G$99999,5,FALSE)</f>
        <v>LEVIN SCOTT</v>
      </c>
      <c r="M76" s="6">
        <f t="shared" si="1"/>
        <v>2.4583333339251112E-2</v>
      </c>
      <c r="N76" s="7">
        <f t="shared" si="2"/>
        <v>35.400000008521602</v>
      </c>
      <c r="O76" s="7"/>
      <c r="P76" s="7"/>
      <c r="Q76" s="23"/>
      <c r="R76" s="23"/>
      <c r="S76" s="32">
        <f t="shared" si="3"/>
        <v>1</v>
      </c>
      <c r="T76" s="47" t="str">
        <f t="shared" si="4"/>
        <v>NorthBound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d0f6bd738d7f1b3e5a7ca70fe4ff75f0.us-east-1.aws.found.io/app/kibana#/discover/Steve-Slow-Train-Analysis-(2080s-and-2083s)?_g=(refreshInterval:(display:Off,pause:!f,section:0,value:0),time:(from:'2017-01-22T10:24:49-0700',mode:absolute,to:'2017-01-22T13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6" s="49" t="str">
        <f t="shared" si="6"/>
        <v>N</v>
      </c>
      <c r="X76" s="170">
        <f t="shared" si="7"/>
        <v>1</v>
      </c>
      <c r="Y76" s="64">
        <f t="shared" si="8"/>
        <v>4.53E-2</v>
      </c>
      <c r="Z76" s="64">
        <f t="shared" si="9"/>
        <v>23.332599999999999</v>
      </c>
      <c r="AA76" s="64">
        <f t="shared" si="10"/>
        <v>23.287299999999998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 t="shared" si="11"/>
        <v>0163-22</v>
      </c>
      <c r="AE76" s="87" t="str">
        <f t="shared" si="12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76" s="84" t="str">
        <f t="shared" si="13"/>
        <v>"C:\Program Files (x86)\AstroGrep\AstroGrep.exe" /spath="%USERPROFILE%\AppData\Local\Temp\OnboardLogs" /stypes="app*4007*20170122*"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163-22 --locoid 4007 --swversion DE.1.0.8.0 --startMP 204:453 --initTime 2017-01-22T11:24:49 --startdatetime 2017-01-22T11:30:16 --delay 1 --endMP 204:233326 --enddatetime 2017-01-22T12:05:40 --enforcementcount 1 &gt;&gt;C:\Users\stu\Documents\GitHub\eaglep3-reporting\EC\2017-01-22-refined-times.txt</v>
      </c>
      <c r="AI76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{"issue":{"subject":"","project_id":79,"tracker_id":40,"status_id":1,"priority_id":2,"assigned_to_id":23,"start_date":"2017-01-22","description":"","custom_fields":[{"id":1,"name":"Subdivision","value":"EC"},{"id":4,"name":"Milepost","value":"23.3326"},{"id":17,"name":"Train ID","value":"163-22"},{"id":16,"name":"Locomotive ID","value":"4007"},{"id":130,"name":"Impact","value":""},{"id":150,"name":"Time of Event (Mountain Time)","value":"12:05:40"},{"id":151,"name":"Denver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20"/>
        <v>start /low /b %USERPROFILE%\Documents\GitHub\eaglep3\Utilities\DownloadLogsFromS3.py --loco 4007 --day 2017-01-22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2017-01-22-UncaughtWiMAX.txt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547</v>
      </c>
      <c r="B77" s="7">
        <v>4008</v>
      </c>
      <c r="C77" s="22" t="s">
        <v>196</v>
      </c>
      <c r="D77" s="22" t="s">
        <v>681</v>
      </c>
      <c r="E77" s="13">
        <v>42757.510891203703</v>
      </c>
      <c r="F77" s="13">
        <v>42757.51840277778</v>
      </c>
      <c r="G77" s="7">
        <v>1</v>
      </c>
      <c r="H77" s="22" t="s">
        <v>334</v>
      </c>
      <c r="I77" s="13">
        <v>42757.544374999998</v>
      </c>
      <c r="J77" s="7">
        <v>1</v>
      </c>
      <c r="K77" s="105" t="str">
        <f t="shared" ref="K77:K140" si="21">IF(ISEVEN(B77),(B77-1)&amp;"/"&amp;B77,B77&amp;"/"&amp;(B77+1))</f>
        <v>4007/4008</v>
      </c>
      <c r="L77" s="22" t="str">
        <f>VLOOKUP(A77,'Trips&amp;Operators'!$C$1:$G$99999,5,FALSE)</f>
        <v>LEVIN SCOTT</v>
      </c>
      <c r="M77" s="6">
        <f t="shared" ref="M77:M140" si="22">I77-F77</f>
        <v>2.5972222218115348E-2</v>
      </c>
      <c r="N77" s="7">
        <f t="shared" ref="N77:P140" si="23">24*60*SUM($M77:$M77)</f>
        <v>37.399999994086102</v>
      </c>
      <c r="O77" s="7"/>
      <c r="P77" s="7"/>
      <c r="Q77" s="23"/>
      <c r="R77" s="23"/>
      <c r="S77" s="32">
        <f t="shared" ref="S77:S140" si="24">SUM(U77:U77)/IF(AG77="EC",12,1)</f>
        <v>1</v>
      </c>
      <c r="T77" s="47" t="str">
        <f t="shared" ref="T77:T140" si="25">IF(ISEVEN(LEFT(AD77,4)),"Southbound","NorthBound")</f>
        <v>Southbound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-22T11:15:41-0700',mode:absolute,to:'2017-01-22T14:03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7" s="49" t="str">
        <f t="shared" ref="W77:W140" si="27">IF(AA77&lt;IF(AG77="EC",23,5.65),"Y","N")</f>
        <v>N</v>
      </c>
      <c r="X77" s="170">
        <f t="shared" ref="X77:X140" si="28">VALUE(LEFT(AD77,4))-VALUE(LEFT(AD76,4))</f>
        <v>1</v>
      </c>
      <c r="Y77" s="64">
        <f t="shared" ref="Y77:Y140" si="29">RIGHT(D77,LEN(D77)-4)/10000</f>
        <v>23.301300000000001</v>
      </c>
      <c r="Z77" s="64">
        <f t="shared" ref="Z77:Z140" si="30">RIGHT(H77,LEN(H77)-4)/10000</f>
        <v>1.23E-2</v>
      </c>
      <c r="AA77" s="64">
        <f t="shared" ref="AA77:AA140" si="31">ABS(Z77-Y77)</f>
        <v>23.289000000000001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ref="AD77:AD140" si="32">IF(LEN(A77)=6,"0"&amp;A77,A77)</f>
        <v>0164-22</v>
      </c>
      <c r="AE77" s="8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77" s="84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/stypes="app*4008*20170122*" /stext=" 20:.+((SYSTEM_STATE.+slice.+state.+changed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8" t="str">
        <f t="shared" si="18"/>
        <v>"%USERPROFILE%\Documents\GitHub\eaglep3\Utilities\RefineRTDCRunTimes.py" --tripid 164-22 --locoid 4008 --swversion DE.1.0.8.0 --startMP 204:233013 --initTime 2017-01-22T12:15:41 --startdatetime 2017-01-22T12:26:30 --delay 1 --endMP 204:123 --enddatetime 2017-01-22T13:03:54 --enforcementcount 1 &gt;&gt;C:\Users\stu\Documents\GitHub\eaglep3-reporting\EC\2017-01-22-refined-times.txt</v>
      </c>
      <c r="AI77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{"issue":{"subject":"","project_id":79,"tracker_id":40,"status_id":1,"priority_id":2,"assigned_to_id":23,"start_date":"2017-01-22","description":"","custom_fields":[{"id":1,"name":"Subdivision","value":"EC"},{"id":4,"name":"Milepost","value":"0.0123"},{"id":17,"name":"Train ID","value":"164-22"},{"id":16,"name":"Locomotive ID","value":"4008"},{"id":130,"name":"Impact","value":""},{"id":150,"name":"Time of Event (Mountain Time)","value":"13:03:54"},{"id":151,"name":"Denver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si="20"/>
        <v>start /low /b %USERPROFILE%\Documents\GitHub\eaglep3\Utilities\DownloadLogsFromS3.py --loco 4008 --day 2017-01-22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539</v>
      </c>
      <c r="B78" s="7">
        <v>4022</v>
      </c>
      <c r="C78" s="22" t="s">
        <v>196</v>
      </c>
      <c r="D78" s="22" t="s">
        <v>229</v>
      </c>
      <c r="E78" s="13">
        <v>42757.486504629633</v>
      </c>
      <c r="F78" s="13">
        <v>42757.489791666667</v>
      </c>
      <c r="G78" s="7">
        <v>1</v>
      </c>
      <c r="H78" s="22" t="s">
        <v>262</v>
      </c>
      <c r="I78" s="13">
        <v>42757.514768518522</v>
      </c>
      <c r="J78" s="7">
        <v>1</v>
      </c>
      <c r="K78" s="105" t="str">
        <f t="shared" si="21"/>
        <v>4021/4022</v>
      </c>
      <c r="L78" s="22" t="str">
        <f>VLOOKUP(A78,'Trips&amp;Operators'!$C$1:$G$99999,5,FALSE)</f>
        <v>BRUDER RICHARD</v>
      </c>
      <c r="M78" s="6">
        <f t="shared" si="22"/>
        <v>2.4976851855171844E-2</v>
      </c>
      <c r="N78" s="7">
        <f t="shared" si="23"/>
        <v>35.966666671447456</v>
      </c>
      <c r="O78" s="7"/>
      <c r="P78" s="7"/>
      <c r="Q78" s="23"/>
      <c r="R78" s="23"/>
      <c r="S78" s="32">
        <f t="shared" si="24"/>
        <v>1</v>
      </c>
      <c r="T78" s="47" t="str">
        <f t="shared" si="25"/>
        <v>NorthBound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26"/>
        <v>https://d0f6bd738d7f1b3e5a7ca70fe4ff75f0.us-east-1.aws.found.io/app/kibana#/discover/Steve-Slow-Train-Analysis-(2080s-and-2083s)?_g=(refreshInterval:(display:Off,pause:!f,section:0,value:0),time:(from:'2017-01-22T10:40:34-0700',mode:absolute,to:'2017-01-22T13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8" s="49" t="str">
        <f t="shared" si="27"/>
        <v>N</v>
      </c>
      <c r="X78" s="170">
        <f t="shared" si="28"/>
        <v>1</v>
      </c>
      <c r="Y78" s="64">
        <f t="shared" si="29"/>
        <v>4.4600000000000001E-2</v>
      </c>
      <c r="Z78" s="64">
        <f t="shared" si="30"/>
        <v>23.330200000000001</v>
      </c>
      <c r="AA78" s="64">
        <f t="shared" si="31"/>
        <v>23.285600000000002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32"/>
        <v>0165-22</v>
      </c>
      <c r="AE78" s="87" t="str">
        <f t="shared" si="33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78" s="84" t="str">
        <f t="shared" si="34"/>
        <v>"C:\Program Files (x86)\AstroGrep\AstroGrep.exe" /spath="%USERPROFILE%\AppData\Local\Temp\OnboardLogs" /stypes="app*4022*20170122*" /stext=" 19:.+((SYSTEM_STATE.+slice.+state.+changed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8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165-22 --locoid 4022 --swversion DE.1.0.8.0 --startMP 204:446 --initTime 2017-01-22T11:40:34 --startdatetime 2017-01-22T11:45:18 --delay 1 --endMP 204:233302 --enddatetime 2017-01-22T12:21:16 --enforcementcount 1 &gt;&gt;C:\Users\stu\Documents\GitHub\eaglep3-reporting\EC\2017-01-22-refined-times.txt</v>
      </c>
      <c r="AI78" s="115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{"issue":{"subject":"","project_id":79,"tracker_id":40,"status_id":1,"priority_id":2,"assigned_to_id":23,"start_date":"2017-01-22","description":"","custom_fields":[{"id":1,"name":"Subdivision","value":"EC"},{"id":4,"name":"Milepost","value":"23.3302"},{"id":17,"name":"Train ID","value":"165-22"},{"id":16,"name":"Locomotive ID","value":"4022"},{"id":130,"name":"Impact","value":""},{"id":150,"name":"Time of Event (Mountain Time)","value":"12:21:16"},{"id":151,"name":"Denver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ref="AM78:AM141" si="38">"start /low /b "&amp;dls3logs&amp;" --loco "&amp;B78&amp;" --day "&amp;TEXT(F78,"YYYY-MM-DD")</f>
        <v>start /low /b %USERPROFILE%\Documents\GitHub\eaglep3\Utilities\DownloadLogsFromS3.py --loco 4022 --day 2017-01-22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2017-01-22-UncaughtWiMAX.txt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550</v>
      </c>
      <c r="B79" s="7">
        <v>4021</v>
      </c>
      <c r="C79" s="22" t="s">
        <v>196</v>
      </c>
      <c r="D79" s="22" t="s">
        <v>702</v>
      </c>
      <c r="E79" s="13">
        <v>42757.523715277777</v>
      </c>
      <c r="F79" s="13">
        <v>42757.528680555559</v>
      </c>
      <c r="G79" s="7">
        <v>1</v>
      </c>
      <c r="H79" s="22" t="s">
        <v>206</v>
      </c>
      <c r="I79" s="13">
        <v>42757.5549537037</v>
      </c>
      <c r="J79" s="7">
        <v>1</v>
      </c>
      <c r="K79" s="105" t="str">
        <f t="shared" si="21"/>
        <v>4021/4022</v>
      </c>
      <c r="L79" s="22" t="str">
        <f>VLOOKUP(A79,'Trips&amp;Operators'!$C$1:$G$99999,5,FALSE)</f>
        <v>BRUDER RICHARD</v>
      </c>
      <c r="M79" s="6">
        <f t="shared" si="22"/>
        <v>2.6273148141626734E-2</v>
      </c>
      <c r="N79" s="7">
        <f t="shared" si="23"/>
        <v>37.833333323942497</v>
      </c>
      <c r="O79" s="7"/>
      <c r="P79" s="7"/>
      <c r="Q79" s="23"/>
      <c r="R79" s="23"/>
      <c r="S79" s="32">
        <f t="shared" si="24"/>
        <v>1</v>
      </c>
      <c r="T79" s="47" t="str">
        <f t="shared" si="25"/>
        <v>Southbound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26"/>
        <v>https://d0f6bd738d7f1b3e5a7ca70fe4ff75f0.us-east-1.aws.found.io/app/kibana#/discover/Steve-Slow-Train-Analysis-(2080s-and-2083s)?_g=(refreshInterval:(display:Off,pause:!f,section:0,value:0),time:(from:'2017-01-22T11:34:09-0700',mode:absolute,to:'2017-01-22T14:19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9" s="49" t="str">
        <f t="shared" si="27"/>
        <v>N</v>
      </c>
      <c r="X79" s="170">
        <f t="shared" si="28"/>
        <v>1</v>
      </c>
      <c r="Y79" s="64">
        <f t="shared" si="29"/>
        <v>23.2989</v>
      </c>
      <c r="Z79" s="64">
        <f t="shared" si="30"/>
        <v>1.4500000000000001E-2</v>
      </c>
      <c r="AA79" s="64">
        <f t="shared" si="31"/>
        <v>23.284399999999998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si="32"/>
        <v>0166-22</v>
      </c>
      <c r="AE79" s="87" t="str">
        <f t="shared" si="33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79" s="84" t="str">
        <f t="shared" si="34"/>
        <v>"C:\Program Files (x86)\AstroGrep\AstroGrep.exe" /spath="%USERPROFILE%\AppData\Local\Temp\OnboardLogs" /stypes="app*4021*20170122*" /stext=" 20:.+((SYSTEM_STATE.+slice.+state.+changed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8" t="str">
        <f t="shared" si="36"/>
        <v>"%USERPROFILE%\Documents\GitHub\eaglep3\Utilities\RefineRTDCRunTimes.py" --tripid 166-22 --locoid 4021 --swversion DE.1.0.8.0 --startMP 204:232989 --initTime 2017-01-22T12:34:09 --startdatetime 2017-01-22T12:41:18 --delay 1 --endMP 204:145 --enddatetime 2017-01-22T13:19:08 --enforcementcount 1 &gt;&gt;C:\Users\stu\Documents\GitHub\eaglep3-reporting\EC\2017-01-22-refined-times.txt</v>
      </c>
      <c r="AI79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{"issue":{"subject":"","project_id":79,"tracker_id":40,"status_id":1,"priority_id":2,"assigned_to_id":23,"start_date":"2017-01-22","description":"","custom_fields":[{"id":1,"name":"Subdivision","value":"EC"},{"id":4,"name":"Milepost","value":"0.0145"},{"id":17,"name":"Train ID","value":"166-22"},{"id":16,"name":"Locomotive ID","value":"4021"},{"id":130,"name":"Impact","value":""},{"id":150,"name":"Time of Event (Mountain Time)","value":"13:19:08"},{"id":151,"name":"Denver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38"/>
        <v>start /low /b %USERPROFILE%\Documents\GitHub\eaglep3\Utilities\DownloadLogsFromS3.py --loco 4021 --day 2017-01-22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540</v>
      </c>
      <c r="B80" s="7">
        <v>4003</v>
      </c>
      <c r="C80" s="22" t="s">
        <v>196</v>
      </c>
      <c r="D80" s="22" t="s">
        <v>329</v>
      </c>
      <c r="E80" s="13">
        <v>42757.493460648147</v>
      </c>
      <c r="F80" s="13">
        <v>42757.500162037039</v>
      </c>
      <c r="G80" s="7">
        <v>1</v>
      </c>
      <c r="H80" s="22" t="s">
        <v>243</v>
      </c>
      <c r="I80" s="13">
        <v>42757.52511574074</v>
      </c>
      <c r="J80" s="7">
        <v>1</v>
      </c>
      <c r="K80" s="105" t="str">
        <f t="shared" si="21"/>
        <v>4003/4004</v>
      </c>
      <c r="L80" s="22" t="str">
        <f>VLOOKUP(A80,'Trips&amp;Operators'!$C$1:$G$99999,5,FALSE)</f>
        <v>CRAYTON QUNTRELL</v>
      </c>
      <c r="M80" s="6">
        <f t="shared" si="22"/>
        <v>2.495370370161254E-2</v>
      </c>
      <c r="N80" s="7">
        <f t="shared" si="23"/>
        <v>35.933333330322057</v>
      </c>
      <c r="O80" s="7"/>
      <c r="P80" s="7"/>
      <c r="Q80" s="23"/>
      <c r="R80" s="23"/>
      <c r="S80" s="32">
        <f t="shared" si="24"/>
        <v>1</v>
      </c>
      <c r="T80" s="47" t="str">
        <f t="shared" si="25"/>
        <v>NorthBound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26"/>
        <v>https://d0f6bd738d7f1b3e5a7ca70fe4ff75f0.us-east-1.aws.found.io/app/kibana#/discover/Steve-Slow-Train-Analysis-(2080s-and-2083s)?_g=(refreshInterval:(display:Off,pause:!f,section:0,value:0),time:(from:'2017-01-22T10:50:35-0700',mode:absolute,to:'2017-01-22T13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0" s="49" t="str">
        <f t="shared" si="27"/>
        <v>N</v>
      </c>
      <c r="X80" s="170">
        <f t="shared" si="28"/>
        <v>1</v>
      </c>
      <c r="Y80" s="64">
        <f t="shared" si="29"/>
        <v>4.6399999999999997E-2</v>
      </c>
      <c r="Z80" s="64">
        <f t="shared" si="30"/>
        <v>23.329699999999999</v>
      </c>
      <c r="AA80" s="64">
        <f t="shared" si="31"/>
        <v>23.283300000000001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 t="shared" si="32"/>
        <v>0167-22</v>
      </c>
      <c r="AE80" s="87" t="str">
        <f t="shared" si="33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80" s="84" t="str">
        <f t="shared" si="34"/>
        <v>"C:\Program Files (x86)\AstroGrep\AstroGrep.exe" /spath="%USERPROFILE%\AppData\Local\Temp\OnboardLogs" /stypes="app*4003*20170122*" /stext=" 19:.+((SYSTEM_STATE.+slice.+state.+changed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8" t="str">
        <f t="shared" si="36"/>
        <v>"%USERPROFILE%\Documents\GitHub\eaglep3\Utilities\RefineRTDCRunTimes.py" --tripid 167-22 --locoid 4003 --swversion DE.1.0.8.0 --startMP 204:464 --initTime 2017-01-22T11:50:35 --startdatetime 2017-01-22T12:00:14 --delay 1 --endMP 204:233297 --enddatetime 2017-01-22T12:36:10 --enforcementcount 1 &gt;&gt;C:\Users\stu\Documents\GitHub\eaglep3-reporting\EC\2017-01-22-refined-times.txt</v>
      </c>
      <c r="AI80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{"issue":{"subject":"","project_id":79,"tracker_id":40,"status_id":1,"priority_id":2,"assigned_to_id":23,"start_date":"2017-01-22","description":"","custom_fields":[{"id":1,"name":"Subdivision","value":"EC"},{"id":4,"name":"Milepost","value":"23.3297"},{"id":17,"name":"Train ID","value":"167-22"},{"id":16,"name":"Locomotive ID","value":"4003"},{"id":130,"name":"Impact","value":""},{"id":150,"name":"Time of Event (Mountain Time)","value":"12:36:10"},{"id":151,"name":"Denver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38"/>
        <v>start /low /b %USERPROFILE%\Documents\GitHub\eaglep3\Utilities\DownloadLogsFromS3.py --loco 4003 --day 2017-01-22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1" customFormat="1" x14ac:dyDescent="0.25">
      <c r="A81" s="34" t="s">
        <v>553</v>
      </c>
      <c r="B81" s="7">
        <v>4004</v>
      </c>
      <c r="C81" s="22" t="s">
        <v>196</v>
      </c>
      <c r="D81" s="22" t="s">
        <v>405</v>
      </c>
      <c r="E81" s="13">
        <v>42757.53365740741</v>
      </c>
      <c r="F81" s="13">
        <v>42757.539189814815</v>
      </c>
      <c r="G81" s="7">
        <v>1</v>
      </c>
      <c r="H81" s="22" t="s">
        <v>693</v>
      </c>
      <c r="I81" s="13">
        <v>42757.567777777775</v>
      </c>
      <c r="J81" s="7">
        <v>1</v>
      </c>
      <c r="K81" s="105" t="str">
        <f t="shared" si="21"/>
        <v>4003/4004</v>
      </c>
      <c r="L81" s="22" t="str">
        <f>VLOOKUP(A81,'Trips&amp;Operators'!$C$1:$G$99999,5,FALSE)</f>
        <v>CRAYTON QUNTRELL</v>
      </c>
      <c r="M81" s="6">
        <f t="shared" si="22"/>
        <v>2.8587962959136348E-2</v>
      </c>
      <c r="N81" s="7">
        <f t="shared" si="23"/>
        <v>41.166666661156341</v>
      </c>
      <c r="O81" s="7"/>
      <c r="P81" s="7"/>
      <c r="Q81" s="23"/>
      <c r="R81" s="23"/>
      <c r="S81" s="32">
        <f t="shared" si="24"/>
        <v>1</v>
      </c>
      <c r="T81" s="47" t="str">
        <f t="shared" si="25"/>
        <v>Southbound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26"/>
        <v>https://d0f6bd738d7f1b3e5a7ca70fe4ff75f0.us-east-1.aws.found.io/app/kibana#/discover/Steve-Slow-Train-Analysis-(2080s-and-2083s)?_g=(refreshInterval:(display:Off,pause:!f,section:0,value:0),time:(from:'2017-01-22T11:48:28-0700',mode:absolute,to:'2017-01-22T14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49" t="str">
        <f t="shared" si="27"/>
        <v>N</v>
      </c>
      <c r="X81" s="170">
        <f t="shared" si="28"/>
        <v>1</v>
      </c>
      <c r="Y81" s="64">
        <f t="shared" si="29"/>
        <v>23.2973</v>
      </c>
      <c r="Z81" s="64">
        <f t="shared" si="30"/>
        <v>1.72E-2</v>
      </c>
      <c r="AA81" s="64">
        <f t="shared" si="31"/>
        <v>23.280100000000001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32"/>
        <v>0168-22</v>
      </c>
      <c r="AE81" s="87" t="str">
        <f t="shared" si="33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81" s="84" t="str">
        <f t="shared" si="34"/>
        <v>"C:\Program Files (x86)\AstroGrep\AstroGrep.exe" /spath="%USERPROFILE%\AppData\Local\Temp\OnboardLogs" /stypes="app*4004*20170122*" /stext=" 20:.+((SYSTEM_STATE.+slice.+state.+changed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8" t="str">
        <f t="shared" si="36"/>
        <v>"%USERPROFILE%\Documents\GitHub\eaglep3\Utilities\RefineRTDCRunTimes.py" --tripid 168-22 --locoid 4004 --swversion DE.1.0.8.0 --startMP 204:232973 --initTime 2017-01-22T12:48:28 --startdatetime 2017-01-22T12:56:26 --delay 1 --endMP 204:172 --enddatetime 2017-01-22T13:37:36 --enforcementcount 1 &gt;&gt;C:\Users\stu\Documents\GitHub\eaglep3-reporting\EC\2017-01-22-refined-times.txt</v>
      </c>
      <c r="AI81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{"issue":{"subject":"","project_id":79,"tracker_id":40,"status_id":1,"priority_id":2,"assigned_to_id":23,"start_date":"2017-01-22","description":"","custom_fields":[{"id":1,"name":"Subdivision","value":"EC"},{"id":4,"name":"Milepost","value":"0.0172"},{"id":17,"name":"Train ID","value":"168-22"},{"id":16,"name":"Locomotive ID","value":"4004"},{"id":130,"name":"Impact","value":""},{"id":150,"name":"Time of Event (Mountain Time)","value":"13:37:36"},{"id":151,"name":"Denver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38"/>
        <v>start /low /b %USERPROFILE%\Documents\GitHub\eaglep3\Utilities\DownloadLogsFromS3.py --loco 4004 --day 2017-01-22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1" customFormat="1" x14ac:dyDescent="0.25">
      <c r="A82" s="34" t="s">
        <v>545</v>
      </c>
      <c r="B82" s="7">
        <v>4046</v>
      </c>
      <c r="C82" s="22" t="s">
        <v>196</v>
      </c>
      <c r="D82" s="22" t="s">
        <v>419</v>
      </c>
      <c r="E82" s="13">
        <v>42757.503611111111</v>
      </c>
      <c r="F82" s="13">
        <v>42757.510891203703</v>
      </c>
      <c r="G82" s="7">
        <v>1</v>
      </c>
      <c r="H82" s="22" t="s">
        <v>703</v>
      </c>
      <c r="I82" s="13">
        <v>42757.535925925928</v>
      </c>
      <c r="J82" s="7">
        <v>1</v>
      </c>
      <c r="K82" s="105" t="str">
        <f t="shared" si="21"/>
        <v>4045/4046</v>
      </c>
      <c r="L82" s="22" t="str">
        <f>VLOOKUP(A82,'Trips&amp;Operators'!$C$1:$G$99999,5,FALSE)</f>
        <v>DELGADO DIANAH</v>
      </c>
      <c r="M82" s="6">
        <f t="shared" si="22"/>
        <v>2.5034722224518191E-2</v>
      </c>
      <c r="N82" s="7">
        <f t="shared" si="23"/>
        <v>36.050000003306195</v>
      </c>
      <c r="O82" s="7"/>
      <c r="P82" s="7"/>
      <c r="Q82" s="23"/>
      <c r="R82" s="23"/>
      <c r="S82" s="32">
        <f t="shared" si="24"/>
        <v>1</v>
      </c>
      <c r="T82" s="47" t="str">
        <f t="shared" si="25"/>
        <v>NorthBound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26"/>
        <v>https://d0f6bd738d7f1b3e5a7ca70fe4ff75f0.us-east-1.aws.found.io/app/kibana#/discover/Steve-Slow-Train-Analysis-(2080s-and-2083s)?_g=(refreshInterval:(display:Off,pause:!f,section:0,value:0),time:(from:'2017-01-22T11:05:12-0700',mode:absolute,to:'2017-01-22T13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2" s="49" t="str">
        <f t="shared" si="27"/>
        <v>N</v>
      </c>
      <c r="X82" s="170">
        <f t="shared" si="28"/>
        <v>1</v>
      </c>
      <c r="Y82" s="64">
        <f t="shared" si="29"/>
        <v>4.7100000000000003E-2</v>
      </c>
      <c r="Z82" s="64">
        <f t="shared" si="30"/>
        <v>23.336600000000001</v>
      </c>
      <c r="AA82" s="64">
        <f t="shared" si="31"/>
        <v>23.2895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32"/>
        <v>0169-22</v>
      </c>
      <c r="AE82" s="87" t="str">
        <f t="shared" si="33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82" s="84" t="str">
        <f t="shared" si="34"/>
        <v>"C:\Program Files (x86)\AstroGrep\AstroGrep.exe" /spath="%USERPROFILE%\AppData\Local\Temp\OnboardLogs" /stypes="app*4046*20170122*" /stext=" 19:.+((SYSTEM_STATE.+slice.+state.+changed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8" t="str">
        <f t="shared" si="36"/>
        <v>"%USERPROFILE%\Documents\GitHub\eaglep3\Utilities\RefineRTDCRunTimes.py" --tripid 169-22 --locoid 4046 --swversion DE.1.0.8.0 --startMP 204:471 --initTime 2017-01-22T12:05:12 --startdatetime 2017-01-22T12:15:41 --delay 1 --endMP 204:233366 --enddatetime 2017-01-22T12:51:44 --enforcementcount 1 &gt;&gt;C:\Users\stu\Documents\GitHub\eaglep3-reporting\EC\2017-01-22-refined-times.txt</v>
      </c>
      <c r="AI82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{"issue":{"subject":"","project_id":79,"tracker_id":40,"status_id":1,"priority_id":2,"assigned_to_id":23,"start_date":"2017-01-22","description":"","custom_fields":[{"id":1,"name":"Subdivision","value":"EC"},{"id":4,"name":"Milepost","value":"23.3366"},{"id":17,"name":"Train ID","value":"169-22"},{"id":16,"name":"Locomotive ID","value":"4046"},{"id":130,"name":"Impact","value":""},{"id":150,"name":"Time of Event (Mountain Time)","value":"12:51:44"},{"id":151,"name":"Denver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38"/>
        <v>start /low /b %USERPROFILE%\Documents\GitHub\eaglep3\Utilities\DownloadLogsFromS3.py --loco 4046 --day 2017-01-22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"%USERPROFILE%\AppData\Local\Temp\OnboardLogs"\RTDC4046\*4046*20170122* | grep -SE "(Enforcement Action)|(\[TIMEOUT)|(CHR.+\|PRM\|1\|D.+(SWITCH|SIGNAL).+UNKNOWN)" - &gt;&gt; 2017-01-22-UncaughtWiMAX.txt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1" customFormat="1" x14ac:dyDescent="0.25">
      <c r="A83" s="34" t="s">
        <v>555</v>
      </c>
      <c r="B83" s="7">
        <v>4045</v>
      </c>
      <c r="C83" s="22" t="s">
        <v>196</v>
      </c>
      <c r="D83" s="22" t="s">
        <v>704</v>
      </c>
      <c r="E83" s="13">
        <v>42757.540995370371</v>
      </c>
      <c r="F83" s="13">
        <v>42757.549490740741</v>
      </c>
      <c r="G83" s="7">
        <v>1</v>
      </c>
      <c r="H83" s="22" t="s">
        <v>212</v>
      </c>
      <c r="I83" s="13">
        <v>42757.578761574077</v>
      </c>
      <c r="J83" s="7">
        <v>1</v>
      </c>
      <c r="K83" s="105" t="str">
        <f t="shared" si="21"/>
        <v>4045/4046</v>
      </c>
      <c r="L83" s="22" t="str">
        <f>VLOOKUP(A83,'Trips&amp;Operators'!$C$1:$G$99999,5,FALSE)</f>
        <v>DELGADO DIANAH</v>
      </c>
      <c r="M83" s="6">
        <f t="shared" si="22"/>
        <v>2.9270833336340729E-2</v>
      </c>
      <c r="N83" s="7">
        <f t="shared" si="23"/>
        <v>42.15000000433065</v>
      </c>
      <c r="O83" s="7"/>
      <c r="P83" s="7"/>
      <c r="Q83" s="23"/>
      <c r="R83" s="23"/>
      <c r="S83" s="32">
        <f t="shared" si="24"/>
        <v>1</v>
      </c>
      <c r="T83" s="47" t="str">
        <f t="shared" si="25"/>
        <v>Southbound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26"/>
        <v>https://d0f6bd738d7f1b3e5a7ca70fe4ff75f0.us-east-1.aws.found.io/app/kibana#/discover/Steve-Slow-Train-Analysis-(2080s-and-2083s)?_g=(refreshInterval:(display:Off,pause:!f,section:0,value:0),time:(from:'2017-01-22T11:59:02-0700',mode:absolute,to:'2017-01-22T14:53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3" s="49" t="str">
        <f t="shared" si="27"/>
        <v>N</v>
      </c>
      <c r="X83" s="170">
        <f t="shared" si="28"/>
        <v>1</v>
      </c>
      <c r="Y83" s="64">
        <f t="shared" si="29"/>
        <v>23.305099999999999</v>
      </c>
      <c r="Z83" s="64">
        <f t="shared" si="30"/>
        <v>1.47E-2</v>
      </c>
      <c r="AA83" s="64">
        <f t="shared" si="31"/>
        <v>23.290399999999998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32"/>
        <v>0170-22</v>
      </c>
      <c r="AE83" s="87" t="str">
        <f t="shared" si="33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83" s="84" t="str">
        <f t="shared" si="34"/>
        <v>"C:\Program Files (x86)\AstroGrep\AstroGrep.exe" /spath="%USERPROFILE%\AppData\Local\Temp\OnboardLogs" /stypes="app*4045*20170122*"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8" t="str">
        <f t="shared" si="36"/>
        <v>"%USERPROFILE%\Documents\GitHub\eaglep3\Utilities\RefineRTDCRunTimes.py" --tripid 170-22 --locoid 4045 --swversion DE.1.0.8.0 --startMP 204:233051 --initTime 2017-01-22T12:59:02 --startdatetime 2017-01-22T13:11:16 --delay 1 --endMP 204:147 --enddatetime 2017-01-22T13:53:25 --enforcementcount 1 &gt;&gt;C:\Users\stu\Documents\GitHub\eaglep3-reporting\EC\2017-01-22-refined-times.txt</v>
      </c>
      <c r="AI83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{"issue":{"subject":"","project_id":79,"tracker_id":40,"status_id":1,"priority_id":2,"assigned_to_id":23,"start_date":"2017-01-22","description":"","custom_fields":[{"id":1,"name":"Subdivision","value":"EC"},{"id":4,"name":"Milepost","value":"0.0147"},{"id":17,"name":"Train ID","value":"170-22"},{"id":16,"name":"Locomotive ID","value":"4045"},{"id":130,"name":"Impact","value":""},{"id":150,"name":"Time of Event (Mountain Time)","value":"13:53:25"},{"id":151,"name":"Denver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38"/>
        <v>start /low /b %USERPROFILE%\Documents\GitHub\eaglep3\Utilities\DownloadLogsFromS3.py --loco 4045 --day 2017-01-22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548</v>
      </c>
      <c r="B84" s="7">
        <v>4044</v>
      </c>
      <c r="C84" s="22" t="s">
        <v>196</v>
      </c>
      <c r="D84" s="22" t="s">
        <v>272</v>
      </c>
      <c r="E84" s="13">
        <v>42757.516388888886</v>
      </c>
      <c r="F84" s="13">
        <v>42757.521064814813</v>
      </c>
      <c r="G84" s="7">
        <v>1</v>
      </c>
      <c r="H84" s="22" t="s">
        <v>265</v>
      </c>
      <c r="I84" s="13">
        <v>42757.546458333331</v>
      </c>
      <c r="J84" s="7">
        <v>1</v>
      </c>
      <c r="K84" s="105" t="str">
        <f t="shared" si="21"/>
        <v>4043/4044</v>
      </c>
      <c r="L84" s="22" t="str">
        <f>VLOOKUP(A84,'Trips&amp;Operators'!$C$1:$G$99999,5,FALSE)</f>
        <v>KILLION DAVID</v>
      </c>
      <c r="M84" s="6">
        <f t="shared" si="22"/>
        <v>2.5393518517375924E-2</v>
      </c>
      <c r="N84" s="7">
        <f t="shared" si="23"/>
        <v>36.56666666502133</v>
      </c>
      <c r="O84" s="7"/>
      <c r="P84" s="7"/>
      <c r="Q84" s="23"/>
      <c r="R84" s="23"/>
      <c r="S84" s="32">
        <f t="shared" si="24"/>
        <v>1</v>
      </c>
      <c r="T84" s="47" t="str">
        <f t="shared" si="25"/>
        <v>NorthBound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26"/>
        <v>https://d0f6bd738d7f1b3e5a7ca70fe4ff75f0.us-east-1.aws.found.io/app/kibana#/discover/Steve-Slow-Train-Analysis-(2080s-and-2083s)?_g=(refreshInterval:(display:Off,pause:!f,section:0,value:0),time:(from:'2017-01-22T11:23:36-0700',mode:absolute,to:'2017-01-22T14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49" t="str">
        <f t="shared" si="27"/>
        <v>N</v>
      </c>
      <c r="X84" s="170">
        <f t="shared" si="28"/>
        <v>1</v>
      </c>
      <c r="Y84" s="64">
        <f t="shared" si="29"/>
        <v>4.5100000000000001E-2</v>
      </c>
      <c r="Z84" s="64">
        <f t="shared" si="30"/>
        <v>23.331099999999999</v>
      </c>
      <c r="AA84" s="64">
        <f t="shared" si="31"/>
        <v>23.285999999999998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32"/>
        <v>0171-22</v>
      </c>
      <c r="AE84" s="87" t="str">
        <f t="shared" si="33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84" s="84" t="str">
        <f t="shared" si="34"/>
        <v>"C:\Program Files (x86)\AstroGrep\AstroGrep.exe" /spath="%USERPROFILE%\AppData\Local\Temp\OnboardLogs" /stypes="app*4044*20170122*" /stext=" 20:.+((SYSTEM_STATE.+slice.+state.+changed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8" t="str">
        <f t="shared" si="36"/>
        <v>"%USERPROFILE%\Documents\GitHub\eaglep3\Utilities\RefineRTDCRunTimes.py" --tripid 171-22 --locoid 4044 --swversion DE.1.0.8.0 --startMP 204:451 --initTime 2017-01-22T12:23:36 --startdatetime 2017-01-22T12:30:20 --delay 1 --endMP 204:233311 --enddatetime 2017-01-22T13:06:54 --enforcementcount 1 &gt;&gt;C:\Users\stu\Documents\GitHub\eaglep3-reporting\EC\2017-01-22-refined-times.txt</v>
      </c>
      <c r="AI84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{"issue":{"subject":"","project_id":79,"tracker_id":40,"status_id":1,"priority_id":2,"assigned_to_id":23,"start_date":"2017-01-22","description":"","custom_fields":[{"id":1,"name":"Subdivision","value":"EC"},{"id":4,"name":"Milepost","value":"23.3311"},{"id":17,"name":"Train ID","value":"171-22"},{"id":16,"name":"Locomotive ID","value":"4044"},{"id":130,"name":"Impact","value":""},{"id":150,"name":"Time of Event (Mountain Time)","value":"13:06:54"},{"id":151,"name":"Denver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38"/>
        <v>start /low /b %USERPROFILE%\Documents\GitHub\eaglep3\Utilities\DownloadLogsFromS3.py --loco 4044 --day 2017-01-22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4" t="s">
        <v>443</v>
      </c>
      <c r="B85" s="7">
        <v>4043</v>
      </c>
      <c r="C85" s="22" t="s">
        <v>196</v>
      </c>
      <c r="D85" s="22" t="s">
        <v>263</v>
      </c>
      <c r="E85" s="13">
        <v>42757.556597222225</v>
      </c>
      <c r="F85" s="13">
        <v>42757.559965277775</v>
      </c>
      <c r="G85" s="7">
        <v>1</v>
      </c>
      <c r="H85" s="22" t="s">
        <v>241</v>
      </c>
      <c r="I85" s="13">
        <v>42757.589143518519</v>
      </c>
      <c r="J85" s="7">
        <v>1</v>
      </c>
      <c r="K85" s="105" t="str">
        <f t="shared" si="21"/>
        <v>4043/4044</v>
      </c>
      <c r="L85" s="22" t="str">
        <f>VLOOKUP(A85,'Trips&amp;Operators'!$C$1:$G$99999,5,FALSE)</f>
        <v>KILLION DAVID</v>
      </c>
      <c r="M85" s="6">
        <f t="shared" si="22"/>
        <v>2.9178240743931383E-2</v>
      </c>
      <c r="N85" s="7">
        <f t="shared" si="23"/>
        <v>42.016666671261191</v>
      </c>
      <c r="O85" s="7"/>
      <c r="P85" s="7"/>
      <c r="Q85" s="23"/>
      <c r="R85" s="23"/>
      <c r="S85" s="32">
        <f t="shared" si="24"/>
        <v>1</v>
      </c>
      <c r="T85" s="47" t="str">
        <f t="shared" si="25"/>
        <v>Southbound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26"/>
        <v>https://d0f6bd738d7f1b3e5a7ca70fe4ff75f0.us-east-1.aws.found.io/app/kibana#/discover/Steve-Slow-Train-Analysis-(2080s-and-2083s)?_g=(refreshInterval:(display:Off,pause:!f,section:0,value:0),time:(from:'2017-01-22T12:21:30-0700',mode:absolute,to:'2017-01-22T15:08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5" s="49" t="str">
        <f t="shared" si="27"/>
        <v>N</v>
      </c>
      <c r="X85" s="170">
        <f t="shared" si="28"/>
        <v>1</v>
      </c>
      <c r="Y85" s="64">
        <f t="shared" si="29"/>
        <v>23.298999999999999</v>
      </c>
      <c r="Z85" s="64">
        <f t="shared" si="30"/>
        <v>1.6299999999999999E-2</v>
      </c>
      <c r="AA85" s="64">
        <f t="shared" si="31"/>
        <v>23.282699999999998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32"/>
        <v>0172-22</v>
      </c>
      <c r="AE85" s="87" t="str">
        <f t="shared" si="33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85" s="84" t="str">
        <f t="shared" si="34"/>
        <v>"C:\Program Files (x86)\AstroGrep\AstroGrep.exe" /spath="%USERPROFILE%\AppData\Local\Temp\OnboardLogs" /stypes="app*4043*20170122*" /stext=" 21:.+((SYSTEM_STATE.+slice.+state.+changed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8" t="str">
        <f t="shared" si="36"/>
        <v>"%USERPROFILE%\Documents\GitHub\eaglep3\Utilities\RefineRTDCRunTimes.py" --tripid 172-22 --locoid 4043 --swversion DE.1.0.8.0 --startMP 204:232990 --initTime 2017-01-22T13:21:30 --startdatetime 2017-01-22T13:26:21 --delay 1 --endMP 204:163 --enddatetime 2017-01-22T14:08:22 --enforcementcount 1 &gt;&gt;C:\Users\stu\Documents\GitHub\eaglep3-reporting\EC\2017-01-22-refined-times.txt</v>
      </c>
      <c r="AI85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{"issue":{"subject":"","project_id":79,"tracker_id":40,"status_id":1,"priority_id":2,"assigned_to_id":23,"start_date":"2017-01-22","description":"","custom_fields":[{"id":1,"name":"Subdivision","value":"EC"},{"id":4,"name":"Milepost","value":"0.0163"},{"id":17,"name":"Train ID","value":"172-22"},{"id":16,"name":"Locomotive ID","value":"4043"},{"id":130,"name":"Impact","value":""},{"id":150,"name":"Time of Event (Mountain Time)","value":"14:08:22"},{"id":151,"name":"Denver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38"/>
        <v>start /low /b %USERPROFILE%\Documents\GitHub\eaglep3\Utilities\DownloadLogsFromS3.py --loco 4043 --day 2017-01-22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2017-01-22-UncaughtWiMAX.txt</v>
      </c>
    </row>
    <row r="86" spans="1:91" x14ac:dyDescent="0.25">
      <c r="A86" s="34" t="s">
        <v>551</v>
      </c>
      <c r="B86" s="7">
        <v>4038</v>
      </c>
      <c r="C86" s="22" t="s">
        <v>196</v>
      </c>
      <c r="D86" s="22" t="s">
        <v>233</v>
      </c>
      <c r="E86" s="13">
        <v>42757.526261574072</v>
      </c>
      <c r="F86" s="13">
        <v>42757.531469907408</v>
      </c>
      <c r="G86" s="7">
        <v>1</v>
      </c>
      <c r="H86" s="22" t="s">
        <v>412</v>
      </c>
      <c r="I86" s="13">
        <v>42757.556122685186</v>
      </c>
      <c r="J86" s="7">
        <v>1</v>
      </c>
      <c r="K86" s="105" t="str">
        <f t="shared" si="21"/>
        <v>4037/4038</v>
      </c>
      <c r="L86" s="22" t="str">
        <f>VLOOKUP(A86,'Trips&amp;Operators'!$C$1:$G$99999,5,FALSE)</f>
        <v>STEWART MICHAEL</v>
      </c>
      <c r="M86" s="6">
        <f t="shared" si="22"/>
        <v>2.4652777778101154E-2</v>
      </c>
      <c r="N86" s="7">
        <f t="shared" si="23"/>
        <v>35.500000000465661</v>
      </c>
      <c r="O86" s="7"/>
      <c r="P86" s="7"/>
      <c r="Q86" s="23"/>
      <c r="R86" s="23"/>
      <c r="S86" s="32">
        <f t="shared" si="24"/>
        <v>1</v>
      </c>
      <c r="T86" s="47" t="str">
        <f t="shared" si="25"/>
        <v>NorthBound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26"/>
        <v>https://d0f6bd738d7f1b3e5a7ca70fe4ff75f0.us-east-1.aws.found.io/app/kibana#/discover/Steve-Slow-Train-Analysis-(2080s-and-2083s)?_g=(refreshInterval:(display:Off,pause:!f,section:0,value:0),time:(from:'2017-01-22T11:37:49-0700',mode:absolute,to:'2017-01-22T14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86" s="49" t="str">
        <f t="shared" si="27"/>
        <v>N</v>
      </c>
      <c r="X86" s="170">
        <f t="shared" si="28"/>
        <v>1</v>
      </c>
      <c r="Y86" s="64">
        <f t="shared" si="29"/>
        <v>4.6899999999999997E-2</v>
      </c>
      <c r="Z86" s="64">
        <f t="shared" si="30"/>
        <v>23.3291</v>
      </c>
      <c r="AA86" s="64">
        <f t="shared" si="31"/>
        <v>23.2822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32"/>
        <v>0173-22</v>
      </c>
      <c r="AE86" s="87" t="str">
        <f t="shared" si="33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86" s="84" t="str">
        <f t="shared" si="34"/>
        <v>"C:\Program Files (x86)\AstroGrep\AstroGrep.exe" /spath="%USERPROFILE%\AppData\Local\Temp\OnboardLogs" /stypes="app*4038*20170122*" /stext=" 20:.+((SYSTEM_STATE.+slice.+state.+changed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8" t="str">
        <f t="shared" si="36"/>
        <v>"%USERPROFILE%\Documents\GitHub\eaglep3\Utilities\RefineRTDCRunTimes.py" --tripid 173-22 --locoid 4038 --swversion DE.1.0.8.0 --startMP 204:469 --initTime 2017-01-22T12:37:49 --startdatetime 2017-01-22T12:45:19 --delay 1 --endMP 204:233291 --enddatetime 2017-01-22T13:20:49 --enforcementcount 1 &gt;&gt;C:\Users\stu\Documents\GitHub\eaglep3-reporting\EC\2017-01-22-refined-times.txt</v>
      </c>
      <c r="AI86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{"issue":{"subject":"","project_id":79,"tracker_id":40,"status_id":1,"priority_id":2,"assigned_to_id":23,"start_date":"2017-01-22","description":"","custom_fields":[{"id":1,"name":"Subdivision","value":"EC"},{"id":4,"name":"Milepost","value":"23.3291"},{"id":17,"name":"Train ID","value":"173-22"},{"id":16,"name":"Locomotive ID","value":"4038"},{"id":130,"name":"Impact","value":""},{"id":150,"name":"Time of Event (Mountain Time)","value":"13:20:49"},{"id":151,"name":"Denver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38"/>
        <v>start /low /b %USERPROFILE%\Documents\GitHub\eaglep3\Utilities\DownloadLogsFromS3.py --loco 4038 --day 2017-01-22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"%USERPROFILE%\AppData\Local\Temp\OnboardLogs"\RTDC4038\*4038*20170122* | grep -SE "(Enforcement Action)|(\[TIMEOUT)|(CHR.+\|PRM\|1\|D.+(SWITCH|SIGNAL).+UNKNOWN)" - &gt;&gt; 2017-01-22-UncaughtWiMAX.txt</v>
      </c>
    </row>
    <row r="87" spans="1:91" s="21" customFormat="1" x14ac:dyDescent="0.25">
      <c r="A87" s="34" t="s">
        <v>558</v>
      </c>
      <c r="B87" s="7">
        <v>4037</v>
      </c>
      <c r="C87" s="22" t="s">
        <v>196</v>
      </c>
      <c r="D87" s="22" t="s">
        <v>705</v>
      </c>
      <c r="E87" s="13">
        <v>42757.567037037035</v>
      </c>
      <c r="F87" s="13">
        <v>42757.570451388892</v>
      </c>
      <c r="G87" s="7">
        <v>2</v>
      </c>
      <c r="H87" s="22" t="s">
        <v>222</v>
      </c>
      <c r="I87" s="13">
        <v>42757.599374999998</v>
      </c>
      <c r="J87" s="7">
        <v>1</v>
      </c>
      <c r="K87" s="105" t="str">
        <f t="shared" si="21"/>
        <v>4037/4038</v>
      </c>
      <c r="L87" s="22" t="str">
        <f>VLOOKUP(A87,'Trips&amp;Operators'!$C$1:$G$99999,5,FALSE)</f>
        <v>STEWART MICHAEL</v>
      </c>
      <c r="M87" s="6">
        <f t="shared" si="22"/>
        <v>2.8923611105710734E-2</v>
      </c>
      <c r="N87" s="7">
        <f t="shared" si="23"/>
        <v>41.649999992223457</v>
      </c>
      <c r="O87" s="7"/>
      <c r="P87" s="7"/>
      <c r="Q87" s="23"/>
      <c r="R87" s="23"/>
      <c r="S87" s="32">
        <f t="shared" si="24"/>
        <v>1</v>
      </c>
      <c r="T87" s="47" t="str">
        <f t="shared" si="25"/>
        <v>Southbound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26"/>
        <v>https://d0f6bd738d7f1b3e5a7ca70fe4ff75f0.us-east-1.aws.found.io/app/kibana#/discover/Steve-Slow-Train-Analysis-(2080s-and-2083s)?_g=(refreshInterval:(display:Off,pause:!f,section:0,value:0),time:(from:'2017-01-22T12:36:32-0700',mode:absolute,to:'2017-01-22T15:23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7" s="49" t="str">
        <f t="shared" si="27"/>
        <v>N</v>
      </c>
      <c r="X87" s="170">
        <f t="shared" si="28"/>
        <v>1</v>
      </c>
      <c r="Y87" s="64">
        <f t="shared" si="29"/>
        <v>23.299099999999999</v>
      </c>
      <c r="Z87" s="64">
        <f t="shared" si="30"/>
        <v>1.5800000000000002E-2</v>
      </c>
      <c r="AA87" s="64">
        <f t="shared" si="31"/>
        <v>23.283300000000001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32"/>
        <v>0174-22</v>
      </c>
      <c r="AE87" s="87" t="str">
        <f t="shared" si="33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87" s="84" t="str">
        <f t="shared" si="34"/>
        <v>"C:\Program Files (x86)\AstroGrep\AstroGrep.exe" /spath="%USERPROFILE%\AppData\Local\Temp\OnboardLogs" /stypes="app*4037*20170122*" /stext=" 21:.+((SYSTEM_STATE.+slice.+state.+changed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8" t="str">
        <f t="shared" si="36"/>
        <v>"%USERPROFILE%\Documents\GitHub\eaglep3\Utilities\RefineRTDCRunTimes.py" --tripid 174-22 --locoid 4037 --swversion DE.1.0.8.0 --startMP 204:232991 --initTime 2017-01-22T13:36:32 --startdatetime 2017-01-22T13:41:27 --delay 2 --endMP 204:158 --enddatetime 2017-01-22T14:23:06 --enforcementcount 1 &gt;&gt;C:\Users\stu\Documents\GitHub\eaglep3-reporting\EC\2017-01-22-refined-times.txt</v>
      </c>
      <c r="AI87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{"issue":{"subject":"","project_id":79,"tracker_id":40,"status_id":1,"priority_id":2,"assigned_to_id":23,"start_date":"2017-01-22","description":"","custom_fields":[{"id":1,"name":"Subdivision","value":"EC"},{"id":4,"name":"Milepost","value":"0.0158"},{"id":17,"name":"Train ID","value":"174-22"},{"id":16,"name":"Locomotive ID","value":"4037"},{"id":130,"name":"Impact","value":""},{"id":150,"name":"Time of Event (Mountain Time)","value":"14:23:06"},{"id":151,"name":"Denver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38"/>
        <v>start /low /b %USERPROFILE%\Documents\GitHub\eaglep3\Utilities\DownloadLogsFromS3.py --loco 4037 --day 2017-01-22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554</v>
      </c>
      <c r="B88" s="7">
        <v>4016</v>
      </c>
      <c r="C88" s="22" t="s">
        <v>196</v>
      </c>
      <c r="D88" s="22" t="s">
        <v>278</v>
      </c>
      <c r="E88" s="13">
        <v>42757.538854166669</v>
      </c>
      <c r="F88" s="13">
        <v>42757.541979166665</v>
      </c>
      <c r="G88" s="7">
        <v>1</v>
      </c>
      <c r="H88" s="22" t="s">
        <v>265</v>
      </c>
      <c r="I88" s="13">
        <v>42757.56826388889</v>
      </c>
      <c r="J88" s="7">
        <v>1</v>
      </c>
      <c r="K88" s="105" t="str">
        <f t="shared" si="21"/>
        <v>4015/4016</v>
      </c>
      <c r="L88" s="22" t="str">
        <f>VLOOKUP(A88,'Trips&amp;Operators'!$C$1:$G$99999,5,FALSE)</f>
        <v>DAVIS MICHAEL</v>
      </c>
      <c r="M88" s="6">
        <f t="shared" si="22"/>
        <v>2.6284722225682344E-2</v>
      </c>
      <c r="N88" s="7">
        <f t="shared" si="23"/>
        <v>37.850000004982576</v>
      </c>
      <c r="O88" s="7"/>
      <c r="P88" s="7"/>
      <c r="Q88" s="23"/>
      <c r="R88" s="23"/>
      <c r="S88" s="32">
        <f t="shared" si="24"/>
        <v>1</v>
      </c>
      <c r="T88" s="47" t="str">
        <f t="shared" si="25"/>
        <v>NorthBound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26"/>
        <v>https://d0f6bd738d7f1b3e5a7ca70fe4ff75f0.us-east-1.aws.found.io/app/kibana#/discover/Steve-Slow-Train-Analysis-(2080s-and-2083s)?_g=(refreshInterval:(display:Off,pause:!f,section:0,value:0),time:(from:'2017-01-22T11:55:57-0700',mode:absolute,to:'2017-01-22T14:38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8" s="49" t="str">
        <f t="shared" si="27"/>
        <v>N</v>
      </c>
      <c r="X88" s="170">
        <f t="shared" si="28"/>
        <v>1</v>
      </c>
      <c r="Y88" s="64">
        <f t="shared" si="29"/>
        <v>4.5999999999999999E-2</v>
      </c>
      <c r="Z88" s="64">
        <f t="shared" si="30"/>
        <v>23.331099999999999</v>
      </c>
      <c r="AA88" s="64">
        <f t="shared" si="31"/>
        <v>23.2851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32"/>
        <v>0175-22</v>
      </c>
      <c r="AE88" s="87" t="str">
        <f t="shared" si="33"/>
        <v>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 &amp; 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</v>
      </c>
      <c r="AF88" s="84" t="str">
        <f t="shared" si="34"/>
        <v>"C:\Program Files (x86)\AstroGrep\AstroGrep.exe" /spath="%USERPROFILE%\AppData\Local\Temp\OnboardLogs" /stypes="app*4016*20170122*" /stext=" 20:.+((SYSTEM_STATE.+slice.+state.+changed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8" t="str">
        <f t="shared" si="36"/>
        <v>"%USERPROFILE%\Documents\GitHub\eaglep3\Utilities\RefineRTDCRunTimes.py" --tripid 175-22 --locoid 4016 --swversion DE.1.0.8.0 --startMP 204:460 --initTime 2017-01-22T12:55:57 --startdatetime 2017-01-22T13:00:27 --delay 1 --endMP 204:233311 --enddatetime 2017-01-22T13:38:18 --enforcementcount 1 &gt;&gt;C:\Users\stu\Documents\GitHub\eaglep3-reporting\EC\2017-01-22-refined-times.txt</v>
      </c>
      <c r="AI88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{"issue":{"subject":"","project_id":79,"tracker_id":40,"status_id":1,"priority_id":2,"assigned_to_id":23,"start_date":"2017-01-22","description":"","custom_fields":[{"id":1,"name":"Subdivision","value":"EC"},{"id":4,"name":"Milepost","value":"23.3311"},{"id":17,"name":"Train ID","value":"175-22"},{"id":16,"name":"Locomotive ID","value":"4016"},{"id":130,"name":"Impact","value":""},{"id":150,"name":"Time of Event (Mountain Time)","value":"13:38:18"},{"id":151,"name":"Denver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38"/>
        <v>start /low /b %USERPROFILE%\Documents\GitHub\eaglep3\Utilities\DownloadLogsFromS3.py --loco 4016 --day 2017-01-22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"%USERPROFILE%\AppData\Local\Temp\OnboardLogs"\RTDC4016\*4016*20170122* | grep -SE "(Enforcement Action)|(\[TIMEOUT)|(CHR.+\|PRM\|1\|D.+(SWITCH|SIGNAL).+UNKNOWN)" - &gt;&gt; 2017-01-22-UncaughtWiMAX.txt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561</v>
      </c>
      <c r="B89" s="7">
        <v>4015</v>
      </c>
      <c r="C89" s="22" t="s">
        <v>196</v>
      </c>
      <c r="D89" s="22" t="s">
        <v>706</v>
      </c>
      <c r="E89" s="13">
        <v>42757.578449074077</v>
      </c>
      <c r="F89" s="13">
        <v>42757.581006944441</v>
      </c>
      <c r="G89" s="7">
        <v>1</v>
      </c>
      <c r="H89" s="22" t="s">
        <v>707</v>
      </c>
      <c r="I89" s="13">
        <v>42757.609525462962</v>
      </c>
      <c r="J89" s="7">
        <v>1</v>
      </c>
      <c r="K89" s="105" t="str">
        <f t="shared" si="21"/>
        <v>4015/4016</v>
      </c>
      <c r="L89" s="22" t="str">
        <f>VLOOKUP(A89,'Trips&amp;Operators'!$C$1:$G$99999,5,FALSE)</f>
        <v>DAVIS MICHAEL</v>
      </c>
      <c r="M89" s="6">
        <f t="shared" si="22"/>
        <v>2.8518518520286307E-2</v>
      </c>
      <c r="N89" s="7"/>
      <c r="O89" s="7"/>
      <c r="P89" s="7">
        <f t="shared" si="23"/>
        <v>41.066666669212282</v>
      </c>
      <c r="Q89" s="23"/>
      <c r="R89" s="23" t="s">
        <v>810</v>
      </c>
      <c r="S89" s="32">
        <f t="shared" si="24"/>
        <v>1</v>
      </c>
      <c r="T89" s="47" t="str">
        <f t="shared" si="25"/>
        <v>Southbound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26"/>
        <v>https://d0f6bd738d7f1b3e5a7ca70fe4ff75f0.us-east-1.aws.found.io/app/kibana#/discover/Steve-Slow-Train-Analysis-(2080s-and-2083s)?_g=(refreshInterval:(display:Off,pause:!f,section:0,value:0),time:(from:'2017-01-22T12:52:58-0700',mode:absolute,to:'2017-01-22T15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9" s="49" t="str">
        <f t="shared" si="27"/>
        <v>Y</v>
      </c>
      <c r="X89" s="170">
        <f t="shared" si="28"/>
        <v>1</v>
      </c>
      <c r="Y89" s="64">
        <f t="shared" si="29"/>
        <v>23.2971</v>
      </c>
      <c r="Z89" s="64">
        <f t="shared" si="30"/>
        <v>1.8798999999999999</v>
      </c>
      <c r="AA89" s="64">
        <f t="shared" si="31"/>
        <v>21.417200000000001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32"/>
        <v>0176-22</v>
      </c>
      <c r="AE89" s="87" t="str">
        <f t="shared" si="33"/>
        <v>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 &amp; 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</v>
      </c>
      <c r="AF89" s="84" t="str">
        <f t="shared" si="34"/>
        <v>"C:\Program Files (x86)\AstroGrep\AstroGrep.exe" /spath="%USERPROFILE%\AppData\Local\Temp\OnboardLogs" /stypes="app*4015*20170122*" /stext=" 21:.+((SYSTEM_STATE.+slice.+state.+changed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8" t="str">
        <f t="shared" si="36"/>
        <v>"%USERPROFILE%\Documents\GitHub\eaglep3\Utilities\RefineRTDCRunTimes.py" --tripid 176-22 --locoid 4015 --swversion DE.1.0.8.0 --startMP 204:232971 --initTime 2017-01-22T13:52:58 --startdatetime 2017-01-22T13:56:39 --delay 1 --endMP 204:18799 --enddatetime 2017-01-22T14:37:43 --enforcementcount 1 &gt;&gt;C:\Users\stu\Documents\GitHub\eaglep3-reporting\EC\2017-01-22-refined-times.txt</v>
      </c>
      <c r="AI89" s="115" t="str">
        <f t="shared" si="37"/>
        <v>echo {"issue":{"subject":"No Form C for Holly was issued by dispatch to this trip (but Form C was still in effect) - in fact, pair 4015/4016 was the only pair that didn't get the Form C when cross-referencing data vs Incident 35312","project_id":79,"tracker_id":40,"status_id":1,"priority_id":2,"assigned_to_id":23,"start_date":"2017-01-22","description":"","custom_fields":[{"id":1,"name":"Subdivision","value":"EC"},{"id":4,"name":"Milepost","value":"1.8799"},{"id":17,"name":"Train ID","value":"176-22"},{"id":16,"name":"Locomotive ID","value":"4015"},{"id":130,"name":"Impact","value":""},{"id":150,"name":"Time of Event (Mountain Time)","value":"14:37:43"},{"id":151,"name":"Denver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38"/>
        <v>start /low /b %USERPROFILE%\Documents\GitHub\eaglep3\Utilities\DownloadLogsFromS3.py --loco 4015 --day 2017-01-22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"%USERPROFILE%\AppData\Local\Temp\OnboardLogs"\RTDC4015\*4015*20170122* | grep -SE "(Enforcement Action)|(\[TIMEOUT)|(CHR.+\|PRM\|1\|D.+(SWITCH|SIGNAL).+UNKNOWN)" - &gt;&gt; 2017-01-22-UncaughtWiMAX.txt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557</v>
      </c>
      <c r="B90" s="7">
        <v>4007</v>
      </c>
      <c r="C90" s="22" t="s">
        <v>196</v>
      </c>
      <c r="D90" s="22" t="s">
        <v>708</v>
      </c>
      <c r="E90" s="13">
        <v>42757.549247685187</v>
      </c>
      <c r="F90" s="13">
        <v>42757.552256944444</v>
      </c>
      <c r="G90" s="7">
        <v>1</v>
      </c>
      <c r="H90" s="22" t="s">
        <v>709</v>
      </c>
      <c r="I90" s="13">
        <v>42757.578055555554</v>
      </c>
      <c r="J90" s="7">
        <v>1</v>
      </c>
      <c r="K90" s="105" t="str">
        <f t="shared" si="21"/>
        <v>4007/4008</v>
      </c>
      <c r="L90" s="22" t="str">
        <f>VLOOKUP(A90,'Trips&amp;Operators'!$C$1:$G$99999,5,FALSE)</f>
        <v>LEVIN SCOTT</v>
      </c>
      <c r="M90" s="6">
        <f t="shared" si="22"/>
        <v>2.5798611110076308E-2</v>
      </c>
      <c r="N90" s="7">
        <f t="shared" si="23"/>
        <v>37.149999998509884</v>
      </c>
      <c r="O90" s="7"/>
      <c r="P90" s="7"/>
      <c r="Q90" s="23"/>
      <c r="R90" s="23"/>
      <c r="S90" s="32">
        <f t="shared" si="24"/>
        <v>1</v>
      </c>
      <c r="T90" s="47" t="str">
        <f t="shared" si="25"/>
        <v>NorthBound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26"/>
        <v>https://d0f6bd738d7f1b3e5a7ca70fe4ff75f0.us-east-1.aws.found.io/app/kibana#/discover/Steve-Slow-Train-Analysis-(2080s-and-2083s)?_g=(refreshInterval:(display:Off,pause:!f,section:0,value:0),time:(from:'2017-01-22T12:10:55-0700',mode:absolute,to:'2017-01-22T14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49" t="str">
        <f t="shared" si="27"/>
        <v>N</v>
      </c>
      <c r="X90" s="170">
        <f t="shared" si="28"/>
        <v>1</v>
      </c>
      <c r="Y90" s="64">
        <f t="shared" si="29"/>
        <v>4.2200000000000001E-2</v>
      </c>
      <c r="Z90" s="64">
        <f t="shared" si="30"/>
        <v>23.334399999999999</v>
      </c>
      <c r="AA90" s="64">
        <f t="shared" si="31"/>
        <v>23.292199999999998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32"/>
        <v>0177-22</v>
      </c>
      <c r="AE90" s="87" t="str">
        <f t="shared" si="33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90" s="84" t="str">
        <f t="shared" si="34"/>
        <v>"C:\Program Files (x86)\AstroGrep\AstroGrep.exe" /spath="%USERPROFILE%\AppData\Local\Temp\OnboardLogs" /stypes="app*4007*20170122*" /stext=" 20:.+((SYSTEM_STATE.+slice.+state.+changed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8" t="str">
        <f t="shared" si="36"/>
        <v>"%USERPROFILE%\Documents\GitHub\eaglep3\Utilities\RefineRTDCRunTimes.py" --tripid 177-22 --locoid 4007 --swversion DE.1.0.8.0 --startMP 204:422 --initTime 2017-01-22T13:10:55 --startdatetime 2017-01-22T13:15:15 --delay 1 --endMP 204:233344 --enddatetime 2017-01-22T13:52:24 --enforcementcount 1 &gt;&gt;C:\Users\stu\Documents\GitHub\eaglep3-reporting\EC\2017-01-22-refined-times.txt</v>
      </c>
      <c r="AI90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{"issue":{"subject":"","project_id":79,"tracker_id":40,"status_id":1,"priority_id":2,"assigned_to_id":23,"start_date":"2017-01-22","description":"","custom_fields":[{"id":1,"name":"Subdivision","value":"EC"},{"id":4,"name":"Milepost","value":"23.3344"},{"id":17,"name":"Train ID","value":"177-22"},{"id":16,"name":"Locomotive ID","value":"4007"},{"id":130,"name":"Impact","value":""},{"id":150,"name":"Time of Event (Mountain Time)","value":"13:52:24"},{"id":151,"name":"Denver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38"/>
        <v>start /low /b %USERPROFILE%\Documents\GitHub\eaglep3\Utilities\DownloadLogsFromS3.py --loco 4007 --day 2017-01-22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2017-01-22-UncaughtWiMAX.txt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566</v>
      </c>
      <c r="B91" s="7">
        <v>4008</v>
      </c>
      <c r="C91" s="22" t="s">
        <v>196</v>
      </c>
      <c r="D91" s="22" t="s">
        <v>684</v>
      </c>
      <c r="E91" s="13">
        <v>42757.586053240739</v>
      </c>
      <c r="F91" s="13">
        <v>42757.591307870367</v>
      </c>
      <c r="G91" s="7">
        <v>1</v>
      </c>
      <c r="H91" s="22" t="s">
        <v>710</v>
      </c>
      <c r="I91" s="13">
        <v>42757.619155092594</v>
      </c>
      <c r="J91" s="7">
        <v>1</v>
      </c>
      <c r="K91" s="105" t="str">
        <f t="shared" si="21"/>
        <v>4007/4008</v>
      </c>
      <c r="L91" s="22" t="str">
        <f>VLOOKUP(A91,'Trips&amp;Operators'!$C$1:$G$99999,5,FALSE)</f>
        <v>LEVIN SCOTT</v>
      </c>
      <c r="M91" s="6">
        <f t="shared" si="22"/>
        <v>2.7847222227137536E-2</v>
      </c>
      <c r="N91" s="7">
        <f t="shared" si="23"/>
        <v>40.100000007078052</v>
      </c>
      <c r="O91" s="7"/>
      <c r="P91" s="7"/>
      <c r="Q91" s="23"/>
      <c r="R91" s="23"/>
      <c r="S91" s="32">
        <f t="shared" si="24"/>
        <v>1</v>
      </c>
      <c r="T91" s="47" t="str">
        <f t="shared" si="25"/>
        <v>Southbound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26"/>
        <v>https://d0f6bd738d7f1b3e5a7ca70fe4ff75f0.us-east-1.aws.found.io/app/kibana#/discover/Steve-Slow-Train-Analysis-(2080s-and-2083s)?_g=(refreshInterval:(display:Off,pause:!f,section:0,value:0),time:(from:'2017-01-22T13:03:55-0700',mode:absolute,to:'2017-01-22T15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1" s="49" t="str">
        <f t="shared" si="27"/>
        <v>N</v>
      </c>
      <c r="X91" s="170">
        <f t="shared" si="28"/>
        <v>1</v>
      </c>
      <c r="Y91" s="64">
        <f t="shared" si="29"/>
        <v>23.3032</v>
      </c>
      <c r="Z91" s="64">
        <f t="shared" si="30"/>
        <v>1.0999999999999999E-2</v>
      </c>
      <c r="AA91" s="64">
        <f t="shared" si="31"/>
        <v>23.292200000000001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32"/>
        <v>0178-22</v>
      </c>
      <c r="AE91" s="87" t="str">
        <f t="shared" si="33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91" s="84" t="str">
        <f t="shared" si="34"/>
        <v>"C:\Program Files (x86)\AstroGrep\AstroGrep.exe" /spath="%USERPROFILE%\AppData\Local\Temp\OnboardLogs" /stypes="app*4008*20170122*"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8" t="str">
        <f t="shared" si="36"/>
        <v>"%USERPROFILE%\Documents\GitHub\eaglep3\Utilities\RefineRTDCRunTimes.py" --tripid 178-22 --locoid 4008 --swversion DE.1.0.8.0 --startMP 204:233032 --initTime 2017-01-22T14:03:55 --startdatetime 2017-01-22T14:11:29 --delay 1 --endMP 204:110 --enddatetime 2017-01-22T14:51:35 --enforcementcount 1 &gt;&gt;C:\Users\stu\Documents\GitHub\eaglep3-reporting\EC\2017-01-22-refined-times.txt</v>
      </c>
      <c r="AI91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{"issue":{"subject":"","project_id":79,"tracker_id":40,"status_id":1,"priority_id":2,"assigned_to_id":23,"start_date":"2017-01-22","description":"","custom_fields":[{"id":1,"name":"Subdivision","value":"EC"},{"id":4,"name":"Milepost","value":"0.011"},{"id":17,"name":"Train ID","value":"178-22"},{"id":16,"name":"Locomotive ID","value":"4008"},{"id":130,"name":"Impact","value":""},{"id":150,"name":"Time of Event (Mountain Time)","value":"14:51:35"},{"id":151,"name":"Denver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38"/>
        <v>start /low /b %USERPROFILE%\Documents\GitHub\eaglep3\Utilities\DownloadLogsFromS3.py --loco 4008 --day 2017-01-22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4" t="s">
        <v>442</v>
      </c>
      <c r="B92" s="7">
        <v>4022</v>
      </c>
      <c r="C92" s="22" t="s">
        <v>196</v>
      </c>
      <c r="D92" s="22" t="s">
        <v>272</v>
      </c>
      <c r="E92" s="13">
        <v>42757.557002314818</v>
      </c>
      <c r="F92" s="13">
        <v>42757.562719907408</v>
      </c>
      <c r="G92" s="7">
        <v>1</v>
      </c>
      <c r="H92" s="22" t="s">
        <v>692</v>
      </c>
      <c r="I92" s="13">
        <v>42757.589791666665</v>
      </c>
      <c r="J92" s="7">
        <v>1</v>
      </c>
      <c r="K92" s="105" t="str">
        <f t="shared" si="21"/>
        <v>4021/4022</v>
      </c>
      <c r="L92" s="22" t="str">
        <f>VLOOKUP(A92,'Trips&amp;Operators'!$C$1:$G$99999,5,FALSE)</f>
        <v>BRUDER RICHARD</v>
      </c>
      <c r="M92" s="6">
        <f t="shared" si="22"/>
        <v>2.7071759257523809E-2</v>
      </c>
      <c r="N92" s="7">
        <f t="shared" si="23"/>
        <v>38.983333330834284</v>
      </c>
      <c r="O92" s="7"/>
      <c r="P92" s="7"/>
      <c r="Q92" s="23"/>
      <c r="R92" s="23"/>
      <c r="S92" s="32">
        <f t="shared" si="24"/>
        <v>1</v>
      </c>
      <c r="T92" s="47" t="str">
        <f t="shared" si="25"/>
        <v>NorthBound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26"/>
        <v>https://d0f6bd738d7f1b3e5a7ca70fe4ff75f0.us-east-1.aws.found.io/app/kibana#/discover/Steve-Slow-Train-Analysis-(2080s-and-2083s)?_g=(refreshInterval:(display:Off,pause:!f,section:0,value:0),time:(from:'2017-01-22T12:22:05-0700',mode:absolute,to:'2017-01-22T15:09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2" s="49" t="str">
        <f t="shared" si="27"/>
        <v>N</v>
      </c>
      <c r="X92" s="170">
        <f t="shared" si="28"/>
        <v>1</v>
      </c>
      <c r="Y92" s="64">
        <f t="shared" si="29"/>
        <v>4.5100000000000001E-2</v>
      </c>
      <c r="Z92" s="64">
        <f t="shared" si="30"/>
        <v>23.330500000000001</v>
      </c>
      <c r="AA92" s="64">
        <f t="shared" si="31"/>
        <v>23.285399999999999</v>
      </c>
      <c r="AB92" s="61" t="str">
        <f>VLOOKUP(A92,Enforcements!$C$7:$K$16,8,0)</f>
        <v>Bulletin (2)</v>
      </c>
      <c r="AC92" s="57" t="str">
        <f>VLOOKUP(A92,Enforcements!$C$7:$E$16,3,0)</f>
        <v>GRADE CROSSING</v>
      </c>
      <c r="AD92" s="58" t="str">
        <f t="shared" si="32"/>
        <v>0179-22</v>
      </c>
      <c r="AE92" s="87" t="str">
        <f t="shared" si="33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92" s="84" t="str">
        <f t="shared" si="34"/>
        <v>"C:\Program Files (x86)\AstroGrep\AstroGrep.exe" /spath="%USERPROFILE%\AppData\Local\Temp\OnboardLogs" /stypes="app*4022*20170122*" /stext=" 21:.+((SYSTEM_STATE.+slice.+state.+changed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8" t="str">
        <f t="shared" si="36"/>
        <v>"%USERPROFILE%\Documents\GitHub\eaglep3\Utilities\RefineRTDCRunTimes.py" --tripid 179-22 --locoid 4022 --swversion DE.1.0.8.0 --startMP 204:451 --initTime 2017-01-22T13:22:05 --startdatetime 2017-01-22T13:30:19 --delay 1 --endMP 204:233305 --enddatetime 2017-01-22T14:09:18 --enforcementcount 1 &gt;&gt;C:\Users\stu\Documents\GitHub\eaglep3-reporting\EC\2017-01-22-refined-times.txt</v>
      </c>
      <c r="AI92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{"issue":{"subject":"","project_id":79,"tracker_id":40,"status_id":1,"priority_id":2,"assigned_to_id":23,"start_date":"2017-01-22","description":"","custom_fields":[{"id":1,"name":"Subdivision","value":"EC"},{"id":4,"name":"Milepost","value":"23.3305"},{"id":17,"name":"Train ID","value":"179-22"},{"id":16,"name":"Locomotive ID","value":"4022"},{"id":130,"name":"Impact","value":""},{"id":150,"name":"Time of Event (Mountain Time)","value":"14:09:18"},{"id":151,"name":"Denver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38"/>
        <v>start /low /b %USERPROFILE%\Documents\GitHub\eaglep3\Utilities\DownloadLogsFromS3.py --loco 4022 --day 2017-01-22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2017-01-22-UncaughtWiMAX.txt</v>
      </c>
    </row>
    <row r="93" spans="1:91" s="21" customFormat="1" x14ac:dyDescent="0.25">
      <c r="A93" s="34" t="s">
        <v>568</v>
      </c>
      <c r="B93" s="7">
        <v>4021</v>
      </c>
      <c r="C93" s="22" t="s">
        <v>196</v>
      </c>
      <c r="D93" s="22" t="s">
        <v>700</v>
      </c>
      <c r="E93" s="13">
        <v>42757.596886574072</v>
      </c>
      <c r="F93" s="13">
        <v>42757.601585648146</v>
      </c>
      <c r="G93" s="7">
        <v>1</v>
      </c>
      <c r="H93" s="22" t="s">
        <v>206</v>
      </c>
      <c r="I93" s="13">
        <v>42757.629942129628</v>
      </c>
      <c r="J93" s="7">
        <v>1</v>
      </c>
      <c r="K93" s="105" t="str">
        <f t="shared" si="21"/>
        <v>4021/4022</v>
      </c>
      <c r="L93" s="22" t="str">
        <f>VLOOKUP(A93,'Trips&amp;Operators'!$C$1:$G$99999,5,FALSE)</f>
        <v>BRUDER RICHARD</v>
      </c>
      <c r="M93" s="6">
        <f t="shared" si="22"/>
        <v>2.8356481481750961E-2</v>
      </c>
      <c r="N93" s="7">
        <f t="shared" si="23"/>
        <v>40.833333333721384</v>
      </c>
      <c r="O93" s="7"/>
      <c r="P93" s="7"/>
      <c r="Q93" s="23"/>
      <c r="R93" s="23"/>
      <c r="S93" s="32">
        <f t="shared" si="24"/>
        <v>1</v>
      </c>
      <c r="T93" s="47" t="str">
        <f t="shared" si="25"/>
        <v>Southbound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26"/>
        <v>https://d0f6bd738d7f1b3e5a7ca70fe4ff75f0.us-east-1.aws.found.io/app/kibana#/discover/Steve-Slow-Train-Analysis-(2080s-and-2083s)?_g=(refreshInterval:(display:Off,pause:!f,section:0,value:0),time:(from:'2017-01-22T13:19:31-0700',mode:absolute,to:'2017-01-22T16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3" s="49" t="str">
        <f t="shared" si="27"/>
        <v>N</v>
      </c>
      <c r="X93" s="170">
        <f t="shared" si="28"/>
        <v>1</v>
      </c>
      <c r="Y93" s="64">
        <f t="shared" si="29"/>
        <v>23.297999999999998</v>
      </c>
      <c r="Z93" s="64">
        <f t="shared" si="30"/>
        <v>1.4500000000000001E-2</v>
      </c>
      <c r="AA93" s="64">
        <f t="shared" si="31"/>
        <v>23.283499999999997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32"/>
        <v>0180-22</v>
      </c>
      <c r="AE93" s="87" t="str">
        <f t="shared" si="33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93" s="84" t="str">
        <f t="shared" si="34"/>
        <v>"C:\Program Files (x86)\AstroGrep\AstroGrep.exe" /spath="%USERPROFILE%\AppData\Local\Temp\OnboardLogs" /stypes="app*4021*20170122*" /stext=" 22:.+((SYSTEM_STATE.+slice.+state.+changed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8" t="str">
        <f t="shared" si="36"/>
        <v>"%USERPROFILE%\Documents\GitHub\eaglep3\Utilities\RefineRTDCRunTimes.py" --tripid 180-22 --locoid 4021 --swversion DE.1.0.8.0 --startMP 204:232980 --initTime 2017-01-22T14:19:31 --startdatetime 2017-01-22T14:26:17 --delay 1 --endMP 204:145 --enddatetime 2017-01-22T15:07:07 --enforcementcount 1 &gt;&gt;C:\Users\stu\Documents\GitHub\eaglep3-reporting\EC\2017-01-22-refined-times.txt</v>
      </c>
      <c r="AI93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{"issue":{"subject":"","project_id":79,"tracker_id":40,"status_id":1,"priority_id":2,"assigned_to_id":23,"start_date":"2017-01-22","description":"","custom_fields":[{"id":1,"name":"Subdivision","value":"EC"},{"id":4,"name":"Milepost","value":"0.0145"},{"id":17,"name":"Train ID","value":"180-22"},{"id":16,"name":"Locomotive ID","value":"4021"},{"id":130,"name":"Impact","value":""},{"id":150,"name":"Time of Event (Mountain Time)","value":"15:07:07"},{"id":151,"name":"Denver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38"/>
        <v>start /low /b %USERPROFILE%\Documents\GitHub\eaglep3\Utilities\DownloadLogsFromS3.py --loco 4021 --day 2017-01-22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560</v>
      </c>
      <c r="B94" s="7">
        <v>4003</v>
      </c>
      <c r="C94" s="22" t="s">
        <v>196</v>
      </c>
      <c r="D94" s="22" t="s">
        <v>722</v>
      </c>
      <c r="E94" s="13">
        <v>42757.569386574076</v>
      </c>
      <c r="F94" s="13">
        <v>42757.573101851849</v>
      </c>
      <c r="G94" s="7">
        <v>1</v>
      </c>
      <c r="H94" s="22" t="s">
        <v>723</v>
      </c>
      <c r="I94" s="13">
        <v>42757.599131944444</v>
      </c>
      <c r="J94" s="7">
        <v>1</v>
      </c>
      <c r="K94" s="105" t="str">
        <f t="shared" si="21"/>
        <v>4003/4004</v>
      </c>
      <c r="L94" s="22" t="str">
        <f>VLOOKUP(A94,'Trips&amp;Operators'!$C$1:$G$99999,5,FALSE)</f>
        <v>CRAYTON QUNTRELL</v>
      </c>
      <c r="M94" s="6">
        <f t="shared" si="22"/>
        <v>2.6030092594737653E-2</v>
      </c>
      <c r="N94" s="7">
        <f t="shared" si="23"/>
        <v>37.48333333642222</v>
      </c>
      <c r="O94" s="7"/>
      <c r="P94" s="7"/>
      <c r="Q94" s="23"/>
      <c r="R94" s="23"/>
      <c r="S94" s="32">
        <f t="shared" si="24"/>
        <v>1</v>
      </c>
      <c r="T94" s="47" t="str">
        <f t="shared" si="25"/>
        <v>NorthBound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26"/>
        <v>https://d0f6bd738d7f1b3e5a7ca70fe4ff75f0.us-east-1.aws.found.io/app/kibana#/discover/Steve-Slow-Train-Analysis-(2080s-and-2083s)?_g=(refreshInterval:(display:Off,pause:!f,section:0,value:0),time:(from:'2017-01-22T12:39:55-0700',mode:absolute,to:'2017-01-22T15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4" s="49" t="str">
        <f t="shared" si="27"/>
        <v>N</v>
      </c>
      <c r="X94" s="170">
        <f t="shared" si="28"/>
        <v>1</v>
      </c>
      <c r="Y94" s="64">
        <f t="shared" si="29"/>
        <v>4.9700000000000001E-2</v>
      </c>
      <c r="Z94" s="64">
        <f t="shared" si="30"/>
        <v>23.328700000000001</v>
      </c>
      <c r="AA94" s="64">
        <f t="shared" si="31"/>
        <v>23.279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32"/>
        <v>0181-22</v>
      </c>
      <c r="AE94" s="87" t="str">
        <f t="shared" si="33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94" s="84" t="str">
        <f t="shared" si="34"/>
        <v>"C:\Program Files (x86)\AstroGrep\AstroGrep.exe" /spath="%USERPROFILE%\AppData\Local\Temp\OnboardLogs" /stypes="app*4003*20170122*" /stext=" 21:.+((SYSTEM_STATE.+slice.+state.+changed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8" t="str">
        <f t="shared" si="36"/>
        <v>"%USERPROFILE%\Documents\GitHub\eaglep3\Utilities\RefineRTDCRunTimes.py" --tripid 181-22 --locoid 4003 --swversion DE.1.0.8.0 --startMP 204:497 --initTime 2017-01-22T13:39:55 --startdatetime 2017-01-22T13:45:16 --delay 1 --endMP 204:233287 --enddatetime 2017-01-22T14:22:45 --enforcementcount 1 &gt;&gt;C:\Users\stu\Documents\GitHub\eaglep3-reporting\EC\2017-01-22-refined-times.txt</v>
      </c>
      <c r="AI94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{"issue":{"subject":"","project_id":79,"tracker_id":40,"status_id":1,"priority_id":2,"assigned_to_id":23,"start_date":"2017-01-22","description":"","custom_fields":[{"id":1,"name":"Subdivision","value":"EC"},{"id":4,"name":"Milepost","value":"23.3287"},{"id":17,"name":"Train ID","value":"181-22"},{"id":16,"name":"Locomotive ID","value":"4003"},{"id":130,"name":"Impact","value":""},{"id":150,"name":"Time of Event (Mountain Time)","value":"14:22:45"},{"id":151,"name":"Denver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38"/>
        <v>start /low /b %USERPROFILE%\Documents\GitHub\eaglep3\Utilities\DownloadLogsFromS3.py --loco 4003 --day 2017-01-22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569</v>
      </c>
      <c r="B95" s="7">
        <v>4004</v>
      </c>
      <c r="C95" s="22" t="s">
        <v>196</v>
      </c>
      <c r="D95" s="22" t="s">
        <v>679</v>
      </c>
      <c r="E95" s="13">
        <v>42757.606134259258</v>
      </c>
      <c r="F95" s="13">
        <v>42757.612013888887</v>
      </c>
      <c r="G95" s="7">
        <v>1</v>
      </c>
      <c r="H95" s="22" t="s">
        <v>413</v>
      </c>
      <c r="I95" s="13">
        <v>42757.641273148147</v>
      </c>
      <c r="J95" s="7">
        <v>1</v>
      </c>
      <c r="K95" s="105" t="str">
        <f t="shared" si="21"/>
        <v>4003/4004</v>
      </c>
      <c r="L95" s="22" t="str">
        <f>VLOOKUP(A95,'Trips&amp;Operators'!$C$1:$G$99999,5,FALSE)</f>
        <v>CRAYTON QUNTRELL</v>
      </c>
      <c r="M95" s="6">
        <f t="shared" si="22"/>
        <v>2.9259259259561077E-2</v>
      </c>
      <c r="N95" s="7">
        <f t="shared" si="23"/>
        <v>42.133333333767951</v>
      </c>
      <c r="O95" s="7"/>
      <c r="P95" s="7"/>
      <c r="Q95" s="23"/>
      <c r="R95" s="23"/>
      <c r="S95" s="32">
        <f t="shared" si="24"/>
        <v>1</v>
      </c>
      <c r="T95" s="47" t="str">
        <f t="shared" si="25"/>
        <v>Southbound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26"/>
        <v>https://d0f6bd738d7f1b3e5a7ca70fe4ff75f0.us-east-1.aws.found.io/app/kibana#/discover/Steve-Slow-Train-Analysis-(2080s-and-2083s)?_g=(refreshInterval:(display:Off,pause:!f,section:0,value:0),time:(from:'2017-01-22T13:32:50-0700',mode:absolute,to:'2017-01-22T16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5" s="49" t="str">
        <f t="shared" si="27"/>
        <v>N</v>
      </c>
      <c r="X95" s="170">
        <f t="shared" si="28"/>
        <v>1</v>
      </c>
      <c r="Y95" s="64">
        <f t="shared" si="29"/>
        <v>23.298100000000002</v>
      </c>
      <c r="Z95" s="64">
        <f t="shared" si="30"/>
        <v>1.7399999999999999E-2</v>
      </c>
      <c r="AA95" s="64">
        <f t="shared" si="31"/>
        <v>23.280700000000003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32"/>
        <v>0182-22</v>
      </c>
      <c r="AE95" s="87" t="str">
        <f t="shared" si="33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95" s="84" t="str">
        <f t="shared" si="34"/>
        <v>"C:\Program Files (x86)\AstroGrep\AstroGrep.exe" /spath="%USERPROFILE%\AppData\Local\Temp\OnboardLogs" /stypes="app*4004*20170122*" /stext=" 22:.+((SYSTEM_STATE.+slice.+state.+changed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8" t="str">
        <f t="shared" si="36"/>
        <v>"%USERPROFILE%\Documents\GitHub\eaglep3\Utilities\RefineRTDCRunTimes.py" --tripid 182-22 --locoid 4004 --swversion DE.1.0.8.0 --startMP 204:232981 --initTime 2017-01-22T14:32:50 --startdatetime 2017-01-22T14:41:18 --delay 1 --endMP 204:174 --enddatetime 2017-01-22T15:23:26 --enforcementcount 1 &gt;&gt;C:\Users\stu\Documents\GitHub\eaglep3-reporting\EC\2017-01-22-refined-times.txt</v>
      </c>
      <c r="AI95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{"issue":{"subject":"","project_id":79,"tracker_id":40,"status_id":1,"priority_id":2,"assigned_to_id":23,"start_date":"2017-01-22","description":"","custom_fields":[{"id":1,"name":"Subdivision","value":"EC"},{"id":4,"name":"Milepost","value":"0.0174"},{"id":17,"name":"Train ID","value":"182-22"},{"id":16,"name":"Locomotive ID","value":"4004"},{"id":130,"name":"Impact","value":""},{"id":150,"name":"Time of Event (Mountain Time)","value":"15:23:26"},{"id":151,"name":"Denver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38"/>
        <v>start /low /b %USERPROFILE%\Documents\GitHub\eaglep3\Utilities\DownloadLogsFromS3.py --loco 4004 --day 2017-01-22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562</v>
      </c>
      <c r="B96" s="7">
        <v>4046</v>
      </c>
      <c r="C96" s="22" t="s">
        <v>196</v>
      </c>
      <c r="D96" s="22" t="s">
        <v>272</v>
      </c>
      <c r="E96" s="13">
        <v>42757.580613425926</v>
      </c>
      <c r="F96" s="13">
        <v>42757.583483796298</v>
      </c>
      <c r="G96" s="7">
        <v>1</v>
      </c>
      <c r="H96" s="22" t="s">
        <v>668</v>
      </c>
      <c r="I96" s="13">
        <v>42757.608761574076</v>
      </c>
      <c r="J96" s="7">
        <v>1</v>
      </c>
      <c r="K96" s="105" t="str">
        <f t="shared" si="21"/>
        <v>4045/4046</v>
      </c>
      <c r="L96" s="22" t="str">
        <f>VLOOKUP(A96,'Trips&amp;Operators'!$C$1:$G$99999,5,FALSE)</f>
        <v>ROMERO CHAD</v>
      </c>
      <c r="M96" s="6">
        <f t="shared" si="22"/>
        <v>2.527777777868323E-2</v>
      </c>
      <c r="N96" s="7">
        <f t="shared" si="23"/>
        <v>36.400000001303852</v>
      </c>
      <c r="O96" s="7"/>
      <c r="P96" s="7"/>
      <c r="Q96" s="23"/>
      <c r="R96" s="23"/>
      <c r="S96" s="32">
        <f t="shared" si="24"/>
        <v>1</v>
      </c>
      <c r="T96" s="47" t="str">
        <f t="shared" si="25"/>
        <v>NorthBound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26"/>
        <v>https://d0f6bd738d7f1b3e5a7ca70fe4ff75f0.us-east-1.aws.found.io/app/kibana#/discover/Steve-Slow-Train-Analysis-(2080s-and-2083s)?_g=(refreshInterval:(display:Off,pause:!f,section:0,value:0),time:(from:'2017-01-22T12:56:05-0700',mode:absolute,to:'2017-01-22T15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6" s="49" t="str">
        <f t="shared" si="27"/>
        <v>N</v>
      </c>
      <c r="X96" s="170">
        <f t="shared" si="28"/>
        <v>1</v>
      </c>
      <c r="Y96" s="64">
        <f t="shared" si="29"/>
        <v>4.5100000000000001E-2</v>
      </c>
      <c r="Z96" s="64">
        <f t="shared" si="30"/>
        <v>23.331600000000002</v>
      </c>
      <c r="AA96" s="64">
        <f t="shared" si="31"/>
        <v>23.2865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32"/>
        <v>0183-22</v>
      </c>
      <c r="AE96" s="87" t="str">
        <f t="shared" si="33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96" s="84" t="str">
        <f t="shared" si="34"/>
        <v>"C:\Program Files (x86)\AstroGrep\AstroGrep.exe" /spath="%USERPROFILE%\AppData\Local\Temp\OnboardLogs" /stypes="app*4046*20170122*" /stext=" 21:.+((SYSTEM_STATE.+slice.+state.+changed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8" t="str">
        <f t="shared" si="36"/>
        <v>"%USERPROFILE%\Documents\GitHub\eaglep3\Utilities\RefineRTDCRunTimes.py" --tripid 183-22 --locoid 4046 --swversion DE.1.0.8.0 --startMP 204:451 --initTime 2017-01-22T13:56:05 --startdatetime 2017-01-22T14:00:13 --delay 1 --endMP 204:233316 --enddatetime 2017-01-22T14:36:37 --enforcementcount 1 &gt;&gt;C:\Users\stu\Documents\GitHub\eaglep3-reporting\EC\2017-01-22-refined-times.txt</v>
      </c>
      <c r="AI96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{"issue":{"subject":"","project_id":79,"tracker_id":40,"status_id":1,"priority_id":2,"assigned_to_id":23,"start_date":"2017-01-22","description":"","custom_fields":[{"id":1,"name":"Subdivision","value":"EC"},{"id":4,"name":"Milepost","value":"23.3316"},{"id":17,"name":"Train ID","value":"183-22"},{"id":16,"name":"Locomotive ID","value":"4046"},{"id":130,"name":"Impact","value":""},{"id":150,"name":"Time of Event (Mountain Time)","value":"14:36:37"},{"id":151,"name":"Denver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38"/>
        <v>start /low /b %USERPROFILE%\Documents\GitHub\eaglep3\Utilities\DownloadLogsFromS3.py --loco 4046 --day 2017-01-22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"%USERPROFILE%\AppData\Local\Temp\OnboardLogs"\RTDC4046\*4046*20170122* | grep -SE "(Enforcement Action)|(\[TIMEOUT)|(CHR.+\|PRM\|1\|D.+(SWITCH|SIGNAL).+UNKNOWN)" - &gt;&gt; 2017-01-22-UncaughtWiMAX.txt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570</v>
      </c>
      <c r="B97" s="7">
        <v>4045</v>
      </c>
      <c r="C97" s="22" t="s">
        <v>196</v>
      </c>
      <c r="D97" s="22" t="s">
        <v>237</v>
      </c>
      <c r="E97" s="13">
        <v>42757.61041666667</v>
      </c>
      <c r="F97" s="13">
        <v>42757.622662037036</v>
      </c>
      <c r="G97" s="7">
        <v>1</v>
      </c>
      <c r="H97" s="22" t="s">
        <v>282</v>
      </c>
      <c r="I97" s="13">
        <v>42757.652453703704</v>
      </c>
      <c r="J97" s="7">
        <v>1</v>
      </c>
      <c r="K97" s="105" t="str">
        <f t="shared" si="21"/>
        <v>4045/4046</v>
      </c>
      <c r="L97" s="22" t="str">
        <f>VLOOKUP(A97,'Trips&amp;Operators'!$C$1:$G$99999,5,FALSE)</f>
        <v>ROMERO CHAD</v>
      </c>
      <c r="M97" s="6">
        <f t="shared" si="22"/>
        <v>2.9791666667733807E-2</v>
      </c>
      <c r="N97" s="7">
        <f t="shared" si="23"/>
        <v>42.900000001536682</v>
      </c>
      <c r="O97" s="7"/>
      <c r="P97" s="7"/>
      <c r="Q97" s="23"/>
      <c r="R97" s="23"/>
      <c r="S97" s="32">
        <f t="shared" si="24"/>
        <v>1</v>
      </c>
      <c r="T97" s="47" t="str">
        <f t="shared" si="25"/>
        <v>Southbound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26"/>
        <v>https://d0f6bd738d7f1b3e5a7ca70fe4ff75f0.us-east-1.aws.found.io/app/kibana#/discover/Steve-Slow-Train-Analysis-(2080s-and-2083s)?_g=(refreshInterval:(display:Off,pause:!f,section:0,value:0),time:(from:'2017-01-22T13:39:00-0700',mode:absolute,to:'2017-01-22T16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7" s="49" t="str">
        <f t="shared" si="27"/>
        <v>N</v>
      </c>
      <c r="X97" s="170">
        <f t="shared" si="28"/>
        <v>1</v>
      </c>
      <c r="Y97" s="64">
        <f t="shared" si="29"/>
        <v>23.298400000000001</v>
      </c>
      <c r="Z97" s="64">
        <f t="shared" si="30"/>
        <v>1.6500000000000001E-2</v>
      </c>
      <c r="AA97" s="64">
        <f t="shared" si="31"/>
        <v>23.2819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32"/>
        <v>0184-22</v>
      </c>
      <c r="AE97" s="87" t="str">
        <f t="shared" si="33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97" s="84" t="str">
        <f t="shared" si="34"/>
        <v>"C:\Program Files (x86)\AstroGrep\AstroGrep.exe" /spath="%USERPROFILE%\AppData\Local\Temp\OnboardLogs" /stypes="app*4045*20170122*" /stext=" 22:.+((SYSTEM_STATE.+slice.+state.+changed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8" t="str">
        <f t="shared" si="36"/>
        <v>"%USERPROFILE%\Documents\GitHub\eaglep3\Utilities\RefineRTDCRunTimes.py" --tripid 184-22 --locoid 4045 --swversion DE.1.0.8.0 --startMP 204:232984 --initTime 2017-01-22T14:39:00 --startdatetime 2017-01-22T14:56:38 --delay 1 --endMP 204:165 --enddatetime 2017-01-22T15:39:32 --enforcementcount 1 &gt;&gt;C:\Users\stu\Documents\GitHub\eaglep3-reporting\EC\2017-01-22-refined-times.txt</v>
      </c>
      <c r="AI97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{"issue":{"subject":"","project_id":79,"tracker_id":40,"status_id":1,"priority_id":2,"assigned_to_id":23,"start_date":"2017-01-22","description":"","custom_fields":[{"id":1,"name":"Subdivision","value":"EC"},{"id":4,"name":"Milepost","value":"0.0165"},{"id":17,"name":"Train ID","value":"184-22"},{"id":16,"name":"Locomotive ID","value":"4045"},{"id":130,"name":"Impact","value":""},{"id":150,"name":"Time of Event (Mountain Time)","value":"15:39:32"},{"id":151,"name":"Denver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38"/>
        <v>start /low /b %USERPROFILE%\Documents\GitHub\eaglep3\Utilities\DownloadLogsFromS3.py --loco 4045 --day 2017-01-22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567</v>
      </c>
      <c r="B98" s="7">
        <v>4044</v>
      </c>
      <c r="C98" s="22" t="s">
        <v>196</v>
      </c>
      <c r="D98" s="22" t="s">
        <v>419</v>
      </c>
      <c r="E98" s="13">
        <v>42757.591134259259</v>
      </c>
      <c r="F98" s="13">
        <v>42757.593969907408</v>
      </c>
      <c r="G98" s="7">
        <v>1</v>
      </c>
      <c r="H98" s="22" t="s">
        <v>749</v>
      </c>
      <c r="I98" s="13">
        <v>42757.620798611111</v>
      </c>
      <c r="J98" s="7">
        <v>1</v>
      </c>
      <c r="K98" s="105" t="str">
        <f t="shared" si="21"/>
        <v>4043/4044</v>
      </c>
      <c r="L98" s="22" t="str">
        <f>VLOOKUP(A98,'Trips&amp;Operators'!$C$1:$G$99999,5,FALSE)</f>
        <v>KILLION DAVID</v>
      </c>
      <c r="M98" s="6">
        <f t="shared" si="22"/>
        <v>2.6828703703358769E-2</v>
      </c>
      <c r="N98" s="7">
        <f t="shared" si="23"/>
        <v>38.633333332836628</v>
      </c>
      <c r="O98" s="7"/>
      <c r="P98" s="7"/>
      <c r="Q98" s="23"/>
      <c r="R98" s="23"/>
      <c r="S98" s="32">
        <f t="shared" si="24"/>
        <v>1</v>
      </c>
      <c r="T98" s="47" t="str">
        <f t="shared" si="25"/>
        <v>NorthBound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26"/>
        <v>https://d0f6bd738d7f1b3e5a7ca70fe4ff75f0.us-east-1.aws.found.io/app/kibana#/discover/Steve-Slow-Train-Analysis-(2080s-and-2083s)?_g=(refreshInterval:(display:Off,pause:!f,section:0,value:0),time:(from:'2017-01-22T13:11:14-0700',mode:absolute,to:'2017-01-22T15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8" s="49" t="str">
        <f t="shared" si="27"/>
        <v>N</v>
      </c>
      <c r="X98" s="170">
        <f t="shared" si="28"/>
        <v>1</v>
      </c>
      <c r="Y98" s="64">
        <f t="shared" si="29"/>
        <v>4.7100000000000003E-2</v>
      </c>
      <c r="Z98" s="64">
        <f t="shared" si="30"/>
        <v>23.33</v>
      </c>
      <c r="AA98" s="64">
        <f t="shared" si="31"/>
        <v>23.282899999999998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32"/>
        <v>0185-22</v>
      </c>
      <c r="AE98" s="87" t="str">
        <f t="shared" si="33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98" s="84" t="str">
        <f t="shared" si="34"/>
        <v>"C:\Program Files (x86)\AstroGrep\AstroGrep.exe" /spath="%USERPROFILE%\AppData\Local\Temp\OnboardLogs" /stypes="app*4044*20170122*" /stext=" 21:.+((SYSTEM_STATE.+slice.+state.+changed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8" t="str">
        <f t="shared" si="36"/>
        <v>"%USERPROFILE%\Documents\GitHub\eaglep3\Utilities\RefineRTDCRunTimes.py" --tripid 185-22 --locoid 4044 --swversion DE.1.0.8.0 --startMP 204:471 --initTime 2017-01-22T14:11:14 --startdatetime 2017-01-22T14:15:19 --delay 1 --endMP 204:233300 --enddatetime 2017-01-22T14:53:57 --enforcementcount 1 &gt;&gt;C:\Users\stu\Documents\GitHub\eaglep3-reporting\EC\2017-01-22-refined-times.txt</v>
      </c>
      <c r="AI98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{"issue":{"subject":"","project_id":79,"tracker_id":40,"status_id":1,"priority_id":2,"assigned_to_id":23,"start_date":"2017-01-22","description":"","custom_fields":[{"id":1,"name":"Subdivision","value":"EC"},{"id":4,"name":"Milepost","value":"23.33"},{"id":17,"name":"Train ID","value":"185-22"},{"id":16,"name":"Locomotive ID","value":"4044"},{"id":130,"name":"Impact","value":""},{"id":150,"name":"Time of Event (Mountain Time)","value":"14:53:57"},{"id":151,"name":"Denver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38"/>
        <v>start /low /b %USERPROFILE%\Documents\GitHub\eaglep3\Utilities\DownloadLogsFromS3.py --loco 4044 --day 2017-01-22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574</v>
      </c>
      <c r="B99" s="7">
        <v>4043</v>
      </c>
      <c r="C99" s="22" t="s">
        <v>196</v>
      </c>
      <c r="D99" s="22" t="s">
        <v>330</v>
      </c>
      <c r="E99" s="13">
        <v>42757.627696759257</v>
      </c>
      <c r="F99" s="13">
        <v>42757.633263888885</v>
      </c>
      <c r="G99" s="7">
        <v>1</v>
      </c>
      <c r="H99" s="22" t="s">
        <v>221</v>
      </c>
      <c r="I99" s="13">
        <v>42757.661296296297</v>
      </c>
      <c r="J99" s="7">
        <v>1</v>
      </c>
      <c r="K99" s="105" t="str">
        <f t="shared" si="21"/>
        <v>4043/4044</v>
      </c>
      <c r="L99" s="22" t="str">
        <f>VLOOKUP(A99,'Trips&amp;Operators'!$C$1:$G$99999,5,FALSE)</f>
        <v>KILLION DAVID</v>
      </c>
      <c r="M99" s="6">
        <f t="shared" si="22"/>
        <v>2.8032407411956228E-2</v>
      </c>
      <c r="N99" s="7">
        <f t="shared" si="23"/>
        <v>40.366666673216969</v>
      </c>
      <c r="O99" s="7"/>
      <c r="P99" s="7"/>
      <c r="Q99" s="23"/>
      <c r="R99" s="23"/>
      <c r="S99" s="32">
        <f t="shared" si="24"/>
        <v>1</v>
      </c>
      <c r="T99" s="47" t="str">
        <f t="shared" si="25"/>
        <v>Southbound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26"/>
        <v>https://d0f6bd738d7f1b3e5a7ca70fe4ff75f0.us-east-1.aws.found.io/app/kibana#/discover/Steve-Slow-Train-Analysis-(2080s-and-2083s)?_g=(refreshInterval:(display:Off,pause:!f,section:0,value:0),time:(from:'2017-01-22T14:03:53-0700',mode:absolute,to:'2017-01-22T16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9" s="49" t="str">
        <f t="shared" si="27"/>
        <v>N</v>
      </c>
      <c r="X99" s="170">
        <f t="shared" si="28"/>
        <v>1</v>
      </c>
      <c r="Y99" s="64">
        <f t="shared" si="29"/>
        <v>23.297899999999998</v>
      </c>
      <c r="Z99" s="64">
        <f t="shared" si="30"/>
        <v>1.52E-2</v>
      </c>
      <c r="AA99" s="64">
        <f t="shared" si="31"/>
        <v>23.282699999999998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32"/>
        <v>0186-22</v>
      </c>
      <c r="AE99" s="87" t="str">
        <f t="shared" si="33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99" s="84" t="str">
        <f t="shared" si="34"/>
        <v>"C:\Program Files (x86)\AstroGrep\AstroGrep.exe" /spath="%USERPROFILE%\AppData\Local\Temp\OnboardLogs" /stypes="app*4043*20170122*"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8" t="str">
        <f t="shared" si="36"/>
        <v>"%USERPROFILE%\Documents\GitHub\eaglep3\Utilities\RefineRTDCRunTimes.py" --tripid 186-22 --locoid 4043 --swversion DE.1.0.8.0 --startMP 204:232979 --initTime 2017-01-22T15:03:53 --startdatetime 2017-01-22T15:11:54 --delay 1 --endMP 204:152 --enddatetime 2017-01-22T15:52:16 --enforcementcount 1 &gt;&gt;C:\Users\stu\Documents\GitHub\eaglep3-reporting\EC\2017-01-22-refined-times.txt</v>
      </c>
      <c r="AI99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{"issue":{"subject":"","project_id":79,"tracker_id":40,"status_id":1,"priority_id":2,"assigned_to_id":23,"start_date":"2017-01-22","description":"","custom_fields":[{"id":1,"name":"Subdivision","value":"EC"},{"id":4,"name":"Milepost","value":"0.0152"},{"id":17,"name":"Train ID","value":"186-22"},{"id":16,"name":"Locomotive ID","value":"4043"},{"id":130,"name":"Impact","value":""},{"id":150,"name":"Time of Event (Mountain Time)","value":"15:52:16"},{"id":151,"name":"Denver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38"/>
        <v>start /low /b %USERPROFILE%\Documents\GitHub\eaglep3\Utilities\DownloadLogsFromS3.py --loco 4043 --day 2017-01-22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2017-01-22-UncaughtWiMAX.txt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444</v>
      </c>
      <c r="B100" s="7">
        <v>4038</v>
      </c>
      <c r="C100" s="22" t="s">
        <v>196</v>
      </c>
      <c r="D100" s="22" t="s">
        <v>409</v>
      </c>
      <c r="E100" s="13">
        <v>42757.601539351854</v>
      </c>
      <c r="F100" s="13">
        <v>42757.604583333334</v>
      </c>
      <c r="G100" s="7">
        <v>1</v>
      </c>
      <c r="H100" s="22" t="s">
        <v>750</v>
      </c>
      <c r="I100" s="13">
        <v>42757.632060185184</v>
      </c>
      <c r="J100" s="7">
        <v>1</v>
      </c>
      <c r="K100" s="105" t="str">
        <f t="shared" si="21"/>
        <v>4037/4038</v>
      </c>
      <c r="L100" s="22" t="str">
        <f>VLOOKUP(A100,'Trips&amp;Operators'!$C$1:$G$99999,5,FALSE)</f>
        <v>STEWART MICHAEL</v>
      </c>
      <c r="M100" s="6">
        <f t="shared" si="22"/>
        <v>2.7476851850224193E-2</v>
      </c>
      <c r="N100" s="7">
        <f t="shared" si="23"/>
        <v>39.566666664322838</v>
      </c>
      <c r="O100" s="7"/>
      <c r="P100" s="7"/>
      <c r="Q100" s="23"/>
      <c r="R100" s="23"/>
      <c r="S100" s="32">
        <f t="shared" si="24"/>
        <v>1</v>
      </c>
      <c r="T100" s="47" t="str">
        <f t="shared" si="25"/>
        <v>NorthBound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26"/>
        <v>https://d0f6bd738d7f1b3e5a7ca70fe4ff75f0.us-east-1.aws.found.io/app/kibana#/discover/Steve-Slow-Train-Analysis-(2080s-and-2083s)?_g=(refreshInterval:(display:Off,pause:!f,section:0,value:0),time:(from:'2017-01-22T13:26:13-0700',mode:absolute,to:'2017-01-22T16:10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00" s="49" t="str">
        <f t="shared" si="27"/>
        <v>N</v>
      </c>
      <c r="X100" s="170">
        <f t="shared" si="28"/>
        <v>1</v>
      </c>
      <c r="Y100" s="64">
        <f t="shared" si="29"/>
        <v>4.7500000000000001E-2</v>
      </c>
      <c r="Z100" s="64">
        <f t="shared" si="30"/>
        <v>23.3278</v>
      </c>
      <c r="AA100" s="64">
        <f t="shared" si="31"/>
        <v>23.2803</v>
      </c>
      <c r="AB100" s="61" t="str">
        <f>VLOOKUP(A100,Enforcements!$C$7:$K$16,8,0)</f>
        <v>Speed (6)</v>
      </c>
      <c r="AC100" s="57" t="str">
        <f>VLOOKUP(A100,Enforcements!$C$7:$E$16,3,0)</f>
        <v>PERMANENT SPEED RESTRICTION</v>
      </c>
      <c r="AD100" s="58" t="str">
        <f t="shared" si="32"/>
        <v>0187-22</v>
      </c>
      <c r="AE100" s="87" t="str">
        <f t="shared" si="33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100" s="84" t="str">
        <f t="shared" si="34"/>
        <v>"C:\Program Files (x86)\AstroGrep\AstroGrep.exe" /spath="%USERPROFILE%\AppData\Local\Temp\OnboardLogs" /stypes="app*4038*20170122*" /stext=" 22:.+((SYSTEM_STATE.+slice.+state.+changed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8" t="str">
        <f t="shared" si="36"/>
        <v>"%USERPROFILE%\Documents\GitHub\eaglep3\Utilities\RefineRTDCRunTimes.py" --tripid 187-22 --locoid 4038 --swversion DE.1.0.8.0 --startMP 204:475 --initTime 2017-01-22T14:26:13 --startdatetime 2017-01-22T14:30:36 --delay 1 --endMP 204:233278 --enddatetime 2017-01-22T15:10:10 --enforcementcount 1 &gt;&gt;C:\Users\stu\Documents\GitHub\eaglep3-reporting\EC\2017-01-22-refined-times.txt</v>
      </c>
      <c r="AI100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{"issue":{"subject":"","project_id":79,"tracker_id":40,"status_id":1,"priority_id":2,"assigned_to_id":23,"start_date":"2017-01-22","description":"","custom_fields":[{"id":1,"name":"Subdivision","value":"EC"},{"id":4,"name":"Milepost","value":"23.3278"},{"id":17,"name":"Train ID","value":"187-22"},{"id":16,"name":"Locomotive ID","value":"4038"},{"id":130,"name":"Impact","value":""},{"id":150,"name":"Time of Event (Mountain Time)","value":"15:10:10"},{"id":151,"name":"Denver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38"/>
        <v>start /low /b %USERPROFILE%\Documents\GitHub\eaglep3\Utilities\DownloadLogsFromS3.py --loco 4038 --day 2017-01-22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"%USERPROFILE%\AppData\Local\Temp\OnboardLogs"\RTDC4038\*4038*20170122* | grep -SE "(Enforcement Action)|(\[TIMEOUT)|(CHR.+\|PRM\|1\|D.+(SWITCH|SIGNAL).+UNKNOWN)" - &gt;&gt; 2017-01-22-UncaughtWiMAX.txt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577</v>
      </c>
      <c r="B101" s="7">
        <v>4037</v>
      </c>
      <c r="C101" s="22" t="s">
        <v>196</v>
      </c>
      <c r="D101" s="22" t="s">
        <v>407</v>
      </c>
      <c r="E101" s="13">
        <v>42757.640532407408</v>
      </c>
      <c r="F101" s="13">
        <v>42757.643541666665</v>
      </c>
      <c r="G101" s="7">
        <v>1</v>
      </c>
      <c r="H101" s="22" t="s">
        <v>331</v>
      </c>
      <c r="I101" s="13">
        <v>42757.671712962961</v>
      </c>
      <c r="J101" s="7">
        <v>1</v>
      </c>
      <c r="K101" s="105" t="str">
        <f t="shared" si="21"/>
        <v>4037/4038</v>
      </c>
      <c r="L101" s="22" t="str">
        <f>VLOOKUP(A101,'Trips&amp;Operators'!$C$1:$G$99999,5,FALSE)</f>
        <v>STEWART MICHAEL</v>
      </c>
      <c r="M101" s="6">
        <f t="shared" si="22"/>
        <v>2.8171296296932269E-2</v>
      </c>
      <c r="N101" s="7">
        <f t="shared" si="23"/>
        <v>40.566666667582467</v>
      </c>
      <c r="O101" s="7"/>
      <c r="P101" s="7"/>
      <c r="Q101" s="23"/>
      <c r="R101" s="23"/>
      <c r="S101" s="32">
        <f t="shared" si="24"/>
        <v>1</v>
      </c>
      <c r="T101" s="47" t="str">
        <f t="shared" si="25"/>
        <v>Southbound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26"/>
        <v>https://d0f6bd738d7f1b3e5a7ca70fe4ff75f0.us-east-1.aws.found.io/app/kibana#/discover/Steve-Slow-Train-Analysis-(2080s-and-2083s)?_g=(refreshInterval:(display:Off,pause:!f,section:0,value:0),time:(from:'2017-01-22T14:22:22-0700',mode:absolute,to:'2017-01-22T17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01" s="49" t="str">
        <f t="shared" si="27"/>
        <v>N</v>
      </c>
      <c r="X101" s="170">
        <f t="shared" si="28"/>
        <v>1</v>
      </c>
      <c r="Y101" s="64">
        <f t="shared" si="29"/>
        <v>23.296500000000002</v>
      </c>
      <c r="Z101" s="64">
        <f t="shared" si="30"/>
        <v>1.67E-2</v>
      </c>
      <c r="AA101" s="64">
        <f t="shared" si="31"/>
        <v>23.279800000000002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32"/>
        <v>0188-22</v>
      </c>
      <c r="AE101" s="87" t="str">
        <f t="shared" si="33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101" s="84" t="str">
        <f t="shared" si="34"/>
        <v>"C:\Program Files (x86)\AstroGrep\AstroGrep.exe" /spath="%USERPROFILE%\AppData\Local\Temp\OnboardLogs" /stypes="app*4037*20170122*" /stext=" 23:.+((SYSTEM_STATE.+slice.+state.+changed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8" t="str">
        <f t="shared" si="36"/>
        <v>"%USERPROFILE%\Documents\GitHub\eaglep3\Utilities\RefineRTDCRunTimes.py" --tripid 188-22 --locoid 4037 --swversion DE.1.0.8.0 --startMP 204:232965 --initTime 2017-01-22T15:22:22 --startdatetime 2017-01-22T15:26:42 --delay 1 --endMP 204:167 --enddatetime 2017-01-22T16:07:16 --enforcementcount 1 &gt;&gt;C:\Users\stu\Documents\GitHub\eaglep3-reporting\EC\2017-01-22-refined-times.txt</v>
      </c>
      <c r="AI101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{"issue":{"subject":"","project_id":79,"tracker_id":40,"status_id":1,"priority_id":2,"assigned_to_id":23,"start_date":"2017-01-22","description":"","custom_fields":[{"id":1,"name":"Subdivision","value":"EC"},{"id":4,"name":"Milepost","value":"0.0167"},{"id":17,"name":"Train ID","value":"188-22"},{"id":16,"name":"Locomotive ID","value":"4037"},{"id":130,"name":"Impact","value":""},{"id":150,"name":"Time of Event (Mountain Time)","value":"16:07:16"},{"id":151,"name":"Denver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38"/>
        <v>start /low /b %USERPROFILE%\Documents\GitHub\eaglep3\Utilities\DownloadLogsFromS3.py --loco 4037 --day 2017-01-22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572</v>
      </c>
      <c r="B102" s="7">
        <v>4027</v>
      </c>
      <c r="C102" s="22" t="s">
        <v>196</v>
      </c>
      <c r="D102" s="22" t="s">
        <v>264</v>
      </c>
      <c r="E102" s="13">
        <v>42757.613611111112</v>
      </c>
      <c r="F102" s="13">
        <v>42757.617002314815</v>
      </c>
      <c r="G102" s="7">
        <v>1</v>
      </c>
      <c r="H102" s="22" t="s">
        <v>751</v>
      </c>
      <c r="I102" s="13">
        <v>42757.646782407406</v>
      </c>
      <c r="J102" s="7">
        <v>1</v>
      </c>
      <c r="K102" s="105" t="str">
        <f t="shared" si="21"/>
        <v>4027/4028</v>
      </c>
      <c r="L102" s="22" t="str">
        <f>VLOOKUP(A102,'Trips&amp;Operators'!$C$1:$G$99999,5,FALSE)</f>
        <v>LOPES KIMBERLY</v>
      </c>
      <c r="M102" s="6">
        <f t="shared" si="22"/>
        <v>2.9780092590954155E-2</v>
      </c>
      <c r="N102" s="7">
        <f t="shared" si="23"/>
        <v>42.883333330973983</v>
      </c>
      <c r="O102" s="7"/>
      <c r="P102" s="7"/>
      <c r="Q102" s="23"/>
      <c r="R102" s="23"/>
      <c r="S102" s="32">
        <f t="shared" si="24"/>
        <v>1</v>
      </c>
      <c r="T102" s="47" t="str">
        <f t="shared" si="25"/>
        <v>NorthBound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26"/>
        <v>https://d0f6bd738d7f1b3e5a7ca70fe4ff75f0.us-east-1.aws.found.io/app/kibana#/discover/Steve-Slow-Train-Analysis-(2080s-and-2083s)?_g=(refreshInterval:(display:Off,pause:!f,section:0,value:0),time:(from:'2017-01-22T13:43:36-0700',mode:absolute,to:'2017-01-22T16:31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2" s="49" t="str">
        <f t="shared" si="27"/>
        <v>N</v>
      </c>
      <c r="X102" s="170">
        <f t="shared" si="28"/>
        <v>1</v>
      </c>
      <c r="Y102" s="64">
        <f t="shared" si="29"/>
        <v>4.3999999999999997E-2</v>
      </c>
      <c r="Z102" s="64">
        <f t="shared" si="30"/>
        <v>23.331199999999999</v>
      </c>
      <c r="AA102" s="64">
        <f t="shared" si="31"/>
        <v>23.287199999999999</v>
      </c>
      <c r="AB102" s="61" t="e">
        <f>VLOOKUP(A102,Enforcements!$C$7:$K$16,8,0)</f>
        <v>#N/A</v>
      </c>
      <c r="AC102" s="57" t="e">
        <f>VLOOKUP(A102,Enforcements!$C$7:$E$16,3,0)</f>
        <v>#N/A</v>
      </c>
      <c r="AD102" s="58" t="str">
        <f t="shared" si="32"/>
        <v>0189-22</v>
      </c>
      <c r="AE102" s="87" t="str">
        <f t="shared" si="33"/>
        <v>aws s3 cp s3://rtdc.mdm.uploadarchive.raw/RTDC4027/ "%USERPROFILE%\AppData\Local\Temp\OnboardLogs"\RTDC4027\2017-01-22 --exclude "*" --recursive --include "*20170122*" &amp; "%USERPROFILE%\Documents\GitHub\mrs-test-scripts\Headless Mode &amp; Sideloading\WalkAndUnGZ.bat" "%USERPROFILE%\AppData\Local\Temp\OnboardLogs"\RTDC4027\2017-01-22 &amp; 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</v>
      </c>
      <c r="AF102" s="84" t="str">
        <f t="shared" si="34"/>
        <v>"C:\Program Files (x86)\AstroGrep\AstroGrep.exe" /spath="%USERPROFILE%\AppData\Local\Temp\OnboardLogs" /stypes="app*4027*20170122*" /stext=" 22:.+((SYSTEM_STATE.+slice.+state.+changed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8" t="str">
        <f t="shared" si="36"/>
        <v>"%USERPROFILE%\Documents\GitHub\eaglep3\Utilities\RefineRTDCRunTimes.py" --tripid 189-22 --locoid 4027 --swversion DE.1.0.8.0 --startMP 204:440 --initTime 2017-01-22T14:43:36 --startdatetime 2017-01-22T14:48:29 --delay 1 --endMP 204:233312 --enddatetime 2017-01-22T15:31:22 --enforcementcount 1 &gt;&gt;C:\Users\stu\Documents\GitHub\eaglep3-reporting\EC\2017-01-22-refined-times.txt</v>
      </c>
      <c r="AI102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{"issue":{"subject":"","project_id":79,"tracker_id":40,"status_id":1,"priority_id":2,"assigned_to_id":23,"start_date":"2017-01-22","description":"","custom_fields":[{"id":1,"name":"Subdivision","value":"EC"},{"id":4,"name":"Milepost","value":"23.3312"},{"id":17,"name":"Train ID","value":"189-22"},{"id":16,"name":"Locomotive ID","value":"4027"},{"id":130,"name":"Impact","value":""},{"id":150,"name":"Time of Event (Mountain Time)","value":"15:31:22"},{"id":151,"name":"Denver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38"/>
        <v>start /low /b %USERPROFILE%\Documents\GitHub\eaglep3\Utilities\DownloadLogsFromS3.py --loco 4027 --day 2017-01-22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"%USERPROFILE%\AppData\Local\Temp\OnboardLogs"\RTDC4027\*4027*20170122* | grep -SE "(Enforcement Action)|(\[TIMEOUT)|(CHR.+\|PRM\|1\|D.+(SWITCH|SIGNAL).+UNKNOWN)" - &gt;&gt; 2017-01-22-UncaughtWiMAX.txt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579</v>
      </c>
      <c r="B103" s="7">
        <v>4028</v>
      </c>
      <c r="C103" s="22" t="s">
        <v>196</v>
      </c>
      <c r="D103" s="22" t="s">
        <v>279</v>
      </c>
      <c r="E103" s="13">
        <v>42757.648032407407</v>
      </c>
      <c r="F103" s="13">
        <v>42757.653622685182</v>
      </c>
      <c r="G103" s="7">
        <v>1</v>
      </c>
      <c r="H103" s="22" t="s">
        <v>242</v>
      </c>
      <c r="I103" s="13">
        <v>42757.682291666664</v>
      </c>
      <c r="J103" s="7">
        <v>1</v>
      </c>
      <c r="K103" s="105" t="str">
        <f t="shared" si="21"/>
        <v>4027/4028</v>
      </c>
      <c r="L103" s="22" t="str">
        <f>VLOOKUP(A103,'Trips&amp;Operators'!$C$1:$G$99999,5,FALSE)</f>
        <v>LOPES KIMBERLY</v>
      </c>
      <c r="M103" s="6">
        <f t="shared" si="22"/>
        <v>2.8668981482042E-2</v>
      </c>
      <c r="N103" s="7">
        <f t="shared" si="23"/>
        <v>41.28333333414048</v>
      </c>
      <c r="O103" s="7"/>
      <c r="P103" s="7"/>
      <c r="Q103" s="23"/>
      <c r="R103" s="23"/>
      <c r="S103" s="32">
        <f t="shared" si="24"/>
        <v>1</v>
      </c>
      <c r="T103" s="47" t="str">
        <f t="shared" si="25"/>
        <v>Southbound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26"/>
        <v>https://d0f6bd738d7f1b3e5a7ca70fe4ff75f0.us-east-1.aws.found.io/app/kibana#/discover/Steve-Slow-Train-Analysis-(2080s-and-2083s)?_g=(refreshInterval:(display:Off,pause:!f,section:0,value:0),time:(from:'2017-01-22T14:33:10-0700',mode:absolute,to:'2017-01-22T17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49" t="str">
        <f t="shared" si="27"/>
        <v>N</v>
      </c>
      <c r="X103" s="170">
        <f t="shared" si="28"/>
        <v>1</v>
      </c>
      <c r="Y103" s="64">
        <f t="shared" si="29"/>
        <v>23.299600000000002</v>
      </c>
      <c r="Z103" s="64">
        <f t="shared" si="30"/>
        <v>1.54E-2</v>
      </c>
      <c r="AA103" s="64">
        <f t="shared" si="31"/>
        <v>23.284200000000002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32"/>
        <v>0190-22</v>
      </c>
      <c r="AE103" s="87" t="str">
        <f t="shared" si="33"/>
        <v>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 &amp; 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</v>
      </c>
      <c r="AF103" s="84" t="str">
        <f t="shared" si="34"/>
        <v>"C:\Program Files (x86)\AstroGrep\AstroGrep.exe" /spath="%USERPROFILE%\AppData\Local\Temp\OnboardLogs" /stypes="app*4028*20170122*" /stext=" 23:.+((SYSTEM_STATE.+slice.+state.+changed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8" t="str">
        <f t="shared" si="36"/>
        <v>"%USERPROFILE%\Documents\GitHub\eaglep3\Utilities\RefineRTDCRunTimes.py" --tripid 190-22 --locoid 4028 --swversion DE.1.0.8.0 --startMP 204:232996 --initTime 2017-01-22T15:33:10 --startdatetime 2017-01-22T15:41:13 --delay 1 --endMP 204:154 --enddatetime 2017-01-22T16:22:30 --enforcementcount 1 &gt;&gt;C:\Users\stu\Documents\GitHub\eaglep3-reporting\EC\2017-01-22-refined-times.txt</v>
      </c>
      <c r="AI103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{"issue":{"subject":"","project_id":79,"tracker_id":40,"status_id":1,"priority_id":2,"assigned_to_id":23,"start_date":"2017-01-22","description":"","custom_fields":[{"id":1,"name":"Subdivision","value":"EC"},{"id":4,"name":"Milepost","value":"0.0154"},{"id":17,"name":"Train ID","value":"190-22"},{"id":16,"name":"Locomotive ID","value":"4028"},{"id":130,"name":"Impact","value":""},{"id":150,"name":"Time of Event (Mountain Time)","value":"16:22:30"},{"id":151,"name":"Denver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38"/>
        <v>start /low /b %USERPROFILE%\Documents\GitHub\eaglep3\Utilities\DownloadLogsFromS3.py --loco 4028 --day 2017-01-22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"%USERPROFILE%\AppData\Local\Temp\OnboardLogs"\RTDC4028\*4028*20170122* | grep -SE "(Enforcement Action)|(\[TIMEOUT)|(CHR.+\|PRM\|1\|D.+(SWITCH|SIGNAL).+UNKNOWN)" - &gt;&gt; 2017-01-22-UncaughtWiMAX.txt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4" t="s">
        <v>573</v>
      </c>
      <c r="B104" s="7">
        <v>4007</v>
      </c>
      <c r="C104" s="22" t="s">
        <v>196</v>
      </c>
      <c r="D104" s="22" t="s">
        <v>708</v>
      </c>
      <c r="E104" s="13">
        <v>42757.621493055558</v>
      </c>
      <c r="F104" s="13">
        <v>42757.6252662037</v>
      </c>
      <c r="G104" s="7">
        <v>1</v>
      </c>
      <c r="H104" s="22" t="s">
        <v>755</v>
      </c>
      <c r="I104" s="13">
        <v>42757.651377314818</v>
      </c>
      <c r="J104" s="7">
        <v>1</v>
      </c>
      <c r="K104" s="105" t="str">
        <f t="shared" si="21"/>
        <v>4007/4008</v>
      </c>
      <c r="L104" s="22" t="str">
        <f>VLOOKUP(A104,'Trips&amp;Operators'!$C$1:$G$99999,5,FALSE)</f>
        <v>LEVIN SCOTT</v>
      </c>
      <c r="M104" s="6">
        <f t="shared" si="22"/>
        <v>2.6111111117643304E-2</v>
      </c>
      <c r="N104" s="7">
        <f t="shared" si="23"/>
        <v>37.600000009406358</v>
      </c>
      <c r="O104" s="7"/>
      <c r="P104" s="7"/>
      <c r="Q104" s="23"/>
      <c r="R104" s="23"/>
      <c r="S104" s="32">
        <f t="shared" si="24"/>
        <v>1</v>
      </c>
      <c r="T104" s="47" t="str">
        <f t="shared" si="25"/>
        <v>NorthBound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26"/>
        <v>https://d0f6bd738d7f1b3e5a7ca70fe4ff75f0.us-east-1.aws.found.io/app/kibana#/discover/Steve-Slow-Train-Analysis-(2080s-and-2083s)?_g=(refreshInterval:(display:Off,pause:!f,section:0,value:0),time:(from:'2017-01-22T13:54:57-0700',mode:absolute,to:'2017-01-22T16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4" s="49" t="str">
        <f t="shared" si="27"/>
        <v>N</v>
      </c>
      <c r="X104" s="170">
        <f t="shared" si="28"/>
        <v>1</v>
      </c>
      <c r="Y104" s="64">
        <f t="shared" si="29"/>
        <v>4.2200000000000001E-2</v>
      </c>
      <c r="Z104" s="64">
        <f t="shared" si="30"/>
        <v>23.3368</v>
      </c>
      <c r="AA104" s="64">
        <f t="shared" si="31"/>
        <v>23.294599999999999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32"/>
        <v>0191-22</v>
      </c>
      <c r="AE104" s="87" t="str">
        <f t="shared" si="33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104" s="84" t="str">
        <f t="shared" si="34"/>
        <v>"C:\Program Files (x86)\AstroGrep\AstroGrep.exe" /spath="%USERPROFILE%\AppData\Local\Temp\OnboardLogs" /stypes="app*4007*20170122*" /stext=" 22:.+((SYSTEM_STATE.+slice.+state.+changed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8" t="str">
        <f t="shared" si="36"/>
        <v>"%USERPROFILE%\Documents\GitHub\eaglep3\Utilities\RefineRTDCRunTimes.py" --tripid 191-22 --locoid 4007 --swversion DE.1.0.8.0 --startMP 204:422 --initTime 2017-01-22T14:54:57 --startdatetime 2017-01-22T15:00:23 --delay 1 --endMP 204:233368 --enddatetime 2017-01-22T15:37:59 --enforcementcount 1 &gt;&gt;C:\Users\stu\Documents\GitHub\eaglep3-reporting\EC\2017-01-22-refined-times.txt</v>
      </c>
      <c r="AI104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{"issue":{"subject":"","project_id":79,"tracker_id":40,"status_id":1,"priority_id":2,"assigned_to_id":23,"start_date":"2017-01-22","description":"","custom_fields":[{"id":1,"name":"Subdivision","value":"EC"},{"id":4,"name":"Milepost","value":"23.3368"},{"id":17,"name":"Train ID","value":"191-22"},{"id":16,"name":"Locomotive ID","value":"4007"},{"id":130,"name":"Impact","value":""},{"id":150,"name":"Time of Event (Mountain Time)","value":"15:37:59"},{"id":151,"name":"Denver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38"/>
        <v>start /low /b %USERPROFILE%\Documents\GitHub\eaglep3\Utilities\DownloadLogsFromS3.py --loco 4007 --day 2017-01-22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2017-01-22-UncaughtWiMAX.txt</v>
      </c>
    </row>
    <row r="105" spans="1:91" s="21" customFormat="1" x14ac:dyDescent="0.25">
      <c r="A105" s="34" t="s">
        <v>582</v>
      </c>
      <c r="B105" s="7">
        <v>4008</v>
      </c>
      <c r="C105" s="22" t="s">
        <v>196</v>
      </c>
      <c r="D105" s="22" t="s">
        <v>332</v>
      </c>
      <c r="E105" s="13">
        <v>42757.660011574073</v>
      </c>
      <c r="F105" s="13">
        <v>42757.664085648146</v>
      </c>
      <c r="G105" s="7">
        <v>1</v>
      </c>
      <c r="H105" s="22" t="s">
        <v>239</v>
      </c>
      <c r="I105" s="13">
        <v>42757.690486111111</v>
      </c>
      <c r="J105" s="7">
        <v>1</v>
      </c>
      <c r="K105" s="105" t="str">
        <f t="shared" si="21"/>
        <v>4007/4008</v>
      </c>
      <c r="L105" s="22" t="str">
        <f>VLOOKUP(A105,'Trips&amp;Operators'!$C$1:$G$99999,5,FALSE)</f>
        <v>LEVIN SCOTT</v>
      </c>
      <c r="M105" s="6">
        <f t="shared" si="22"/>
        <v>2.6400462964375038E-2</v>
      </c>
      <c r="N105" s="7">
        <f t="shared" si="23"/>
        <v>38.016666668700054</v>
      </c>
      <c r="O105" s="7"/>
      <c r="P105" s="7"/>
      <c r="Q105" s="23"/>
      <c r="R105" s="23"/>
      <c r="S105" s="32">
        <f t="shared" si="24"/>
        <v>1</v>
      </c>
      <c r="T105" s="47" t="str">
        <f t="shared" si="25"/>
        <v>Southbound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26"/>
        <v>https://d0f6bd738d7f1b3e5a7ca70fe4ff75f0.us-east-1.aws.found.io/app/kibana#/discover/Steve-Slow-Train-Analysis-(2080s-and-2083s)?_g=(refreshInterval:(display:Off,pause:!f,section:0,value:0),time:(from:'2017-01-22T14:50:25-0700',mode:absolute,to:'2017-01-22T17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5" s="49" t="str">
        <f t="shared" si="27"/>
        <v>N</v>
      </c>
      <c r="X105" s="170">
        <f t="shared" si="28"/>
        <v>1</v>
      </c>
      <c r="Y105" s="64">
        <f t="shared" si="29"/>
        <v>23.3019</v>
      </c>
      <c r="Z105" s="64">
        <f t="shared" si="30"/>
        <v>1.38E-2</v>
      </c>
      <c r="AA105" s="64">
        <f t="shared" si="31"/>
        <v>23.2881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32"/>
        <v>0192-22</v>
      </c>
      <c r="AE105" s="87" t="str">
        <f t="shared" si="33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105" s="84" t="str">
        <f t="shared" si="34"/>
        <v>"C:\Program Files (x86)\AstroGrep\AstroGrep.exe" /spath="%USERPROFILE%\AppData\Local\Temp\OnboardLogs" /stypes="app*4008*20170122*" /stext=" 23:.+((SYSTEM_STATE.+slice.+state.+changed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8" t="str">
        <f t="shared" si="36"/>
        <v>"%USERPROFILE%\Documents\GitHub\eaglep3\Utilities\RefineRTDCRunTimes.py" --tripid 192-22 --locoid 4008 --swversion DE.1.0.8.0 --startMP 204:233019 --initTime 2017-01-22T15:50:25 --startdatetime 2017-01-22T15:56:17 --delay 1 --endMP 204:138 --enddatetime 2017-01-22T16:34:18 --enforcementcount 1 &gt;&gt;C:\Users\stu\Documents\GitHub\eaglep3-reporting\EC\2017-01-22-refined-times.txt</v>
      </c>
      <c r="AI105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{"issue":{"subject":"","project_id":79,"tracker_id":40,"status_id":1,"priority_id":2,"assigned_to_id":23,"start_date":"2017-01-22","description":"","custom_fields":[{"id":1,"name":"Subdivision","value":"EC"},{"id":4,"name":"Milepost","value":"0.0138"},{"id":17,"name":"Train ID","value":"192-22"},{"id":16,"name":"Locomotive ID","value":"4008"},{"id":130,"name":"Impact","value":""},{"id":150,"name":"Time of Event (Mountain Time)","value":"16:34:18"},{"id":151,"name":"Denver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38"/>
        <v>start /low /b %USERPROFILE%\Documents\GitHub\eaglep3\Utilities\DownloadLogsFromS3.py --loco 4008 --day 2017-01-22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575</v>
      </c>
      <c r="B106" s="7">
        <v>4022</v>
      </c>
      <c r="C106" s="22" t="s">
        <v>196</v>
      </c>
      <c r="D106" s="22" t="s">
        <v>229</v>
      </c>
      <c r="E106" s="13">
        <v>42757.631550925929</v>
      </c>
      <c r="F106" s="13">
        <v>42757.63559027778</v>
      </c>
      <c r="G106" s="7">
        <v>1</v>
      </c>
      <c r="H106" s="22" t="s">
        <v>236</v>
      </c>
      <c r="I106" s="13">
        <v>42757.66064814815</v>
      </c>
      <c r="J106" s="7">
        <v>1</v>
      </c>
      <c r="K106" s="105" t="str">
        <f t="shared" si="21"/>
        <v>4021/4022</v>
      </c>
      <c r="L106" s="22" t="str">
        <f>VLOOKUP(A106,'Trips&amp;Operators'!$C$1:$G$99999,5,FALSE)</f>
        <v>BRUDER RICHARD</v>
      </c>
      <c r="M106" s="6">
        <f t="shared" si="22"/>
        <v>2.5057870370801538E-2</v>
      </c>
      <c r="N106" s="7">
        <f t="shared" si="23"/>
        <v>36.083333333954215</v>
      </c>
      <c r="O106" s="7"/>
      <c r="P106" s="7"/>
      <c r="Q106" s="23"/>
      <c r="R106" s="23"/>
      <c r="S106" s="32">
        <f t="shared" si="24"/>
        <v>1</v>
      </c>
      <c r="T106" s="47" t="str">
        <f t="shared" si="25"/>
        <v>NorthBound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26"/>
        <v>https://d0f6bd738d7f1b3e5a7ca70fe4ff75f0.us-east-1.aws.found.io/app/kibana#/discover/Steve-Slow-Train-Analysis-(2080s-and-2083s)?_g=(refreshInterval:(display:Off,pause:!f,section:0,value:0),time:(from:'2017-01-22T14:09:26-0700',mode:absolute,to:'2017-01-22T16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6" s="49" t="str">
        <f t="shared" si="27"/>
        <v>N</v>
      </c>
      <c r="X106" s="170">
        <f t="shared" si="28"/>
        <v>1</v>
      </c>
      <c r="Y106" s="64">
        <f t="shared" si="29"/>
        <v>4.4600000000000001E-2</v>
      </c>
      <c r="Z106" s="64">
        <f t="shared" si="30"/>
        <v>23.3293</v>
      </c>
      <c r="AA106" s="64">
        <f t="shared" si="31"/>
        <v>23.284700000000001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32"/>
        <v>0193-22</v>
      </c>
      <c r="AE106" s="87" t="str">
        <f t="shared" si="33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106" s="84" t="str">
        <f t="shared" si="34"/>
        <v>"C:\Program Files (x86)\AstroGrep\AstroGrep.exe" /spath="%USERPROFILE%\AppData\Local\Temp\OnboardLogs" /stypes="app*4022*20170122*" /stext=" 22:.+((SYSTEM_STATE.+slice.+state.+changed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8" t="str">
        <f t="shared" si="36"/>
        <v>"%USERPROFILE%\Documents\GitHub\eaglep3\Utilities\RefineRTDCRunTimes.py" --tripid 193-22 --locoid 4022 --swversion DE.1.0.8.0 --startMP 204:446 --initTime 2017-01-22T15:09:26 --startdatetime 2017-01-22T15:15:15 --delay 1 --endMP 204:233293 --enddatetime 2017-01-22T15:51:20 --enforcementcount 1 &gt;&gt;C:\Users\stu\Documents\GitHub\eaglep3-reporting\EC\2017-01-22-refined-times.txt</v>
      </c>
      <c r="AI106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{"issue":{"subject":"","project_id":79,"tracker_id":40,"status_id":1,"priority_id":2,"assigned_to_id":23,"start_date":"2017-01-22","description":"","custom_fields":[{"id":1,"name":"Subdivision","value":"EC"},{"id":4,"name":"Milepost","value":"23.3293"},{"id":17,"name":"Train ID","value":"193-22"},{"id":16,"name":"Locomotive ID","value":"4022"},{"id":130,"name":"Impact","value":""},{"id":150,"name":"Time of Event (Mountain Time)","value":"15:51:20"},{"id":151,"name":"Denver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38"/>
        <v>start /low /b %USERPROFILE%\Documents\GitHub\eaglep3\Utilities\DownloadLogsFromS3.py --loco 4022 --day 2017-01-22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2017-01-22-UncaughtWiMAX.txt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584</v>
      </c>
      <c r="B107" s="7">
        <v>4021</v>
      </c>
      <c r="C107" s="22" t="s">
        <v>196</v>
      </c>
      <c r="D107" s="22" t="s">
        <v>234</v>
      </c>
      <c r="E107" s="13">
        <v>42757.667719907404</v>
      </c>
      <c r="F107" s="13">
        <v>42757.674490740741</v>
      </c>
      <c r="G107" s="7">
        <v>2</v>
      </c>
      <c r="H107" s="22" t="s">
        <v>242</v>
      </c>
      <c r="I107" s="13">
        <v>42757.701898148145</v>
      </c>
      <c r="J107" s="7">
        <v>1</v>
      </c>
      <c r="K107" s="105" t="str">
        <f t="shared" si="21"/>
        <v>4021/4022</v>
      </c>
      <c r="L107" s="22" t="str">
        <f>VLOOKUP(A107,'Trips&amp;Operators'!$C$1:$G$99999,5,FALSE)</f>
        <v>BRUDER RICHARD</v>
      </c>
      <c r="M107" s="6">
        <f t="shared" si="22"/>
        <v>2.7407407404098194E-2</v>
      </c>
      <c r="N107" s="7">
        <f t="shared" si="23"/>
        <v>39.466666661901399</v>
      </c>
      <c r="O107" s="7"/>
      <c r="P107" s="7"/>
      <c r="Q107" s="23"/>
      <c r="R107" s="23"/>
      <c r="S107" s="32">
        <f t="shared" si="24"/>
        <v>1</v>
      </c>
      <c r="T107" s="47" t="str">
        <f t="shared" si="25"/>
        <v>Southbound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26"/>
        <v>https://d0f6bd738d7f1b3e5a7ca70fe4ff75f0.us-east-1.aws.found.io/app/kibana#/discover/Steve-Slow-Train-Analysis-(2080s-and-2083s)?_g=(refreshInterval:(display:Off,pause:!f,section:0,value:0),time:(from:'2017-01-22T15:01:31-0700',mode:absolute,to:'2017-01-22T17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7" s="49" t="str">
        <f t="shared" si="27"/>
        <v>N</v>
      </c>
      <c r="X107" s="170">
        <f t="shared" si="28"/>
        <v>1</v>
      </c>
      <c r="Y107" s="64">
        <f t="shared" si="29"/>
        <v>23.2987</v>
      </c>
      <c r="Z107" s="64">
        <f t="shared" si="30"/>
        <v>1.54E-2</v>
      </c>
      <c r="AA107" s="64">
        <f t="shared" si="31"/>
        <v>23.283300000000001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32"/>
        <v>0194-22</v>
      </c>
      <c r="AE107" s="87" t="str">
        <f t="shared" si="33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107" s="84" t="str">
        <f t="shared" si="34"/>
        <v>"C:\Program Files (x86)\AstroGrep\AstroGrep.exe" /spath="%USERPROFILE%\AppData\Local\Temp\OnboardLogs" /stypes="app*4021*20170122*"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8" t="str">
        <f t="shared" si="36"/>
        <v>"%USERPROFILE%\Documents\GitHub\eaglep3\Utilities\RefineRTDCRunTimes.py" --tripid 194-22 --locoid 4021 --swversion DE.1.0.8.0 --startMP 204:232987 --initTime 2017-01-22T16:01:31 --startdatetime 2017-01-22T16:11:16 --delay 2 --endMP 204:154 --enddatetime 2017-01-22T16:50:44 --enforcementcount 1 &gt;&gt;C:\Users\stu\Documents\GitHub\eaglep3-reporting\EC\2017-01-22-refined-times.txt</v>
      </c>
      <c r="AI107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{"issue":{"subject":"","project_id":79,"tracker_id":40,"status_id":1,"priority_id":2,"assigned_to_id":23,"start_date":"2017-01-22","description":"","custom_fields":[{"id":1,"name":"Subdivision","value":"EC"},{"id":4,"name":"Milepost","value":"0.0154"},{"id":17,"name":"Train ID","value":"194-22"},{"id":16,"name":"Locomotive ID","value":"4021"},{"id":130,"name":"Impact","value":""},{"id":150,"name":"Time of Event (Mountain Time)","value":"16:50:44"},{"id":151,"name":"Denver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38"/>
        <v>start /low /b %USERPROFILE%\Documents\GitHub\eaglep3\Utilities\DownloadLogsFromS3.py --loco 4021 --day 2017-01-22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578</v>
      </c>
      <c r="B108" s="7">
        <v>4003</v>
      </c>
      <c r="C108" s="22" t="s">
        <v>196</v>
      </c>
      <c r="D108" s="22" t="s">
        <v>220</v>
      </c>
      <c r="E108" s="13">
        <v>42757.642754629633</v>
      </c>
      <c r="F108" s="13">
        <v>42757.645995370367</v>
      </c>
      <c r="G108" s="7">
        <v>1</v>
      </c>
      <c r="H108" s="22" t="s">
        <v>235</v>
      </c>
      <c r="I108" s="13">
        <v>42757.671400462961</v>
      </c>
      <c r="J108" s="7">
        <v>1</v>
      </c>
      <c r="K108" s="105" t="str">
        <f t="shared" si="21"/>
        <v>4003/4004</v>
      </c>
      <c r="L108" s="22" t="str">
        <f>VLOOKUP(A108,'Trips&amp;Operators'!$C$1:$G$99999,5,FALSE)</f>
        <v>CRAYTON QUNTRELL</v>
      </c>
      <c r="M108" s="6">
        <f t="shared" si="22"/>
        <v>2.5405092594155576E-2</v>
      </c>
      <c r="N108" s="7">
        <f t="shared" si="23"/>
        <v>36.58333333558403</v>
      </c>
      <c r="O108" s="7"/>
      <c r="P108" s="7"/>
      <c r="Q108" s="23"/>
      <c r="R108" s="23"/>
      <c r="S108" s="32">
        <f t="shared" si="24"/>
        <v>1</v>
      </c>
      <c r="T108" s="47" t="str">
        <f t="shared" si="25"/>
        <v>NorthBound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26"/>
        <v>https://d0f6bd738d7f1b3e5a7ca70fe4ff75f0.us-east-1.aws.found.io/app/kibana#/discover/Steve-Slow-Train-Analysis-(2080s-and-2083s)?_g=(refreshInterval:(display:Off,pause:!f,section:0,value:0),time:(from:'2017-01-22T14:25:34-0700',mode:absolute,to:'2017-01-22T17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8" s="49" t="str">
        <f t="shared" si="27"/>
        <v>N</v>
      </c>
      <c r="X108" s="170">
        <f t="shared" si="28"/>
        <v>1</v>
      </c>
      <c r="Y108" s="64">
        <f t="shared" si="29"/>
        <v>4.4900000000000002E-2</v>
      </c>
      <c r="Z108" s="64">
        <f t="shared" si="30"/>
        <v>23.329899999999999</v>
      </c>
      <c r="AA108" s="64">
        <f t="shared" si="31"/>
        <v>23.285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32"/>
        <v>0195-22</v>
      </c>
      <c r="AE108" s="87" t="str">
        <f t="shared" si="33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108" s="84" t="str">
        <f t="shared" si="34"/>
        <v>"C:\Program Files (x86)\AstroGrep\AstroGrep.exe" /spath="%USERPROFILE%\AppData\Local\Temp\OnboardLogs" /stypes="app*4003*20170122*" /stext=" 23:.+((SYSTEM_STATE.+slice.+state.+changed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8" t="str">
        <f t="shared" si="36"/>
        <v>"%USERPROFILE%\Documents\GitHub\eaglep3\Utilities\RefineRTDCRunTimes.py" --tripid 195-22 --locoid 4003 --swversion DE.1.0.8.0 --startMP 204:449 --initTime 2017-01-22T15:25:34 --startdatetime 2017-01-22T15:30:14 --delay 1 --endMP 204:233299 --enddatetime 2017-01-22T16:06:49 --enforcementcount 1 &gt;&gt;C:\Users\stu\Documents\GitHub\eaglep3-reporting\EC\2017-01-22-refined-times.txt</v>
      </c>
      <c r="AI108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{"issue":{"subject":"","project_id":79,"tracker_id":40,"status_id":1,"priority_id":2,"assigned_to_id":23,"start_date":"2017-01-22","description":"","custom_fields":[{"id":1,"name":"Subdivision","value":"EC"},{"id":4,"name":"Milepost","value":"23.3299"},{"id":17,"name":"Train ID","value":"195-22"},{"id":16,"name":"Locomotive ID","value":"4003"},{"id":130,"name":"Impact","value":""},{"id":150,"name":"Time of Event (Mountain Time)","value":"16:06:49"},{"id":151,"name":"Denver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38"/>
        <v>start /low /b %USERPROFILE%\Documents\GitHub\eaglep3\Utilities\DownloadLogsFromS3.py --loco 4003 --day 2017-01-22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587</v>
      </c>
      <c r="B109" s="7">
        <v>4004</v>
      </c>
      <c r="C109" s="22" t="s">
        <v>196</v>
      </c>
      <c r="D109" s="22" t="s">
        <v>218</v>
      </c>
      <c r="E109" s="13">
        <v>42757.680694444447</v>
      </c>
      <c r="F109" s="13">
        <v>42757.684895833336</v>
      </c>
      <c r="G109" s="7">
        <v>1</v>
      </c>
      <c r="H109" s="22" t="s">
        <v>282</v>
      </c>
      <c r="I109" s="13">
        <v>42757.712187500001</v>
      </c>
      <c r="J109" s="7">
        <v>1</v>
      </c>
      <c r="K109" s="105" t="str">
        <f t="shared" si="21"/>
        <v>4003/4004</v>
      </c>
      <c r="L109" s="22" t="str">
        <f>VLOOKUP(A109,'Trips&amp;Operators'!$C$1:$G$99999,5,FALSE)</f>
        <v>CRAYTON QUNTRELL</v>
      </c>
      <c r="M109" s="6">
        <f t="shared" si="22"/>
        <v>2.7291666665405501E-2</v>
      </c>
      <c r="N109" s="7">
        <f t="shared" si="23"/>
        <v>39.299999998183921</v>
      </c>
      <c r="O109" s="7"/>
      <c r="P109" s="7"/>
      <c r="Q109" s="23"/>
      <c r="R109" s="23"/>
      <c r="S109" s="32">
        <f t="shared" si="24"/>
        <v>1</v>
      </c>
      <c r="T109" s="47" t="str">
        <f t="shared" si="25"/>
        <v>Southbound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26"/>
        <v>https://d0f6bd738d7f1b3e5a7ca70fe4ff75f0.us-east-1.aws.found.io/app/kibana#/discover/Steve-Slow-Train-Analysis-(2080s-and-2083s)?_g=(refreshInterval:(display:Off,pause:!f,section:0,value:0),time:(from:'2017-01-22T15:20:12-0700',mode:absolute,to:'2017-01-22T18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9" s="49" t="str">
        <f t="shared" si="27"/>
        <v>N</v>
      </c>
      <c r="X109" s="170">
        <f t="shared" si="28"/>
        <v>1</v>
      </c>
      <c r="Y109" s="64">
        <f t="shared" si="29"/>
        <v>23.2986</v>
      </c>
      <c r="Z109" s="64">
        <f t="shared" si="30"/>
        <v>1.6500000000000001E-2</v>
      </c>
      <c r="AA109" s="64">
        <f t="shared" si="31"/>
        <v>23.2821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32"/>
        <v>0196-22</v>
      </c>
      <c r="AE109" s="87" t="str">
        <f t="shared" si="33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109" s="84" t="str">
        <f t="shared" si="34"/>
        <v>"C:\Program Files (x86)\AstroGrep\AstroGrep.exe" /spath="%USERPROFILE%\AppData\Local\Temp\OnboardLogs" /stypes="app*4004*20170123*" /stext=" 00:.+((SYSTEM_STATE.+slice.+state.+changed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8" t="str">
        <f t="shared" si="36"/>
        <v>"%USERPROFILE%\Documents\GitHub\eaglep3\Utilities\RefineRTDCRunTimes.py" --tripid 196-22 --locoid 4004 --swversion DE.1.0.8.0 --startMP 204:232986 --initTime 2017-01-22T16:20:12 --startdatetime 2017-01-22T16:26:15 --delay 1 --endMP 204:165 --enddatetime 2017-01-22T17:05:33 --enforcementcount 1 &gt;&gt;C:\Users\stu\Documents\GitHub\eaglep3-reporting\EC\2017-01-22-refined-times.txt</v>
      </c>
      <c r="AI109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{"issue":{"subject":"","project_id":79,"tracker_id":40,"status_id":1,"priority_id":2,"assigned_to_id":23,"start_date":"2017-01-22","description":"","custom_fields":[{"id":1,"name":"Subdivision","value":"EC"},{"id":4,"name":"Milepost","value":"0.0165"},{"id":17,"name":"Train ID","value":"196-22"},{"id":16,"name":"Locomotive ID","value":"4004"},{"id":130,"name":"Impact","value":""},{"id":150,"name":"Time of Event (Mountain Time)","value":"17:05:33"},{"id":151,"name":"Denver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38"/>
        <v>start /low /b %USERPROFILE%\Documents\GitHub\eaglep3\Utilities\DownloadLogsFromS3.py --loco 4004 --day 2017-01-22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581</v>
      </c>
      <c r="B110" s="7">
        <v>4046</v>
      </c>
      <c r="C110" s="22" t="s">
        <v>196</v>
      </c>
      <c r="D110" s="22" t="s">
        <v>329</v>
      </c>
      <c r="E110" s="13">
        <v>42757.653368055559</v>
      </c>
      <c r="F110" s="13">
        <v>42757.656400462962</v>
      </c>
      <c r="G110" s="7">
        <v>1</v>
      </c>
      <c r="H110" s="22" t="s">
        <v>273</v>
      </c>
      <c r="I110" s="13">
        <v>42757.680879629632</v>
      </c>
      <c r="J110" s="7">
        <v>1</v>
      </c>
      <c r="K110" s="105" t="str">
        <f t="shared" si="21"/>
        <v>4045/4046</v>
      </c>
      <c r="L110" s="22" t="str">
        <f>VLOOKUP(A110,'Trips&amp;Operators'!$C$1:$G$99999,5,FALSE)</f>
        <v>ROMERO CHAD</v>
      </c>
      <c r="M110" s="6">
        <f t="shared" si="22"/>
        <v>2.4479166670062114E-2</v>
      </c>
      <c r="N110" s="7">
        <f t="shared" si="23"/>
        <v>35.250000004889444</v>
      </c>
      <c r="O110" s="7"/>
      <c r="P110" s="7"/>
      <c r="Q110" s="23"/>
      <c r="R110" s="23"/>
      <c r="S110" s="32">
        <f t="shared" si="24"/>
        <v>1</v>
      </c>
      <c r="T110" s="47" t="str">
        <f t="shared" si="25"/>
        <v>NorthBound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26"/>
        <v>https://d0f6bd738d7f1b3e5a7ca70fe4ff75f0.us-east-1.aws.found.io/app/kibana#/discover/Steve-Slow-Train-Analysis-(2080s-and-2083s)?_g=(refreshInterval:(display:Off,pause:!f,section:0,value:0),time:(from:'2017-01-22T14:40:51-0700',mode:absolute,to:'2017-01-22T17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0" s="49" t="str">
        <f t="shared" si="27"/>
        <v>N</v>
      </c>
      <c r="X110" s="170">
        <f t="shared" si="28"/>
        <v>1</v>
      </c>
      <c r="Y110" s="64">
        <f t="shared" si="29"/>
        <v>4.6399999999999997E-2</v>
      </c>
      <c r="Z110" s="64">
        <f t="shared" si="30"/>
        <v>23.3308</v>
      </c>
      <c r="AA110" s="64">
        <f t="shared" si="31"/>
        <v>23.284400000000002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32"/>
        <v>0197-22</v>
      </c>
      <c r="AE110" s="87" t="str">
        <f t="shared" si="33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110" s="84" t="str">
        <f t="shared" si="34"/>
        <v>"C:\Program Files (x86)\AstroGrep\AstroGrep.exe" /spath="%USERPROFILE%\AppData\Local\Temp\OnboardLogs" /stypes="app*4046*20170122*" /stext=" 23:.+((SYSTEM_STATE.+slice.+state.+changed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8" t="str">
        <f t="shared" si="36"/>
        <v>"%USERPROFILE%\Documents\GitHub\eaglep3\Utilities\RefineRTDCRunTimes.py" --tripid 197-22 --locoid 4046 --swversion DE.1.0.8.0 --startMP 204:464 --initTime 2017-01-22T15:40:51 --startdatetime 2017-01-22T15:45:13 --delay 1 --endMP 204:233308 --enddatetime 2017-01-22T16:20:28 --enforcementcount 1 &gt;&gt;C:\Users\stu\Documents\GitHub\eaglep3-reporting\EC\2017-01-22-refined-times.txt</v>
      </c>
      <c r="AI110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{"issue":{"subject":"","project_id":79,"tracker_id":40,"status_id":1,"priority_id":2,"assigned_to_id":23,"start_date":"2017-01-22","description":"","custom_fields":[{"id":1,"name":"Subdivision","value":"EC"},{"id":4,"name":"Milepost","value":"23.3308"},{"id":17,"name":"Train ID","value":"197-22"},{"id":16,"name":"Locomotive ID","value":"4046"},{"id":130,"name":"Impact","value":""},{"id":150,"name":"Time of Event (Mountain Time)","value":"16:20:28"},{"id":151,"name":"Denver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38"/>
        <v>start /low /b %USERPROFILE%\Documents\GitHub\eaglep3\Utilities\DownloadLogsFromS3.py --loco 4046 --day 2017-01-22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"%USERPROFILE%\AppData\Local\Temp\OnboardLogs"\RTDC4046\*4046*20170122* | grep -SE "(Enforcement Action)|(\[TIMEOUT)|(CHR.+\|PRM\|1\|D.+(SWITCH|SIGNAL).+UNKNOWN)" - &gt;&gt; 2017-01-22-UncaughtWiMAX.txt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446</v>
      </c>
      <c r="B111" s="7">
        <v>4045</v>
      </c>
      <c r="C111" s="22" t="s">
        <v>196</v>
      </c>
      <c r="D111" s="22" t="s">
        <v>234</v>
      </c>
      <c r="E111" s="13">
        <v>42757.685127314813</v>
      </c>
      <c r="F111" s="13">
        <v>42757.695324074077</v>
      </c>
      <c r="G111" s="7">
        <v>1</v>
      </c>
      <c r="H111" s="22" t="s">
        <v>258</v>
      </c>
      <c r="I111" s="13">
        <v>42757.722129629627</v>
      </c>
      <c r="J111" s="7">
        <v>1</v>
      </c>
      <c r="K111" s="105" t="str">
        <f t="shared" si="21"/>
        <v>4045/4046</v>
      </c>
      <c r="L111" s="22" t="str">
        <f>VLOOKUP(A111,'Trips&amp;Operators'!$C$1:$G$99999,5,FALSE)</f>
        <v>WHITED DUSTIN</v>
      </c>
      <c r="M111" s="6">
        <f t="shared" si="22"/>
        <v>2.6805555549799465E-2</v>
      </c>
      <c r="N111" s="7">
        <f t="shared" si="23"/>
        <v>38.599999991711229</v>
      </c>
      <c r="O111" s="7"/>
      <c r="P111" s="7"/>
      <c r="Q111" s="23"/>
      <c r="R111" s="23"/>
      <c r="S111" s="32">
        <f t="shared" si="24"/>
        <v>1</v>
      </c>
      <c r="T111" s="47" t="str">
        <f t="shared" si="25"/>
        <v>Southbound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26"/>
        <v>https://d0f6bd738d7f1b3e5a7ca70fe4ff75f0.us-east-1.aws.found.io/app/kibana#/discover/Steve-Slow-Train-Analysis-(2080s-and-2083s)?_g=(refreshInterval:(display:Off,pause:!f,section:0,value:0),time:(from:'2017-01-22T15:26:35-0700',mode:absolute,to:'2017-01-22T18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1" s="49" t="str">
        <f t="shared" si="27"/>
        <v>N</v>
      </c>
      <c r="X111" s="170">
        <f t="shared" si="28"/>
        <v>1</v>
      </c>
      <c r="Y111" s="64">
        <f t="shared" si="29"/>
        <v>23.2987</v>
      </c>
      <c r="Z111" s="64">
        <f t="shared" si="30"/>
        <v>1.43E-2</v>
      </c>
      <c r="AA111" s="64">
        <f t="shared" si="31"/>
        <v>23.284400000000002</v>
      </c>
      <c r="AB111" s="61" t="str">
        <f>VLOOKUP(A111,Enforcements!$C$7:$K$16,8,0)</f>
        <v>Bulletin (2)</v>
      </c>
      <c r="AC111" s="57" t="str">
        <f>VLOOKUP(A111,Enforcements!$C$7:$E$16,3,0)</f>
        <v>GRADE CROSSING</v>
      </c>
      <c r="AD111" s="58" t="str">
        <f t="shared" si="32"/>
        <v>0198-22</v>
      </c>
      <c r="AE111" s="87" t="str">
        <f t="shared" si="33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111" s="84" t="str">
        <f t="shared" si="34"/>
        <v>"C:\Program Files (x86)\AstroGrep\AstroGrep.exe" /spath="%USERPROFILE%\AppData\Local\Temp\OnboardLogs" /stypes="app*4045*20170123*" /stext=" 00:.+((SYSTEM_STATE.+slice.+state.+changed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8" t="str">
        <f t="shared" si="36"/>
        <v>"%USERPROFILE%\Documents\GitHub\eaglep3\Utilities\RefineRTDCRunTimes.py" --tripid 198-22 --locoid 4045 --swversion DE.1.0.8.0 --startMP 204:232987 --initTime 2017-01-22T16:26:35 --startdatetime 2017-01-22T16:41:16 --delay 1 --endMP 204:143 --enddatetime 2017-01-22T17:19:52 --enforcementcount 1 &gt;&gt;C:\Users\stu\Documents\GitHub\eaglep3-reporting\EC\2017-01-22-refined-times.txt</v>
      </c>
      <c r="AI111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{"issue":{"subject":"","project_id":79,"tracker_id":40,"status_id":1,"priority_id":2,"assigned_to_id":23,"start_date":"2017-01-22","description":"","custom_fields":[{"id":1,"name":"Subdivision","value":"EC"},{"id":4,"name":"Milepost","value":"0.0143"},{"id":17,"name":"Train ID","value":"198-22"},{"id":16,"name":"Locomotive ID","value":"4045"},{"id":130,"name":"Impact","value":""},{"id":150,"name":"Time of Event (Mountain Time)","value":"17:19:52"},{"id":151,"name":"Denver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38"/>
        <v>start /low /b %USERPROFILE%\Documents\GitHub\eaglep3\Utilities\DownloadLogsFromS3.py --loco 4045 --day 2017-01-22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2017-01-22-UncaughtWiMAX.txt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583</v>
      </c>
      <c r="B112" s="7">
        <v>4044</v>
      </c>
      <c r="C112" s="22" t="s">
        <v>196</v>
      </c>
      <c r="D112" s="22" t="s">
        <v>245</v>
      </c>
      <c r="E112" s="13">
        <v>42757.663472222222</v>
      </c>
      <c r="F112" s="13">
        <v>42757.66715277778</v>
      </c>
      <c r="G112" s="7">
        <v>1</v>
      </c>
      <c r="H112" s="22" t="s">
        <v>692</v>
      </c>
      <c r="I112" s="13">
        <v>42757.693414351852</v>
      </c>
      <c r="J112" s="7">
        <v>1</v>
      </c>
      <c r="K112" s="105" t="str">
        <f t="shared" si="21"/>
        <v>4043/4044</v>
      </c>
      <c r="L112" s="22" t="str">
        <f>VLOOKUP(A112,'Trips&amp;Operators'!$C$1:$G$99999,5,FALSE)</f>
        <v>KILLION DAVID</v>
      </c>
      <c r="M112" s="6">
        <f t="shared" si="22"/>
        <v>2.626157407212304E-2</v>
      </c>
      <c r="N112" s="7">
        <f t="shared" si="23"/>
        <v>37.816666663857177</v>
      </c>
      <c r="O112" s="7"/>
      <c r="P112" s="7"/>
      <c r="Q112" s="23"/>
      <c r="R112" s="23"/>
      <c r="S112" s="32">
        <f t="shared" si="24"/>
        <v>1</v>
      </c>
      <c r="T112" s="47" t="str">
        <f t="shared" si="25"/>
        <v>NorthBound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26"/>
        <v>https://d0f6bd738d7f1b3e5a7ca70fe4ff75f0.us-east-1.aws.found.io/app/kibana#/discover/Steve-Slow-Train-Analysis-(2080s-and-2083s)?_g=(refreshInterval:(display:Off,pause:!f,section:0,value:0),time:(from:'2017-01-22T14:55:24-0700',mode:absolute,to:'2017-01-22T17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2" s="49" t="str">
        <f t="shared" si="27"/>
        <v>N</v>
      </c>
      <c r="X112" s="170">
        <f t="shared" si="28"/>
        <v>1</v>
      </c>
      <c r="Y112" s="64">
        <f t="shared" si="29"/>
        <v>4.58E-2</v>
      </c>
      <c r="Z112" s="64">
        <f t="shared" si="30"/>
        <v>23.330500000000001</v>
      </c>
      <c r="AA112" s="64">
        <f t="shared" si="31"/>
        <v>23.284700000000001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32"/>
        <v>0199-22</v>
      </c>
      <c r="AE112" s="87" t="str">
        <f t="shared" si="33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112" s="84" t="str">
        <f t="shared" si="34"/>
        <v>"C:\Program Files (x86)\AstroGrep\AstroGrep.exe" /spath="%USERPROFILE%\AppData\Local\Temp\OnboardLogs" /stypes="app*4044*20170122*" /stext=" 23:.+((SYSTEM_STATE.+slice.+state.+changed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8" t="str">
        <f t="shared" si="36"/>
        <v>"%USERPROFILE%\Documents\GitHub\eaglep3\Utilities\RefineRTDCRunTimes.py" --tripid 199-22 --locoid 4044 --swversion DE.1.0.8.0 --startMP 204:458 --initTime 2017-01-22T15:55:24 --startdatetime 2017-01-22T16:00:42 --delay 1 --endMP 204:233305 --enddatetime 2017-01-22T16:38:31 --enforcementcount 1 &gt;&gt;C:\Users\stu\Documents\GitHub\eaglep3-reporting\EC\2017-01-22-refined-times.txt</v>
      </c>
      <c r="AI112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{"issue":{"subject":"","project_id":79,"tracker_id":40,"status_id":1,"priority_id":2,"assigned_to_id":23,"start_date":"2017-01-22","description":"","custom_fields":[{"id":1,"name":"Subdivision","value":"EC"},{"id":4,"name":"Milepost","value":"23.3305"},{"id":17,"name":"Train ID","value":"199-22"},{"id":16,"name":"Locomotive ID","value":"4044"},{"id":130,"name":"Impact","value":""},{"id":150,"name":"Time of Event (Mountain Time)","value":"16:38:31"},{"id":151,"name":"Denver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38"/>
        <v>start /low /b %USERPROFILE%\Documents\GitHub\eaglep3\Utilities\DownloadLogsFromS3.py --loco 4044 --day 2017-01-22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594</v>
      </c>
      <c r="B113" s="7">
        <v>4043</v>
      </c>
      <c r="C113" s="22" t="s">
        <v>196</v>
      </c>
      <c r="D113" s="22" t="s">
        <v>405</v>
      </c>
      <c r="E113" s="13">
        <v>42757.703819444447</v>
      </c>
      <c r="F113" s="13">
        <v>42757.705775462964</v>
      </c>
      <c r="G113" s="7">
        <v>1</v>
      </c>
      <c r="H113" s="22" t="s">
        <v>216</v>
      </c>
      <c r="I113" s="13">
        <v>42757.734155092592</v>
      </c>
      <c r="J113" s="7">
        <v>1</v>
      </c>
      <c r="K113" s="105" t="str">
        <f t="shared" si="21"/>
        <v>4043/4044</v>
      </c>
      <c r="L113" s="22" t="str">
        <f>VLOOKUP(A113,'Trips&amp;Operators'!$C$1:$G$99999,5,FALSE)</f>
        <v>KILLION DAVID</v>
      </c>
      <c r="M113" s="6">
        <f t="shared" si="22"/>
        <v>2.8379629628034309E-2</v>
      </c>
      <c r="N113" s="7">
        <f t="shared" si="23"/>
        <v>40.866666664369404</v>
      </c>
      <c r="O113" s="7"/>
      <c r="P113" s="7"/>
      <c r="Q113" s="23"/>
      <c r="R113" s="23"/>
      <c r="S113" s="32">
        <f t="shared" si="24"/>
        <v>1</v>
      </c>
      <c r="T113" s="47" t="str">
        <f t="shared" si="25"/>
        <v>Southbound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26"/>
        <v>https://d0f6bd738d7f1b3e5a7ca70fe4ff75f0.us-east-1.aws.found.io/app/kibana#/discover/Steve-Slow-Train-Analysis-(2080s-and-2083s)?_g=(refreshInterval:(display:Off,pause:!f,section:0,value:0),time:(from:'2017-01-22T15:53:30-0700',mode:absolute,to:'2017-01-22T18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3" s="49" t="str">
        <f t="shared" si="27"/>
        <v>N</v>
      </c>
      <c r="X113" s="170">
        <f t="shared" si="28"/>
        <v>1</v>
      </c>
      <c r="Y113" s="64">
        <f t="shared" si="29"/>
        <v>23.2973</v>
      </c>
      <c r="Z113" s="64">
        <f t="shared" si="30"/>
        <v>1.6E-2</v>
      </c>
      <c r="AA113" s="64">
        <f t="shared" si="31"/>
        <v>23.281300000000002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32"/>
        <v>0200-22</v>
      </c>
      <c r="AE113" s="87" t="str">
        <f t="shared" si="33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113" s="84" t="str">
        <f t="shared" si="34"/>
        <v>"C:\Program Files (x86)\AstroGrep\AstroGrep.exe" /spath="%USERPROFILE%\AppData\Local\Temp\OnboardLogs" /stypes="app*4043*20170123*" /stext=" 00:.+((SYSTEM_STATE.+slice.+state.+changed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8" t="str">
        <f t="shared" si="36"/>
        <v>"%USERPROFILE%\Documents\GitHub\eaglep3\Utilities\RefineRTDCRunTimes.py" --tripid 200-22 --locoid 4043 --swversion DE.1.0.8.0 --startMP 204:232973 --initTime 2017-01-22T16:53:30 --startdatetime 2017-01-22T16:56:19 --delay 1 --endMP 204:160 --enddatetime 2017-01-22T17:37:11 --enforcementcount 1 &gt;&gt;C:\Users\stu\Documents\GitHub\eaglep3-reporting\EC\2017-01-22-refined-times.txt</v>
      </c>
      <c r="AI113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{"issue":{"subject":"","project_id":79,"tracker_id":40,"status_id":1,"priority_id":2,"assigned_to_id":23,"start_date":"2017-01-22","description":"","custom_fields":[{"id":1,"name":"Subdivision","value":"EC"},{"id":4,"name":"Milepost","value":"0.016"},{"id":17,"name":"Train ID","value":"200-22"},{"id":16,"name":"Locomotive ID","value":"4043"},{"id":130,"name":"Impact","value":""},{"id":150,"name":"Time of Event (Mountain Time)","value":"17:37:11"},{"id":151,"name":"Denver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38"/>
        <v>start /low /b %USERPROFILE%\Documents\GitHub\eaglep3\Utilities\DownloadLogsFromS3.py --loco 4043 --day 2017-01-22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"%USERPROFILE%\AppData\Local\Temp\OnboardLogs"\RTDC4043\*4043*20170123* | grep -SE "(Enforcement Action)|(\[TIMEOUT)|(CHR.+\|PRM\|1\|D.+(SWITCH|SIGNAL).+UNKNOWN)" - &gt;&gt; 2017-01-22-UncaughtWiMAX.txt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585</v>
      </c>
      <c r="B114" s="7">
        <v>4038</v>
      </c>
      <c r="C114" s="22" t="s">
        <v>196</v>
      </c>
      <c r="D114" s="22" t="s">
        <v>409</v>
      </c>
      <c r="E114" s="13">
        <v>42757.674421296295</v>
      </c>
      <c r="F114" s="13">
        <v>42757.677870370368</v>
      </c>
      <c r="G114" s="7">
        <v>1</v>
      </c>
      <c r="H114" s="22" t="s">
        <v>243</v>
      </c>
      <c r="I114" s="13">
        <v>42757.702534722222</v>
      </c>
      <c r="J114" s="7">
        <v>1</v>
      </c>
      <c r="K114" s="105" t="str">
        <f t="shared" si="21"/>
        <v>4037/4038</v>
      </c>
      <c r="L114" s="22" t="str">
        <f>VLOOKUP(A114,'Trips&amp;Operators'!$C$1:$G$99999,5,FALSE)</f>
        <v>STEWART MICHAEL</v>
      </c>
      <c r="M114" s="6">
        <f t="shared" si="22"/>
        <v>2.4664351854880806E-2</v>
      </c>
      <c r="N114" s="7">
        <f t="shared" si="23"/>
        <v>35.516666671028361</v>
      </c>
      <c r="O114" s="7"/>
      <c r="P114" s="7"/>
      <c r="Q114" s="23"/>
      <c r="R114" s="23"/>
      <c r="S114" s="32">
        <f t="shared" si="24"/>
        <v>1</v>
      </c>
      <c r="T114" s="47" t="str">
        <f t="shared" si="25"/>
        <v>NorthBound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26"/>
        <v>https://d0f6bd738d7f1b3e5a7ca70fe4ff75f0.us-east-1.aws.found.io/app/kibana#/discover/Steve-Slow-Train-Analysis-(2080s-and-2083s)?_g=(refreshInterval:(display:Off,pause:!f,section:0,value:0),time:(from:'2017-01-22T15:11:10-0700',mode:absolute,to:'2017-01-22T17:51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14" s="49" t="str">
        <f t="shared" si="27"/>
        <v>N</v>
      </c>
      <c r="X114" s="170">
        <f t="shared" si="28"/>
        <v>1</v>
      </c>
      <c r="Y114" s="64">
        <f t="shared" si="29"/>
        <v>4.7500000000000001E-2</v>
      </c>
      <c r="Z114" s="64">
        <f t="shared" si="30"/>
        <v>23.329699999999999</v>
      </c>
      <c r="AA114" s="64">
        <f t="shared" si="31"/>
        <v>23.2822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32"/>
        <v>0201-22</v>
      </c>
      <c r="AE114" s="87" t="str">
        <f t="shared" si="33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114" s="84" t="str">
        <f t="shared" si="34"/>
        <v>"C:\Program Files (x86)\AstroGrep\AstroGrep.exe" /spath="%USERPROFILE%\AppData\Local\Temp\OnboardLogs" /stypes="app*4038*20170122*" /stext=" 23:.+((SYSTEM_STATE.+slice.+state.+changed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8" t="str">
        <f t="shared" si="36"/>
        <v>"%USERPROFILE%\Documents\GitHub\eaglep3\Utilities\RefineRTDCRunTimes.py" --tripid 201-22 --locoid 4038 --swversion DE.1.0.8.0 --startMP 204:475 --initTime 2017-01-22T16:11:10 --startdatetime 2017-01-22T16:16:08 --delay 1 --endMP 204:233297 --enddatetime 2017-01-22T16:51:39 --enforcementcount 1 &gt;&gt;C:\Users\stu\Documents\GitHub\eaglep3-reporting\EC\2017-01-22-refined-times.txt</v>
      </c>
      <c r="AI114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{"issue":{"subject":"","project_id":79,"tracker_id":40,"status_id":1,"priority_id":2,"assigned_to_id":23,"start_date":"2017-01-22","description":"","custom_fields":[{"id":1,"name":"Subdivision","value":"EC"},{"id":4,"name":"Milepost","value":"23.3297"},{"id":17,"name":"Train ID","value":"201-22"},{"id":16,"name":"Locomotive ID","value":"4038"},{"id":130,"name":"Impact","value":""},{"id":150,"name":"Time of Event (Mountain Time)","value":"16:51:39"},{"id":151,"name":"Denver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38"/>
        <v>start /low /b %USERPROFILE%\Documents\GitHub\eaglep3\Utilities\DownloadLogsFromS3.py --loco 4038 --day 2017-01-22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"%USERPROFILE%\AppData\Local\Temp\OnboardLogs"\RTDC4038\*4038*20170122* | grep -SE "(Enforcement Action)|(\[TIMEOUT)|(CHR.+\|PRM\|1\|D.+(SWITCH|SIGNAL).+UNKNOWN)" - &gt;&gt; 2017-01-22-UncaughtWiMAX.txt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595</v>
      </c>
      <c r="B115" s="7">
        <v>4037</v>
      </c>
      <c r="C115" s="22" t="s">
        <v>196</v>
      </c>
      <c r="D115" s="22" t="s">
        <v>215</v>
      </c>
      <c r="E115" s="13">
        <v>42757.712685185186</v>
      </c>
      <c r="F115" s="13">
        <v>42757.716249999998</v>
      </c>
      <c r="G115" s="7">
        <v>3</v>
      </c>
      <c r="H115" s="22" t="s">
        <v>215</v>
      </c>
      <c r="I115" s="13">
        <v>42757.743113425924</v>
      </c>
      <c r="J115" s="7">
        <v>1</v>
      </c>
      <c r="K115" s="105" t="str">
        <f t="shared" si="21"/>
        <v>4037/4038</v>
      </c>
      <c r="L115" s="22" t="str">
        <f>VLOOKUP(A115,'Trips&amp;Operators'!$C$1:$G$99999,5,FALSE)</f>
        <v>STEWART MICHAEL</v>
      </c>
      <c r="M115" s="6">
        <f t="shared" si="22"/>
        <v>2.6863425926421769E-2</v>
      </c>
      <c r="N115" s="7">
        <f t="shared" si="23"/>
        <v>38.683333334047347</v>
      </c>
      <c r="O115" s="7"/>
      <c r="P115" s="7"/>
      <c r="Q115" s="23"/>
      <c r="R115" s="23" t="s">
        <v>811</v>
      </c>
      <c r="S115" s="32">
        <f t="shared" si="24"/>
        <v>1</v>
      </c>
      <c r="T115" s="47" t="str">
        <f t="shared" si="25"/>
        <v>Southbound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26"/>
        <v>https://d0f6bd738d7f1b3e5a7ca70fe4ff75f0.us-east-1.aws.found.io/app/kibana#/discover/Steve-Slow-Train-Analysis-(2080s-and-2083s)?_g=(refreshInterval:(display:Off,pause:!f,section:0,value:0),time:(from:'2017-01-22T16:06:16-0700',mode:absolute,to:'2017-01-22T18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15" s="49" t="str">
        <f t="shared" si="27"/>
        <v>N</v>
      </c>
      <c r="X115" s="170">
        <f t="shared" si="28"/>
        <v>1</v>
      </c>
      <c r="Y115" s="64">
        <f t="shared" si="29"/>
        <v>23.297699999999999</v>
      </c>
      <c r="Z115" s="64">
        <v>0.01</v>
      </c>
      <c r="AA115" s="64">
        <f t="shared" si="31"/>
        <v>23.287699999999997</v>
      </c>
      <c r="AB115" s="61" t="e">
        <f>VLOOKUP(A115,Enforcements!$C$7:$K$16,8,0)</f>
        <v>#N/A</v>
      </c>
      <c r="AC115" s="57" t="e">
        <f>VLOOKUP(A115,Enforcements!$C$7:$E$16,3,0)</f>
        <v>#N/A</v>
      </c>
      <c r="AD115" s="58" t="str">
        <f t="shared" si="32"/>
        <v>0202-22</v>
      </c>
      <c r="AE115" s="87" t="str">
        <f t="shared" si="33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115" s="84" t="str">
        <f t="shared" si="34"/>
        <v>"C:\Program Files (x86)\AstroGrep\AstroGrep.exe" /spath="%USERPROFILE%\AppData\Local\Temp\OnboardLogs" /stypes="app*4037*20170123*"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8" t="str">
        <f t="shared" si="36"/>
        <v>"%USERPROFILE%\Documents\GitHub\eaglep3\Utilities\RefineRTDCRunTimes.py" --tripid 202-22 --locoid 4037 --swversion DE.1.0.8.0 --startMP 204:232977 --initTime 2017-01-22T17:06:16 --startdatetime 2017-01-22T17:11:24 --delay 3 --endMP 204:232977 --enddatetime 2017-01-22T17:50:05 --enforcementcount 1 &gt;&gt;C:\Users\stu\Documents\GitHub\eaglep3-reporting\EC\2017-01-22-refined-times.txt</v>
      </c>
      <c r="AI115" s="115" t="str">
        <f t="shared" si="37"/>
        <v>echo {"issue":{"subject":"Departure delayed by Onboard in-route failure","project_id":79,"tracker_id":40,"status_id":1,"priority_id":2,"assigned_to_id":23,"start_date":"2017-01-22","description":"","custom_fields":[{"id":1,"name":"Subdivision","value":"EC"},{"id":4,"name":"Milepost","value":"0.01"},{"id":17,"name":"Train ID","value":"202-22"},{"id":16,"name":"Locomotive ID","value":"4037"},{"id":130,"name":"Impact","value":""},{"id":150,"name":"Time of Event (Mountain Time)","value":"17:50:05"},{"id":151,"name":"Denver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38"/>
        <v>start /low /b %USERPROFILE%\Documents\GitHub\eaglep3\Utilities\DownloadLogsFromS3.py --loco 4037 --day 2017-01-22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"%USERPROFILE%\AppData\Local\Temp\OnboardLogs"\RTDC4037\*4037*20170123* | grep -SE "(Enforcement Action)|(\[TIMEOUT)|(CHR.+\|PRM\|1\|D.+(SWITCH|SIGNAL).+UNKNOWN)" - &gt;&gt; 2017-01-22-UncaughtWiMAX.txt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588</v>
      </c>
      <c r="B116" s="7">
        <v>4027</v>
      </c>
      <c r="C116" s="22" t="s">
        <v>196</v>
      </c>
      <c r="D116" s="22" t="s">
        <v>406</v>
      </c>
      <c r="E116" s="13">
        <v>42757.684155092589</v>
      </c>
      <c r="F116" s="13">
        <v>42757.6878125</v>
      </c>
      <c r="G116" s="7">
        <v>1</v>
      </c>
      <c r="H116" s="22" t="s">
        <v>686</v>
      </c>
      <c r="I116" s="13">
        <v>42757.713865740741</v>
      </c>
      <c r="J116" s="7">
        <v>1</v>
      </c>
      <c r="K116" s="105" t="str">
        <f t="shared" si="21"/>
        <v>4027/4028</v>
      </c>
      <c r="L116" s="22" t="str">
        <f>VLOOKUP(A116,'Trips&amp;Operators'!$C$1:$G$99999,5,FALSE)</f>
        <v>DAVIS MICHAEL</v>
      </c>
      <c r="M116" s="6">
        <f t="shared" si="22"/>
        <v>2.6053240741021E-2</v>
      </c>
      <c r="N116" s="7">
        <f t="shared" si="23"/>
        <v>37.51666666707024</v>
      </c>
      <c r="O116" s="7"/>
      <c r="P116" s="7"/>
      <c r="Q116" s="23"/>
      <c r="R116" s="23"/>
      <c r="S116" s="32">
        <f t="shared" si="24"/>
        <v>1</v>
      </c>
      <c r="T116" s="47" t="str">
        <f t="shared" si="25"/>
        <v>NorthBound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26"/>
        <v>https://d0f6bd738d7f1b3e5a7ca70fe4ff75f0.us-east-1.aws.found.io/app/kibana#/discover/Steve-Slow-Train-Analysis-(2080s-and-2083s)?_g=(refreshInterval:(display:Off,pause:!f,section:0,value:0),time:(from:'2017-01-22T15:25:11-0700',mode:absolute,to:'2017-01-22T18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6" s="49" t="str">
        <f t="shared" si="27"/>
        <v>N</v>
      </c>
      <c r="X116" s="170">
        <f t="shared" si="28"/>
        <v>1</v>
      </c>
      <c r="Y116" s="64">
        <f t="shared" si="29"/>
        <v>4.53E-2</v>
      </c>
      <c r="Z116" s="64">
        <f t="shared" si="30"/>
        <v>23.328600000000002</v>
      </c>
      <c r="AA116" s="64">
        <f t="shared" si="31"/>
        <v>23.283300000000001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 t="shared" si="32"/>
        <v>0203-22</v>
      </c>
      <c r="AE116" s="87" t="str">
        <f t="shared" si="33"/>
        <v>aws s3 cp s3://rtdc.mdm.uploadarchive.raw/RTDC4027/ "%USERPROFILE%\AppData\Local\Temp\OnboardLogs"\RTDC4027\2017-01-22 --exclude "*" --recursive --include "*20170122*" &amp; "%USERPROFILE%\Documents\GitHub\mrs-test-scripts\Headless Mode &amp; Sideloading\WalkAndUnGZ.bat" "%USERPROFILE%\AppData\Local\Temp\OnboardLogs"\RTDC4027\2017-01-22 &amp; 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</v>
      </c>
      <c r="AF116" s="84" t="str">
        <f t="shared" si="34"/>
        <v>"C:\Program Files (x86)\AstroGrep\AstroGrep.exe" /spath="%USERPROFILE%\AppData\Local\Temp\OnboardLogs" /stypes="app*4027*20170123*" /stext=" 00:.+((SYSTEM_STATE.+slice.+state.+changed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8" t="str">
        <f t="shared" si="36"/>
        <v>"%USERPROFILE%\Documents\GitHub\eaglep3\Utilities\RefineRTDCRunTimes.py" --tripid 203-22 --locoid 4027 --swversion DE.1.0.8.0 --startMP 204:453 --initTime 2017-01-22T16:25:11 --startdatetime 2017-01-22T16:30:27 --delay 1 --endMP 204:233286 --enddatetime 2017-01-22T17:07:58 --enforcementcount 1 &gt;&gt;C:\Users\stu\Documents\GitHub\eaglep3-reporting\EC\2017-01-22-refined-times.txt</v>
      </c>
      <c r="AI116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{"issue":{"subject":"","project_id":79,"tracker_id":40,"status_id":1,"priority_id":2,"assigned_to_id":23,"start_date":"2017-01-22","description":"","custom_fields":[{"id":1,"name":"Subdivision","value":"EC"},{"id":4,"name":"Milepost","value":"23.3286"},{"id":17,"name":"Train ID","value":"203-22"},{"id":16,"name":"Locomotive ID","value":"4027"},{"id":130,"name":"Impact","value":""},{"id":150,"name":"Time of Event (Mountain Time)","value":"17:07:58"},{"id":151,"name":"Denver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38"/>
        <v>start /low /b %USERPROFILE%\Documents\GitHub\eaglep3\Utilities\DownloadLogsFromS3.py --loco 4027 --day 2017-01-22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"%USERPROFILE%\AppData\Local\Temp\OnboardLogs"\RTDC4027\*4027*20170122* | grep -SE "(Enforcement Action)|(\[TIMEOUT)|(CHR.+\|PRM\|1\|D.+(SWITCH|SIGNAL).+UNKNOWN)" - &gt;&gt; 2017-01-22-UncaughtWiMAX.txt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600</v>
      </c>
      <c r="B117" s="7">
        <v>4028</v>
      </c>
      <c r="C117" s="22" t="s">
        <v>196</v>
      </c>
      <c r="D117" s="22" t="s">
        <v>756</v>
      </c>
      <c r="E117" s="13">
        <v>42757.723749999997</v>
      </c>
      <c r="F117" s="13">
        <v>42757.726689814815</v>
      </c>
      <c r="G117" s="7">
        <v>1</v>
      </c>
      <c r="H117" s="22" t="s">
        <v>200</v>
      </c>
      <c r="I117" s="13">
        <v>42757.75508101852</v>
      </c>
      <c r="J117" s="7">
        <v>1</v>
      </c>
      <c r="K117" s="105" t="str">
        <f t="shared" si="21"/>
        <v>4027/4028</v>
      </c>
      <c r="L117" s="22" t="str">
        <f>VLOOKUP(A117,'Trips&amp;Operators'!$C$1:$G$99999,5,FALSE)</f>
        <v>DAVIS MICHAEL</v>
      </c>
      <c r="M117" s="6">
        <f t="shared" si="22"/>
        <v>2.8391203704813961E-2</v>
      </c>
      <c r="N117" s="7">
        <f t="shared" si="23"/>
        <v>40.883333334932104</v>
      </c>
      <c r="O117" s="7"/>
      <c r="P117" s="7"/>
      <c r="Q117" s="23"/>
      <c r="R117" s="23"/>
      <c r="S117" s="32">
        <f t="shared" si="24"/>
        <v>1</v>
      </c>
      <c r="T117" s="47" t="str">
        <f t="shared" si="25"/>
        <v>Southbound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26"/>
        <v>https://d0f6bd738d7f1b3e5a7ca70fe4ff75f0.us-east-1.aws.found.io/app/kibana#/discover/Steve-Slow-Train-Analysis-(2080s-and-2083s)?_g=(refreshInterval:(display:Off,pause:!f,section:0,value:0),time:(from:'2017-01-22T16:22:12-0700',mode:absolute,to:'2017-01-22T19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49" t="str">
        <f t="shared" si="27"/>
        <v>N</v>
      </c>
      <c r="X117" s="170">
        <f t="shared" si="28"/>
        <v>1</v>
      </c>
      <c r="Y117" s="64">
        <f t="shared" si="29"/>
        <v>23.2957</v>
      </c>
      <c r="Z117" s="64">
        <f t="shared" si="30"/>
        <v>1.4999999999999999E-2</v>
      </c>
      <c r="AA117" s="64">
        <f t="shared" si="31"/>
        <v>23.2807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32"/>
        <v>0204-22</v>
      </c>
      <c r="AE117" s="87" t="str">
        <f t="shared" si="33"/>
        <v>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 &amp; 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</v>
      </c>
      <c r="AF117" s="84" t="str">
        <f t="shared" si="34"/>
        <v>"C:\Program Files (x86)\AstroGrep\AstroGrep.exe" /spath="%USERPROFILE%\AppData\Local\Temp\OnboardLogs" /stypes="app*4028*20170123*" /stext=" 01:.+((SYSTEM_STATE.+slice.+state.+changed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8" t="str">
        <f t="shared" si="36"/>
        <v>"%USERPROFILE%\Documents\GitHub\eaglep3\Utilities\RefineRTDCRunTimes.py" --tripid 204-22 --locoid 4028 --swversion DE.1.0.8.0 --startMP 204:232957 --initTime 2017-01-22T17:22:12 --startdatetime 2017-01-22T17:26:26 --delay 1 --endMP 204:150 --enddatetime 2017-01-22T18:07:19 --enforcementcount 1 &gt;&gt;C:\Users\stu\Documents\GitHub\eaglep3-reporting\EC\2017-01-22-refined-times.txt</v>
      </c>
      <c r="AI117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{"issue":{"subject":"","project_id":79,"tracker_id":40,"status_id":1,"priority_id":2,"assigned_to_id":23,"start_date":"2017-01-22","description":"","custom_fields":[{"id":1,"name":"Subdivision","value":"EC"},{"id":4,"name":"Milepost","value":"0.015"},{"id":17,"name":"Train ID","value":"204-22"},{"id":16,"name":"Locomotive ID","value":"4028"},{"id":130,"name":"Impact","value":""},{"id":150,"name":"Time of Event (Mountain Time)","value":"18:07:19"},{"id":151,"name":"Denver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38"/>
        <v>start /low /b %USERPROFILE%\Documents\GitHub\eaglep3\Utilities\DownloadLogsFromS3.py --loco 4028 --day 2017-01-22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"%USERPROFILE%\AppData\Local\Temp\OnboardLogs"\RTDC4028\*4028*20170123* | grep -SE "(Enforcement Action)|(\[TIMEOUT)|(CHR.+\|PRM\|1\|D.+(SWITCH|SIGNAL).+UNKNOWN)" - &gt;&gt; 2017-01-22-UncaughtWiMAX.txt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590</v>
      </c>
      <c r="B118" s="7">
        <v>4007</v>
      </c>
      <c r="C118" s="22" t="s">
        <v>196</v>
      </c>
      <c r="D118" s="22" t="s">
        <v>229</v>
      </c>
      <c r="E118" s="13">
        <v>42757.693067129629</v>
      </c>
      <c r="F118" s="13">
        <v>42757.698113425926</v>
      </c>
      <c r="G118" s="7">
        <v>1</v>
      </c>
      <c r="H118" s="22" t="s">
        <v>757</v>
      </c>
      <c r="I118" s="13">
        <v>42757.72278935185</v>
      </c>
      <c r="J118" s="7">
        <v>1</v>
      </c>
      <c r="K118" s="105" t="str">
        <f t="shared" si="21"/>
        <v>4007/4008</v>
      </c>
      <c r="L118" s="22" t="str">
        <f>VLOOKUP(A118,'Trips&amp;Operators'!$C$1:$G$99999,5,FALSE)</f>
        <v>LEVIN SCOTT</v>
      </c>
      <c r="M118" s="6">
        <f t="shared" si="22"/>
        <v>2.4675925924384501E-2</v>
      </c>
      <c r="N118" s="7">
        <f t="shared" si="23"/>
        <v>35.533333331113681</v>
      </c>
      <c r="O118" s="7"/>
      <c r="P118" s="7"/>
      <c r="Q118" s="23"/>
      <c r="R118" s="23"/>
      <c r="S118" s="32">
        <f t="shared" si="24"/>
        <v>1</v>
      </c>
      <c r="T118" s="47" t="str">
        <f t="shared" si="25"/>
        <v>NorthBound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26"/>
        <v>https://d0f6bd738d7f1b3e5a7ca70fe4ff75f0.us-east-1.aws.found.io/app/kibana#/discover/Steve-Slow-Train-Analysis-(2080s-and-2083s)?_g=(refreshInterval:(display:Off,pause:!f,section:0,value:0),time:(from:'2017-01-22T15:38:01-0700',mode:absolute,to:'2017-01-22T18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8" s="49" t="str">
        <f t="shared" si="27"/>
        <v>N</v>
      </c>
      <c r="X118" s="170">
        <f t="shared" si="28"/>
        <v>1</v>
      </c>
      <c r="Y118" s="64">
        <f t="shared" si="29"/>
        <v>4.4600000000000001E-2</v>
      </c>
      <c r="Z118" s="64">
        <f t="shared" si="30"/>
        <v>23.3353</v>
      </c>
      <c r="AA118" s="64">
        <f t="shared" si="31"/>
        <v>23.290700000000001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32"/>
        <v>0205-22</v>
      </c>
      <c r="AE118" s="87" t="str">
        <f t="shared" si="33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118" s="84" t="str">
        <f t="shared" si="34"/>
        <v>"C:\Program Files (x86)\AstroGrep\AstroGrep.exe" /spath="%USERPROFILE%\AppData\Local\Temp\OnboardLogs" /stypes="app*4007*20170123*" /stext=" 00:.+((SYSTEM_STATE.+slice.+state.+changed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8" t="str">
        <f t="shared" si="36"/>
        <v>"%USERPROFILE%\Documents\GitHub\eaglep3\Utilities\RefineRTDCRunTimes.py" --tripid 205-22 --locoid 4007 --swversion DE.1.0.8.0 --startMP 204:446 --initTime 2017-01-22T16:38:01 --startdatetime 2017-01-22T16:45:17 --delay 1 --endMP 204:233353 --enddatetime 2017-01-22T17:20:49 --enforcementcount 1 &gt;&gt;C:\Users\stu\Documents\GitHub\eaglep3-reporting\EC\2017-01-22-refined-times.txt</v>
      </c>
      <c r="AI118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{"issue":{"subject":"","project_id":79,"tracker_id":40,"status_id":1,"priority_id":2,"assigned_to_id":23,"start_date":"2017-01-22","description":"","custom_fields":[{"id":1,"name":"Subdivision","value":"EC"},{"id":4,"name":"Milepost","value":"23.3353"},{"id":17,"name":"Train ID","value":"205-22"},{"id":16,"name":"Locomotive ID","value":"4007"},{"id":130,"name":"Impact","value":""},{"id":150,"name":"Time of Event (Mountain Time)","value":"17:20:49"},{"id":151,"name":"Denver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38"/>
        <v>start /low /b %USERPROFILE%\Documents\GitHub\eaglep3\Utilities\DownloadLogsFromS3.py --loco 4007 --day 2017-01-22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"%USERPROFILE%\AppData\Local\Temp\OnboardLogs"\RTDC4007\*4007*20170123* | grep -SE "(Enforcement Action)|(\[TIMEOUT)|(CHR.+\|PRM\|1\|D.+(SWITCH|SIGNAL).+UNKNOWN)" - &gt;&gt; 2017-01-22-UncaughtWiMAX.txt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602</v>
      </c>
      <c r="B119" s="7">
        <v>4008</v>
      </c>
      <c r="C119" s="22" t="s">
        <v>196</v>
      </c>
      <c r="D119" s="22" t="s">
        <v>332</v>
      </c>
      <c r="E119" s="13">
        <v>42757.732523148145</v>
      </c>
      <c r="F119" s="13">
        <v>42757.736979166664</v>
      </c>
      <c r="G119" s="7">
        <v>1</v>
      </c>
      <c r="H119" s="22" t="s">
        <v>334</v>
      </c>
      <c r="I119" s="13">
        <v>42757.763344907406</v>
      </c>
      <c r="J119" s="7">
        <v>1</v>
      </c>
      <c r="K119" s="105" t="str">
        <f t="shared" si="21"/>
        <v>4007/4008</v>
      </c>
      <c r="L119" s="22" t="str">
        <f>VLOOKUP(A119,'Trips&amp;Operators'!$C$1:$G$99999,5,FALSE)</f>
        <v>LEVIN SCOTT</v>
      </c>
      <c r="M119" s="6">
        <f t="shared" si="22"/>
        <v>2.6365740741312038E-2</v>
      </c>
      <c r="N119" s="7">
        <f t="shared" si="23"/>
        <v>37.966666667489335</v>
      </c>
      <c r="O119" s="7"/>
      <c r="P119" s="7"/>
      <c r="Q119" s="23"/>
      <c r="R119" s="23"/>
      <c r="S119" s="32">
        <f t="shared" si="24"/>
        <v>1</v>
      </c>
      <c r="T119" s="47" t="str">
        <f t="shared" si="25"/>
        <v>Southbound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26"/>
        <v>https://d0f6bd738d7f1b3e5a7ca70fe4ff75f0.us-east-1.aws.found.io/app/kibana#/discover/Steve-Slow-Train-Analysis-(2080s-and-2083s)?_g=(refreshInterval:(display:Off,pause:!f,section:0,value:0),time:(from:'2017-01-22T16:34:50-0700',mode:absolute,to:'2017-01-22T19:19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9" s="49" t="str">
        <f t="shared" si="27"/>
        <v>N</v>
      </c>
      <c r="X119" s="170">
        <f t="shared" si="28"/>
        <v>1</v>
      </c>
      <c r="Y119" s="64">
        <f t="shared" si="29"/>
        <v>23.3019</v>
      </c>
      <c r="Z119" s="64">
        <f t="shared" si="30"/>
        <v>1.23E-2</v>
      </c>
      <c r="AA119" s="64">
        <f t="shared" si="31"/>
        <v>23.2896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32"/>
        <v>0206-22</v>
      </c>
      <c r="AE119" s="87" t="str">
        <f t="shared" si="33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119" s="84" t="str">
        <f t="shared" si="34"/>
        <v>"C:\Program Files (x86)\AstroGrep\AstroGrep.exe" /spath="%USERPROFILE%\AppData\Local\Temp\OnboardLogs" /stypes="app*4008*20170123*" /stext=" 01:.+((SYSTEM_STATE.+slice.+state.+changed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8" t="str">
        <f t="shared" si="36"/>
        <v>"%USERPROFILE%\Documents\GitHub\eaglep3\Utilities\RefineRTDCRunTimes.py" --tripid 206-22 --locoid 4008 --swversion DE.1.0.8.0 --startMP 204:233019 --initTime 2017-01-22T17:34:50 --startdatetime 2017-01-22T17:41:15 --delay 1 --endMP 204:123 --enddatetime 2017-01-22T18:19:13 --enforcementcount 1 &gt;&gt;C:\Users\stu\Documents\GitHub\eaglep3-reporting\EC\2017-01-22-refined-times.txt</v>
      </c>
      <c r="AI119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{"issue":{"subject":"","project_id":79,"tracker_id":40,"status_id":1,"priority_id":2,"assigned_to_id":23,"start_date":"2017-01-22","description":"","custom_fields":[{"id":1,"name":"Subdivision","value":"EC"},{"id":4,"name":"Milepost","value":"0.0123"},{"id":17,"name":"Train ID","value":"206-22"},{"id":16,"name":"Locomotive ID","value":"4008"},{"id":130,"name":"Impact","value":""},{"id":150,"name":"Time of Event (Mountain Time)","value":"18:19:13"},{"id":151,"name":"Denver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38"/>
        <v>start /low /b %USERPROFILE%\Documents\GitHub\eaglep3\Utilities\DownloadLogsFromS3.py --loco 4008 --day 2017-01-22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"%USERPROFILE%\AppData\Local\Temp\OnboardLogs"\RTDC4008\*4008*20170123* | grep -SE "(Enforcement Action)|(\[TIMEOUT)|(CHR.+\|PRM\|1\|D.+(SWITCH|SIGNAL).+UNKNOWN)" - &gt;&gt; 2017-01-22-UncaughtWiMAX.txt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593</v>
      </c>
      <c r="B120" s="7">
        <v>4022</v>
      </c>
      <c r="C120" s="22" t="s">
        <v>196</v>
      </c>
      <c r="D120" s="22" t="s">
        <v>217</v>
      </c>
      <c r="E120" s="13">
        <v>42757.703344907408</v>
      </c>
      <c r="F120" s="13">
        <v>42757.708518518521</v>
      </c>
      <c r="G120" s="7">
        <v>1</v>
      </c>
      <c r="H120" s="22" t="s">
        <v>243</v>
      </c>
      <c r="I120" s="13">
        <v>42757.733101851853</v>
      </c>
      <c r="J120" s="7">
        <v>1</v>
      </c>
      <c r="K120" s="105" t="str">
        <f t="shared" si="21"/>
        <v>4021/4022</v>
      </c>
      <c r="L120" s="22" t="str">
        <f>VLOOKUP(A120,'Trips&amp;Operators'!$C$1:$G$99999,5,FALSE)</f>
        <v>BRUDER RICHARD</v>
      </c>
      <c r="M120" s="6">
        <f t="shared" si="22"/>
        <v>2.4583333331975155E-2</v>
      </c>
      <c r="N120" s="7">
        <f t="shared" si="23"/>
        <v>35.399999998044223</v>
      </c>
      <c r="O120" s="7"/>
      <c r="P120" s="7"/>
      <c r="Q120" s="23"/>
      <c r="R120" s="23"/>
      <c r="S120" s="32">
        <f t="shared" si="24"/>
        <v>1</v>
      </c>
      <c r="T120" s="47" t="str">
        <f t="shared" si="25"/>
        <v>NorthBound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26"/>
        <v>https://d0f6bd738d7f1b3e5a7ca70fe4ff75f0.us-east-1.aws.found.io/app/kibana#/discover/Steve-Slow-Train-Analysis-(2080s-and-2083s)?_g=(refreshInterval:(display:Off,pause:!f,section:0,value:0),time:(from:'2017-01-22T15:52:49-0700',mode:absolute,to:'2017-01-22T18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0" s="49" t="str">
        <f t="shared" si="27"/>
        <v>N</v>
      </c>
      <c r="X120" s="170">
        <f t="shared" si="28"/>
        <v>1</v>
      </c>
      <c r="Y120" s="64">
        <f t="shared" si="29"/>
        <v>4.6199999999999998E-2</v>
      </c>
      <c r="Z120" s="64">
        <f t="shared" si="30"/>
        <v>23.329699999999999</v>
      </c>
      <c r="AA120" s="64">
        <f t="shared" si="31"/>
        <v>23.2835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32"/>
        <v>0207-22</v>
      </c>
      <c r="AE120" s="87" t="str">
        <f t="shared" si="33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120" s="84" t="str">
        <f t="shared" si="34"/>
        <v>"C:\Program Files (x86)\AstroGrep\AstroGrep.exe" /spath="%USERPROFILE%\AppData\Local\Temp\OnboardLogs" /stypes="app*4022*20170123*" /stext=" 00:.+((SYSTEM_STATE.+slice.+state.+changed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8" t="str">
        <f t="shared" si="36"/>
        <v>"%USERPROFILE%\Documents\GitHub\eaglep3\Utilities\RefineRTDCRunTimes.py" --tripid 207-22 --locoid 4022 --swversion DE.1.0.8.0 --startMP 204:462 --initTime 2017-01-22T16:52:49 --startdatetime 2017-01-22T17:00:16 --delay 1 --endMP 204:233297 --enddatetime 2017-01-22T17:35:40 --enforcementcount 1 &gt;&gt;C:\Users\stu\Documents\GitHub\eaglep3-reporting\EC\2017-01-22-refined-times.txt</v>
      </c>
      <c r="AI120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{"issue":{"subject":"","project_id":79,"tracker_id":40,"status_id":1,"priority_id":2,"assigned_to_id":23,"start_date":"2017-01-22","description":"","custom_fields":[{"id":1,"name":"Subdivision","value":"EC"},{"id":4,"name":"Milepost","value":"23.3297"},{"id":17,"name":"Train ID","value":"207-22"},{"id":16,"name":"Locomotive ID","value":"4022"},{"id":130,"name":"Impact","value":""},{"id":150,"name":"Time of Event (Mountain Time)","value":"17:35:40"},{"id":151,"name":"Denver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38"/>
        <v>start /low /b %USERPROFILE%\Documents\GitHub\eaglep3\Utilities\DownloadLogsFromS3.py --loco 4022 --day 2017-01-22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2017-01-22-UncaughtWiMAX.txt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605</v>
      </c>
      <c r="B121" s="7">
        <v>4021</v>
      </c>
      <c r="C121" s="22" t="s">
        <v>196</v>
      </c>
      <c r="D121" s="22" t="s">
        <v>405</v>
      </c>
      <c r="E121" s="13">
        <v>42757.739641203705</v>
      </c>
      <c r="F121" s="13">
        <v>42757.747407407405</v>
      </c>
      <c r="G121" s="7">
        <v>1</v>
      </c>
      <c r="H121" s="22" t="s">
        <v>242</v>
      </c>
      <c r="I121" s="13">
        <v>42757.774143518516</v>
      </c>
      <c r="J121" s="7">
        <v>1</v>
      </c>
      <c r="K121" s="105" t="str">
        <f t="shared" si="21"/>
        <v>4021/4022</v>
      </c>
      <c r="L121" s="22" t="str">
        <f>VLOOKUP(A121,'Trips&amp;Operators'!$C$1:$G$99999,5,FALSE)</f>
        <v>BRUDER RICHARD</v>
      </c>
      <c r="M121" s="6">
        <f t="shared" si="22"/>
        <v>2.6736111110949423E-2</v>
      </c>
      <c r="N121" s="7">
        <f t="shared" si="23"/>
        <v>38.499999999767169</v>
      </c>
      <c r="O121" s="7"/>
      <c r="P121" s="7"/>
      <c r="Q121" s="23"/>
      <c r="R121" s="23"/>
      <c r="S121" s="32">
        <f t="shared" si="24"/>
        <v>1</v>
      </c>
      <c r="T121" s="47" t="str">
        <f t="shared" si="25"/>
        <v>Southbound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26"/>
        <v>https://d0f6bd738d7f1b3e5a7ca70fe4ff75f0.us-east-1.aws.found.io/app/kibana#/discover/Steve-Slow-Train-Analysis-(2080s-and-2083s)?_g=(refreshInterval:(display:Off,pause:!f,section:0,value:0),time:(from:'2017-01-22T16:45:05-0700',mode:absolute,to:'2017-01-22T19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1" s="49" t="str">
        <f t="shared" si="27"/>
        <v>N</v>
      </c>
      <c r="X121" s="170">
        <f t="shared" si="28"/>
        <v>1</v>
      </c>
      <c r="Y121" s="64">
        <f t="shared" si="29"/>
        <v>23.2973</v>
      </c>
      <c r="Z121" s="64">
        <f t="shared" si="30"/>
        <v>1.54E-2</v>
      </c>
      <c r="AA121" s="64">
        <f t="shared" si="31"/>
        <v>23.2819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32"/>
        <v>0208-22</v>
      </c>
      <c r="AE121" s="87" t="str">
        <f t="shared" si="33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121" s="84" t="str">
        <f t="shared" si="34"/>
        <v>"C:\Program Files (x86)\AstroGrep\AstroGrep.exe" /spath="%USERPROFILE%\AppData\Local\Temp\OnboardLogs" /stypes="app*4021*20170123*" /stext=" 01:.+((SYSTEM_STATE.+slice.+state.+changed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8" t="str">
        <f t="shared" si="36"/>
        <v>"%USERPROFILE%\Documents\GitHub\eaglep3\Utilities\RefineRTDCRunTimes.py" --tripid 208-22 --locoid 4021 --swversion DE.1.0.8.0 --startMP 204:232973 --initTime 2017-01-22T17:45:05 --startdatetime 2017-01-22T17:56:16 --delay 1 --endMP 204:154 --enddatetime 2017-01-22T18:34:46 --enforcementcount 1 &gt;&gt;C:\Users\stu\Documents\GitHub\eaglep3-reporting\EC\2017-01-22-refined-times.txt</v>
      </c>
      <c r="AI121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{"issue":{"subject":"","project_id":79,"tracker_id":40,"status_id":1,"priority_id":2,"assigned_to_id":23,"start_date":"2017-01-22","description":"","custom_fields":[{"id":1,"name":"Subdivision","value":"EC"},{"id":4,"name":"Milepost","value":"0.0154"},{"id":17,"name":"Train ID","value":"208-22"},{"id":16,"name":"Locomotive ID","value":"4021"},{"id":130,"name":"Impact","value":""},{"id":150,"name":"Time of Event (Mountain Time)","value":"18:34:46"},{"id":151,"name":"Denver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38"/>
        <v>start /low /b %USERPROFILE%\Documents\GitHub\eaglep3\Utilities\DownloadLogsFromS3.py --loco 4021 --day 2017-01-22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2017-01-22-UncaughtWiMAX.txt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 s="34" t="s">
        <v>596</v>
      </c>
      <c r="B122" s="7">
        <v>4003</v>
      </c>
      <c r="C122" s="22" t="s">
        <v>196</v>
      </c>
      <c r="D122" s="22" t="s">
        <v>217</v>
      </c>
      <c r="E122" s="13">
        <v>42757.716747685183</v>
      </c>
      <c r="F122" s="13">
        <v>42757.719050925924</v>
      </c>
      <c r="G122" s="7">
        <v>1</v>
      </c>
      <c r="H122" s="22" t="s">
        <v>758</v>
      </c>
      <c r="I122" s="13">
        <v>42757.744317129633</v>
      </c>
      <c r="J122" s="7">
        <v>1</v>
      </c>
      <c r="K122" s="105" t="str">
        <f t="shared" si="21"/>
        <v>4003/4004</v>
      </c>
      <c r="L122" s="22" t="str">
        <f>VLOOKUP(A122,'Trips&amp;Operators'!$C$1:$G$99999,5,FALSE)</f>
        <v>CHANDLER KELVIN</v>
      </c>
      <c r="M122" s="6">
        <f t="shared" si="22"/>
        <v>2.5266203709179536E-2</v>
      </c>
      <c r="N122" s="7">
        <f t="shared" si="23"/>
        <v>36.383333341218531</v>
      </c>
      <c r="O122" s="7"/>
      <c r="P122" s="7"/>
      <c r="Q122" s="23"/>
      <c r="R122" s="23"/>
      <c r="S122" s="32">
        <f t="shared" si="24"/>
        <v>1</v>
      </c>
      <c r="T122" s="47" t="str">
        <f t="shared" si="25"/>
        <v>NorthBound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26"/>
        <v>https://d0f6bd738d7f1b3e5a7ca70fe4ff75f0.us-east-1.aws.found.io/app/kibana#/discover/Steve-Slow-Train-Analysis-(2080s-and-2083s)?_g=(refreshInterval:(display:Off,pause:!f,section:0,value:0),time:(from:'2017-01-22T16:12:07-0700',mode:absolute,to:'2017-01-22T18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2" s="49" t="str">
        <f t="shared" si="27"/>
        <v>N</v>
      </c>
      <c r="X122" s="170">
        <f t="shared" si="28"/>
        <v>1</v>
      </c>
      <c r="Y122" s="64">
        <f t="shared" si="29"/>
        <v>4.6199999999999998E-2</v>
      </c>
      <c r="Z122" s="64">
        <f t="shared" si="30"/>
        <v>23.3276</v>
      </c>
      <c r="AA122" s="64">
        <f t="shared" si="31"/>
        <v>23.281400000000001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32"/>
        <v>0209-22</v>
      </c>
      <c r="AE122" s="87" t="str">
        <f t="shared" si="33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122" s="84" t="str">
        <f t="shared" si="34"/>
        <v>"C:\Program Files (x86)\AstroGrep\AstroGrep.exe" /spath="%USERPROFILE%\AppData\Local\Temp\OnboardLogs" /stypes="app*4003*20170123*" /stext=" 00:.+((SYSTEM_STATE.+slice.+state.+changed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8" t="str">
        <f t="shared" si="36"/>
        <v>"%USERPROFILE%\Documents\GitHub\eaglep3\Utilities\RefineRTDCRunTimes.py" --tripid 209-22 --locoid 4003 --swversion DE.1.0.8.0 --startMP 204:462 --initTime 2017-01-22T17:12:07 --startdatetime 2017-01-22T17:15:26 --delay 1 --endMP 204:233276 --enddatetime 2017-01-22T17:51:49 --enforcementcount 1 &gt;&gt;C:\Users\stu\Documents\GitHub\eaglep3-reporting\EC\2017-01-22-refined-times.txt</v>
      </c>
      <c r="AI122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{"issue":{"subject":"","project_id":79,"tracker_id":40,"status_id":1,"priority_id":2,"assigned_to_id":23,"start_date":"2017-01-22","description":"","custom_fields":[{"id":1,"name":"Subdivision","value":"EC"},{"id":4,"name":"Milepost","value":"23.3276"},{"id":17,"name":"Train ID","value":"209-22"},{"id":16,"name":"Locomotive ID","value":"4003"},{"id":130,"name":"Impact","value":""},{"id":150,"name":"Time of Event (Mountain Time)","value":"17:51:49"},{"id":151,"name":"Denver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38"/>
        <v>start /low /b %USERPROFILE%\Documents\GitHub\eaglep3\Utilities\DownloadLogsFromS3.py --loco 4003 --day 2017-01-22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"%USERPROFILE%\AppData\Local\Temp\OnboardLogs"\RTDC4003\*4003*20170123* | grep -SE "(Enforcement Action)|(\[TIMEOUT)|(CHR.+\|PRM\|1\|D.+(SWITCH|SIGNAL).+UNKNOWN)" - &gt;&gt; 2017-01-22-UncaughtWiMAX.txt</v>
      </c>
    </row>
    <row r="123" spans="1:91" s="21" customFormat="1" x14ac:dyDescent="0.25">
      <c r="A123" s="34" t="s">
        <v>609</v>
      </c>
      <c r="B123" s="7">
        <v>4004</v>
      </c>
      <c r="C123" s="22" t="s">
        <v>196</v>
      </c>
      <c r="D123" s="22" t="s">
        <v>759</v>
      </c>
      <c r="E123" s="13">
        <v>42757.754386574074</v>
      </c>
      <c r="F123" s="13">
        <v>42757.757870370369</v>
      </c>
      <c r="G123" s="7">
        <v>1</v>
      </c>
      <c r="H123" s="22" t="s">
        <v>261</v>
      </c>
      <c r="I123" s="13">
        <v>42757.785624999997</v>
      </c>
      <c r="J123" s="7">
        <v>1</v>
      </c>
      <c r="K123" s="105" t="str">
        <f t="shared" si="21"/>
        <v>4003/4004</v>
      </c>
      <c r="L123" s="22" t="str">
        <f>VLOOKUP(A123,'Trips&amp;Operators'!$C$1:$G$99999,5,FALSE)</f>
        <v>CHANDLER KELVIN</v>
      </c>
      <c r="M123" s="6">
        <f t="shared" si="22"/>
        <v>2.7754629627452232E-2</v>
      </c>
      <c r="N123" s="7">
        <f t="shared" si="23"/>
        <v>39.966666663531214</v>
      </c>
      <c r="O123" s="7"/>
      <c r="P123" s="7"/>
      <c r="Q123" s="23"/>
      <c r="R123" s="23"/>
      <c r="S123" s="32">
        <f t="shared" si="24"/>
        <v>1</v>
      </c>
      <c r="T123" s="47" t="str">
        <f t="shared" si="25"/>
        <v>Southbound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26"/>
        <v>https://d0f6bd738d7f1b3e5a7ca70fe4ff75f0.us-east-1.aws.found.io/app/kibana#/discover/Steve-Slow-Train-Analysis-(2080s-and-2083s)?_g=(refreshInterval:(display:Off,pause:!f,section:0,value:0),time:(from:'2017-01-22T17:06:19-0700',mode:absolute,to:'2017-01-22T19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3" s="49" t="str">
        <f t="shared" si="27"/>
        <v>N</v>
      </c>
      <c r="X123" s="170">
        <f t="shared" si="28"/>
        <v>1</v>
      </c>
      <c r="Y123" s="64">
        <f t="shared" si="29"/>
        <v>23.297000000000001</v>
      </c>
      <c r="Z123" s="64">
        <f t="shared" si="30"/>
        <v>1.32E-2</v>
      </c>
      <c r="AA123" s="64">
        <f t="shared" si="31"/>
        <v>23.283799999999999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32"/>
        <v>0210-22</v>
      </c>
      <c r="AE123" s="87" t="str">
        <f t="shared" si="33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123" s="84" t="str">
        <f t="shared" si="34"/>
        <v>"C:\Program Files (x86)\AstroGrep\AstroGrep.exe" /spath="%USERPROFILE%\AppData\Local\Temp\OnboardLogs" /stypes="app*4004*20170123*"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8" t="str">
        <f t="shared" si="36"/>
        <v>"%USERPROFILE%\Documents\GitHub\eaglep3\Utilities\RefineRTDCRunTimes.py" --tripid 210-22 --locoid 4004 --swversion DE.1.0.8.0 --startMP 204:232970 --initTime 2017-01-22T18:06:19 --startdatetime 2017-01-22T18:11:20 --delay 1 --endMP 204:132 --enddatetime 2017-01-22T18:51:18 --enforcementcount 1 &gt;&gt;C:\Users\stu\Documents\GitHub\eaglep3-reporting\EC\2017-01-22-refined-times.txt</v>
      </c>
      <c r="AI123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{"issue":{"subject":"","project_id":79,"tracker_id":40,"status_id":1,"priority_id":2,"assigned_to_id":23,"start_date":"2017-01-22","description":"","custom_fields":[{"id":1,"name":"Subdivision","value":"EC"},{"id":4,"name":"Milepost","value":"0.0132"},{"id":17,"name":"Train ID","value":"210-22"},{"id":16,"name":"Locomotive ID","value":"4004"},{"id":130,"name":"Impact","value":""},{"id":150,"name":"Time of Event (Mountain Time)","value":"18:51:18"},{"id":151,"name":"Denver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38"/>
        <v>start /low /b %USERPROFILE%\Documents\GitHub\eaglep3\Utilities\DownloadLogsFromS3.py --loco 4004 --day 2017-01-22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"%USERPROFILE%\AppData\Local\Temp\OnboardLogs"\RTDC4004\*4004*20170123* | grep -SE "(Enforcement Action)|(\[TIMEOUT)|(CHR.+\|PRM\|1\|D.+(SWITCH|SIGNAL).+UNKNOWN)" - &gt;&gt; 2017-01-22-UncaughtWiMAX.txt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4" t="s">
        <v>599</v>
      </c>
      <c r="B124" s="7">
        <v>4046</v>
      </c>
      <c r="C124" s="22" t="s">
        <v>196</v>
      </c>
      <c r="D124" s="22" t="s">
        <v>229</v>
      </c>
      <c r="E124" s="13">
        <v>42757.723657407405</v>
      </c>
      <c r="F124" s="13">
        <v>42757.729398148149</v>
      </c>
      <c r="G124" s="7">
        <v>1</v>
      </c>
      <c r="H124" s="22" t="s">
        <v>760</v>
      </c>
      <c r="I124" s="13">
        <v>42757.754131944443</v>
      </c>
      <c r="J124" s="7">
        <v>1</v>
      </c>
      <c r="K124" s="105" t="str">
        <f t="shared" si="21"/>
        <v>4045/4046</v>
      </c>
      <c r="L124" s="22" t="str">
        <f>VLOOKUP(A124,'Trips&amp;Operators'!$C$1:$G$99999,5,FALSE)</f>
        <v>CRAYTON QUNTRELL</v>
      </c>
      <c r="M124" s="6">
        <f t="shared" si="22"/>
        <v>2.4733796293730848E-2</v>
      </c>
      <c r="N124" s="7">
        <f t="shared" si="23"/>
        <v>35.61666666297242</v>
      </c>
      <c r="O124" s="7"/>
      <c r="P124" s="7"/>
      <c r="Q124" s="23"/>
      <c r="R124" s="23"/>
      <c r="S124" s="32">
        <f t="shared" si="24"/>
        <v>1</v>
      </c>
      <c r="T124" s="47" t="str">
        <f t="shared" si="25"/>
        <v>NorthBound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26"/>
        <v>https://d0f6bd738d7f1b3e5a7ca70fe4ff75f0.us-east-1.aws.found.io/app/kibana#/discover/Steve-Slow-Train-Analysis-(2080s-and-2083s)?_g=(refreshInterval:(display:Off,pause:!f,section:0,value:0),time:(from:'2017-01-22T16:22:04-0700',mode:absolute,to:'2017-01-22T19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4" s="49" t="str">
        <f t="shared" si="27"/>
        <v>N</v>
      </c>
      <c r="X124" s="170">
        <f t="shared" si="28"/>
        <v>1</v>
      </c>
      <c r="Y124" s="64">
        <f t="shared" si="29"/>
        <v>4.4600000000000001E-2</v>
      </c>
      <c r="Z124" s="64">
        <f t="shared" si="30"/>
        <v>23.328900000000001</v>
      </c>
      <c r="AA124" s="64">
        <f t="shared" si="31"/>
        <v>23.284300000000002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32"/>
        <v>0211-22</v>
      </c>
      <c r="AE124" s="87" t="str">
        <f t="shared" si="33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124" s="84" t="str">
        <f t="shared" si="34"/>
        <v>"C:\Program Files (x86)\AstroGrep\AstroGrep.exe" /spath="%USERPROFILE%\AppData\Local\Temp\OnboardLogs" /stypes="app*4046*20170123*" /stext=" 01:.+((SYSTEM_STATE.+slice.+state.+changed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8" t="str">
        <f t="shared" si="36"/>
        <v>"%USERPROFILE%\Documents\GitHub\eaglep3\Utilities\RefineRTDCRunTimes.py" --tripid 211-22 --locoid 4046 --swversion DE.1.0.8.0 --startMP 204:446 --initTime 2017-01-22T17:22:04 --startdatetime 2017-01-22T17:30:20 --delay 1 --endMP 204:233289 --enddatetime 2017-01-22T18:05:57 --enforcementcount 1 &gt;&gt;C:\Users\stu\Documents\GitHub\eaglep3-reporting\EC\2017-01-22-refined-times.txt</v>
      </c>
      <c r="AI124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{"issue":{"subject":"","project_id":79,"tracker_id":40,"status_id":1,"priority_id":2,"assigned_to_id":23,"start_date":"2017-01-22","description":"","custom_fields":[{"id":1,"name":"Subdivision","value":"EC"},{"id":4,"name":"Milepost","value":"23.3289"},{"id":17,"name":"Train ID","value":"211-22"},{"id":16,"name":"Locomotive ID","value":"4046"},{"id":130,"name":"Impact","value":""},{"id":150,"name":"Time of Event (Mountain Time)","value":"18:05:57"},{"id":151,"name":"Denver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38"/>
        <v>start /low /b %USERPROFILE%\Documents\GitHub\eaglep3\Utilities\DownloadLogsFromS3.py --loco 4046 --day 2017-01-22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2017-01-22-UncaughtWiMAX.txt</v>
      </c>
    </row>
    <row r="125" spans="1:91" s="21" customFormat="1" x14ac:dyDescent="0.25">
      <c r="A125" s="34" t="s">
        <v>612</v>
      </c>
      <c r="B125" s="7">
        <v>4045</v>
      </c>
      <c r="C125" s="22" t="s">
        <v>196</v>
      </c>
      <c r="D125" s="22" t="s">
        <v>407</v>
      </c>
      <c r="E125" s="13">
        <v>42757.762048611112</v>
      </c>
      <c r="F125" s="13">
        <v>42757.768414351849</v>
      </c>
      <c r="G125" s="7">
        <v>2</v>
      </c>
      <c r="H125" s="22" t="s">
        <v>761</v>
      </c>
      <c r="I125" s="13">
        <v>42757.795127314814</v>
      </c>
      <c r="J125" s="7">
        <v>1</v>
      </c>
      <c r="K125" s="105" t="str">
        <f t="shared" si="21"/>
        <v>4045/4046</v>
      </c>
      <c r="L125" s="22" t="str">
        <f>VLOOKUP(A125,'Trips&amp;Operators'!$C$1:$G$99999,5,FALSE)</f>
        <v>CRAYTON QUNTRELL</v>
      </c>
      <c r="M125" s="6">
        <f t="shared" si="22"/>
        <v>2.6712962964666076E-2</v>
      </c>
      <c r="N125" s="7">
        <f t="shared" si="23"/>
        <v>38.466666669119149</v>
      </c>
      <c r="O125" s="7"/>
      <c r="P125" s="7"/>
      <c r="Q125" s="23"/>
      <c r="R125" s="23"/>
      <c r="S125" s="32">
        <f t="shared" si="24"/>
        <v>1</v>
      </c>
      <c r="T125" s="47" t="str">
        <f t="shared" si="25"/>
        <v>Southbound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26"/>
        <v>https://d0f6bd738d7f1b3e5a7ca70fe4ff75f0.us-east-1.aws.found.io/app/kibana#/discover/Steve-Slow-Train-Analysis-(2080s-and-2083s)?_g=(refreshInterval:(display:Off,pause:!f,section:0,value:0),time:(from:'2017-01-22T17:17:21-0700',mode:absolute,to:'2017-01-22T20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5" s="49" t="str">
        <f t="shared" si="27"/>
        <v>N</v>
      </c>
      <c r="X125" s="170">
        <f t="shared" si="28"/>
        <v>1</v>
      </c>
      <c r="Y125" s="64">
        <f t="shared" si="29"/>
        <v>23.296500000000002</v>
      </c>
      <c r="Z125" s="64">
        <f t="shared" si="30"/>
        <v>1.7000000000000001E-2</v>
      </c>
      <c r="AA125" s="64">
        <f t="shared" si="31"/>
        <v>23.279500000000002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32"/>
        <v>0212-22</v>
      </c>
      <c r="AE125" s="87" t="str">
        <f t="shared" si="33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125" s="84" t="str">
        <f t="shared" si="34"/>
        <v>"C:\Program Files (x86)\AstroGrep\AstroGrep.exe" /spath="%USERPROFILE%\AppData\Local\Temp\OnboardLogs" /stypes="app*4045*20170123*" /stext=" 02:.+((SYSTEM_STATE.+slice.+state.+changed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8" t="str">
        <f t="shared" si="36"/>
        <v>"%USERPROFILE%\Documents\GitHub\eaglep3\Utilities\RefineRTDCRunTimes.py" --tripid 212-22 --locoid 4045 --swversion DE.1.0.8.0 --startMP 204:232965 --initTime 2017-01-22T18:17:21 --startdatetime 2017-01-22T18:26:31 --delay 2 --endMP 204:170 --enddatetime 2017-01-22T19:04:59 --enforcementcount 1 &gt;&gt;C:\Users\stu\Documents\GitHub\eaglep3-reporting\EC\2017-01-22-refined-times.txt</v>
      </c>
      <c r="AI125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{"issue":{"subject":"","project_id":79,"tracker_id":40,"status_id":1,"priority_id":2,"assigned_to_id":23,"start_date":"2017-01-22","description":"","custom_fields":[{"id":1,"name":"Subdivision","value":"EC"},{"id":4,"name":"Milepost","value":"0.017"},{"id":17,"name":"Train ID","value":"212-22"},{"id":16,"name":"Locomotive ID","value":"4045"},{"id":130,"name":"Impact","value":""},{"id":150,"name":"Time of Event (Mountain Time)","value":"19:04:59"},{"id":151,"name":"Denver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38"/>
        <v>start /low /b %USERPROFILE%\Documents\GitHub\eaglep3\Utilities\DownloadLogsFromS3.py --loco 4045 --day 2017-01-22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2017-01-22-UncaughtWiMAX.txt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604</v>
      </c>
      <c r="B126" s="7">
        <v>4044</v>
      </c>
      <c r="C126" s="22" t="s">
        <v>196</v>
      </c>
      <c r="D126" s="22" t="s">
        <v>244</v>
      </c>
      <c r="E126" s="13">
        <v>42757.736956018518</v>
      </c>
      <c r="F126" s="13">
        <v>42757.739768518521</v>
      </c>
      <c r="G126" s="7">
        <v>1</v>
      </c>
      <c r="H126" s="22" t="s">
        <v>723</v>
      </c>
      <c r="I126" s="13">
        <v>42757.764432870368</v>
      </c>
      <c r="J126" s="7">
        <v>1</v>
      </c>
      <c r="K126" s="105" t="str">
        <f t="shared" si="21"/>
        <v>4043/4044</v>
      </c>
      <c r="L126" s="22" t="str">
        <f>VLOOKUP(A126,'Trips&amp;Operators'!$C$1:$G$99999,5,FALSE)</f>
        <v>NEWELL JAMES</v>
      </c>
      <c r="M126" s="6">
        <f t="shared" si="22"/>
        <v>2.4664351847604848E-2</v>
      </c>
      <c r="N126" s="7">
        <f t="shared" si="23"/>
        <v>35.516666660550982</v>
      </c>
      <c r="O126" s="7"/>
      <c r="P126" s="7"/>
      <c r="Q126" s="23"/>
      <c r="R126" s="23"/>
      <c r="S126" s="32">
        <f t="shared" si="24"/>
        <v>1</v>
      </c>
      <c r="T126" s="47" t="str">
        <f t="shared" si="25"/>
        <v>NorthBound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26"/>
        <v>https://d0f6bd738d7f1b3e5a7ca70fe4ff75f0.us-east-1.aws.found.io/app/kibana#/discover/Steve-Slow-Train-Analysis-(2080s-and-2083s)?_g=(refreshInterval:(display:Off,pause:!f,section:0,value:0),time:(from:'2017-01-22T16:41:13-0700',mode:absolute,to:'2017-01-22T19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6" s="49" t="str">
        <f t="shared" si="27"/>
        <v>N</v>
      </c>
      <c r="X126" s="170">
        <f t="shared" si="28"/>
        <v>1</v>
      </c>
      <c r="Y126" s="64">
        <f t="shared" si="29"/>
        <v>4.4200000000000003E-2</v>
      </c>
      <c r="Z126" s="64">
        <f t="shared" si="30"/>
        <v>23.328700000000001</v>
      </c>
      <c r="AA126" s="64">
        <f t="shared" si="31"/>
        <v>23.284500000000001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32"/>
        <v>0213-22</v>
      </c>
      <c r="AE126" s="87" t="str">
        <f t="shared" si="33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126" s="84" t="str">
        <f t="shared" si="34"/>
        <v>"C:\Program Files (x86)\AstroGrep\AstroGrep.exe" /spath="%USERPROFILE%\AppData\Local\Temp\OnboardLogs" /stypes="app*4044*20170123*" /stext=" 01:.+((SYSTEM_STATE.+slice.+state.+changed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8" t="str">
        <f t="shared" si="36"/>
        <v>"%USERPROFILE%\Documents\GitHub\eaglep3\Utilities\RefineRTDCRunTimes.py" --tripid 213-22 --locoid 4044 --swversion DE.1.0.8.0 --startMP 204:442 --initTime 2017-01-22T17:41:13 --startdatetime 2017-01-22T17:45:16 --delay 1 --endMP 204:233287 --enddatetime 2017-01-22T18:20:47 --enforcementcount 1 &gt;&gt;C:\Users\stu\Documents\GitHub\eaglep3-reporting\EC\2017-01-22-refined-times.txt</v>
      </c>
      <c r="AI126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{"issue":{"subject":"","project_id":79,"tracker_id":40,"status_id":1,"priority_id":2,"assigned_to_id":23,"start_date":"2017-01-22","description":"","custom_fields":[{"id":1,"name":"Subdivision","value":"EC"},{"id":4,"name":"Milepost","value":"23.3287"},{"id":17,"name":"Train ID","value":"213-22"},{"id":16,"name":"Locomotive ID","value":"4044"},{"id":130,"name":"Impact","value":""},{"id":150,"name":"Time of Event (Mountain Time)","value":"18:20:47"},{"id":151,"name":"Denver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38"/>
        <v>start /low /b %USERPROFILE%\Documents\GitHub\eaglep3\Utilities\DownloadLogsFromS3.py --loco 4044 --day 2017-01-22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"%USERPROFILE%\AppData\Local\Temp\OnboardLogs"\RTDC4044\*4044*20170123* | grep -SE "(Enforcement Action)|(\[TIMEOUT)|(CHR.+\|PRM\|1\|D.+(SWITCH|SIGNAL).+UNKNOWN)" - &gt;&gt; 2017-01-22-UncaughtWiMAX.txt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615</v>
      </c>
      <c r="B127" s="7">
        <v>4043</v>
      </c>
      <c r="C127" s="22" t="s">
        <v>196</v>
      </c>
      <c r="D127" s="22" t="s">
        <v>285</v>
      </c>
      <c r="E127" s="13">
        <v>42757.769803240742</v>
      </c>
      <c r="F127" s="13">
        <v>42757.778784722221</v>
      </c>
      <c r="G127" s="7">
        <v>1</v>
      </c>
      <c r="H127" s="22" t="s">
        <v>200</v>
      </c>
      <c r="I127" s="13">
        <v>42757.804837962962</v>
      </c>
      <c r="J127" s="7">
        <v>1</v>
      </c>
      <c r="K127" s="105" t="str">
        <f t="shared" si="21"/>
        <v>4043/4044</v>
      </c>
      <c r="L127" s="22" t="str">
        <f>VLOOKUP(A127,'Trips&amp;Operators'!$C$1:$G$99999,5,FALSE)</f>
        <v>NEWELL JAMES</v>
      </c>
      <c r="M127" s="6">
        <f t="shared" si="22"/>
        <v>2.6053240741021E-2</v>
      </c>
      <c r="N127" s="7">
        <f t="shared" si="23"/>
        <v>37.51666666707024</v>
      </c>
      <c r="O127" s="7"/>
      <c r="P127" s="7"/>
      <c r="Q127" s="23"/>
      <c r="R127" s="23"/>
      <c r="S127" s="32">
        <f t="shared" si="24"/>
        <v>1</v>
      </c>
      <c r="T127" s="47" t="str">
        <f t="shared" si="25"/>
        <v>Southbound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26"/>
        <v>https://d0f6bd738d7f1b3e5a7ca70fe4ff75f0.us-east-1.aws.found.io/app/kibana#/discover/Steve-Slow-Train-Analysis-(2080s-and-2083s)?_g=(refreshInterval:(display:Off,pause:!f,section:0,value:0),time:(from:'2017-01-22T17:28:31-0700',mode:absolute,to:'2017-01-22T20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7" s="49" t="str">
        <f t="shared" si="27"/>
        <v>N</v>
      </c>
      <c r="X127" s="170">
        <f t="shared" si="28"/>
        <v>1</v>
      </c>
      <c r="Y127" s="64">
        <f t="shared" si="29"/>
        <v>23.299800000000001</v>
      </c>
      <c r="Z127" s="64">
        <f t="shared" si="30"/>
        <v>1.4999999999999999E-2</v>
      </c>
      <c r="AA127" s="64">
        <f t="shared" si="31"/>
        <v>23.284800000000001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 t="shared" si="32"/>
        <v>0214-22</v>
      </c>
      <c r="AE127" s="87" t="str">
        <f t="shared" si="33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127" s="84" t="str">
        <f t="shared" si="34"/>
        <v>"C:\Program Files (x86)\AstroGrep\AstroGrep.exe" /spath="%USERPROFILE%\AppData\Local\Temp\OnboardLogs" /stypes="app*4043*20170123*" /stext=" 02:.+((SYSTEM_STATE.+slice.+state.+changed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8" t="str">
        <f t="shared" si="36"/>
        <v>"%USERPROFILE%\Documents\GitHub\eaglep3\Utilities\RefineRTDCRunTimes.py" --tripid 214-22 --locoid 4043 --swversion DE.1.0.8.0 --startMP 204:232998 --initTime 2017-01-22T18:28:31 --startdatetime 2017-01-22T18:41:27 --delay 1 --endMP 204:150 --enddatetime 2017-01-22T19:18:58 --enforcementcount 1 &gt;&gt;C:\Users\stu\Documents\GitHub\eaglep3-reporting\EC\2017-01-22-refined-times.txt</v>
      </c>
      <c r="AI127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{"issue":{"subject":"","project_id":79,"tracker_id":40,"status_id":1,"priority_id":2,"assigned_to_id":23,"start_date":"2017-01-22","description":"","custom_fields":[{"id":1,"name":"Subdivision","value":"EC"},{"id":4,"name":"Milepost","value":"0.015"},{"id":17,"name":"Train ID","value":"214-22"},{"id":16,"name":"Locomotive ID","value":"4043"},{"id":130,"name":"Impact","value":""},{"id":150,"name":"Time of Event (Mountain Time)","value":"19:18:58"},{"id":151,"name":"Denver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38"/>
        <v>start /low /b %USERPROFILE%\Documents\GitHub\eaglep3\Utilities\DownloadLogsFromS3.py --loco 4043 --day 2017-01-22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"%USERPROFILE%\AppData\Local\Temp\OnboardLogs"\RTDC4043\*4043*20170123* | grep -SE "(Enforcement Action)|(\[TIMEOUT)|(CHR.+\|PRM\|1\|D.+(SWITCH|SIGNAL).+UNKNOWN)" - &gt;&gt; 2017-01-22-UncaughtWiMAX.txt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606</v>
      </c>
      <c r="B128" s="7">
        <v>4038</v>
      </c>
      <c r="C128" s="22" t="s">
        <v>196</v>
      </c>
      <c r="D128" s="22" t="s">
        <v>259</v>
      </c>
      <c r="E128" s="13">
        <v>42757.745057870372</v>
      </c>
      <c r="F128" s="13">
        <v>42757.750185185185</v>
      </c>
      <c r="G128" s="7">
        <v>1</v>
      </c>
      <c r="H128" s="22" t="s">
        <v>692</v>
      </c>
      <c r="I128" s="13">
        <v>42757.775462962964</v>
      </c>
      <c r="J128" s="7">
        <v>1</v>
      </c>
      <c r="K128" s="105" t="str">
        <f t="shared" si="21"/>
        <v>4037/4038</v>
      </c>
      <c r="L128" s="22" t="str">
        <f>VLOOKUP(A128,'Trips&amp;Operators'!$C$1:$G$99999,5,FALSE)</f>
        <v>KILLION DAVID</v>
      </c>
      <c r="M128" s="6">
        <f t="shared" si="22"/>
        <v>2.527777777868323E-2</v>
      </c>
      <c r="N128" s="7">
        <f t="shared" si="23"/>
        <v>36.400000001303852</v>
      </c>
      <c r="O128" s="7"/>
      <c r="P128" s="7"/>
      <c r="Q128" s="23"/>
      <c r="R128" s="23"/>
      <c r="S128" s="32">
        <f t="shared" si="24"/>
        <v>1</v>
      </c>
      <c r="T128" s="47" t="str">
        <f t="shared" si="25"/>
        <v>NorthBound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26"/>
        <v>https://d0f6bd738d7f1b3e5a7ca70fe4ff75f0.us-east-1.aws.found.io/app/kibana#/discover/Steve-Slow-Train-Analysis-(2080s-and-2083s)?_g=(refreshInterval:(display:Off,pause:!f,section:0,value:0),time:(from:'2017-01-22T16:52:53-0700',mode:absolute,to:'2017-01-22T19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28" s="49" t="str">
        <f t="shared" si="27"/>
        <v>N</v>
      </c>
      <c r="X128" s="170">
        <f t="shared" si="28"/>
        <v>1</v>
      </c>
      <c r="Y128" s="64">
        <f t="shared" si="29"/>
        <v>4.6600000000000003E-2</v>
      </c>
      <c r="Z128" s="64">
        <f t="shared" si="30"/>
        <v>23.330500000000001</v>
      </c>
      <c r="AA128" s="64">
        <f t="shared" si="31"/>
        <v>23.283899999999999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32"/>
        <v>0215-22</v>
      </c>
      <c r="AE128" s="87" t="str">
        <f t="shared" si="33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128" s="84" t="str">
        <f t="shared" si="34"/>
        <v>"C:\Program Files (x86)\AstroGrep\AstroGrep.exe" /spath="%USERPROFILE%\AppData\Local\Temp\OnboardLogs" /stypes="app*4038*20170123*" /stext=" 01:.+((SYSTEM_STATE.+slice.+state.+changed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8" t="str">
        <f t="shared" si="36"/>
        <v>"%USERPROFILE%\Documents\GitHub\eaglep3\Utilities\RefineRTDCRunTimes.py" --tripid 215-22 --locoid 4038 --swversion DE.1.0.8.0 --startMP 204:466 --initTime 2017-01-22T17:52:53 --startdatetime 2017-01-22T18:00:16 --delay 1 --endMP 204:233305 --enddatetime 2017-01-22T18:36:40 --enforcementcount 1 &gt;&gt;C:\Users\stu\Documents\GitHub\eaglep3-reporting\EC\2017-01-22-refined-times.txt</v>
      </c>
      <c r="AI128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{"issue":{"subject":"","project_id":79,"tracker_id":40,"status_id":1,"priority_id":2,"assigned_to_id":23,"start_date":"2017-01-22","description":"","custom_fields":[{"id":1,"name":"Subdivision","value":"EC"},{"id":4,"name":"Milepost","value":"23.3305"},{"id":17,"name":"Train ID","value":"215-22"},{"id":16,"name":"Locomotive ID","value":"4038"},{"id":130,"name":"Impact","value":""},{"id":150,"name":"Time of Event (Mountain Time)","value":"18:36:40"},{"id":151,"name":"Denver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38"/>
        <v>start /low /b %USERPROFILE%\Documents\GitHub\eaglep3\Utilities\DownloadLogsFromS3.py --loco 4038 --day 2017-01-22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"%USERPROFILE%\AppData\Local\Temp\OnboardLogs"\RTDC4038\*4038*20170123* | grep -SE "(Enforcement Action)|(\[TIMEOUT)|(CHR.+\|PRM\|1\|D.+(SWITCH|SIGNAL).+UNKNOWN)" - &gt;&gt; 2017-01-22-UncaughtWiMAX.txt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618</v>
      </c>
      <c r="B129" s="7">
        <v>4037</v>
      </c>
      <c r="C129" s="22" t="s">
        <v>196</v>
      </c>
      <c r="D129" s="22" t="s">
        <v>405</v>
      </c>
      <c r="E129" s="13">
        <v>42757.782222222224</v>
      </c>
      <c r="F129" s="13">
        <v>42757.7891087963</v>
      </c>
      <c r="G129" s="7">
        <v>1</v>
      </c>
      <c r="H129" s="22" t="s">
        <v>200</v>
      </c>
      <c r="I129" s="13">
        <v>42757.816134259258</v>
      </c>
      <c r="J129" s="7">
        <v>1</v>
      </c>
      <c r="K129" s="105" t="str">
        <f t="shared" si="21"/>
        <v>4037/4038</v>
      </c>
      <c r="L129" s="22" t="str">
        <f>VLOOKUP(A129,'Trips&amp;Operators'!$C$1:$G$99999,5,FALSE)</f>
        <v>KILLION DAVID</v>
      </c>
      <c r="M129" s="6">
        <f t="shared" si="22"/>
        <v>2.7025462957681157E-2</v>
      </c>
      <c r="N129" s="7">
        <f t="shared" si="23"/>
        <v>38.916666659060866</v>
      </c>
      <c r="O129" s="7"/>
      <c r="P129" s="7"/>
      <c r="Q129" s="23"/>
      <c r="R129" s="23"/>
      <c r="S129" s="32">
        <f t="shared" si="24"/>
        <v>1</v>
      </c>
      <c r="T129" s="47" t="str">
        <f t="shared" si="25"/>
        <v>Southbound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26"/>
        <v>https://d0f6bd738d7f1b3e5a7ca70fe4ff75f0.us-east-1.aws.found.io/app/kibana#/discover/Steve-Slow-Train-Analysis-(2080s-and-2083s)?_g=(refreshInterval:(display:Off,pause:!f,section:0,value:0),time:(from:'2017-01-22T17:46:24-0700',mode:absolute,to:'2017-01-22T20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29" s="49" t="str">
        <f t="shared" si="27"/>
        <v>N</v>
      </c>
      <c r="X129" s="170">
        <f t="shared" si="28"/>
        <v>1</v>
      </c>
      <c r="Y129" s="64">
        <f t="shared" si="29"/>
        <v>23.2973</v>
      </c>
      <c r="Z129" s="64">
        <f t="shared" si="30"/>
        <v>1.4999999999999999E-2</v>
      </c>
      <c r="AA129" s="64">
        <f t="shared" si="31"/>
        <v>23.282299999999999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32"/>
        <v>0216-22</v>
      </c>
      <c r="AE129" s="87" t="str">
        <f t="shared" si="33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129" s="84" t="str">
        <f t="shared" si="34"/>
        <v>"C:\Program Files (x86)\AstroGrep\AstroGrep.exe" /spath="%USERPROFILE%\AppData\Local\Temp\OnboardLogs" /stypes="app*4037*20170123*" /stext=" 02:.+((SYSTEM_STATE.+slice.+state.+changed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8" t="str">
        <f t="shared" si="36"/>
        <v>"%USERPROFILE%\Documents\GitHub\eaglep3\Utilities\RefineRTDCRunTimes.py" --tripid 216-22 --locoid 4037 --swversion DE.1.0.8.0 --startMP 204:232973 --initTime 2017-01-22T18:46:24 --startdatetime 2017-01-22T18:56:19 --delay 1 --endMP 204:150 --enddatetime 2017-01-22T19:35:14 --enforcementcount 1 &gt;&gt;C:\Users\stu\Documents\GitHub\eaglep3-reporting\EC\2017-01-22-refined-times.txt</v>
      </c>
      <c r="AI129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{"issue":{"subject":"","project_id":79,"tracker_id":40,"status_id":1,"priority_id":2,"assigned_to_id":23,"start_date":"2017-01-22","description":"","custom_fields":[{"id":1,"name":"Subdivision","value":"EC"},{"id":4,"name":"Milepost","value":"0.015"},{"id":17,"name":"Train ID","value":"216-22"},{"id":16,"name":"Locomotive ID","value":"4037"},{"id":130,"name":"Impact","value":""},{"id":150,"name":"Time of Event (Mountain Time)","value":"19:35:14"},{"id":151,"name":"Denver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38"/>
        <v>start /low /b %USERPROFILE%\Documents\GitHub\eaglep3\Utilities\DownloadLogsFromS3.py --loco 4037 --day 2017-01-22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"%USERPROFILE%\AppData\Local\Temp\OnboardLogs"\RTDC4037\*4037*20170123* | grep -SE "(Enforcement Action)|(\[TIMEOUT)|(CHR.+\|PRM\|1\|D.+(SWITCH|SIGNAL).+UNKNOWN)" - &gt;&gt; 2017-01-22-UncaughtWiMAX.txt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610</v>
      </c>
      <c r="B130" s="7">
        <v>4027</v>
      </c>
      <c r="C130" s="22" t="s">
        <v>196</v>
      </c>
      <c r="D130" s="22" t="s">
        <v>217</v>
      </c>
      <c r="E130" s="13">
        <v>42757.757488425923</v>
      </c>
      <c r="F130" s="13">
        <v>42757.760717592595</v>
      </c>
      <c r="G130" s="7">
        <v>1</v>
      </c>
      <c r="H130" s="22" t="s">
        <v>236</v>
      </c>
      <c r="I130" s="13">
        <v>42757.786712962959</v>
      </c>
      <c r="J130" s="7">
        <v>1</v>
      </c>
      <c r="K130" s="105" t="str">
        <f t="shared" si="21"/>
        <v>4027/4028</v>
      </c>
      <c r="L130" s="22" t="str">
        <f>VLOOKUP(A130,'Trips&amp;Operators'!$C$1:$G$99999,5,FALSE)</f>
        <v>SMITH MICHAEL</v>
      </c>
      <c r="M130" s="6">
        <f t="shared" si="22"/>
        <v>2.5995370364398696E-2</v>
      </c>
      <c r="N130" s="7">
        <f t="shared" si="23"/>
        <v>37.433333324734122</v>
      </c>
      <c r="O130" s="7"/>
      <c r="P130" s="7"/>
      <c r="Q130" s="23"/>
      <c r="R130" s="23"/>
      <c r="S130" s="32">
        <f t="shared" si="24"/>
        <v>1</v>
      </c>
      <c r="T130" s="47" t="str">
        <f t="shared" si="25"/>
        <v>NorthBound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26"/>
        <v>https://d0f6bd738d7f1b3e5a7ca70fe4ff75f0.us-east-1.aws.found.io/app/kibana#/discover/Steve-Slow-Train-Analysis-(2080s-and-2083s)?_g=(refreshInterval:(display:Off,pause:!f,section:0,value:0),time:(from:'2017-01-22T17:10:47-0700',mode:absolute,to:'2017-01-22T19:52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0" s="49" t="str">
        <f t="shared" si="27"/>
        <v>N</v>
      </c>
      <c r="X130" s="170">
        <f t="shared" si="28"/>
        <v>1</v>
      </c>
      <c r="Y130" s="64">
        <f t="shared" si="29"/>
        <v>4.6199999999999998E-2</v>
      </c>
      <c r="Z130" s="64">
        <f t="shared" si="30"/>
        <v>23.3293</v>
      </c>
      <c r="AA130" s="64">
        <f t="shared" si="31"/>
        <v>23.283100000000001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32"/>
        <v>0217-22</v>
      </c>
      <c r="AE130" s="87" t="str">
        <f t="shared" si="33"/>
        <v>aws s3 cp s3://rtdc.mdm.uploadarchive.raw/RTDC4027/ "%USERPROFILE%\AppData\Local\Temp\OnboardLogs"\RTDC4027\2017-01-22 --exclude "*" --recursive --include "*20170122*" &amp; "%USERPROFILE%\Documents\GitHub\mrs-test-scripts\Headless Mode &amp; Sideloading\WalkAndUnGZ.bat" "%USERPROFILE%\AppData\Local\Temp\OnboardLogs"\RTDC4027\2017-01-22 &amp; 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</v>
      </c>
      <c r="AF130" s="84" t="str">
        <f t="shared" si="34"/>
        <v>"C:\Program Files (x86)\AstroGrep\AstroGrep.exe" /spath="%USERPROFILE%\AppData\Local\Temp\OnboardLogs" /stypes="app*4027*20170123*" /stext=" 01:.+((SYSTEM_STATE.+slice.+state.+changed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8" t="str">
        <f t="shared" si="36"/>
        <v>"%USERPROFILE%\Documents\GitHub\eaglep3\Utilities\RefineRTDCRunTimes.py" --tripid 217-22 --locoid 4027 --swversion DE.1.0.8.0 --startMP 204:462 --initTime 2017-01-22T18:10:47 --startdatetime 2017-01-22T18:15:26 --delay 1 --endMP 204:233293 --enddatetime 2017-01-22T18:52:52 --enforcementcount 1 &gt;&gt;C:\Users\stu\Documents\GitHub\eaglep3-reporting\EC\2017-01-22-refined-times.txt</v>
      </c>
      <c r="AI130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{"issue":{"subject":"","project_id":79,"tracker_id":40,"status_id":1,"priority_id":2,"assigned_to_id":23,"start_date":"2017-01-22","description":"","custom_fields":[{"id":1,"name":"Subdivision","value":"EC"},{"id":4,"name":"Milepost","value":"23.3293"},{"id":17,"name":"Train ID","value":"217-22"},{"id":16,"name":"Locomotive ID","value":"4027"},{"id":130,"name":"Impact","value":""},{"id":150,"name":"Time of Event (Mountain Time)","value":"18:52:52"},{"id":151,"name":"Denver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38"/>
        <v>start /low /b %USERPROFILE%\Documents\GitHub\eaglep3\Utilities\DownloadLogsFromS3.py --loco 4027 --day 2017-01-22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"%USERPROFILE%\AppData\Local\Temp\OnboardLogs"\RTDC4027\*4027*20170123* | grep -SE "(Enforcement Action)|(\[TIMEOUT)|(CHR.+\|PRM\|1\|D.+(SWITCH|SIGNAL).+UNKNOWN)" - &gt;&gt; 2017-01-22-UncaughtWiMAX.txt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620</v>
      </c>
      <c r="B131" s="7">
        <v>4028</v>
      </c>
      <c r="C131" s="22" t="s">
        <v>196</v>
      </c>
      <c r="D131" s="22" t="s">
        <v>283</v>
      </c>
      <c r="E131" s="13">
        <v>42757.791898148149</v>
      </c>
      <c r="F131" s="13">
        <v>42757.799560185187</v>
      </c>
      <c r="G131" s="7">
        <v>1</v>
      </c>
      <c r="H131" s="22" t="s">
        <v>223</v>
      </c>
      <c r="I131" s="13">
        <v>42757.829305555555</v>
      </c>
      <c r="J131" s="7">
        <v>1</v>
      </c>
      <c r="K131" s="105" t="str">
        <f t="shared" si="21"/>
        <v>4027/4028</v>
      </c>
      <c r="L131" s="22" t="str">
        <f>VLOOKUP(A131,'Trips&amp;Operators'!$C$1:$G$99999,5,FALSE)</f>
        <v>SMITH MICHAEL</v>
      </c>
      <c r="M131" s="6">
        <f t="shared" si="22"/>
        <v>2.9745370367891155E-2</v>
      </c>
      <c r="N131" s="7">
        <f t="shared" si="23"/>
        <v>42.833333329763263</v>
      </c>
      <c r="O131" s="7"/>
      <c r="P131" s="7"/>
      <c r="Q131" s="23"/>
      <c r="R131" s="23"/>
      <c r="S131" s="32">
        <f t="shared" si="24"/>
        <v>1</v>
      </c>
      <c r="T131" s="47" t="str">
        <f t="shared" si="25"/>
        <v>Southbound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26"/>
        <v>https://d0f6bd738d7f1b3e5a7ca70fe4ff75f0.us-east-1.aws.found.io/app/kibana#/discover/Steve-Slow-Train-Analysis-(2080s-and-2083s)?_g=(refreshInterval:(display:Off,pause:!f,section:0,value:0),time:(from:'2017-01-22T18:00:20-0700',mode:absolute,to:'2017-01-22T20:54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49" t="str">
        <f t="shared" si="27"/>
        <v>N</v>
      </c>
      <c r="X131" s="170">
        <f t="shared" si="28"/>
        <v>1</v>
      </c>
      <c r="Y131" s="64">
        <f t="shared" si="29"/>
        <v>23.299299999999999</v>
      </c>
      <c r="Z131" s="64">
        <f t="shared" si="30"/>
        <v>1.5599999999999999E-2</v>
      </c>
      <c r="AA131" s="64">
        <f t="shared" si="31"/>
        <v>23.2837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32"/>
        <v>0218-22</v>
      </c>
      <c r="AE131" s="87" t="str">
        <f t="shared" si="33"/>
        <v>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 &amp; 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</v>
      </c>
      <c r="AF131" s="84" t="str">
        <f t="shared" si="34"/>
        <v>"C:\Program Files (x86)\AstroGrep\AstroGrep.exe" /spath="%USERPROFILE%\AppData\Local\Temp\OnboardLogs" /stypes="app*4028*20170123*"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8" t="str">
        <f t="shared" si="36"/>
        <v>"%USERPROFILE%\Documents\GitHub\eaglep3\Utilities\RefineRTDCRunTimes.py" --tripid 218-22 --locoid 4028 --swversion DE.1.0.8.0 --startMP 204:232993 --initTime 2017-01-22T19:00:20 --startdatetime 2017-01-22T19:11:22 --delay 1 --endMP 204:156 --enddatetime 2017-01-22T19:54:12 --enforcementcount 1 &gt;&gt;C:\Users\stu\Documents\GitHub\eaglep3-reporting\EC\2017-01-22-refined-times.txt</v>
      </c>
      <c r="AI131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{"issue":{"subject":"","project_id":79,"tracker_id":40,"status_id":1,"priority_id":2,"assigned_to_id":23,"start_date":"2017-01-22","description":"","custom_fields":[{"id":1,"name":"Subdivision","value":"EC"},{"id":4,"name":"Milepost","value":"0.0156"},{"id":17,"name":"Train ID","value":"218-22"},{"id":16,"name":"Locomotive ID","value":"4028"},{"id":130,"name":"Impact","value":""},{"id":150,"name":"Time of Event (Mountain Time)","value":"19:54:12"},{"id":151,"name":"Denver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38"/>
        <v>start /low /b %USERPROFILE%\Documents\GitHub\eaglep3\Utilities\DownloadLogsFromS3.py --loco 4028 --day 2017-01-22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"%USERPROFILE%\AppData\Local\Temp\OnboardLogs"\RTDC4028\*4028*20170123* | grep -SE "(Enforcement Action)|(\[TIMEOUT)|(CHR.+\|PRM\|1\|D.+(SWITCH|SIGNAL).+UNKNOWN)" - &gt;&gt; 2017-01-22-UncaughtWiMAX.txt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613</v>
      </c>
      <c r="B132" s="7">
        <v>4007</v>
      </c>
      <c r="C132" s="22" t="s">
        <v>196</v>
      </c>
      <c r="D132" s="22" t="s">
        <v>762</v>
      </c>
      <c r="E132" s="13">
        <v>42757.766527777778</v>
      </c>
      <c r="F132" s="13">
        <v>42757.771493055552</v>
      </c>
      <c r="G132" s="7">
        <v>1</v>
      </c>
      <c r="H132" s="22" t="s">
        <v>763</v>
      </c>
      <c r="I132" s="13">
        <v>42757.795300925929</v>
      </c>
      <c r="J132" s="7">
        <v>1</v>
      </c>
      <c r="K132" s="105" t="str">
        <f t="shared" si="21"/>
        <v>4007/4008</v>
      </c>
      <c r="L132" s="22" t="str">
        <f>VLOOKUP(A132,'Trips&amp;Operators'!$C$1:$G$99999,5,FALSE)</f>
        <v>STAMBAUGH JAMES</v>
      </c>
      <c r="M132" s="6">
        <f t="shared" si="22"/>
        <v>2.3807870376913343E-2</v>
      </c>
      <c r="N132" s="7">
        <f t="shared" si="23"/>
        <v>34.283333342755213</v>
      </c>
      <c r="O132" s="7"/>
      <c r="P132" s="7"/>
      <c r="Q132" s="23"/>
      <c r="R132" s="23"/>
      <c r="S132" s="32">
        <f t="shared" si="24"/>
        <v>1</v>
      </c>
      <c r="T132" s="47" t="str">
        <f t="shared" si="25"/>
        <v>NorthBound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26"/>
        <v>https://d0f6bd738d7f1b3e5a7ca70fe4ff75f0.us-east-1.aws.found.io/app/kibana#/discover/Steve-Slow-Train-Analysis-(2080s-and-2083s)?_g=(refreshInterval:(display:Off,pause:!f,section:0,value:0),time:(from:'2017-01-22T17:23:48-0700',mode:absolute,to:'2017-01-22T20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2" s="49" t="str">
        <f t="shared" si="27"/>
        <v>N</v>
      </c>
      <c r="X132" s="170">
        <f t="shared" si="28"/>
        <v>1</v>
      </c>
      <c r="Y132" s="64">
        <f t="shared" si="29"/>
        <v>4.2900000000000001E-2</v>
      </c>
      <c r="Z132" s="64">
        <f t="shared" si="30"/>
        <v>23.341000000000001</v>
      </c>
      <c r="AA132" s="64">
        <f t="shared" si="31"/>
        <v>23.298100000000002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 t="shared" si="32"/>
        <v>0219-22</v>
      </c>
      <c r="AE132" s="87" t="str">
        <f t="shared" si="33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132" s="84" t="str">
        <f t="shared" si="34"/>
        <v>"C:\Program Files (x86)\AstroGrep\AstroGrep.exe" /spath="%USERPROFILE%\AppData\Local\Temp\OnboardLogs" /stypes="app*4007*20170123*" /stext=" 02:.+((SYSTEM_STATE.+slice.+state.+changed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8" t="str">
        <f t="shared" si="36"/>
        <v>"%USERPROFILE%\Documents\GitHub\eaglep3\Utilities\RefineRTDCRunTimes.py" --tripid 219-22 --locoid 4007 --swversion DE.1.0.8.0 --startMP 204:429 --initTime 2017-01-22T18:23:48 --startdatetime 2017-01-22T18:30:57 --delay 1 --endMP 204:233410 --enddatetime 2017-01-22T19:05:14 --enforcementcount 1 &gt;&gt;C:\Users\stu\Documents\GitHub\eaglep3-reporting\EC\2017-01-22-refined-times.txt</v>
      </c>
      <c r="AI132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{"issue":{"subject":"","project_id":79,"tracker_id":40,"status_id":1,"priority_id":2,"assigned_to_id":23,"start_date":"2017-01-22","description":"","custom_fields":[{"id":1,"name":"Subdivision","value":"EC"},{"id":4,"name":"Milepost","value":"23.341"},{"id":17,"name":"Train ID","value":"219-22"},{"id":16,"name":"Locomotive ID","value":"4007"},{"id":130,"name":"Impact","value":""},{"id":150,"name":"Time of Event (Mountain Time)","value":"19:05:14"},{"id":151,"name":"Denver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38"/>
        <v>start /low /b %USERPROFILE%\Documents\GitHub\eaglep3\Utilities\DownloadLogsFromS3.py --loco 4007 --day 2017-01-22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"%USERPROFILE%\AppData\Local\Temp\OnboardLogs"\RTDC4007\*4007*20170123* | grep -SE "(Enforcement Action)|(\[TIMEOUT)|(CHR.+\|PRM\|1\|D.+(SWITCH|SIGNAL).+UNKNOWN)" - &gt;&gt; 2017-01-22-UncaughtWiMAX.txt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622</v>
      </c>
      <c r="B133" s="7">
        <v>4008</v>
      </c>
      <c r="C133" s="22" t="s">
        <v>196</v>
      </c>
      <c r="D133" s="22" t="s">
        <v>764</v>
      </c>
      <c r="E133" s="13">
        <v>42757.799479166664</v>
      </c>
      <c r="F133" s="13">
        <v>42757.810416666667</v>
      </c>
      <c r="G133" s="7">
        <v>2</v>
      </c>
      <c r="H133" s="22" t="s">
        <v>222</v>
      </c>
      <c r="I133" s="13">
        <v>42757.835601851853</v>
      </c>
      <c r="J133" s="7">
        <v>1</v>
      </c>
      <c r="K133" s="105" t="str">
        <f t="shared" si="21"/>
        <v>4007/4008</v>
      </c>
      <c r="L133" s="22" t="str">
        <f>VLOOKUP(A133,'Trips&amp;Operators'!$C$1:$G$99999,5,FALSE)</f>
        <v>STAMBAUGH JAMES</v>
      </c>
      <c r="M133" s="6">
        <f t="shared" si="22"/>
        <v>2.5185185186273884E-2</v>
      </c>
      <c r="N133" s="7">
        <f t="shared" si="23"/>
        <v>36.266666668234393</v>
      </c>
      <c r="O133" s="7"/>
      <c r="P133" s="7"/>
      <c r="Q133" s="23"/>
      <c r="R133" s="23"/>
      <c r="S133" s="32">
        <f t="shared" si="24"/>
        <v>1</v>
      </c>
      <c r="T133" s="47" t="str">
        <f t="shared" si="25"/>
        <v>Southbound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26"/>
        <v>https://d0f6bd738d7f1b3e5a7ca70fe4ff75f0.us-east-1.aws.found.io/app/kibana#/discover/Steve-Slow-Train-Analysis-(2080s-and-2083s)?_g=(refreshInterval:(display:Off,pause:!f,section:0,value:0),time:(from:'2017-01-22T18:11:15-0700',mode:absolute,to:'2017-01-22T21:03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3" s="49" t="str">
        <f t="shared" si="27"/>
        <v>N</v>
      </c>
      <c r="X133" s="170">
        <f t="shared" si="28"/>
        <v>1</v>
      </c>
      <c r="Y133" s="64">
        <f t="shared" si="29"/>
        <v>23.306899999999999</v>
      </c>
      <c r="Z133" s="64">
        <f t="shared" si="30"/>
        <v>1.5800000000000002E-2</v>
      </c>
      <c r="AA133" s="64">
        <f t="shared" si="31"/>
        <v>23.2911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32"/>
        <v>0220-22</v>
      </c>
      <c r="AE133" s="87" t="str">
        <f t="shared" si="33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133" s="84" t="str">
        <f t="shared" si="34"/>
        <v>"C:\Program Files (x86)\AstroGrep\AstroGrep.exe" /spath="%USERPROFILE%\AppData\Local\Temp\OnboardLogs" /stypes="app*4008*20170123*" /stext=" 03:.+((SYSTEM_STATE.+slice.+state.+changed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8" t="str">
        <f t="shared" si="36"/>
        <v>"%USERPROFILE%\Documents\GitHub\eaglep3\Utilities\RefineRTDCRunTimes.py" --tripid 220-22 --locoid 4008 --swversion DE.1.0.8.0 --startMP 204:233069 --initTime 2017-01-22T19:11:15 --startdatetime 2017-01-22T19:27:00 --delay 2 --endMP 204:158 --enddatetime 2017-01-22T20:03:16 --enforcementcount 1 &gt;&gt;C:\Users\stu\Documents\GitHub\eaglep3-reporting\EC\2017-01-22-refined-times.txt</v>
      </c>
      <c r="AI133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{"issue":{"subject":"","project_id":79,"tracker_id":40,"status_id":1,"priority_id":2,"assigned_to_id":23,"start_date":"2017-01-22","description":"","custom_fields":[{"id":1,"name":"Subdivision","value":"EC"},{"id":4,"name":"Milepost","value":"0.0158"},{"id":17,"name":"Train ID","value":"220-22"},{"id":16,"name":"Locomotive ID","value":"4008"},{"id":130,"name":"Impact","value":""},{"id":150,"name":"Time of Event (Mountain Time)","value":"20:03:16"},{"id":151,"name":"Denver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38"/>
        <v>start /low /b %USERPROFILE%\Documents\GitHub\eaglep3\Utilities\DownloadLogsFromS3.py --loco 4008 --day 2017-01-22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"%USERPROFILE%\AppData\Local\Temp\OnboardLogs"\RTDC4008\*4008*20170123* | grep -SE "(Enforcement Action)|(\[TIMEOUT)|(CHR.+\|PRM\|1\|D.+(SWITCH|SIGNAL).+UNKNOWN)" - &gt;&gt; 2017-01-22-UncaughtWiMAX.txt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619</v>
      </c>
      <c r="B134" s="7">
        <v>4003</v>
      </c>
      <c r="C134" s="22" t="s">
        <v>196</v>
      </c>
      <c r="D134" s="22" t="s">
        <v>274</v>
      </c>
      <c r="E134" s="13">
        <v>42757.789097222223</v>
      </c>
      <c r="F134" s="13">
        <v>42757.791921296295</v>
      </c>
      <c r="G134" s="7">
        <v>1</v>
      </c>
      <c r="H134" s="22" t="s">
        <v>750</v>
      </c>
      <c r="I134" s="13">
        <v>42757.803483796299</v>
      </c>
      <c r="J134" s="7">
        <v>1</v>
      </c>
      <c r="K134" s="105" t="str">
        <f t="shared" si="21"/>
        <v>4003/4004</v>
      </c>
      <c r="L134" s="22" t="str">
        <f>VLOOKUP(A134,'Trips&amp;Operators'!$C$1:$G$99999,5,FALSE)</f>
        <v>CHANDLER KELVIN</v>
      </c>
      <c r="M134" s="6">
        <f t="shared" si="22"/>
        <v>1.156250000349246E-2</v>
      </c>
      <c r="N134" s="7"/>
      <c r="O134" s="7"/>
      <c r="P134" s="7">
        <f t="shared" si="23"/>
        <v>16.650000005029142</v>
      </c>
      <c r="Q134" s="23"/>
      <c r="R134" s="23" t="s">
        <v>807</v>
      </c>
      <c r="S134" s="32">
        <f t="shared" si="24"/>
        <v>0.83333333333333337</v>
      </c>
      <c r="T134" s="47" t="str">
        <f t="shared" si="25"/>
        <v>NorthBound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10</v>
      </c>
      <c r="V134" s="94" t="str">
        <f t="shared" si="26"/>
        <v>https://d0f6bd738d7f1b3e5a7ca70fe4ff75f0.us-east-1.aws.found.io/app/kibana#/discover/Steve-Slow-Train-Analysis-(2080s-and-2083s)?_g=(refreshInterval:(display:Off,pause:!f,section:0,value:0),time:(from:'2017-01-22T17:56:18-0700',mode:absolute,to:'2017-01-22T20:17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4" s="49" t="str">
        <f t="shared" si="27"/>
        <v>Y</v>
      </c>
      <c r="X134" s="170">
        <f t="shared" si="28"/>
        <v>1</v>
      </c>
      <c r="Y134" s="64">
        <f t="shared" si="29"/>
        <v>4.5699999999999998E-2</v>
      </c>
      <c r="Z134" s="64">
        <v>8.76</v>
      </c>
      <c r="AA134" s="64">
        <f t="shared" si="31"/>
        <v>8.7142999999999997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32"/>
        <v>0221-22</v>
      </c>
      <c r="AE134" s="87" t="str">
        <f t="shared" si="33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134" s="84" t="str">
        <f t="shared" si="34"/>
        <v>"C:\Program Files (x86)\AstroGrep\AstroGrep.exe" /spath="%USERPROFILE%\AppData\Local\Temp\OnboardLogs" /stypes="app*4003*20170123*" /stext=" 02:.+((SYSTEM_STATE.+slice.+state.+changed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8" t="str">
        <f t="shared" si="36"/>
        <v>"%USERPROFILE%\Documents\GitHub\eaglep3\Utilities\RefineRTDCRunTimes.py" --tripid 221-22 --locoid 4003 --swversion DE.1.0.8.0 --startMP 204:457 --initTime 2017-01-22T18:56:18 --startdatetime 2017-01-22T19:00:22 --delay 1 --endMP 204:233278 --enddatetime 2017-01-22T19:17:01 --enforcementcount 1 &gt;&gt;C:\Users\stu\Documents\GitHub\eaglep3-reporting\EC\2017-01-22-refined-times.txt</v>
      </c>
      <c r="AI134" s="115" t="str">
        <f t="shared" si="37"/>
        <v>echo {"issue":{"subject":"Onboard in-route failure","project_id":79,"tracker_id":40,"status_id":1,"priority_id":2,"assigned_to_id":23,"start_date":"2017-01-22","description":"","custom_fields":[{"id":1,"name":"Subdivision","value":"EC"},{"id":4,"name":"Milepost","value":"8.76"},{"id":17,"name":"Train ID","value":"221-22"},{"id":16,"name":"Locomotive ID","value":"4003"},{"id":130,"name":"Impact","value":""},{"id":150,"name":"Time of Event (Mountain Time)","value":"19:17:01"},{"id":151,"name":"Denver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38"/>
        <v>start /low /b %USERPROFILE%\Documents\GitHub\eaglep3\Utilities\DownloadLogsFromS3.py --loco 4003 --day 2017-01-22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"%USERPROFILE%\AppData\Local\Temp\OnboardLogs"\RTDC4003\*4003*20170123* | grep -SE "(Enforcement Action)|(\[TIMEOUT)|(CHR.+\|PRM\|1\|D.+(SWITCH|SIGNAL).+UNKNOWN)" - &gt;&gt; 2017-01-22-UncaughtWiMAX.txt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627</v>
      </c>
      <c r="B135" s="7">
        <v>4004</v>
      </c>
      <c r="C135" s="22" t="s">
        <v>196</v>
      </c>
      <c r="D135" s="22" t="s">
        <v>759</v>
      </c>
      <c r="E135" s="13">
        <v>42757.828726851854</v>
      </c>
      <c r="F135" s="13">
        <v>42757.830891203703</v>
      </c>
      <c r="G135" s="7">
        <v>1</v>
      </c>
      <c r="H135" s="22" t="s">
        <v>326</v>
      </c>
      <c r="I135" s="13">
        <v>42757.858506944445</v>
      </c>
      <c r="J135" s="7">
        <v>1</v>
      </c>
      <c r="K135" s="105" t="str">
        <f t="shared" si="21"/>
        <v>4003/4004</v>
      </c>
      <c r="L135" s="22" t="str">
        <f>VLOOKUP(A135,'Trips&amp;Operators'!$C$1:$G$99999,5,FALSE)</f>
        <v>CHANDLER KELVIN</v>
      </c>
      <c r="M135" s="6">
        <f t="shared" si="22"/>
        <v>2.7615740742476191E-2</v>
      </c>
      <c r="N135" s="7">
        <f t="shared" si="23"/>
        <v>39.766666669165716</v>
      </c>
      <c r="O135" s="7"/>
      <c r="P135" s="7"/>
      <c r="Q135" s="23"/>
      <c r="R135" s="23"/>
      <c r="S135" s="32">
        <f t="shared" si="24"/>
        <v>1</v>
      </c>
      <c r="T135" s="47" t="str">
        <f t="shared" si="25"/>
        <v>Southbound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26"/>
        <v>https://d0f6bd738d7f1b3e5a7ca70fe4ff75f0.us-east-1.aws.found.io/app/kibana#/discover/Steve-Slow-Train-Analysis-(2080s-and-2083s)?_g=(refreshInterval:(display:Off,pause:!f,section:0,value:0),time:(from:'2017-01-22T18:53:22-0700',mode:absolute,to:'2017-01-22T21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5" s="49" t="str">
        <f t="shared" si="27"/>
        <v>N</v>
      </c>
      <c r="X135" s="170">
        <f t="shared" si="28"/>
        <v>1</v>
      </c>
      <c r="Y135" s="64">
        <f t="shared" si="29"/>
        <v>23.297000000000001</v>
      </c>
      <c r="Z135" s="64">
        <f t="shared" si="30"/>
        <v>1.41E-2</v>
      </c>
      <c r="AA135" s="64">
        <f t="shared" si="31"/>
        <v>23.282900000000001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32"/>
        <v>0222-22</v>
      </c>
      <c r="AE135" s="87" t="str">
        <f t="shared" si="33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135" s="84" t="str">
        <f t="shared" si="34"/>
        <v>"C:\Program Files (x86)\AstroGrep\AstroGrep.exe" /spath="%USERPROFILE%\AppData\Local\Temp\OnboardLogs" /stypes="app*4004*20170123*" /stext=" 03:.+((SYSTEM_STATE.+slice.+state.+changed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8" t="str">
        <f t="shared" si="36"/>
        <v>"%USERPROFILE%\Documents\GitHub\eaglep3\Utilities\RefineRTDCRunTimes.py" --tripid 222-22 --locoid 4004 --swversion DE.1.0.8.0 --startMP 204:232970 --initTime 2017-01-22T19:53:22 --startdatetime 2017-01-22T19:56:29 --delay 1 --endMP 204:141 --enddatetime 2017-01-22T20:36:15 --enforcementcount 1 &gt;&gt;C:\Users\stu\Documents\GitHub\eaglep3-reporting\EC\2017-01-22-refined-times.txt</v>
      </c>
      <c r="AI135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{"issue":{"subject":"","project_id":79,"tracker_id":40,"status_id":1,"priority_id":2,"assigned_to_id":23,"start_date":"2017-01-22","description":"","custom_fields":[{"id":1,"name":"Subdivision","value":"EC"},{"id":4,"name":"Milepost","value":"0.0141"},{"id":17,"name":"Train ID","value":"222-22"},{"id":16,"name":"Locomotive ID","value":"4004"},{"id":130,"name":"Impact","value":""},{"id":150,"name":"Time of Event (Mountain Time)","value":"20:36:15"},{"id":151,"name":"Denver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38"/>
        <v>start /low /b %USERPROFILE%\Documents\GitHub\eaglep3\Utilities\DownloadLogsFromS3.py --loco 4004 --day 2017-01-22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"%USERPROFILE%\AppData\Local\Temp\OnboardLogs"\RTDC4004\*4004*20170123* | grep -SE "(Enforcement Action)|(\[TIMEOUT)|(CHR.+\|PRM\|1\|D.+(SWITCH|SIGNAL).+UNKNOWN)" - &gt;&gt; 2017-01-22-UncaughtWiMAX.txt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624</v>
      </c>
      <c r="B136" s="7">
        <v>4044</v>
      </c>
      <c r="C136" s="22" t="s">
        <v>196</v>
      </c>
      <c r="D136" s="22" t="s">
        <v>327</v>
      </c>
      <c r="E136" s="13">
        <v>42757.808680555558</v>
      </c>
      <c r="F136" s="13">
        <v>42757.812696759262</v>
      </c>
      <c r="G136" s="7">
        <v>1</v>
      </c>
      <c r="H136" s="22" t="s">
        <v>260</v>
      </c>
      <c r="I136" s="13">
        <v>42757.837280092594</v>
      </c>
      <c r="J136" s="7">
        <v>1</v>
      </c>
      <c r="K136" s="105" t="str">
        <f t="shared" si="21"/>
        <v>4043/4044</v>
      </c>
      <c r="L136" s="22" t="str">
        <f>VLOOKUP(A136,'Trips&amp;Operators'!$C$1:$G$99999,5,FALSE)</f>
        <v>NEWELL JAMES</v>
      </c>
      <c r="M136" s="6">
        <f t="shared" si="22"/>
        <v>2.4583333331975155E-2</v>
      </c>
      <c r="N136" s="7">
        <f t="shared" si="23"/>
        <v>35.399999998044223</v>
      </c>
      <c r="O136" s="7"/>
      <c r="P136" s="7"/>
      <c r="Q136" s="23"/>
      <c r="R136" s="23"/>
      <c r="S136" s="32">
        <f t="shared" si="24"/>
        <v>1</v>
      </c>
      <c r="T136" s="47" t="str">
        <f t="shared" si="25"/>
        <v>NorthBound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26"/>
        <v>https://d0f6bd738d7f1b3e5a7ca70fe4ff75f0.us-east-1.aws.found.io/app/kibana#/discover/Steve-Slow-Train-Analysis-(2080s-and-2083s)?_g=(refreshInterval:(display:Off,pause:!f,section:0,value:0),time:(from:'2017-01-22T18:24:30-0700',mode:absolute,to:'2017-01-22T21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6" s="49" t="str">
        <f t="shared" si="27"/>
        <v>N</v>
      </c>
      <c r="X136" s="170">
        <f t="shared" si="28"/>
        <v>1</v>
      </c>
      <c r="Y136" s="64">
        <f t="shared" si="29"/>
        <v>4.3299999999999998E-2</v>
      </c>
      <c r="Z136" s="64">
        <f t="shared" si="30"/>
        <v>23.329499999999999</v>
      </c>
      <c r="AA136" s="64">
        <f t="shared" si="31"/>
        <v>23.286200000000001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 t="shared" si="32"/>
        <v>0223-22</v>
      </c>
      <c r="AE136" s="87" t="str">
        <f t="shared" si="33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136" s="84" t="str">
        <f t="shared" si="34"/>
        <v>"C:\Program Files (x86)\AstroGrep\AstroGrep.exe" /spath="%USERPROFILE%\AppData\Local\Temp\OnboardLogs" /stypes="app*4044*20170123*" /stext=" 03:.+((SYSTEM_STATE.+slice.+state.+changed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8" t="str">
        <f t="shared" si="36"/>
        <v>"%USERPROFILE%\Documents\GitHub\eaglep3\Utilities\RefineRTDCRunTimes.py" --tripid 223-22 --locoid 4044 --swversion DE.1.0.8.0 --startMP 204:433 --initTime 2017-01-22T19:24:30 --startdatetime 2017-01-22T19:30:17 --delay 1 --endMP 204:233295 --enddatetime 2017-01-22T20:05:41 --enforcementcount 1 &gt;&gt;C:\Users\stu\Documents\GitHub\eaglep3-reporting\EC\2017-01-22-refined-times.txt</v>
      </c>
      <c r="AI136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{"issue":{"subject":"","project_id":79,"tracker_id":40,"status_id":1,"priority_id":2,"assigned_to_id":23,"start_date":"2017-01-22","description":"","custom_fields":[{"id":1,"name":"Subdivision","value":"EC"},{"id":4,"name":"Milepost","value":"23.3295"},{"id":17,"name":"Train ID","value":"223-22"},{"id":16,"name":"Locomotive ID","value":"4044"},{"id":130,"name":"Impact","value":""},{"id":150,"name":"Time of Event (Mountain Time)","value":"20:05:41"},{"id":151,"name":"Denver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38"/>
        <v>start /low /b %USERPROFILE%\Documents\GitHub\eaglep3\Utilities\DownloadLogsFromS3.py --loco 4044 --day 2017-01-22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"%USERPROFILE%\AppData\Local\Temp\OnboardLogs"\RTDC4044\*4044*20170123* | grep -SE "(Enforcement Action)|(\[TIMEOUT)|(CHR.+\|PRM\|1\|D.+(SWITCH|SIGNAL).+UNKNOWN)" - &gt;&gt; 2017-01-22-UncaughtWiMAX.txt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630</v>
      </c>
      <c r="B137" s="7">
        <v>4043</v>
      </c>
      <c r="C137" s="22" t="s">
        <v>196</v>
      </c>
      <c r="D137" s="22" t="s">
        <v>702</v>
      </c>
      <c r="E137" s="13">
        <v>42757.84070601852</v>
      </c>
      <c r="F137" s="13">
        <v>42757.8515625</v>
      </c>
      <c r="G137" s="7">
        <v>1</v>
      </c>
      <c r="H137" s="22" t="s">
        <v>331</v>
      </c>
      <c r="I137" s="13">
        <v>42757.877453703702</v>
      </c>
      <c r="J137" s="7">
        <v>1</v>
      </c>
      <c r="K137" s="105" t="str">
        <f t="shared" si="21"/>
        <v>4043/4044</v>
      </c>
      <c r="L137" s="22" t="str">
        <f>VLOOKUP(A137,'Trips&amp;Operators'!$C$1:$G$99999,5,FALSE)</f>
        <v>NEWELL JAMES</v>
      </c>
      <c r="M137" s="6">
        <f t="shared" si="22"/>
        <v>2.5891203702485655E-2</v>
      </c>
      <c r="N137" s="7">
        <f t="shared" si="23"/>
        <v>37.283333331579342</v>
      </c>
      <c r="O137" s="7"/>
      <c r="P137" s="7"/>
      <c r="Q137" s="23"/>
      <c r="R137" s="23"/>
      <c r="S137" s="32">
        <f t="shared" si="24"/>
        <v>1</v>
      </c>
      <c r="T137" s="47" t="str">
        <f t="shared" si="25"/>
        <v>Southbound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26"/>
        <v>https://d0f6bd738d7f1b3e5a7ca70fe4ff75f0.us-east-1.aws.found.io/app/kibana#/discover/Steve-Slow-Train-Analysis-(2080s-and-2083s)?_g=(refreshInterval:(display:Off,pause:!f,section:0,value:0),time:(from:'2017-01-22T19:10:37-0700',mode:absolute,to:'2017-01-22T22:03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7" s="49" t="str">
        <f t="shared" si="27"/>
        <v>N</v>
      </c>
      <c r="X137" s="170">
        <f t="shared" si="28"/>
        <v>1</v>
      </c>
      <c r="Y137" s="64">
        <f t="shared" si="29"/>
        <v>23.2989</v>
      </c>
      <c r="Z137" s="64">
        <f t="shared" si="30"/>
        <v>1.67E-2</v>
      </c>
      <c r="AA137" s="64">
        <f t="shared" si="31"/>
        <v>23.2822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 t="shared" si="32"/>
        <v>0224-22</v>
      </c>
      <c r="AE137" s="87" t="str">
        <f t="shared" si="33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137" s="84" t="str">
        <f t="shared" si="34"/>
        <v>"C:\Program Files (x86)\AstroGrep\AstroGrep.exe" /spath="%USERPROFILE%\AppData\Local\Temp\OnboardLogs" /stypes="app*4043*20170123*" /stext=" 04:.+((SYSTEM_STATE.+slice.+state.+changed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8" t="str">
        <f t="shared" si="36"/>
        <v>"%USERPROFILE%\Documents\GitHub\eaglep3\Utilities\RefineRTDCRunTimes.py" --tripid 224-22 --locoid 4043 --swversion DE.1.0.8.0 --startMP 204:232989 --initTime 2017-01-22T20:10:37 --startdatetime 2017-01-22T20:26:15 --delay 1 --endMP 204:167 --enddatetime 2017-01-22T21:03:32 --enforcementcount 1 &gt;&gt;C:\Users\stu\Documents\GitHub\eaglep3-reporting\EC\2017-01-22-refined-times.txt</v>
      </c>
      <c r="AI137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{"issue":{"subject":"","project_id":79,"tracker_id":40,"status_id":1,"priority_id":2,"assigned_to_id":23,"start_date":"2017-01-22","description":"","custom_fields":[{"id":1,"name":"Subdivision","value":"EC"},{"id":4,"name":"Milepost","value":"0.0167"},{"id":17,"name":"Train ID","value":"224-22"},{"id":16,"name":"Locomotive ID","value":"4043"},{"id":130,"name":"Impact","value":""},{"id":150,"name":"Time of Event (Mountain Time)","value":"21:03:32"},{"id":151,"name":"Denver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38"/>
        <v>start /low /b %USERPROFILE%\Documents\GitHub\eaglep3\Utilities\DownloadLogsFromS3.py --loco 4043 --day 2017-01-22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"%USERPROFILE%\AppData\Local\Temp\OnboardLogs"\RTDC4043\*4043*20170123* | grep -SE "(Enforcement Action)|(\[TIMEOUT)|(CHR.+\|PRM\|1\|D.+(SWITCH|SIGNAL).+UNKNOWN)" - &gt;&gt; 2017-01-22-UncaughtWiMAX.txt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628</v>
      </c>
      <c r="B138" s="7">
        <v>4027</v>
      </c>
      <c r="C138" s="22" t="s">
        <v>196</v>
      </c>
      <c r="D138" s="22" t="s">
        <v>205</v>
      </c>
      <c r="E138" s="13">
        <v>42757.830497685187</v>
      </c>
      <c r="F138" s="13">
        <v>42757.833553240744</v>
      </c>
      <c r="G138" s="7">
        <v>1</v>
      </c>
      <c r="H138" s="22" t="s">
        <v>240</v>
      </c>
      <c r="I138" s="13">
        <v>42757.858460648145</v>
      </c>
      <c r="J138" s="7">
        <v>1</v>
      </c>
      <c r="K138" s="105" t="str">
        <f t="shared" si="21"/>
        <v>4027/4028</v>
      </c>
      <c r="L138" s="22" t="str">
        <f>VLOOKUP(A138,'Trips&amp;Operators'!$C$1:$G$99999,5,FALSE)</f>
        <v>SMITH MICHAEL</v>
      </c>
      <c r="M138" s="6">
        <f t="shared" si="22"/>
        <v>2.4907407401769888E-2</v>
      </c>
      <c r="N138" s="7">
        <f t="shared" si="23"/>
        <v>35.866666658548638</v>
      </c>
      <c r="O138" s="7"/>
      <c r="P138" s="7"/>
      <c r="Q138" s="23"/>
      <c r="R138" s="23"/>
      <c r="S138" s="32">
        <f t="shared" si="24"/>
        <v>1</v>
      </c>
      <c r="T138" s="47" t="str">
        <f t="shared" si="25"/>
        <v>NorthBound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26"/>
        <v>https://d0f6bd738d7f1b3e5a7ca70fe4ff75f0.us-east-1.aws.found.io/app/kibana#/discover/Steve-Slow-Train-Analysis-(2080s-and-2083s)?_g=(refreshInterval:(display:Off,pause:!f,section:0,value:0),time:(from:'2017-01-22T18:55:55-0700',mode:absolute,to:'2017-01-22T21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8" s="49" t="str">
        <f t="shared" si="27"/>
        <v>N</v>
      </c>
      <c r="X138" s="170">
        <f t="shared" si="28"/>
        <v>1</v>
      </c>
      <c r="Y138" s="64">
        <f t="shared" si="29"/>
        <v>4.5499999999999999E-2</v>
      </c>
      <c r="Z138" s="64">
        <f t="shared" si="30"/>
        <v>23.330400000000001</v>
      </c>
      <c r="AA138" s="64">
        <f t="shared" si="31"/>
        <v>23.2849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 t="shared" si="32"/>
        <v>0225-22</v>
      </c>
      <c r="AE138" s="87" t="str">
        <f t="shared" si="33"/>
        <v>aws s3 cp s3://rtdc.mdm.uploadarchive.raw/RTDC4027/ "%USERPROFILE%\AppData\Local\Temp\OnboardLogs"\RTDC4027\2017-01-22 --exclude "*" --recursive --include "*20170122*" &amp; "%USERPROFILE%\Documents\GitHub\mrs-test-scripts\Headless Mode &amp; Sideloading\WalkAndUnGZ.bat" "%USERPROFILE%\AppData\Local\Temp\OnboardLogs"\RTDC4027\2017-01-22 &amp; 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</v>
      </c>
      <c r="AF138" s="84" t="str">
        <f t="shared" si="34"/>
        <v>"C:\Program Files (x86)\AstroGrep\AstroGrep.exe" /spath="%USERPROFILE%\AppData\Local\Temp\OnboardLogs" /stypes="app*4027*20170123*" /stext=" 03:.+((SYSTEM_STATE.+slice.+state.+changed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8" t="str">
        <f t="shared" si="36"/>
        <v>"%USERPROFILE%\Documents\GitHub\eaglep3\Utilities\RefineRTDCRunTimes.py" --tripid 225-22 --locoid 4027 --swversion DE.1.0.8.0 --startMP 204:455 --initTime 2017-01-22T19:55:55 --startdatetime 2017-01-22T20:00:19 --delay 1 --endMP 204:233304 --enddatetime 2017-01-22T20:36:11 --enforcementcount 1 &gt;&gt;C:\Users\stu\Documents\GitHub\eaglep3-reporting\EC\2017-01-22-refined-times.txt</v>
      </c>
      <c r="AI138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{"issue":{"subject":"","project_id":79,"tracker_id":40,"status_id":1,"priority_id":2,"assigned_to_id":23,"start_date":"2017-01-22","description":"","custom_fields":[{"id":1,"name":"Subdivision","value":"EC"},{"id":4,"name":"Milepost","value":"23.3304"},{"id":17,"name":"Train ID","value":"225-22"},{"id":16,"name":"Locomotive ID","value":"4027"},{"id":130,"name":"Impact","value":""},{"id":150,"name":"Time of Event (Mountain Time)","value":"20:36:11"},{"id":151,"name":"Denver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38"/>
        <v>start /low /b %USERPROFILE%\Documents\GitHub\eaglep3\Utilities\DownloadLogsFromS3.py --loco 4027 --day 2017-01-22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"%USERPROFILE%\AppData\Local\Temp\OnboardLogs"\RTDC4027\*4027*20170123* | grep -SE "(Enforcement Action)|(\[TIMEOUT)|(CHR.+\|PRM\|1\|D.+(SWITCH|SIGNAL).+UNKNOWN)" - &gt;&gt; 2017-01-22-UncaughtWiMAX.txt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633</v>
      </c>
      <c r="B139" s="7">
        <v>4028</v>
      </c>
      <c r="C139" s="22" t="s">
        <v>196</v>
      </c>
      <c r="D139" s="22" t="s">
        <v>279</v>
      </c>
      <c r="E139" s="13">
        <v>42757.864432870374</v>
      </c>
      <c r="F139" s="13">
        <v>42757.872546296298</v>
      </c>
      <c r="G139" s="7">
        <v>1</v>
      </c>
      <c r="H139" s="22" t="s">
        <v>242</v>
      </c>
      <c r="I139" s="13">
        <v>42757.899062500001</v>
      </c>
      <c r="J139" s="7">
        <v>1</v>
      </c>
      <c r="K139" s="105" t="str">
        <f t="shared" si="21"/>
        <v>4027/4028</v>
      </c>
      <c r="L139" s="22" t="str">
        <f>VLOOKUP(A139,'Trips&amp;Operators'!$C$1:$G$99999,5,FALSE)</f>
        <v>SMITH MICHAEL</v>
      </c>
      <c r="M139" s="6">
        <f t="shared" si="22"/>
        <v>2.6516203703067731E-2</v>
      </c>
      <c r="N139" s="7">
        <f t="shared" si="23"/>
        <v>38.183333332417533</v>
      </c>
      <c r="O139" s="7"/>
      <c r="P139" s="7"/>
      <c r="Q139" s="23"/>
      <c r="R139" s="23"/>
      <c r="S139" s="32">
        <f t="shared" si="24"/>
        <v>1</v>
      </c>
      <c r="T139" s="47" t="str">
        <f t="shared" si="25"/>
        <v>Southbound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26"/>
        <v>https://d0f6bd738d7f1b3e5a7ca70fe4ff75f0.us-east-1.aws.found.io/app/kibana#/discover/Steve-Slow-Train-Analysis-(2080s-and-2083s)?_g=(refreshInterval:(display:Off,pause:!f,section:0,value:0),time:(from:'2017-01-22T19:44:47-0700',mode:absolute,to:'2017-01-22T22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49" t="str">
        <f t="shared" si="27"/>
        <v>N</v>
      </c>
      <c r="X139" s="170">
        <f t="shared" si="28"/>
        <v>1</v>
      </c>
      <c r="Y139" s="64">
        <f t="shared" si="29"/>
        <v>23.299600000000002</v>
      </c>
      <c r="Z139" s="64">
        <f t="shared" si="30"/>
        <v>1.54E-2</v>
      </c>
      <c r="AA139" s="64">
        <f t="shared" si="31"/>
        <v>23.284200000000002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 t="shared" si="32"/>
        <v>0226-22</v>
      </c>
      <c r="AE139" s="87" t="str">
        <f t="shared" si="33"/>
        <v>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 &amp; 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</v>
      </c>
      <c r="AF139" s="84" t="str">
        <f t="shared" si="34"/>
        <v>"C:\Program Files (x86)\AstroGrep\AstroGrep.exe" /spath="%USERPROFILE%\AppData\Local\Temp\OnboardLogs" /stypes="app*4028*20170123*"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8" t="str">
        <f t="shared" si="36"/>
        <v>"%USERPROFILE%\Documents\GitHub\eaglep3\Utilities\RefineRTDCRunTimes.py" --tripid 226-22 --locoid 4028 --swversion DE.1.0.8.0 --startMP 204:232996 --initTime 2017-01-22T20:44:47 --startdatetime 2017-01-22T20:56:28 --delay 1 --endMP 204:154 --enddatetime 2017-01-22T21:34:39 --enforcementcount 1 &gt;&gt;C:\Users\stu\Documents\GitHub\eaglep3-reporting\EC\2017-01-22-refined-times.txt</v>
      </c>
      <c r="AI139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{"issue":{"subject":"","project_id":79,"tracker_id":40,"status_id":1,"priority_id":2,"assigned_to_id":23,"start_date":"2017-01-22","description":"","custom_fields":[{"id":1,"name":"Subdivision","value":"EC"},{"id":4,"name":"Milepost","value":"0.0154"},{"id":17,"name":"Train ID","value":"226-22"},{"id":16,"name":"Locomotive ID","value":"4028"},{"id":130,"name":"Impact","value":""},{"id":150,"name":"Time of Event (Mountain Time)","value":"21:34:39"},{"id":151,"name":"Denver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38"/>
        <v>start /low /b %USERPROFILE%\Documents\GitHub\eaglep3\Utilities\DownloadLogsFromS3.py --loco 4028 --day 2017-01-22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"%USERPROFILE%\AppData\Local\Temp\OnboardLogs"\RTDC4028\*4028*20170123* | grep -SE "(Enforcement Action)|(\[TIMEOUT)|(CHR.+\|PRM\|1\|D.+(SWITCH|SIGNAL).+UNKNOWN)" - &gt;&gt; 2017-01-22-UncaughtWiMAX.txt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629</v>
      </c>
      <c r="B140" s="7">
        <v>4007</v>
      </c>
      <c r="C140" s="22" t="s">
        <v>196</v>
      </c>
      <c r="D140" s="22" t="s">
        <v>411</v>
      </c>
      <c r="E140" s="13">
        <v>42757.83730324074</v>
      </c>
      <c r="F140" s="13">
        <v>42757.854456018518</v>
      </c>
      <c r="G140" s="7">
        <v>1</v>
      </c>
      <c r="H140" s="22" t="s">
        <v>765</v>
      </c>
      <c r="I140" s="13">
        <v>42757.878854166665</v>
      </c>
      <c r="J140" s="7">
        <v>1</v>
      </c>
      <c r="K140" s="105" t="str">
        <f t="shared" si="21"/>
        <v>4007/4008</v>
      </c>
      <c r="L140" s="22" t="str">
        <f>VLOOKUP(A140,'Trips&amp;Operators'!$C$1:$G$99999,5,FALSE)</f>
        <v>STAMBAUGH JAMES</v>
      </c>
      <c r="M140" s="6">
        <f t="shared" si="22"/>
        <v>2.4398148147156462E-2</v>
      </c>
      <c r="N140" s="7">
        <f t="shared" si="23"/>
        <v>35.133333331905305</v>
      </c>
      <c r="O140" s="7"/>
      <c r="P140" s="7"/>
      <c r="Q140" s="23"/>
      <c r="R140" s="23"/>
      <c r="S140" s="32">
        <f t="shared" si="24"/>
        <v>1</v>
      </c>
      <c r="T140" s="47" t="str">
        <f t="shared" si="25"/>
        <v>NorthBound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26"/>
        <v>https://d0f6bd738d7f1b3e5a7ca70fe4ff75f0.us-east-1.aws.found.io/app/kibana#/discover/Steve-Slow-Train-Analysis-(2080s-and-2083s)?_g=(refreshInterval:(display:Off,pause:!f,section:0,value:0),time:(from:'2017-01-22T19:05:43-0700',mode:absolute,to:'2017-01-22T22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0" s="49" t="str">
        <f t="shared" si="27"/>
        <v>N</v>
      </c>
      <c r="X140" s="170">
        <f t="shared" si="28"/>
        <v>1</v>
      </c>
      <c r="Y140" s="64">
        <f t="shared" si="29"/>
        <v>4.7300000000000002E-2</v>
      </c>
      <c r="Z140" s="64">
        <f t="shared" si="30"/>
        <v>23.334599999999998</v>
      </c>
      <c r="AA140" s="64">
        <f t="shared" si="31"/>
        <v>23.287299999999998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32"/>
        <v>0227-22</v>
      </c>
      <c r="AE140" s="87" t="str">
        <f t="shared" si="33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140" s="84" t="str">
        <f t="shared" si="34"/>
        <v>"C:\Program Files (x86)\AstroGrep\AstroGrep.exe" /spath="%USERPROFILE%\AppData\Local\Temp\OnboardLogs" /stypes="app*4007*20170123*" /stext=" 04:.+((SYSTEM_STATE.+slice.+state.+changed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8" t="str">
        <f t="shared" si="36"/>
        <v>"%USERPROFILE%\Documents\GitHub\eaglep3\Utilities\RefineRTDCRunTimes.py" --tripid 227-22 --locoid 4007 --swversion DE.1.0.8.0 --startMP 204:473 --initTime 2017-01-22T20:05:43 --startdatetime 2017-01-22T20:30:25 --delay 1 --endMP 204:233346 --enddatetime 2017-01-22T21:05:33 --enforcementcount 1 &gt;&gt;C:\Users\stu\Documents\GitHub\eaglep3-reporting\EC\2017-01-22-refined-times.txt</v>
      </c>
      <c r="AI140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{"issue":{"subject":"","project_id":79,"tracker_id":40,"status_id":1,"priority_id":2,"assigned_to_id":23,"start_date":"2017-01-22","description":"","custom_fields":[{"id":1,"name":"Subdivision","value":"EC"},{"id":4,"name":"Milepost","value":"23.3346"},{"id":17,"name":"Train ID","value":"227-22"},{"id":16,"name":"Locomotive ID","value":"4007"},{"id":130,"name":"Impact","value":""},{"id":150,"name":"Time of Event (Mountain Time)","value":"21:05:33"},{"id":151,"name":"Denver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38"/>
        <v>start /low /b %USERPROFILE%\Documents\GitHub\eaglep3\Utilities\DownloadLogsFromS3.py --loco 4007 --day 2017-01-22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"%USERPROFILE%\AppData\Local\Temp\OnboardLogs"\RTDC4007\*4007*20170123* | grep -SE "(Enforcement Action)|(\[TIMEOUT)|(CHR.+\|PRM\|1\|D.+(SWITCH|SIGNAL).+UNKNOWN)" - &gt;&gt; 2017-01-22-UncaughtWiMAX.txt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637</v>
      </c>
      <c r="B141" s="7">
        <v>4008</v>
      </c>
      <c r="C141" s="22" t="s">
        <v>196</v>
      </c>
      <c r="D141" s="22" t="s">
        <v>766</v>
      </c>
      <c r="E141" s="13">
        <v>42757.891574074078</v>
      </c>
      <c r="F141" s="13">
        <v>42757.893252314818</v>
      </c>
      <c r="G141" s="7">
        <v>1</v>
      </c>
      <c r="H141" s="22" t="s">
        <v>326</v>
      </c>
      <c r="I141" s="13">
        <v>42757.919814814813</v>
      </c>
      <c r="J141" s="7">
        <v>1</v>
      </c>
      <c r="K141" s="105" t="str">
        <f t="shared" ref="K141:K203" si="39">IF(ISEVEN(B141),(B141-1)&amp;"/"&amp;B141,B141&amp;"/"&amp;(B141+1))</f>
        <v>4007/4008</v>
      </c>
      <c r="L141" s="22" t="str">
        <f>VLOOKUP(A141,'Trips&amp;Operators'!$C$1:$G$99999,5,FALSE)</f>
        <v>STAMBAUGH JAMES</v>
      </c>
      <c r="M141" s="6">
        <f t="shared" ref="M141:M203" si="40">I141-F141</f>
        <v>2.6562499995634425E-2</v>
      </c>
      <c r="N141" s="7">
        <f t="shared" ref="N141:N203" si="41">24*60*SUM($M141:$M141)</f>
        <v>38.249999993713573</v>
      </c>
      <c r="O141" s="7"/>
      <c r="P141" s="7"/>
      <c r="Q141" s="23"/>
      <c r="R141" s="23"/>
      <c r="S141" s="32">
        <f t="shared" ref="S141:S203" si="42">SUM(U141:U141)/IF(AG141="EC",12,1)</f>
        <v>1</v>
      </c>
      <c r="T141" s="47" t="str">
        <f t="shared" ref="T141:T203" si="43">IF(ISEVEN(LEFT(AD141,4)),"Southbound","NorthBound")</f>
        <v>Southbound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3" si="4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-22T20:23:52-0700',mode:absolute,to:'2017-01-22T23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1" s="49" t="str">
        <f t="shared" ref="W141:W203" si="45">IF(AA141&lt;IF(AG141="EC",23,5.65),"Y","N")</f>
        <v>N</v>
      </c>
      <c r="X141" s="170">
        <f t="shared" ref="X141:X203" si="46">VALUE(LEFT(AD141,4))-VALUE(LEFT(AD140,4))</f>
        <v>1</v>
      </c>
      <c r="Y141" s="64">
        <f t="shared" ref="Y141:Y203" si="47">RIGHT(D141,LEN(D141)-4)/10000</f>
        <v>23.302099999999999</v>
      </c>
      <c r="Z141" s="64">
        <f t="shared" ref="Z141:Z203" si="48">RIGHT(H141,LEN(H141)-4)/10000</f>
        <v>1.41E-2</v>
      </c>
      <c r="AA141" s="64">
        <f t="shared" ref="AA141:AA203" si="49">ABS(Z141-Y141)</f>
        <v>23.288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203" si="50">IF(LEN(A141)=6,"0"&amp;A141,A141)</f>
        <v>0228-22</v>
      </c>
      <c r="AE141" s="87" t="str">
        <f t="shared" ref="AE141:AE203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141" s="84" t="str">
        <f t="shared" ref="AF141:AF203" si="5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/stypes="app*4008*20170123*" /stext=" 05:.+((SYSTEM_STATE.+slice.+state.+changed )|(ment ac)|(multiple cpu faults)|(system.+state.+changed )|(\[timeout)|(PRM\|1\|D)|(kpr)|(kdp)|(\|lc)|(penalty))" /e /r /s</v>
      </c>
      <c r="AG141" s="1" t="str">
        <f t="shared" ref="AG141:AG203" si="53">IFERROR(IF(VALUE(LEFT(AD141,2))&lt;=2,"EC",IF(OR(VALUE(LEFT(AD141,2))=8,VALUE(LEFT(AD141,2))=18),"NW","Other")),"Other")</f>
        <v>EC</v>
      </c>
      <c r="AH141" s="88" t="str">
        <f t="shared" si="36"/>
        <v>"%USERPROFILE%\Documents\GitHub\eaglep3\Utilities\RefineRTDCRunTimes.py" --tripid 228-22 --locoid 4008 --swversion DE.1.0.8.0 --startMP 204:233021 --initTime 2017-01-22T21:23:52 --startdatetime 2017-01-22T21:26:17 --delay 1 --endMP 204:141 --enddatetime 2017-01-22T22:04:32 --enforcementcount 1 &gt;&gt;C:\Users\stu\Documents\GitHub\eaglep3-reporting\EC\2017-01-22-refined-times.txt</v>
      </c>
      <c r="AI141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{"issue":{"subject":"","project_id":79,"tracker_id":40,"status_id":1,"priority_id":2,"assigned_to_id":23,"start_date":"2017-01-22","description":"","custom_fields":[{"id":1,"name":"Subdivision","value":"EC"},{"id":4,"name":"Milepost","value":"0.0141"},{"id":17,"name":"Train ID","value":"228-22"},{"id":16,"name":"Locomotive ID","value":"4008"},{"id":130,"name":"Impact","value":""},{"id":150,"name":"Time of Event (Mountain Time)","value":"22:04:32"},{"id":151,"name":"Denver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38"/>
        <v>start /low /b %USERPROFILE%\Documents\GitHub\eaglep3\Utilities\DownloadLogsFromS3.py --loco 4008 --day 2017-01-22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"%USERPROFILE%\AppData\Local\Temp\OnboardLogs"\RTDC4008\*4008*20170123* | grep -SE "(Enforcement Action)|(\[TIMEOUT)|(CHR.+\|PRM\|1\|D.+(SWITCH|SIGNAL).+UNKNOWN)" - &gt;&gt; 2017-01-22-UncaughtWiMAX.txt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634</v>
      </c>
      <c r="B142" s="7">
        <v>4003</v>
      </c>
      <c r="C142" s="22" t="s">
        <v>196</v>
      </c>
      <c r="D142" s="22" t="s">
        <v>245</v>
      </c>
      <c r="E142" s="13">
        <v>42757.873067129629</v>
      </c>
      <c r="F142" s="13">
        <v>42757.875300925924</v>
      </c>
      <c r="G142" s="7">
        <v>1</v>
      </c>
      <c r="H142" s="22" t="s">
        <v>750</v>
      </c>
      <c r="I142" s="13">
        <v>42757.901273148149</v>
      </c>
      <c r="J142" s="7">
        <v>1</v>
      </c>
      <c r="K142" s="105" t="str">
        <f t="shared" si="39"/>
        <v>4003/4004</v>
      </c>
      <c r="L142" s="22" t="str">
        <f>VLOOKUP(A142,'Trips&amp;Operators'!$C$1:$G$99999,5,FALSE)</f>
        <v>CHANDLER KELVIN</v>
      </c>
      <c r="M142" s="6">
        <f t="shared" si="40"/>
        <v>2.5972222225391306E-2</v>
      </c>
      <c r="N142" s="7">
        <f t="shared" si="41"/>
        <v>37.400000004563481</v>
      </c>
      <c r="O142" s="7"/>
      <c r="P142" s="7"/>
      <c r="Q142" s="23"/>
      <c r="R142" s="23"/>
      <c r="S142" s="32">
        <f t="shared" si="42"/>
        <v>1</v>
      </c>
      <c r="T142" s="47" t="str">
        <f t="shared" si="43"/>
        <v>NorthBound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44"/>
        <v>https://d0f6bd738d7f1b3e5a7ca70fe4ff75f0.us-east-1.aws.found.io/app/kibana#/discover/Steve-Slow-Train-Analysis-(2080s-and-2083s)?_g=(refreshInterval:(display:Off,pause:!f,section:0,value:0),time:(from:'2017-01-22T19:57:13-0700',mode:absolute,to:'2017-01-22T22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2" s="49" t="str">
        <f t="shared" si="45"/>
        <v>N</v>
      </c>
      <c r="X142" s="170">
        <f t="shared" si="46"/>
        <v>1</v>
      </c>
      <c r="Y142" s="64">
        <f t="shared" si="47"/>
        <v>4.58E-2</v>
      </c>
      <c r="Z142" s="64">
        <f t="shared" si="48"/>
        <v>23.3278</v>
      </c>
      <c r="AA142" s="64">
        <f t="shared" si="49"/>
        <v>23.282</v>
      </c>
      <c r="AB142" s="61">
        <f>VLOOKUP(A142,Enforcements!$C$7:$K$16,8,0)</f>
        <v>0</v>
      </c>
      <c r="AC142" s="57" t="str">
        <f>VLOOKUP(A142,Enforcements!$C$7:$E$16,3,0)</f>
        <v>PERMANENT SPEED RESTRICTION</v>
      </c>
      <c r="AD142" s="58" t="str">
        <f t="shared" si="50"/>
        <v>0229-22</v>
      </c>
      <c r="AE142" s="87" t="str">
        <f t="shared" si="51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142" s="84" t="str">
        <f t="shared" si="52"/>
        <v>"C:\Program Files (x86)\AstroGrep\AstroGrep.exe" /spath="%USERPROFILE%\AppData\Local\Temp\OnboardLogs" /stypes="app*4003*20170123*" /stext=" 04:.+((SYSTEM_STATE.+slice.+state.+changed )|(ment ac)|(multiple cpu faults)|(system.+state.+changed )|(\[timeout)|(PRM\|1\|D)|(kpr)|(kdp)|(\|lc)|(penalty))" /e /r /s</v>
      </c>
      <c r="AG142" s="1" t="str">
        <f t="shared" si="53"/>
        <v>EC</v>
      </c>
      <c r="AH142" s="88" t="str">
        <f t="shared" ref="AH142:AH204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229-22 --locoid 4003 --swversion DE.1.0.8.0 --startMP 204:458 --initTime 2017-01-22T20:57:13 --startdatetime 2017-01-22T21:00:26 --delay 1 --endMP 204:233278 --enddatetime 2017-01-22T21:37:50 --enforcementcount 1 &gt;&gt;C:\Users\stu\Documents\GitHub\eaglep3-reporting\EC\2017-01-22-refined-times.txt</v>
      </c>
      <c r="AI142" s="115" t="str">
        <f t="shared" ref="AI142:AI204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{"issue":{"subject":"","project_id":79,"tracker_id":40,"status_id":1,"priority_id":2,"assigned_to_id":23,"start_date":"2017-01-22","description":"","custom_fields":[{"id":1,"name":"Subdivision","value":"EC"},{"id":4,"name":"Milepost","value":"23.3278"},{"id":17,"name":"Train ID","value":"229-22"},{"id":16,"name":"Locomotive ID","value":"4003"},{"id":130,"name":"Impact","value":""},{"id":150,"name":"Time of Event (Mountain Time)","value":"21:37:50"},{"id":151,"name":"Denver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ref="AM142:AM204" si="56">"start /low /b "&amp;dls3logs&amp;" --loco "&amp;B142&amp;" --day "&amp;TEXT(F142,"YYYY-MM-DD")</f>
        <v>start /low /b %USERPROFILE%\Documents\GitHub\eaglep3\Utilities\DownloadLogsFromS3.py --loco 4003 --day 2017-01-22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"%USERPROFILE%\AppData\Local\Temp\OnboardLogs"\RTDC4003\*4003*20170123* | grep -SE "(Enforcement Action)|(\[TIMEOUT)|(CHR.+\|PRM\|1\|D.+(SWITCH|SIGNAL).+UNKNOWN)" - &gt;&gt; 2017-01-22-UncaughtWiMAX.txt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640</v>
      </c>
      <c r="B143" s="7">
        <v>4004</v>
      </c>
      <c r="C143" s="22" t="s">
        <v>196</v>
      </c>
      <c r="D143" s="22" t="s">
        <v>767</v>
      </c>
      <c r="E143" s="13">
        <v>42757.911134259259</v>
      </c>
      <c r="F143" s="13">
        <v>42757.914189814815</v>
      </c>
      <c r="G143" s="7">
        <v>1</v>
      </c>
      <c r="H143" s="22" t="s">
        <v>282</v>
      </c>
      <c r="I143" s="13">
        <v>42757.942858796298</v>
      </c>
      <c r="J143" s="7">
        <v>1</v>
      </c>
      <c r="K143" s="105" t="str">
        <f t="shared" si="39"/>
        <v>4003/4004</v>
      </c>
      <c r="L143" s="22" t="str">
        <f>VLOOKUP(A143,'Trips&amp;Operators'!$C$1:$G$99999,5,FALSE)</f>
        <v>CHANDLER KELVIN</v>
      </c>
      <c r="M143" s="6">
        <f t="shared" si="40"/>
        <v>2.8668981482042E-2</v>
      </c>
      <c r="N143" s="7">
        <f t="shared" si="41"/>
        <v>41.28333333414048</v>
      </c>
      <c r="O143" s="7"/>
      <c r="P143" s="7"/>
      <c r="Q143" s="23"/>
      <c r="R143" s="23"/>
      <c r="S143" s="32">
        <f t="shared" si="42"/>
        <v>1</v>
      </c>
      <c r="T143" s="47" t="str">
        <f t="shared" si="43"/>
        <v>Southbound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44"/>
        <v>https://d0f6bd738d7f1b3e5a7ca70fe4ff75f0.us-east-1.aws.found.io/app/kibana#/discover/Steve-Slow-Train-Analysis-(2080s-and-2083s)?_g=(refreshInterval:(display:Off,pause:!f,section:0,value:0),time:(from:'2017-01-22T20:52:02-0700',mode:absolute,to:'2017-01-22T23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3" s="49" t="str">
        <f t="shared" si="45"/>
        <v>N</v>
      </c>
      <c r="X143" s="170">
        <f t="shared" si="46"/>
        <v>1</v>
      </c>
      <c r="Y143" s="64">
        <f t="shared" si="47"/>
        <v>23.296600000000002</v>
      </c>
      <c r="Z143" s="64">
        <f t="shared" si="48"/>
        <v>1.6500000000000001E-2</v>
      </c>
      <c r="AA143" s="64">
        <f t="shared" si="49"/>
        <v>23.280100000000001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50"/>
        <v>0230-22</v>
      </c>
      <c r="AE143" s="87" t="str">
        <f t="shared" si="51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143" s="84" t="str">
        <f t="shared" si="52"/>
        <v>"C:\Program Files (x86)\AstroGrep\AstroGrep.exe" /spath="%USERPROFILE%\AppData\Local\Temp\OnboardLogs" /stypes="app*4004*20170123*" /stext=" 05:.+((SYSTEM_STATE.+slice.+state.+changed )|(ment ac)|(multiple cpu faults)|(system.+state.+changed )|(\[timeout)|(PRM\|1\|D)|(kpr)|(kdp)|(\|lc)|(penalty))" /e /r /s</v>
      </c>
      <c r="AG143" s="1" t="str">
        <f t="shared" si="53"/>
        <v>EC</v>
      </c>
      <c r="AH143" s="88" t="str">
        <f t="shared" si="54"/>
        <v>"%USERPROFILE%\Documents\GitHub\eaglep3\Utilities\RefineRTDCRunTimes.py" --tripid 230-22 --locoid 4004 --swversion DE.1.0.8.0 --startMP 204:232966 --initTime 2017-01-22T21:52:02 --startdatetime 2017-01-22T21:56:26 --delay 1 --endMP 204:165 --enddatetime 2017-01-22T22:37:43 --enforcementcount 1 &gt;&gt;C:\Users\stu\Documents\GitHub\eaglep3-reporting\EC\2017-01-22-refined-times.txt</v>
      </c>
      <c r="AI143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{"issue":{"subject":"","project_id":79,"tracker_id":40,"status_id":1,"priority_id":2,"assigned_to_id":23,"start_date":"2017-01-22","description":"","custom_fields":[{"id":1,"name":"Subdivision","value":"EC"},{"id":4,"name":"Milepost","value":"0.0165"},{"id":17,"name":"Train ID","value":"230-22"},{"id":16,"name":"Locomotive ID","value":"4004"},{"id":130,"name":"Impact","value":""},{"id":150,"name":"Time of Event (Mountain Time)","value":"22:37:43"},{"id":151,"name":"Denver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si="56"/>
        <v>start /low /b %USERPROFILE%\Documents\GitHub\eaglep3\Utilities\DownloadLogsFromS3.py --loco 4004 --day 2017-01-22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"%USERPROFILE%\AppData\Local\Temp\OnboardLogs"\RTDC4004\*4004*20170123* | grep -SE "(Enforcement Action)|(\[TIMEOUT)|(CHR.+\|PRM\|1\|D.+(SWITCH|SIGNAL).+UNKNOWN)" - &gt;&gt; 2017-01-22-UncaughtWiMAX.txt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635</v>
      </c>
      <c r="B144" s="7">
        <v>4044</v>
      </c>
      <c r="C144" s="22" t="s">
        <v>196</v>
      </c>
      <c r="D144" s="22" t="s">
        <v>245</v>
      </c>
      <c r="E144" s="13">
        <v>42757.881435185183</v>
      </c>
      <c r="F144" s="13">
        <v>42757.896006944444</v>
      </c>
      <c r="G144" s="7">
        <v>1</v>
      </c>
      <c r="H144" s="22" t="s">
        <v>760</v>
      </c>
      <c r="I144" s="13">
        <v>42757.920578703706</v>
      </c>
      <c r="J144" s="7">
        <v>1</v>
      </c>
      <c r="K144" s="105" t="str">
        <f t="shared" si="39"/>
        <v>4043/4044</v>
      </c>
      <c r="L144" s="22" t="str">
        <f>VLOOKUP(A144,'Trips&amp;Operators'!$C$1:$G$99999,5,FALSE)</f>
        <v>NEWELL JAMES</v>
      </c>
      <c r="M144" s="6">
        <f t="shared" si="40"/>
        <v>2.457175926247146E-2</v>
      </c>
      <c r="N144" s="7">
        <f t="shared" si="41"/>
        <v>35.383333337958902</v>
      </c>
      <c r="O144" s="7"/>
      <c r="P144" s="7"/>
      <c r="Q144" s="23"/>
      <c r="R144" s="23"/>
      <c r="S144" s="32">
        <f t="shared" si="42"/>
        <v>1</v>
      </c>
      <c r="T144" s="47" t="str">
        <f t="shared" si="43"/>
        <v>NorthBound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44"/>
        <v>https://d0f6bd738d7f1b3e5a7ca70fe4ff75f0.us-east-1.aws.found.io/app/kibana#/discover/Steve-Slow-Train-Analysis-(2080s-and-2083s)?_g=(refreshInterval:(display:Off,pause:!f,section:0,value:0),time:(from:'2017-01-22T20:09:16-0700',mode:absolute,to:'2017-01-22T23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4" s="49" t="str">
        <f t="shared" si="45"/>
        <v>N</v>
      </c>
      <c r="X144" s="170">
        <f t="shared" si="46"/>
        <v>1</v>
      </c>
      <c r="Y144" s="64">
        <f t="shared" si="47"/>
        <v>4.58E-2</v>
      </c>
      <c r="Z144" s="64">
        <f t="shared" si="48"/>
        <v>23.328900000000001</v>
      </c>
      <c r="AA144" s="64">
        <f t="shared" si="49"/>
        <v>23.283100000000001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50"/>
        <v>0231-22</v>
      </c>
      <c r="AE144" s="87" t="str">
        <f t="shared" si="51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144" s="84" t="str">
        <f t="shared" si="52"/>
        <v>"C:\Program Files (x86)\AstroGrep\AstroGrep.exe" /spath="%USERPROFILE%\AppData\Local\Temp\OnboardLogs" /stypes="app*4044*20170123*" /stext=" 05:.+((SYSTEM_STATE.+slice.+state.+changed )|(ment ac)|(multiple cpu faults)|(system.+state.+changed )|(\[timeout)|(PRM\|1\|D)|(kpr)|(kdp)|(\|lc)|(penalty))" /e /r /s</v>
      </c>
      <c r="AG144" s="1" t="str">
        <f t="shared" si="53"/>
        <v>EC</v>
      </c>
      <c r="AH144" s="88" t="str">
        <f t="shared" si="54"/>
        <v>"%USERPROFILE%\Documents\GitHub\eaglep3\Utilities\RefineRTDCRunTimes.py" --tripid 231-22 --locoid 4044 --swversion DE.1.0.8.0 --startMP 204:458 --initTime 2017-01-22T21:09:16 --startdatetime 2017-01-22T21:30:15 --delay 1 --endMP 204:233289 --enddatetime 2017-01-22T22:05:38 --enforcementcount 1 &gt;&gt;C:\Users\stu\Documents\GitHub\eaglep3-reporting\EC\2017-01-22-refined-times.txt</v>
      </c>
      <c r="AI144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{"issue":{"subject":"","project_id":79,"tracker_id":40,"status_id":1,"priority_id":2,"assigned_to_id":23,"start_date":"2017-01-22","description":"","custom_fields":[{"id":1,"name":"Subdivision","value":"EC"},{"id":4,"name":"Milepost","value":"23.3289"},{"id":17,"name":"Train ID","value":"231-22"},{"id":16,"name":"Locomotive ID","value":"4044"},{"id":130,"name":"Impact","value":""},{"id":150,"name":"Time of Event (Mountain Time)","value":"22:05:38"},{"id":151,"name":"Denver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56"/>
        <v>start /low /b %USERPROFILE%\Documents\GitHub\eaglep3\Utilities\DownloadLogsFromS3.py --loco 4044 --day 2017-01-22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"%USERPROFILE%\AppData\Local\Temp\OnboardLogs"\RTDC4044\*4044*20170123* | grep -SE "(Enforcement Action)|(\[TIMEOUT)|(CHR.+\|PRM\|1\|D.+(SWITCH|SIGNAL).+UNKNOWN)" - &gt;&gt; 2017-01-22-UncaughtWiMAX.txt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643</v>
      </c>
      <c r="B145" s="7">
        <v>4043</v>
      </c>
      <c r="C145" s="22" t="s">
        <v>196</v>
      </c>
      <c r="D145" s="22" t="s">
        <v>702</v>
      </c>
      <c r="E145" s="13">
        <v>42757.932233796295</v>
      </c>
      <c r="F145" s="13">
        <v>42757.934895833336</v>
      </c>
      <c r="G145" s="7">
        <v>1</v>
      </c>
      <c r="H145" s="22" t="s">
        <v>761</v>
      </c>
      <c r="I145" s="13">
        <v>42757.960601851853</v>
      </c>
      <c r="J145" s="7">
        <v>1</v>
      </c>
      <c r="K145" s="105" t="str">
        <f t="shared" si="39"/>
        <v>4043/4044</v>
      </c>
      <c r="L145" s="22" t="str">
        <f>VLOOKUP(A145,'Trips&amp;Operators'!$C$1:$G$99999,5,FALSE)</f>
        <v>NEWELL JAMES</v>
      </c>
      <c r="M145" s="6">
        <f t="shared" si="40"/>
        <v>2.5706018517666962E-2</v>
      </c>
      <c r="N145" s="7">
        <f t="shared" si="41"/>
        <v>37.016666665440425</v>
      </c>
      <c r="O145" s="7"/>
      <c r="P145" s="7"/>
      <c r="Q145" s="23"/>
      <c r="R145" s="23"/>
      <c r="S145" s="32">
        <f t="shared" si="42"/>
        <v>1</v>
      </c>
      <c r="T145" s="47" t="str">
        <f t="shared" si="43"/>
        <v>Southbound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44"/>
        <v>https://d0f6bd738d7f1b3e5a7ca70fe4ff75f0.us-east-1.aws.found.io/app/kibana#/discover/Steve-Slow-Train-Analysis-(2080s-and-2083s)?_g=(refreshInterval:(display:Off,pause:!f,section:0,value:0),time:(from:'2017-01-22T21:22:25-0700',mode:absolute,to:'2017-01-23T00:03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5" s="49" t="str">
        <f t="shared" si="45"/>
        <v>N</v>
      </c>
      <c r="X145" s="170">
        <f t="shared" si="46"/>
        <v>1</v>
      </c>
      <c r="Y145" s="64">
        <f t="shared" si="47"/>
        <v>23.2989</v>
      </c>
      <c r="Z145" s="64">
        <f t="shared" si="48"/>
        <v>1.7000000000000001E-2</v>
      </c>
      <c r="AA145" s="64">
        <f t="shared" si="49"/>
        <v>23.2819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50"/>
        <v>0232-22</v>
      </c>
      <c r="AE145" s="87" t="str">
        <f t="shared" si="51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145" s="84" t="str">
        <f t="shared" si="52"/>
        <v>"C:\Program Files (x86)\AstroGrep\AstroGrep.exe" /spath="%USERPROFILE%\AppData\Local\Temp\OnboardLogs" /stypes="app*4043*20170123*" /stext=" 06:.+((SYSTEM_STATE.+slice.+state.+changed )|(ment ac)|(multiple cpu faults)|(system.+state.+changed )|(\[timeout)|(PRM\|1\|D)|(kpr)|(kdp)|(\|lc)|(penalty))" /e /r /s</v>
      </c>
      <c r="AG145" s="1" t="str">
        <f t="shared" si="53"/>
        <v>EC</v>
      </c>
      <c r="AH145" s="88" t="str">
        <f t="shared" si="54"/>
        <v>"%USERPROFILE%\Documents\GitHub\eaglep3\Utilities\RefineRTDCRunTimes.py" --tripid 232-22 --locoid 4043 --swversion DE.1.0.8.0 --startMP 204:232989 --initTime 2017-01-22T22:22:25 --startdatetime 2017-01-22T22:26:15 --delay 1 --endMP 204:170 --enddatetime 2017-01-22T23:03:16 --enforcementcount 1 &gt;&gt;C:\Users\stu\Documents\GitHub\eaglep3-reporting\EC\2017-01-22-refined-times.txt</v>
      </c>
      <c r="AI145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{"issue":{"subject":"","project_id":79,"tracker_id":40,"status_id":1,"priority_id":2,"assigned_to_id":23,"start_date":"2017-01-22","description":"","custom_fields":[{"id":1,"name":"Subdivision","value":"EC"},{"id":4,"name":"Milepost","value":"0.017"},{"id":17,"name":"Train ID","value":"232-22"},{"id":16,"name":"Locomotive ID","value":"4043"},{"id":130,"name":"Impact","value":""},{"id":150,"name":"Time of Event (Mountain Time)","value":"23:03:16"},{"id":151,"name":"Denver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56"/>
        <v>start /low /b %USERPROFILE%\Documents\GitHub\eaglep3\Utilities\DownloadLogsFromS3.py --loco 4043 --day 2017-01-22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"%USERPROFILE%\AppData\Local\Temp\OnboardLogs"\RTDC4043\*4043*20170123* | grep -SE "(Enforcement Action)|(\[TIMEOUT)|(CHR.+\|PRM\|1\|D.+(SWITCH|SIGNAL).+UNKNOWN)" - &gt;&gt; 2017-01-22-UncaughtWiMAX.txt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639</v>
      </c>
      <c r="B146" s="7">
        <v>4027</v>
      </c>
      <c r="C146" s="22" t="s">
        <v>196</v>
      </c>
      <c r="D146" s="22" t="s">
        <v>329</v>
      </c>
      <c r="E146" s="13">
        <v>42757.902002314811</v>
      </c>
      <c r="F146" s="13">
        <v>42757.916875000003</v>
      </c>
      <c r="G146" s="7">
        <v>2</v>
      </c>
      <c r="H146" s="22" t="s">
        <v>412</v>
      </c>
      <c r="I146" s="13">
        <v>42757.941666666666</v>
      </c>
      <c r="J146" s="7">
        <v>1</v>
      </c>
      <c r="K146" s="105" t="str">
        <f t="shared" si="39"/>
        <v>4027/4028</v>
      </c>
      <c r="L146" s="22" t="str">
        <f>VLOOKUP(A146,'Trips&amp;Operators'!$C$1:$G$99999,5,FALSE)</f>
        <v>SMITH MICHAEL</v>
      </c>
      <c r="M146" s="6">
        <f t="shared" si="40"/>
        <v>2.4791666663077194E-2</v>
      </c>
      <c r="N146" s="7">
        <f t="shared" si="41"/>
        <v>35.69999999483116</v>
      </c>
      <c r="O146" s="7"/>
      <c r="P146" s="7"/>
      <c r="Q146" s="23"/>
      <c r="R146" s="23"/>
      <c r="S146" s="32">
        <f t="shared" si="42"/>
        <v>1</v>
      </c>
      <c r="T146" s="47" t="str">
        <f t="shared" si="43"/>
        <v>NorthBound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44"/>
        <v>https://d0f6bd738d7f1b3e5a7ca70fe4ff75f0.us-east-1.aws.found.io/app/kibana#/discover/Steve-Slow-Train-Analysis-(2080s-and-2083s)?_g=(refreshInterval:(display:Off,pause:!f,section:0,value:0),time:(from:'2017-01-22T20:38:53-0700',mode:absolute,to:'2017-01-22T23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49" t="str">
        <f t="shared" si="45"/>
        <v>N</v>
      </c>
      <c r="X146" s="170">
        <f t="shared" si="46"/>
        <v>1</v>
      </c>
      <c r="Y146" s="64">
        <f t="shared" si="47"/>
        <v>4.6399999999999997E-2</v>
      </c>
      <c r="Z146" s="64">
        <f t="shared" si="48"/>
        <v>23.3291</v>
      </c>
      <c r="AA146" s="64">
        <f t="shared" si="49"/>
        <v>23.282700000000002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50"/>
        <v>0233-22</v>
      </c>
      <c r="AE146" s="87" t="str">
        <f t="shared" si="51"/>
        <v>aws s3 cp s3://rtdc.mdm.uploadarchive.raw/RTDC4027/ "%USERPROFILE%\AppData\Local\Temp\OnboardLogs"\RTDC4027\2017-01-22 --exclude "*" --recursive --include "*20170122*" &amp; "%USERPROFILE%\Documents\GitHub\mrs-test-scripts\Headless Mode &amp; Sideloading\WalkAndUnGZ.bat" "%USERPROFILE%\AppData\Local\Temp\OnboardLogs"\RTDC4027\2017-01-22 &amp; 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</v>
      </c>
      <c r="AF146" s="84" t="str">
        <f t="shared" si="52"/>
        <v>"C:\Program Files (x86)\AstroGrep\AstroGrep.exe" /spath="%USERPROFILE%\AppData\Local\Temp\OnboardLogs" /stypes="app*4027*20170123*" /stext=" 05:.+((SYSTEM_STATE.+slice.+state.+changed )|(ment ac)|(multiple cpu faults)|(system.+state.+changed )|(\[timeout)|(PRM\|1\|D)|(kpr)|(kdp)|(\|lc)|(penalty))" /e /r /s</v>
      </c>
      <c r="AG146" s="1" t="str">
        <f t="shared" si="53"/>
        <v>EC</v>
      </c>
      <c r="AH146" s="88" t="str">
        <f t="shared" si="54"/>
        <v>"%USERPROFILE%\Documents\GitHub\eaglep3\Utilities\RefineRTDCRunTimes.py" --tripid 233-22 --locoid 4027 --swversion DE.1.0.8.0 --startMP 204:464 --initTime 2017-01-22T21:38:53 --startdatetime 2017-01-22T22:00:18 --delay 2 --endMP 204:233291 --enddatetime 2017-01-22T22:36:00 --enforcementcount 1 &gt;&gt;C:\Users\stu\Documents\GitHub\eaglep3-reporting\EC\2017-01-22-refined-times.txt</v>
      </c>
      <c r="AI146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{"issue":{"subject":"","project_id":79,"tracker_id":40,"status_id":1,"priority_id":2,"assigned_to_id":23,"start_date":"2017-01-22","description":"","custom_fields":[{"id":1,"name":"Subdivision","value":"EC"},{"id":4,"name":"Milepost","value":"23.3291"},{"id":17,"name":"Train ID","value":"233-22"},{"id":16,"name":"Locomotive ID","value":"4027"},{"id":130,"name":"Impact","value":""},{"id":150,"name":"Time of Event (Mountain Time)","value":"22:36:00"},{"id":151,"name":"Denver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56"/>
        <v>start /low /b %USERPROFILE%\Documents\GitHub\eaglep3\Utilities\DownloadLogsFromS3.py --loco 4027 --day 2017-01-22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"%USERPROFILE%\AppData\Local\Temp\OnboardLogs"\RTDC4027\*4027*20170123* | grep -SE "(Enforcement Action)|(\[TIMEOUT)|(CHR.+\|PRM\|1\|D.+(SWITCH|SIGNAL).+UNKNOWN)" - &gt;&gt; 2017-01-22-UncaughtWiMAX.txt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645</v>
      </c>
      <c r="B147" s="7">
        <v>4028</v>
      </c>
      <c r="C147" s="22" t="s">
        <v>196</v>
      </c>
      <c r="D147" s="22" t="s">
        <v>679</v>
      </c>
      <c r="E147" s="13">
        <v>42757.944861111115</v>
      </c>
      <c r="F147" s="13">
        <v>42757.955787037034</v>
      </c>
      <c r="G147" s="7">
        <v>2</v>
      </c>
      <c r="H147" s="22" t="s">
        <v>241</v>
      </c>
      <c r="I147" s="13">
        <v>42757.982604166667</v>
      </c>
      <c r="J147" s="7">
        <v>1</v>
      </c>
      <c r="K147" s="105" t="str">
        <f t="shared" si="39"/>
        <v>4027/4028</v>
      </c>
      <c r="L147" s="22" t="str">
        <f>VLOOKUP(A147,'Trips&amp;Operators'!$C$1:$G$99999,5,FALSE)</f>
        <v>SMITH MICHAEL</v>
      </c>
      <c r="M147" s="6">
        <f t="shared" si="40"/>
        <v>2.6817129633855075E-2</v>
      </c>
      <c r="N147" s="7">
        <f t="shared" si="41"/>
        <v>38.616666672751307</v>
      </c>
      <c r="O147" s="7"/>
      <c r="P147" s="7"/>
      <c r="Q147" s="23"/>
      <c r="R147" s="23"/>
      <c r="S147" s="32">
        <f t="shared" si="42"/>
        <v>1</v>
      </c>
      <c r="T147" s="47" t="str">
        <f t="shared" si="43"/>
        <v>Southbound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44"/>
        <v>https://d0f6bd738d7f1b3e5a7ca70fe4ff75f0.us-east-1.aws.found.io/app/kibana#/discover/Steve-Slow-Train-Analysis-(2080s-and-2083s)?_g=(refreshInterval:(display:Off,pause:!f,section:0,value:0),time:(from:'2017-01-22T21:40:36-0700',mode:absolute,to:'2017-01-23T00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49" t="str">
        <f t="shared" si="45"/>
        <v>N</v>
      </c>
      <c r="X147" s="170">
        <f t="shared" si="46"/>
        <v>1</v>
      </c>
      <c r="Y147" s="64">
        <f t="shared" si="47"/>
        <v>23.298100000000002</v>
      </c>
      <c r="Z147" s="64">
        <f t="shared" si="48"/>
        <v>1.6299999999999999E-2</v>
      </c>
      <c r="AA147" s="64">
        <f t="shared" si="49"/>
        <v>23.2818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50"/>
        <v>0234-22</v>
      </c>
      <c r="AE147" s="87" t="str">
        <f t="shared" si="51"/>
        <v>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 &amp; 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</v>
      </c>
      <c r="AF147" s="84" t="str">
        <f t="shared" si="52"/>
        <v>"C:\Program Files (x86)\AstroGrep\AstroGrep.exe" /spath="%USERPROFILE%\AppData\Local\Temp\OnboardLogs" /stypes="app*4028*20170123*" /stext=" 06:.+((SYSTEM_STATE.+slice.+state.+changed )|(ment ac)|(multiple cpu faults)|(system.+state.+changed )|(\[timeout)|(PRM\|1\|D)|(kpr)|(kdp)|(\|lc)|(penalty))" /e /r /s</v>
      </c>
      <c r="AG147" s="1" t="str">
        <f t="shared" si="53"/>
        <v>EC</v>
      </c>
      <c r="AH147" s="88" t="str">
        <f t="shared" si="54"/>
        <v>"%USERPROFILE%\Documents\GitHub\eaglep3\Utilities\RefineRTDCRunTimes.py" --tripid 234-22 --locoid 4028 --swversion DE.1.0.8.0 --startMP 204:232981 --initTime 2017-01-22T22:40:36 --startdatetime 2017-01-22T22:56:20 --delay 2 --endMP 204:163 --enddatetime 2017-01-22T23:34:57 --enforcementcount 1 &gt;&gt;C:\Users\stu\Documents\GitHub\eaglep3-reporting\EC\2017-01-22-refined-times.txt</v>
      </c>
      <c r="AI147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{"issue":{"subject":"","project_id":79,"tracker_id":40,"status_id":1,"priority_id":2,"assigned_to_id":23,"start_date":"2017-01-22","description":"","custom_fields":[{"id":1,"name":"Subdivision","value":"EC"},{"id":4,"name":"Milepost","value":"0.0163"},{"id":17,"name":"Train ID","value":"234-22"},{"id":16,"name":"Locomotive ID","value":"4028"},{"id":130,"name":"Impact","value":""},{"id":150,"name":"Time of Event (Mountain Time)","value":"23:34:57"},{"id":151,"name":"Denver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56"/>
        <v>start /low /b %USERPROFILE%\Documents\GitHub\eaglep3\Utilities\DownloadLogsFromS3.py --loco 4028 --day 2017-01-22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"%USERPROFILE%\AppData\Local\Temp\OnboardLogs"\RTDC4028\*4028*20170123* | grep -SE "(Enforcement Action)|(\[TIMEOUT)|(CHR.+\|PRM\|1\|D.+(SWITCH|SIGNAL).+UNKNOWN)" - &gt;&gt; 2017-01-22-UncaughtWiMAX.txt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641</v>
      </c>
      <c r="B148" s="7">
        <v>4007</v>
      </c>
      <c r="C148" s="22" t="s">
        <v>196</v>
      </c>
      <c r="D148" s="22" t="s">
        <v>278</v>
      </c>
      <c r="E148" s="13">
        <v>42757.921423611115</v>
      </c>
      <c r="F148" s="13">
        <v>42757.937939814816</v>
      </c>
      <c r="G148" s="7">
        <v>1</v>
      </c>
      <c r="H148" s="22" t="s">
        <v>412</v>
      </c>
      <c r="I148" s="13">
        <v>42757.962407407409</v>
      </c>
      <c r="J148" s="7">
        <v>1</v>
      </c>
      <c r="K148" s="105" t="str">
        <f t="shared" si="39"/>
        <v>4007/4008</v>
      </c>
      <c r="L148" s="22" t="str">
        <f>VLOOKUP(A148,'Trips&amp;Operators'!$C$1:$G$99999,5,FALSE)</f>
        <v>STAMBAUGH JAMES</v>
      </c>
      <c r="M148" s="6">
        <f t="shared" si="40"/>
        <v>2.4467592593282461E-2</v>
      </c>
      <c r="N148" s="7">
        <f t="shared" si="41"/>
        <v>35.233333334326744</v>
      </c>
      <c r="O148" s="7"/>
      <c r="P148" s="7"/>
      <c r="Q148" s="23"/>
      <c r="R148" s="23"/>
      <c r="S148" s="32">
        <f t="shared" si="42"/>
        <v>1</v>
      </c>
      <c r="T148" s="47" t="str">
        <f t="shared" si="43"/>
        <v>NorthBound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44"/>
        <v>https://d0f6bd738d7f1b3e5a7ca70fe4ff75f0.us-east-1.aws.found.io/app/kibana#/discover/Steve-Slow-Train-Analysis-(2080s-and-2083s)?_g=(refreshInterval:(display:Off,pause:!f,section:0,value:0),time:(from:'2017-01-22T21:06:51-0700',mode:absolute,to:'2017-01-23T00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8" s="49" t="str">
        <f t="shared" si="45"/>
        <v>N</v>
      </c>
      <c r="X148" s="170">
        <f t="shared" si="46"/>
        <v>1</v>
      </c>
      <c r="Y148" s="64">
        <f t="shared" si="47"/>
        <v>4.5999999999999999E-2</v>
      </c>
      <c r="Z148" s="64">
        <f t="shared" si="48"/>
        <v>23.3291</v>
      </c>
      <c r="AA148" s="64">
        <f t="shared" si="49"/>
        <v>23.283100000000001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 t="shared" si="50"/>
        <v>0235-22</v>
      </c>
      <c r="AE148" s="87" t="str">
        <f t="shared" si="51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148" s="84" t="str">
        <f t="shared" si="52"/>
        <v>"C:\Program Files (x86)\AstroGrep\AstroGrep.exe" /spath="%USERPROFILE%\AppData\Local\Temp\OnboardLogs" /stypes="app*4007*20170123*" /stext=" 06:.+((SYSTEM_STATE.+slice.+state.+changed )|(ment ac)|(multiple cpu faults)|(system.+state.+changed )|(\[timeout)|(PRM\|1\|D)|(kpr)|(kdp)|(\|lc)|(penalty))" /e /r /s</v>
      </c>
      <c r="AG148" s="1" t="str">
        <f t="shared" si="53"/>
        <v>EC</v>
      </c>
      <c r="AH148" s="88" t="str">
        <f t="shared" si="54"/>
        <v>"%USERPROFILE%\Documents\GitHub\eaglep3\Utilities\RefineRTDCRunTimes.py" --tripid 235-22 --locoid 4007 --swversion DE.1.0.8.0 --startMP 204:460 --initTime 2017-01-22T22:06:51 --startdatetime 2017-01-22T22:30:38 --delay 1 --endMP 204:233291 --enddatetime 2017-01-22T23:05:52 --enforcementcount 1 &gt;&gt;C:\Users\stu\Documents\GitHub\eaglep3-reporting\EC\2017-01-22-refined-times.txt</v>
      </c>
      <c r="AI148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{"issue":{"subject":"","project_id":79,"tracker_id":40,"status_id":1,"priority_id":2,"assigned_to_id":23,"start_date":"2017-01-22","description":"","custom_fields":[{"id":1,"name":"Subdivision","value":"EC"},{"id":4,"name":"Milepost","value":"23.3291"},{"id":17,"name":"Train ID","value":"235-22"},{"id":16,"name":"Locomotive ID","value":"4007"},{"id":130,"name":"Impact","value":""},{"id":150,"name":"Time of Event (Mountain Time)","value":"23:05:52"},{"id":151,"name":"Denver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56"/>
        <v>start /low /b %USERPROFILE%\Documents\GitHub\eaglep3\Utilities\DownloadLogsFromS3.py --loco 4007 --day 2017-01-22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"%USERPROFILE%\AppData\Local\Temp\OnboardLogs"\RTDC4007\*4007*20170123* | grep -SE "(Enforcement Action)|(\[TIMEOUT)|(CHR.+\|PRM\|1\|D.+(SWITCH|SIGNAL).+UNKNOWN)" - &gt;&gt; 2017-01-22-UncaughtWiMAX.txt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648</v>
      </c>
      <c r="B149" s="7">
        <v>4008</v>
      </c>
      <c r="C149" s="22" t="s">
        <v>196</v>
      </c>
      <c r="D149" s="22" t="s">
        <v>281</v>
      </c>
      <c r="E149" s="13">
        <v>42757.975127314814</v>
      </c>
      <c r="F149" s="13">
        <v>42757.976840277777</v>
      </c>
      <c r="G149" s="7">
        <v>1</v>
      </c>
      <c r="H149" s="22" t="s">
        <v>213</v>
      </c>
      <c r="I149" s="13">
        <v>42758.002534722225</v>
      </c>
      <c r="J149" s="7">
        <v>1</v>
      </c>
      <c r="K149" s="105" t="str">
        <f t="shared" si="39"/>
        <v>4007/4008</v>
      </c>
      <c r="L149" s="22" t="str">
        <f>VLOOKUP(A149,'Trips&amp;Operators'!$C$1:$G$99999,5,FALSE)</f>
        <v>STAMBAUGH JAMES</v>
      </c>
      <c r="M149" s="6">
        <f t="shared" si="40"/>
        <v>2.5694444448163267E-2</v>
      </c>
      <c r="N149" s="7">
        <f t="shared" si="41"/>
        <v>37.000000005355105</v>
      </c>
      <c r="O149" s="7"/>
      <c r="P149" s="7"/>
      <c r="Q149" s="23"/>
      <c r="R149" s="23"/>
      <c r="S149" s="32">
        <f t="shared" si="42"/>
        <v>1</v>
      </c>
      <c r="T149" s="47" t="str">
        <f t="shared" si="43"/>
        <v>Southbound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44"/>
        <v>https://d0f6bd738d7f1b3e5a7ca70fe4ff75f0.us-east-1.aws.found.io/app/kibana#/discover/Steve-Slow-Train-Analysis-(2080s-and-2083s)?_g=(refreshInterval:(display:Off,pause:!f,section:0,value:0),time:(from:'2017-01-22T22:24:11-0700',mode:absolute,to:'2017-01-23T01:03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9" s="49" t="str">
        <f t="shared" si="45"/>
        <v>N</v>
      </c>
      <c r="X149" s="170">
        <f t="shared" si="46"/>
        <v>1</v>
      </c>
      <c r="Y149" s="64">
        <f t="shared" si="47"/>
        <v>23.3</v>
      </c>
      <c r="Z149" s="64">
        <f t="shared" si="48"/>
        <v>1.3899999999999999E-2</v>
      </c>
      <c r="AA149" s="64">
        <f t="shared" si="49"/>
        <v>23.286100000000001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50"/>
        <v>0236-22</v>
      </c>
      <c r="AE149" s="87" t="str">
        <f t="shared" si="51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149" s="84" t="str">
        <f t="shared" si="52"/>
        <v>"C:\Program Files (x86)\AstroGrep\AstroGrep.exe" /spath="%USERPROFILE%\AppData\Local\Temp\OnboardLogs" /stypes="app*4008*20170123*" /stext=" 07:.+((SYSTEM_STATE.+slice.+state.+changed )|(ment ac)|(multiple cpu faults)|(system.+state.+changed )|(\[timeout)|(PRM\|1\|D)|(kpr)|(kdp)|(\|lc)|(penalty))" /e /r /s</v>
      </c>
      <c r="AG149" s="1" t="str">
        <f t="shared" si="53"/>
        <v>EC</v>
      </c>
      <c r="AH149" s="88" t="str">
        <f t="shared" si="54"/>
        <v>"%USERPROFILE%\Documents\GitHub\eaglep3\Utilities\RefineRTDCRunTimes.py" --tripid 236-22 --locoid 4008 --swversion DE.1.0.8.0 --startMP 204:233000 --initTime 2017-01-22T23:24:11 --startdatetime 2017-01-22T23:26:39 --delay 1 --endMP 204:139 --enddatetime 2017-01-23T00:03:39 --enforcementcount 1 &gt;&gt;C:\Users\stu\Documents\GitHub\eaglep3-reporting\EC\2017-01-22-refined-times.txt</v>
      </c>
      <c r="AI149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{"issue":{"subject":"","project_id":79,"tracker_id":40,"status_id":1,"priority_id":2,"assigned_to_id":23,"start_date":"2017-01-23","description":"","custom_fields":[{"id":1,"name":"Subdivision","value":"EC"},{"id":4,"name":"Milepost","value":"0.0139"},{"id":17,"name":"Train ID","value":"236-22"},{"id":16,"name":"Locomotive ID","value":"4008"},{"id":130,"name":"Impact","value":""},{"id":150,"name":"Time of Event (Mountain Time)","value":"00:03:39"},{"id":151,"name":"Denver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56"/>
        <v>start /low /b %USERPROFILE%\Documents\GitHub\eaglep3\Utilities\DownloadLogsFromS3.py --loco 4008 --day 2017-01-22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"%USERPROFILE%\AppData\Local\Temp\OnboardLogs"\RTDC4008\*4008*20170123* | grep -SE "(Enforcement Action)|(\[TIMEOUT)|(CHR.+\|PRM\|1\|D.+(SWITCH|SIGNAL).+UNKNOWN)" - &gt;&gt; 2017-01-22-UncaughtWiMAX.txt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646</v>
      </c>
      <c r="B150" s="7">
        <v>4003</v>
      </c>
      <c r="C150" s="22" t="s">
        <v>196</v>
      </c>
      <c r="D150" s="22" t="s">
        <v>187</v>
      </c>
      <c r="E150" s="13">
        <v>42757.955208333333</v>
      </c>
      <c r="F150" s="13">
        <v>42757.958599537036</v>
      </c>
      <c r="G150" s="7">
        <v>1</v>
      </c>
      <c r="H150" s="22" t="s">
        <v>760</v>
      </c>
      <c r="I150" s="13">
        <v>42757.98364583333</v>
      </c>
      <c r="J150" s="7">
        <v>1</v>
      </c>
      <c r="K150" s="105" t="str">
        <f t="shared" si="39"/>
        <v>4003/4004</v>
      </c>
      <c r="L150" s="22" t="str">
        <f>VLOOKUP(A150,'Trips&amp;Operators'!$C$1:$G$99999,5,FALSE)</f>
        <v>CHANDLER KELVIN</v>
      </c>
      <c r="M150" s="6">
        <f t="shared" si="40"/>
        <v>2.5046296294021886E-2</v>
      </c>
      <c r="N150" s="7">
        <f t="shared" si="41"/>
        <v>36.066666663391516</v>
      </c>
      <c r="O150" s="7"/>
      <c r="P150" s="7"/>
      <c r="Q150" s="23"/>
      <c r="R150" s="23"/>
      <c r="S150" s="32">
        <f t="shared" si="42"/>
        <v>1</v>
      </c>
      <c r="T150" s="47" t="str">
        <f t="shared" si="43"/>
        <v>NorthBound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44"/>
        <v>https://d0f6bd738d7f1b3e5a7ca70fe4ff75f0.us-east-1.aws.found.io/app/kibana#/discover/Steve-Slow-Train-Analysis-(2080s-and-2083s)?_g=(refreshInterval:(display:Off,pause:!f,section:0,value:0),time:(from:'2017-01-22T21:55:30-0700',mode:absolute,to:'2017-01-23T00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0" s="49" t="str">
        <f t="shared" si="45"/>
        <v>N</v>
      </c>
      <c r="X150" s="170">
        <f t="shared" si="46"/>
        <v>1</v>
      </c>
      <c r="Y150" s="64">
        <f t="shared" si="47"/>
        <v>4.4699999999999997E-2</v>
      </c>
      <c r="Z150" s="64">
        <f t="shared" si="48"/>
        <v>23.328900000000001</v>
      </c>
      <c r="AA150" s="64">
        <f t="shared" si="49"/>
        <v>23.284200000000002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50"/>
        <v>0237-22</v>
      </c>
      <c r="AE150" s="87" t="str">
        <f t="shared" si="51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150" s="84" t="str">
        <f t="shared" si="52"/>
        <v>"C:\Program Files (x86)\AstroGrep\AstroGrep.exe" /spath="%USERPROFILE%\AppData\Local\Temp\OnboardLogs" /stypes="app*4003*20170123*" /stext=" 06:.+((SYSTEM_STATE.+slice.+state.+changed )|(ment ac)|(multiple cpu faults)|(system.+state.+changed )|(\[timeout)|(PRM\|1\|D)|(kpr)|(kdp)|(\|lc)|(penalty))" /e /r /s</v>
      </c>
      <c r="AG150" s="1" t="str">
        <f t="shared" si="53"/>
        <v>EC</v>
      </c>
      <c r="AH150" s="88" t="str">
        <f t="shared" si="54"/>
        <v>"%USERPROFILE%\Documents\GitHub\eaglep3\Utilities\RefineRTDCRunTimes.py" --tripid 237-22 --locoid 4003 --swversion DE.1.0.8.0 --startMP 204:447 --initTime 2017-01-22T22:55:30 --startdatetime 2017-01-22T23:00:23 --delay 1 --endMP 204:233289 --enddatetime 2017-01-22T23:36:27 --enforcementcount 1 &gt;&gt;C:\Users\stu\Documents\GitHub\eaglep3-reporting\EC\2017-01-22-refined-times.txt</v>
      </c>
      <c r="AI150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{"issue":{"subject":"","project_id":79,"tracker_id":40,"status_id":1,"priority_id":2,"assigned_to_id":23,"start_date":"2017-01-22","description":"","custom_fields":[{"id":1,"name":"Subdivision","value":"EC"},{"id":4,"name":"Milepost","value":"23.3289"},{"id":17,"name":"Train ID","value":"237-22"},{"id":16,"name":"Locomotive ID","value":"4003"},{"id":130,"name":"Impact","value":""},{"id":150,"name":"Time of Event (Mountain Time)","value":"23:36:27"},{"id":151,"name":"Denver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56"/>
        <v>start /low /b %USERPROFILE%\Documents\GitHub\eaglep3\Utilities\DownloadLogsFromS3.py --loco 4003 --day 2017-01-22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"%USERPROFILE%\AppData\Local\Temp\OnboardLogs"\RTDC4003\*4003*20170123* | grep -SE "(Enforcement Action)|(\[TIMEOUT)|(CHR.+\|PRM\|1\|D.+(SWITCH|SIGNAL).+UNKNOWN)" - &gt;&gt; 2017-01-22-UncaughtWiMAX.txt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650</v>
      </c>
      <c r="B151" s="7">
        <v>4004</v>
      </c>
      <c r="C151" s="22" t="s">
        <v>196</v>
      </c>
      <c r="D151" s="22" t="s">
        <v>768</v>
      </c>
      <c r="E151" s="13">
        <v>42757.993437500001</v>
      </c>
      <c r="F151" s="13">
        <v>42757.997812499998</v>
      </c>
      <c r="G151" s="7">
        <v>1</v>
      </c>
      <c r="H151" s="22" t="s">
        <v>241</v>
      </c>
      <c r="I151" s="13">
        <v>42758.025451388887</v>
      </c>
      <c r="J151" s="7">
        <v>1</v>
      </c>
      <c r="K151" s="105" t="str">
        <f t="shared" si="39"/>
        <v>4003/4004</v>
      </c>
      <c r="L151" s="22" t="str">
        <f>VLOOKUP(A151,'Trips&amp;Operators'!$C$1:$G$99999,5,FALSE)</f>
        <v>CHANDLER KELVIN</v>
      </c>
      <c r="M151" s="6">
        <f t="shared" si="40"/>
        <v>2.7638888888759539E-2</v>
      </c>
      <c r="N151" s="7">
        <f t="shared" si="41"/>
        <v>39.799999999813735</v>
      </c>
      <c r="O151" s="7"/>
      <c r="P151" s="7"/>
      <c r="Q151" s="23"/>
      <c r="R151" s="23"/>
      <c r="S151" s="32">
        <f t="shared" si="42"/>
        <v>1</v>
      </c>
      <c r="T151" s="47" t="str">
        <f t="shared" si="43"/>
        <v>Southbound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44"/>
        <v>https://d0f6bd738d7f1b3e5a7ca70fe4ff75f0.us-east-1.aws.found.io/app/kibana#/discover/Steve-Slow-Train-Analysis-(2080s-and-2083s)?_g=(refreshInterval:(display:Off,pause:!f,section:0,value:0),time:(from:'2017-01-22T22:50:33-0700',mode:absolute,to:'2017-01-23T01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1" s="49" t="str">
        <f t="shared" si="45"/>
        <v>N</v>
      </c>
      <c r="X151" s="170">
        <f t="shared" si="46"/>
        <v>1</v>
      </c>
      <c r="Y151" s="64">
        <f t="shared" si="47"/>
        <v>23.296800000000001</v>
      </c>
      <c r="Z151" s="64">
        <f t="shared" si="48"/>
        <v>1.6299999999999999E-2</v>
      </c>
      <c r="AA151" s="64">
        <f t="shared" si="49"/>
        <v>23.2805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50"/>
        <v>0238-22</v>
      </c>
      <c r="AE151" s="87" t="str">
        <f t="shared" si="51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151" s="84" t="str">
        <f t="shared" si="52"/>
        <v>"C:\Program Files (x86)\AstroGrep\AstroGrep.exe" /spath="%USERPROFILE%\AppData\Local\Temp\OnboardLogs" /stypes="app*4004*20170123*" /stext=" 07:.+((SYSTEM_STATE.+slice.+state.+changed )|(ment ac)|(multiple cpu faults)|(system.+state.+changed )|(\[timeout)|(PRM\|1\|D)|(kpr)|(kdp)|(\|lc)|(penalty))" /e /r /s</v>
      </c>
      <c r="AG151" s="1" t="str">
        <f t="shared" si="53"/>
        <v>EC</v>
      </c>
      <c r="AH151" s="88" t="str">
        <f t="shared" si="54"/>
        <v>"%USERPROFILE%\Documents\GitHub\eaglep3\Utilities\RefineRTDCRunTimes.py" --tripid 238-22 --locoid 4004 --swversion DE.1.0.8.0 --startMP 204:232968 --initTime 2017-01-22T23:50:33 --startdatetime 2017-01-22T23:56:51 --delay 1 --endMP 204:163 --enddatetime 2017-01-23T00:36:39 --enforcementcount 1 &gt;&gt;C:\Users\stu\Documents\GitHub\eaglep3-reporting\EC\2017-01-22-refined-times.txt</v>
      </c>
      <c r="AI151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{"issue":{"subject":"","project_id":79,"tracker_id":40,"status_id":1,"priority_id":2,"assigned_to_id":23,"start_date":"2017-01-23","description":"","custom_fields":[{"id":1,"name":"Subdivision","value":"EC"},{"id":4,"name":"Milepost","value":"0.0163"},{"id":17,"name":"Train ID","value":"238-22"},{"id":16,"name":"Locomotive ID","value":"4004"},{"id":130,"name":"Impact","value":""},{"id":150,"name":"Time of Event (Mountain Time)","value":"00:36:39"},{"id":151,"name":"Denver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56"/>
        <v>start /low /b %USERPROFILE%\Documents\GitHub\eaglep3\Utilities\DownloadLogsFromS3.py --loco 4004 --day 2017-01-22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"%USERPROFILE%\AppData\Local\Temp\OnboardLogs"\RTDC4004\*4004*20170123* | grep -SE "(Enforcement Action)|(\[TIMEOUT)|(CHR.+\|PRM\|1\|D.+(SWITCH|SIGNAL).+UNKNOWN)" - &gt;&gt; 2017-01-22-UncaughtWiMAX.txt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647</v>
      </c>
      <c r="B152" s="7">
        <v>4044</v>
      </c>
      <c r="C152" s="22" t="s">
        <v>196</v>
      </c>
      <c r="D152" s="22" t="s">
        <v>329</v>
      </c>
      <c r="E152" s="13">
        <v>42757.962002314816</v>
      </c>
      <c r="F152" s="13">
        <v>42757.97934027778</v>
      </c>
      <c r="G152" s="7">
        <v>1</v>
      </c>
      <c r="H152" s="22" t="s">
        <v>325</v>
      </c>
      <c r="I152" s="13">
        <v>42758.003912037035</v>
      </c>
      <c r="J152" s="7">
        <v>1</v>
      </c>
      <c r="K152" s="105" t="str">
        <f t="shared" si="39"/>
        <v>4043/4044</v>
      </c>
      <c r="L152" s="22" t="str">
        <f>VLOOKUP(A152,'Trips&amp;Operators'!$C$1:$G$99999,5,FALSE)</f>
        <v>NEWELL JAMES</v>
      </c>
      <c r="M152" s="6">
        <f t="shared" si="40"/>
        <v>2.4571759255195502E-2</v>
      </c>
      <c r="N152" s="7">
        <f t="shared" si="41"/>
        <v>35.383333327481523</v>
      </c>
      <c r="O152" s="7"/>
      <c r="P152" s="7"/>
      <c r="Q152" s="23"/>
      <c r="R152" s="23"/>
      <c r="S152" s="32">
        <f t="shared" si="42"/>
        <v>1</v>
      </c>
      <c r="T152" s="47" t="str">
        <f t="shared" si="43"/>
        <v>NorthBound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44"/>
        <v>https://d0f6bd738d7f1b3e5a7ca70fe4ff75f0.us-east-1.aws.found.io/app/kibana#/discover/Steve-Slow-Train-Analysis-(2080s-and-2083s)?_g=(refreshInterval:(display:Off,pause:!f,section:0,value:0),time:(from:'2017-01-22T22:05:17-0700',mode:absolute,to:'2017-01-23T01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2" s="49" t="str">
        <f t="shared" si="45"/>
        <v>N</v>
      </c>
      <c r="X152" s="170">
        <f t="shared" si="46"/>
        <v>1</v>
      </c>
      <c r="Y152" s="64">
        <f t="shared" si="47"/>
        <v>4.6399999999999997E-2</v>
      </c>
      <c r="Z152" s="64">
        <f t="shared" si="48"/>
        <v>23.332699999999999</v>
      </c>
      <c r="AA152" s="64">
        <f t="shared" si="49"/>
        <v>23.286300000000001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 t="shared" si="50"/>
        <v>0239-22</v>
      </c>
      <c r="AE152" s="87" t="str">
        <f t="shared" si="51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152" s="84" t="str">
        <f t="shared" si="52"/>
        <v>"C:\Program Files (x86)\AstroGrep\AstroGrep.exe" /spath="%USERPROFILE%\AppData\Local\Temp\OnboardLogs" /stypes="app*4044*20170123*" /stext=" 07:.+((SYSTEM_STATE.+slice.+state.+changed )|(ment ac)|(multiple cpu faults)|(system.+state.+changed )|(\[timeout)|(PRM\|1\|D)|(kpr)|(kdp)|(\|lc)|(penalty))" /e /r /s</v>
      </c>
      <c r="AG152" s="1" t="str">
        <f t="shared" si="53"/>
        <v>EC</v>
      </c>
      <c r="AH152" s="88" t="str">
        <f t="shared" si="54"/>
        <v>"%USERPROFILE%\Documents\GitHub\eaglep3\Utilities\RefineRTDCRunTimes.py" --tripid 239-22 --locoid 4044 --swversion DE.1.0.8.0 --startMP 204:464 --initTime 2017-01-22T23:05:17 --startdatetime 2017-01-22T23:30:15 --delay 1 --endMP 204:233327 --enddatetime 2017-01-23T00:05:38 --enforcementcount 1 &gt;&gt;C:\Users\stu\Documents\GitHub\eaglep3-reporting\EC\2017-01-22-refined-times.txt</v>
      </c>
      <c r="AI152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{"issue":{"subject":"","project_id":79,"tracker_id":40,"status_id":1,"priority_id":2,"assigned_to_id":23,"start_date":"2017-01-23","description":"","custom_fields":[{"id":1,"name":"Subdivision","value":"EC"},{"id":4,"name":"Milepost","value":"23.3327"},{"id":17,"name":"Train ID","value":"239-22"},{"id":16,"name":"Locomotive ID","value":"4044"},{"id":130,"name":"Impact","value":""},{"id":150,"name":"Time of Event (Mountain Time)","value":"00:05:38"},{"id":151,"name":"Denver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56"/>
        <v>start /low /b %USERPROFILE%\Documents\GitHub\eaglep3\Utilities\DownloadLogsFromS3.py --loco 4044 --day 2017-01-22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"%USERPROFILE%\AppData\Local\Temp\OnboardLogs"\RTDC4044\*4044*20170123* | grep -SE "(Enforcement Action)|(\[TIMEOUT)|(CHR.+\|PRM\|1\|D.+(SWITCH|SIGNAL).+UNKNOWN)" - &gt;&gt; 2017-01-22-UncaughtWiMAX.txt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652</v>
      </c>
      <c r="B153" s="7">
        <v>4043</v>
      </c>
      <c r="C153" s="22" t="s">
        <v>196</v>
      </c>
      <c r="D153" s="22" t="s">
        <v>281</v>
      </c>
      <c r="E153" s="13">
        <v>42758.010659722226</v>
      </c>
      <c r="F153" s="13">
        <v>42758.018240740741</v>
      </c>
      <c r="G153" s="7">
        <v>1</v>
      </c>
      <c r="H153" s="22" t="s">
        <v>223</v>
      </c>
      <c r="I153" s="13">
        <v>42758.043969907405</v>
      </c>
      <c r="J153" s="7">
        <v>1</v>
      </c>
      <c r="K153" s="105" t="str">
        <f t="shared" si="39"/>
        <v>4043/4044</v>
      </c>
      <c r="L153" s="22" t="str">
        <f>VLOOKUP(A153,'Trips&amp;Operators'!$C$1:$G$99999,5,FALSE)</f>
        <v>NEWELL JAMES</v>
      </c>
      <c r="M153" s="6">
        <f t="shared" si="40"/>
        <v>2.5729166663950309E-2</v>
      </c>
      <c r="N153" s="7">
        <f t="shared" si="41"/>
        <v>37.049999996088445</v>
      </c>
      <c r="O153" s="7"/>
      <c r="P153" s="7"/>
      <c r="Q153" s="23"/>
      <c r="R153" s="23"/>
      <c r="S153" s="32">
        <f t="shared" si="42"/>
        <v>1</v>
      </c>
      <c r="T153" s="47" t="str">
        <f t="shared" si="43"/>
        <v>Southbound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44"/>
        <v>https://d0f6bd738d7f1b3e5a7ca70fe4ff75f0.us-east-1.aws.found.io/app/kibana#/discover/Steve-Slow-Train-Analysis-(2080s-and-2083s)?_g=(refreshInterval:(display:Off,pause:!f,section:0,value:0),time:(from:'2017-01-22T23:15:21-0700',mode:absolute,to:'2017-01-23T02:03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3" s="49" t="str">
        <f t="shared" si="45"/>
        <v>N</v>
      </c>
      <c r="X153" s="170">
        <f t="shared" si="46"/>
        <v>1</v>
      </c>
      <c r="Y153" s="64">
        <f t="shared" si="47"/>
        <v>23.3</v>
      </c>
      <c r="Z153" s="64">
        <f t="shared" si="48"/>
        <v>1.5599999999999999E-2</v>
      </c>
      <c r="AA153" s="64">
        <f t="shared" si="49"/>
        <v>23.284400000000002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50"/>
        <v>0240-22</v>
      </c>
      <c r="AE153" s="87" t="str">
        <f t="shared" si="51"/>
        <v>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 &amp; aws s3 cp s3://rtdc.mdm.uploadarchive.raw/RTDC4043/ "%USERPROFILE%\AppData\Local\Temp\OnboardLogs"\RTDC4043\2017-01-24 --exclude "*" --recursive --include "*20170124*" &amp; "%USERPROFILE%\Documents\GitHub\mrs-test-scripts\Headless Mode &amp; Sideloading\WalkAndUnGZ.bat" "%USERPROFILE%\AppData\Local\Temp\OnboardLogs"\RTDC4043\2017-01-24</v>
      </c>
      <c r="AF153" s="84" t="str">
        <f t="shared" si="52"/>
        <v>"C:\Program Files (x86)\AstroGrep\AstroGrep.exe" /spath="%USERPROFILE%\AppData\Local\Temp\OnboardLogs" /stypes="app*4043*20170123*" /stext=" 08:.+((SYSTEM_STATE.+slice.+state.+changed )|(ment ac)|(multiple cpu faults)|(system.+state.+changed )|(\[timeout)|(PRM\|1\|D)|(kpr)|(kdp)|(\|lc)|(penalty))" /e /r /s</v>
      </c>
      <c r="AG153" s="1" t="str">
        <f t="shared" si="53"/>
        <v>EC</v>
      </c>
      <c r="AH153" s="88" t="str">
        <f t="shared" si="54"/>
        <v>"%USERPROFILE%\Documents\GitHub\eaglep3\Utilities\RefineRTDCRunTimes.py" --tripid 240-22 --locoid 4043 --swversion DE.1.0.8.0 --startMP 204:233000 --initTime 2017-01-23T00:15:21 --startdatetime 2017-01-23T00:26:16 --delay 1 --endMP 204:156 --enddatetime 2017-01-23T01:03:19 --enforcementcount 1 &gt;&gt;C:\Users\stu\Documents\GitHub\eaglep3-reporting\EC\2017-01-22-refined-times.txt</v>
      </c>
      <c r="AI153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{"issue":{"subject":"","project_id":79,"tracker_id":40,"status_id":1,"priority_id":2,"assigned_to_id":23,"start_date":"2017-01-23","description":"","custom_fields":[{"id":1,"name":"Subdivision","value":"EC"},{"id":4,"name":"Milepost","value":"0.0156"},{"id":17,"name":"Train ID","value":"240-22"},{"id":16,"name":"Locomotive ID","value":"4043"},{"id":130,"name":"Impact","value":""},{"id":150,"name":"Time of Event (Mountain Time)","value":"01:03:19"},{"id":151,"name":"Denver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56"/>
        <v>start /low /b %USERPROFILE%\Documents\GitHub\eaglep3\Utilities\DownloadLogsFromS3.py --loco 4043 --day 2017-01-23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"%USERPROFILE%\AppData\Local\Temp\OnboardLogs"\RTDC4043\*4043*20170123* | grep -SE "(Enforcement Action)|(\[TIMEOUT)|(CHR.+\|PRM\|1\|D.+(SWITCH|SIGNAL).+UNKNOWN)" - &gt;&gt; 2017-01-22-UncaughtWiMAX.txt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649</v>
      </c>
      <c r="B154" s="7">
        <v>4027</v>
      </c>
      <c r="C154" s="22" t="s">
        <v>196</v>
      </c>
      <c r="D154" s="22" t="s">
        <v>406</v>
      </c>
      <c r="E154" s="13">
        <v>42757.987638888888</v>
      </c>
      <c r="F154" s="13">
        <v>42758.000277777777</v>
      </c>
      <c r="G154" s="7">
        <v>2</v>
      </c>
      <c r="H154" s="22" t="s">
        <v>262</v>
      </c>
      <c r="I154" s="13">
        <v>42758.025046296294</v>
      </c>
      <c r="J154" s="7">
        <v>1</v>
      </c>
      <c r="K154" s="105" t="str">
        <f t="shared" si="39"/>
        <v>4027/4028</v>
      </c>
      <c r="L154" s="22" t="str">
        <f>VLOOKUP(A154,'Trips&amp;Operators'!$C$1:$G$99999,5,FALSE)</f>
        <v>SMITH MICHAEL</v>
      </c>
      <c r="M154" s="6">
        <f t="shared" si="40"/>
        <v>2.4768518516793847E-2</v>
      </c>
      <c r="N154" s="7">
        <f t="shared" si="41"/>
        <v>35.66666666418314</v>
      </c>
      <c r="O154" s="7"/>
      <c r="P154" s="7"/>
      <c r="Q154" s="23"/>
      <c r="R154" s="23"/>
      <c r="S154" s="32">
        <f t="shared" si="42"/>
        <v>1</v>
      </c>
      <c r="T154" s="47" t="str">
        <f t="shared" si="43"/>
        <v>NorthBound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44"/>
        <v>https://d0f6bd738d7f1b3e5a7ca70fe4ff75f0.us-east-1.aws.found.io/app/kibana#/discover/Steve-Slow-Train-Analysis-(2080s-and-2083s)?_g=(refreshInterval:(display:Off,pause:!f,section:0,value:0),time:(from:'2017-01-22T22:42:12-0700',mode:absolute,to:'2017-01-23T01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4" s="49" t="str">
        <f t="shared" si="45"/>
        <v>N</v>
      </c>
      <c r="X154" s="170">
        <f t="shared" si="46"/>
        <v>1</v>
      </c>
      <c r="Y154" s="64">
        <f t="shared" si="47"/>
        <v>4.53E-2</v>
      </c>
      <c r="Z154" s="64">
        <f t="shared" si="48"/>
        <v>23.330200000000001</v>
      </c>
      <c r="AA154" s="64">
        <f t="shared" si="49"/>
        <v>23.2849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 t="shared" si="50"/>
        <v>0241-22</v>
      </c>
      <c r="AE154" s="87" t="str">
        <f t="shared" si="51"/>
        <v>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 &amp; aws s3 cp s3://rtdc.mdm.uploadarchive.raw/RTDC4027/ "%USERPROFILE%\AppData\Local\Temp\OnboardLogs"\RTDC4027\2017-01-24 --exclude "*" --recursive --include "*20170124*" &amp; "%USERPROFILE%\Documents\GitHub\mrs-test-scripts\Headless Mode &amp; Sideloading\WalkAndUnGZ.bat" "%USERPROFILE%\AppData\Local\Temp\OnboardLogs"\RTDC4027\2017-01-24</v>
      </c>
      <c r="AF154" s="84" t="str">
        <f t="shared" si="52"/>
        <v>"C:\Program Files (x86)\AstroGrep\AstroGrep.exe" /spath="%USERPROFILE%\AppData\Local\Temp\OnboardLogs" /stypes="app*4027*20170123*" /stext=" 07:.+((SYSTEM_STATE.+slice.+state.+changed )|(ment ac)|(multiple cpu faults)|(system.+state.+changed )|(\[timeout)|(PRM\|1\|D)|(kpr)|(kdp)|(\|lc)|(penalty))" /e /r /s</v>
      </c>
      <c r="AG154" s="1" t="str">
        <f t="shared" si="53"/>
        <v>EC</v>
      </c>
      <c r="AH154" s="88" t="str">
        <f t="shared" si="54"/>
        <v>"%USERPROFILE%\Documents\GitHub\eaglep3\Utilities\RefineRTDCRunTimes.py" --tripid 241-22 --locoid 4027 --swversion DE.1.0.8.0 --startMP 204:453 --initTime 2017-01-22T23:42:12 --startdatetime 2017-01-23T00:00:24 --delay 2 --endMP 204:233302 --enddatetime 2017-01-23T00:36:04 --enforcementcount 1 &gt;&gt;C:\Users\stu\Documents\GitHub\eaglep3-reporting\EC\2017-01-22-refined-times.txt</v>
      </c>
      <c r="AI154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{"issue":{"subject":"","project_id":79,"tracker_id":40,"status_id":1,"priority_id":2,"assigned_to_id":23,"start_date":"2017-01-23","description":"","custom_fields":[{"id":1,"name":"Subdivision","value":"EC"},{"id":4,"name":"Milepost","value":"23.3302"},{"id":17,"name":"Train ID","value":"241-22"},{"id":16,"name":"Locomotive ID","value":"4027"},{"id":130,"name":"Impact","value":""},{"id":150,"name":"Time of Event (Mountain Time)","value":"00:36:04"},{"id":151,"name":"Denver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56"/>
        <v>start /low /b %USERPROFILE%\Documents\GitHub\eaglep3\Utilities\DownloadLogsFromS3.py --loco 4027 --day 2017-01-23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"%USERPROFILE%\AppData\Local\Temp\OnboardLogs"\RTDC4027\*4027*20170123* | grep -SE "(Enforcement Action)|(\[TIMEOUT)|(CHR.+\|PRM\|1\|D.+(SWITCH|SIGNAL).+UNKNOWN)" - &gt;&gt; 2017-01-22-UncaughtWiMAX.txt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654</v>
      </c>
      <c r="B155" s="7">
        <v>4028</v>
      </c>
      <c r="C155" s="22" t="s">
        <v>196</v>
      </c>
      <c r="D155" s="22" t="s">
        <v>679</v>
      </c>
      <c r="E155" s="13">
        <v>42758.02783564815</v>
      </c>
      <c r="F155" s="13">
        <v>42758.039074074077</v>
      </c>
      <c r="G155" s="7">
        <v>1</v>
      </c>
      <c r="H155" s="22" t="s">
        <v>216</v>
      </c>
      <c r="I155" s="13">
        <v>42758.065787037034</v>
      </c>
      <c r="J155" s="7">
        <v>1</v>
      </c>
      <c r="K155" s="105" t="str">
        <f t="shared" si="39"/>
        <v>4027/4028</v>
      </c>
      <c r="L155" s="22" t="str">
        <f>VLOOKUP(A155,'Trips&amp;Operators'!$C$1:$G$99999,5,FALSE)</f>
        <v>SMITH MICHAEL</v>
      </c>
      <c r="M155" s="6">
        <f t="shared" si="40"/>
        <v>2.6712962957390118E-2</v>
      </c>
      <c r="N155" s="7">
        <f t="shared" si="41"/>
        <v>38.46666665864177</v>
      </c>
      <c r="O155" s="7"/>
      <c r="P155" s="7"/>
      <c r="Q155" s="23"/>
      <c r="R155" s="23"/>
      <c r="S155" s="32">
        <f t="shared" si="42"/>
        <v>1</v>
      </c>
      <c r="T155" s="47" t="str">
        <f t="shared" si="43"/>
        <v>Southbound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44"/>
        <v>https://d0f6bd738d7f1b3e5a7ca70fe4ff75f0.us-east-1.aws.found.io/app/kibana#/discover/Steve-Slow-Train-Analysis-(2080s-and-2083s)?_g=(refreshInterval:(display:Off,pause:!f,section:0,value:0),time:(from:'2017-01-22T23:40:05-0700',mode:absolute,to:'2017-01-23T02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49" t="str">
        <f t="shared" si="45"/>
        <v>N</v>
      </c>
      <c r="X155" s="170">
        <f t="shared" si="46"/>
        <v>1</v>
      </c>
      <c r="Y155" s="64">
        <f t="shared" si="47"/>
        <v>23.298100000000002</v>
      </c>
      <c r="Z155" s="64">
        <f t="shared" si="48"/>
        <v>1.6E-2</v>
      </c>
      <c r="AA155" s="64">
        <f t="shared" si="49"/>
        <v>23.282100000000003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50"/>
        <v>0242-22</v>
      </c>
      <c r="AE155" s="87" t="str">
        <f t="shared" si="51"/>
        <v>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 &amp; 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</v>
      </c>
      <c r="AF155" s="84" t="str">
        <f t="shared" si="52"/>
        <v>"C:\Program Files (x86)\AstroGrep\AstroGrep.exe" /spath="%USERPROFILE%\AppData\Local\Temp\OnboardLogs" /stypes="app*4028*20170123*" /stext=" 08:.+((SYSTEM_STATE.+slice.+state.+changed )|(ment ac)|(multiple cpu faults)|(system.+state.+changed )|(\[timeout)|(PRM\|1\|D)|(kpr)|(kdp)|(\|lc)|(penalty))" /e /r /s</v>
      </c>
      <c r="AG155" s="1" t="str">
        <f t="shared" si="53"/>
        <v>EC</v>
      </c>
      <c r="AH155" s="88" t="str">
        <f t="shared" si="54"/>
        <v>"%USERPROFILE%\Documents\GitHub\eaglep3\Utilities\RefineRTDCRunTimes.py" --tripid 242-22 --locoid 4028 --swversion DE.1.0.8.0 --startMP 204:232981 --initTime 2017-01-23T00:40:05 --startdatetime 2017-01-23T00:56:16 --delay 1 --endMP 204:160 --enddatetime 2017-01-23T01:34:44 --enforcementcount 1 &gt;&gt;C:\Users\stu\Documents\GitHub\eaglep3-reporting\EC\2017-01-22-refined-times.txt</v>
      </c>
      <c r="AI155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{"issue":{"subject":"","project_id":79,"tracker_id":40,"status_id":1,"priority_id":2,"assigned_to_id":23,"start_date":"2017-01-23","description":"","custom_fields":[{"id":1,"name":"Subdivision","value":"EC"},{"id":4,"name":"Milepost","value":"0.016"},{"id":17,"name":"Train ID","value":"242-22"},{"id":16,"name":"Locomotive ID","value":"4028"},{"id":130,"name":"Impact","value":""},{"id":150,"name":"Time of Event (Mountain Time)","value":"01:34:44"},{"id":151,"name":"Denver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56"/>
        <v>start /low /b %USERPROFILE%\Documents\GitHub\eaglep3\Utilities\DownloadLogsFromS3.py --loco 4028 --day 2017-01-23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"%USERPROFILE%\AppData\Local\Temp\OnboardLogs"\RTDC4028\*4028*20170123* | grep -SE "(Enforcement Action)|(\[TIMEOUT)|(CHR.+\|PRM\|1\|D.+(SWITCH|SIGNAL).+UNKNOWN)" - &gt;&gt; 2017-01-22-UncaughtWiMAX.txt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651</v>
      </c>
      <c r="B156" s="7">
        <v>4007</v>
      </c>
      <c r="C156" s="22" t="s">
        <v>196</v>
      </c>
      <c r="D156" s="22" t="s">
        <v>205</v>
      </c>
      <c r="E156" s="13">
        <v>42758.004374999997</v>
      </c>
      <c r="F156" s="13">
        <v>42758.021168981482</v>
      </c>
      <c r="G156" s="7">
        <v>1</v>
      </c>
      <c r="H156" s="22" t="s">
        <v>280</v>
      </c>
      <c r="I156" s="13">
        <v>42758.045960648145</v>
      </c>
      <c r="J156" s="7">
        <v>1</v>
      </c>
      <c r="K156" s="105" t="str">
        <f t="shared" si="39"/>
        <v>4007/4008</v>
      </c>
      <c r="L156" s="22" t="str">
        <f>VLOOKUP(A156,'Trips&amp;Operators'!$C$1:$G$99999,5,FALSE)</f>
        <v>STAMBAUGH JAMES</v>
      </c>
      <c r="M156" s="6">
        <f t="shared" si="40"/>
        <v>2.4791666663077194E-2</v>
      </c>
      <c r="N156" s="7">
        <f t="shared" si="41"/>
        <v>35.69999999483116</v>
      </c>
      <c r="O156" s="7"/>
      <c r="P156" s="7"/>
      <c r="Q156" s="23"/>
      <c r="R156" s="23"/>
      <c r="S156" s="32">
        <f t="shared" si="42"/>
        <v>1</v>
      </c>
      <c r="T156" s="47" t="str">
        <f t="shared" si="43"/>
        <v>NorthBound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44"/>
        <v>https://d0f6bd738d7f1b3e5a7ca70fe4ff75f0.us-east-1.aws.found.io/app/kibana#/discover/Steve-Slow-Train-Analysis-(2080s-and-2083s)?_g=(refreshInterval:(display:Off,pause:!f,section:0,value:0),time:(from:'2017-01-22T23:06:18-0700',mode:absolute,to:'2017-01-23T02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6" s="49" t="str">
        <f t="shared" si="45"/>
        <v>N</v>
      </c>
      <c r="X156" s="170">
        <f t="shared" si="46"/>
        <v>1</v>
      </c>
      <c r="Y156" s="64">
        <f t="shared" si="47"/>
        <v>4.5499999999999999E-2</v>
      </c>
      <c r="Z156" s="64">
        <f t="shared" si="48"/>
        <v>23.331399999999999</v>
      </c>
      <c r="AA156" s="64">
        <f t="shared" si="49"/>
        <v>23.285899999999998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50"/>
        <v>0243-22</v>
      </c>
      <c r="AE156" s="87" t="str">
        <f t="shared" si="51"/>
        <v>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 &amp; aws s3 cp s3://rtdc.mdm.uploadarchive.raw/RTDC4007/ "%USERPROFILE%\AppData\Local\Temp\OnboardLogs"\RTDC4007\2017-01-24 --exclude "*" --recursive --include "*20170124*" &amp; "%USERPROFILE%\Documents\GitHub\mrs-test-scripts\Headless Mode &amp; Sideloading\WalkAndUnGZ.bat" "%USERPROFILE%\AppData\Local\Temp\OnboardLogs"\RTDC4007\2017-01-24</v>
      </c>
      <c r="AF156" s="84" t="str">
        <f t="shared" si="52"/>
        <v>"C:\Program Files (x86)\AstroGrep\AstroGrep.exe" /spath="%USERPROFILE%\AppData\Local\Temp\OnboardLogs" /stypes="app*4007*20170123*" /stext=" 08:.+((SYSTEM_STATE.+slice.+state.+changed )|(ment ac)|(multiple cpu faults)|(system.+state.+changed )|(\[timeout)|(PRM\|1\|D)|(kpr)|(kdp)|(\|lc)|(penalty))" /e /r /s</v>
      </c>
      <c r="AG156" s="1" t="str">
        <f t="shared" si="53"/>
        <v>EC</v>
      </c>
      <c r="AH156" s="88" t="str">
        <f t="shared" si="54"/>
        <v>"%USERPROFILE%\Documents\GitHub\eaglep3\Utilities\RefineRTDCRunTimes.py" --tripid 243-22 --locoid 4007 --swversion DE.1.0.8.0 --startMP 204:455 --initTime 2017-01-23T00:06:18 --startdatetime 2017-01-23T00:30:29 --delay 1 --endMP 204:233314 --enddatetime 2017-01-23T01:06:11 --enforcementcount 1 &gt;&gt;C:\Users\stu\Documents\GitHub\eaglep3-reporting\EC\2017-01-22-refined-times.txt</v>
      </c>
      <c r="AI156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{"issue":{"subject":"","project_id":79,"tracker_id":40,"status_id":1,"priority_id":2,"assigned_to_id":23,"start_date":"2017-01-23","description":"","custom_fields":[{"id":1,"name":"Subdivision","value":"EC"},{"id":4,"name":"Milepost","value":"23.3314"},{"id":17,"name":"Train ID","value":"243-22"},{"id":16,"name":"Locomotive ID","value":"4007"},{"id":130,"name":"Impact","value":""},{"id":150,"name":"Time of Event (Mountain Time)","value":"01:06:11"},{"id":151,"name":"Denver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56"/>
        <v>start /low /b %USERPROFILE%\Documents\GitHub\eaglep3\Utilities\DownloadLogsFromS3.py --loco 4007 --day 2017-01-23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"%USERPROFILE%\AppData\Local\Temp\OnboardLogs"\RTDC4007\*4007*20170123* | grep -SE "(Enforcement Action)|(\[TIMEOUT)|(CHR.+\|PRM\|1\|D.+(SWITCH|SIGNAL).+UNKNOWN)" - &gt;&gt; 2017-01-22-UncaughtWiMAX.txt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656</v>
      </c>
      <c r="B157" s="7">
        <v>4008</v>
      </c>
      <c r="C157" s="22" t="s">
        <v>196</v>
      </c>
      <c r="D157" s="22" t="s">
        <v>279</v>
      </c>
      <c r="E157" s="13">
        <v>42758.058657407404</v>
      </c>
      <c r="F157" s="13">
        <v>42758.060081018521</v>
      </c>
      <c r="G157" s="7">
        <v>1</v>
      </c>
      <c r="H157" s="22" t="s">
        <v>769</v>
      </c>
      <c r="I157" s="13">
        <v>42758.085370370369</v>
      </c>
      <c r="J157" s="7">
        <v>1</v>
      </c>
      <c r="K157" s="105" t="str">
        <f t="shared" si="39"/>
        <v>4007/4008</v>
      </c>
      <c r="L157" s="22" t="str">
        <f>VLOOKUP(A157,'Trips&amp;Operators'!$C$1:$G$99999,5,FALSE)</f>
        <v>STAMBAUGH JAMES</v>
      </c>
      <c r="M157" s="6">
        <f t="shared" si="40"/>
        <v>2.5289351848186925E-2</v>
      </c>
      <c r="N157" s="7">
        <f t="shared" si="41"/>
        <v>36.416666661389172</v>
      </c>
      <c r="O157" s="7"/>
      <c r="P157" s="7"/>
      <c r="Q157" s="23"/>
      <c r="R157" s="23"/>
      <c r="S157" s="32">
        <f t="shared" si="42"/>
        <v>1</v>
      </c>
      <c r="T157" s="47" t="str">
        <f t="shared" si="43"/>
        <v>Southbound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44"/>
        <v>https://d0f6bd738d7f1b3e5a7ca70fe4ff75f0.us-east-1.aws.found.io/app/kibana#/discover/Steve-Slow-Train-Analysis-(2080s-and-2083s)?_g=(refreshInterval:(display:Off,pause:!f,section:0,value:0),time:(from:'2017-01-23T00:24:28-0700',mode:absolute,to:'2017-01-23T03:02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7" s="49" t="str">
        <f t="shared" si="45"/>
        <v>N</v>
      </c>
      <c r="X157" s="170">
        <f t="shared" si="46"/>
        <v>1</v>
      </c>
      <c r="Y157" s="64">
        <f t="shared" si="47"/>
        <v>23.299600000000002</v>
      </c>
      <c r="Z157" s="64">
        <f t="shared" si="48"/>
        <v>1.9599999999999999E-2</v>
      </c>
      <c r="AA157" s="64">
        <f t="shared" si="49"/>
        <v>23.28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50"/>
        <v>0244-22</v>
      </c>
      <c r="AE157" s="87" t="str">
        <f t="shared" si="51"/>
        <v>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 &amp; aws s3 cp s3://rtdc.mdm.uploadarchive.raw/RTDC4008/ "%USERPROFILE%\AppData\Local\Temp\OnboardLogs"\RTDC4008\2017-01-24 --exclude "*" --recursive --include "*20170124*" &amp; "%USERPROFILE%\Documents\GitHub\mrs-test-scripts\Headless Mode &amp; Sideloading\WalkAndUnGZ.bat" "%USERPROFILE%\AppData\Local\Temp\OnboardLogs"\RTDC4008\2017-01-24</v>
      </c>
      <c r="AF157" s="84" t="str">
        <f t="shared" si="52"/>
        <v>"C:\Program Files (x86)\AstroGrep\AstroGrep.exe" /spath="%USERPROFILE%\AppData\Local\Temp\OnboardLogs" /stypes="app*4008*20170123*" /stext=" 09:.+((SYSTEM_STATE.+slice.+state.+changed )|(ment ac)|(multiple cpu faults)|(system.+state.+changed )|(\[timeout)|(PRM\|1\|D)|(kpr)|(kdp)|(\|lc)|(penalty))" /e /r /s</v>
      </c>
      <c r="AG157" s="1" t="str">
        <f t="shared" si="53"/>
        <v>EC</v>
      </c>
      <c r="AH157" s="88" t="str">
        <f t="shared" si="54"/>
        <v>"%USERPROFILE%\Documents\GitHub\eaglep3\Utilities\RefineRTDCRunTimes.py" --tripid 244-22 --locoid 4008 --swversion DE.1.0.8.0 --startMP 204:232996 --initTime 2017-01-23T01:24:28 --startdatetime 2017-01-23T01:26:31 --delay 1 --endMP 204:196 --enddatetime 2017-01-23T02:02:56 --enforcementcount 1 &gt;&gt;C:\Users\stu\Documents\GitHub\eaglep3-reporting\EC\2017-01-22-refined-times.txt</v>
      </c>
      <c r="AI157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{"issue":{"subject":"","project_id":79,"tracker_id":40,"status_id":1,"priority_id":2,"assigned_to_id":23,"start_date":"2017-01-23","description":"","custom_fields":[{"id":1,"name":"Subdivision","value":"EC"},{"id":4,"name":"Milepost","value":"0.0196"},{"id":17,"name":"Train ID","value":"244-22"},{"id":16,"name":"Locomotive ID","value":"4008"},{"id":130,"name":"Impact","value":""},{"id":150,"name":"Time of Event (Mountain Time)","value":"02:02:56"},{"id":151,"name":"Denver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56"/>
        <v>start /low /b %USERPROFILE%\Documents\GitHub\eaglep3\Utilities\DownloadLogsFromS3.py --loco 4008 --day 2017-01-23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"%USERPROFILE%\AppData\Local\Temp\OnboardLogs"\RTDC4008\*4008*20170123* | grep -SE "(Enforcement Action)|(\[TIMEOUT)|(CHR.+\|PRM\|1\|D.+(SWITCH|SIGNAL).+UNKNOWN)" - &gt;&gt; 2017-01-22-UncaughtWiMAX.txt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480</v>
      </c>
      <c r="B158" s="7">
        <v>4032</v>
      </c>
      <c r="C158" s="22" t="s">
        <v>196</v>
      </c>
      <c r="D158" s="22" t="s">
        <v>711</v>
      </c>
      <c r="E158" s="13">
        <v>42757.237592592595</v>
      </c>
      <c r="F158" s="13">
        <v>42757.23878472222</v>
      </c>
      <c r="G158" s="7">
        <v>1</v>
      </c>
      <c r="H158" s="22" t="s">
        <v>337</v>
      </c>
      <c r="I158" s="13">
        <v>42757.247337962966</v>
      </c>
      <c r="J158" s="7">
        <v>1</v>
      </c>
      <c r="K158" s="105" t="str">
        <f t="shared" si="39"/>
        <v>4031/4032</v>
      </c>
      <c r="L158" s="22" t="str">
        <f>VLOOKUP(A158,'Trips&amp;Operators'!$C$1:$G$99999,5,FALSE)</f>
        <v>YORK EDGAR</v>
      </c>
      <c r="M158" s="6">
        <f t="shared" si="40"/>
        <v>8.5532407465507276E-3</v>
      </c>
      <c r="N158" s="7">
        <f t="shared" si="41"/>
        <v>12.316666675033048</v>
      </c>
      <c r="O158" s="7"/>
      <c r="P158" s="7"/>
      <c r="Q158" s="23"/>
      <c r="R158" s="23"/>
      <c r="S158" s="32">
        <f t="shared" si="42"/>
        <v>1</v>
      </c>
      <c r="T158" s="47" t="str">
        <f t="shared" si="43"/>
        <v>Southbound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44"/>
        <v>https://d0f6bd738d7f1b3e5a7ca70fe4ff75f0.us-east-1.aws.found.io/app/kibana#/discover/Steve-Slow-Train-Analysis-(2080s-and-2083s)?_g=(refreshInterval:(display:Off,pause:!f,section:0,value:0),time:(from:'2017-01-22T04:42:08-0700',mode:absolute,to:'2017-01-22T06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8" s="49" t="str">
        <f t="shared" si="45"/>
        <v>N</v>
      </c>
      <c r="X158" s="170">
        <f t="shared" si="46"/>
        <v>1556</v>
      </c>
      <c r="Y158" s="64">
        <f t="shared" si="47"/>
        <v>5.8604000000000003</v>
      </c>
      <c r="Z158" s="64">
        <f t="shared" si="48"/>
        <v>7.4499999999999997E-2</v>
      </c>
      <c r="AA158" s="64">
        <f t="shared" si="49"/>
        <v>5.7859000000000007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50"/>
        <v>1800-22</v>
      </c>
      <c r="AE158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58" s="84" t="str">
        <f t="shared" si="52"/>
        <v>"C:\Program Files (x86)\AstroGrep\AstroGrep.exe" /spath="%USERPROFILE%\AppData\Local\Temp\OnboardLogs" /stypes="app*4032*20170122*" /stext=" 12:.+((SYSTEM_STATE.+slice.+state.+changed )|(ment ac)|(multiple cpu faults)|(system.+state.+changed )|(\[timeout)|(PRM\|1\|D)|(kpr)|(kdp)|(\|lc)|(penalty))" /e /r /s</v>
      </c>
      <c r="AG158" s="1" t="str">
        <f t="shared" si="53"/>
        <v>NW</v>
      </c>
      <c r="AH158" s="88" t="str">
        <f t="shared" si="54"/>
        <v>"%USERPROFILE%\Documents\GitHub\eaglep3\Utilities\RefineRTDCRunTimes.py" --tripid 1800-22 --locoid 4032 --swversion DE.1.0.8.0 --startMP 300:58604 --initTime 2017-01-22T05:42:08 --startdatetime 2017-01-22T05:43:51 --delay 1 --endMP 204:745 --enddatetime 2017-01-22T05:56:10 --enforcementcount 1 &gt;&gt;C:\Users\stu\Documents\GitHub\eaglep3-reporting\EC\2017-01-22-refined-times.txt</v>
      </c>
      <c r="AI158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{"issue":{"subject":"","project_id":79,"tracker_id":40,"status_id":1,"priority_id":2,"assigned_to_id":23,"start_date":"2017-01-22","description":"","custom_fields":[{"id":1,"name":"Subdivision","value":"NW"},{"id":4,"name":"Milepost","value":"0.0745"},{"id":17,"name":"Train ID","value":"1800-22"},{"id":16,"name":"Locomotive ID","value":"4032"},{"id":130,"name":"Impact","value":""},{"id":150,"name":"Time of Event (Mountain Time)","value":"05:56:10"},{"id":151,"name":"Denver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56"/>
        <v>start /low /b %USERPROFILE%\Documents\GitHub\eaglep3\Utilities\DownloadLogsFromS3.py --loco 4032 --day 2017-01-22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483</v>
      </c>
      <c r="B159" s="7">
        <v>4031</v>
      </c>
      <c r="C159" s="22" t="s">
        <v>196</v>
      </c>
      <c r="D159" s="22" t="s">
        <v>712</v>
      </c>
      <c r="E159" s="13">
        <v>42757.248668981483</v>
      </c>
      <c r="F159" s="13">
        <v>42757.264999999999</v>
      </c>
      <c r="G159" s="7">
        <v>0</v>
      </c>
      <c r="H159" s="22" t="s">
        <v>713</v>
      </c>
      <c r="I159" s="13">
        <v>42757.273993055554</v>
      </c>
      <c r="J159" s="7">
        <v>1</v>
      </c>
      <c r="K159" s="105" t="str">
        <f t="shared" si="39"/>
        <v>4031/4032</v>
      </c>
      <c r="L159" s="22" t="str">
        <f>VLOOKUP(A159,'Trips&amp;Operators'!$C$1:$G$99999,5,FALSE)</f>
        <v>YORK EDGAR</v>
      </c>
      <c r="M159" s="6">
        <f t="shared" si="40"/>
        <v>8.9930555550381541E-3</v>
      </c>
      <c r="N159" s="7">
        <f t="shared" si="41"/>
        <v>12.949999999254942</v>
      </c>
      <c r="O159" s="7"/>
      <c r="P159" s="7"/>
      <c r="Q159" s="23"/>
      <c r="R159" s="23"/>
      <c r="S159" s="32">
        <f t="shared" si="42"/>
        <v>1</v>
      </c>
      <c r="T159" s="47" t="str">
        <f t="shared" si="43"/>
        <v>NorthBound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44"/>
        <v>https://d0f6bd738d7f1b3e5a7ca70fe4ff75f0.us-east-1.aws.found.io/app/kibana#/discover/Steve-Slow-Train-Analysis-(2080s-and-2083s)?_g=(refreshInterval:(display:Off,pause:!f,section:0,value:0),time:(from:'2017-01-22T04:58:05-0700',mode:absolute,to:'2017-01-22T07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9" s="49" t="str">
        <f t="shared" si="45"/>
        <v>N</v>
      </c>
      <c r="X159" s="170">
        <f t="shared" si="46"/>
        <v>1</v>
      </c>
      <c r="Y159" s="64">
        <f t="shared" si="47"/>
        <v>0.10340000000000001</v>
      </c>
      <c r="Z159" s="64">
        <f t="shared" si="48"/>
        <v>5.8930999999999996</v>
      </c>
      <c r="AA159" s="64">
        <f t="shared" si="49"/>
        <v>5.7896999999999998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50"/>
        <v>1801-22</v>
      </c>
      <c r="AE159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59" s="84" t="str">
        <f t="shared" si="52"/>
        <v>"C:\Program Files (x86)\AstroGrep\AstroGrep.exe" /spath="%USERPROFILE%\AppData\Local\Temp\OnboardLogs" /stypes="app*4031*20170122*" /stext=" 13:.+((SYSTEM_STATE.+slice.+state.+changed )|(ment ac)|(multiple cpu faults)|(system.+state.+changed )|(\[timeout)|(PRM\|1\|D)|(kpr)|(kdp)|(\|lc)|(penalty))" /e /r /s</v>
      </c>
      <c r="AG159" s="1" t="str">
        <f t="shared" si="53"/>
        <v>NW</v>
      </c>
      <c r="AH159" s="88" t="str">
        <f t="shared" si="54"/>
        <v>"%USERPROFILE%\Documents\GitHub\eaglep3\Utilities\RefineRTDCRunTimes.py" --tripid 1801-22 --locoid 4031 --swversion DE.1.0.8.0 --startMP 204:1034 --initTime 2017-01-22T05:58:05 --startdatetime 2017-01-22T06:21:36 --delay 0 --endMP 300:58931 --enddatetime 2017-01-22T06:34:33 --enforcementcount 1 &gt;&gt;C:\Users\stu\Documents\GitHub\eaglep3-reporting\EC\2017-01-22-refined-times.txt</v>
      </c>
      <c r="AI159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{"issue":{"subject":"","project_id":79,"tracker_id":40,"status_id":1,"priority_id":2,"assigned_to_id":23,"start_date":"2017-01-22","description":"","custom_fields":[{"id":1,"name":"Subdivision","value":"NW"},{"id":4,"name":"Milepost","value":"5.8931"},{"id":17,"name":"Train ID","value":"1801-22"},{"id":16,"name":"Locomotive ID","value":"4031"},{"id":130,"name":"Impact","value":""},{"id":150,"name":"Time of Event (Mountain Time)","value":"06:34:33"},{"id":151,"name":"Denver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56"/>
        <v>start /low /b %USERPROFILE%\Documents\GitHub\eaglep3\Utilities\DownloadLogsFromS3.py --loco 4031 --day 2017-01-22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491</v>
      </c>
      <c r="B160" s="7">
        <v>4032</v>
      </c>
      <c r="C160" s="22" t="s">
        <v>196</v>
      </c>
      <c r="D160" s="22" t="s">
        <v>714</v>
      </c>
      <c r="E160" s="13">
        <v>42757.27616898148</v>
      </c>
      <c r="F160" s="13">
        <v>42757.277581018519</v>
      </c>
      <c r="G160" s="7">
        <v>1</v>
      </c>
      <c r="H160" s="22" t="s">
        <v>403</v>
      </c>
      <c r="I160" s="13">
        <v>42757.28802083333</v>
      </c>
      <c r="J160" s="7">
        <v>1</v>
      </c>
      <c r="K160" s="105" t="str">
        <f t="shared" si="39"/>
        <v>4031/4032</v>
      </c>
      <c r="L160" s="22" t="str">
        <f>VLOOKUP(A160,'Trips&amp;Operators'!$C$1:$G$99999,5,FALSE)</f>
        <v>YORK EDGAR</v>
      </c>
      <c r="M160" s="6">
        <f t="shared" si="40"/>
        <v>1.0439814810524695E-2</v>
      </c>
      <c r="N160" s="7">
        <f t="shared" si="41"/>
        <v>15.03333332715556</v>
      </c>
      <c r="O160" s="7"/>
      <c r="P160" s="7"/>
      <c r="Q160" s="23"/>
      <c r="R160" s="23"/>
      <c r="S160" s="32">
        <f t="shared" si="42"/>
        <v>1</v>
      </c>
      <c r="T160" s="47" t="str">
        <f t="shared" si="43"/>
        <v>Southbound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44"/>
        <v>https://d0f6bd738d7f1b3e5a7ca70fe4ff75f0.us-east-1.aws.found.io/app/kibana#/discover/Steve-Slow-Train-Analysis-(2080s-and-2083s)?_g=(refreshInterval:(display:Off,pause:!f,section:0,value:0),time:(from:'2017-01-22T05:37:41-0700',mode:absolute,to:'2017-01-22T07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0" s="49" t="str">
        <f t="shared" si="45"/>
        <v>N</v>
      </c>
      <c r="X160" s="170">
        <f t="shared" si="46"/>
        <v>1</v>
      </c>
      <c r="Y160" s="64">
        <f t="shared" si="47"/>
        <v>5.8613</v>
      </c>
      <c r="Z160" s="64">
        <f t="shared" si="48"/>
        <v>7.4099999999999999E-2</v>
      </c>
      <c r="AA160" s="64">
        <f t="shared" si="49"/>
        <v>5.7872000000000003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50"/>
        <v>1802-22</v>
      </c>
      <c r="AE160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60" s="84" t="str">
        <f t="shared" si="52"/>
        <v>"C:\Program Files (x86)\AstroGrep\AstroGrep.exe" /spath="%USERPROFILE%\AppData\Local\Temp\OnboardLogs" /stypes="app*4032*20170122*" /stext=" 13:.+((SYSTEM_STATE.+slice.+state.+changed )|(ment ac)|(multiple cpu faults)|(system.+state.+changed )|(\[timeout)|(PRM\|1\|D)|(kpr)|(kdp)|(\|lc)|(penalty))" /e /r /s</v>
      </c>
      <c r="AG160" s="1" t="str">
        <f t="shared" si="53"/>
        <v>NW</v>
      </c>
      <c r="AH160" s="88" t="str">
        <f t="shared" si="54"/>
        <v>"%USERPROFILE%\Documents\GitHub\eaglep3\Utilities\RefineRTDCRunTimes.py" --tripid 1802-22 --locoid 4032 --swversion DE.1.0.8.0 --startMP 300:58613 --initTime 2017-01-22T06:37:41 --startdatetime 2017-01-22T06:39:43 --delay 1 --endMP 204:741 --enddatetime 2017-01-22T06:54:45 --enforcementcount 1 &gt;&gt;C:\Users\stu\Documents\GitHub\eaglep3-reporting\EC\2017-01-22-refined-times.txt</v>
      </c>
      <c r="AI160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{"issue":{"subject":"","project_id":79,"tracker_id":40,"status_id":1,"priority_id":2,"assigned_to_id":23,"start_date":"2017-01-22","description":"","custom_fields":[{"id":1,"name":"Subdivision","value":"NW"},{"id":4,"name":"Milepost","value":"0.0741"},{"id":17,"name":"Train ID","value":"1802-22"},{"id":16,"name":"Locomotive ID","value":"4032"},{"id":130,"name":"Impact","value":""},{"id":150,"name":"Time of Event (Mountain Time)","value":"06:54:45"},{"id":151,"name":"Denver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56"/>
        <v>start /low /b %USERPROFILE%\Documents\GitHub\eaglep3\Utilities\DownloadLogsFromS3.py --loco 4032 --day 2017-01-22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494</v>
      </c>
      <c r="B161" s="7">
        <v>4031</v>
      </c>
      <c r="C161" s="22" t="s">
        <v>196</v>
      </c>
      <c r="D161" s="22" t="s">
        <v>715</v>
      </c>
      <c r="E161" s="13">
        <v>42757.289305555554</v>
      </c>
      <c r="F161" s="13">
        <v>42757.306620370371</v>
      </c>
      <c r="G161" s="7">
        <v>1</v>
      </c>
      <c r="H161" s="22" t="s">
        <v>716</v>
      </c>
      <c r="I161" s="13">
        <v>42757.315833333334</v>
      </c>
      <c r="J161" s="7">
        <v>1</v>
      </c>
      <c r="K161" s="105" t="str">
        <f t="shared" si="39"/>
        <v>4031/4032</v>
      </c>
      <c r="L161" s="22" t="str">
        <f>VLOOKUP(A161,'Trips&amp;Operators'!$C$1:$G$99999,5,FALSE)</f>
        <v>YORK EDGAR</v>
      </c>
      <c r="M161" s="6">
        <f t="shared" si="40"/>
        <v>9.2129629629198462E-3</v>
      </c>
      <c r="N161" s="7">
        <f t="shared" si="41"/>
        <v>13.266666666604578</v>
      </c>
      <c r="O161" s="7"/>
      <c r="P161" s="7"/>
      <c r="Q161" s="23"/>
      <c r="R161" s="23"/>
      <c r="S161" s="32">
        <f t="shared" si="42"/>
        <v>1</v>
      </c>
      <c r="T161" s="47" t="str">
        <f t="shared" si="43"/>
        <v>NorthBound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44"/>
        <v>https://d0f6bd738d7f1b3e5a7ca70fe4ff75f0.us-east-1.aws.found.io/app/kibana#/discover/Steve-Slow-Train-Analysis-(2080s-and-2083s)?_g=(refreshInterval:(display:Off,pause:!f,section:0,value:0),time:(from:'2017-01-22T05:56:36-0700',mode:absolute,to:'2017-01-22T08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1" s="49" t="str">
        <f t="shared" si="45"/>
        <v>N</v>
      </c>
      <c r="X161" s="170">
        <f t="shared" si="46"/>
        <v>1</v>
      </c>
      <c r="Y161" s="64">
        <f t="shared" si="47"/>
        <v>0.10349999999999999</v>
      </c>
      <c r="Z161" s="64">
        <f t="shared" si="48"/>
        <v>5.8943000000000003</v>
      </c>
      <c r="AA161" s="64">
        <f t="shared" si="49"/>
        <v>5.7907999999999999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50"/>
        <v>1803-22</v>
      </c>
      <c r="AE161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61" s="84" t="str">
        <f t="shared" si="52"/>
        <v>"C:\Program Files (x86)\AstroGrep\AstroGrep.exe" /spath="%USERPROFILE%\AppData\Local\Temp\OnboardLogs" /stypes="app*4031*20170122*" /stext=" 14:.+((SYSTEM_STATE.+slice.+state.+changed )|(ment ac)|(multiple cpu faults)|(system.+state.+changed )|(\[timeout)|(PRM\|1\|D)|(kpr)|(kdp)|(\|lc)|(penalty))" /e /r /s</v>
      </c>
      <c r="AG161" s="1" t="str">
        <f t="shared" si="53"/>
        <v>NW</v>
      </c>
      <c r="AH161" s="88" t="str">
        <f t="shared" si="54"/>
        <v>"%USERPROFILE%\Documents\GitHub\eaglep3\Utilities\RefineRTDCRunTimes.py" --tripid 1803-22 --locoid 4031 --swversion DE.1.0.8.0 --startMP 204:1035 --initTime 2017-01-22T06:56:36 --startdatetime 2017-01-22T07:21:32 --delay 1 --endMP 300:58943 --enddatetime 2017-01-22T07:34:48 --enforcementcount 1 &gt;&gt;C:\Users\stu\Documents\GitHub\eaglep3-reporting\EC\2017-01-22-refined-times.txt</v>
      </c>
      <c r="AI161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{"issue":{"subject":"","project_id":79,"tracker_id":40,"status_id":1,"priority_id":2,"assigned_to_id":23,"start_date":"2017-01-22","description":"","custom_fields":[{"id":1,"name":"Subdivision","value":"NW"},{"id":4,"name":"Milepost","value":"5.8943"},{"id":17,"name":"Train ID","value":"1803-22"},{"id":16,"name":"Locomotive ID","value":"4031"},{"id":130,"name":"Impact","value":""},{"id":150,"name":"Time of Event (Mountain Time)","value":"07:34:48"},{"id":151,"name":"Denver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56"/>
        <v>start /low /b %USERPROFILE%\Documents\GitHub\eaglep3\Utilities\DownloadLogsFromS3.py --loco 4031 --day 2017-01-22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501</v>
      </c>
      <c r="B162" s="7">
        <v>4032</v>
      </c>
      <c r="C162" s="22" t="s">
        <v>196</v>
      </c>
      <c r="D162" s="22" t="s">
        <v>286</v>
      </c>
      <c r="E162" s="13">
        <v>42757.319826388892</v>
      </c>
      <c r="F162" s="13">
        <v>42757.320983796293</v>
      </c>
      <c r="G162" s="7">
        <v>1</v>
      </c>
      <c r="H162" s="22" t="s">
        <v>717</v>
      </c>
      <c r="I162" s="13">
        <v>42757.329618055555</v>
      </c>
      <c r="J162" s="7">
        <v>1</v>
      </c>
      <c r="K162" s="105" t="str">
        <f t="shared" si="39"/>
        <v>4031/4032</v>
      </c>
      <c r="L162" s="22" t="str">
        <f>VLOOKUP(A162,'Trips&amp;Operators'!$C$1:$G$99999,5,FALSE)</f>
        <v>YORK EDGAR</v>
      </c>
      <c r="M162" s="6">
        <f t="shared" si="40"/>
        <v>8.6342592621804215E-3</v>
      </c>
      <c r="N162" s="7">
        <f t="shared" si="41"/>
        <v>12.433333337539807</v>
      </c>
      <c r="O162" s="7"/>
      <c r="P162" s="7"/>
      <c r="Q162" s="23"/>
      <c r="R162" s="23"/>
      <c r="S162" s="32">
        <f t="shared" si="42"/>
        <v>1</v>
      </c>
      <c r="T162" s="47" t="str">
        <f t="shared" si="43"/>
        <v>Southbound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44"/>
        <v>https://d0f6bd738d7f1b3e5a7ca70fe4ff75f0.us-east-1.aws.found.io/app/kibana#/discover/Steve-Slow-Train-Analysis-(2080s-and-2083s)?_g=(refreshInterval:(display:Off,pause:!f,section:0,value:0),time:(from:'2017-01-22T06:40:33-0700',mode:absolute,to:'2017-01-22T08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2" s="49" t="str">
        <f t="shared" si="45"/>
        <v>N</v>
      </c>
      <c r="X162" s="170">
        <f t="shared" si="46"/>
        <v>1</v>
      </c>
      <c r="Y162" s="64">
        <f t="shared" si="47"/>
        <v>5.8625999999999996</v>
      </c>
      <c r="Z162" s="64">
        <f t="shared" si="48"/>
        <v>7.6600000000000001E-2</v>
      </c>
      <c r="AA162" s="64">
        <f t="shared" si="49"/>
        <v>5.7859999999999996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50"/>
        <v>1804-22</v>
      </c>
      <c r="AE162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62" s="84" t="str">
        <f t="shared" si="52"/>
        <v>"C:\Program Files (x86)\AstroGrep\AstroGrep.exe" /spath="%USERPROFILE%\AppData\Local\Temp\OnboardLogs" /stypes="app*4032*20170122*" /stext=" 14:.+((SYSTEM_STATE.+slice.+state.+changed )|(ment ac)|(multiple cpu faults)|(system.+state.+changed )|(\[timeout)|(PRM\|1\|D)|(kpr)|(kdp)|(\|lc)|(penalty))" /e /r /s</v>
      </c>
      <c r="AG162" s="1" t="str">
        <f t="shared" si="53"/>
        <v>NW</v>
      </c>
      <c r="AH162" s="88" t="str">
        <f t="shared" si="54"/>
        <v>"%USERPROFILE%\Documents\GitHub\eaglep3\Utilities\RefineRTDCRunTimes.py" --tripid 1804-22 --locoid 4032 --swversion DE.1.0.8.0 --startMP 300:58626 --initTime 2017-01-22T07:40:33 --startdatetime 2017-01-22T07:42:13 --delay 1 --endMP 204:766 --enddatetime 2017-01-22T07:54:39 --enforcementcount 1 &gt;&gt;C:\Users\stu\Documents\GitHub\eaglep3-reporting\EC\2017-01-22-refined-times.txt</v>
      </c>
      <c r="AI162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{"issue":{"subject":"","project_id":79,"tracker_id":40,"status_id":1,"priority_id":2,"assigned_to_id":23,"start_date":"2017-01-22","description":"","custom_fields":[{"id":1,"name":"Subdivision","value":"NW"},{"id":4,"name":"Milepost","value":"0.0766"},{"id":17,"name":"Train ID","value":"1804-22"},{"id":16,"name":"Locomotive ID","value":"4032"},{"id":130,"name":"Impact","value":""},{"id":150,"name":"Time of Event (Mountain Time)","value":"07:54:39"},{"id":151,"name":"Denver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56"/>
        <v>start /low /b %USERPROFILE%\Documents\GitHub\eaglep3\Utilities\DownloadLogsFromS3.py --loco 4032 --day 2017-01-22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504</v>
      </c>
      <c r="B163" s="7">
        <v>4031</v>
      </c>
      <c r="C163" s="22" t="s">
        <v>196</v>
      </c>
      <c r="D163" s="22" t="s">
        <v>718</v>
      </c>
      <c r="E163" s="13">
        <v>42757.330833333333</v>
      </c>
      <c r="F163" s="13">
        <v>42757.348194444443</v>
      </c>
      <c r="G163" s="7">
        <v>0</v>
      </c>
      <c r="H163" s="22" t="s">
        <v>300</v>
      </c>
      <c r="I163" s="13">
        <v>42757.357546296298</v>
      </c>
      <c r="J163" s="7">
        <v>1</v>
      </c>
      <c r="K163" s="105" t="str">
        <f t="shared" si="39"/>
        <v>4031/4032</v>
      </c>
      <c r="L163" s="22" t="str">
        <f>VLOOKUP(A163,'Trips&amp;Operators'!$C$1:$G$99999,5,FALSE)</f>
        <v>YORK EDGAR</v>
      </c>
      <c r="M163" s="6">
        <f t="shared" si="40"/>
        <v>9.3518518551718444E-3</v>
      </c>
      <c r="N163" s="7">
        <f t="shared" si="41"/>
        <v>13.466666671447456</v>
      </c>
      <c r="O163" s="7"/>
      <c r="P163" s="7"/>
      <c r="Q163" s="23"/>
      <c r="R163" s="23"/>
      <c r="S163" s="32">
        <f t="shared" si="42"/>
        <v>1</v>
      </c>
      <c r="T163" s="47" t="str">
        <f t="shared" si="43"/>
        <v>NorthBound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44"/>
        <v>https://d0f6bd738d7f1b3e5a7ca70fe4ff75f0.us-east-1.aws.found.io/app/kibana#/discover/Steve-Slow-Train-Analysis-(2080s-and-2083s)?_g=(refreshInterval:(display:Off,pause:!f,section:0,value:0),time:(from:'2017-01-22T06:56:24-0700',mode:absolute,to:'2017-01-22T09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49" t="str">
        <f t="shared" si="45"/>
        <v>N</v>
      </c>
      <c r="X163" s="170">
        <f t="shared" si="46"/>
        <v>1</v>
      </c>
      <c r="Y163" s="64">
        <f t="shared" si="47"/>
        <v>0.1021</v>
      </c>
      <c r="Z163" s="64">
        <f t="shared" si="48"/>
        <v>5.8939000000000004</v>
      </c>
      <c r="AA163" s="64">
        <f t="shared" si="49"/>
        <v>5.7918000000000003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50"/>
        <v>1805-22</v>
      </c>
      <c r="AE163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63" s="84" t="str">
        <f t="shared" si="52"/>
        <v>"C:\Program Files (x86)\AstroGrep\AstroGrep.exe" /spath="%USERPROFILE%\AppData\Local\Temp\OnboardLogs" /stypes="app*4031*20170122*" /stext=" 15:.+((SYSTEM_STATE.+slice.+state.+changed )|(ment ac)|(multiple cpu faults)|(system.+state.+changed )|(\[timeout)|(PRM\|1\|D)|(kpr)|(kdp)|(\|lc)|(penalty))" /e /r /s</v>
      </c>
      <c r="AG163" s="1" t="str">
        <f t="shared" si="53"/>
        <v>NW</v>
      </c>
      <c r="AH163" s="88" t="str">
        <f t="shared" si="54"/>
        <v>"%USERPROFILE%\Documents\GitHub\eaglep3\Utilities\RefineRTDCRunTimes.py" --tripid 1805-22 --locoid 4031 --swversion DE.1.0.8.0 --startMP 204:1021 --initTime 2017-01-22T07:56:24 --startdatetime 2017-01-22T08:21:24 --delay 0 --endMP 300:58939 --enddatetime 2017-01-22T08:34:52 --enforcementcount 1 &gt;&gt;C:\Users\stu\Documents\GitHub\eaglep3-reporting\EC\2017-01-22-refined-times.txt</v>
      </c>
      <c r="AI163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{"issue":{"subject":"","project_id":79,"tracker_id":40,"status_id":1,"priority_id":2,"assigned_to_id":23,"start_date":"2017-01-22","description":"","custom_fields":[{"id":1,"name":"Subdivision","value":"NW"},{"id":4,"name":"Milepost","value":"5.8939"},{"id":17,"name":"Train ID","value":"1805-22"},{"id":16,"name":"Locomotive ID","value":"4031"},{"id":130,"name":"Impact","value":""},{"id":150,"name":"Time of Event (Mountain Time)","value":"08:34:52"},{"id":151,"name":"Denver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56"/>
        <v>start /low /b %USERPROFILE%\Documents\GitHub\eaglep3\Utilities\DownloadLogsFromS3.py --loco 4031 --day 2017-01-22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509</v>
      </c>
      <c r="B164" s="7">
        <v>4032</v>
      </c>
      <c r="C164" s="22" t="s">
        <v>196</v>
      </c>
      <c r="D164" s="22" t="s">
        <v>298</v>
      </c>
      <c r="E164" s="13">
        <v>42757.360601851855</v>
      </c>
      <c r="F164" s="13">
        <v>42757.362083333333</v>
      </c>
      <c r="G164" s="7">
        <v>1</v>
      </c>
      <c r="H164" s="22" t="s">
        <v>719</v>
      </c>
      <c r="I164" s="13">
        <v>42757.371157407404</v>
      </c>
      <c r="J164" s="7">
        <v>1</v>
      </c>
      <c r="K164" s="105" t="str">
        <f t="shared" si="39"/>
        <v>4031/4032</v>
      </c>
      <c r="L164" s="22" t="str">
        <f>VLOOKUP(A164,'Trips&amp;Operators'!$C$1:$G$99999,5,FALSE)</f>
        <v>YORK EDGAR</v>
      </c>
      <c r="M164" s="6">
        <f t="shared" si="40"/>
        <v>9.074074070667848E-3</v>
      </c>
      <c r="N164" s="7">
        <f t="shared" si="41"/>
        <v>13.066666661761701</v>
      </c>
      <c r="O164" s="7"/>
      <c r="P164" s="7"/>
      <c r="Q164" s="23"/>
      <c r="R164" s="23"/>
      <c r="S164" s="32">
        <f t="shared" si="42"/>
        <v>1</v>
      </c>
      <c r="T164" s="47" t="str">
        <f t="shared" si="43"/>
        <v>Southbound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44"/>
        <v>https://d0f6bd738d7f1b3e5a7ca70fe4ff75f0.us-east-1.aws.found.io/app/kibana#/discover/Steve-Slow-Train-Analysis-(2080s-and-2083s)?_g=(refreshInterval:(display:Off,pause:!f,section:0,value:0),time:(from:'2017-01-22T07:39:16-0700',mode:absolute,to:'2017-01-22T09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4" s="49" t="str">
        <f t="shared" si="45"/>
        <v>N</v>
      </c>
      <c r="X164" s="170">
        <f t="shared" si="46"/>
        <v>1</v>
      </c>
      <c r="Y164" s="64">
        <f t="shared" si="47"/>
        <v>5.8616999999999999</v>
      </c>
      <c r="Z164" s="64">
        <f t="shared" si="48"/>
        <v>7.5499999999999998E-2</v>
      </c>
      <c r="AA164" s="64">
        <f t="shared" si="49"/>
        <v>5.7862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50"/>
        <v>1806-22</v>
      </c>
      <c r="AE164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64" s="84" t="str">
        <f t="shared" si="52"/>
        <v>"C:\Program Files (x86)\AstroGrep\AstroGrep.exe" /spath="%USERPROFILE%\AppData\Local\Temp\OnboardLogs" /stypes="app*4032*20170122*" /stext=" 15:.+((SYSTEM_STATE.+slice.+state.+changed )|(ment ac)|(multiple cpu faults)|(system.+state.+changed )|(\[timeout)|(PRM\|1\|D)|(kpr)|(kdp)|(\|lc)|(penalty))" /e /r /s</v>
      </c>
      <c r="AG164" s="1" t="str">
        <f t="shared" si="53"/>
        <v>NW</v>
      </c>
      <c r="AH164" s="88" t="str">
        <f t="shared" si="54"/>
        <v>"%USERPROFILE%\Documents\GitHub\eaglep3\Utilities\RefineRTDCRunTimes.py" --tripid 1806-22 --locoid 4032 --swversion DE.1.0.8.0 --startMP 300:58617 --initTime 2017-01-22T08:39:16 --startdatetime 2017-01-22T08:41:24 --delay 1 --endMP 204:755 --enddatetime 2017-01-22T08:54:28 --enforcementcount 1 &gt;&gt;C:\Users\stu\Documents\GitHub\eaglep3-reporting\EC\2017-01-22-refined-times.txt</v>
      </c>
      <c r="AI164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{"issue":{"subject":"","project_id":79,"tracker_id":40,"status_id":1,"priority_id":2,"assigned_to_id":23,"start_date":"2017-01-22","description":"","custom_fields":[{"id":1,"name":"Subdivision","value":"NW"},{"id":4,"name":"Milepost","value":"0.0755"},{"id":17,"name":"Train ID","value":"1806-22"},{"id":16,"name":"Locomotive ID","value":"4032"},{"id":130,"name":"Impact","value":""},{"id":150,"name":"Time of Event (Mountain Time)","value":"08:54:28"},{"id":151,"name":"Denver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56"/>
        <v>start /low /b %USERPROFILE%\Documents\GitHub\eaglep3\Utilities\DownloadLogsFromS3.py --loco 4032 --day 2017-01-22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511</v>
      </c>
      <c r="B165" s="7">
        <v>4031</v>
      </c>
      <c r="C165" s="22" t="s">
        <v>196</v>
      </c>
      <c r="D165" s="22" t="s">
        <v>715</v>
      </c>
      <c r="E165" s="13">
        <v>42757.372696759259</v>
      </c>
      <c r="F165" s="13">
        <v>42757.389780092592</v>
      </c>
      <c r="G165" s="7">
        <v>0</v>
      </c>
      <c r="H165" s="22" t="s">
        <v>336</v>
      </c>
      <c r="I165" s="13">
        <v>42757.399537037039</v>
      </c>
      <c r="J165" s="7">
        <v>1</v>
      </c>
      <c r="K165" s="105" t="str">
        <f t="shared" si="39"/>
        <v>4031/4032</v>
      </c>
      <c r="L165" s="22" t="str">
        <f>VLOOKUP(A165,'Trips&amp;Operators'!$C$1:$G$99999,5,FALSE)</f>
        <v>YORK EDGAR</v>
      </c>
      <c r="M165" s="6">
        <f t="shared" si="40"/>
        <v>9.7569444478722289E-3</v>
      </c>
      <c r="N165" s="7">
        <f t="shared" si="41"/>
        <v>14.05000000493601</v>
      </c>
      <c r="O165" s="7"/>
      <c r="P165" s="7"/>
      <c r="Q165" s="23"/>
      <c r="R165" s="23"/>
      <c r="S165" s="32">
        <f t="shared" si="42"/>
        <v>1</v>
      </c>
      <c r="T165" s="47" t="str">
        <f t="shared" si="43"/>
        <v>NorthBound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44"/>
        <v>https://d0f6bd738d7f1b3e5a7ca70fe4ff75f0.us-east-1.aws.found.io/app/kibana#/discover/Steve-Slow-Train-Analysis-(2080s-and-2083s)?_g=(refreshInterval:(display:Off,pause:!f,section:0,value:0),time:(from:'2017-01-22T07:56:41-0700',mode:absolute,to:'2017-01-22T10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5" s="49" t="str">
        <f t="shared" si="45"/>
        <v>N</v>
      </c>
      <c r="X165" s="170">
        <f t="shared" si="46"/>
        <v>1</v>
      </c>
      <c r="Y165" s="64">
        <f t="shared" si="47"/>
        <v>0.10349999999999999</v>
      </c>
      <c r="Z165" s="64">
        <f t="shared" si="48"/>
        <v>5.8940999999999999</v>
      </c>
      <c r="AA165" s="64">
        <f t="shared" si="49"/>
        <v>5.7905999999999995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50"/>
        <v>1807-22</v>
      </c>
      <c r="AE165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65" s="84" t="str">
        <f t="shared" si="52"/>
        <v>"C:\Program Files (x86)\AstroGrep\AstroGrep.exe" /spath="%USERPROFILE%\AppData\Local\Temp\OnboardLogs" /stypes="app*4031*20170122*" /stext=" 16:.+((SYSTEM_STATE.+slice.+state.+changed )|(ment ac)|(multiple cpu faults)|(system.+state.+changed )|(\[timeout)|(PRM\|1\|D)|(kpr)|(kdp)|(\|lc)|(penalty))" /e /r /s</v>
      </c>
      <c r="AG165" s="1" t="str">
        <f t="shared" si="53"/>
        <v>NW</v>
      </c>
      <c r="AH165" s="88" t="str">
        <f t="shared" si="54"/>
        <v>"%USERPROFILE%\Documents\GitHub\eaglep3\Utilities\RefineRTDCRunTimes.py" --tripid 1807-22 --locoid 4031 --swversion DE.1.0.8.0 --startMP 204:1035 --initTime 2017-01-22T08:56:41 --startdatetime 2017-01-22T09:21:17 --delay 0 --endMP 300:58941 --enddatetime 2017-01-22T09:35:20 --enforcementcount 1 &gt;&gt;C:\Users\stu\Documents\GitHub\eaglep3-reporting\EC\2017-01-22-refined-times.txt</v>
      </c>
      <c r="AI165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{"issue":{"subject":"","project_id":79,"tracker_id":40,"status_id":1,"priority_id":2,"assigned_to_id":23,"start_date":"2017-01-22","description":"","custom_fields":[{"id":1,"name":"Subdivision","value":"NW"},{"id":4,"name":"Milepost","value":"5.8941"},{"id":17,"name":"Train ID","value":"1807-22"},{"id":16,"name":"Locomotive ID","value":"4031"},{"id":130,"name":"Impact","value":""},{"id":150,"name":"Time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56"/>
        <v>start /low /b %USERPROFILE%\Documents\GitHub\eaglep3\Utilities\DownloadLogsFromS3.py --loco 4031 --day 2017-01-22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4" t="s">
        <v>434</v>
      </c>
      <c r="B166" s="7">
        <v>4032</v>
      </c>
      <c r="C166" s="22" t="s">
        <v>196</v>
      </c>
      <c r="D166" s="22" t="s">
        <v>720</v>
      </c>
      <c r="E166" s="13">
        <v>42757.400659722225</v>
      </c>
      <c r="F166" s="13">
        <v>42757.402291666665</v>
      </c>
      <c r="G166" s="7">
        <v>1</v>
      </c>
      <c r="H166" s="22" t="s">
        <v>721</v>
      </c>
      <c r="I166" s="13">
        <v>42757.413946759261</v>
      </c>
      <c r="J166" s="7">
        <v>1</v>
      </c>
      <c r="K166" s="105" t="str">
        <f t="shared" si="39"/>
        <v>4031/4032</v>
      </c>
      <c r="L166" s="22" t="str">
        <f>VLOOKUP(A166,'Trips&amp;Operators'!$C$1:$G$99999,5,FALSE)</f>
        <v>YORK EDGAR</v>
      </c>
      <c r="M166" s="6">
        <f t="shared" si="40"/>
        <v>1.1655092595901806E-2</v>
      </c>
      <c r="N166" s="7">
        <f t="shared" si="41"/>
        <v>16.783333338098601</v>
      </c>
      <c r="O166" s="7"/>
      <c r="P166" s="7"/>
      <c r="Q166" s="23"/>
      <c r="R166" s="23"/>
      <c r="S166" s="32">
        <f t="shared" si="42"/>
        <v>1</v>
      </c>
      <c r="T166" s="47" t="str">
        <f t="shared" si="43"/>
        <v>Southbound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44"/>
        <v>https://d0f6bd738d7f1b3e5a7ca70fe4ff75f0.us-east-1.aws.found.io/app/kibana#/discover/Steve-Slow-Train-Analysis-(2080s-and-2083s)?_g=(refreshInterval:(display:Off,pause:!f,section:0,value:0),time:(from:'2017-01-22T08:36:57-0700',mode:absolute,to:'2017-01-22T10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6" s="49" t="str">
        <f t="shared" si="45"/>
        <v>N</v>
      </c>
      <c r="X166" s="170">
        <f t="shared" si="46"/>
        <v>1</v>
      </c>
      <c r="Y166" s="64">
        <f t="shared" si="47"/>
        <v>5.8630000000000004</v>
      </c>
      <c r="Z166" s="64">
        <f t="shared" si="48"/>
        <v>7.3800000000000004E-2</v>
      </c>
      <c r="AA166" s="64">
        <f t="shared" si="49"/>
        <v>5.7892000000000001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50"/>
        <v>1808-22</v>
      </c>
      <c r="AE166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66" s="84" t="str">
        <f t="shared" si="52"/>
        <v>"C:\Program Files (x86)\AstroGrep\AstroGrep.exe" /spath="%USERPROFILE%\AppData\Local\Temp\OnboardLogs" /stypes="app*4032*20170122*" /stext=" 16:.+((SYSTEM_STATE.+slice.+state.+changed )|(ment ac)|(multiple cpu faults)|(system.+state.+changed )|(\[timeout)|(PRM\|1\|D)|(kpr)|(kdp)|(\|lc)|(penalty))" /e /r /s</v>
      </c>
      <c r="AG166" s="1" t="str">
        <f t="shared" si="53"/>
        <v>NW</v>
      </c>
      <c r="AH166" s="88" t="str">
        <f t="shared" si="54"/>
        <v>"%USERPROFILE%\Documents\GitHub\eaglep3\Utilities\RefineRTDCRunTimes.py" --tripid 1808-22 --locoid 4032 --swversion DE.1.0.8.0 --startMP 300:58630 --initTime 2017-01-22T09:36:57 --startdatetime 2017-01-22T09:39:18 --delay 1 --endMP 204:738 --enddatetime 2017-01-22T09:56:05 --enforcementcount 1 &gt;&gt;C:\Users\stu\Documents\GitHub\eaglep3-reporting\EC\2017-01-22-refined-times.txt</v>
      </c>
      <c r="AI166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{"issue":{"subject":"","project_id":79,"tracker_id":40,"status_id":1,"priority_id":2,"assigned_to_id":23,"start_date":"2017-01-22","description":"","custom_fields":[{"id":1,"name":"Subdivision","value":"NW"},{"id":4,"name":"Milepost","value":"0.0738"},{"id":17,"name":"Train ID","value":"1808-22"},{"id":16,"name":"Locomotive ID","value":"4032"},{"id":130,"name":"Impact","value":""},{"id":150,"name":"Time of Event (Mountain Time)","value":"09:56:05"},{"id":151,"name":"Denver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56"/>
        <v>start /low /b %USERPROFILE%\Documents\GitHub\eaglep3\Utilities\DownloadLogsFromS3.py --loco 4032 --day 2017-01-22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</row>
    <row r="167" spans="1:91" s="21" customFormat="1" x14ac:dyDescent="0.25">
      <c r="A167" s="34" t="s">
        <v>518</v>
      </c>
      <c r="B167" s="7">
        <v>4031</v>
      </c>
      <c r="C167" s="22" t="s">
        <v>196</v>
      </c>
      <c r="D167" s="22" t="s">
        <v>712</v>
      </c>
      <c r="E167" s="13">
        <v>42757.415532407409</v>
      </c>
      <c r="F167" s="13">
        <v>42757.431493055556</v>
      </c>
      <c r="G167" s="7">
        <v>1</v>
      </c>
      <c r="H167" s="22" t="s">
        <v>300</v>
      </c>
      <c r="I167" s="13">
        <v>42757.441157407404</v>
      </c>
      <c r="J167" s="7">
        <v>1</v>
      </c>
      <c r="K167" s="105" t="str">
        <f t="shared" si="39"/>
        <v>4031/4032</v>
      </c>
      <c r="L167" s="22" t="str">
        <f>VLOOKUP(A167,'Trips&amp;Operators'!$C$1:$G$99999,5,FALSE)</f>
        <v>YORK EDGAR</v>
      </c>
      <c r="M167" s="6">
        <f t="shared" si="40"/>
        <v>9.6643518481869251E-3</v>
      </c>
      <c r="N167" s="7">
        <f t="shared" si="41"/>
        <v>13.916666661389172</v>
      </c>
      <c r="O167" s="7"/>
      <c r="P167" s="7"/>
      <c r="Q167" s="23"/>
      <c r="R167" s="23"/>
      <c r="S167" s="32">
        <f t="shared" si="42"/>
        <v>1</v>
      </c>
      <c r="T167" s="47" t="str">
        <f t="shared" si="43"/>
        <v>NorthBound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44"/>
        <v>https://d0f6bd738d7f1b3e5a7ca70fe4ff75f0.us-east-1.aws.found.io/app/kibana#/discover/Steve-Slow-Train-Analysis-(2080s-and-2083s)?_g=(refreshInterval:(display:Off,pause:!f,section:0,value:0),time:(from:'2017-01-22T08:58:22-0700',mode:absolute,to:'2017-01-22T11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7" s="49" t="str">
        <f t="shared" si="45"/>
        <v>N</v>
      </c>
      <c r="X167" s="170">
        <f t="shared" si="46"/>
        <v>1</v>
      </c>
      <c r="Y167" s="64">
        <f t="shared" si="47"/>
        <v>0.10340000000000001</v>
      </c>
      <c r="Z167" s="64">
        <f t="shared" si="48"/>
        <v>5.8939000000000004</v>
      </c>
      <c r="AA167" s="64">
        <f t="shared" si="49"/>
        <v>5.7905000000000006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50"/>
        <v>1809-22</v>
      </c>
      <c r="AE167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67" s="84" t="str">
        <f t="shared" si="52"/>
        <v>"C:\Program Files (x86)\AstroGrep\AstroGrep.exe" /spath="%USERPROFILE%\AppData\Local\Temp\OnboardLogs" /stypes="app*4031*20170122*" /stext=" 17:.+((SYSTEM_STATE.+slice.+state.+changed )|(ment ac)|(multiple cpu faults)|(system.+state.+changed )|(\[timeout)|(PRM\|1\|D)|(kpr)|(kdp)|(\|lc)|(penalty))" /e /r /s</v>
      </c>
      <c r="AG167" s="1" t="str">
        <f t="shared" si="53"/>
        <v>NW</v>
      </c>
      <c r="AH167" s="88" t="str">
        <f t="shared" si="54"/>
        <v>"%USERPROFILE%\Documents\GitHub\eaglep3\Utilities\RefineRTDCRunTimes.py" --tripid 1809-22 --locoid 4031 --swversion DE.1.0.8.0 --startMP 204:1034 --initTime 2017-01-22T09:58:22 --startdatetime 2017-01-22T10:21:21 --delay 1 --endMP 300:58939 --enddatetime 2017-01-22T10:35:16 --enforcementcount 1 &gt;&gt;C:\Users\stu\Documents\GitHub\eaglep3-reporting\EC\2017-01-22-refined-times.txt</v>
      </c>
      <c r="AI167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{"issue":{"subject":"","project_id":79,"tracker_id":40,"status_id":1,"priority_id":2,"assigned_to_id":23,"start_date":"2017-01-22","description":"","custom_fields":[{"id":1,"name":"Subdivision","value":"NW"},{"id":4,"name":"Milepost","value":"5.8939"},{"id":17,"name":"Train ID","value":"1809-22"},{"id":16,"name":"Locomotive ID","value":"4031"},{"id":130,"name":"Impact","value":""},{"id":150,"name":"Time of Event (Mountain Time)","value":"10:35:16"},{"id":151,"name":"Denver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56"/>
        <v>start /low /b %USERPROFILE%\Documents\GitHub\eaglep3\Utilities\DownloadLogsFromS3.py --loco 4031 --day 2017-01-22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4" t="s">
        <v>521</v>
      </c>
      <c r="B168" s="7">
        <v>4032</v>
      </c>
      <c r="C168" s="22" t="s">
        <v>196</v>
      </c>
      <c r="D168" s="22" t="s">
        <v>724</v>
      </c>
      <c r="E168" s="13">
        <v>42757.442488425928</v>
      </c>
      <c r="F168" s="13">
        <v>42757.444039351853</v>
      </c>
      <c r="G168" s="7">
        <v>1</v>
      </c>
      <c r="H168" s="22" t="s">
        <v>725</v>
      </c>
      <c r="I168" s="13">
        <v>42757.455150462964</v>
      </c>
      <c r="J168" s="7">
        <v>1</v>
      </c>
      <c r="K168" s="105" t="str">
        <f t="shared" si="39"/>
        <v>4031/4032</v>
      </c>
      <c r="L168" s="22" t="str">
        <f>VLOOKUP(A168,'Trips&amp;Operators'!$C$1:$G$99999,5,FALSE)</f>
        <v>YORK EDGAR</v>
      </c>
      <c r="M168" s="6">
        <f t="shared" si="40"/>
        <v>1.1111111110949423E-2</v>
      </c>
      <c r="N168" s="7">
        <f t="shared" si="41"/>
        <v>15.999999999767169</v>
      </c>
      <c r="O168" s="7"/>
      <c r="P168" s="7"/>
      <c r="Q168" s="23"/>
      <c r="R168" s="23"/>
      <c r="S168" s="32">
        <f t="shared" si="42"/>
        <v>1</v>
      </c>
      <c r="T168" s="47" t="str">
        <f t="shared" si="43"/>
        <v>Southbound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44"/>
        <v>https://d0f6bd738d7f1b3e5a7ca70fe4ff75f0.us-east-1.aws.found.io/app/kibana#/discover/Steve-Slow-Train-Analysis-(2080s-and-2083s)?_g=(refreshInterval:(display:Off,pause:!f,section:0,value:0),time:(from:'2017-01-22T09:37:11-0700',mode:absolute,to:'2017-01-22T11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8" s="49" t="str">
        <f t="shared" si="45"/>
        <v>N</v>
      </c>
      <c r="X168" s="170">
        <f t="shared" si="46"/>
        <v>1</v>
      </c>
      <c r="Y168" s="64">
        <f t="shared" si="47"/>
        <v>5.8623000000000003</v>
      </c>
      <c r="Z168" s="64">
        <f t="shared" si="48"/>
        <v>7.4700000000000003E-2</v>
      </c>
      <c r="AA168" s="64">
        <f t="shared" si="49"/>
        <v>5.7876000000000003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50"/>
        <v>1810-22</v>
      </c>
      <c r="AE168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68" s="84" t="str">
        <f t="shared" si="52"/>
        <v>"C:\Program Files (x86)\AstroGrep\AstroGrep.exe" /spath="%USERPROFILE%\AppData\Local\Temp\OnboardLogs" /stypes="app*4032*20170122*" /stext=" 17:.+((SYSTEM_STATE.+slice.+state.+changed )|(ment ac)|(multiple cpu faults)|(system.+state.+changed )|(\[timeout)|(PRM\|1\|D)|(kpr)|(kdp)|(\|lc)|(penalty))" /e /r /s</v>
      </c>
      <c r="AG168" s="1" t="str">
        <f t="shared" si="53"/>
        <v>NW</v>
      </c>
      <c r="AH168" s="88" t="str">
        <f t="shared" si="54"/>
        <v>"%USERPROFILE%\Documents\GitHub\eaglep3\Utilities\RefineRTDCRunTimes.py" --tripid 1810-22 --locoid 4032 --swversion DE.1.0.8.0 --startMP 300:58623 --initTime 2017-01-22T10:37:11 --startdatetime 2017-01-22T10:39:25 --delay 1 --endMP 204:747 --enddatetime 2017-01-22T10:55:25 --enforcementcount 1 &gt;&gt;C:\Users\stu\Documents\GitHub\eaglep3-reporting\EC\2017-01-22-refined-times.txt</v>
      </c>
      <c r="AI168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{"issue":{"subject":"","project_id":79,"tracker_id":40,"status_id":1,"priority_id":2,"assigned_to_id":23,"start_date":"2017-01-22","description":"","custom_fields":[{"id":1,"name":"Subdivision","value":"NW"},{"id":4,"name":"Milepost","value":"0.0747"},{"id":17,"name":"Train ID","value":"1810-22"},{"id":16,"name":"Locomotive ID","value":"4032"},{"id":130,"name":"Impact","value":""},{"id":150,"name":"Time of Event (Mountain Time)","value":"10:55:25"},{"id":151,"name":"Denver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56"/>
        <v>start /low /b %USERPROFILE%\Documents\GitHub\eaglep3\Utilities\DownloadLogsFromS3.py --loco 4032 --day 2017-01-22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</row>
    <row r="169" spans="1:91" s="21" customFormat="1" x14ac:dyDescent="0.25">
      <c r="A169" s="34" t="s">
        <v>528</v>
      </c>
      <c r="B169" s="7">
        <v>4031</v>
      </c>
      <c r="C169" s="22" t="s">
        <v>196</v>
      </c>
      <c r="D169" s="22" t="s">
        <v>715</v>
      </c>
      <c r="E169" s="13">
        <v>42757.456319444442</v>
      </c>
      <c r="F169" s="13">
        <v>42757.473090277781</v>
      </c>
      <c r="G169" s="7">
        <v>1</v>
      </c>
      <c r="H169" s="22" t="s">
        <v>713</v>
      </c>
      <c r="I169" s="13">
        <v>42757.482754629629</v>
      </c>
      <c r="J169" s="7">
        <v>1</v>
      </c>
      <c r="K169" s="105" t="str">
        <f t="shared" si="39"/>
        <v>4031/4032</v>
      </c>
      <c r="L169" s="22" t="str">
        <f>VLOOKUP(A169,'Trips&amp;Operators'!$C$1:$G$99999,5,FALSE)</f>
        <v>YORK EDGAR</v>
      </c>
      <c r="M169" s="6">
        <f t="shared" si="40"/>
        <v>9.6643518481869251E-3</v>
      </c>
      <c r="N169" s="7">
        <f t="shared" si="41"/>
        <v>13.916666661389172</v>
      </c>
      <c r="O169" s="7"/>
      <c r="P169" s="7"/>
      <c r="Q169" s="23"/>
      <c r="R169" s="23"/>
      <c r="S169" s="32">
        <f t="shared" si="42"/>
        <v>1</v>
      </c>
      <c r="T169" s="47" t="str">
        <f t="shared" si="43"/>
        <v>NorthBound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44"/>
        <v>https://d0f6bd738d7f1b3e5a7ca70fe4ff75f0.us-east-1.aws.found.io/app/kibana#/discover/Steve-Slow-Train-Analysis-(2080s-and-2083s)?_g=(refreshInterval:(display:Off,pause:!f,section:0,value:0),time:(from:'2017-01-22T09:57:06-0700',mode:absolute,to:'2017-01-22T12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9" s="49" t="str">
        <f t="shared" si="45"/>
        <v>N</v>
      </c>
      <c r="X169" s="170">
        <f t="shared" si="46"/>
        <v>1</v>
      </c>
      <c r="Y169" s="64">
        <f t="shared" si="47"/>
        <v>0.10349999999999999</v>
      </c>
      <c r="Z169" s="64">
        <f t="shared" si="48"/>
        <v>5.8930999999999996</v>
      </c>
      <c r="AA169" s="64">
        <f t="shared" si="49"/>
        <v>5.7895999999999992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50"/>
        <v>1811-22</v>
      </c>
      <c r="AE169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69" s="84" t="str">
        <f t="shared" si="52"/>
        <v>"C:\Program Files (x86)\AstroGrep\AstroGrep.exe" /spath="%USERPROFILE%\AppData\Local\Temp\OnboardLogs" /stypes="app*4031*20170122*" /stext=" 18:.+((SYSTEM_STATE.+slice.+state.+changed )|(ment ac)|(multiple cpu faults)|(system.+state.+changed )|(\[timeout)|(PRM\|1\|D)|(kpr)|(kdp)|(\|lc)|(penalty))" /e /r /s</v>
      </c>
      <c r="AG169" s="1" t="str">
        <f t="shared" si="53"/>
        <v>NW</v>
      </c>
      <c r="AH169" s="88" t="str">
        <f t="shared" si="54"/>
        <v>"%USERPROFILE%\Documents\GitHub\eaglep3\Utilities\RefineRTDCRunTimes.py" --tripid 1811-22 --locoid 4031 --swversion DE.1.0.8.0 --startMP 204:1035 --initTime 2017-01-22T10:57:06 --startdatetime 2017-01-22T11:21:15 --delay 1 --endMP 300:58931 --enddatetime 2017-01-22T11:35:10 --enforcementcount 1 &gt;&gt;C:\Users\stu\Documents\GitHub\eaglep3-reporting\EC\2017-01-22-refined-times.txt</v>
      </c>
      <c r="AI169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{"issue":{"subject":"","project_id":79,"tracker_id":40,"status_id":1,"priority_id":2,"assigned_to_id":23,"start_date":"2017-01-22","description":"","custom_fields":[{"id":1,"name":"Subdivision","value":"NW"},{"id":4,"name":"Milepost","value":"5.8931"},{"id":17,"name":"Train ID","value":"1811-22"},{"id":16,"name":"Locomotive ID","value":"4031"},{"id":130,"name":"Impact","value":""},{"id":150,"name":"Time of Event (Mountain Time)","value":"11:35:10"},{"id":151,"name":"Denver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56"/>
        <v>start /low /b %USERPROFILE%\Documents\GitHub\eaglep3\Utilities\DownloadLogsFromS3.py --loco 4031 --day 2017-01-22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538</v>
      </c>
      <c r="B170" s="7">
        <v>4032</v>
      </c>
      <c r="C170" s="22" t="s">
        <v>196</v>
      </c>
      <c r="D170" s="22" t="s">
        <v>714</v>
      </c>
      <c r="E170" s="13">
        <v>42757.483784722222</v>
      </c>
      <c r="F170" s="13">
        <v>42757.486192129632</v>
      </c>
      <c r="G170" s="7">
        <v>2</v>
      </c>
      <c r="H170" s="22" t="s">
        <v>726</v>
      </c>
      <c r="I170" s="13">
        <v>42757.496377314812</v>
      </c>
      <c r="J170" s="7">
        <v>1</v>
      </c>
      <c r="K170" s="105" t="str">
        <f t="shared" si="39"/>
        <v>4031/4032</v>
      </c>
      <c r="L170" s="22" t="str">
        <f>VLOOKUP(A170,'Trips&amp;Operators'!$C$1:$G$99999,5,FALSE)</f>
        <v>YORK EDGAR</v>
      </c>
      <c r="M170" s="6">
        <f t="shared" si="40"/>
        <v>1.0185185179580003E-2</v>
      </c>
      <c r="N170" s="7">
        <f t="shared" si="41"/>
        <v>14.666666658595204</v>
      </c>
      <c r="O170" s="7"/>
      <c r="P170" s="7"/>
      <c r="Q170" s="23"/>
      <c r="R170" s="23"/>
      <c r="S170" s="32">
        <f t="shared" si="42"/>
        <v>1</v>
      </c>
      <c r="T170" s="47" t="str">
        <f t="shared" si="43"/>
        <v>Southbound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44"/>
        <v>https://d0f6bd738d7f1b3e5a7ca70fe4ff75f0.us-east-1.aws.found.io/app/kibana#/discover/Steve-Slow-Train-Analysis-(2080s-and-2083s)?_g=(refreshInterval:(display:Off,pause:!f,section:0,value:0),time:(from:'2017-01-22T10:36:39-0700',mode:absolute,to:'2017-01-22T12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0" s="49" t="str">
        <f t="shared" si="45"/>
        <v>N</v>
      </c>
      <c r="X170" s="170">
        <f t="shared" si="46"/>
        <v>1</v>
      </c>
      <c r="Y170" s="64">
        <f t="shared" si="47"/>
        <v>5.8613</v>
      </c>
      <c r="Z170" s="64">
        <f t="shared" si="48"/>
        <v>7.6200000000000004E-2</v>
      </c>
      <c r="AA170" s="64">
        <f t="shared" si="49"/>
        <v>5.7850999999999999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50"/>
        <v>1812-22</v>
      </c>
      <c r="AE170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70" s="84" t="str">
        <f t="shared" si="52"/>
        <v>"C:\Program Files (x86)\AstroGrep\AstroGrep.exe" /spath="%USERPROFILE%\AppData\Local\Temp\OnboardLogs" /stypes="app*4032*20170122*" /stext=" 18:.+((SYSTEM_STATE.+slice.+state.+changed )|(ment ac)|(multiple cpu faults)|(system.+state.+changed )|(\[timeout)|(PRM\|1\|D)|(kpr)|(kdp)|(\|lc)|(penalty))" /e /r /s</v>
      </c>
      <c r="AG170" s="1" t="str">
        <f t="shared" si="53"/>
        <v>NW</v>
      </c>
      <c r="AH170" s="88" t="str">
        <f t="shared" si="54"/>
        <v>"%USERPROFILE%\Documents\GitHub\eaglep3\Utilities\RefineRTDCRunTimes.py" --tripid 1812-22 --locoid 4032 --swversion DE.1.0.8.0 --startMP 300:58613 --initTime 2017-01-22T11:36:39 --startdatetime 2017-01-22T11:40:07 --delay 2 --endMP 204:762 --enddatetime 2017-01-22T11:54:47 --enforcementcount 1 &gt;&gt;C:\Users\stu\Documents\GitHub\eaglep3-reporting\EC\2017-01-22-refined-times.txt</v>
      </c>
      <c r="AI170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{"issue":{"subject":"","project_id":79,"tracker_id":40,"status_id":1,"priority_id":2,"assigned_to_id":23,"start_date":"2017-01-22","description":"","custom_fields":[{"id":1,"name":"Subdivision","value":"NW"},{"id":4,"name":"Milepost","value":"0.0762"},{"id":17,"name":"Train ID","value":"1812-22"},{"id":16,"name":"Locomotive ID","value":"4032"},{"id":130,"name":"Impact","value":""},{"id":150,"name":"Time of Event (Mountain Time)","value":"11:54:47"},{"id":151,"name":"Denver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56"/>
        <v>start /low /b %USERPROFILE%\Documents\GitHub\eaglep3\Utilities\DownloadLogsFromS3.py --loco 4032 --day 2017-01-22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544</v>
      </c>
      <c r="B171" s="7">
        <v>4031</v>
      </c>
      <c r="C171" s="22" t="s">
        <v>196</v>
      </c>
      <c r="D171" s="22" t="s">
        <v>727</v>
      </c>
      <c r="E171" s="13">
        <v>42757.497511574074</v>
      </c>
      <c r="F171" s="13">
        <v>42757.514918981484</v>
      </c>
      <c r="G171" s="7">
        <v>0</v>
      </c>
      <c r="H171" s="22" t="s">
        <v>336</v>
      </c>
      <c r="I171" s="13">
        <v>42757.524131944447</v>
      </c>
      <c r="J171" s="7">
        <v>1</v>
      </c>
      <c r="K171" s="105" t="str">
        <f t="shared" si="39"/>
        <v>4031/4032</v>
      </c>
      <c r="L171" s="22" t="str">
        <f>VLOOKUP(A171,'Trips&amp;Operators'!$C$1:$G$99999,5,FALSE)</f>
        <v>YORK EDGAR</v>
      </c>
      <c r="M171" s="6">
        <f t="shared" si="40"/>
        <v>9.2129629629198462E-3</v>
      </c>
      <c r="N171" s="7">
        <f t="shared" si="41"/>
        <v>13.266666666604578</v>
      </c>
      <c r="O171" s="7"/>
      <c r="P171" s="7"/>
      <c r="Q171" s="23"/>
      <c r="R171" s="23"/>
      <c r="S171" s="32">
        <f t="shared" si="42"/>
        <v>1</v>
      </c>
      <c r="T171" s="47" t="str">
        <f t="shared" si="43"/>
        <v>NorthBound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44"/>
        <v>https://d0f6bd738d7f1b3e5a7ca70fe4ff75f0.us-east-1.aws.found.io/app/kibana#/discover/Steve-Slow-Train-Analysis-(2080s-and-2083s)?_g=(refreshInterval:(display:Off,pause:!f,section:0,value:0),time:(from:'2017-01-22T10:56:25-0700',mode:absolute,to:'2017-01-22T13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49" t="str">
        <f t="shared" si="45"/>
        <v>N</v>
      </c>
      <c r="X171" s="170">
        <f t="shared" si="46"/>
        <v>1</v>
      </c>
      <c r="Y171" s="64">
        <f t="shared" si="47"/>
        <v>0.10299999999999999</v>
      </c>
      <c r="Z171" s="64">
        <f t="shared" si="48"/>
        <v>5.8940999999999999</v>
      </c>
      <c r="AA171" s="64">
        <f t="shared" si="49"/>
        <v>5.7911000000000001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50"/>
        <v>1813-22</v>
      </c>
      <c r="AE171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71" s="84" t="str">
        <f t="shared" si="52"/>
        <v>"C:\Program Files (x86)\AstroGrep\AstroGrep.exe" /spath="%USERPROFILE%\AppData\Local\Temp\OnboardLogs" /stypes="app*4031*20170122*" /stext=" 19:.+((SYSTEM_STATE.+slice.+state.+changed )|(ment ac)|(multiple cpu faults)|(system.+state.+changed )|(\[timeout)|(PRM\|1\|D)|(kpr)|(kdp)|(\|lc)|(penalty))" /e /r /s</v>
      </c>
      <c r="AG171" s="1" t="str">
        <f t="shared" si="53"/>
        <v>NW</v>
      </c>
      <c r="AH171" s="88" t="str">
        <f t="shared" si="54"/>
        <v>"%USERPROFILE%\Documents\GitHub\eaglep3\Utilities\RefineRTDCRunTimes.py" --tripid 1813-22 --locoid 4031 --swversion DE.1.0.8.0 --startMP 204:1030 --initTime 2017-01-22T11:56:25 --startdatetime 2017-01-22T12:21:29 --delay 0 --endMP 300:58941 --enddatetime 2017-01-22T12:34:45 --enforcementcount 1 &gt;&gt;C:\Users\stu\Documents\GitHub\eaglep3-reporting\EC\2017-01-22-refined-times.txt</v>
      </c>
      <c r="AI171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{"issue":{"subject":"","project_id":79,"tracker_id":40,"status_id":1,"priority_id":2,"assigned_to_id":23,"start_date":"2017-01-22","description":"","custom_fields":[{"id":1,"name":"Subdivision","value":"NW"},{"id":4,"name":"Milepost","value":"5.8941"},{"id":17,"name":"Train ID","value":"1813-22"},{"id":16,"name":"Locomotive ID","value":"4031"},{"id":130,"name":"Impact","value":""},{"id":150,"name":"Time of Event (Mountain Time)","value":"12:34:45"},{"id":151,"name":"Denver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56"/>
        <v>start /low /b %USERPROFILE%\Documents\GitHub\eaglep3\Utilities\DownloadLogsFromS3.py --loco 4031 --day 2017-01-22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552</v>
      </c>
      <c r="B172" s="7">
        <v>4032</v>
      </c>
      <c r="C172" s="22" t="s">
        <v>196</v>
      </c>
      <c r="D172" s="22" t="s">
        <v>286</v>
      </c>
      <c r="E172" s="13">
        <v>42757.527824074074</v>
      </c>
      <c r="F172" s="13">
        <v>42757.529016203705</v>
      </c>
      <c r="G172" s="7">
        <v>0</v>
      </c>
      <c r="H172" s="22" t="s">
        <v>728</v>
      </c>
      <c r="I172" s="13">
        <v>42757.538310185184</v>
      </c>
      <c r="J172" s="7">
        <v>1</v>
      </c>
      <c r="K172" s="105" t="str">
        <f t="shared" si="39"/>
        <v>4031/4032</v>
      </c>
      <c r="L172" s="22" t="str">
        <f>VLOOKUP(A172,'Trips&amp;Operators'!$C$1:$G$99999,5,FALSE)</f>
        <v>YORK EDGAR</v>
      </c>
      <c r="M172" s="6">
        <f t="shared" si="40"/>
        <v>9.29398147854954E-3</v>
      </c>
      <c r="N172" s="7">
        <f t="shared" si="41"/>
        <v>13.383333329111338</v>
      </c>
      <c r="O172" s="7"/>
      <c r="P172" s="7"/>
      <c r="Q172" s="23"/>
      <c r="R172" s="23"/>
      <c r="S172" s="32">
        <f t="shared" si="42"/>
        <v>1</v>
      </c>
      <c r="T172" s="47" t="str">
        <f t="shared" si="43"/>
        <v>Southbound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44"/>
        <v>https://d0f6bd738d7f1b3e5a7ca70fe4ff75f0.us-east-1.aws.found.io/app/kibana#/discover/Steve-Slow-Train-Analysis-(2080s-and-2083s)?_g=(refreshInterval:(display:Off,pause:!f,section:0,value:0),time:(from:'2017-01-22T11:40:04-0700',mode:absolute,to:'2017-01-22T13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49" t="str">
        <f t="shared" si="45"/>
        <v>N</v>
      </c>
      <c r="X172" s="170">
        <f t="shared" si="46"/>
        <v>1</v>
      </c>
      <c r="Y172" s="64">
        <f t="shared" si="47"/>
        <v>5.8625999999999996</v>
      </c>
      <c r="Z172" s="64">
        <f t="shared" si="48"/>
        <v>7.5700000000000003E-2</v>
      </c>
      <c r="AA172" s="64">
        <f t="shared" si="49"/>
        <v>5.7868999999999993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50"/>
        <v>1814-22</v>
      </c>
      <c r="AE172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72" s="84" t="str">
        <f t="shared" si="52"/>
        <v>"C:\Program Files (x86)\AstroGrep\AstroGrep.exe" /spath="%USERPROFILE%\AppData\Local\Temp\OnboardLogs" /stypes="app*4032*20170122*" /stext=" 19:.+((SYSTEM_STATE.+slice.+state.+changed )|(ment ac)|(multiple cpu faults)|(system.+state.+changed )|(\[timeout)|(PRM\|1\|D)|(kpr)|(kdp)|(\|lc)|(penalty))" /e /r /s</v>
      </c>
      <c r="AG172" s="1" t="str">
        <f t="shared" si="53"/>
        <v>NW</v>
      </c>
      <c r="AH172" s="88" t="str">
        <f t="shared" si="54"/>
        <v>"%USERPROFILE%\Documents\GitHub\eaglep3\Utilities\RefineRTDCRunTimes.py" --tripid 1814-22 --locoid 4032 --swversion DE.1.0.8.0 --startMP 300:58626 --initTime 2017-01-22T12:40:04 --startdatetime 2017-01-22T12:41:47 --delay 0 --endMP 204:757 --enddatetime 2017-01-22T12:55:10 --enforcementcount 1 &gt;&gt;C:\Users\stu\Documents\GitHub\eaglep3-reporting\EC\2017-01-22-refined-times.txt</v>
      </c>
      <c r="AI172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{"issue":{"subject":"","project_id":79,"tracker_id":40,"status_id":1,"priority_id":2,"assigned_to_id":23,"start_date":"2017-01-22","description":"","custom_fields":[{"id":1,"name":"Subdivision","value":"NW"},{"id":4,"name":"Milepost","value":"0.0757"},{"id":17,"name":"Train ID","value":"1814-22"},{"id":16,"name":"Locomotive ID","value":"4032"},{"id":130,"name":"Impact","value":""},{"id":150,"name":"Time of Event (Mountain Time)","value":"12:55:10"},{"id":151,"name":"Denver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56"/>
        <v>start /low /b %USERPROFILE%\Documents\GitHub\eaglep3\Utilities\DownloadLogsFromS3.py --loco 4032 --day 2017-01-22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556</v>
      </c>
      <c r="B173" s="7">
        <v>4031</v>
      </c>
      <c r="C173" s="22" t="s">
        <v>196</v>
      </c>
      <c r="D173" s="22" t="s">
        <v>729</v>
      </c>
      <c r="E173" s="13">
        <v>42757.541597222225</v>
      </c>
      <c r="F173" s="13">
        <v>42757.556597222225</v>
      </c>
      <c r="G173" s="7">
        <v>1</v>
      </c>
      <c r="H173" s="22" t="s">
        <v>730</v>
      </c>
      <c r="I173" s="13">
        <v>42757.565879629627</v>
      </c>
      <c r="J173" s="7">
        <v>1</v>
      </c>
      <c r="K173" s="105" t="str">
        <f t="shared" si="39"/>
        <v>4031/4032</v>
      </c>
      <c r="L173" s="22" t="str">
        <f>VLOOKUP(A173,'Trips&amp;Operators'!$C$1:$G$99999,5,FALSE)</f>
        <v>YORK EDGAR</v>
      </c>
      <c r="M173" s="6">
        <f t="shared" si="40"/>
        <v>9.2824074017698877E-3</v>
      </c>
      <c r="N173" s="7">
        <f t="shared" si="41"/>
        <v>13.366666658548638</v>
      </c>
      <c r="O173" s="7"/>
      <c r="P173" s="7"/>
      <c r="Q173" s="23"/>
      <c r="R173" s="23"/>
      <c r="S173" s="32">
        <f t="shared" si="42"/>
        <v>1</v>
      </c>
      <c r="T173" s="47" t="str">
        <f t="shared" si="43"/>
        <v>NorthBound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44"/>
        <v>https://d0f6bd738d7f1b3e5a7ca70fe4ff75f0.us-east-1.aws.found.io/app/kibana#/discover/Steve-Slow-Train-Analysis-(2080s-and-2083s)?_g=(refreshInterval:(display:Off,pause:!f,section:0,value:0),time:(from:'2017-01-22T11:59:54-0700',mode:absolute,to:'2017-01-22T14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49" t="str">
        <f t="shared" si="45"/>
        <v>N</v>
      </c>
      <c r="X173" s="170">
        <f t="shared" si="46"/>
        <v>1</v>
      </c>
      <c r="Y173" s="64">
        <f t="shared" si="47"/>
        <v>0.1032</v>
      </c>
      <c r="Z173" s="64">
        <f t="shared" si="48"/>
        <v>5.8928000000000003</v>
      </c>
      <c r="AA173" s="64">
        <f t="shared" si="49"/>
        <v>5.7896000000000001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50"/>
        <v>1815-22</v>
      </c>
      <c r="AE173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73" s="84" t="str">
        <f t="shared" si="52"/>
        <v>"C:\Program Files (x86)\AstroGrep\AstroGrep.exe" /spath="%USERPROFILE%\AppData\Local\Temp\OnboardLogs" /stypes="app*4031*20170122*" /stext=" 20:.+((SYSTEM_STATE.+slice.+state.+changed )|(ment ac)|(multiple cpu faults)|(system.+state.+changed )|(\[timeout)|(PRM\|1\|D)|(kpr)|(kdp)|(\|lc)|(penalty))" /e /r /s</v>
      </c>
      <c r="AG173" s="1" t="str">
        <f t="shared" si="53"/>
        <v>NW</v>
      </c>
      <c r="AH173" s="88" t="str">
        <f t="shared" si="54"/>
        <v>"%USERPROFILE%\Documents\GitHub\eaglep3\Utilities\RefineRTDCRunTimes.py" --tripid 1815-22 --locoid 4031 --swversion DE.1.0.8.0 --startMP 204:1032 --initTime 2017-01-22T12:59:54 --startdatetime 2017-01-22T13:21:30 --delay 1 --endMP 300:58928 --enddatetime 2017-01-22T13:34:52 --enforcementcount 1 &gt;&gt;C:\Users\stu\Documents\GitHub\eaglep3-reporting\EC\2017-01-22-refined-times.txt</v>
      </c>
      <c r="AI173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{"issue":{"subject":"","project_id":79,"tracker_id":40,"status_id":1,"priority_id":2,"assigned_to_id":23,"start_date":"2017-01-22","description":"","custom_fields":[{"id":1,"name":"Subdivision","value":"NW"},{"id":4,"name":"Milepost","value":"5.8928"},{"id":17,"name":"Train ID","value":"1815-22"},{"id":16,"name":"Locomotive ID","value":"4031"},{"id":130,"name":"Impact","value":""},{"id":150,"name":"Time of Event (Mountain Time)","value":"13:34:52"},{"id":151,"name":"Denver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56"/>
        <v>start /low /b %USERPROFILE%\Documents\GitHub\eaglep3\Utilities\DownloadLogsFromS3.py --loco 4031 --day 2017-01-22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559</v>
      </c>
      <c r="B174" s="7">
        <v>4032</v>
      </c>
      <c r="C174" s="22" t="s">
        <v>196</v>
      </c>
      <c r="D174" s="22" t="s">
        <v>711</v>
      </c>
      <c r="E174" s="13">
        <v>42757.568969907406</v>
      </c>
      <c r="F174" s="13">
        <v>42757.570335648146</v>
      </c>
      <c r="G174" s="7">
        <v>1</v>
      </c>
      <c r="H174" s="22" t="s">
        <v>731</v>
      </c>
      <c r="I174" s="13">
        <v>42757.580729166664</v>
      </c>
      <c r="J174" s="7">
        <v>1</v>
      </c>
      <c r="K174" s="105" t="str">
        <f t="shared" si="39"/>
        <v>4031/4032</v>
      </c>
      <c r="L174" s="22" t="str">
        <f>VLOOKUP(A174,'Trips&amp;Operators'!$C$1:$G$99999,5,FALSE)</f>
        <v>YORK EDGAR</v>
      </c>
      <c r="M174" s="6">
        <f t="shared" si="40"/>
        <v>1.0393518517958E-2</v>
      </c>
      <c r="N174" s="7">
        <f t="shared" si="41"/>
        <v>14.96666666585952</v>
      </c>
      <c r="O174" s="7"/>
      <c r="P174" s="7"/>
      <c r="Q174" s="23"/>
      <c r="R174" s="23"/>
      <c r="S174" s="32">
        <f t="shared" si="42"/>
        <v>1</v>
      </c>
      <c r="T174" s="47" t="str">
        <f t="shared" si="43"/>
        <v>Southbound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44"/>
        <v>https://d0f6bd738d7f1b3e5a7ca70fe4ff75f0.us-east-1.aws.found.io/app/kibana#/discover/Steve-Slow-Train-Analysis-(2080s-and-2083s)?_g=(refreshInterval:(display:Off,pause:!f,section:0,value:0),time:(from:'2017-01-22T12:39:19-0700',mode:absolute,to:'2017-01-22T14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49" t="str">
        <f t="shared" si="45"/>
        <v>N</v>
      </c>
      <c r="X174" s="170">
        <f t="shared" si="46"/>
        <v>1</v>
      </c>
      <c r="Y174" s="64">
        <f t="shared" si="47"/>
        <v>5.8604000000000003</v>
      </c>
      <c r="Z174" s="64">
        <f t="shared" si="48"/>
        <v>7.6399999999999996E-2</v>
      </c>
      <c r="AA174" s="64">
        <f t="shared" si="49"/>
        <v>5.7840000000000007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50"/>
        <v>1816-22</v>
      </c>
      <c r="AE174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74" s="84" t="str">
        <f t="shared" si="52"/>
        <v>"C:\Program Files (x86)\AstroGrep\AstroGrep.exe" /spath="%USERPROFILE%\AppData\Local\Temp\OnboardLogs" /stypes="app*4032*20170122*" /stext=" 20:.+((SYSTEM_STATE.+slice.+state.+changed )|(ment ac)|(multiple cpu faults)|(system.+state.+changed )|(\[timeout)|(PRM\|1\|D)|(kpr)|(kdp)|(\|lc)|(penalty))" /e /r /s</v>
      </c>
      <c r="AG174" s="1" t="str">
        <f t="shared" si="53"/>
        <v>NW</v>
      </c>
      <c r="AH174" s="88" t="str">
        <f t="shared" si="54"/>
        <v>"%USERPROFILE%\Documents\GitHub\eaglep3\Utilities\RefineRTDCRunTimes.py" --tripid 1816-22 --locoid 4032 --swversion DE.1.0.8.0 --startMP 300:58604 --initTime 2017-01-22T13:39:19 --startdatetime 2017-01-22T13:41:17 --delay 1 --endMP 204:764 --enddatetime 2017-01-22T13:56:15 --enforcementcount 1 &gt;&gt;C:\Users\stu\Documents\GitHub\eaglep3-reporting\EC\2017-01-22-refined-times.txt</v>
      </c>
      <c r="AI174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{"issue":{"subject":"","project_id":79,"tracker_id":40,"status_id":1,"priority_id":2,"assigned_to_id":23,"start_date":"2017-01-22","description":"","custom_fields":[{"id":1,"name":"Subdivision","value":"NW"},{"id":4,"name":"Milepost","value":"0.0764"},{"id":17,"name":"Train ID","value":"1816-22"},{"id":16,"name":"Locomotive ID","value":"4032"},{"id":130,"name":"Impact","value":""},{"id":150,"name":"Time of Event (Mountain Time)","value":"13:56:15"},{"id":151,"name":"Denver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56"/>
        <v>start /low /b %USERPROFILE%\Documents\GitHub\eaglep3\Utilities\DownloadLogsFromS3.py --loco 4032 --day 2017-01-22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4" t="s">
        <v>563</v>
      </c>
      <c r="B175" s="7">
        <v>4031</v>
      </c>
      <c r="C175" s="22" t="s">
        <v>196</v>
      </c>
      <c r="D175" s="22" t="s">
        <v>732</v>
      </c>
      <c r="E175" s="13">
        <v>42757.583877314813</v>
      </c>
      <c r="F175" s="13">
        <v>42757.598298611112</v>
      </c>
      <c r="G175" s="7">
        <v>1</v>
      </c>
      <c r="H175" s="22" t="s">
        <v>733</v>
      </c>
      <c r="I175" s="13">
        <v>42757.6091087963</v>
      </c>
      <c r="J175" s="7">
        <v>1</v>
      </c>
      <c r="K175" s="105" t="str">
        <f t="shared" si="39"/>
        <v>4031/4032</v>
      </c>
      <c r="L175" s="22" t="str">
        <f>VLOOKUP(A175,'Trips&amp;Operators'!$C$1:$G$99999,5,FALSE)</f>
        <v>HOLCOMB KAMDEN</v>
      </c>
      <c r="M175" s="6">
        <f t="shared" si="40"/>
        <v>1.0810185187438037E-2</v>
      </c>
      <c r="N175" s="7">
        <f t="shared" si="41"/>
        <v>15.566666669910774</v>
      </c>
      <c r="O175" s="7"/>
      <c r="P175" s="7"/>
      <c r="Q175" s="23"/>
      <c r="R175" s="23"/>
      <c r="S175" s="32">
        <f t="shared" si="42"/>
        <v>1</v>
      </c>
      <c r="T175" s="47" t="str">
        <f t="shared" si="43"/>
        <v>NorthBound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44"/>
        <v>https://d0f6bd738d7f1b3e5a7ca70fe4ff75f0.us-east-1.aws.found.io/app/kibana#/discover/Steve-Slow-Train-Analysis-(2080s-and-2083s)?_g=(refreshInterval:(display:Off,pause:!f,section:0,value:0),time:(from:'2017-01-22T13:00:47-0700',mode:absolute,to:'2017-01-22T15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49" t="str">
        <f t="shared" si="45"/>
        <v>N</v>
      </c>
      <c r="X175" s="170">
        <f t="shared" si="46"/>
        <v>1</v>
      </c>
      <c r="Y175" s="64">
        <f t="shared" si="47"/>
        <v>0.1041</v>
      </c>
      <c r="Z175" s="64">
        <f t="shared" si="48"/>
        <v>5.8917999999999999</v>
      </c>
      <c r="AA175" s="64">
        <f t="shared" si="49"/>
        <v>5.7877000000000001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50"/>
        <v>1817-22</v>
      </c>
      <c r="AE175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75" s="84" t="str">
        <f t="shared" si="52"/>
        <v>"C:\Program Files (x86)\AstroGrep\AstroGrep.exe" /spath="%USERPROFILE%\AppData\Local\Temp\OnboardLogs" /stypes="app*4031*20170122*" /stext=" 21:.+((SYSTEM_STATE.+slice.+state.+changed )|(ment ac)|(multiple cpu faults)|(system.+state.+changed )|(\[timeout)|(PRM\|1\|D)|(kpr)|(kdp)|(\|lc)|(penalty))" /e /r /s</v>
      </c>
      <c r="AG175" s="1" t="str">
        <f t="shared" si="53"/>
        <v>NW</v>
      </c>
      <c r="AH175" s="88" t="str">
        <f t="shared" si="54"/>
        <v>"%USERPROFILE%\Documents\GitHub\eaglep3\Utilities\RefineRTDCRunTimes.py" --tripid 1817-22 --locoid 4031 --swversion DE.1.0.8.0 --startMP 204:1041 --initTime 2017-01-22T14:00:47 --startdatetime 2017-01-22T14:21:33 --delay 1 --endMP 300:58918 --enddatetime 2017-01-22T14:37:07 --enforcementcount 1 &gt;&gt;C:\Users\stu\Documents\GitHub\eaglep3-reporting\EC\2017-01-22-refined-times.txt</v>
      </c>
      <c r="AI175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{"issue":{"subject":"","project_id":79,"tracker_id":40,"status_id":1,"priority_id":2,"assigned_to_id":23,"start_date":"2017-01-22","description":"","custom_fields":[{"id":1,"name":"Subdivision","value":"NW"},{"id":4,"name":"Milepost","value":"5.8918"},{"id":17,"name":"Train ID","value":"1817-22"},{"id":16,"name":"Locomotive ID","value":"4031"},{"id":130,"name":"Impact","value":""},{"id":150,"name":"Time of Event (Mountain Time)","value":"14:37:07"},{"id":151,"name":"Denver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56"/>
        <v>start /low /b %USERPROFILE%\Documents\GitHub\eaglep3\Utilities\DownloadLogsFromS3.py --loco 4031 --day 2017-01-22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</row>
    <row r="176" spans="1:91" s="21" customFormat="1" x14ac:dyDescent="0.25">
      <c r="A176" s="34" t="s">
        <v>571</v>
      </c>
      <c r="B176" s="7">
        <v>4032</v>
      </c>
      <c r="C176" s="22" t="s">
        <v>196</v>
      </c>
      <c r="D176" s="22" t="s">
        <v>734</v>
      </c>
      <c r="E176" s="13">
        <v>42757.611620370371</v>
      </c>
      <c r="F176" s="13">
        <v>42757.612743055557</v>
      </c>
      <c r="G176" s="7">
        <v>1</v>
      </c>
      <c r="H176" s="22" t="s">
        <v>735</v>
      </c>
      <c r="I176" s="13">
        <v>42757.623796296299</v>
      </c>
      <c r="J176" s="7">
        <v>1</v>
      </c>
      <c r="K176" s="105" t="str">
        <f t="shared" si="39"/>
        <v>4031/4032</v>
      </c>
      <c r="L176" s="22" t="str">
        <f>VLOOKUP(A176,'Trips&amp;Operators'!$C$1:$G$99999,5,FALSE)</f>
        <v>HOLCOMB KAMDEN</v>
      </c>
      <c r="M176" s="6">
        <f t="shared" si="40"/>
        <v>1.1053240741603076E-2</v>
      </c>
      <c r="N176" s="7">
        <f t="shared" si="41"/>
        <v>15.91666666790843</v>
      </c>
      <c r="O176" s="7"/>
      <c r="P176" s="7"/>
      <c r="Q176" s="23"/>
      <c r="R176" s="23"/>
      <c r="S176" s="32">
        <f t="shared" si="42"/>
        <v>1</v>
      </c>
      <c r="T176" s="47" t="str">
        <f t="shared" si="43"/>
        <v>Southbound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44"/>
        <v>https://d0f6bd738d7f1b3e5a7ca70fe4ff75f0.us-east-1.aws.found.io/app/kibana#/discover/Steve-Slow-Train-Analysis-(2080s-and-2083s)?_g=(refreshInterval:(display:Off,pause:!f,section:0,value:0),time:(from:'2017-01-22T13:40:44-0700',mode:absolute,to:'2017-01-22T15:58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49" t="str">
        <f t="shared" si="45"/>
        <v>N</v>
      </c>
      <c r="X176" s="170">
        <f t="shared" si="46"/>
        <v>1</v>
      </c>
      <c r="Y176" s="64">
        <f t="shared" si="47"/>
        <v>5.8453999999999997</v>
      </c>
      <c r="Z176" s="64">
        <f t="shared" si="48"/>
        <v>8.3599999999999994E-2</v>
      </c>
      <c r="AA176" s="64">
        <f t="shared" si="49"/>
        <v>5.7618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50"/>
        <v>1818-22</v>
      </c>
      <c r="AE176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76" s="84" t="str">
        <f t="shared" si="52"/>
        <v>"C:\Program Files (x86)\AstroGrep\AstroGrep.exe" /spath="%USERPROFILE%\AppData\Local\Temp\OnboardLogs" /stypes="app*4032*20170122*" /stext=" 21:.+((SYSTEM_STATE.+slice.+state.+changed )|(ment ac)|(multiple cpu faults)|(system.+state.+changed )|(\[timeout)|(PRM\|1\|D)|(kpr)|(kdp)|(\|lc)|(penalty))" /e /r /s</v>
      </c>
      <c r="AG176" s="1" t="str">
        <f t="shared" si="53"/>
        <v>NW</v>
      </c>
      <c r="AH176" s="88" t="str">
        <f t="shared" si="54"/>
        <v>"%USERPROFILE%\Documents\GitHub\eaglep3\Utilities\RefineRTDCRunTimes.py" --tripid 1818-22 --locoid 4032 --swversion DE.1.0.8.0 --startMP 300:58454 --initTime 2017-01-22T14:40:44 --startdatetime 2017-01-22T14:42:21 --delay 1 --endMP 204:836 --enddatetime 2017-01-22T14:58:16 --enforcementcount 1 &gt;&gt;C:\Users\stu\Documents\GitHub\eaglep3-reporting\EC\2017-01-22-refined-times.txt</v>
      </c>
      <c r="AI176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{"issue":{"subject":"","project_id":79,"tracker_id":40,"status_id":1,"priority_id":2,"assigned_to_id":23,"start_date":"2017-01-22","description":"","custom_fields":[{"id":1,"name":"Subdivision","value":"NW"},{"id":4,"name":"Milepost","value":"0.0836"},{"id":17,"name":"Train ID","value":"1818-22"},{"id":16,"name":"Locomotive ID","value":"4032"},{"id":130,"name":"Impact","value":""},{"id":150,"name":"Time of Event (Mountain Time)","value":"14:58:16"},{"id":151,"name":"Denver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56"/>
        <v>start /low /b %USERPROFILE%\Documents\GitHub\eaglep3\Utilities\DownloadLogsFromS3.py --loco 4032 --day 2017-01-22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576</v>
      </c>
      <c r="B177" s="7">
        <v>4031</v>
      </c>
      <c r="C177" s="22" t="s">
        <v>196</v>
      </c>
      <c r="D177" s="22" t="s">
        <v>736</v>
      </c>
      <c r="E177" s="13">
        <v>42757.636250000003</v>
      </c>
      <c r="F177" s="13">
        <v>42757.639803240738</v>
      </c>
      <c r="G177" s="7">
        <v>1</v>
      </c>
      <c r="H177" s="22" t="s">
        <v>737</v>
      </c>
      <c r="I177" s="13">
        <v>42757.649675925924</v>
      </c>
      <c r="J177" s="7">
        <v>1</v>
      </c>
      <c r="K177" s="105" t="str">
        <f t="shared" si="39"/>
        <v>4031/4032</v>
      </c>
      <c r="L177" s="22" t="str">
        <f>VLOOKUP(A177,'Trips&amp;Operators'!$C$1:$G$99999,5,FALSE)</f>
        <v>HELVIE ADAM</v>
      </c>
      <c r="M177" s="6">
        <f t="shared" si="40"/>
        <v>9.8726851865649223E-3</v>
      </c>
      <c r="N177" s="7">
        <f t="shared" si="41"/>
        <v>14.216666668653488</v>
      </c>
      <c r="O177" s="7"/>
      <c r="P177" s="7"/>
      <c r="Q177" s="23"/>
      <c r="R177" s="23"/>
      <c r="S177" s="32">
        <f t="shared" si="42"/>
        <v>1</v>
      </c>
      <c r="T177" s="47" t="str">
        <f t="shared" si="43"/>
        <v>NorthBound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44"/>
        <v>https://d0f6bd738d7f1b3e5a7ca70fe4ff75f0.us-east-1.aws.found.io/app/kibana#/discover/Steve-Slow-Train-Analysis-(2080s-and-2083s)?_g=(refreshInterval:(display:Off,pause:!f,section:0,value:0),time:(from:'2017-01-22T14:16:12-0700',mode:absolute,to:'2017-01-22T16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49" t="str">
        <f t="shared" si="45"/>
        <v>N</v>
      </c>
      <c r="X177" s="170">
        <f t="shared" si="46"/>
        <v>1</v>
      </c>
      <c r="Y177" s="64">
        <f t="shared" si="47"/>
        <v>0.1128</v>
      </c>
      <c r="Z177" s="64">
        <f t="shared" si="48"/>
        <v>5.8949999999999996</v>
      </c>
      <c r="AA177" s="64">
        <f t="shared" si="49"/>
        <v>5.7821999999999996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50"/>
        <v>1819-22</v>
      </c>
      <c r="AE177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77" s="84" t="str">
        <f t="shared" si="52"/>
        <v>"C:\Program Files (x86)\AstroGrep\AstroGrep.exe" /spath="%USERPROFILE%\AppData\Local\Temp\OnboardLogs" /stypes="app*4031*20170122*" /stext=" 22:.+((SYSTEM_STATE.+slice.+state.+changed )|(ment ac)|(multiple cpu faults)|(system.+state.+changed )|(\[timeout)|(PRM\|1\|D)|(kpr)|(kdp)|(\|lc)|(penalty))" /e /r /s</v>
      </c>
      <c r="AG177" s="1" t="str">
        <f t="shared" si="53"/>
        <v>NW</v>
      </c>
      <c r="AH177" s="88" t="str">
        <f t="shared" si="54"/>
        <v>"%USERPROFILE%\Documents\GitHub\eaglep3\Utilities\RefineRTDCRunTimes.py" --tripid 1819-22 --locoid 4031 --swversion DE.1.0.8.0 --startMP 204:1128 --initTime 2017-01-22T15:16:12 --startdatetime 2017-01-22T15:21:19 --delay 1 --endMP 300:58950 --enddatetime 2017-01-22T15:35:32 --enforcementcount 1 &gt;&gt;C:\Users\stu\Documents\GitHub\eaglep3-reporting\EC\2017-01-22-refined-times.txt</v>
      </c>
      <c r="AI177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{"issue":{"subject":"","project_id":79,"tracker_id":40,"status_id":1,"priority_id":2,"assigned_to_id":23,"start_date":"2017-01-22","description":"","custom_fields":[{"id":1,"name":"Subdivision","value":"NW"},{"id":4,"name":"Milepost","value":"5.895"},{"id":17,"name":"Train ID","value":"1819-22"},{"id":16,"name":"Locomotive ID","value":"4031"},{"id":130,"name":"Impact","value":""},{"id":150,"name":"Time of Event (Mountain Time)","value":"15:35:32"},{"id":151,"name":"Denver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56"/>
        <v>start /low /b %USERPROFILE%\Documents\GitHub\eaglep3\Utilities\DownloadLogsFromS3.py --loco 4031 --day 2017-01-22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580</v>
      </c>
      <c r="B178" s="7">
        <v>4032</v>
      </c>
      <c r="C178" s="22" t="s">
        <v>196</v>
      </c>
      <c r="D178" s="22" t="s">
        <v>738</v>
      </c>
      <c r="E178" s="13">
        <v>42757.650787037041</v>
      </c>
      <c r="F178" s="13">
        <v>42757.65253472222</v>
      </c>
      <c r="G178" s="7">
        <v>1</v>
      </c>
      <c r="H178" s="22" t="s">
        <v>338</v>
      </c>
      <c r="I178" s="13">
        <v>42757.663541666669</v>
      </c>
      <c r="J178" s="7">
        <v>1</v>
      </c>
      <c r="K178" s="105" t="str">
        <f t="shared" si="39"/>
        <v>4031/4032</v>
      </c>
      <c r="L178" s="22" t="str">
        <f>VLOOKUP(A178,'Trips&amp;Operators'!$C$1:$G$99999,5,FALSE)</f>
        <v>HELVIE ADAM</v>
      </c>
      <c r="M178" s="6">
        <f t="shared" si="40"/>
        <v>1.1006944449036382E-2</v>
      </c>
      <c r="N178" s="7">
        <f t="shared" si="41"/>
        <v>15.85000000661239</v>
      </c>
      <c r="O178" s="7"/>
      <c r="P178" s="7"/>
      <c r="Q178" s="23"/>
      <c r="R178" s="23"/>
      <c r="S178" s="32">
        <f t="shared" si="42"/>
        <v>1</v>
      </c>
      <c r="T178" s="47" t="str">
        <f t="shared" si="43"/>
        <v>Southbound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44"/>
        <v>https://d0f6bd738d7f1b3e5a7ca70fe4ff75f0.us-east-1.aws.found.io/app/kibana#/discover/Steve-Slow-Train-Analysis-(2080s-and-2083s)?_g=(refreshInterval:(display:Off,pause:!f,section:0,value:0),time:(from:'2017-01-22T14:37:08-0700',mode:absolute,to:'2017-01-22T16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49" t="str">
        <f t="shared" si="45"/>
        <v>N</v>
      </c>
      <c r="X178" s="170">
        <f t="shared" si="46"/>
        <v>1</v>
      </c>
      <c r="Y178" s="64">
        <f t="shared" si="47"/>
        <v>5.8638000000000003</v>
      </c>
      <c r="Z178" s="64">
        <f t="shared" si="48"/>
        <v>6.8500000000000005E-2</v>
      </c>
      <c r="AA178" s="64">
        <f t="shared" si="49"/>
        <v>5.7953000000000001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50"/>
        <v>1820-22</v>
      </c>
      <c r="AE178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78" s="84" t="str">
        <f t="shared" si="52"/>
        <v>"C:\Program Files (x86)\AstroGrep\AstroGrep.exe" /spath="%USERPROFILE%\AppData\Local\Temp\OnboardLogs" /stypes="app*4032*20170122*" /stext=" 22:.+((SYSTEM_STATE.+slice.+state.+changed )|(ment ac)|(multiple cpu faults)|(system.+state.+changed )|(\[timeout)|(PRM\|1\|D)|(kpr)|(kdp)|(\|lc)|(penalty))" /e /r /s</v>
      </c>
      <c r="AG178" s="1" t="str">
        <f t="shared" si="53"/>
        <v>NW</v>
      </c>
      <c r="AH178" s="88" t="str">
        <f t="shared" si="54"/>
        <v>"%USERPROFILE%\Documents\GitHub\eaglep3\Utilities\RefineRTDCRunTimes.py" --tripid 1820-22 --locoid 4032 --swversion DE.1.0.8.0 --startMP 300:58638 --initTime 2017-01-22T15:37:08 --startdatetime 2017-01-22T15:39:39 --delay 1 --endMP 204:685 --enddatetime 2017-01-22T15:55:30 --enforcementcount 1 &gt;&gt;C:\Users\stu\Documents\GitHub\eaglep3-reporting\EC\2017-01-22-refined-times.txt</v>
      </c>
      <c r="AI178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{"issue":{"subject":"","project_id":79,"tracker_id":40,"status_id":1,"priority_id":2,"assigned_to_id":23,"start_date":"2017-01-22","description":"","custom_fields":[{"id":1,"name":"Subdivision","value":"NW"},{"id":4,"name":"Milepost","value":"0.0685"},{"id":17,"name":"Train ID","value":"1820-22"},{"id":16,"name":"Locomotive ID","value":"4032"},{"id":130,"name":"Impact","value":""},{"id":150,"name":"Time of Event (Mountain Time)","value":"15:55:30"},{"id":151,"name":"Denver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56"/>
        <v>start /low /b %USERPROFILE%\Documents\GitHub\eaglep3\Utilities\DownloadLogsFromS3.py --loco 4032 --day 2017-01-22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586</v>
      </c>
      <c r="B179" s="7">
        <v>4031</v>
      </c>
      <c r="C179" s="22" t="s">
        <v>196</v>
      </c>
      <c r="D179" s="22" t="s">
        <v>739</v>
      </c>
      <c r="E179" s="13">
        <v>42757.676631944443</v>
      </c>
      <c r="F179" s="13">
        <v>42757.681446759256</v>
      </c>
      <c r="G179" s="7">
        <v>1</v>
      </c>
      <c r="H179" s="22" t="s">
        <v>299</v>
      </c>
      <c r="I179" s="13">
        <v>42757.691377314812</v>
      </c>
      <c r="J179" s="7">
        <v>1</v>
      </c>
      <c r="K179" s="105" t="str">
        <f t="shared" si="39"/>
        <v>4031/4032</v>
      </c>
      <c r="L179" s="22" t="str">
        <f>VLOOKUP(A179,'Trips&amp;Operators'!$C$1:$G$99999,5,FALSE)</f>
        <v>HELVIE ADAM</v>
      </c>
      <c r="M179" s="6">
        <f t="shared" si="40"/>
        <v>9.930555555911269E-3</v>
      </c>
      <c r="N179" s="7">
        <f t="shared" si="41"/>
        <v>14.300000000512227</v>
      </c>
      <c r="O179" s="7"/>
      <c r="P179" s="7"/>
      <c r="Q179" s="23"/>
      <c r="R179" s="23"/>
      <c r="S179" s="32">
        <f t="shared" si="42"/>
        <v>1</v>
      </c>
      <c r="T179" s="47" t="str">
        <f t="shared" si="43"/>
        <v>NorthBound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44"/>
        <v>https://d0f6bd738d7f1b3e5a7ca70fe4ff75f0.us-east-1.aws.found.io/app/kibana#/discover/Steve-Slow-Train-Analysis-(2080s-and-2083s)?_g=(refreshInterval:(display:Off,pause:!f,section:0,value:0),time:(from:'2017-01-22T15:14:21-0700',mode:absolute,to:'2017-01-22T17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49" t="str">
        <f t="shared" si="45"/>
        <v>N</v>
      </c>
      <c r="X179" s="170">
        <f t="shared" si="46"/>
        <v>1</v>
      </c>
      <c r="Y179" s="64">
        <f t="shared" si="47"/>
        <v>9.6199999999999994E-2</v>
      </c>
      <c r="Z179" s="64">
        <f t="shared" si="48"/>
        <v>5.8944000000000001</v>
      </c>
      <c r="AA179" s="64">
        <f t="shared" si="49"/>
        <v>5.7982000000000005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50"/>
        <v>1821-22</v>
      </c>
      <c r="AE179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79" s="84" t="str">
        <f t="shared" si="52"/>
        <v>"C:\Program Files (x86)\AstroGrep\AstroGrep.exe" /spath="%USERPROFILE%\AppData\Local\Temp\OnboardLogs" /stypes="app*4031*20170122*" /stext=" 23:.+((SYSTEM_STATE.+slice.+state.+changed )|(ment ac)|(multiple cpu faults)|(system.+state.+changed )|(\[timeout)|(PRM\|1\|D)|(kpr)|(kdp)|(\|lc)|(penalty))" /e /r /s</v>
      </c>
      <c r="AG179" s="1" t="str">
        <f t="shared" si="53"/>
        <v>NW</v>
      </c>
      <c r="AH179" s="88" t="str">
        <f t="shared" si="54"/>
        <v>"%USERPROFILE%\Documents\GitHub\eaglep3\Utilities\RefineRTDCRunTimes.py" --tripid 1821-22 --locoid 4031 --swversion DE.1.0.8.0 --startMP 204:962 --initTime 2017-01-22T16:14:21 --startdatetime 2017-01-22T16:21:17 --delay 1 --endMP 300:58944 --enddatetime 2017-01-22T16:35:35 --enforcementcount 1 &gt;&gt;C:\Users\stu\Documents\GitHub\eaglep3-reporting\EC\2017-01-22-refined-times.txt</v>
      </c>
      <c r="AI179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{"issue":{"subject":"","project_id":79,"tracker_id":40,"status_id":1,"priority_id":2,"assigned_to_id":23,"start_date":"2017-01-22","description":"","custom_fields":[{"id":1,"name":"Subdivision","value":"NW"},{"id":4,"name":"Milepost","value":"5.8944"},{"id":17,"name":"Train ID","value":"1821-22"},{"id":16,"name":"Locomotive ID","value":"4031"},{"id":130,"name":"Impact","value":""},{"id":150,"name":"Time of Event (Mountain Time)","value":"16:35:35"},{"id":151,"name":"Denver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56"/>
        <v>start /low /b %USERPROFILE%\Documents\GitHub\eaglep3\Utilities\DownloadLogsFromS3.py --loco 4031 --day 2017-01-22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4" t="s">
        <v>589</v>
      </c>
      <c r="B180" s="7">
        <v>4032</v>
      </c>
      <c r="C180" s="22" t="s">
        <v>196</v>
      </c>
      <c r="D180" s="22" t="s">
        <v>740</v>
      </c>
      <c r="E180" s="13">
        <v>42757.692569444444</v>
      </c>
      <c r="F180" s="13">
        <v>42757.694618055553</v>
      </c>
      <c r="G180" s="7">
        <v>2</v>
      </c>
      <c r="H180" s="22" t="s">
        <v>741</v>
      </c>
      <c r="I180" s="13">
        <v>42757.705312500002</v>
      </c>
      <c r="J180" s="7">
        <v>1</v>
      </c>
      <c r="K180" s="105" t="str">
        <f t="shared" si="39"/>
        <v>4031/4032</v>
      </c>
      <c r="L180" s="22" t="str">
        <f>VLOOKUP(A180,'Trips&amp;Operators'!$C$1:$G$99999,5,FALSE)</f>
        <v>HELVIE ADAM</v>
      </c>
      <c r="M180" s="6">
        <f t="shared" si="40"/>
        <v>1.0694444448745344E-2</v>
      </c>
      <c r="N180" s="7">
        <f t="shared" si="41"/>
        <v>15.400000006193295</v>
      </c>
      <c r="O180" s="7"/>
      <c r="P180" s="7"/>
      <c r="Q180" s="23"/>
      <c r="R180" s="23"/>
      <c r="S180" s="32">
        <f t="shared" si="42"/>
        <v>1</v>
      </c>
      <c r="T180" s="47" t="str">
        <f t="shared" si="43"/>
        <v>Southbound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44"/>
        <v>https://d0f6bd738d7f1b3e5a7ca70fe4ff75f0.us-east-1.aws.found.io/app/kibana#/discover/Steve-Slow-Train-Analysis-(2080s-and-2083s)?_g=(refreshInterval:(display:Off,pause:!f,section:0,value:0),time:(from:'2017-01-22T15:37:18-0700',mode:absolute,to:'2017-01-22T17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49" t="str">
        <f t="shared" si="45"/>
        <v>N</v>
      </c>
      <c r="X180" s="170">
        <f t="shared" si="46"/>
        <v>1</v>
      </c>
      <c r="Y180" s="64">
        <f t="shared" si="47"/>
        <v>5.8624000000000001</v>
      </c>
      <c r="Z180" s="64">
        <f t="shared" si="48"/>
        <v>7.0099999999999996E-2</v>
      </c>
      <c r="AA180" s="64">
        <f t="shared" si="49"/>
        <v>5.7923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50"/>
        <v>1822-22</v>
      </c>
      <c r="AE180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80" s="84" t="str">
        <f t="shared" si="52"/>
        <v>"C:\Program Files (x86)\AstroGrep\AstroGrep.exe" /spath="%USERPROFILE%\AppData\Local\Temp\OnboardLogs" /stypes="app*4032*20170122*" /stext=" 23:.+((SYSTEM_STATE.+slice.+state.+changed )|(ment ac)|(multiple cpu faults)|(system.+state.+changed )|(\[timeout)|(PRM\|1\|D)|(kpr)|(kdp)|(\|lc)|(penalty))" /e /r /s</v>
      </c>
      <c r="AG180" s="1" t="str">
        <f t="shared" si="53"/>
        <v>NW</v>
      </c>
      <c r="AH180" s="88" t="str">
        <f t="shared" si="54"/>
        <v>"%USERPROFILE%\Documents\GitHub\eaglep3\Utilities\RefineRTDCRunTimes.py" --tripid 1822-22 --locoid 4032 --swversion DE.1.0.8.0 --startMP 300:58624 --initTime 2017-01-22T16:37:18 --startdatetime 2017-01-22T16:40:15 --delay 2 --endMP 204:701 --enddatetime 2017-01-22T16:55:39 --enforcementcount 1 &gt;&gt;C:\Users\stu\Documents\GitHub\eaglep3-reporting\EC\2017-01-22-refined-times.txt</v>
      </c>
      <c r="AI180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{"issue":{"subject":"","project_id":79,"tracker_id":40,"status_id":1,"priority_id":2,"assigned_to_id":23,"start_date":"2017-01-22","description":"","custom_fields":[{"id":1,"name":"Subdivision","value":"NW"},{"id":4,"name":"Milepost","value":"0.0701"},{"id":17,"name":"Train ID","value":"1822-22"},{"id":16,"name":"Locomotive ID","value":"4032"},{"id":130,"name":"Impact","value":""},{"id":150,"name":"Time of Event (Mountain Time)","value":"16:55:39"},{"id":151,"name":"Denver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56"/>
        <v>start /low /b %USERPROFILE%\Documents\GitHub\eaglep3\Utilities\DownloadLogsFromS3.py --loco 4032 --day 2017-01-22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4" t="s">
        <v>597</v>
      </c>
      <c r="B181" s="7">
        <v>4031</v>
      </c>
      <c r="C181" s="22" t="s">
        <v>196</v>
      </c>
      <c r="D181" s="22" t="s">
        <v>421</v>
      </c>
      <c r="E181" s="13">
        <v>42757.720289351855</v>
      </c>
      <c r="F181" s="13">
        <v>42757.72314814815</v>
      </c>
      <c r="G181" s="7">
        <v>1</v>
      </c>
      <c r="H181" s="22" t="s">
        <v>742</v>
      </c>
      <c r="I181" s="13">
        <v>42757.732974537037</v>
      </c>
      <c r="J181" s="7">
        <v>1</v>
      </c>
      <c r="K181" s="105" t="str">
        <f t="shared" si="39"/>
        <v>4031/4032</v>
      </c>
      <c r="L181" s="22" t="str">
        <f>VLOOKUP(A181,'Trips&amp;Operators'!$C$1:$G$99999,5,FALSE)</f>
        <v>HELVIE ADAM</v>
      </c>
      <c r="M181" s="6">
        <f t="shared" si="40"/>
        <v>9.8263888867222704E-3</v>
      </c>
      <c r="N181" s="7">
        <f t="shared" si="41"/>
        <v>14.149999996880069</v>
      </c>
      <c r="O181" s="7"/>
      <c r="P181" s="7"/>
      <c r="Q181" s="23"/>
      <c r="R181" s="23"/>
      <c r="S181" s="32">
        <f t="shared" si="42"/>
        <v>1</v>
      </c>
      <c r="T181" s="47" t="str">
        <f t="shared" si="43"/>
        <v>NorthBound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44"/>
        <v>https://d0f6bd738d7f1b3e5a7ca70fe4ff75f0.us-east-1.aws.found.io/app/kibana#/discover/Steve-Slow-Train-Analysis-(2080s-and-2083s)?_g=(refreshInterval:(display:Off,pause:!f,section:0,value:0),time:(from:'2017-01-22T16:17:13-0700',mode:absolute,to:'2017-01-22T18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49" t="str">
        <f t="shared" si="45"/>
        <v>N</v>
      </c>
      <c r="X181" s="170">
        <f t="shared" si="46"/>
        <v>1</v>
      </c>
      <c r="Y181" s="64">
        <f t="shared" si="47"/>
        <v>9.8799999999999999E-2</v>
      </c>
      <c r="Z181" s="64">
        <f t="shared" si="48"/>
        <v>5.8945999999999996</v>
      </c>
      <c r="AA181" s="64">
        <f t="shared" si="49"/>
        <v>5.7957999999999998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50"/>
        <v>1823-22</v>
      </c>
      <c r="AE181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81" s="84" t="str">
        <f t="shared" si="52"/>
        <v>"C:\Program Files (x86)\AstroGrep\AstroGrep.exe" /spath="%USERPROFILE%\AppData\Local\Temp\OnboardLogs" /stypes="app*4031*20170123*" /stext=" 00:.+((SYSTEM_STATE.+slice.+state.+changed )|(ment ac)|(multiple cpu faults)|(system.+state.+changed )|(\[timeout)|(PRM\|1\|D)|(kpr)|(kdp)|(\|lc)|(penalty))" /e /r /s</v>
      </c>
      <c r="AG181" s="1" t="str">
        <f t="shared" si="53"/>
        <v>NW</v>
      </c>
      <c r="AH181" s="88" t="str">
        <f t="shared" si="54"/>
        <v>"%USERPROFILE%\Documents\GitHub\eaglep3\Utilities\RefineRTDCRunTimes.py" --tripid 1823-22 --locoid 4031 --swversion DE.1.0.8.0 --startMP 204:988 --initTime 2017-01-22T17:17:13 --startdatetime 2017-01-22T17:21:20 --delay 1 --endMP 300:58946 --enddatetime 2017-01-22T17:35:29 --enforcementcount 1 &gt;&gt;C:\Users\stu\Documents\GitHub\eaglep3-reporting\EC\2017-01-22-refined-times.txt</v>
      </c>
      <c r="AI181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{"issue":{"subject":"","project_id":79,"tracker_id":40,"status_id":1,"priority_id":2,"assigned_to_id":23,"start_date":"2017-01-22","description":"","custom_fields":[{"id":1,"name":"Subdivision","value":"NW"},{"id":4,"name":"Milepost","value":"5.8946"},{"id":17,"name":"Train ID","value":"1823-22"},{"id":16,"name":"Locomotive ID","value":"4031"},{"id":130,"name":"Impact","value":""},{"id":150,"name":"Time of Event (Mountain Time)","value":"17:35:29"},{"id":151,"name":"Denver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56"/>
        <v>start /low /b %USERPROFILE%\Documents\GitHub\eaglep3\Utilities\DownloadLogsFromS3.py --loco 4031 --day 2017-01-22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"%USERPROFILE%\AppData\Local\Temp\OnboardLogs"\RTDC4031\*4031*20170123* | grep -SE "(Enforcement Action)|(\[TIMEOUT)|(CHR.+\|PRM\|1\|D.+(SWITCH|SIGNAL).+UNKNOWN)" - &gt;&gt; 2017-01-22-UncaughtWiMAX.txt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4" t="s">
        <v>603</v>
      </c>
      <c r="B182" s="7">
        <v>4032</v>
      </c>
      <c r="C182" s="22" t="s">
        <v>196</v>
      </c>
      <c r="D182" s="22" t="s">
        <v>425</v>
      </c>
      <c r="E182" s="13">
        <v>42757.734456018516</v>
      </c>
      <c r="F182" s="13">
        <v>42757.736296296294</v>
      </c>
      <c r="G182" s="7">
        <v>1</v>
      </c>
      <c r="H182" s="22" t="s">
        <v>328</v>
      </c>
      <c r="I182" s="13">
        <v>42757.74800925926</v>
      </c>
      <c r="J182" s="7">
        <v>1</v>
      </c>
      <c r="K182" s="105" t="str">
        <f t="shared" si="39"/>
        <v>4031/4032</v>
      </c>
      <c r="L182" s="22" t="str">
        <f>VLOOKUP(A182,'Trips&amp;Operators'!$C$1:$G$99999,5,FALSE)</f>
        <v>HELVIE ADAM</v>
      </c>
      <c r="M182" s="6">
        <f t="shared" si="40"/>
        <v>1.1712962965248153E-2</v>
      </c>
      <c r="N182" s="7">
        <f t="shared" si="41"/>
        <v>16.86666666995734</v>
      </c>
      <c r="O182" s="7"/>
      <c r="P182" s="7"/>
      <c r="Q182" s="23"/>
      <c r="R182" s="23"/>
      <c r="S182" s="32">
        <f t="shared" si="42"/>
        <v>1</v>
      </c>
      <c r="T182" s="47" t="str">
        <f t="shared" si="43"/>
        <v>Southbound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44"/>
        <v>https://d0f6bd738d7f1b3e5a7ca70fe4ff75f0.us-east-1.aws.found.io/app/kibana#/discover/Steve-Slow-Train-Analysis-(2080s-and-2083s)?_g=(refreshInterval:(display:Off,pause:!f,section:0,value:0),time:(from:'2017-01-22T16:37:37-0700',mode:absolute,to:'2017-01-22T18:57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49" t="str">
        <f t="shared" si="45"/>
        <v>N</v>
      </c>
      <c r="X182" s="170">
        <f t="shared" si="46"/>
        <v>1</v>
      </c>
      <c r="Y182" s="64">
        <f t="shared" si="47"/>
        <v>5.8634000000000004</v>
      </c>
      <c r="Z182" s="64">
        <f t="shared" si="48"/>
        <v>7.5399999999999995E-2</v>
      </c>
      <c r="AA182" s="64">
        <f t="shared" si="49"/>
        <v>5.7880000000000003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50"/>
        <v>1824-22</v>
      </c>
      <c r="AE182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82" s="84" t="str">
        <f t="shared" si="52"/>
        <v>"C:\Program Files (x86)\AstroGrep\AstroGrep.exe" /spath="%USERPROFILE%\AppData\Local\Temp\OnboardLogs" /stypes="app*4032*20170123*" /stext=" 00:.+((SYSTEM_STATE.+slice.+state.+changed )|(ment ac)|(multiple cpu faults)|(system.+state.+changed )|(\[timeout)|(PRM\|1\|D)|(kpr)|(kdp)|(\|lc)|(penalty))" /e /r /s</v>
      </c>
      <c r="AG182" s="1" t="str">
        <f t="shared" si="53"/>
        <v>NW</v>
      </c>
      <c r="AH182" s="88" t="str">
        <f t="shared" si="54"/>
        <v>"%USERPROFILE%\Documents\GitHub\eaglep3\Utilities\RefineRTDCRunTimes.py" --tripid 1824-22 --locoid 4032 --swversion DE.1.0.8.0 --startMP 300:58634 --initTime 2017-01-22T17:37:37 --startdatetime 2017-01-22T17:40:16 --delay 1 --endMP 204:754 --enddatetime 2017-01-22T17:57:08 --enforcementcount 1 &gt;&gt;C:\Users\stu\Documents\GitHub\eaglep3-reporting\EC\2017-01-22-refined-times.txt</v>
      </c>
      <c r="AI182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{"issue":{"subject":"","project_id":79,"tracker_id":40,"status_id":1,"priority_id":2,"assigned_to_id":23,"start_date":"2017-01-22","description":"","custom_fields":[{"id":1,"name":"Subdivision","value":"NW"},{"id":4,"name":"Milepost","value":"0.0754"},{"id":17,"name":"Train ID","value":"1824-22"},{"id":16,"name":"Locomotive ID","value":"4032"},{"id":130,"name":"Impact","value":""},{"id":150,"name":"Time of Event (Mountain Time)","value":"17:57:08"},{"id":151,"name":"Denver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56"/>
        <v>start /low /b %USERPROFILE%\Documents\GitHub\eaglep3\Utilities\DownloadLogsFromS3.py --loco 4032 --day 2017-01-22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"%USERPROFILE%\AppData\Local\Temp\OnboardLogs"\RTDC4032\*4032*20170123* | grep -SE "(Enforcement Action)|(\[TIMEOUT)|(CHR.+\|PRM\|1\|D.+(SWITCH|SIGNAL).+UNKNOWN)" - &gt;&gt; 2017-01-22-UncaughtWiMAX.txt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4" t="s">
        <v>611</v>
      </c>
      <c r="B183" s="7">
        <v>4031</v>
      </c>
      <c r="C183" s="22" t="s">
        <v>196</v>
      </c>
      <c r="D183" s="22" t="s">
        <v>743</v>
      </c>
      <c r="E183" s="13">
        <v>42757.762442129628</v>
      </c>
      <c r="F183" s="13">
        <v>42757.764745370368</v>
      </c>
      <c r="G183" s="7">
        <v>1</v>
      </c>
      <c r="H183" s="22" t="s">
        <v>424</v>
      </c>
      <c r="I183" s="13">
        <v>42757.774965277778</v>
      </c>
      <c r="J183" s="7">
        <v>1</v>
      </c>
      <c r="K183" s="105" t="str">
        <f t="shared" si="39"/>
        <v>4031/4032</v>
      </c>
      <c r="L183" s="22" t="str">
        <f>VLOOKUP(A183,'Trips&amp;Operators'!$C$1:$G$99999,5,FALSE)</f>
        <v>HELVIE ADAM</v>
      </c>
      <c r="M183" s="6">
        <f t="shared" si="40"/>
        <v>1.021990740991896E-2</v>
      </c>
      <c r="N183" s="7">
        <f t="shared" si="41"/>
        <v>14.716666670283303</v>
      </c>
      <c r="O183" s="7"/>
      <c r="P183" s="7"/>
      <c r="Q183" s="23"/>
      <c r="R183" s="23"/>
      <c r="S183" s="32">
        <f t="shared" si="42"/>
        <v>1</v>
      </c>
      <c r="T183" s="47" t="str">
        <f t="shared" si="43"/>
        <v>NorthBound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44"/>
        <v>https://d0f6bd738d7f1b3e5a7ca70fe4ff75f0.us-east-1.aws.found.io/app/kibana#/discover/Steve-Slow-Train-Analysis-(2080s-and-2083s)?_g=(refreshInterval:(display:Off,pause:!f,section:0,value:0),time:(from:'2017-01-22T17:17:55-0700',mode:absolute,to:'2017-01-22T19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49" t="str">
        <f t="shared" si="45"/>
        <v>N</v>
      </c>
      <c r="X183" s="170">
        <f t="shared" si="46"/>
        <v>1</v>
      </c>
      <c r="Y183" s="64">
        <f t="shared" si="47"/>
        <v>0.10440000000000001</v>
      </c>
      <c r="Z183" s="64">
        <f t="shared" si="48"/>
        <v>5.8967000000000001</v>
      </c>
      <c r="AA183" s="64">
        <f t="shared" si="49"/>
        <v>5.7923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50"/>
        <v>1825-22</v>
      </c>
      <c r="AE183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83" s="84" t="str">
        <f t="shared" si="52"/>
        <v>"C:\Program Files (x86)\AstroGrep\AstroGrep.exe" /spath="%USERPROFILE%\AppData\Local\Temp\OnboardLogs" /stypes="app*4031*20170123*" /stext=" 01:.+((SYSTEM_STATE.+slice.+state.+changed )|(ment ac)|(multiple cpu faults)|(system.+state.+changed )|(\[timeout)|(PRM\|1\|D)|(kpr)|(kdp)|(\|lc)|(penalty))" /e /r /s</v>
      </c>
      <c r="AG183" s="1" t="str">
        <f t="shared" si="53"/>
        <v>NW</v>
      </c>
      <c r="AH183" s="88" t="str">
        <f t="shared" si="54"/>
        <v>"%USERPROFILE%\Documents\GitHub\eaglep3\Utilities\RefineRTDCRunTimes.py" --tripid 1825-22 --locoid 4031 --swversion DE.1.0.8.0 --startMP 204:1044 --initTime 2017-01-22T18:17:55 --startdatetime 2017-01-22T18:21:14 --delay 1 --endMP 300:58967 --enddatetime 2017-01-22T18:35:57 --enforcementcount 1 &gt;&gt;C:\Users\stu\Documents\GitHub\eaglep3-reporting\EC\2017-01-22-refined-times.txt</v>
      </c>
      <c r="AI183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{"issue":{"subject":"","project_id":79,"tracker_id":40,"status_id":1,"priority_id":2,"assigned_to_id":23,"start_date":"2017-01-22","description":"","custom_fields":[{"id":1,"name":"Subdivision","value":"NW"},{"id":4,"name":"Milepost","value":"5.8967"},{"id":17,"name":"Train ID","value":"1825-22"},{"id":16,"name":"Locomotive ID","value":"4031"},{"id":130,"name":"Impact","value":""},{"id":150,"name":"Time of Event (Mountain Time)","value":"18:35:57"},{"id":151,"name":"Denver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56"/>
        <v>start /low /b %USERPROFILE%\Documents\GitHub\eaglep3\Utilities\DownloadLogsFromS3.py --loco 4031 --day 2017-01-22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"%USERPROFILE%\AppData\Local\Temp\OnboardLogs"\RTDC4031\*4031*20170123* | grep -SE "(Enforcement Action)|(\[TIMEOUT)|(CHR.+\|PRM\|1\|D.+(SWITCH|SIGNAL).+UNKNOWN)" - &gt;&gt; 2017-01-22-UncaughtWiMAX.txt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4" t="s">
        <v>616</v>
      </c>
      <c r="B184" s="7">
        <v>4032</v>
      </c>
      <c r="C184" s="22" t="s">
        <v>196</v>
      </c>
      <c r="D184" s="22" t="s">
        <v>426</v>
      </c>
      <c r="E184" s="13">
        <v>42757.775821759256</v>
      </c>
      <c r="F184" s="13">
        <v>42757.777106481481</v>
      </c>
      <c r="G184" s="7">
        <v>1</v>
      </c>
      <c r="H184" s="22" t="s">
        <v>422</v>
      </c>
      <c r="I184" s="13">
        <v>42757.790601851855</v>
      </c>
      <c r="J184" s="7">
        <v>1</v>
      </c>
      <c r="K184" s="105" t="str">
        <f t="shared" si="39"/>
        <v>4031/4032</v>
      </c>
      <c r="L184" s="22" t="str">
        <f>VLOOKUP(A184,'Trips&amp;Operators'!$C$1:$G$99999,5,FALSE)</f>
        <v>HELVIE ADAM</v>
      </c>
      <c r="M184" s="6">
        <f t="shared" si="40"/>
        <v>1.3495370374585036E-2</v>
      </c>
      <c r="N184" s="7">
        <f t="shared" si="41"/>
        <v>19.433333339402452</v>
      </c>
      <c r="O184" s="7"/>
      <c r="P184" s="7"/>
      <c r="Q184" s="23"/>
      <c r="R184" s="23"/>
      <c r="S184" s="32">
        <f t="shared" si="42"/>
        <v>1</v>
      </c>
      <c r="T184" s="47" t="str">
        <f t="shared" si="43"/>
        <v>Southbound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44"/>
        <v>https://d0f6bd738d7f1b3e5a7ca70fe4ff75f0.us-east-1.aws.found.io/app/kibana#/discover/Steve-Slow-Train-Analysis-(2080s-and-2083s)?_g=(refreshInterval:(display:Off,pause:!f,section:0,value:0),time:(from:'2017-01-22T17:37:11-0700',mode:absolute,to:'2017-01-22T19:58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4" s="49" t="str">
        <f t="shared" si="45"/>
        <v>N</v>
      </c>
      <c r="X184" s="170">
        <f t="shared" si="46"/>
        <v>1</v>
      </c>
      <c r="Y184" s="64">
        <f t="shared" si="47"/>
        <v>5.8647</v>
      </c>
      <c r="Z184" s="64">
        <f t="shared" si="48"/>
        <v>7.5200000000000003E-2</v>
      </c>
      <c r="AA184" s="64">
        <f t="shared" si="49"/>
        <v>5.7895000000000003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50"/>
        <v>1826-22</v>
      </c>
      <c r="AE184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84" s="84" t="str">
        <f t="shared" si="52"/>
        <v>"C:\Program Files (x86)\AstroGrep\AstroGrep.exe" /spath="%USERPROFILE%\AppData\Local\Temp\OnboardLogs" /stypes="app*4032*20170123*" /stext=" 01:.+((SYSTEM_STATE.+slice.+state.+changed )|(ment ac)|(multiple cpu faults)|(system.+state.+changed )|(\[timeout)|(PRM\|1\|D)|(kpr)|(kdp)|(\|lc)|(penalty))" /e /r /s</v>
      </c>
      <c r="AG184" s="1" t="str">
        <f t="shared" si="53"/>
        <v>NW</v>
      </c>
      <c r="AH184" s="88" t="str">
        <f t="shared" si="54"/>
        <v>"%USERPROFILE%\Documents\GitHub\eaglep3\Utilities\RefineRTDCRunTimes.py" --tripid 1826-22 --locoid 4032 --swversion DE.1.0.8.0 --startMP 300:58647 --initTime 2017-01-22T18:37:11 --startdatetime 2017-01-22T18:39:02 --delay 1 --endMP 204:752 --enddatetime 2017-01-22T18:58:28 --enforcementcount 1 &gt;&gt;C:\Users\stu\Documents\GitHub\eaglep3-reporting\EC\2017-01-22-refined-times.txt</v>
      </c>
      <c r="AI184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{"issue":{"subject":"","project_id":79,"tracker_id":40,"status_id":1,"priority_id":2,"assigned_to_id":23,"start_date":"2017-01-22","description":"","custom_fields":[{"id":1,"name":"Subdivision","value":"NW"},{"id":4,"name":"Milepost","value":"0.0752"},{"id":17,"name":"Train ID","value":"1826-22"},{"id":16,"name":"Locomotive ID","value":"4032"},{"id":130,"name":"Impact","value":""},{"id":150,"name":"Time of Event (Mountain Time)","value":"18:58:28"},{"id":151,"name":"Denver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56"/>
        <v>start /low /b %USERPROFILE%\Documents\GitHub\eaglep3\Utilities\DownloadLogsFromS3.py --loco 4032 --day 2017-01-22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"%USERPROFILE%\AppData\Local\Temp\OnboardLogs"\RTDC4032\*4032*20170123* | grep -SE "(Enforcement Action)|(\[TIMEOUT)|(CHR.+\|PRM\|1\|D.+(SWITCH|SIGNAL).+UNKNOWN)" - &gt;&gt; 2017-01-22-UncaughtWiMAX.txt</v>
      </c>
    </row>
    <row r="185" spans="1:91" x14ac:dyDescent="0.25">
      <c r="A185" s="34" t="s">
        <v>623</v>
      </c>
      <c r="B185" s="7">
        <v>4031</v>
      </c>
      <c r="C185" s="22" t="s">
        <v>196</v>
      </c>
      <c r="D185" s="22" t="s">
        <v>744</v>
      </c>
      <c r="E185" s="13">
        <v>42757.802685185183</v>
      </c>
      <c r="F185" s="13">
        <v>42757.806585648148</v>
      </c>
      <c r="G185" s="7">
        <v>1</v>
      </c>
      <c r="H185" s="22" t="s">
        <v>299</v>
      </c>
      <c r="I185" s="13">
        <v>42757.816782407404</v>
      </c>
      <c r="J185" s="7">
        <v>1</v>
      </c>
      <c r="K185" s="105" t="str">
        <f t="shared" si="39"/>
        <v>4031/4032</v>
      </c>
      <c r="L185" s="22" t="str">
        <f>VLOOKUP(A185,'Trips&amp;Operators'!$C$1:$G$99999,5,FALSE)</f>
        <v>HELVIE ADAM</v>
      </c>
      <c r="M185" s="6">
        <f t="shared" si="40"/>
        <v>1.0196759256359655E-2</v>
      </c>
      <c r="N185" s="7">
        <f t="shared" si="41"/>
        <v>14.683333329157904</v>
      </c>
      <c r="O185" s="7"/>
      <c r="P185" s="7"/>
      <c r="Q185" s="23"/>
      <c r="R185" s="23"/>
      <c r="S185" s="32">
        <f t="shared" si="42"/>
        <v>1</v>
      </c>
      <c r="T185" s="47" t="str">
        <f t="shared" si="43"/>
        <v>NorthBound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44"/>
        <v>https://d0f6bd738d7f1b3e5a7ca70fe4ff75f0.us-east-1.aws.found.io/app/kibana#/discover/Steve-Slow-Train-Analysis-(2080s-and-2083s)?_g=(refreshInterval:(display:Off,pause:!f,section:0,value:0),time:(from:'2017-01-22T18:15:52-0700',mode:absolute,to:'2017-01-22T20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49" t="str">
        <f t="shared" si="45"/>
        <v>N</v>
      </c>
      <c r="X185" s="170">
        <f t="shared" si="46"/>
        <v>1</v>
      </c>
      <c r="Y185" s="64">
        <f t="shared" si="47"/>
        <v>0.1023</v>
      </c>
      <c r="Z185" s="64">
        <f t="shared" si="48"/>
        <v>5.8944000000000001</v>
      </c>
      <c r="AA185" s="64">
        <f t="shared" si="49"/>
        <v>5.7921000000000005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50"/>
        <v>1827-22</v>
      </c>
      <c r="AE185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85" s="84" t="str">
        <f t="shared" si="52"/>
        <v>"C:\Program Files (x86)\AstroGrep\AstroGrep.exe" /spath="%USERPROFILE%\AppData\Local\Temp\OnboardLogs" /stypes="app*4031*20170123*" /stext=" 02:.+((SYSTEM_STATE.+slice.+state.+changed )|(ment ac)|(multiple cpu faults)|(system.+state.+changed )|(\[timeout)|(PRM\|1\|D)|(kpr)|(kdp)|(\|lc)|(penalty))" /e /r /s</v>
      </c>
      <c r="AG185" s="1" t="str">
        <f t="shared" si="53"/>
        <v>NW</v>
      </c>
      <c r="AH185" s="88" t="str">
        <f t="shared" si="54"/>
        <v>"%USERPROFILE%\Documents\GitHub\eaglep3\Utilities\RefineRTDCRunTimes.py" --tripid 1827-22 --locoid 4031 --swversion DE.1.0.8.0 --startMP 204:1023 --initTime 2017-01-22T19:15:52 --startdatetime 2017-01-22T19:21:29 --delay 1 --endMP 300:58944 --enddatetime 2017-01-22T19:36:10 --enforcementcount 1 &gt;&gt;C:\Users\stu\Documents\GitHub\eaglep3-reporting\EC\2017-01-22-refined-times.txt</v>
      </c>
      <c r="AI185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{"issue":{"subject":"","project_id":79,"tracker_id":40,"status_id":1,"priority_id":2,"assigned_to_id":23,"start_date":"2017-01-22","description":"","custom_fields":[{"id":1,"name":"Subdivision","value":"NW"},{"id":4,"name":"Milepost","value":"5.8944"},{"id":17,"name":"Train ID","value":"1827-22"},{"id":16,"name":"Locomotive ID","value":"4031"},{"id":130,"name":"Impact","value":""},{"id":150,"name":"Time of Event (Mountain Time)","value":"19:36:10"},{"id":151,"name":"Denver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56"/>
        <v>start /low /b %USERPROFILE%\Documents\GitHub\eaglep3\Utilities\DownloadLogsFromS3.py --loco 4031 --day 2017-01-22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"%USERPROFILE%\AppData\Local\Temp\OnboardLogs"\RTDC4031\*4031*20170123* | grep -SE "(Enforcement Action)|(\[TIMEOUT)|(CHR.+\|PRM\|1\|D.+(SWITCH|SIGNAL).+UNKNOWN)" - &gt;&gt; 2017-01-22-UncaughtWiMAX.txt</v>
      </c>
    </row>
    <row r="186" spans="1:91" x14ac:dyDescent="0.25">
      <c r="A186" s="34" t="s">
        <v>625</v>
      </c>
      <c r="B186" s="7">
        <v>4032</v>
      </c>
      <c r="C186" s="22" t="s">
        <v>196</v>
      </c>
      <c r="D186" s="22" t="s">
        <v>740</v>
      </c>
      <c r="E186" s="13">
        <v>42757.817650462966</v>
      </c>
      <c r="F186" s="13">
        <v>42757.81894675926</v>
      </c>
      <c r="G186" s="7">
        <v>0</v>
      </c>
      <c r="H186" s="22" t="s">
        <v>328</v>
      </c>
      <c r="I186" s="13">
        <v>42757.83011574074</v>
      </c>
      <c r="J186" s="7">
        <v>1</v>
      </c>
      <c r="K186" s="105" t="str">
        <f t="shared" si="39"/>
        <v>4031/4032</v>
      </c>
      <c r="L186" s="22" t="str">
        <f>VLOOKUP(A186,'Trips&amp;Operators'!$C$1:$G$99999,5,FALSE)</f>
        <v>HELVIE ADAM</v>
      </c>
      <c r="M186" s="6">
        <f t="shared" si="40"/>
        <v>1.116898148029577E-2</v>
      </c>
      <c r="N186" s="7">
        <f t="shared" si="41"/>
        <v>16.083333331625909</v>
      </c>
      <c r="O186" s="7"/>
      <c r="P186" s="7"/>
      <c r="Q186" s="23"/>
      <c r="R186" s="23"/>
      <c r="S186" s="32">
        <f t="shared" si="42"/>
        <v>1</v>
      </c>
      <c r="T186" s="47" t="str">
        <f t="shared" si="43"/>
        <v>Southbound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44"/>
        <v>https://d0f6bd738d7f1b3e5a7ca70fe4ff75f0.us-east-1.aws.found.io/app/kibana#/discover/Steve-Slow-Train-Analysis-(2080s-and-2083s)?_g=(refreshInterval:(display:Off,pause:!f,section:0,value:0),time:(from:'2017-01-22T18:37:25-0700',mode:absolute,to:'2017-01-22T20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6" s="49" t="str">
        <f t="shared" si="45"/>
        <v>N</v>
      </c>
      <c r="X186" s="170">
        <f t="shared" si="46"/>
        <v>1</v>
      </c>
      <c r="Y186" s="64">
        <f t="shared" si="47"/>
        <v>5.8624000000000001</v>
      </c>
      <c r="Z186" s="64">
        <f t="shared" si="48"/>
        <v>7.5399999999999995E-2</v>
      </c>
      <c r="AA186" s="64">
        <f t="shared" si="49"/>
        <v>5.7869999999999999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50"/>
        <v>1828-22</v>
      </c>
      <c r="AE186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86" s="84" t="str">
        <f t="shared" si="52"/>
        <v>"C:\Program Files (x86)\AstroGrep\AstroGrep.exe" /spath="%USERPROFILE%\AppData\Local\Temp\OnboardLogs" /stypes="app*4032*20170123*" /stext=" 02:.+((SYSTEM_STATE.+slice.+state.+changed )|(ment ac)|(multiple cpu faults)|(system.+state.+changed )|(\[timeout)|(PRM\|1\|D)|(kpr)|(kdp)|(\|lc)|(penalty))" /e /r /s</v>
      </c>
      <c r="AG186" s="1" t="str">
        <f t="shared" si="53"/>
        <v>NW</v>
      </c>
      <c r="AH186" s="88" t="str">
        <f t="shared" si="54"/>
        <v>"%USERPROFILE%\Documents\GitHub\eaglep3\Utilities\RefineRTDCRunTimes.py" --tripid 1828-22 --locoid 4032 --swversion DE.1.0.8.0 --startMP 300:58624 --initTime 2017-01-22T19:37:25 --startdatetime 2017-01-22T19:39:17 --delay 0 --endMP 204:754 --enddatetime 2017-01-22T19:55:22 --enforcementcount 1 &gt;&gt;C:\Users\stu\Documents\GitHub\eaglep3-reporting\EC\2017-01-22-refined-times.txt</v>
      </c>
      <c r="AI186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{"issue":{"subject":"","project_id":79,"tracker_id":40,"status_id":1,"priority_id":2,"assigned_to_id":23,"start_date":"2017-01-22","description":"","custom_fields":[{"id":1,"name":"Subdivision","value":"NW"},{"id":4,"name":"Milepost","value":"0.0754"},{"id":17,"name":"Train ID","value":"1828-22"},{"id":16,"name":"Locomotive ID","value":"4032"},{"id":130,"name":"Impact","value":""},{"id":150,"name":"Time of Event (Mountain Time)","value":"19:55:22"},{"id":151,"name":"Denver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56"/>
        <v>start /low /b %USERPROFILE%\Documents\GitHub\eaglep3\Utilities\DownloadLogsFromS3.py --loco 4032 --day 2017-01-22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"%USERPROFILE%\AppData\Local\Temp\OnboardLogs"\RTDC4032\*4032*20170123* | grep -SE "(Enforcement Action)|(\[TIMEOUT)|(CHR.+\|PRM\|1\|D.+(SWITCH|SIGNAL).+UNKNOWN)" - &gt;&gt; 2017-01-22-UncaughtWiMAX.txt</v>
      </c>
    </row>
    <row r="187" spans="1:91" x14ac:dyDescent="0.25">
      <c r="A187" s="34" t="s">
        <v>631</v>
      </c>
      <c r="B187" s="7">
        <v>4031</v>
      </c>
      <c r="C187" s="22" t="s">
        <v>196</v>
      </c>
      <c r="D187" s="22" t="s">
        <v>745</v>
      </c>
      <c r="E187" s="13">
        <v>42757.846805555557</v>
      </c>
      <c r="F187" s="13">
        <v>42757.848194444443</v>
      </c>
      <c r="G187" s="7">
        <v>0</v>
      </c>
      <c r="H187" s="22" t="s">
        <v>336</v>
      </c>
      <c r="I187" s="13">
        <v>42757.858229166668</v>
      </c>
      <c r="J187" s="7">
        <v>1</v>
      </c>
      <c r="K187" s="105" t="str">
        <f t="shared" si="39"/>
        <v>4031/4032</v>
      </c>
      <c r="L187" s="22" t="str">
        <f>VLOOKUP(A187,'Trips&amp;Operators'!$C$1:$G$99999,5,FALSE)</f>
        <v>HELVIE ADAM</v>
      </c>
      <c r="M187" s="6">
        <f t="shared" si="40"/>
        <v>1.0034722225100268E-2</v>
      </c>
      <c r="N187" s="7">
        <f t="shared" si="41"/>
        <v>14.450000004144385</v>
      </c>
      <c r="O187" s="7"/>
      <c r="P187" s="7"/>
      <c r="Q187" s="23"/>
      <c r="R187" s="23"/>
      <c r="S187" s="32">
        <f t="shared" si="42"/>
        <v>1</v>
      </c>
      <c r="T187" s="47" t="str">
        <f t="shared" si="43"/>
        <v>NorthBound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44"/>
        <v>https://d0f6bd738d7f1b3e5a7ca70fe4ff75f0.us-east-1.aws.found.io/app/kibana#/discover/Steve-Slow-Train-Analysis-(2080s-and-2083s)?_g=(refreshInterval:(display:Off,pause:!f,section:0,value:0),time:(from:'2017-01-22T19:19:24-0700',mode:absolute,to:'2017-01-22T21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7" s="49" t="str">
        <f t="shared" si="45"/>
        <v>N</v>
      </c>
      <c r="X187" s="170">
        <f t="shared" si="46"/>
        <v>1</v>
      </c>
      <c r="Y187" s="64">
        <f t="shared" si="47"/>
        <v>0.1051</v>
      </c>
      <c r="Z187" s="64">
        <f t="shared" si="48"/>
        <v>5.8940999999999999</v>
      </c>
      <c r="AA187" s="64">
        <f t="shared" si="49"/>
        <v>5.7889999999999997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50"/>
        <v>1829-22</v>
      </c>
      <c r="AE187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87" s="84" t="str">
        <f t="shared" si="52"/>
        <v>"C:\Program Files (x86)\AstroGrep\AstroGrep.exe" /spath="%USERPROFILE%\AppData\Local\Temp\OnboardLogs" /stypes="app*4031*20170123*" /stext=" 03:.+((SYSTEM_STATE.+slice.+state.+changed )|(ment ac)|(multiple cpu faults)|(system.+state.+changed )|(\[timeout)|(PRM\|1\|D)|(kpr)|(kdp)|(\|lc)|(penalty))" /e /r /s</v>
      </c>
      <c r="AG187" s="1" t="str">
        <f t="shared" si="53"/>
        <v>NW</v>
      </c>
      <c r="AH187" s="88" t="str">
        <f t="shared" si="54"/>
        <v>"%USERPROFILE%\Documents\GitHub\eaglep3\Utilities\RefineRTDCRunTimes.py" --tripid 1829-22 --locoid 4031 --swversion DE.1.0.8.0 --startMP 204:1051 --initTime 2017-01-22T20:19:24 --startdatetime 2017-01-22T20:21:24 --delay 0 --endMP 300:58941 --enddatetime 2017-01-22T20:35:51 --enforcementcount 1 &gt;&gt;C:\Users\stu\Documents\GitHub\eaglep3-reporting\EC\2017-01-22-refined-times.txt</v>
      </c>
      <c r="AI187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{"issue":{"subject":"","project_id":79,"tracker_id":40,"status_id":1,"priority_id":2,"assigned_to_id":23,"start_date":"2017-01-22","description":"","custom_fields":[{"id":1,"name":"Subdivision","value":"NW"},{"id":4,"name":"Milepost","value":"5.8941"},{"id":17,"name":"Train ID","value":"1829-22"},{"id":16,"name":"Locomotive ID","value":"4031"},{"id":130,"name":"Impact","value":""},{"id":150,"name":"Time of Event (Mountain Time)","value":"20:35:51"},{"id":151,"name":"Denver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56"/>
        <v>start /low /b %USERPROFILE%\Documents\GitHub\eaglep3\Utilities\DownloadLogsFromS3.py --loco 4031 --day 2017-01-22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"%USERPROFILE%\AppData\Local\Temp\OnboardLogs"\RTDC4031\*4031*20170123* | grep -SE "(Enforcement Action)|(\[TIMEOUT)|(CHR.+\|PRM\|1\|D.+(SWITCH|SIGNAL).+UNKNOWN)" - &gt;&gt; 2017-01-22-UncaughtWiMAX.txt</v>
      </c>
    </row>
    <row r="188" spans="1:91" s="21" customFormat="1" x14ac:dyDescent="0.25">
      <c r="A188" s="34" t="s">
        <v>632</v>
      </c>
      <c r="B188" s="7">
        <v>4032</v>
      </c>
      <c r="C188" s="22" t="s">
        <v>196</v>
      </c>
      <c r="D188" s="22" t="s">
        <v>720</v>
      </c>
      <c r="E188" s="13">
        <v>42757.859826388885</v>
      </c>
      <c r="F188" s="13">
        <v>42757.86109953704</v>
      </c>
      <c r="G188" s="7">
        <v>1</v>
      </c>
      <c r="H188" s="22" t="s">
        <v>719</v>
      </c>
      <c r="I188" s="13">
        <v>42757.871817129628</v>
      </c>
      <c r="J188" s="7">
        <v>1</v>
      </c>
      <c r="K188" s="105" t="str">
        <f t="shared" si="39"/>
        <v>4031/4032</v>
      </c>
      <c r="L188" s="22" t="str">
        <f>VLOOKUP(A188,'Trips&amp;Operators'!$C$1:$G$99999,5,FALSE)</f>
        <v>HELVIE ADAM</v>
      </c>
      <c r="M188" s="6">
        <f t="shared" si="40"/>
        <v>1.0717592587752733E-2</v>
      </c>
      <c r="N188" s="7">
        <f t="shared" si="41"/>
        <v>15.433333326363936</v>
      </c>
      <c r="O188" s="7"/>
      <c r="P188" s="7"/>
      <c r="Q188" s="23"/>
      <c r="R188" s="23"/>
      <c r="S188" s="32">
        <f t="shared" si="42"/>
        <v>1</v>
      </c>
      <c r="T188" s="47" t="str">
        <f t="shared" si="43"/>
        <v>Southbound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44"/>
        <v>https://d0f6bd738d7f1b3e5a7ca70fe4ff75f0.us-east-1.aws.found.io/app/kibana#/discover/Steve-Slow-Train-Analysis-(2080s-and-2083s)?_g=(refreshInterval:(display:Off,pause:!f,section:0,value:0),time:(from:'2017-01-22T19:38:09-0700',mode:absolute,to:'2017-01-22T21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8" s="49" t="str">
        <f t="shared" si="45"/>
        <v>N</v>
      </c>
      <c r="X188" s="170">
        <f t="shared" si="46"/>
        <v>1</v>
      </c>
      <c r="Y188" s="64">
        <f t="shared" si="47"/>
        <v>5.8630000000000004</v>
      </c>
      <c r="Z188" s="64">
        <f t="shared" si="48"/>
        <v>7.5499999999999998E-2</v>
      </c>
      <c r="AA188" s="64">
        <f t="shared" si="49"/>
        <v>5.7875000000000005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50"/>
        <v>1830-22</v>
      </c>
      <c r="AE188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88" s="84" t="str">
        <f t="shared" si="52"/>
        <v>"C:\Program Files (x86)\AstroGrep\AstroGrep.exe" /spath="%USERPROFILE%\AppData\Local\Temp\OnboardLogs" /stypes="app*4032*20170123*" /stext=" 03:.+((SYSTEM_STATE.+slice.+state.+changed )|(ment ac)|(multiple cpu faults)|(system.+state.+changed )|(\[timeout)|(PRM\|1\|D)|(kpr)|(kdp)|(\|lc)|(penalty))" /e /r /s</v>
      </c>
      <c r="AG188" s="1" t="str">
        <f t="shared" si="53"/>
        <v>NW</v>
      </c>
      <c r="AH188" s="88" t="str">
        <f t="shared" si="54"/>
        <v>"%USERPROFILE%\Documents\GitHub\eaglep3\Utilities\RefineRTDCRunTimes.py" --tripid 1830-22 --locoid 4032 --swversion DE.1.0.8.0 --startMP 300:58630 --initTime 2017-01-22T20:38:09 --startdatetime 2017-01-22T20:39:59 --delay 1 --endMP 204:755 --enddatetime 2017-01-22T20:55:25 --enforcementcount 1 &gt;&gt;C:\Users\stu\Documents\GitHub\eaglep3-reporting\EC\2017-01-22-refined-times.txt</v>
      </c>
      <c r="AI188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{"issue":{"subject":"","project_id":79,"tracker_id":40,"status_id":1,"priority_id":2,"assigned_to_id":23,"start_date":"2017-01-22","description":"","custom_fields":[{"id":1,"name":"Subdivision","value":"NW"},{"id":4,"name":"Milepost","value":"0.0755"},{"id":17,"name":"Train ID","value":"1830-22"},{"id":16,"name":"Locomotive ID","value":"4032"},{"id":130,"name":"Impact","value":""},{"id":150,"name":"Time of Event (Mountain Time)","value":"20:55:25"},{"id":151,"name":"Denver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56"/>
        <v>start /low /b %USERPROFILE%\Documents\GitHub\eaglep3\Utilities\DownloadLogsFromS3.py --loco 4032 --day 2017-01-22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"%USERPROFILE%\AppData\Local\Temp\OnboardLogs"\RTDC4032\*4032*20170123* | grep -SE "(Enforcement Action)|(\[TIMEOUT)|(CHR.+\|PRM\|1\|D.+(SWITCH|SIGNAL).+UNKNOWN)" - &gt;&gt; 2017-01-22-UncaughtWiMAX.txt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4" t="s">
        <v>636</v>
      </c>
      <c r="B189" s="7">
        <v>4031</v>
      </c>
      <c r="C189" s="22" t="s">
        <v>196</v>
      </c>
      <c r="D189" s="22" t="s">
        <v>746</v>
      </c>
      <c r="E189" s="13">
        <v>42757.887060185189</v>
      </c>
      <c r="F189" s="13">
        <v>42757.889791666668</v>
      </c>
      <c r="G189" s="7">
        <v>1</v>
      </c>
      <c r="H189" s="22" t="s">
        <v>742</v>
      </c>
      <c r="I189" s="13">
        <v>42757.900011574071</v>
      </c>
      <c r="J189" s="7">
        <v>1</v>
      </c>
      <c r="K189" s="105" t="str">
        <f t="shared" si="39"/>
        <v>4031/4032</v>
      </c>
      <c r="L189" s="22" t="str">
        <f>VLOOKUP(A189,'Trips&amp;Operators'!$C$1:$G$99999,5,FALSE)</f>
        <v>HELVIE ADAM</v>
      </c>
      <c r="M189" s="6">
        <f t="shared" si="40"/>
        <v>1.0219907402643003E-2</v>
      </c>
      <c r="N189" s="7">
        <f t="shared" si="41"/>
        <v>14.716666659805924</v>
      </c>
      <c r="O189" s="7"/>
      <c r="P189" s="7"/>
      <c r="Q189" s="23"/>
      <c r="R189" s="23"/>
      <c r="S189" s="32">
        <f t="shared" si="42"/>
        <v>1</v>
      </c>
      <c r="T189" s="47" t="str">
        <f t="shared" si="43"/>
        <v>NorthBound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44"/>
        <v>https://d0f6bd738d7f1b3e5a7ca70fe4ff75f0.us-east-1.aws.found.io/app/kibana#/discover/Steve-Slow-Train-Analysis-(2080s-and-2083s)?_g=(refreshInterval:(display:Off,pause:!f,section:0,value:0),time:(from:'2017-01-22T20:17:22-0700',mode:absolute,to:'2017-01-22T22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49" t="str">
        <f t="shared" si="45"/>
        <v>N</v>
      </c>
      <c r="X189" s="170">
        <f t="shared" si="46"/>
        <v>1</v>
      </c>
      <c r="Y189" s="64">
        <f t="shared" si="47"/>
        <v>0.1048</v>
      </c>
      <c r="Z189" s="64">
        <f t="shared" si="48"/>
        <v>5.8945999999999996</v>
      </c>
      <c r="AA189" s="64">
        <f t="shared" si="49"/>
        <v>5.7897999999999996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50"/>
        <v>1831-22</v>
      </c>
      <c r="AE189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89" s="84" t="str">
        <f t="shared" si="52"/>
        <v>"C:\Program Files (x86)\AstroGrep\AstroGrep.exe" /spath="%USERPROFILE%\AppData\Local\Temp\OnboardLogs" /stypes="app*4031*20170123*" /stext=" 04:.+((SYSTEM_STATE.+slice.+state.+changed )|(ment ac)|(multiple cpu faults)|(system.+state.+changed )|(\[timeout)|(PRM\|1\|D)|(kpr)|(kdp)|(\|lc)|(penalty))" /e /r /s</v>
      </c>
      <c r="AG189" s="1" t="str">
        <f t="shared" si="53"/>
        <v>NW</v>
      </c>
      <c r="AH189" s="88" t="str">
        <f t="shared" si="54"/>
        <v>"%USERPROFILE%\Documents\GitHub\eaglep3\Utilities\RefineRTDCRunTimes.py" --tripid 1831-22 --locoid 4031 --swversion DE.1.0.8.0 --startMP 204:1048 --initTime 2017-01-22T21:17:22 --startdatetime 2017-01-22T21:21:18 --delay 1 --endMP 300:58946 --enddatetime 2017-01-22T21:36:01 --enforcementcount 1 &gt;&gt;C:\Users\stu\Documents\GitHub\eaglep3-reporting\EC\2017-01-22-refined-times.txt</v>
      </c>
      <c r="AI189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{"issue":{"subject":"","project_id":79,"tracker_id":40,"status_id":1,"priority_id":2,"assigned_to_id":23,"start_date":"2017-01-22","description":"","custom_fields":[{"id":1,"name":"Subdivision","value":"NW"},{"id":4,"name":"Milepost","value":"5.8946"},{"id":17,"name":"Train ID","value":"1831-22"},{"id":16,"name":"Locomotive ID","value":"4031"},{"id":130,"name":"Impact","value":""},{"id":150,"name":"Time of Event (Mountain Time)","value":"21:36:01"},{"id":151,"name":"Denver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56"/>
        <v>start /low /b %USERPROFILE%\Documents\GitHub\eaglep3\Utilities\DownloadLogsFromS3.py --loco 4031 --day 2017-01-22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"%USERPROFILE%\AppData\Local\Temp\OnboardLogs"\RTDC4031\*4031*20170123* | grep -SE "(Enforcement Action)|(\[TIMEOUT)|(CHR.+\|PRM\|1\|D.+(SWITCH|SIGNAL).+UNKNOWN)" - &gt;&gt; 2017-01-22-UncaughtWiMAX.txt</v>
      </c>
    </row>
    <row r="190" spans="1:91" x14ac:dyDescent="0.25">
      <c r="A190" s="34" t="s">
        <v>638</v>
      </c>
      <c r="B190" s="7">
        <v>4032</v>
      </c>
      <c r="C190" s="22" t="s">
        <v>196</v>
      </c>
      <c r="D190" s="22" t="s">
        <v>738</v>
      </c>
      <c r="E190" s="13">
        <v>42757.901655092595</v>
      </c>
      <c r="F190" s="13">
        <v>42757.902951388889</v>
      </c>
      <c r="G190" s="7">
        <v>1</v>
      </c>
      <c r="H190" s="22" t="s">
        <v>721</v>
      </c>
      <c r="I190" s="13">
        <v>42757.913645833331</v>
      </c>
      <c r="J190" s="7">
        <v>1</v>
      </c>
      <c r="K190" s="105" t="str">
        <f t="shared" si="39"/>
        <v>4031/4032</v>
      </c>
      <c r="L190" s="22" t="str">
        <f>VLOOKUP(A190,'Trips&amp;Operators'!$C$1:$G$99999,5,FALSE)</f>
        <v>HELVIE ADAM</v>
      </c>
      <c r="M190" s="6">
        <f t="shared" si="40"/>
        <v>1.0694444441469386E-2</v>
      </c>
      <c r="N190" s="7">
        <f t="shared" si="41"/>
        <v>15.399999995715916</v>
      </c>
      <c r="O190" s="7"/>
      <c r="P190" s="7"/>
      <c r="Q190" s="23"/>
      <c r="R190" s="23"/>
      <c r="S190" s="32">
        <f t="shared" si="42"/>
        <v>1</v>
      </c>
      <c r="T190" s="47" t="str">
        <f t="shared" si="43"/>
        <v>Southbound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44"/>
        <v>https://d0f6bd738d7f1b3e5a7ca70fe4ff75f0.us-east-1.aws.found.io/app/kibana#/discover/Steve-Slow-Train-Analysis-(2080s-and-2083s)?_g=(refreshInterval:(display:Off,pause:!f,section:0,value:0),time:(from:'2017-01-22T20:38:23-0700',mode:absolute,to:'2017-01-22T22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0" s="49" t="str">
        <f t="shared" si="45"/>
        <v>N</v>
      </c>
      <c r="X190" s="170">
        <f t="shared" si="46"/>
        <v>1</v>
      </c>
      <c r="Y190" s="64">
        <f t="shared" si="47"/>
        <v>5.8638000000000003</v>
      </c>
      <c r="Z190" s="64">
        <f t="shared" si="48"/>
        <v>7.3800000000000004E-2</v>
      </c>
      <c r="AA190" s="64">
        <f t="shared" si="49"/>
        <v>5.79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50"/>
        <v>1832-22</v>
      </c>
      <c r="AE190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90" s="84" t="str">
        <f t="shared" si="52"/>
        <v>"C:\Program Files (x86)\AstroGrep\AstroGrep.exe" /spath="%USERPROFILE%\AppData\Local\Temp\OnboardLogs" /stypes="app*4032*20170123*" /stext=" 04:.+((SYSTEM_STATE.+slice.+state.+changed )|(ment ac)|(multiple cpu faults)|(system.+state.+changed )|(\[timeout)|(PRM\|1\|D)|(kpr)|(kdp)|(\|lc)|(penalty))" /e /r /s</v>
      </c>
      <c r="AG190" s="1" t="str">
        <f t="shared" si="53"/>
        <v>NW</v>
      </c>
      <c r="AH190" s="88" t="str">
        <f t="shared" si="54"/>
        <v>"%USERPROFILE%\Documents\GitHub\eaglep3\Utilities\RefineRTDCRunTimes.py" --tripid 1832-22 --locoid 4032 --swversion DE.1.0.8.0 --startMP 300:58638 --initTime 2017-01-22T21:38:23 --startdatetime 2017-01-22T21:40:15 --delay 1 --endMP 204:738 --enddatetime 2017-01-22T21:55:39 --enforcementcount 1 &gt;&gt;C:\Users\stu\Documents\GitHub\eaglep3-reporting\EC\2017-01-22-refined-times.txt</v>
      </c>
      <c r="AI190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{"issue":{"subject":"","project_id":79,"tracker_id":40,"status_id":1,"priority_id":2,"assigned_to_id":23,"start_date":"2017-01-22","description":"","custom_fields":[{"id":1,"name":"Subdivision","value":"NW"},{"id":4,"name":"Milepost","value":"0.0738"},{"id":17,"name":"Train ID","value":"1832-22"},{"id":16,"name":"Locomotive ID","value":"4032"},{"id":130,"name":"Impact","value":""},{"id":150,"name":"Time of Event (Mountain Time)","value":"21:55:39"},{"id":151,"name":"Denver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56"/>
        <v>start /low /b %USERPROFILE%\Documents\GitHub\eaglep3\Utilities\DownloadLogsFromS3.py --loco 4032 --day 2017-01-22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"%USERPROFILE%\AppData\Local\Temp\OnboardLogs"\RTDC4032\*4032*20170123* | grep -SE "(Enforcement Action)|(\[TIMEOUT)|(CHR.+\|PRM\|1\|D.+(SWITCH|SIGNAL).+UNKNOWN)" - &gt;&gt; 2017-01-22-UncaughtWiMAX.txt</v>
      </c>
    </row>
    <row r="191" spans="1:91" x14ac:dyDescent="0.25">
      <c r="A191" s="34" t="s">
        <v>642</v>
      </c>
      <c r="B191" s="7">
        <v>4031</v>
      </c>
      <c r="C191" s="22" t="s">
        <v>196</v>
      </c>
      <c r="D191" s="22" t="s">
        <v>747</v>
      </c>
      <c r="E191" s="13">
        <v>42757.928946759261</v>
      </c>
      <c r="F191" s="13">
        <v>42757.931423611109</v>
      </c>
      <c r="G191" s="7">
        <v>1</v>
      </c>
      <c r="H191" s="22" t="s">
        <v>748</v>
      </c>
      <c r="I191" s="13">
        <v>42757.941099537034</v>
      </c>
      <c r="J191" s="7">
        <v>1</v>
      </c>
      <c r="K191" s="105" t="str">
        <f t="shared" si="39"/>
        <v>4031/4032</v>
      </c>
      <c r="L191" s="22" t="str">
        <f>VLOOKUP(A191,'Trips&amp;Operators'!$C$1:$G$99999,5,FALSE)</f>
        <v>HELVIE ADAM</v>
      </c>
      <c r="M191" s="6">
        <f t="shared" si="40"/>
        <v>9.6759259249665774E-3</v>
      </c>
      <c r="N191" s="7">
        <f t="shared" si="41"/>
        <v>13.933333331951872</v>
      </c>
      <c r="O191" s="7"/>
      <c r="P191" s="7"/>
      <c r="Q191" s="23"/>
      <c r="R191" s="23"/>
      <c r="S191" s="32">
        <f t="shared" si="42"/>
        <v>1</v>
      </c>
      <c r="T191" s="47" t="str">
        <f t="shared" si="43"/>
        <v>NorthBound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44"/>
        <v>https://d0f6bd738d7f1b3e5a7ca70fe4ff75f0.us-east-1.aws.found.io/app/kibana#/discover/Steve-Slow-Train-Analysis-(2080s-and-2083s)?_g=(refreshInterval:(display:Off,pause:!f,section:0,value:0),time:(from:'2017-01-22T21:17:41-0700',mode:absolute,to:'2017-01-22T23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1" s="49" t="str">
        <f t="shared" si="45"/>
        <v>N</v>
      </c>
      <c r="X191" s="170">
        <f t="shared" si="46"/>
        <v>1</v>
      </c>
      <c r="Y191" s="64">
        <f t="shared" si="47"/>
        <v>0.1055</v>
      </c>
      <c r="Z191" s="64">
        <f t="shared" si="48"/>
        <v>5.8952</v>
      </c>
      <c r="AA191" s="64">
        <f t="shared" si="49"/>
        <v>5.7896999999999998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50"/>
        <v>1833-22</v>
      </c>
      <c r="AE191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91" s="84" t="str">
        <f t="shared" si="52"/>
        <v>"C:\Program Files (x86)\AstroGrep\AstroGrep.exe" /spath="%USERPROFILE%\AppData\Local\Temp\OnboardLogs" /stypes="app*4031*20170123*" /stext=" 05:.+((SYSTEM_STATE.+slice.+state.+changed )|(ment ac)|(multiple cpu faults)|(system.+state.+changed )|(\[timeout)|(PRM\|1\|D)|(kpr)|(kdp)|(\|lc)|(penalty))" /e /r /s</v>
      </c>
      <c r="AG191" s="1" t="str">
        <f t="shared" si="53"/>
        <v>NW</v>
      </c>
      <c r="AH191" s="88" t="str">
        <f t="shared" si="54"/>
        <v>"%USERPROFILE%\Documents\GitHub\eaglep3\Utilities\RefineRTDCRunTimes.py" --tripid 1833-22 --locoid 4031 --swversion DE.1.0.8.0 --startMP 204:1055 --initTime 2017-01-22T22:17:41 --startdatetime 2017-01-22T22:21:15 --delay 1 --endMP 300:58952 --enddatetime 2017-01-22T22:35:11 --enforcementcount 1 &gt;&gt;C:\Users\stu\Documents\GitHub\eaglep3-reporting\EC\2017-01-22-refined-times.txt</v>
      </c>
      <c r="AI191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{"issue":{"subject":"","project_id":79,"tracker_id":40,"status_id":1,"priority_id":2,"assigned_to_id":23,"start_date":"2017-01-22","description":"","custom_fields":[{"id":1,"name":"Subdivision","value":"NW"},{"id":4,"name":"Milepost","value":"5.8952"},{"id":17,"name":"Train ID","value":"1833-22"},{"id":16,"name":"Locomotive ID","value":"4031"},{"id":130,"name":"Impact","value":""},{"id":150,"name":"Time of Event (Mountain Time)","value":"22:35:11"},{"id":151,"name":"Denver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56"/>
        <v>start /low /b %USERPROFILE%\Documents\GitHub\eaglep3\Utilities\DownloadLogsFromS3.py --loco 4031 --day 2017-01-22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"%USERPROFILE%\AppData\Local\Temp\OnboardLogs"\RTDC4031\*4031*20170123* | grep -SE "(Enforcement Action)|(\[TIMEOUT)|(CHR.+\|PRM\|1\|D.+(SWITCH|SIGNAL).+UNKNOWN)" - &gt;&gt; 2017-01-22-UncaughtWiMAX.txt</v>
      </c>
    </row>
    <row r="192" spans="1:91" x14ac:dyDescent="0.25">
      <c r="A192" s="34" t="s">
        <v>454</v>
      </c>
      <c r="B192" s="7">
        <v>4045</v>
      </c>
      <c r="C192" s="22" t="s">
        <v>196</v>
      </c>
      <c r="D192" s="22" t="s">
        <v>770</v>
      </c>
      <c r="E192" s="13">
        <v>42757.115555555552</v>
      </c>
      <c r="F192" s="13">
        <v>42757.121342592596</v>
      </c>
      <c r="G192" s="7">
        <v>7</v>
      </c>
      <c r="H192" s="22" t="s">
        <v>186</v>
      </c>
      <c r="I192" s="13">
        <v>42757.127870370372</v>
      </c>
      <c r="J192" s="7">
        <v>1</v>
      </c>
      <c r="K192" s="105" t="str">
        <f t="shared" si="39"/>
        <v>4045/4046</v>
      </c>
      <c r="L192" s="22" t="str">
        <f>VLOOKUP(A192,'Trips&amp;Operators'!$C$1:$G$99999,5,FALSE)</f>
        <v>OUN ZACK</v>
      </c>
      <c r="M192" s="6">
        <f t="shared" si="40"/>
        <v>6.5277777757728472E-3</v>
      </c>
      <c r="N192" s="7">
        <f t="shared" si="41"/>
        <v>9.3999999971129</v>
      </c>
      <c r="O192" s="7"/>
      <c r="P192" s="7"/>
      <c r="Q192" s="23"/>
      <c r="R192" s="23"/>
      <c r="S192" s="32">
        <f t="shared" si="42"/>
        <v>1</v>
      </c>
      <c r="T192" s="47" t="str">
        <f t="shared" si="43"/>
        <v>Southbound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44"/>
        <v>https://d0f6bd738d7f1b3e5a7ca70fe4ff75f0.us-east-1.aws.found.io/app/kibana#/discover/Steve-Slow-Train-Analysis-(2080s-and-2083s)?_g=(refreshInterval:(display:Off,pause:!f,section:0,value:0),time:(from:'2017-01-22T01:46:24-0700',mode:absolute,to:'2017-01-22T04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2" s="49" t="str">
        <f t="shared" si="45"/>
        <v>Y</v>
      </c>
      <c r="X192" s="170">
        <f t="shared" si="46"/>
        <v>-1531</v>
      </c>
      <c r="Y192" s="64">
        <f t="shared" si="47"/>
        <v>2.3132999999999999</v>
      </c>
      <c r="Z192" s="64">
        <f t="shared" si="48"/>
        <v>1.49E-2</v>
      </c>
      <c r="AA192" s="64">
        <f t="shared" si="49"/>
        <v>2.2984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50"/>
        <v>0302-22</v>
      </c>
      <c r="AE192" s="87" t="str">
        <f t="shared" si="51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192" s="84" t="str">
        <f t="shared" si="52"/>
        <v>"C:\Program Files (x86)\AstroGrep\AstroGrep.exe" /spath="%USERPROFILE%\AppData\Local\Temp\OnboardLogs" /stypes="app*4045*20170122*" /stext=" 10:.+((SYSTEM_STATE.+slice.+state.+changed )|(ment ac)|(multiple cpu faults)|(system.+state.+changed )|(\[timeout)|(PRM\|1\|D)|(kpr)|(kdp)|(\|lc)|(penalty))" /e /r /s</v>
      </c>
      <c r="AG192" s="1" t="str">
        <f t="shared" si="53"/>
        <v>Other</v>
      </c>
      <c r="AH192" s="88" t="str">
        <f t="shared" si="54"/>
        <v>"%USERPROFILE%\Documents\GitHub\eaglep3\Utilities\RefineRTDCRunTimes.py" --tripid 302-22 --locoid 4045 --swversion DE.1.0.8.0 --startMP 300:23133 --initTime 2017-01-22T02:46:24 --startdatetime 2017-01-22T02:54:44 --delay 7 --endMP 204:149 --enddatetime 2017-01-22T03:04:08 --enforcementcount 1 &gt;&gt;C:\Users\stu\Documents\GitHub\eaglep3-reporting\EC\2017-01-22-refined-times.txt</v>
      </c>
      <c r="AI192" s="115" t="str">
        <f t="shared" si="55"/>
        <v>echo {"issue":{"subject":"","project_id":79,"tracker_id":40,"status_id":1,"priority_id":2,"assigned_to_id":23,"start_date":"2017-01-22","description":"","custom_fields":[{"id":1,"name":"Subdivision","value":"Other"},{"id":4,"name":"Milepost","value":"0.0149"},{"id":17,"name":"Train ID","value":"302-22"},{"id":16,"name":"Locomotive ID","value":"4045"},{"id":130,"name":"Impact","value":""},{"id":150,"name":"Time of Event (Mountain Time)","value":"03:04:08"},{"id":151,"name":"Denver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56"/>
        <v>start /low /b %USERPROFILE%\Documents\GitHub\eaglep3\Utilities\DownloadLogsFromS3.py --loco 4045 --day 2017-01-22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</row>
    <row r="193" spans="1:91" x14ac:dyDescent="0.25">
      <c r="A193" s="34" t="s">
        <v>617</v>
      </c>
      <c r="B193" s="7">
        <v>4022</v>
      </c>
      <c r="C193" s="22" t="s">
        <v>196</v>
      </c>
      <c r="D193" s="22" t="s">
        <v>244</v>
      </c>
      <c r="E193" s="13">
        <v>42757.777013888888</v>
      </c>
      <c r="F193" s="13">
        <v>25568.708333333332</v>
      </c>
      <c r="G193" s="7">
        <v>1</v>
      </c>
      <c r="H193" s="22" t="s">
        <v>275</v>
      </c>
      <c r="I193" s="13">
        <v>25568.708333333332</v>
      </c>
      <c r="J193" s="7">
        <v>1</v>
      </c>
      <c r="K193" s="105" t="str">
        <f t="shared" si="39"/>
        <v>4021/4022</v>
      </c>
      <c r="L193" s="22" t="str">
        <f>VLOOKUP(A193,'Trips&amp;Operators'!$C$1:$G$99999,5,FALSE)</f>
        <v>BRUDER RICHARD</v>
      </c>
      <c r="M193" s="6">
        <f t="shared" si="40"/>
        <v>0</v>
      </c>
      <c r="N193" s="7">
        <f t="shared" si="41"/>
        <v>0</v>
      </c>
      <c r="O193" s="7"/>
      <c r="P193" s="7"/>
      <c r="Q193" s="23"/>
      <c r="R193" s="23"/>
      <c r="S193" s="32">
        <f t="shared" si="42"/>
        <v>1</v>
      </c>
      <c r="T193" s="47" t="str">
        <f t="shared" si="43"/>
        <v>NorthBound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44"/>
        <v>https://d0f6bd738d7f1b3e5a7ca70fe4ff75f0.us-east-1.aws.found.io/app/kibana#/discover/Steve-Slow-Train-Analysis-(2080s-and-2083s)?_g=(refreshInterval:(display:Off,pause:!f,section:0,value:0),time:(from:'2017-01-22T17:38:54-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3" s="49" t="str">
        <f t="shared" si="45"/>
        <v>Y</v>
      </c>
      <c r="X193" s="170">
        <f t="shared" si="46"/>
        <v>1</v>
      </c>
      <c r="Y193" s="64">
        <f t="shared" si="47"/>
        <v>4.4200000000000003E-2</v>
      </c>
      <c r="Z193" s="64">
        <f t="shared" si="48"/>
        <v>2.3346</v>
      </c>
      <c r="AA193" s="64">
        <f t="shared" si="49"/>
        <v>2.2904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50"/>
        <v>0303-22</v>
      </c>
      <c r="AE193" s="87" t="str">
        <f t="shared" si="5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193" s="84" t="str">
        <f t="shared" si="52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193" s="1" t="str">
        <f t="shared" si="53"/>
        <v>Other</v>
      </c>
      <c r="AH193" s="88" t="str">
        <f t="shared" si="54"/>
        <v>"%USERPROFILE%\Documents\GitHub\eaglep3\Utilities\RefineRTDCRunTimes.py" --tripid 303-22 --locoid 4022 --swversion DE.1.0.8.0 --startMP 204:442 --initTime 2017-01-22T18:38:54 --startdatetime 1969-12-31T17:00:00 --delay 1 --endMP 300:23346 --enddatetime 1969-12-31T17:00:00 --enforcementcount 1 &gt;&gt;C:\Users\stu\Documents\GitHub\eaglep3-reporting\EC\2017-01-22-refined-times.txt</v>
      </c>
      <c r="AI193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ID","value":"303-22"},{"id":16,"name":"Locomotive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56"/>
        <v>start /low /b %USERPROFILE%\Documents\GitHub\eaglep3\Utilities\DownloadLogsFromS3.py --loco 4022 --day 1969-12-31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2017-01-22-UncaughtWiMAX.txt</v>
      </c>
    </row>
    <row r="194" spans="1:91" s="21" customFormat="1" x14ac:dyDescent="0.25">
      <c r="A194" s="34" t="s">
        <v>617</v>
      </c>
      <c r="B194" s="7">
        <v>4022</v>
      </c>
      <c r="C194" s="22" t="s">
        <v>196</v>
      </c>
      <c r="D194" s="22" t="s">
        <v>771</v>
      </c>
      <c r="E194" s="13">
        <v>42757.777013888888</v>
      </c>
      <c r="F194" s="13">
        <v>25568.708333333332</v>
      </c>
      <c r="G194" s="7">
        <v>11</v>
      </c>
      <c r="H194" s="22" t="s">
        <v>275</v>
      </c>
      <c r="I194" s="13">
        <v>25568.708333333332</v>
      </c>
      <c r="J194" s="7">
        <v>1</v>
      </c>
      <c r="K194" s="105" t="str">
        <f t="shared" si="39"/>
        <v>4021/4022</v>
      </c>
      <c r="L194" s="22" t="str">
        <f>VLOOKUP(A194,'Trips&amp;Operators'!$C$1:$G$99999,5,FALSE)</f>
        <v>BRUDER RICHARD</v>
      </c>
      <c r="M194" s="6">
        <f t="shared" si="40"/>
        <v>0</v>
      </c>
      <c r="N194" s="7">
        <f t="shared" si="41"/>
        <v>0</v>
      </c>
      <c r="O194" s="7"/>
      <c r="P194" s="7"/>
      <c r="Q194" s="23"/>
      <c r="R194" s="23"/>
      <c r="S194" s="32">
        <f t="shared" si="42"/>
        <v>0</v>
      </c>
      <c r="T194" s="47" t="str">
        <f t="shared" si="43"/>
        <v>NorthBound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94" t="str">
        <f t="shared" si="44"/>
        <v>https://d0f6bd738d7f1b3e5a7ca70fe4ff75f0.us-east-1.aws.found.io/app/kibana#/discover/Steve-Slow-Train-Analysis-(2080s-and-2083s)?_g=(refreshInterval:(display:Off,pause:!f,section:0,value:0),time:(from:'2017-01-22T17:38:54-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4" s="49" t="str">
        <f t="shared" si="45"/>
        <v>Y</v>
      </c>
      <c r="X194" s="170">
        <f t="shared" si="46"/>
        <v>0</v>
      </c>
      <c r="Y194" s="64">
        <f t="shared" si="47"/>
        <v>2.3304</v>
      </c>
      <c r="Z194" s="64">
        <f t="shared" si="48"/>
        <v>2.3346</v>
      </c>
      <c r="AA194" s="64">
        <f t="shared" si="49"/>
        <v>4.1999999999999815E-3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50"/>
        <v>0303-22</v>
      </c>
      <c r="AE194" s="87" t="str">
        <f t="shared" si="5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194" s="84" t="str">
        <f t="shared" si="52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194" s="1" t="str">
        <f t="shared" si="53"/>
        <v>Other</v>
      </c>
      <c r="AH194" s="88" t="str">
        <f t="shared" si="54"/>
        <v>"%USERPROFILE%\Documents\GitHub\eaglep3\Utilities\RefineRTDCRunTimes.py" --tripid 303-22 --locoid 4022 --swversion DE.1.0.8.0 --startMP 300:23304 --initTime 2017-01-22T18:38:54 --startdatetime 1969-12-31T17:00:00 --delay 11 --endMP 300:23346 --enddatetime 1969-12-31T17:00:00 --enforcementcount 1 &gt;&gt;C:\Users\stu\Documents\GitHub\eaglep3-reporting\EC\2017-01-22-refined-times.txt</v>
      </c>
      <c r="AI194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ID","value":"303-22"},{"id":16,"name":"Locomotive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56"/>
        <v>start /low /b %USERPROFILE%\Documents\GitHub\eaglep3\Utilities\DownloadLogsFromS3.py --loco 4022 --day 1969-12-31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2017-01-22-UncaughtWiMAX.txt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4" t="s">
        <v>457</v>
      </c>
      <c r="B195" s="7">
        <v>4037</v>
      </c>
      <c r="C195" s="22" t="s">
        <v>196</v>
      </c>
      <c r="D195" s="22" t="s">
        <v>772</v>
      </c>
      <c r="E195" s="13">
        <v>42757.13689814815</v>
      </c>
      <c r="F195" s="13">
        <v>42757.140081018515</v>
      </c>
      <c r="G195" s="7">
        <v>4</v>
      </c>
      <c r="H195" s="22" t="s">
        <v>212</v>
      </c>
      <c r="I195" s="13">
        <v>42757.145370370374</v>
      </c>
      <c r="J195" s="7">
        <v>1</v>
      </c>
      <c r="K195" s="105" t="str">
        <f t="shared" si="39"/>
        <v>4037/4038</v>
      </c>
      <c r="L195" s="22" t="str">
        <f>VLOOKUP(A195,'Trips&amp;Operators'!$C$1:$G$99999,5,FALSE)</f>
        <v>MAELZER KURT</v>
      </c>
      <c r="M195" s="6">
        <f t="shared" si="40"/>
        <v>5.289351858664304E-3</v>
      </c>
      <c r="N195" s="7">
        <f t="shared" si="41"/>
        <v>7.6166666764765978</v>
      </c>
      <c r="O195" s="7"/>
      <c r="P195" s="7"/>
      <c r="Q195" s="23"/>
      <c r="R195" s="23"/>
      <c r="S195" s="32">
        <f t="shared" si="42"/>
        <v>1</v>
      </c>
      <c r="T195" s="47" t="str">
        <f t="shared" si="43"/>
        <v>Southbound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44"/>
        <v>https://d0f6bd738d7f1b3e5a7ca70fe4ff75f0.us-east-1.aws.found.io/app/kibana#/discover/Steve-Slow-Train-Analysis-(2080s-and-2083s)?_g=(refreshInterval:(display:Off,pause:!f,section:0,value:0),time:(from:'2017-01-22T02:17:08-0700',mode:absolute,to:'2017-01-22T04:29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95" s="49" t="str">
        <f t="shared" si="45"/>
        <v>Y</v>
      </c>
      <c r="X195" s="170">
        <f t="shared" si="46"/>
        <v>1</v>
      </c>
      <c r="Y195" s="64">
        <f t="shared" si="47"/>
        <v>1.9771000000000001</v>
      </c>
      <c r="Z195" s="64">
        <f t="shared" si="48"/>
        <v>1.47E-2</v>
      </c>
      <c r="AA195" s="64">
        <f t="shared" si="49"/>
        <v>1.9624000000000001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50"/>
        <v>0304-22</v>
      </c>
      <c r="AE195" s="87" t="str">
        <f t="shared" si="51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195" s="84" t="str">
        <f t="shared" si="52"/>
        <v>"C:\Program Files (x86)\AstroGrep\AstroGrep.exe" /spath="%USERPROFILE%\AppData\Local\Temp\OnboardLogs" /stypes="app*4037*20170122*" /stext=" 10:.+((SYSTEM_STATE.+slice.+state.+changed )|(ment ac)|(multiple cpu faults)|(system.+state.+changed )|(\[timeout)|(PRM\|1\|D)|(kpr)|(kdp)|(\|lc)|(penalty))" /e /r /s</v>
      </c>
      <c r="AG195" s="1" t="str">
        <f t="shared" si="53"/>
        <v>Other</v>
      </c>
      <c r="AH195" s="88" t="str">
        <f t="shared" si="54"/>
        <v>"%USERPROFILE%\Documents\GitHub\eaglep3\Utilities\RefineRTDCRunTimes.py" --tripid 304-22 --locoid 4037 --swversion DE.1.0.8.0 --startMP 300:19771 --initTime 2017-01-22T03:17:08 --startdatetime 2017-01-22T03:21:43 --delay 4 --endMP 204:147 --enddatetime 2017-01-22T03:29:20 --enforcementcount 1 &gt;&gt;C:\Users\stu\Documents\GitHub\eaglep3-reporting\EC\2017-01-22-refined-times.txt</v>
      </c>
      <c r="AI195" s="115" t="str">
        <f t="shared" si="55"/>
        <v>echo {"issue":{"subject":"","project_id":79,"tracker_id":40,"status_id":1,"priority_id":2,"assigned_to_id":23,"start_date":"2017-01-22","description":"","custom_fields":[{"id":1,"name":"Subdivision","value":"Other"},{"id":4,"name":"Milepost","value":"0.0147"},{"id":17,"name":"Train ID","value":"304-22"},{"id":16,"name":"Locomotive ID","value":"4037"},{"id":130,"name":"Impact","value":""},{"id":150,"name":"Time of Event (Mountain Time)","value":"03:29:20"},{"id":151,"name":"Denver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56"/>
        <v>start /low /b %USERPROFILE%\Documents\GitHub\eaglep3\Utilities\DownloadLogsFromS3.py --loco 4037 --day 2017-01-22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461</v>
      </c>
      <c r="B196" s="7">
        <v>4028</v>
      </c>
      <c r="C196" s="22" t="s">
        <v>196</v>
      </c>
      <c r="D196" s="22" t="s">
        <v>773</v>
      </c>
      <c r="E196" s="13">
        <v>42757.162395833337</v>
      </c>
      <c r="F196" s="13">
        <v>42757.163541666669</v>
      </c>
      <c r="G196" s="7">
        <v>1</v>
      </c>
      <c r="H196" s="22" t="s">
        <v>200</v>
      </c>
      <c r="I196" s="13">
        <v>42757.170347222222</v>
      </c>
      <c r="J196" s="7">
        <v>1</v>
      </c>
      <c r="K196" s="105" t="str">
        <f t="shared" si="39"/>
        <v>4027/4028</v>
      </c>
      <c r="L196" s="22" t="str">
        <f>VLOOKUP(A196,'Trips&amp;Operators'!$C$1:$G$99999,5,FALSE)</f>
        <v>PERKINS DARREN</v>
      </c>
      <c r="M196" s="6">
        <f t="shared" si="40"/>
        <v>6.805555553000886E-3</v>
      </c>
      <c r="N196" s="7">
        <f t="shared" si="41"/>
        <v>9.7999999963212758</v>
      </c>
      <c r="O196" s="7"/>
      <c r="P196" s="7"/>
      <c r="Q196" s="23"/>
      <c r="R196" s="23"/>
      <c r="S196" s="32">
        <f t="shared" si="42"/>
        <v>1</v>
      </c>
      <c r="T196" s="47" t="str">
        <f t="shared" si="43"/>
        <v>Southbound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44"/>
        <v>https://d0f6bd738d7f1b3e5a7ca70fe4ff75f0.us-east-1.aws.found.io/app/kibana#/discover/Steve-Slow-Train-Analysis-(2080s-and-2083s)?_g=(refreshInterval:(display:Off,pause:!f,section:0,value:0),time:(from:'2017-01-22T02:53:51-0700',mode:absolute,to:'2017-01-22T05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6" s="49" t="str">
        <f t="shared" si="45"/>
        <v>Y</v>
      </c>
      <c r="X196" s="170">
        <f t="shared" si="46"/>
        <v>2</v>
      </c>
      <c r="Y196" s="64">
        <f t="shared" si="47"/>
        <v>2.2824</v>
      </c>
      <c r="Z196" s="64">
        <f t="shared" si="48"/>
        <v>1.4999999999999999E-2</v>
      </c>
      <c r="AA196" s="64">
        <f t="shared" si="49"/>
        <v>2.2673999999999999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50"/>
        <v>0306-22</v>
      </c>
      <c r="AE196" s="87" t="str">
        <f t="shared" si="51"/>
        <v>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 &amp; 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</v>
      </c>
      <c r="AF196" s="84" t="str">
        <f t="shared" si="52"/>
        <v>"C:\Program Files (x86)\AstroGrep\AstroGrep.exe" /spath="%USERPROFILE%\AppData\Local\Temp\OnboardLogs" /stypes="app*4028*20170122*" /stext=" 11:.+((SYSTEM_STATE.+slice.+state.+changed )|(ment ac)|(multiple cpu faults)|(system.+state.+changed )|(\[timeout)|(PRM\|1\|D)|(kpr)|(kdp)|(\|lc)|(penalty))" /e /r /s</v>
      </c>
      <c r="AG196" s="1" t="str">
        <f t="shared" si="53"/>
        <v>Other</v>
      </c>
      <c r="AH196" s="88" t="str">
        <f t="shared" si="54"/>
        <v>"%USERPROFILE%\Documents\GitHub\eaglep3\Utilities\RefineRTDCRunTimes.py" --tripid 306-22 --locoid 4028 --swversion DE.1.0.8.0 --startMP 300:22824 --initTime 2017-01-22T03:53:51 --startdatetime 2017-01-22T03:55:30 --delay 1 --endMP 204:150 --enddatetime 2017-01-22T04:05:18 --enforcementcount 1 &gt;&gt;C:\Users\stu\Documents\GitHub\eaglep3-reporting\EC\2017-01-22-refined-times.txt</v>
      </c>
      <c r="AI196" s="115" t="str">
        <f t="shared" si="55"/>
        <v>echo {"issue":{"subject":"","project_id":79,"tracker_id":40,"status_id":1,"priority_id":2,"assigned_to_id":23,"start_date":"2017-01-22","description":"","custom_fields":[{"id":1,"name":"Subdivision","value":"Other"},{"id":4,"name":"Milepost","value":"0.015"},{"id":17,"name":"Train ID","value":"306-22"},{"id":16,"name":"Locomotive ID","value":"4028"},{"id":130,"name":"Impact","value":""},{"id":150,"name":"Time of Event (Mountain Time)","value":"04:05:18"},{"id":151,"name":"Denver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56"/>
        <v>start /low /b %USERPROFILE%\Documents\GitHub\eaglep3\Utilities\DownloadLogsFromS3.py --loco 4028 --day 2017-01-22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"%USERPROFILE%\AppData\Local\Temp\OnboardLogs"\RTDC4028\*4028*20170122* | grep -SE "(Enforcement Action)|(\[TIMEOUT)|(CHR.+\|PRM\|1\|D.+(SWITCH|SIGNAL).+UNKNOWN)" - &gt;&gt; 2017-01-22-UncaughtWiMAX.txt</v>
      </c>
    </row>
    <row r="197" spans="1:91" x14ac:dyDescent="0.25">
      <c r="A197" s="34" t="s">
        <v>626</v>
      </c>
      <c r="B197" s="7">
        <v>4038</v>
      </c>
      <c r="C197" s="22" t="s">
        <v>196</v>
      </c>
      <c r="D197" s="22" t="s">
        <v>419</v>
      </c>
      <c r="E197" s="13">
        <v>42757.817974537036</v>
      </c>
      <c r="F197" s="13">
        <v>42757.819768518515</v>
      </c>
      <c r="G197" s="7">
        <v>1</v>
      </c>
      <c r="H197" s="22" t="s">
        <v>774</v>
      </c>
      <c r="I197" s="13">
        <v>42757.826469907406</v>
      </c>
      <c r="J197" s="7">
        <v>1</v>
      </c>
      <c r="K197" s="105" t="str">
        <f t="shared" si="39"/>
        <v>4037/4038</v>
      </c>
      <c r="L197" s="22" t="str">
        <f>VLOOKUP(A197,'Trips&amp;Operators'!$C$1:$G$99999,5,FALSE)</f>
        <v>KILLION DAVID</v>
      </c>
      <c r="M197" s="6">
        <f t="shared" si="40"/>
        <v>6.701388891087845E-3</v>
      </c>
      <c r="N197" s="7">
        <f t="shared" si="41"/>
        <v>9.6500000031664968</v>
      </c>
      <c r="O197" s="7"/>
      <c r="P197" s="7"/>
      <c r="Q197" s="23"/>
      <c r="R197" s="23"/>
      <c r="S197" s="32">
        <f t="shared" si="42"/>
        <v>1</v>
      </c>
      <c r="T197" s="47" t="str">
        <f t="shared" si="43"/>
        <v>NorthBound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44"/>
        <v>https://d0f6bd738d7f1b3e5a7ca70fe4ff75f0.us-east-1.aws.found.io/app/kibana#/discover/Steve-Slow-Train-Analysis-(2080s-and-2083s)?_g=(refreshInterval:(display:Off,pause:!f,section:0,value:0),time:(from:'2017-01-22T18:37:53-0700',mode:absolute,to:'2017-01-22T20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97" s="49" t="str">
        <f t="shared" si="45"/>
        <v>Y</v>
      </c>
      <c r="X197" s="170">
        <f t="shared" si="46"/>
        <v>1</v>
      </c>
      <c r="Y197" s="64">
        <f t="shared" si="47"/>
        <v>4.7100000000000003E-2</v>
      </c>
      <c r="Z197" s="64">
        <f t="shared" si="48"/>
        <v>3.1610999999999998</v>
      </c>
      <c r="AA197" s="64">
        <f t="shared" si="49"/>
        <v>3.1139999999999999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50"/>
        <v>0307-22</v>
      </c>
      <c r="AE197" s="87" t="str">
        <f t="shared" si="51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197" s="84" t="str">
        <f t="shared" si="52"/>
        <v>"C:\Program Files (x86)\AstroGrep\AstroGrep.exe" /spath="%USERPROFILE%\AppData\Local\Temp\OnboardLogs" /stypes="app*4038*20170123*" /stext=" 02:.+((SYSTEM_STATE.+slice.+state.+changed )|(ment ac)|(multiple cpu faults)|(system.+state.+changed )|(\[timeout)|(PRM\|1\|D)|(kpr)|(kdp)|(\|lc)|(penalty))" /e /r /s</v>
      </c>
      <c r="AG197" s="1" t="str">
        <f t="shared" si="53"/>
        <v>Other</v>
      </c>
      <c r="AH197" s="88" t="str">
        <f t="shared" si="54"/>
        <v>"%USERPROFILE%\Documents\GitHub\eaglep3\Utilities\RefineRTDCRunTimes.py" --tripid 307-22 --locoid 4038 --swversion DE.1.0.8.0 --startMP 204:471 --initTime 2017-01-22T19:37:53 --startdatetime 2017-01-22T19:40:28 --delay 1 --endMP 300:31611 --enddatetime 2017-01-22T19:50:07 --enforcementcount 1 &gt;&gt;C:\Users\stu\Documents\GitHub\eaglep3-reporting\EC\2017-01-22-refined-times.txt</v>
      </c>
      <c r="AI197" s="115" t="str">
        <f t="shared" si="55"/>
        <v>echo {"issue":{"subject":"","project_id":79,"tracker_id":40,"status_id":1,"priority_id":2,"assigned_to_id":23,"start_date":"2017-01-22","description":"","custom_fields":[{"id":1,"name":"Subdivision","value":"Other"},{"id":4,"name":"Milepost","value":"3.1611"},{"id":17,"name":"Train ID","value":"307-22"},{"id":16,"name":"Locomotive ID","value":"4038"},{"id":130,"name":"Impact","value":""},{"id":150,"name":"Time of Event (Mountain Time)","value":"19:50:07"},{"id":151,"name":"Denver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56"/>
        <v>start /low /b %USERPROFILE%\Documents\GitHub\eaglep3\Utilities\DownloadLogsFromS3.py --loco 4038 --day 2017-01-22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"%USERPROFILE%\AppData\Local\Temp\OnboardLogs"\RTDC4038\*4038*20170123* | grep -SE "(Enforcement Action)|(\[TIMEOUT)|(CHR.+\|PRM\|1\|D.+(SWITCH|SIGNAL).+UNKNOWN)" - &gt;&gt; 2017-01-22-UncaughtWiMAX.txt</v>
      </c>
    </row>
    <row r="198" spans="1:91" x14ac:dyDescent="0.25">
      <c r="A198" s="34" t="s">
        <v>463</v>
      </c>
      <c r="B198" s="7">
        <v>4008</v>
      </c>
      <c r="C198" s="22" t="s">
        <v>196</v>
      </c>
      <c r="D198" s="22" t="s">
        <v>775</v>
      </c>
      <c r="E198" s="13">
        <v>42757.17355324074</v>
      </c>
      <c r="F198" s="13">
        <v>42757.174849537034</v>
      </c>
      <c r="G198" s="7">
        <v>1</v>
      </c>
      <c r="H198" s="22" t="s">
        <v>242</v>
      </c>
      <c r="I198" s="13">
        <v>42757.18172453704</v>
      </c>
      <c r="J198" s="7">
        <v>1</v>
      </c>
      <c r="K198" s="105" t="str">
        <f t="shared" si="39"/>
        <v>4007/4008</v>
      </c>
      <c r="L198" s="22" t="str">
        <f>VLOOKUP(A198,'Trips&amp;Operators'!$C$1:$G$99999,5,FALSE)</f>
        <v>DAVIS WENDY</v>
      </c>
      <c r="M198" s="6">
        <f t="shared" si="40"/>
        <v>6.8750000064028427E-3</v>
      </c>
      <c r="N198" s="7">
        <f t="shared" si="41"/>
        <v>9.9000000092200935</v>
      </c>
      <c r="O198" s="7"/>
      <c r="P198" s="7"/>
      <c r="Q198" s="23"/>
      <c r="R198" s="23"/>
      <c r="S198" s="32">
        <f t="shared" si="42"/>
        <v>1</v>
      </c>
      <c r="T198" s="47" t="str">
        <f t="shared" si="43"/>
        <v>Southbound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44"/>
        <v>https://d0f6bd738d7f1b3e5a7ca70fe4ff75f0.us-east-1.aws.found.io/app/kibana#/discover/Steve-Slow-Train-Analysis-(2080s-and-2083s)?_g=(refreshInterval:(display:Off,pause:!f,section:0,value:0),time:(from:'2017-01-22T03:09:55-0700',mode:absolute,to:'2017-01-22T05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8" s="49" t="str">
        <f t="shared" si="45"/>
        <v>Y</v>
      </c>
      <c r="X198" s="170">
        <f t="shared" si="46"/>
        <v>1</v>
      </c>
      <c r="Y198" s="64">
        <f t="shared" si="47"/>
        <v>2.3462999999999998</v>
      </c>
      <c r="Z198" s="64">
        <f t="shared" si="48"/>
        <v>1.54E-2</v>
      </c>
      <c r="AA198" s="64">
        <f t="shared" si="49"/>
        <v>2.3308999999999997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50"/>
        <v>0308-22</v>
      </c>
      <c r="AE198" s="87" t="str">
        <f t="shared" si="51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198" s="84" t="str">
        <f t="shared" si="52"/>
        <v>"C:\Program Files (x86)\AstroGrep\AstroGrep.exe" /spath="%USERPROFILE%\AppData\Local\Temp\OnboardLogs" /stypes="app*4008*20170122*" /stext=" 11:.+((SYSTEM_STATE.+slice.+state.+changed )|(ment ac)|(multiple cpu faults)|(system.+state.+changed )|(\[timeout)|(PRM\|1\|D)|(kpr)|(kdp)|(\|lc)|(penalty))" /e /r /s</v>
      </c>
      <c r="AG198" s="1" t="str">
        <f t="shared" si="53"/>
        <v>Other</v>
      </c>
      <c r="AH198" s="88" t="str">
        <f t="shared" si="54"/>
        <v>"%USERPROFILE%\Documents\GitHub\eaglep3\Utilities\RefineRTDCRunTimes.py" --tripid 308-22 --locoid 4008 --swversion DE.1.0.8.0 --startMP 300:23463 --initTime 2017-01-22T04:09:55 --startdatetime 2017-01-22T04:11:47 --delay 1 --endMP 204:154 --enddatetime 2017-01-22T04:21:41 --enforcementcount 1 &gt;&gt;C:\Users\stu\Documents\GitHub\eaglep3-reporting\EC\2017-01-22-refined-times.txt</v>
      </c>
      <c r="AI198" s="115" t="str">
        <f t="shared" si="55"/>
        <v>echo {"issue":{"subject":"","project_id":79,"tracker_id":40,"status_id":1,"priority_id":2,"assigned_to_id":23,"start_date":"2017-01-22","description":"","custom_fields":[{"id":1,"name":"Subdivision","value":"Other"},{"id":4,"name":"Milepost","value":"0.0154"},{"id":17,"name":"Train ID","value":"308-22"},{"id":16,"name":"Locomotive ID","value":"4008"},{"id":130,"name":"Impact","value":""},{"id":150,"name":"Time of Event (Mountain Time)","value":"04:21:41"},{"id":151,"name":"Denver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56"/>
        <v>start /low /b %USERPROFILE%\Documents\GitHub\eaglep3\Utilities\DownloadLogsFromS3.py --loco 4008 --day 2017-01-22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</row>
    <row r="199" spans="1:91" s="21" customFormat="1" x14ac:dyDescent="0.25">
      <c r="A199" s="34" t="s">
        <v>653</v>
      </c>
      <c r="B199" s="7">
        <v>4003</v>
      </c>
      <c r="C199" s="22" t="s">
        <v>196</v>
      </c>
      <c r="D199" s="22" t="s">
        <v>329</v>
      </c>
      <c r="E199" s="13">
        <v>42758.02888888889</v>
      </c>
      <c r="F199" s="13">
        <v>42758.029953703706</v>
      </c>
      <c r="G199" s="7">
        <v>1</v>
      </c>
      <c r="H199" s="22" t="s">
        <v>297</v>
      </c>
      <c r="I199" s="13">
        <v>42758.037060185183</v>
      </c>
      <c r="J199" s="7">
        <v>1</v>
      </c>
      <c r="K199" s="105" t="str">
        <f t="shared" si="39"/>
        <v>4003/4004</v>
      </c>
      <c r="L199" s="22" t="str">
        <f>VLOOKUP(A199,'Trips&amp;Operators'!$C$1:$G$99999,5,FALSE)</f>
        <v>CHANDLER KELVIN</v>
      </c>
      <c r="M199" s="6">
        <f t="shared" si="40"/>
        <v>7.1064814765122719E-3</v>
      </c>
      <c r="N199" s="7">
        <f t="shared" si="41"/>
        <v>10.233333326177672</v>
      </c>
      <c r="O199" s="7"/>
      <c r="P199" s="7"/>
      <c r="Q199" s="23"/>
      <c r="R199" s="23"/>
      <c r="S199" s="32">
        <f t="shared" si="42"/>
        <v>1</v>
      </c>
      <c r="T199" s="47" t="str">
        <f t="shared" si="43"/>
        <v>NorthBound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44"/>
        <v>https://d0f6bd738d7f1b3e5a7ca70fe4ff75f0.us-east-1.aws.found.io/app/kibana#/discover/Steve-Slow-Train-Analysis-(2080s-and-2083s)?_g=(refreshInterval:(display:Off,pause:!f,section:0,value:0),time:(from:'2017-01-22T23:41:36-0700',mode:absolute,to:'2017-01-23T01:53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9" s="49" t="str">
        <f t="shared" si="45"/>
        <v>Y</v>
      </c>
      <c r="X199" s="170">
        <f t="shared" si="46"/>
        <v>1</v>
      </c>
      <c r="Y199" s="64">
        <f t="shared" si="47"/>
        <v>4.6399999999999997E-2</v>
      </c>
      <c r="Z199" s="64">
        <f t="shared" si="48"/>
        <v>2.3302</v>
      </c>
      <c r="AA199" s="64">
        <f t="shared" si="49"/>
        <v>2.2838000000000003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50"/>
        <v>0309-22</v>
      </c>
      <c r="AE199" s="87" t="str">
        <f t="shared" si="51"/>
        <v>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 &amp; 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</v>
      </c>
      <c r="AF199" s="84" t="str">
        <f t="shared" si="52"/>
        <v>"C:\Program Files (x86)\AstroGrep\AstroGrep.exe" /spath="%USERPROFILE%\AppData\Local\Temp\OnboardLogs" /stypes="app*4003*20170123*" /stext=" 07:.+((SYSTEM_STATE.+slice.+state.+changed )|(ment ac)|(multiple cpu faults)|(system.+state.+changed )|(\[timeout)|(PRM\|1\|D)|(kpr)|(kdp)|(\|lc)|(penalty))" /e /r /s</v>
      </c>
      <c r="AG199" s="1" t="str">
        <f t="shared" si="53"/>
        <v>Other</v>
      </c>
      <c r="AH199" s="88" t="str">
        <f t="shared" si="54"/>
        <v>"%USERPROFILE%\Documents\GitHub\eaglep3\Utilities\RefineRTDCRunTimes.py" --tripid 309-22 --locoid 4003 --swversion DE.1.0.8.0 --startMP 204:464 --initTime 2017-01-23T00:41:36 --startdatetime 2017-01-23T00:43:08 --delay 1 --endMP 300:23302 --enddatetime 2017-01-23T00:53:22 --enforcementcount 1 &gt;&gt;C:\Users\stu\Documents\GitHub\eaglep3-reporting\EC\2017-01-22-refined-times.txt</v>
      </c>
      <c r="AI199" s="115" t="str">
        <f t="shared" si="55"/>
        <v>echo {"issue":{"subject":"","project_id":79,"tracker_id":40,"status_id":1,"priority_id":2,"assigned_to_id":23,"start_date":"2017-01-23","description":"","custom_fields":[{"id":1,"name":"Subdivision","value":"Other"},{"id":4,"name":"Milepost","value":"2.3302"},{"id":17,"name":"Train ID","value":"309-22"},{"id":16,"name":"Locomotive ID","value":"4003"},{"id":130,"name":"Impact","value":""},{"id":150,"name":"Time of Event (Mountain Time)","value":"00:53:22"},{"id":151,"name":"Denver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56"/>
        <v>start /low /b %USERPROFILE%\Documents\GitHub\eaglep3\Utilities\DownloadLogsFromS3.py --loco 4003 --day 2017-01-23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"%USERPROFILE%\AppData\Local\Temp\OnboardLogs"\RTDC4003\*4003*20170123* | grep -SE "(Enforcement Action)|(\[TIMEOUT)|(CHR.+\|PRM\|1\|D.+(SWITCH|SIGNAL).+UNKNOWN)" - &gt;&gt; 2017-01-22-UncaughtWiMAX.txt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4" t="s">
        <v>465</v>
      </c>
      <c r="B200" s="7">
        <v>4021</v>
      </c>
      <c r="C200" s="22" t="s">
        <v>196</v>
      </c>
      <c r="D200" s="22" t="s">
        <v>776</v>
      </c>
      <c r="E200" s="13">
        <v>42757.175462962965</v>
      </c>
      <c r="F200" s="13">
        <v>42757.179340277777</v>
      </c>
      <c r="G200" s="7">
        <v>5</v>
      </c>
      <c r="H200" s="22" t="s">
        <v>200</v>
      </c>
      <c r="I200" s="13">
        <v>42757.190983796296</v>
      </c>
      <c r="J200" s="7">
        <v>1</v>
      </c>
      <c r="K200" s="105" t="str">
        <f t="shared" si="39"/>
        <v>4021/4022</v>
      </c>
      <c r="L200" s="22" t="str">
        <f>VLOOKUP(A200,'Trips&amp;Operators'!$C$1:$G$99999,5,FALSE)</f>
        <v>ROBINSON KADDIBA</v>
      </c>
      <c r="M200" s="6">
        <f t="shared" si="40"/>
        <v>1.1643518519122154E-2</v>
      </c>
      <c r="N200" s="7">
        <f t="shared" si="41"/>
        <v>16.766666667535901</v>
      </c>
      <c r="O200" s="7"/>
      <c r="P200" s="7"/>
      <c r="Q200" s="23"/>
      <c r="R200" s="23"/>
      <c r="S200" s="32">
        <f t="shared" si="42"/>
        <v>1</v>
      </c>
      <c r="T200" s="47" t="str">
        <f t="shared" si="43"/>
        <v>Southbound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44"/>
        <v>https://d0f6bd738d7f1b3e5a7ca70fe4ff75f0.us-east-1.aws.found.io/app/kibana#/discover/Steve-Slow-Train-Analysis-(2080s-and-2083s)?_g=(refreshInterval:(display:Off,pause:!f,section:0,value:0),time:(from:'2017-01-22T03:12:40-0700',mode:absolute,to:'2017-01-22T05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0" s="49" t="str">
        <f t="shared" si="45"/>
        <v>Y</v>
      </c>
      <c r="X200" s="170">
        <f t="shared" si="46"/>
        <v>1</v>
      </c>
      <c r="Y200" s="64">
        <f t="shared" si="47"/>
        <v>2.2216</v>
      </c>
      <c r="Z200" s="64">
        <f t="shared" si="48"/>
        <v>1.4999999999999999E-2</v>
      </c>
      <c r="AA200" s="64">
        <f t="shared" si="49"/>
        <v>2.2065999999999999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50"/>
        <v>0310-22</v>
      </c>
      <c r="AE200" s="87" t="str">
        <f t="shared" si="51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200" s="84" t="str">
        <f t="shared" si="52"/>
        <v>"C:\Program Files (x86)\AstroGrep\AstroGrep.exe" /spath="%USERPROFILE%\AppData\Local\Temp\OnboardLogs" /stypes="app*4021*20170122*" /stext=" 11:.+((SYSTEM_STATE.+slice.+state.+changed )|(ment ac)|(multiple cpu faults)|(system.+state.+changed )|(\[timeout)|(PRM\|1\|D)|(kpr)|(kdp)|(\|lc)|(penalty))" /e /r /s</v>
      </c>
      <c r="AG200" s="1" t="str">
        <f t="shared" si="53"/>
        <v>Other</v>
      </c>
      <c r="AH200" s="88" t="str">
        <f t="shared" si="54"/>
        <v>"%USERPROFILE%\Documents\GitHub\eaglep3\Utilities\RefineRTDCRunTimes.py" --tripid 310-22 --locoid 4021 --swversion DE.1.0.8.0 --startMP 300:22216 --initTime 2017-01-22T04:12:40 --startdatetime 2017-01-22T04:18:15 --delay 5 --endMP 204:150 --enddatetime 2017-01-22T04:35:01 --enforcementcount 1 &gt;&gt;C:\Users\stu\Documents\GitHub\eaglep3-reporting\EC\2017-01-22-refined-times.txt</v>
      </c>
      <c r="AI200" s="115" t="str">
        <f t="shared" si="55"/>
        <v>echo {"issue":{"subject":"","project_id":79,"tracker_id":40,"status_id":1,"priority_id":2,"assigned_to_id":23,"start_date":"2017-01-22","description":"","custom_fields":[{"id":1,"name":"Subdivision","value":"Other"},{"id":4,"name":"Milepost","value":"0.015"},{"id":17,"name":"Train ID","value":"310-22"},{"id":16,"name":"Locomotive ID","value":"4021"},{"id":130,"name":"Impact","value":""},{"id":150,"name":"Time of Event (Mountain Time)","value":"04:35:01"},{"id":151,"name":"Denver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56"/>
        <v>start /low /b %USERPROFILE%\Documents\GitHub\eaglep3\Utilities\DownloadLogsFromS3.py --loco 4021 --day 2017-01-22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</row>
    <row r="201" spans="1:91" x14ac:dyDescent="0.25">
      <c r="A201" s="34" t="s">
        <v>655</v>
      </c>
      <c r="B201" s="7">
        <v>4044</v>
      </c>
      <c r="C201" s="22" t="s">
        <v>196</v>
      </c>
      <c r="D201" s="22" t="s">
        <v>220</v>
      </c>
      <c r="E201" s="13">
        <v>42758.048009259262</v>
      </c>
      <c r="F201" s="13">
        <v>25568.708333333332</v>
      </c>
      <c r="G201" s="7">
        <v>1</v>
      </c>
      <c r="H201" s="22" t="s">
        <v>777</v>
      </c>
      <c r="I201" s="13">
        <v>25568.708333333332</v>
      </c>
      <c r="J201" s="7">
        <v>1</v>
      </c>
      <c r="K201" s="105" t="str">
        <f t="shared" si="39"/>
        <v>4043/4044</v>
      </c>
      <c r="L201" s="22" t="str">
        <f>VLOOKUP(A201,'Trips&amp;Operators'!$C$1:$G$99999,5,FALSE)</f>
        <v>NEWELL JAMES</v>
      </c>
      <c r="M201" s="6">
        <f t="shared" si="40"/>
        <v>0</v>
      </c>
      <c r="N201" s="7">
        <f t="shared" si="41"/>
        <v>0</v>
      </c>
      <c r="O201" s="7"/>
      <c r="P201" s="7"/>
      <c r="Q201" s="23"/>
      <c r="R201" s="23"/>
      <c r="S201" s="32">
        <f t="shared" si="42"/>
        <v>1</v>
      </c>
      <c r="T201" s="47" t="str">
        <f t="shared" si="43"/>
        <v>NorthBound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44"/>
        <v>https://d0f6bd738d7f1b3e5a7ca70fe4ff75f0.us-east-1.aws.found.io/app/kibana#/discover/Steve-Slow-Train-Analysis-(2080s-and-2083s)?_g=(refreshInterval:(display:Off,pause:!f,section:0,value:0),time:(from:'2017-01-23T00:09:08-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49" t="str">
        <f t="shared" si="45"/>
        <v>Y</v>
      </c>
      <c r="X201" s="170">
        <f t="shared" si="46"/>
        <v>1</v>
      </c>
      <c r="Y201" s="64">
        <f t="shared" si="47"/>
        <v>4.4900000000000002E-2</v>
      </c>
      <c r="Z201" s="64">
        <f t="shared" si="48"/>
        <v>2.3306</v>
      </c>
      <c r="AA201" s="64">
        <f t="shared" si="49"/>
        <v>2.2856999999999998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50"/>
        <v>0311-22</v>
      </c>
      <c r="AE201" s="87" t="str">
        <f t="shared" si="5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1" s="84" t="str">
        <f t="shared" si="52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1" s="1" t="str">
        <f t="shared" si="53"/>
        <v>Other</v>
      </c>
      <c r="AH201" s="88" t="str">
        <f t="shared" si="54"/>
        <v>"%USERPROFILE%\Documents\GitHub\eaglep3\Utilities\RefineRTDCRunTimes.py" --tripid 311-22 --locoid 4044 --swversion DE.1.0.8.0 --startMP 204:449 --initTime 2017-01-23T01:09:08 --startdatetime 1969-12-31T17:00:00 --delay 1 --endMP 300:23306 --enddatetime 1969-12-31T17:00:00 --enforcementcount 1 &gt;&gt;C:\Users\stu\Documents\GitHub\eaglep3-reporting\EC\2017-01-22-refined-times.txt</v>
      </c>
      <c r="AI201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ID","value":"311-22"},{"id":16,"name":"Locomotive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56"/>
        <v>start /low /b %USERPROFILE%\Documents\GitHub\eaglep3\Utilities\DownloadLogsFromS3.py --loco 4044 --day 1969-12-31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2017-01-22-UncaughtWiMAX.txt</v>
      </c>
    </row>
    <row r="202" spans="1:91" x14ac:dyDescent="0.25">
      <c r="A202" s="34" t="s">
        <v>452</v>
      </c>
      <c r="B202" s="7">
        <v>4051</v>
      </c>
      <c r="C202" s="22" t="s">
        <v>196</v>
      </c>
      <c r="D202" s="22" t="s">
        <v>245</v>
      </c>
      <c r="E202" s="13">
        <v>42757.087141203701</v>
      </c>
      <c r="F202" s="13">
        <v>25568.708333333332</v>
      </c>
      <c r="G202" s="7">
        <v>1</v>
      </c>
      <c r="H202" s="22" t="s">
        <v>771</v>
      </c>
      <c r="I202" s="13">
        <v>25568.708333333332</v>
      </c>
      <c r="J202" s="7">
        <v>1</v>
      </c>
      <c r="K202" s="105" t="str">
        <f t="shared" si="39"/>
        <v>4051/4052</v>
      </c>
      <c r="L202" s="22" t="str">
        <f>VLOOKUP(A202,'Trips&amp;Operators'!$C$1:$G$99999,5,FALSE)</f>
        <v>HILLS DUSTIN</v>
      </c>
      <c r="M202" s="6">
        <f t="shared" si="40"/>
        <v>0</v>
      </c>
      <c r="N202" s="7">
        <f t="shared" si="41"/>
        <v>0</v>
      </c>
      <c r="O202" s="7"/>
      <c r="P202" s="7"/>
      <c r="Q202" s="23"/>
      <c r="R202" s="23"/>
      <c r="S202" s="32">
        <f t="shared" si="42"/>
        <v>1</v>
      </c>
      <c r="T202" s="47" t="str">
        <f t="shared" si="43"/>
        <v>NorthBound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44"/>
        <v>https://d0f6bd738d7f1b3e5a7ca70fe4ff75f0.us-east-1.aws.found.io/app/kibana#/discover/Steve-Slow-Train-Analysis-(2080s-and-2083s)?_g=(refreshInterval:(display:Off,pause:!f,section:0,value:0),time:(from:'2017-01-22T01:05:29-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2" s="49" t="str">
        <f t="shared" si="45"/>
        <v>Y</v>
      </c>
      <c r="X202" s="170">
        <f t="shared" si="46"/>
        <v>2</v>
      </c>
      <c r="Y202" s="64">
        <f t="shared" si="47"/>
        <v>4.58E-2</v>
      </c>
      <c r="Z202" s="64">
        <f t="shared" si="48"/>
        <v>2.3304</v>
      </c>
      <c r="AA202" s="64">
        <f t="shared" si="49"/>
        <v>2.2846000000000002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50"/>
        <v>0313-21</v>
      </c>
      <c r="AE202" s="87" t="str">
        <f t="shared" si="51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2" s="84" t="str">
        <f t="shared" si="52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2" s="1" t="str">
        <f t="shared" si="53"/>
        <v>Other</v>
      </c>
      <c r="AH202" s="88" t="str">
        <f t="shared" si="54"/>
        <v>"%USERPROFILE%\Documents\GitHub\eaglep3\Utilities\RefineRTDCRunTimes.py" --tripid 313-21 --locoid 4051 --swversion DE.1.0.8.0 --startMP 204:458 --initTime 2017-01-22T02:05:29 --startdatetime 1969-12-31T17:00:00 --delay 1 --endMP 300:23304 --enddatetime 1969-12-31T17:00:00 --enforcementcount 1 &gt;&gt;C:\Users\stu\Documents\GitHub\eaglep3-reporting\EC\2017-01-22-refined-times.txt</v>
      </c>
      <c r="AI202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ID","value":"313-21"},{"id":16,"name":"Locomotive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56"/>
        <v>start /low /b %USERPROFILE%\Documents\GitHub\eaglep3\Utilities\DownloadLogsFromS3.py --loco 4051 --day 1969-12-31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2017-01-22-UncaughtWiMAX.txt</v>
      </c>
    </row>
    <row r="203" spans="1:91" s="21" customFormat="1" x14ac:dyDescent="0.25">
      <c r="A203" s="34" t="s">
        <v>657</v>
      </c>
      <c r="B203" s="7">
        <v>4027</v>
      </c>
      <c r="C203" s="22" t="s">
        <v>196</v>
      </c>
      <c r="D203" s="22" t="s">
        <v>217</v>
      </c>
      <c r="E203" s="13">
        <v>42758.068761574075</v>
      </c>
      <c r="F203" s="13">
        <v>42758.070844907408</v>
      </c>
      <c r="G203" s="7">
        <v>1</v>
      </c>
      <c r="H203" s="22" t="s">
        <v>778</v>
      </c>
      <c r="I203" s="13">
        <v>42758.076342592591</v>
      </c>
      <c r="J203" s="7">
        <v>1</v>
      </c>
      <c r="K203" s="105" t="str">
        <f t="shared" si="39"/>
        <v>4027/4028</v>
      </c>
      <c r="L203" s="22" t="str">
        <f>VLOOKUP(A203,'Trips&amp;Operators'!$C$1:$G$99999,5,FALSE)</f>
        <v>SMITH MICHAEL</v>
      </c>
      <c r="M203" s="6">
        <f t="shared" si="40"/>
        <v>5.4976851824903861E-3</v>
      </c>
      <c r="N203" s="7">
        <f t="shared" si="41"/>
        <v>7.9166666627861559</v>
      </c>
      <c r="O203" s="7"/>
      <c r="P203" s="7"/>
      <c r="Q203" s="23"/>
      <c r="R203" s="23"/>
      <c r="S203" s="32">
        <f t="shared" si="42"/>
        <v>1</v>
      </c>
      <c r="T203" s="47" t="str">
        <f t="shared" si="43"/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44"/>
        <v>https://d0f6bd738d7f1b3e5a7ca70fe4ff75f0.us-east-1.aws.found.io/app/kibana#/discover/Steve-Slow-Train-Analysis-(2080s-and-2083s)?_g=(refreshInterval:(display:Off,pause:!f,section:0,value:0),time:(from:'2017-01-23T00:39:01-0700',mode:absolute,to:'2017-01-23T02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3" s="49" t="str">
        <f t="shared" si="45"/>
        <v>Y</v>
      </c>
      <c r="X203" s="170">
        <f t="shared" si="46"/>
        <v>0</v>
      </c>
      <c r="Y203" s="64">
        <f t="shared" si="47"/>
        <v>4.6199999999999998E-2</v>
      </c>
      <c r="Z203" s="64">
        <f t="shared" si="48"/>
        <v>2.2812000000000001</v>
      </c>
      <c r="AA203" s="64">
        <f t="shared" si="49"/>
        <v>2.2350000000000003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50"/>
        <v>0313-22</v>
      </c>
      <c r="AE203" s="87" t="str">
        <f t="shared" si="51"/>
        <v>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 &amp; aws s3 cp s3://rtdc.mdm.uploadarchive.raw/RTDC4027/ "%USERPROFILE%\AppData\Local\Temp\OnboardLogs"\RTDC4027\2017-01-24 --exclude "*" --recursive --include "*20170124*" &amp; "%USERPROFILE%\Documents\GitHub\mrs-test-scripts\Headless Mode &amp; Sideloading\WalkAndUnGZ.bat" "%USERPROFILE%\AppData\Local\Temp\OnboardLogs"\RTDC4027\2017-01-24</v>
      </c>
      <c r="AF203" s="84" t="str">
        <f t="shared" si="52"/>
        <v>"C:\Program Files (x86)\AstroGrep\AstroGrep.exe" /spath="%USERPROFILE%\AppData\Local\Temp\OnboardLogs" /stypes="app*4027*20170123*" /stext=" 08:.+((SYSTEM_STATE.+slice.+state.+changed )|(ment ac)|(multiple cpu faults)|(system.+state.+changed )|(\[timeout)|(PRM\|1\|D)|(kpr)|(kdp)|(\|lc)|(penalty))" /e /r /s</v>
      </c>
      <c r="AG203" s="1" t="str">
        <f t="shared" si="53"/>
        <v>Other</v>
      </c>
      <c r="AH203" s="88" t="str">
        <f t="shared" si="54"/>
        <v>"%USERPROFILE%\Documents\GitHub\eaglep3\Utilities\RefineRTDCRunTimes.py" --tripid 313-22 --locoid 4027 --swversion DE.1.0.8.0 --startMP 204:462 --initTime 2017-01-23T01:39:01 --startdatetime 2017-01-23T01:42:01 --delay 1 --endMP 300:22812 --enddatetime 2017-01-23T01:49:56 --enforcementcount 1 &gt;&gt;C:\Users\stu\Documents\GitHub\eaglep3-reporting\EC\2017-01-22-refined-times.txt</v>
      </c>
      <c r="AI203" s="115" t="str">
        <f t="shared" si="55"/>
        <v>echo {"issue":{"subject":"","project_id":79,"tracker_id":40,"status_id":1,"priority_id":2,"assigned_to_id":23,"start_date":"2017-01-23","description":"","custom_fields":[{"id":1,"name":"Subdivision","value":"Other"},{"id":4,"name":"Milepost","value":"2.2812"},{"id":17,"name":"Train ID","value":"313-22"},{"id":16,"name":"Locomotive ID","value":"4027"},{"id":130,"name":"Impact","value":""},{"id":150,"name":"Time of Event (Mountain Time)","value":"01:49:56"},{"id":151,"name":"Denver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56"/>
        <v>start /low /b %USERPROFILE%\Documents\GitHub\eaglep3\Utilities\DownloadLogsFromS3.py --loco 4027 --day 2017-01-23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"%USERPROFILE%\AppData\Local\Temp\OnboardLogs"\RTDC4027\*4027*20170123* | grep -SE "(Enforcement Action)|(\[TIMEOUT)|(CHR.+\|PRM\|1\|D.+(SWITCH|SIGNAL).+UNKNOWN)" - &gt;&gt; 2017-01-22-UncaughtWiMAX.txt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4" t="s">
        <v>453</v>
      </c>
      <c r="B204" s="7">
        <v>4011</v>
      </c>
      <c r="C204" s="22" t="s">
        <v>196</v>
      </c>
      <c r="D204" s="22" t="s">
        <v>327</v>
      </c>
      <c r="E204" s="13">
        <v>42757.111307870371</v>
      </c>
      <c r="F204" s="13">
        <v>25568.708333333332</v>
      </c>
      <c r="G204" s="7">
        <v>1</v>
      </c>
      <c r="H204" s="22" t="s">
        <v>779</v>
      </c>
      <c r="I204" s="13">
        <v>25568.708333333332</v>
      </c>
      <c r="J204" s="7">
        <v>1</v>
      </c>
      <c r="K204" s="105" t="str">
        <f t="shared" ref="K204:K219" si="57">IF(ISEVEN(B204),(B204-1)&amp;"/"&amp;B204,B204&amp;"/"&amp;(B204+1))</f>
        <v>4011/4012</v>
      </c>
      <c r="L204" s="22" t="str">
        <f>VLOOKUP(A204,'Trips&amp;Operators'!$C$1:$G$99999,5,FALSE)</f>
        <v>BROWN JACOB</v>
      </c>
      <c r="M204" s="6">
        <f t="shared" ref="M204:M219" si="58">I204-F204</f>
        <v>0</v>
      </c>
      <c r="N204" s="7">
        <f t="shared" ref="N204:N219" si="59">24*60*SUM($M204:$M204)</f>
        <v>0</v>
      </c>
      <c r="O204" s="7"/>
      <c r="P204" s="7"/>
      <c r="Q204" s="23"/>
      <c r="R204" s="23"/>
      <c r="S204" s="32">
        <f t="shared" ref="S204:S219" si="60">SUM(U204:U204)/IF(AG204="EC",12,1)</f>
        <v>1</v>
      </c>
      <c r="T204" s="47" t="str">
        <f t="shared" ref="T204:T219" si="61">IF(ISEVEN(LEFT(AD204,4)),"Southbound","NorthBound")</f>
        <v>NorthBound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ref="V204:V219" si="62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-01-22T01:40:17-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4" s="49" t="str">
        <f t="shared" ref="W204:W219" si="63">IF(AA204&lt;IF(AG204="EC",23,5.65),"Y","N")</f>
        <v>Y</v>
      </c>
      <c r="X204" s="170">
        <f t="shared" ref="X204:X219" si="64">VALUE(LEFT(AD204,4))-VALUE(LEFT(AD203,4))</f>
        <v>2</v>
      </c>
      <c r="Y204" s="64">
        <f t="shared" ref="Y204:Y219" si="65">RIGHT(D204,LEN(D204)-4)/10000</f>
        <v>4.3299999999999998E-2</v>
      </c>
      <c r="Z204" s="64">
        <f t="shared" ref="Z204:Z219" si="66">RIGHT(H204,LEN(H204)-4)/10000</f>
        <v>2.3308</v>
      </c>
      <c r="AA204" s="64">
        <f t="shared" ref="AA204:AA219" si="67">ABS(Z204-Y204)</f>
        <v>2.2875000000000001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ref="AD204:AD219" si="68">IF(LEN(A204)=6,"0"&amp;A204,A204)</f>
        <v>0315-21</v>
      </c>
      <c r="AE204" s="87" t="str">
        <f t="shared" ref="AE204:AE219" si="69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4" s="84" t="str">
        <f t="shared" ref="AF204:AF219" si="70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04" s="1" t="str">
        <f t="shared" ref="AG204:AG219" si="71">IFERROR(IF(VALUE(LEFT(AD204,2))&lt;=2,"EC",IF(OR(VALUE(LEFT(AD204,2))=8,VALUE(LEFT(AD204,2))=18),"NW","Other")),"Other")</f>
        <v>Other</v>
      </c>
      <c r="AH204" s="88" t="str">
        <f t="shared" si="54"/>
        <v>"%USERPROFILE%\Documents\GitHub\eaglep3\Utilities\RefineRTDCRunTimes.py" --tripid 315-21 --locoid 4011 --swversion DE.1.0.8.0 --startMP 204:433 --initTime 2017-01-22T02:40:17 --startdatetime 1969-12-31T17:00:00 --delay 1 --endMP 300:23308 --enddatetime 1969-12-31T17:00:00 --enforcementcount 1 &gt;&gt;C:\Users\stu\Documents\GitHub\eaglep3-reporting\EC\2017-01-22-refined-times.txt</v>
      </c>
      <c r="AI204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ID","value":"315-21"},{"id":16,"name":"Locomotive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56"/>
        <v>start /low /b %USERPROFILE%\Documents\GitHub\eaglep3\Utilities\DownloadLogsFromS3.py --loco 4011 --day 1969-12-31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2017-01-22-UncaughtWiMAX.txt</v>
      </c>
    </row>
    <row r="205" spans="1:91" s="21" customFormat="1" x14ac:dyDescent="0.25">
      <c r="A205" s="34" t="s">
        <v>658</v>
      </c>
      <c r="B205" s="7">
        <v>4007</v>
      </c>
      <c r="C205" s="22" t="s">
        <v>196</v>
      </c>
      <c r="D205" s="22" t="s">
        <v>780</v>
      </c>
      <c r="E205" s="13">
        <v>42758.088437500002</v>
      </c>
      <c r="F205" s="13">
        <v>25568.708333333332</v>
      </c>
      <c r="G205" s="7">
        <v>1</v>
      </c>
      <c r="H205" s="22" t="s">
        <v>275</v>
      </c>
      <c r="I205" s="13">
        <v>25568.708333333332</v>
      </c>
      <c r="J205" s="7">
        <v>1</v>
      </c>
      <c r="K205" s="105" t="str">
        <f t="shared" si="57"/>
        <v>4007/4008</v>
      </c>
      <c r="L205" s="22" t="str">
        <f>VLOOKUP(A205,'Trips&amp;Operators'!$C$1:$G$99999,5,FALSE)</f>
        <v>STAMBAUGH JAMES</v>
      </c>
      <c r="M205" s="6">
        <f t="shared" si="58"/>
        <v>0</v>
      </c>
      <c r="N205" s="7">
        <f t="shared" si="59"/>
        <v>0</v>
      </c>
      <c r="O205" s="7"/>
      <c r="P205" s="7"/>
      <c r="Q205" s="23"/>
      <c r="R205" s="23"/>
      <c r="S205" s="32">
        <f t="shared" si="60"/>
        <v>1</v>
      </c>
      <c r="T205" s="47" t="str">
        <f t="shared" si="61"/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si="62"/>
        <v>https://d0f6bd738d7f1b3e5a7ca70fe4ff75f0.us-east-1.aws.found.io/app/kibana#/discover/Steve-Slow-Train-Analysis-(2080s-and-2083s)?_g=(refreshInterval:(display:Off,pause:!f,section:0,value:0),time:(from:'2017-01-23T01:07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5" s="49" t="str">
        <f t="shared" si="63"/>
        <v>Y</v>
      </c>
      <c r="X205" s="170">
        <f t="shared" si="64"/>
        <v>0</v>
      </c>
      <c r="Y205" s="64">
        <f t="shared" si="65"/>
        <v>5.0200000000000002E-2</v>
      </c>
      <c r="Z205" s="64">
        <f t="shared" si="66"/>
        <v>2.3346</v>
      </c>
      <c r="AA205" s="64">
        <f t="shared" si="67"/>
        <v>2.2844000000000002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si="68"/>
        <v>0315-22</v>
      </c>
      <c r="AE205" s="87" t="str">
        <f t="shared" si="69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5" s="84" t="str">
        <f t="shared" si="70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05" s="1" t="str">
        <f t="shared" si="71"/>
        <v>Other</v>
      </c>
      <c r="AH205" s="88" t="str">
        <f t="shared" ref="AH205:AH219" si="7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315-22 --locoid 4007 --swversion DE.1.0.8.0 --startMP 204:502 --initTime 2017-01-23T02:07:21 --startdatetime 1969-12-31T17:00:00 --delay 1 --endMP 300:23346 --enddatetime 1969-12-31T17:00:00 --enforcementcount 1 &gt;&gt;C:\Users\stu\Documents\GitHub\eaglep3-reporting\EC\2017-01-22-refined-times.txt</v>
      </c>
      <c r="AI205" s="115" t="str">
        <f t="shared" ref="AI205:AI219" si="7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ID","value":"315-22"},{"id":16,"name":"Locomotive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ref="AM205:AM219" si="74">"start /low /b "&amp;dls3logs&amp;" --loco "&amp;B205&amp;" --day "&amp;TEXT(F205,"YYYY-MM-DD")</f>
        <v>start /low /b %USERPROFILE%\Documents\GitHub\eaglep3\Utilities\DownloadLogsFromS3.py --loco 4007 --day 1969-12-31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2017-01-22-UncaughtWiMAX.txt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4" t="s">
        <v>658</v>
      </c>
      <c r="B206" s="7">
        <v>4007</v>
      </c>
      <c r="C206" s="22" t="s">
        <v>196</v>
      </c>
      <c r="D206" s="22" t="s">
        <v>777</v>
      </c>
      <c r="E206" s="13">
        <v>42758.088437500002</v>
      </c>
      <c r="F206" s="13">
        <v>25568.708333333332</v>
      </c>
      <c r="G206" s="7">
        <v>9</v>
      </c>
      <c r="H206" s="22" t="s">
        <v>275</v>
      </c>
      <c r="I206" s="13">
        <v>25568.708333333332</v>
      </c>
      <c r="J206" s="7">
        <v>1</v>
      </c>
      <c r="K206" s="105" t="str">
        <f t="shared" si="57"/>
        <v>4007/4008</v>
      </c>
      <c r="L206" s="22" t="str">
        <f>VLOOKUP(A206,'Trips&amp;Operators'!$C$1:$G$99999,5,FALSE)</f>
        <v>STAMBAUGH JAMES</v>
      </c>
      <c r="M206" s="6">
        <f t="shared" si="58"/>
        <v>0</v>
      </c>
      <c r="N206" s="7">
        <f t="shared" si="59"/>
        <v>0</v>
      </c>
      <c r="O206" s="7"/>
      <c r="P206" s="7"/>
      <c r="Q206" s="23"/>
      <c r="R206" s="23"/>
      <c r="S206" s="32">
        <f t="shared" si="60"/>
        <v>0</v>
      </c>
      <c r="T206" s="47" t="str">
        <f t="shared" si="61"/>
        <v>NorthBound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4" t="str">
        <f t="shared" si="62"/>
        <v>https://d0f6bd738d7f1b3e5a7ca70fe4ff75f0.us-east-1.aws.found.io/app/kibana#/discover/Steve-Slow-Train-Analysis-(2080s-and-2083s)?_g=(refreshInterval:(display:Off,pause:!f,section:0,value:0),time:(from:'2017-01-23T01:07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49" t="str">
        <f t="shared" si="63"/>
        <v>Y</v>
      </c>
      <c r="X206" s="170">
        <f t="shared" si="64"/>
        <v>0</v>
      </c>
      <c r="Y206" s="64">
        <f t="shared" si="65"/>
        <v>2.3306</v>
      </c>
      <c r="Z206" s="64">
        <f t="shared" si="66"/>
        <v>2.3346</v>
      </c>
      <c r="AA206" s="64">
        <f t="shared" si="67"/>
        <v>4.0000000000000036E-3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68"/>
        <v>0315-22</v>
      </c>
      <c r="AE206" s="87" t="str">
        <f t="shared" si="69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6" s="84" t="str">
        <f t="shared" si="70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06" s="1" t="str">
        <f t="shared" si="71"/>
        <v>Other</v>
      </c>
      <c r="AH206" s="88" t="str">
        <f t="shared" si="72"/>
        <v>"%USERPROFILE%\Documents\GitHub\eaglep3\Utilities\RefineRTDCRunTimes.py" --tripid 315-22 --locoid 4007 --swversion DE.1.0.8.0 --startMP 300:23306 --initTime 2017-01-23T02:07:21 --startdatetime 1969-12-31T17:00:00 --delay 9 --endMP 300:23346 --enddatetime 1969-12-31T17:00:00 --enforcementcount 1 &gt;&gt;C:\Users\stu\Documents\GitHub\eaglep3-reporting\EC\2017-01-22-refined-times.txt</v>
      </c>
      <c r="AI206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ID","value":"315-22"},{"id":16,"name":"Locomotive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si="74"/>
        <v>start /low /b %USERPROFILE%\Documents\GitHub\eaglep3\Utilities\DownloadLogsFromS3.py --loco 4007 --day 1969-12-31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2017-01-22-UncaughtWiMAX.txt</v>
      </c>
    </row>
    <row r="207" spans="1:91" x14ac:dyDescent="0.25">
      <c r="A207" s="34" t="s">
        <v>475</v>
      </c>
      <c r="B207" s="7">
        <v>4031</v>
      </c>
      <c r="C207" s="22" t="s">
        <v>196</v>
      </c>
      <c r="D207" s="22" t="s">
        <v>752</v>
      </c>
      <c r="E207" s="13">
        <v>42757.230740740742</v>
      </c>
      <c r="F207" s="13">
        <v>42757.231782407405</v>
      </c>
      <c r="G207" s="7">
        <v>1</v>
      </c>
      <c r="H207" s="22" t="s">
        <v>713</v>
      </c>
      <c r="I207" s="13">
        <v>42757.236759259256</v>
      </c>
      <c r="J207" s="7">
        <v>1</v>
      </c>
      <c r="K207" s="105" t="str">
        <f t="shared" si="57"/>
        <v>4031/4032</v>
      </c>
      <c r="L207" s="22" t="str">
        <f>VLOOKUP(A207,'Trips&amp;Operators'!$C$1:$G$99999,5,FALSE)</f>
        <v>YORK EDGAR</v>
      </c>
      <c r="M207" s="6">
        <f t="shared" si="58"/>
        <v>4.9768518510973081E-3</v>
      </c>
      <c r="N207" s="7">
        <f t="shared" si="59"/>
        <v>7.1666666655801237</v>
      </c>
      <c r="O207" s="7"/>
      <c r="P207" s="7"/>
      <c r="Q207" s="23"/>
      <c r="R207" s="23"/>
      <c r="S207" s="32">
        <f t="shared" si="60"/>
        <v>0</v>
      </c>
      <c r="T207" s="47" t="str">
        <f t="shared" si="61"/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4" t="str">
        <f t="shared" si="62"/>
        <v>https://d0f6bd738d7f1b3e5a7ca70fe4ff75f0.us-east-1.aws.found.io/app/kibana#/discover/Steve-Slow-Train-Analysis-(2080s-and-2083s)?_g=(refreshInterval:(display:Off,pause:!f,section:0,value:0),time:(from:'2017-01-22T04:32:16-0700',mode:absolute,to:'2017-01-22T06:40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7" s="49" t="str">
        <f t="shared" si="63"/>
        <v>Y</v>
      </c>
      <c r="X207" s="170">
        <f t="shared" si="64"/>
        <v>1586</v>
      </c>
      <c r="Y207" s="64">
        <f t="shared" si="65"/>
        <v>3.0087000000000002</v>
      </c>
      <c r="Z207" s="64">
        <f t="shared" si="66"/>
        <v>5.8930999999999996</v>
      </c>
      <c r="AA207" s="64">
        <f t="shared" si="67"/>
        <v>2.8843999999999994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68"/>
        <v>1901-22</v>
      </c>
      <c r="AE207" s="87" t="str">
        <f t="shared" si="69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207" s="84" t="str">
        <f t="shared" si="70"/>
        <v>"C:\Program Files (x86)\AstroGrep\AstroGrep.exe" /spath="%USERPROFILE%\AppData\Local\Temp\OnboardLogs" /stypes="app*4031*20170122*" /stext=" 12:.+((SYSTEM_STATE.+slice.+state.+changed )|(ment ac)|(multiple cpu faults)|(system.+state.+changed )|(\[timeout)|(PRM\|1\|D)|(kpr)|(kdp)|(\|lc)|(penalty))" /e /r /s</v>
      </c>
      <c r="AG207" s="1" t="str">
        <f t="shared" si="71"/>
        <v>Other</v>
      </c>
      <c r="AH207" s="88" t="str">
        <f t="shared" si="72"/>
        <v>"%USERPROFILE%\Documents\GitHub\eaglep3\Utilities\RefineRTDCRunTimes.py" --tripid 1901-22 --locoid 4031 --swversion DE.1.0.8.0 --startMP 300:30087 --initTime 2017-01-22T05:32:16 --startdatetime 2017-01-22T05:33:46 --delay 1 --endMP 300:58931 --enddatetime 2017-01-22T05:40:56 --enforcementcount 1 &gt;&gt;C:\Users\stu\Documents\GitHub\eaglep3-reporting\EC\2017-01-22-refined-times.txt</v>
      </c>
      <c r="AI207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{"issue":{"subject":"","project_id":79,"tracker_id":40,"status_id":1,"priority_id":2,"assigned_to_id":23,"start_date":"2017-01-22","description":"","custom_fields":[{"id":1,"name":"Subdivision","value":"Other"},{"id":4,"name":"Milepost","value":"5.8931"},{"id":17,"name":"Train ID","value":"1901-22"},{"id":16,"name":"Locomotive ID","value":"4031"},{"id":130,"name":"Impact","value":""},{"id":150,"name":"Time of Event (Mountain Time)","value":"05:40:56"},{"id":151,"name":"Denver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74"/>
        <v>start /low /b %USERPROFILE%\Documents\GitHub\eaglep3\Utilities\DownloadLogsFromS3.py --loco 4031 --day 2017-01-22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</row>
    <row r="208" spans="1:91" x14ac:dyDescent="0.25">
      <c r="A208" s="34" t="s">
        <v>644</v>
      </c>
      <c r="B208" s="7">
        <v>4032</v>
      </c>
      <c r="C208" s="22" t="s">
        <v>196</v>
      </c>
      <c r="D208" s="22" t="s">
        <v>753</v>
      </c>
      <c r="E208" s="13">
        <v>42757.942002314812</v>
      </c>
      <c r="F208" s="13">
        <v>25568.708333333332</v>
      </c>
      <c r="G208" s="7">
        <v>1</v>
      </c>
      <c r="H208" s="22" t="s">
        <v>754</v>
      </c>
      <c r="I208" s="13">
        <v>25568.708333333332</v>
      </c>
      <c r="J208" s="7">
        <v>1</v>
      </c>
      <c r="K208" s="105" t="str">
        <f t="shared" si="57"/>
        <v>4031/4032</v>
      </c>
      <c r="L208" s="22" t="str">
        <f>VLOOKUP(A208,'Trips&amp;Operators'!$C$1:$G$99999,5,FALSE)</f>
        <v>HELVIE ADAM</v>
      </c>
      <c r="M208" s="6">
        <f t="shared" si="58"/>
        <v>0</v>
      </c>
      <c r="N208" s="7">
        <f t="shared" si="59"/>
        <v>0</v>
      </c>
      <c r="O208" s="7"/>
      <c r="P208" s="7"/>
      <c r="Q208" s="23"/>
      <c r="R208" s="23"/>
      <c r="S208" s="32">
        <f t="shared" si="60"/>
        <v>0</v>
      </c>
      <c r="T208" s="47" t="str">
        <f t="shared" si="61"/>
        <v>Southbound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 t="shared" si="62"/>
        <v>https://d0f6bd738d7f1b3e5a7ca70fe4ff75f0.us-east-1.aws.found.io/app/kibana#/discover/Steve-Slow-Train-Analysis-(2080s-and-2083s)?_g=(refreshInterval:(display:Off,pause:!f,section:0,value:0),time:(from:'2017-01-22T21:36:29-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8" s="49" t="str">
        <f t="shared" si="63"/>
        <v>Y</v>
      </c>
      <c r="X208" s="170">
        <f t="shared" si="64"/>
        <v>1</v>
      </c>
      <c r="Y208" s="64">
        <f t="shared" si="65"/>
        <v>5.8628</v>
      </c>
      <c r="Z208" s="64">
        <f t="shared" si="66"/>
        <v>2.8784000000000001</v>
      </c>
      <c r="AA208" s="64">
        <f t="shared" si="67"/>
        <v>2.9843999999999999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68"/>
        <v>1902-22</v>
      </c>
      <c r="AE208" s="87" t="str">
        <f t="shared" si="69"/>
        <v>aws s3 cp s3://rtdc.mdm.uploadarchive.raw/RTDC4032/ "%USERPROFILE%\AppData\Local\Temp\OnboardLogs"\RTDC4032\1969-12-31 --exclude "*" --recursive --include "*19691231*" &amp; "%USERPROFILE%\Documents\GitHub\mrs-test-scripts\Headless Mode &amp; Sideloading\WalkAndUnGZ.bat" "%USERPROFILE%\AppData\Local\Temp\OnboardLogs"\RTDC4032\1969-12-31 &amp; aws s3 cp s3://rtdc.mdm.uploadarchive.raw/RTDC4032/ "%USERPROFILE%\AppData\Local\Temp\OnboardLogs"\RTDC4032\1970-01-01 --exclude "*" --recursive --include "*19700101*" &amp; "%USERPROFILE%\Documents\GitHub\mrs-test-scripts\Headless Mode &amp; Sideloading\WalkAndUnGZ.bat" "%USERPROFILE%\AppData\Local\Temp\OnboardLogs"\RTDC4032\1970-01-01</v>
      </c>
      <c r="AF208" s="84" t="str">
        <f t="shared" si="70"/>
        <v>"C:\Program Files (x86)\AstroGrep\AstroGrep.exe" /spath="%USERPROFILE%\AppData\Local\Temp\OnboardLogs" /stypes="app*4032*19700101*" /stext=" 00:.+((SYSTEM_STATE.+slice.+state.+changed )|(ment ac)|(multiple cpu faults)|(system.+state.+changed )|(\[timeout)|(PRM\|1\|D)|(kpr)|(kdp)|(\|lc)|(penalty))" /e /r /s</v>
      </c>
      <c r="AG208" s="1" t="str">
        <f t="shared" si="71"/>
        <v>Other</v>
      </c>
      <c r="AH208" s="88" t="str">
        <f t="shared" si="72"/>
        <v>"%USERPROFILE%\Documents\GitHub\eaglep3\Utilities\RefineRTDCRunTimes.py" --tripid 1902-22 --locoid 4032 --swversion DE.1.0.8.0 --startMP 300:58628 --initTime 2017-01-22T22:36:29 --startdatetime 1969-12-31T17:00:00 --delay 1 --endMP 300:28784 --enddatetime 1969-12-31T17:00:00 --enforcementcount 1 &gt;&gt;C:\Users\stu\Documents\GitHub\eaglep3-reporting\EC\2017-01-22-refined-times.txt</v>
      </c>
      <c r="AI208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{"issue":{"subject":"","project_id":79,"tracker_id":40,"status_id":1,"priority_id":2,"assigned_to_id":23,"start_date":"1969-12-31","description":"","custom_fields":[{"id":1,"name":"Subdivision","value":"Other"},{"id":4,"name":"Milepost","value":"2.8784"},{"id":17,"name":"Train ID","value":"1902-22"},{"id":16,"name":"Locomotive ID","value":"4032"},{"id":130,"name":"Impact","value":""},{"id":150,"name":"Time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74"/>
        <v>start /low /b %USERPROFILE%\Documents\GitHub\eaglep3\Utilities\DownloadLogsFromS3.py --loco 4032 --day 1969-12-31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"%USERPROFILE%\AppData\Local\Temp\OnboardLogs"\RTDC4032\*4032*19700101* | grep -SE "(Enforcement Action)|(\[TIMEOUT)|(CHR.+\|PRM\|1\|D.+(SWITCH|SIGNAL).+UNKNOWN)" - &gt;&gt; 2017-01-22-UncaughtWiMAX.txt</v>
      </c>
    </row>
    <row r="209" spans="1:91" s="21" customFormat="1" x14ac:dyDescent="0.25">
      <c r="A209" s="34" t="s">
        <v>439</v>
      </c>
      <c r="B209" s="7">
        <v>4030</v>
      </c>
      <c r="C209" s="22" t="s">
        <v>196</v>
      </c>
      <c r="D209" s="22" t="s">
        <v>781</v>
      </c>
      <c r="E209" s="13">
        <v>42757.44121527778</v>
      </c>
      <c r="F209" s="13">
        <v>42757.442546296297</v>
      </c>
      <c r="G209" s="7">
        <v>1</v>
      </c>
      <c r="H209" s="22" t="s">
        <v>782</v>
      </c>
      <c r="I209" s="13">
        <v>42757.448773148149</v>
      </c>
      <c r="J209" s="7">
        <v>1</v>
      </c>
      <c r="K209" s="105" t="str">
        <f t="shared" si="57"/>
        <v>4029/4030</v>
      </c>
      <c r="L209" s="22" t="str">
        <f>VLOOKUP(A209,'Trips&amp;Operators'!$C$1:$G$99999,5,FALSE)</f>
        <v>STEWART MICHAEL</v>
      </c>
      <c r="M209" s="6">
        <f t="shared" si="58"/>
        <v>6.2268518522614613E-3</v>
      </c>
      <c r="N209" s="7">
        <f t="shared" si="59"/>
        <v>8.9666666672565043</v>
      </c>
      <c r="O209" s="7"/>
      <c r="P209" s="7"/>
      <c r="Q209" s="23"/>
      <c r="R209" s="23"/>
      <c r="S209" s="32">
        <f t="shared" si="60"/>
        <v>0</v>
      </c>
      <c r="T209" s="47" t="e">
        <f t="shared" si="61"/>
        <v>#VALUE!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62"/>
        <v>https://d0f6bd738d7f1b3e5a7ca70fe4ff75f0.us-east-1.aws.found.io/app/kibana#/discover/Steve-Slow-Train-Analysis-(2080s-and-2083s)?_g=(refreshInterval:(display:Off,pause:!f,section:0,value:0),time:(from:'2017-01-22T09:35:21-0700',mode:absolute,to:'2017-01-22T11:46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9" s="49" t="str">
        <f t="shared" si="63"/>
        <v>Y</v>
      </c>
      <c r="X209" s="170" t="e">
        <f t="shared" si="64"/>
        <v>#VALUE!</v>
      </c>
      <c r="Y209" s="64">
        <f t="shared" si="65"/>
        <v>2.1960000000000002</v>
      </c>
      <c r="Z209" s="64">
        <f t="shared" si="66"/>
        <v>2.4899999999999999E-2</v>
      </c>
      <c r="AA209" s="64">
        <f t="shared" si="67"/>
        <v>2.1711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68"/>
        <v>50-22</v>
      </c>
      <c r="AE209" s="87" t="str">
        <f t="shared" si="69"/>
        <v>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 &amp; 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</v>
      </c>
      <c r="AF209" s="84" t="str">
        <f t="shared" si="70"/>
        <v>"C:\Program Files (x86)\AstroGrep\AstroGrep.exe" /spath="%USERPROFILE%\AppData\Local\Temp\OnboardLogs" /stypes="app*4030*20170122*" /stext=" 17:.+((SYSTEM_STATE.+slice.+state.+changed )|(ment ac)|(multiple cpu faults)|(system.+state.+changed )|(\[timeout)|(PRM\|1\|D)|(kpr)|(kdp)|(\|lc)|(penalty))" /e /r /s</v>
      </c>
      <c r="AG209" s="1" t="str">
        <f t="shared" si="71"/>
        <v>Other</v>
      </c>
      <c r="AH209" s="88" t="str">
        <f t="shared" si="72"/>
        <v>"%USERPROFILE%\Documents\GitHub\eaglep3\Utilities\RefineRTDCRunTimes.py" --tripid 50-22 --locoid 4030 --swversion DE.1.0.8.0 --startMP 300:21960 --initTime 2017-01-22T10:35:21 --startdatetime 2017-01-22T10:37:16 --delay 1 --endMP 204:249 --enddatetime 2017-01-22T10:46:14 --enforcementcount 1 &gt;&gt;C:\Users\stu\Documents\GitHub\eaglep3-reporting\EC\2017-01-22-refined-times.txt</v>
      </c>
      <c r="AI209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{"issue":{"subject":"","project_id":79,"tracker_id":40,"status_id":1,"priority_id":2,"assigned_to_id":23,"start_date":"2017-01-22","description":"","custom_fields":[{"id":1,"name":"Subdivision","value":"Other"},{"id":4,"name":"Milepost","value":"0.0249"},{"id":17,"name":"Train ID","value":"50-22"},{"id":16,"name":"Locomotive ID","value":"4030"},{"id":130,"name":"Impact","value":""},{"id":150,"name":"Time of Event (Mountain Time)","value":"10:46:14"},{"id":151,"name":"Denver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74"/>
        <v>start /low /b %USERPROFILE%\Documents\GitHub\eaglep3\Utilities\DownloadLogsFromS3.py --loco 4030 --day 2017-01-22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"%USERPROFILE%\AppData\Local\Temp\OnboardLogs"\RTDC4030\*4030*20170122* | grep -SE "(Enforcement Action)|(\[TIMEOUT)|(CHR.+\|PRM\|1\|D.+(SWITCH|SIGNAL).+UNKNOWN)" - &gt;&gt; 2017-01-22-UncaughtWiMAX.txt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4" t="s">
        <v>532</v>
      </c>
      <c r="B210" s="7">
        <v>4029</v>
      </c>
      <c r="C210" s="22" t="s">
        <v>196</v>
      </c>
      <c r="D210" s="22" t="s">
        <v>718</v>
      </c>
      <c r="E210" s="13">
        <v>42757.467523148145</v>
      </c>
      <c r="F210" s="13">
        <v>42757.469259259262</v>
      </c>
      <c r="G210" s="7">
        <v>2</v>
      </c>
      <c r="H210" s="22" t="s">
        <v>783</v>
      </c>
      <c r="I210" s="13">
        <v>42757.475497685184</v>
      </c>
      <c r="J210" s="7">
        <v>1</v>
      </c>
      <c r="K210" s="105" t="str">
        <f t="shared" si="57"/>
        <v>4029/4030</v>
      </c>
      <c r="L210" s="22" t="str">
        <f>VLOOKUP(A210,'Trips&amp;Operators'!$C$1:$G$99999,5,FALSE)</f>
        <v>ARVIDSON DANIEL</v>
      </c>
      <c r="M210" s="6">
        <f t="shared" si="58"/>
        <v>6.2384259217651561E-3</v>
      </c>
      <c r="N210" s="7">
        <f t="shared" si="59"/>
        <v>8.9833333273418248</v>
      </c>
      <c r="O210" s="7"/>
      <c r="P210" s="7"/>
      <c r="Q210" s="23"/>
      <c r="R210" s="23"/>
      <c r="S210" s="32">
        <f t="shared" si="60"/>
        <v>0</v>
      </c>
      <c r="T210" s="47" t="e">
        <f t="shared" si="61"/>
        <v>#VALUE!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 t="shared" si="62"/>
        <v>https://d0f6bd738d7f1b3e5a7ca70fe4ff75f0.us-east-1.aws.found.io/app/kibana#/discover/Steve-Slow-Train-Analysis-(2080s-and-2083s)?_g=(refreshInterval:(display:Off,pause:!f,section:0,value:0),time:(from:'2017-01-22T10:13:14-0700',mode:absolute,to:'2017-01-22T12:24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0" s="49" t="str">
        <f t="shared" si="63"/>
        <v>Y</v>
      </c>
      <c r="X210" s="170" t="e">
        <f t="shared" si="64"/>
        <v>#VALUE!</v>
      </c>
      <c r="Y210" s="64">
        <f t="shared" si="65"/>
        <v>0.1021</v>
      </c>
      <c r="Z210" s="64">
        <f t="shared" si="66"/>
        <v>2.4226000000000001</v>
      </c>
      <c r="AA210" s="64">
        <f t="shared" si="67"/>
        <v>2.3205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68"/>
        <v>51-22</v>
      </c>
      <c r="AE210" s="87" t="str">
        <f t="shared" si="69"/>
        <v>aws s3 cp s3://rtdc.mdm.uploadarchive.raw/RTDC4029/ "%USERPROFILE%\AppData\Local\Temp\OnboardLogs"\RTDC4029\2017-01-22 --exclude "*" --recursive --include "*20170122*" &amp; "%USERPROFILE%\Documents\GitHub\mrs-test-scripts\Headless Mode &amp; Sideloading\WalkAndUnGZ.bat" "%USERPROFILE%\AppData\Local\Temp\OnboardLogs"\RTDC4029\2017-01-22 &amp; 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</v>
      </c>
      <c r="AF210" s="84" t="str">
        <f t="shared" si="70"/>
        <v>"C:\Program Files (x86)\AstroGrep\AstroGrep.exe" /spath="%USERPROFILE%\AppData\Local\Temp\OnboardLogs" /stypes="app*4029*20170122*" /stext=" 18:.+((SYSTEM_STATE.+slice.+state.+changed )|(ment ac)|(multiple cpu faults)|(system.+state.+changed )|(\[timeout)|(PRM\|1\|D)|(kpr)|(kdp)|(\|lc)|(penalty))" /e /r /s</v>
      </c>
      <c r="AG210" s="1" t="str">
        <f t="shared" si="71"/>
        <v>Other</v>
      </c>
      <c r="AH210" s="88" t="str">
        <f t="shared" si="72"/>
        <v>"%USERPROFILE%\Documents\GitHub\eaglep3\Utilities\RefineRTDCRunTimes.py" --tripid 51-22 --locoid 4029 --swversion DE.1.0.8.0 --startMP 204:1021 --initTime 2017-01-22T11:13:14 --startdatetime 2017-01-22T11:15:44 --delay 2 --endMP 300:24226 --enddatetime 2017-01-22T11:24:43 --enforcementcount 1 &gt;&gt;C:\Users\stu\Documents\GitHub\eaglep3-reporting\EC\2017-01-22-refined-times.txt</v>
      </c>
      <c r="AI210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{"issue":{"subject":"","project_id":79,"tracker_id":40,"status_id":1,"priority_id":2,"assigned_to_id":23,"start_date":"2017-01-22","description":"","custom_fields":[{"id":1,"name":"Subdivision","value":"Other"},{"id":4,"name":"Milepost","value":"2.4226"},{"id":17,"name":"Train ID","value":"51-22"},{"id":16,"name":"Locomotive ID","value":"4029"},{"id":130,"name":"Impact","value":""},{"id":150,"name":"Time of Event (Mountain Time)","value":"11:24:43"},{"id":151,"name":"Denver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74"/>
        <v>start /low /b %USERPROFILE%\Documents\GitHub\eaglep3\Utilities\DownloadLogsFromS3.py --loco 4029 --day 2017-01-22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"%USERPROFILE%\AppData\Local\Temp\OnboardLogs"\RTDC4029\*4029*20170122* | grep -SE "(Enforcement Action)|(\[TIMEOUT)|(CHR.+\|PRM\|1\|D.+(SWITCH|SIGNAL).+UNKNOWN)" - &gt;&gt; 2017-01-22-UncaughtWiMAX.txt</v>
      </c>
    </row>
    <row r="211" spans="1:91" s="21" customFormat="1" x14ac:dyDescent="0.25">
      <c r="A211" s="34" t="s">
        <v>440</v>
      </c>
      <c r="B211" s="7">
        <v>4039</v>
      </c>
      <c r="C211" s="22" t="s">
        <v>196</v>
      </c>
      <c r="D211" s="22" t="s">
        <v>784</v>
      </c>
      <c r="E211" s="13">
        <v>42757.452916666669</v>
      </c>
      <c r="F211" s="13">
        <v>42757.456377314818</v>
      </c>
      <c r="G211" s="7">
        <v>4</v>
      </c>
      <c r="H211" s="22" t="s">
        <v>785</v>
      </c>
      <c r="I211" s="13">
        <v>42757.456909722219</v>
      </c>
      <c r="J211" s="7">
        <v>1</v>
      </c>
      <c r="K211" s="105" t="str">
        <f t="shared" si="57"/>
        <v>4039/4040</v>
      </c>
      <c r="L211" s="22" t="str">
        <f>VLOOKUP(A211,'Trips&amp;Operators'!$C$1:$G$99999,5,FALSE)</f>
        <v>LEVIN SCOTT</v>
      </c>
      <c r="M211" s="6">
        <f t="shared" si="58"/>
        <v>5.3240740089677274E-4</v>
      </c>
      <c r="N211" s="7">
        <f t="shared" si="59"/>
        <v>0.76666665729135275</v>
      </c>
      <c r="O211" s="7"/>
      <c r="P211" s="7"/>
      <c r="Q211" s="23"/>
      <c r="R211" s="23"/>
      <c r="S211" s="32">
        <f t="shared" si="60"/>
        <v>0</v>
      </c>
      <c r="T211" s="47" t="e">
        <f t="shared" si="61"/>
        <v>#VALUE!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62"/>
        <v>https://d0f6bd738d7f1b3e5a7ca70fe4ff75f0.us-east-1.aws.found.io/app/kibana#/discover/Steve-Slow-Train-Analysis-(2080s-and-2083s)?_g=(refreshInterval:(display:Off,pause:!f,section:0,value:0),time:(from:'2017-01-22T09:52:12-0700',mode:absolute,to:'2017-01-22T11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1" s="49" t="str">
        <f t="shared" si="63"/>
        <v>Y</v>
      </c>
      <c r="X211" s="170" t="e">
        <f t="shared" si="64"/>
        <v>#VALUE!</v>
      </c>
      <c r="Y211" s="64">
        <f t="shared" si="65"/>
        <v>2.2480000000000002</v>
      </c>
      <c r="Z211" s="64">
        <f t="shared" si="66"/>
        <v>2.1735000000000002</v>
      </c>
      <c r="AA211" s="64">
        <f t="shared" si="67"/>
        <v>7.4500000000000011E-2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68"/>
        <v>52-22</v>
      </c>
      <c r="AE211" s="87" t="str">
        <f t="shared" si="69"/>
        <v>aws s3 cp s3://rtdc.mdm.uploadarchive.raw/RTDC4039/ "%USERPROFILE%\AppData\Local\Temp\OnboardLogs"\RTDC4039\2017-01-22 --exclude "*" --recursive --include "*20170122*" &amp; "%USERPROFILE%\Documents\GitHub\mrs-test-scripts\Headless Mode &amp; Sideloading\WalkAndUnGZ.bat" "%USERPROFILE%\AppData\Local\Temp\OnboardLogs"\RTDC4039\2017-01-22 &amp; 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</v>
      </c>
      <c r="AF211" s="84" t="str">
        <f t="shared" si="70"/>
        <v>"C:\Program Files (x86)\AstroGrep\AstroGrep.exe" /spath="%USERPROFILE%\AppData\Local\Temp\OnboardLogs" /stypes="app*4039*20170122*" /stext=" 17:.+((SYSTEM_STATE.+slice.+state.+changed )|(ment ac)|(multiple cpu faults)|(system.+state.+changed )|(\[timeout)|(PRM\|1\|D)|(kpr)|(kdp)|(\|lc)|(penalty))" /e /r /s</v>
      </c>
      <c r="AG211" s="1" t="str">
        <f t="shared" si="71"/>
        <v>Other</v>
      </c>
      <c r="AH211" s="88" t="str">
        <f t="shared" si="72"/>
        <v>"%USERPROFILE%\Documents\GitHub\eaglep3\Utilities\RefineRTDCRunTimes.py" --tripid 52-22 --locoid 4039 --swversion DE.1.0.8.0 --startMP 300:22480 --initTime 2017-01-22T10:52:12 --startdatetime 2017-01-22T10:57:11 --delay 4 --endMP 300:21735 --enddatetime 2017-01-22T10:57:57 --enforcementcount 1 &gt;&gt;C:\Users\stu\Documents\GitHub\eaglep3-reporting\EC\2017-01-22-refined-times.txt</v>
      </c>
      <c r="AI211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{"issue":{"subject":"","project_id":79,"tracker_id":40,"status_id":1,"priority_id":2,"assigned_to_id":23,"start_date":"2017-01-22","description":"","custom_fields":[{"id":1,"name":"Subdivision","value":"Other"},{"id":4,"name":"Milepost","value":"2.1735"},{"id":17,"name":"Train ID","value":"52-22"},{"id":16,"name":"Locomotive ID","value":"4039"},{"id":130,"name":"Impact","value":""},{"id":150,"name":"Time of Event (Mountain Time)","value":"10:57:57"},{"id":151,"name":"Denver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74"/>
        <v>start /low /b %USERPROFILE%\Documents\GitHub\eaglep3\Utilities\DownloadLogsFromS3.py --loco 4039 --day 2017-01-22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"%USERPROFILE%\AppData\Local\Temp\OnboardLogs"\RTDC4039\*4039*20170122* | grep -SE "(Enforcement Action)|(\[TIMEOUT)|(CHR.+\|PRM\|1\|D.+(SWITCH|SIGNAL).+UNKNOWN)" - &gt;&gt; 2017-01-22-UncaughtWiMAX.txt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4" t="s">
        <v>537</v>
      </c>
      <c r="B212" s="7">
        <v>4040</v>
      </c>
      <c r="C212" s="22" t="s">
        <v>196</v>
      </c>
      <c r="D212" s="22" t="s">
        <v>786</v>
      </c>
      <c r="E212" s="13">
        <v>42757.483796296299</v>
      </c>
      <c r="F212" s="13">
        <v>42757.487662037034</v>
      </c>
      <c r="G212" s="7">
        <v>1</v>
      </c>
      <c r="H212" s="22" t="s">
        <v>787</v>
      </c>
      <c r="I212" s="13">
        <v>42757.500925925924</v>
      </c>
      <c r="J212" s="7">
        <v>1</v>
      </c>
      <c r="K212" s="105" t="str">
        <f t="shared" si="57"/>
        <v>4039/4040</v>
      </c>
      <c r="L212" s="22" t="str">
        <f>VLOOKUP(A212,'Trips&amp;Operators'!$C$1:$G$99999,5,FALSE)</f>
        <v>DAVIS WENDY</v>
      </c>
      <c r="M212" s="6">
        <f t="shared" si="58"/>
        <v>1.3263888889923692E-2</v>
      </c>
      <c r="N212" s="7">
        <f t="shared" si="59"/>
        <v>19.100000001490116</v>
      </c>
      <c r="O212" s="7"/>
      <c r="P212" s="7"/>
      <c r="Q212" s="23"/>
      <c r="R212" s="23"/>
      <c r="S212" s="32">
        <f t="shared" si="60"/>
        <v>0</v>
      </c>
      <c r="T212" s="47" t="e">
        <f t="shared" si="61"/>
        <v>#VALUE!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 t="shared" si="62"/>
        <v>https://d0f6bd738d7f1b3e5a7ca70fe4ff75f0.us-east-1.aws.found.io/app/kibana#/discover/Steve-Slow-Train-Analysis-(2080s-and-2083s)?_g=(refreshInterval:(display:Off,pause:!f,section:0,value:0),time:(from:'2017-01-22T10:36:40-0700',mode:absolute,to:'2017-01-22T13:01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2" s="49" t="str">
        <f t="shared" si="63"/>
        <v>Y</v>
      </c>
      <c r="X212" s="170" t="e">
        <f t="shared" si="64"/>
        <v>#VALUE!</v>
      </c>
      <c r="Y212" s="64">
        <f t="shared" si="65"/>
        <v>0.1157</v>
      </c>
      <c r="Z212" s="64">
        <f t="shared" si="66"/>
        <v>2.5577000000000001</v>
      </c>
      <c r="AA212" s="64">
        <f t="shared" si="67"/>
        <v>2.4420000000000002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68"/>
        <v>53-22</v>
      </c>
      <c r="AE212" s="87" t="str">
        <f t="shared" si="69"/>
        <v>aws s3 cp s3://rtdc.mdm.uploadarchive.raw/RTDC4040/ "%USERPROFILE%\AppData\Local\Temp\OnboardLogs"\RTDC4040\2017-01-22 --exclude "*" --recursive --include "*20170122*" &amp; "%USERPROFILE%\Documents\GitHub\mrs-test-scripts\Headless Mode &amp; Sideloading\WalkAndUnGZ.bat" "%USERPROFILE%\AppData\Local\Temp\OnboardLogs"\RTDC4040\2017-01-22 &amp; 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</v>
      </c>
      <c r="AF212" s="84" t="str">
        <f t="shared" si="70"/>
        <v>"C:\Program Files (x86)\AstroGrep\AstroGrep.exe" /spath="%USERPROFILE%\AppData\Local\Temp\OnboardLogs" /stypes="app*4040*20170122*" /stext=" 19:.+((SYSTEM_STATE.+slice.+state.+changed )|(ment ac)|(multiple cpu faults)|(system.+state.+changed )|(\[timeout)|(PRM\|1\|D)|(kpr)|(kdp)|(\|lc)|(penalty))" /e /r /s</v>
      </c>
      <c r="AG212" s="1" t="str">
        <f t="shared" si="71"/>
        <v>Other</v>
      </c>
      <c r="AH212" s="88" t="str">
        <f t="shared" si="72"/>
        <v>"%USERPROFILE%\Documents\GitHub\eaglep3\Utilities\RefineRTDCRunTimes.py" --tripid 53-22 --locoid 4040 --swversion DE.1.0.8.0 --startMP 204:1157 --initTime 2017-01-22T11:36:40 --startdatetime 2017-01-22T11:42:14 --delay 1 --endMP 300:25577 --enddatetime 2017-01-22T12:01:20 --enforcementcount 1 &gt;&gt;C:\Users\stu\Documents\GitHub\eaglep3-reporting\EC\2017-01-22-refined-times.txt</v>
      </c>
      <c r="AI212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{"issue":{"subject":"","project_id":79,"tracker_id":40,"status_id":1,"priority_id":2,"assigned_to_id":23,"start_date":"2017-01-22","description":"","custom_fields":[{"id":1,"name":"Subdivision","value":"Other"},{"id":4,"name":"Milepost","value":"2.5577"},{"id":17,"name":"Train ID","value":"53-22"},{"id":16,"name":"Locomotive ID","value":"4040"},{"id":130,"name":"Impact","value":""},{"id":150,"name":"Time of Event (Mountain Time)","value":"12:01:20"},{"id":151,"name":"Denver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74"/>
        <v>start /low /b %USERPROFILE%\Documents\GitHub\eaglep3\Utilities\DownloadLogsFromS3.py --loco 4040 --day 2017-01-22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"%USERPROFILE%\AppData\Local\Temp\OnboardLogs"\RTDC4040\*4040*20170122* | grep -SE "(Enforcement Action)|(\[TIMEOUT)|(CHR.+\|PRM\|1\|D.+(SWITCH|SIGNAL).+UNKNOWN)" - &gt;&gt; 2017-01-22-UncaughtWiMAX.txt</v>
      </c>
    </row>
    <row r="213" spans="1:91" x14ac:dyDescent="0.25">
      <c r="A213" s="34" t="s">
        <v>441</v>
      </c>
      <c r="B213" s="7">
        <v>4030</v>
      </c>
      <c r="C213" s="22" t="s">
        <v>196</v>
      </c>
      <c r="D213" s="22" t="s">
        <v>788</v>
      </c>
      <c r="E213" s="13">
        <v>42757.498379629629</v>
      </c>
      <c r="F213" s="13">
        <v>42757.499872685185</v>
      </c>
      <c r="G213" s="7">
        <v>1</v>
      </c>
      <c r="H213" s="22" t="s">
        <v>789</v>
      </c>
      <c r="I213" s="13">
        <v>42757.505648148152</v>
      </c>
      <c r="J213" s="7">
        <v>1</v>
      </c>
      <c r="K213" s="105" t="str">
        <f t="shared" si="57"/>
        <v>4029/4030</v>
      </c>
      <c r="L213" s="22" t="str">
        <f>VLOOKUP(A213,'Trips&amp;Operators'!$C$1:$G$99999,5,FALSE)</f>
        <v>KILLION DAVID</v>
      </c>
      <c r="M213" s="6">
        <f t="shared" si="58"/>
        <v>5.7754629669943824E-3</v>
      </c>
      <c r="N213" s="7">
        <f t="shared" si="59"/>
        <v>8.3166666724719107</v>
      </c>
      <c r="O213" s="7"/>
      <c r="P213" s="7"/>
      <c r="Q213" s="23"/>
      <c r="R213" s="23"/>
      <c r="S213" s="32">
        <f t="shared" si="60"/>
        <v>0</v>
      </c>
      <c r="T213" s="47" t="e">
        <f t="shared" si="61"/>
        <v>#VALUE!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62"/>
        <v>https://d0f6bd738d7f1b3e5a7ca70fe4ff75f0.us-east-1.aws.found.io/app/kibana#/discover/Steve-Slow-Train-Analysis-(2080s-and-2083s)?_g=(refreshInterval:(display:Off,pause:!f,section:0,value:0),time:(from:'2017-01-22T10:57:40-0700',mode:absolute,to:'2017-01-22T13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3" s="49" t="str">
        <f t="shared" si="63"/>
        <v>Y</v>
      </c>
      <c r="X213" s="170" t="e">
        <f t="shared" si="64"/>
        <v>#VALUE!</v>
      </c>
      <c r="Y213" s="64">
        <f t="shared" si="65"/>
        <v>2.1145999999999998</v>
      </c>
      <c r="Z213" s="64">
        <f t="shared" si="66"/>
        <v>7.3000000000000001E-3</v>
      </c>
      <c r="AA213" s="64">
        <f t="shared" si="67"/>
        <v>2.1073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68"/>
        <v>56-22</v>
      </c>
      <c r="AE213" s="87" t="str">
        <f t="shared" si="69"/>
        <v>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 &amp; 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</v>
      </c>
      <c r="AF213" s="84" t="str">
        <f t="shared" si="70"/>
        <v>"C:\Program Files (x86)\AstroGrep\AstroGrep.exe" /spath="%USERPROFILE%\AppData\Local\Temp\OnboardLogs" /stypes="app*4030*20170122*" /stext=" 19:.+((SYSTEM_STATE.+slice.+state.+changed )|(ment ac)|(multiple cpu faults)|(system.+state.+changed )|(\[timeout)|(PRM\|1\|D)|(kpr)|(kdp)|(\|lc)|(penalty))" /e /r /s</v>
      </c>
      <c r="AG213" s="1" t="str">
        <f t="shared" si="71"/>
        <v>Other</v>
      </c>
      <c r="AH213" s="88" t="str">
        <f t="shared" si="72"/>
        <v>"%USERPROFILE%\Documents\GitHub\eaglep3\Utilities\RefineRTDCRunTimes.py" --tripid 56-22 --locoid 4030 --swversion DE.1.0.8.0 --startMP 300:21146 --initTime 2017-01-22T11:57:40 --startdatetime 2017-01-22T11:59:49 --delay 1 --endMP 204:73 --enddatetime 2017-01-22T12:08:08 --enforcementcount 1 &gt;&gt;C:\Users\stu\Documents\GitHub\eaglep3-reporting\EC\2017-01-22-refined-times.txt</v>
      </c>
      <c r="AI213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{"issue":{"subject":"","project_id":79,"tracker_id":40,"status_id":1,"priority_id":2,"assigned_to_id":23,"start_date":"2017-01-22","description":"","custom_fields":[{"id":1,"name":"Subdivision","value":"Other"},{"id":4,"name":"Milepost","value":"0.0073"},{"id":17,"name":"Train ID","value":"56-22"},{"id":16,"name":"Locomotive ID","value":"4030"},{"id":130,"name":"Impact","value":""},{"id":150,"name":"Time of Event (Mountain Time)","value":"12:08:08"},{"id":151,"name":"Denver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74"/>
        <v>start /low /b %USERPROFILE%\Documents\GitHub\eaglep3\Utilities\DownloadLogsFromS3.py --loco 4030 --day 2017-01-22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"%USERPROFILE%\AppData\Local\Temp\OnboardLogs"\RTDC4030\*4030*20170122* | grep -SE "(Enforcement Action)|(\[TIMEOUT)|(CHR.+\|PRM\|1\|D.+(SWITCH|SIGNAL).+UNKNOWN)" - &gt;&gt; 2017-01-22-UncaughtWiMAX.txt</v>
      </c>
    </row>
    <row r="214" spans="1:91" x14ac:dyDescent="0.25">
      <c r="A214" s="34" t="s">
        <v>549</v>
      </c>
      <c r="B214" s="7">
        <v>4029</v>
      </c>
      <c r="C214" s="22" t="s">
        <v>196</v>
      </c>
      <c r="D214" s="22" t="s">
        <v>790</v>
      </c>
      <c r="E214" s="13">
        <v>42757.520543981482</v>
      </c>
      <c r="F214" s="13">
        <v>25568.708333333332</v>
      </c>
      <c r="G214" s="7">
        <v>1</v>
      </c>
      <c r="H214" s="22" t="s">
        <v>420</v>
      </c>
      <c r="I214" s="13">
        <v>25568.708333333332</v>
      </c>
      <c r="J214" s="7">
        <v>1</v>
      </c>
      <c r="K214" s="105" t="str">
        <f t="shared" si="57"/>
        <v>4029/4030</v>
      </c>
      <c r="L214" s="22" t="str">
        <f>VLOOKUP(A214,'Trips&amp;Operators'!$C$1:$G$99999,5,FALSE)</f>
        <v>SHOOK JOHN</v>
      </c>
      <c r="M214" s="6">
        <f t="shared" si="58"/>
        <v>0</v>
      </c>
      <c r="N214" s="7">
        <f t="shared" si="59"/>
        <v>0</v>
      </c>
      <c r="O214" s="7"/>
      <c r="P214" s="7"/>
      <c r="Q214" s="23"/>
      <c r="R214" s="23"/>
      <c r="S214" s="32">
        <f t="shared" si="60"/>
        <v>0</v>
      </c>
      <c r="T214" s="47" t="e">
        <f t="shared" si="61"/>
        <v>#VALUE!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62"/>
        <v>https://d0f6bd738d7f1b3e5a7ca70fe4ff75f0.us-east-1.aws.found.io/app/kibana#/discover/Steve-Slow-Train-Analysis-(2080s-and-2083s)?_g=(refreshInterval:(display:Off,pause:!f,section:0,value:0),time:(from:'2017-01-22T11:29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4" s="49" t="str">
        <f t="shared" si="63"/>
        <v>Y</v>
      </c>
      <c r="X214" s="170" t="e">
        <f t="shared" si="64"/>
        <v>#VALUE!</v>
      </c>
      <c r="Y214" s="64">
        <f t="shared" si="65"/>
        <v>3.9399999999999998E-2</v>
      </c>
      <c r="Z214" s="64">
        <f t="shared" si="66"/>
        <v>2.4214000000000002</v>
      </c>
      <c r="AA214" s="64">
        <f t="shared" si="67"/>
        <v>2.3820000000000001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68"/>
        <v>57-22</v>
      </c>
      <c r="AE214" s="87" t="str">
        <f t="shared" si="6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4" s="84" t="str">
        <f t="shared" si="70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4" s="1" t="str">
        <f t="shared" si="71"/>
        <v>Other</v>
      </c>
      <c r="AH214" s="88" t="str">
        <f t="shared" si="72"/>
        <v>"%USERPROFILE%\Documents\GitHub\eaglep3\Utilities\RefineRTDCRunTimes.py" --tripid 57-22 --locoid 4029 --swversion DE.1.0.8.0 --startMP 204:394 --initTime 2017-01-22T12:29:35 --startdatetime 1969-12-31T17:00:00 --delay 1 --endMP 300:24214 --enddatetime 1969-12-31T17:00:00 --enforcementcount 1 &gt;&gt;C:\Users\stu\Documents\GitHub\eaglep3-reporting\EC\2017-01-22-refined-times.txt</v>
      </c>
      <c r="AI214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ID","value":"57-22"},{"id":16,"name":"Locomotive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74"/>
        <v>start /low /b %USERPROFILE%\Documents\GitHub\eaglep3\Utilities\DownloadLogsFromS3.py --loco 4029 --day 1969-12-31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2017-01-22-UncaughtWiMAX.txt</v>
      </c>
    </row>
    <row r="215" spans="1:91" s="21" customFormat="1" x14ac:dyDescent="0.25">
      <c r="A215" s="34" t="s">
        <v>445</v>
      </c>
      <c r="B215" s="7">
        <v>4030</v>
      </c>
      <c r="C215" s="22" t="s">
        <v>196</v>
      </c>
      <c r="D215" s="22" t="s">
        <v>791</v>
      </c>
      <c r="E215" s="13">
        <v>42757.694016203706</v>
      </c>
      <c r="F215" s="13">
        <v>42757.695081018515</v>
      </c>
      <c r="G215" s="7">
        <v>1</v>
      </c>
      <c r="H215" s="22" t="s">
        <v>416</v>
      </c>
      <c r="I215" s="13">
        <v>42757.702280092592</v>
      </c>
      <c r="J215" s="7">
        <v>1</v>
      </c>
      <c r="K215" s="105" t="str">
        <f t="shared" si="57"/>
        <v>4029/4030</v>
      </c>
      <c r="L215" s="22" t="str">
        <f>VLOOKUP(A215,'Trips&amp;Operators'!$C$1:$G$99999,5,FALSE)</f>
        <v>CHANDLER KELVIN</v>
      </c>
      <c r="M215" s="6">
        <f t="shared" si="58"/>
        <v>7.1990740761975758E-3</v>
      </c>
      <c r="N215" s="7">
        <f t="shared" si="59"/>
        <v>10.366666669724509</v>
      </c>
      <c r="O215" s="7"/>
      <c r="P215" s="7"/>
      <c r="Q215" s="23"/>
      <c r="R215" s="23"/>
      <c r="S215" s="32">
        <f t="shared" si="60"/>
        <v>0</v>
      </c>
      <c r="T215" s="47" t="e">
        <f t="shared" si="61"/>
        <v>#VALUE!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62"/>
        <v>https://d0f6bd738d7f1b3e5a7ca70fe4ff75f0.us-east-1.aws.found.io/app/kibana#/discover/Steve-Slow-Train-Analysis-(2080s-and-2083s)?_g=(refreshInterval:(display:Off,pause:!f,section:0,value:0),time:(from:'2017-01-22T15:39:23-0700',mode:absolute,to:'2017-01-22T17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5" s="49" t="str">
        <f t="shared" si="63"/>
        <v>Y</v>
      </c>
      <c r="X215" s="170" t="e">
        <f t="shared" si="64"/>
        <v>#VALUE!</v>
      </c>
      <c r="Y215" s="64">
        <f t="shared" si="65"/>
        <v>2.3235000000000001</v>
      </c>
      <c r="Z215" s="64">
        <f t="shared" si="66"/>
        <v>8.8000000000000005E-3</v>
      </c>
      <c r="AA215" s="64">
        <f t="shared" si="67"/>
        <v>2.3147000000000002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68"/>
        <v>58-22</v>
      </c>
      <c r="AE215" s="87" t="str">
        <f t="shared" si="69"/>
        <v>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 &amp; 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</v>
      </c>
      <c r="AF215" s="84" t="str">
        <f t="shared" si="70"/>
        <v>"C:\Program Files (x86)\AstroGrep\AstroGrep.exe" /spath="%USERPROFILE%\AppData\Local\Temp\OnboardLogs" /stypes="app*4030*20170122*" /stext=" 23:.+((SYSTEM_STATE.+slice.+state.+changed )|(ment ac)|(multiple cpu faults)|(system.+state.+changed )|(\[timeout)|(PRM\|1\|D)|(kpr)|(kdp)|(\|lc)|(penalty))" /e /r /s</v>
      </c>
      <c r="AG215" s="1" t="str">
        <f t="shared" si="71"/>
        <v>Other</v>
      </c>
      <c r="AH215" s="88" t="str">
        <f t="shared" si="72"/>
        <v>"%USERPROFILE%\Documents\GitHub\eaglep3\Utilities\RefineRTDCRunTimes.py" --tripid 58-22 --locoid 4030 --swversion DE.1.0.8.0 --startMP 300:23235 --initTime 2017-01-22T16:39:23 --startdatetime 2017-01-22T16:40:55 --delay 1 --endMP 204:88 --enddatetime 2017-01-22T16:51:17 --enforcementcount 1 &gt;&gt;C:\Users\stu\Documents\GitHub\eaglep3-reporting\EC\2017-01-22-refined-times.txt</v>
      </c>
      <c r="AI215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{"issue":{"subject":"","project_id":79,"tracker_id":40,"status_id":1,"priority_id":2,"assigned_to_id":23,"start_date":"2017-01-22","description":"","custom_fields":[{"id":1,"name":"Subdivision","value":"Other"},{"id":4,"name":"Milepost","value":"0.0088"},{"id":17,"name":"Train ID","value":"58-22"},{"id":16,"name":"Locomotive ID","value":"4030"},{"id":130,"name":"Impact","value":""},{"id":150,"name":"Time of Event (Mountain Time)","value":"16:51:17"},{"id":151,"name":"Denver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74"/>
        <v>start /low /b %USERPROFILE%\Documents\GitHub\eaglep3\Utilities\DownloadLogsFromS3.py --loco 4030 --day 2017-01-22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"%USERPROFILE%\AppData\Local\Temp\OnboardLogs"\RTDC4030\*4030*20170122* | grep -SE "(Enforcement Action)|(\[TIMEOUT)|(CHR.+\|PRM\|1\|D.+(SWITCH|SIGNAL).+UNKNOWN)" - &gt;&gt; 2017-01-22-UncaughtWiMAX.txt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4" t="s">
        <v>614</v>
      </c>
      <c r="B216" s="7">
        <v>4040</v>
      </c>
      <c r="C216" s="22" t="s">
        <v>196</v>
      </c>
      <c r="D216" s="22" t="s">
        <v>229</v>
      </c>
      <c r="E216" s="13">
        <v>42757.767766203702</v>
      </c>
      <c r="F216" s="13">
        <v>25568.708333333332</v>
      </c>
      <c r="G216" s="7">
        <v>2</v>
      </c>
      <c r="H216" s="22" t="s">
        <v>779</v>
      </c>
      <c r="I216" s="13">
        <v>25568.708333333332</v>
      </c>
      <c r="J216" s="7">
        <v>1</v>
      </c>
      <c r="K216" s="105" t="str">
        <f t="shared" si="57"/>
        <v>4039/4040</v>
      </c>
      <c r="L216" s="22" t="str">
        <f>VLOOKUP(A216,'Trips&amp;Operators'!$C$1:$G$99999,5,FALSE)</f>
        <v>LEVIN SCOTT</v>
      </c>
      <c r="M216" s="6">
        <f t="shared" si="58"/>
        <v>0</v>
      </c>
      <c r="N216" s="7">
        <f t="shared" si="59"/>
        <v>0</v>
      </c>
      <c r="O216" s="7"/>
      <c r="P216" s="7"/>
      <c r="Q216" s="23"/>
      <c r="R216" s="23"/>
      <c r="S216" s="32">
        <f t="shared" si="60"/>
        <v>0</v>
      </c>
      <c r="T216" s="47" t="e">
        <f t="shared" si="61"/>
        <v>#VALUE!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62"/>
        <v>https://d0f6bd738d7f1b3e5a7ca70fe4ff75f0.us-east-1.aws.found.io/app/kibana#/discover/Steve-Slow-Train-Analysis-(2080s-and-2083s)?_g=(refreshInterval:(display:Off,pause:!f,section:0,value:0),time:(from:'2017-01-22T17:25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6" s="49" t="str">
        <f t="shared" si="63"/>
        <v>Y</v>
      </c>
      <c r="X216" s="170" t="e">
        <f t="shared" si="64"/>
        <v>#VALUE!</v>
      </c>
      <c r="Y216" s="64">
        <f t="shared" si="65"/>
        <v>4.4600000000000001E-2</v>
      </c>
      <c r="Z216" s="64">
        <f t="shared" si="66"/>
        <v>2.3308</v>
      </c>
      <c r="AA216" s="64">
        <f t="shared" si="67"/>
        <v>2.2862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68"/>
        <v>59-22</v>
      </c>
      <c r="AE216" s="87" t="str">
        <f t="shared" si="69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6" s="84" t="str">
        <f t="shared" si="70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16" s="1" t="str">
        <f t="shared" si="71"/>
        <v>Other</v>
      </c>
      <c r="AH216" s="88" t="str">
        <f t="shared" si="72"/>
        <v>"%USERPROFILE%\Documents\GitHub\eaglep3\Utilities\RefineRTDCRunTimes.py" --tripid 59-22 --locoid 4040 --swversion DE.1.0.8.0 --startMP 204:446 --initTime 2017-01-22T18:25:35 --startdatetime 1969-12-31T17:00:00 --delay 2 --endMP 300:23308 --enddatetime 1969-12-31T17:00:00 --enforcementcount 1 &gt;&gt;C:\Users\stu\Documents\GitHub\eaglep3-reporting\EC\2017-01-22-refined-times.txt</v>
      </c>
      <c r="AI216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ID","value":"59-22"},{"id":16,"name":"Locomotive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74"/>
        <v>start /low /b %USERPROFILE%\Documents\GitHub\eaglep3\Utilities\DownloadLogsFromS3.py --loco 4040 --day 1969-12-31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2017-01-22-UncaughtWiMAX.txt</v>
      </c>
    </row>
    <row r="217" spans="1:91" s="21" customFormat="1" x14ac:dyDescent="0.25">
      <c r="A217" s="34" t="s">
        <v>607</v>
      </c>
      <c r="B217" s="7">
        <v>4017</v>
      </c>
      <c r="C217" s="22" t="s">
        <v>196</v>
      </c>
      <c r="D217" s="22" t="s">
        <v>792</v>
      </c>
      <c r="E217" s="13">
        <v>42757.74658564815</v>
      </c>
      <c r="F217" s="13">
        <v>42757.748078703706</v>
      </c>
      <c r="G217" s="7">
        <v>1</v>
      </c>
      <c r="H217" s="22" t="s">
        <v>793</v>
      </c>
      <c r="I217" s="13">
        <v>42757.757569444446</v>
      </c>
      <c r="J217" s="7">
        <v>1</v>
      </c>
      <c r="K217" s="105" t="str">
        <f t="shared" si="57"/>
        <v>4017/4018</v>
      </c>
      <c r="L217" s="22" t="str">
        <f>VLOOKUP(A217,'Trips&amp;Operators'!$C$1:$G$99999,5,FALSE)</f>
        <v>COMELLA JUSTIN</v>
      </c>
      <c r="M217" s="6">
        <f t="shared" si="58"/>
        <v>9.4907407401478849E-3</v>
      </c>
      <c r="N217" s="7">
        <f t="shared" si="59"/>
        <v>13.666666665812954</v>
      </c>
      <c r="O217" s="7"/>
      <c r="P217" s="7"/>
      <c r="Q217" s="23"/>
      <c r="R217" s="23"/>
      <c r="S217" s="32">
        <f t="shared" si="60"/>
        <v>0</v>
      </c>
      <c r="T217" s="47" t="e">
        <f t="shared" si="61"/>
        <v>#VALUE!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62"/>
        <v>https://d0f6bd738d7f1b3e5a7ca70fe4ff75f0.us-east-1.aws.found.io/app/kibana#/discover/Steve-Slow-Train-Analysis-(2080s-and-2083s)?_g=(refreshInterval:(display:Off,pause:!f,section:0,value:0),time:(from:'2017-01-22T16:55:05-0700',mode:absolute,to:'2017-01-22T19:10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7" s="49" t="str">
        <f t="shared" si="63"/>
        <v>Y</v>
      </c>
      <c r="X217" s="170" t="e">
        <f t="shared" si="64"/>
        <v>#VALUE!</v>
      </c>
      <c r="Y217" s="64">
        <f t="shared" si="65"/>
        <v>2.1795</v>
      </c>
      <c r="Z217" s="64">
        <f t="shared" si="66"/>
        <v>0.1109</v>
      </c>
      <c r="AA217" s="64">
        <f t="shared" si="67"/>
        <v>2.0686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68"/>
        <v>60-22</v>
      </c>
      <c r="AE217" s="87" t="str">
        <f t="shared" si="69"/>
        <v>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 &amp; aws s3 cp s3://rtdc.mdm.uploadarchive.raw/RTDC4017/ "%USERPROFILE%\AppData\Local\Temp\OnboardLogs"\RTDC4017\2017-01-23 --exclude "*" --recursive --include "*20170123*" &amp; "%USERPROFILE%\Documents\GitHub\mrs-test-scripts\Headless Mode &amp; Sideloading\WalkAndUnGZ.bat" "%USERPROFILE%\AppData\Local\Temp\OnboardLogs"\RTDC4017\2017-01-23</v>
      </c>
      <c r="AF217" s="84" t="str">
        <f t="shared" si="70"/>
        <v>"C:\Program Files (x86)\AstroGrep\AstroGrep.exe" /spath="%USERPROFILE%\AppData\Local\Temp\OnboardLogs" /stypes="app*4017*20170123*" /stext=" 01:.+((SYSTEM_STATE.+slice.+state.+changed )|(ment ac)|(multiple cpu faults)|(system.+state.+changed )|(\[timeout)|(PRM\|1\|D)|(kpr)|(kdp)|(\|lc)|(penalty))" /e /r /s</v>
      </c>
      <c r="AG217" s="1" t="str">
        <f t="shared" si="71"/>
        <v>Other</v>
      </c>
      <c r="AH217" s="88" t="str">
        <f t="shared" si="72"/>
        <v>"%USERPROFILE%\Documents\GitHub\eaglep3\Utilities\RefineRTDCRunTimes.py" --tripid 60-22 --locoid 4017 --swversion DE.1.0.8.0 --startMP 300:21795 --initTime 2017-01-22T17:55:05 --startdatetime 2017-01-22T17:57:14 --delay 1 --endMP 204:1109 --enddatetime 2017-01-22T18:10:54 --enforcementcount 1 &gt;&gt;C:\Users\stu\Documents\GitHub\eaglep3-reporting\EC\2017-01-22-refined-times.txt</v>
      </c>
      <c r="AI217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{"issue":{"subject":"","project_id":79,"tracker_id":40,"status_id":1,"priority_id":2,"assigned_to_id":23,"start_date":"2017-01-22","description":"","custom_fields":[{"id":1,"name":"Subdivision","value":"Other"},{"id":4,"name":"Milepost","value":"0.1109"},{"id":17,"name":"Train ID","value":"60-22"},{"id":16,"name":"Locomotive ID","value":"4017"},{"id":130,"name":"Impact","value":""},{"id":150,"name":"Time of Event (Mountain Time)","value":"18:10:54"},{"id":151,"name":"Denver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74"/>
        <v>start /low /b %USERPROFILE%\Documents\GitHub\eaglep3\Utilities\DownloadLogsFromS3.py --loco 4017 --day 2017-01-22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"%USERPROFILE%\AppData\Local\Temp\OnboardLogs"\RTDC4017\*4017*20170123* | grep -SE "(Enforcement Action)|(\[TIMEOUT)|(CHR.+\|PRM\|1\|D.+(SWITCH|SIGNAL).+UNKNOWN)" - &gt;&gt; 2017-01-22-UncaughtWiMAX.txt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4" t="s">
        <v>608</v>
      </c>
      <c r="B218" s="7">
        <v>4039</v>
      </c>
      <c r="C218" s="22" t="s">
        <v>196</v>
      </c>
      <c r="D218" s="22" t="s">
        <v>794</v>
      </c>
      <c r="E218" s="13">
        <v>42757.751898148148</v>
      </c>
      <c r="F218" s="13">
        <v>42757.755115740743</v>
      </c>
      <c r="G218" s="7">
        <v>4</v>
      </c>
      <c r="H218" s="22" t="s">
        <v>186</v>
      </c>
      <c r="I218" s="13">
        <v>42757.761747685188</v>
      </c>
      <c r="J218" s="7">
        <v>1</v>
      </c>
      <c r="K218" s="105" t="str">
        <f t="shared" si="57"/>
        <v>4039/4040</v>
      </c>
      <c r="L218" s="22" t="str">
        <f>VLOOKUP(A218,'Trips&amp;Operators'!$C$1:$G$99999,5,FALSE)</f>
        <v>STAMBAUGH JAMES</v>
      </c>
      <c r="M218" s="6">
        <f t="shared" si="58"/>
        <v>6.6319444449618459E-3</v>
      </c>
      <c r="N218" s="7">
        <f t="shared" si="59"/>
        <v>9.5500000007450581</v>
      </c>
      <c r="O218" s="7"/>
      <c r="P218" s="7"/>
      <c r="Q218" s="23"/>
      <c r="R218" s="23"/>
      <c r="S218" s="32">
        <f t="shared" si="60"/>
        <v>0</v>
      </c>
      <c r="T218" s="47" t="e">
        <f t="shared" si="61"/>
        <v>#VALUE!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62"/>
        <v>https://d0f6bd738d7f1b3e5a7ca70fe4ff75f0.us-east-1.aws.found.io/app/kibana#/discover/Steve-Slow-Train-Analysis-(2080s-and-2083s)?_g=(refreshInterval:(display:Off,pause:!f,section:0,value:0),time:(from:'2017-01-22T17:02:44-0700',mode:absolute,to:'2017-01-22T19:16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8" s="49" t="str">
        <f t="shared" si="63"/>
        <v>Y</v>
      </c>
      <c r="X218" s="170" t="e">
        <f t="shared" si="64"/>
        <v>#VALUE!</v>
      </c>
      <c r="Y218" s="64">
        <f t="shared" si="65"/>
        <v>2.3408000000000002</v>
      </c>
      <c r="Z218" s="64">
        <f t="shared" si="66"/>
        <v>1.49E-2</v>
      </c>
      <c r="AA218" s="64">
        <f t="shared" si="67"/>
        <v>2.3259000000000003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68"/>
        <v>62-22</v>
      </c>
      <c r="AE218" s="87" t="str">
        <f t="shared" si="69"/>
        <v>aws s3 cp s3://rtdc.mdm.uploadarchive.raw/RTDC4039/ "%USERPROFILE%\AppData\Local\Temp\OnboardLogs"\RTDC4039\2017-01-22 --exclude "*" --recursive --include "*20170122*" &amp; "%USERPROFILE%\Documents\GitHub\mrs-test-scripts\Headless Mode &amp; Sideloading\WalkAndUnGZ.bat" "%USERPROFILE%\AppData\Local\Temp\OnboardLogs"\RTDC4039\2017-01-22 &amp; 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</v>
      </c>
      <c r="AF218" s="84" t="str">
        <f t="shared" si="70"/>
        <v>"C:\Program Files (x86)\AstroGrep\AstroGrep.exe" /spath="%USERPROFILE%\AppData\Local\Temp\OnboardLogs" /stypes="app*4039*20170123*" /stext=" 01:.+((SYSTEM_STATE.+slice.+state.+changed )|(ment ac)|(multiple cpu faults)|(system.+state.+changed )|(\[timeout)|(PRM\|1\|D)|(kpr)|(kdp)|(\|lc)|(penalty))" /e /r /s</v>
      </c>
      <c r="AG218" s="1" t="str">
        <f t="shared" si="71"/>
        <v>Other</v>
      </c>
      <c r="AH218" s="88" t="str">
        <f t="shared" si="72"/>
        <v>"%USERPROFILE%\Documents\GitHub\eaglep3\Utilities\RefineRTDCRunTimes.py" --tripid 62-22 --locoid 4039 --swversion DE.1.0.8.0 --startMP 300:23408 --initTime 2017-01-22T18:02:44 --startdatetime 2017-01-22T18:07:22 --delay 4 --endMP 204:149 --enddatetime 2017-01-22T18:16:55 --enforcementcount 1 &gt;&gt;C:\Users\stu\Documents\GitHub\eaglep3-reporting\EC\2017-01-22-refined-times.txt</v>
      </c>
      <c r="AI218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{"issue":{"subject":"","project_id":79,"tracker_id":40,"status_id":1,"priority_id":2,"assigned_to_id":23,"start_date":"2017-01-22","description":"","custom_fields":[{"id":1,"name":"Subdivision","value":"Other"},{"id":4,"name":"Milepost","value":"0.0149"},{"id":17,"name":"Train ID","value":"62-22"},{"id":16,"name":"Locomotive ID","value":"4039"},{"id":130,"name":"Impact","value":""},{"id":150,"name":"Time of Event (Mountain Time)","value":"18:16:55"},{"id":151,"name":"Denver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74"/>
        <v>start /low /b %USERPROFILE%\Documents\GitHub\eaglep3\Utilities\DownloadLogsFromS3.py --loco 4039 --day 2017-01-22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2017-01-22-UncaughtWiMAX.txt</v>
      </c>
    </row>
    <row r="219" spans="1:91" x14ac:dyDescent="0.25">
      <c r="A219" s="34" t="s">
        <v>598</v>
      </c>
      <c r="B219" s="7">
        <v>4016</v>
      </c>
      <c r="C219" s="22" t="s">
        <v>196</v>
      </c>
      <c r="D219" s="22" t="s">
        <v>795</v>
      </c>
      <c r="E219" s="13">
        <v>42757.723425925928</v>
      </c>
      <c r="F219" s="13">
        <v>25568.708333333332</v>
      </c>
      <c r="G219" s="7">
        <v>1</v>
      </c>
      <c r="H219" s="22" t="s">
        <v>771</v>
      </c>
      <c r="I219" s="13">
        <v>25568.708333333332</v>
      </c>
      <c r="J219" s="7">
        <v>1</v>
      </c>
      <c r="K219" s="105" t="str">
        <f t="shared" si="57"/>
        <v>4015/4016</v>
      </c>
      <c r="L219" s="22" t="str">
        <f>VLOOKUP(A219,'Trips&amp;Operators'!$C$1:$G$99999,5,FALSE)</f>
        <v>LOPES KIMBERLY</v>
      </c>
      <c r="M219" s="6">
        <f t="shared" si="58"/>
        <v>0</v>
      </c>
      <c r="N219" s="7">
        <f t="shared" si="59"/>
        <v>0</v>
      </c>
      <c r="O219" s="7"/>
      <c r="P219" s="7"/>
      <c r="Q219" s="23"/>
      <c r="R219" s="23"/>
      <c r="S219" s="32">
        <f t="shared" si="60"/>
        <v>0</v>
      </c>
      <c r="T219" s="47" t="e">
        <f t="shared" si="61"/>
        <v>#VALUE!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62"/>
        <v>https://d0f6bd738d7f1b3e5a7ca70fe4ff75f0.us-east-1.aws.found.io/app/kibana#/discover/Steve-Slow-Train-Analysis-(2080s-and-2083s)?_g=(refreshInterval:(display:Off,pause:!f,section:0,value:0),time:(from:'2017-01-22T16:21:44-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9" s="49" t="str">
        <f t="shared" si="63"/>
        <v>Y</v>
      </c>
      <c r="X219" s="170" t="e">
        <f t="shared" si="64"/>
        <v>#VALUE!</v>
      </c>
      <c r="Y219" s="64">
        <f t="shared" si="65"/>
        <v>0.14879999999999999</v>
      </c>
      <c r="Z219" s="64">
        <f t="shared" si="66"/>
        <v>2.3304</v>
      </c>
      <c r="AA219" s="64">
        <f t="shared" si="67"/>
        <v>2.1816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68"/>
        <v>71-22</v>
      </c>
      <c r="AE219" s="87" t="str">
        <f t="shared" si="69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9" s="84" t="str">
        <f t="shared" si="70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9" s="1" t="str">
        <f t="shared" si="71"/>
        <v>Other</v>
      </c>
      <c r="AH219" s="88" t="str">
        <f t="shared" si="72"/>
        <v>"%USERPROFILE%\Documents\GitHub\eaglep3\Utilities\RefineRTDCRunTimes.py" --tripid 71-22 --locoid 4016 --swversion DE.1.0.8.0 --startMP 204:1488 --initTime 2017-01-22T17:21:44 --startdatetime 1969-12-31T17:00:00 --delay 1 --endMP 300:23304 --enddatetime 1969-12-31T17:00:00 --enforcementcount 1 &gt;&gt;C:\Users\stu\Documents\GitHub\eaglep3-reporting\EC\2017-01-22-refined-times.txt</v>
      </c>
      <c r="AI219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ID","value":"71-22"},{"id":16,"name":"Locomotive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74"/>
        <v>start /low /b %USERPROFILE%\Documents\GitHub\eaglep3\Utilities\DownloadLogsFromS3.py --loco 4016 --day 1969-12-31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2017-01-22-UncaughtWiMAX.txt</v>
      </c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</sheetData>
  <autoFilter ref="A12:AG245">
    <sortState ref="A13:AG246">
      <sortCondition ref="AG13:AG220"/>
      <sortCondition ref="AD13:AD220"/>
    </sortState>
  </autoFilter>
  <sortState ref="A13:AH200">
    <sortCondition ref="AG13:AG200"/>
    <sortCondition ref="AD13:AD200"/>
  </sortState>
  <mergeCells count="1">
    <mergeCell ref="A11:P11"/>
  </mergeCells>
  <conditionalFormatting sqref="W11:W12 W260:X1048576 W13:X219">
    <cfRule type="cellIs" dxfId="10" priority="356" operator="equal">
      <formula>"Y"</formula>
    </cfRule>
  </conditionalFormatting>
  <conditionalFormatting sqref="X260:X1048576 X13:X219">
    <cfRule type="cellIs" dxfId="9" priority="339" operator="greaterThan">
      <formula>1</formula>
    </cfRule>
  </conditionalFormatting>
  <conditionalFormatting sqref="X260:X1048576 X12:X219">
    <cfRule type="cellIs" dxfId="8" priority="336" operator="equal">
      <formula>0</formula>
    </cfRule>
  </conditionalFormatting>
  <conditionalFormatting sqref="A13:S219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6"/>
  <sheetViews>
    <sheetView topLeftCell="A2" zoomScaleNormal="100" workbookViewId="0">
      <selection activeCell="A11" sqref="A11:XFD1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COUNTIF($O$7:$O$325,"=Y")</f>
        <v>4</v>
      </c>
      <c r="P2" s="129"/>
      <c r="R2" s="85"/>
      <c r="S2" s="97"/>
      <c r="T2" s="82"/>
      <c r="V2" s="45"/>
      <c r="AC2" s="135"/>
      <c r="AE2" s="177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COUNTA($O$7:$O$325)-O2</f>
        <v>18</v>
      </c>
      <c r="P3" s="129"/>
      <c r="R3" s="85"/>
      <c r="S3" s="97"/>
      <c r="T3" s="82"/>
      <c r="V3" s="45"/>
      <c r="AC3" s="135"/>
      <c r="AE3" s="177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1" s="10" customFormat="1" ht="15" customHeight="1" x14ac:dyDescent="0.25">
      <c r="A5" s="189" t="str">
        <f>"Eagle P3 Braking Events - "&amp;TEXT(Variables!$A$2,"YYYY-mm-dd")</f>
        <v>Eagle P3 Braking Events - 2017-01-22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155</v>
      </c>
      <c r="J6" s="133" t="s">
        <v>30</v>
      </c>
      <c r="K6" s="133" t="s">
        <v>29</v>
      </c>
      <c r="L6" s="133" t="s">
        <v>28</v>
      </c>
      <c r="M6" s="118" t="s">
        <v>156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175</v>
      </c>
      <c r="AD6" s="126" t="s">
        <v>204</v>
      </c>
      <c r="AE6" s="178" t="s">
        <v>225</v>
      </c>
    </row>
    <row r="7" spans="1:31" s="1" customFormat="1" x14ac:dyDescent="0.25">
      <c r="A7" s="33">
        <v>42757.436099537037</v>
      </c>
      <c r="B7" s="31" t="s">
        <v>349</v>
      </c>
      <c r="C7" s="31" t="s">
        <v>435</v>
      </c>
      <c r="D7" s="31" t="s">
        <v>49</v>
      </c>
      <c r="E7" s="31" t="s">
        <v>207</v>
      </c>
      <c r="F7" s="44">
        <v>0</v>
      </c>
      <c r="G7" s="44">
        <v>127</v>
      </c>
      <c r="H7" s="44">
        <v>27365</v>
      </c>
      <c r="I7" s="44">
        <v>27235</v>
      </c>
      <c r="J7" s="31" t="s">
        <v>208</v>
      </c>
      <c r="K7" s="44">
        <v>27350</v>
      </c>
      <c r="L7" s="150" t="s">
        <v>51</v>
      </c>
      <c r="M7" s="151">
        <f t="shared" ref="M7:M28" si="0">CONVERT((I7-K7)/10000,"mi","ft")*IF(L7="Increasing Mileposts (1)",-1,1)</f>
        <v>-60.72</v>
      </c>
      <c r="N7" s="152" t="str">
        <f>VLOOKUP(C7,'Trips&amp;Operators'!$C$1:$G$99999,5,FALSE)</f>
        <v>SHOOK JOHN</v>
      </c>
      <c r="O7" s="176" t="s">
        <v>188</v>
      </c>
      <c r="P7" s="153" t="s">
        <v>813</v>
      </c>
      <c r="Q7" s="31"/>
      <c r="R7" s="96" t="str">
        <f>VLOOKUP(C7,'Train Runs'!$A$13:$AE$9983,31,0)</f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S7" s="99" t="str">
        <f>VLOOKUP(C7,'Train Runs'!$A$13:$AE$9983,22,0)</f>
        <v>https://d0f6bd738d7f1b3e5a7ca70fe4ff75f0.us-east-1.aws.found.io/app/kibana#/discover/Steve-Slow-Train-Analysis-(2080s-and-2083s)?_g=(refreshInterval:(display:Off,pause:!f,section:0,value:0),time:(from:'2017-01-22T08:40:54-0700',mode:absolute,to:'2017-01-22T11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7" s="101" t="str">
        <f t="shared" ref="T7:T2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/stypes="*4043*201701221*" /stext=" 17:.+((SYSTEM_STATE.+slice.+state.+changed )|(ment ac)|(multiple cpu faults)|(system.+state.+changed )|(\[timeout)|(PRM\|1\|D)|(kpr)|(kdp)|(\|lc)|(penalty))" /e /r /s</v>
      </c>
      <c r="U7" s="9" t="str">
        <f t="shared" ref="U7:U28" si="2">MID(B7,13,4)</f>
        <v>4043</v>
      </c>
      <c r="V7" s="33">
        <f t="shared" ref="V7:V28" si="3">A7-utc_offset/24</f>
        <v>42757.727766203701</v>
      </c>
      <c r="W7" s="47" t="str">
        <f t="shared" ref="W7:W28" si="4">IF(VALUE(LEFT(IF(LEN(C7)=6,"0"&amp;C7,C7),2))&lt;=2,"EC",IF(OR(VALUE(LEFT(IF(LEN(C7)=6,"0"&amp;C7,C7),2))=8,VALUE(LEFT(IF(LEN(C7)=6,"0"&amp;C7,C7),2))=18),"NW","Other"))</f>
        <v>EC</v>
      </c>
      <c r="X7" s="47" t="str">
        <f t="shared" ref="X7:X28" si="5">IF(AND(E7="TRACK WARRANT AUTHORITY",G7&lt;10),"OMIT","KEEP")</f>
        <v>KEEP</v>
      </c>
      <c r="Y7" s="115" t="str">
        <f t="shared" ref="Y7:Y2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arrival","project_id":79,"tracker_id":40,"status_id":1,"priority_id":2,"assigned_to_id":23,"start_date":"2017-01-22","description":"","custom_fields":[{"id":1,"name":"Subdivision","value":"EC"},{"id":4,"name":"Milepost","value":"2.735"},{"id":17,"name":"Train ID","value":"144-22"},{"id":16,"name":"Locomotive ID","value":"4043"},{"id":130,"name":"Impact","value":""},{"id":150,"name":"Time of Event (Mountain Time)","value":"10:27:59"},{"id":151,"name":"Denver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2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"%USERPROFILE%\AppData\Local\Temp\OnboardLogs"\RTDC4043\*4043*201701221*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"%USERPROFILE%\AppData\Local\Temp\OnboardLogs"\RTDC4043\*4043*201701221* &gt;&gt; 2017-01-22-SliceDisagreementCheck.txt</v>
      </c>
      <c r="AE7" s="180" t="str">
        <f t="shared" ref="AE7:AE28" si="8">"start /low /b "&amp;dls3logs&amp;" --loco "&amp;U7&amp;" --day "&amp;TEXT(V7,"YYYY-MM-DD")</f>
        <v>start /low /b %USERPROFILE%\Documents\GitHub\eaglep3\Utilities\DownloadLogsFromS3.py --loco 4043 --day 2017-01-22</v>
      </c>
    </row>
    <row r="8" spans="1:31" s="1" customFormat="1" x14ac:dyDescent="0.25">
      <c r="A8" s="33">
        <v>42757.348958333336</v>
      </c>
      <c r="B8" s="31" t="s">
        <v>201</v>
      </c>
      <c r="C8" s="31" t="s">
        <v>430</v>
      </c>
      <c r="D8" s="31" t="s">
        <v>98</v>
      </c>
      <c r="E8" s="31" t="s">
        <v>207</v>
      </c>
      <c r="F8" s="44">
        <v>0</v>
      </c>
      <c r="G8" s="44">
        <v>180</v>
      </c>
      <c r="H8" s="44">
        <v>30833</v>
      </c>
      <c r="I8" s="44">
        <v>30949</v>
      </c>
      <c r="J8" s="31" t="s">
        <v>208</v>
      </c>
      <c r="K8" s="44">
        <v>30830</v>
      </c>
      <c r="L8" s="150" t="s">
        <v>50</v>
      </c>
      <c r="M8" s="151">
        <f t="shared" si="0"/>
        <v>-62.832000000000001</v>
      </c>
      <c r="N8" s="152" t="str">
        <f>VLOOKUP(C8,'Trips&amp;Operators'!$C$1:$G$99999,5,FALSE)</f>
        <v>ROBINSON KADDIBA</v>
      </c>
      <c r="O8" s="176" t="s">
        <v>188</v>
      </c>
      <c r="P8" s="153" t="s">
        <v>813</v>
      </c>
      <c r="Q8" s="31"/>
      <c r="R8" s="96" t="str">
        <f>VLOOKUP(C8,'Train Runs'!$A$13:$AE$9983,31,0)</f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S8" s="99" t="str">
        <f>VLOOKUP(C8,'Train Runs'!$A$13:$AE$9983,22,0)</f>
        <v>https://d0f6bd738d7f1b3e5a7ca70fe4ff75f0.us-east-1.aws.found.io/app/kibana#/discover/Steve-Slow-Train-Analysis-(2080s-and-2083s)?_g=(refreshInterval:(display:Off,pause:!f,section:0,value:0),time:(from:'2017-01-22T07:09:17-0700',mode:absolute,to:'2017-01-22T09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8" s="101" t="str">
        <f t="shared" si="1"/>
        <v>"C:\Program Files (x86)\AstroGrep\AstroGrep.exe" /spath="%USERPROFILE%\AppData\Local\Temp\OnboardLogs" /stypes="*4022*201701221*" /stext=" 15:.+((SYSTEM_STATE.+slice.+state.+changed )|(ment ac)|(multiple cpu faults)|(system.+state.+changed )|(\[timeout)|(PRM\|1\|D)|(kpr)|(kdp)|(\|lc)|(penalty))" /e /r /s</v>
      </c>
      <c r="U8" s="9" t="str">
        <f t="shared" si="2"/>
        <v>4022</v>
      </c>
      <c r="V8" s="33">
        <f t="shared" si="3"/>
        <v>42757.640625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arrival","project_id":79,"tracker_id":40,"status_id":1,"priority_id":2,"assigned_to_id":23,"start_date":"2017-01-22","description":"","custom_fields":[{"id":1,"name":"Subdivision","value":"EC"},{"id":4,"name":"Milepost","value":"3.083"},{"id":17,"name":"Train ID","value":"137-22"},{"id":16,"name":"Locomotive ID","value":"4022"},{"id":130,"name":"Impact","value":""},{"id":150,"name":"Time of Event (Mountain Time)","value":"08:22:30"},{"id":151,"name":"Denver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"%USERPROFILE%\AppData\Local\Temp\OnboardLogs"\RTDC4022\*4022*201701221*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"%USERPROFILE%\AppData\Local\Temp\OnboardLogs"\RTDC4022\*4022*201701221* &gt;&gt; 2017-01-22-SliceDisagreementCheck.txt</v>
      </c>
      <c r="AE8" s="180" t="str">
        <f t="shared" si="8"/>
        <v>start /low /b %USERPROFILE%\Documents\GitHub\eaglep3\Utilities\DownloadLogsFromS3.py --loco 4022 --day 2017-01-22</v>
      </c>
    </row>
    <row r="9" spans="1:31" s="1" customFormat="1" x14ac:dyDescent="0.25">
      <c r="A9" s="33">
        <v>42757.572129629632</v>
      </c>
      <c r="B9" s="31" t="s">
        <v>201</v>
      </c>
      <c r="C9" s="31" t="s">
        <v>442</v>
      </c>
      <c r="D9" s="31" t="s">
        <v>49</v>
      </c>
      <c r="E9" s="31" t="s">
        <v>207</v>
      </c>
      <c r="F9" s="44">
        <v>0</v>
      </c>
      <c r="G9" s="44">
        <v>100</v>
      </c>
      <c r="H9" s="44">
        <v>47247</v>
      </c>
      <c r="I9" s="44">
        <v>47486</v>
      </c>
      <c r="J9" s="31" t="s">
        <v>208</v>
      </c>
      <c r="K9" s="44">
        <v>47865</v>
      </c>
      <c r="L9" s="150" t="s">
        <v>50</v>
      </c>
      <c r="M9" s="151">
        <f t="shared" si="0"/>
        <v>200.11199999999999</v>
      </c>
      <c r="N9" s="152" t="str">
        <f>VLOOKUP(C9,'Trips&amp;Operators'!$C$1:$G$99999,5,FALSE)</f>
        <v>BRUDER RICHARD</v>
      </c>
      <c r="O9" s="176" t="s">
        <v>188</v>
      </c>
      <c r="P9" s="153" t="s">
        <v>812</v>
      </c>
      <c r="Q9" s="31"/>
      <c r="R9" s="96" t="str">
        <f>VLOOKUP(C9,'Train Runs'!$A$13:$AE$9983,31,0)</f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S9" s="99" t="str">
        <f>VLOOKUP(C9,'Train Runs'!$A$13:$AE$9983,22,0)</f>
        <v>https://d0f6bd738d7f1b3e5a7ca70fe4ff75f0.us-east-1.aws.found.io/app/kibana#/discover/Steve-Slow-Train-Analysis-(2080s-and-2083s)?_g=(refreshInterval:(display:Off,pause:!f,section:0,value:0),time:(from:'2017-01-22T12:22:05-0700',mode:absolute,to:'2017-01-22T15:09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9" s="101" t="str">
        <f t="shared" si="1"/>
        <v>"C:\Program Files (x86)\AstroGrep\AstroGrep.exe" /spath="%USERPROFILE%\AppData\Local\Temp\OnboardLogs" /stypes="*4022*201701222*" /stext=" 20:.+((SYSTEM_STATE.+slice.+state.+changed )|(ment ac)|(multiple cpu faults)|(system.+state.+changed )|(\[timeout)|(PRM\|1\|D)|(kpr)|(kdp)|(\|lc)|(penalty))" /e /r /s</v>
      </c>
      <c r="U9" s="9" t="str">
        <f t="shared" si="2"/>
        <v>4022</v>
      </c>
      <c r="V9" s="33">
        <f t="shared" si="3"/>
        <v>42757.863796296297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{"issue":{"subject":"Form C","project_id":79,"tracker_id":40,"status_id":1,"priority_id":2,"assigned_to_id":23,"start_date":"2017-01-22","description":"","custom_fields":[{"id":1,"name":"Subdivision","value":"EC"},{"id":4,"name":"Milepost","value":"4.7865"},{"id":17,"name":"Train ID","value":"179-22"},{"id":16,"name":"Locomotive ID","value":"4022"},{"id":130,"name":"Impact","value":""},{"id":150,"name":"Time of Event (Mountain Time)","value":"13:43:52"},{"id":151,"name":"Denver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"%USERPROFILE%\AppData\Local\Temp\OnboardLogs"\RTDC4022\*4022*201701222*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"%USERPROFILE%\AppData\Local\Temp\OnboardLogs"\RTDC4022\*4022*201701222* &gt;&gt; 2017-01-22-SliceDisagreementCheck.txt</v>
      </c>
      <c r="AE9" s="180" t="str">
        <f t="shared" si="8"/>
        <v>start /low /b %USERPROFILE%\Documents\GitHub\eaglep3\Utilities\DownloadLogsFromS3.py --loco 4022 --day 2017-01-22</v>
      </c>
    </row>
    <row r="10" spans="1:31" s="1" customFormat="1" x14ac:dyDescent="0.25">
      <c r="A10" s="33">
        <v>42757.711597222224</v>
      </c>
      <c r="B10" s="31" t="s">
        <v>250</v>
      </c>
      <c r="C10" s="31" t="s">
        <v>446</v>
      </c>
      <c r="D10" s="31" t="s">
        <v>49</v>
      </c>
      <c r="E10" s="31" t="s">
        <v>207</v>
      </c>
      <c r="F10" s="44">
        <v>170</v>
      </c>
      <c r="G10" s="44">
        <v>222</v>
      </c>
      <c r="H10" s="44">
        <v>63738</v>
      </c>
      <c r="I10" s="44">
        <v>63383</v>
      </c>
      <c r="J10" s="31" t="s">
        <v>208</v>
      </c>
      <c r="K10" s="44">
        <v>63309</v>
      </c>
      <c r="L10" s="150" t="s">
        <v>51</v>
      </c>
      <c r="M10" s="151">
        <f t="shared" si="0"/>
        <v>39.072000000000003</v>
      </c>
      <c r="N10" s="152" t="str">
        <f>VLOOKUP(C10,'Trips&amp;Operators'!$C$1:$G$99999,5,FALSE)</f>
        <v>WHITED DUSTIN</v>
      </c>
      <c r="O10" s="176" t="s">
        <v>188</v>
      </c>
      <c r="P10" s="153" t="s">
        <v>813</v>
      </c>
      <c r="Q10" s="31"/>
      <c r="R10" s="96" t="str">
        <f>VLOOKUP(C10,'Train Runs'!$A$13:$AE$9983,31,0)</f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S10" s="99" t="str">
        <f>VLOOKUP(C10,'Train Runs'!$A$13:$AE$9983,22,0)</f>
        <v>https://d0f6bd738d7f1b3e5a7ca70fe4ff75f0.us-east-1.aws.found.io/app/kibana#/discover/Steve-Slow-Train-Analysis-(2080s-and-2083s)?_g=(refreshInterval:(display:Off,pause:!f,section:0,value:0),time:(from:'2017-01-22T15:26:35-0700',mode:absolute,to:'2017-01-22T18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0" s="101" t="str">
        <f t="shared" si="1"/>
        <v>"C:\Program Files (x86)\AstroGrep\AstroGrep.exe" /spath="%USERPROFILE%\AppData\Local\Temp\OnboardLogs" /stypes="*4045*201701230*" /stext=" 00:.+((SYSTEM_STATE.+slice.+state.+changed )|(ment ac)|(multiple cpu faults)|(system.+state.+changed )|(\[timeout)|(PRM\|1\|D)|(kpr)|(kdp)|(\|lc)|(penalty))" /e /r /s</v>
      </c>
      <c r="U10" s="9" t="str">
        <f t="shared" si="2"/>
        <v>4045</v>
      </c>
      <c r="V10" s="33">
        <f t="shared" si="3"/>
        <v>42758.003263888888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arrival","project_id":79,"tracker_id":40,"status_id":1,"priority_id":2,"assigned_to_id":23,"start_date":"2017-01-22","description":"","custom_fields":[{"id":1,"name":"Subdivision","value":"EC"},{"id":4,"name":"Milepost","value":"6.3309"},{"id":17,"name":"Train ID","value":"198-22"},{"id":16,"name":"Locomotive ID","value":"4045"},{"id":130,"name":"Impact","value":""},{"id":150,"name":"Time of Event (Mountain Time)","value":"17:04:42"},{"id":151,"name":"Denver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"%USERPROFILE%\AppData\Local\Temp\OnboardLogs"\RTDC4045\*4045*201701230*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"%USERPROFILE%\AppData\Local\Temp\OnboardLogs"\RTDC4045\*4045*201701230* &gt;&gt; 2017-01-22-SliceDisagreementCheck.txt</v>
      </c>
      <c r="AE10" s="180" t="str">
        <f t="shared" si="8"/>
        <v>start /low /b %USERPROFILE%\Documents\GitHub\eaglep3\Utilities\DownloadLogsFromS3.py --loco 4045 --day 2017-01-23</v>
      </c>
    </row>
    <row r="11" spans="1:31" s="1" customFormat="1" x14ac:dyDescent="0.25">
      <c r="A11" s="33">
        <v>42757.889687499999</v>
      </c>
      <c r="B11" s="31" t="s">
        <v>428</v>
      </c>
      <c r="C11" s="31" t="s">
        <v>634</v>
      </c>
      <c r="D11" s="31" t="s">
        <v>98</v>
      </c>
      <c r="E11" s="31" t="s">
        <v>230</v>
      </c>
      <c r="F11" s="44">
        <v>40</v>
      </c>
      <c r="G11" s="44">
        <v>452</v>
      </c>
      <c r="H11" s="44">
        <v>119759</v>
      </c>
      <c r="I11" s="44">
        <v>121503</v>
      </c>
      <c r="J11" s="31"/>
      <c r="K11" s="44">
        <v>116838</v>
      </c>
      <c r="L11" s="150" t="s">
        <v>50</v>
      </c>
      <c r="M11" s="151">
        <f t="shared" si="0"/>
        <v>-2463.12</v>
      </c>
      <c r="N11" s="152" t="str">
        <f>VLOOKUP(C11,'Trips&amp;Operators'!$C$1:$G$99999,5,FALSE)</f>
        <v>CHANDLER KELVIN</v>
      </c>
      <c r="O11" s="176" t="s">
        <v>232</v>
      </c>
      <c r="P11" s="153" t="s">
        <v>850</v>
      </c>
      <c r="Q11" s="31"/>
      <c r="R11" s="96" t="str">
        <f>VLOOKUP(C11,'Train Runs'!$A$13:$AE$9983,31,0)</f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S11" s="99" t="str">
        <f>VLOOKUP(C11,'Train Runs'!$A$13:$AE$9983,22,0)</f>
        <v>https://d0f6bd738d7f1b3e5a7ca70fe4ff75f0.us-east-1.aws.found.io/app/kibana#/discover/Steve-Slow-Train-Analysis-(2080s-and-2083s)?_g=(refreshInterval:(display:Off,pause:!f,section:0,value:0),time:(from:'2017-01-22T19:57:13-0700',mode:absolute,to:'2017-01-22T22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1" s="101" t="str">
        <f t="shared" ref="T11" si="9"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/stypes="*4003*201701230*" /stext=" 04:.+((SYSTEM_STATE.+slice.+state.+changed )|(ment ac)|(multiple cpu faults)|(system.+state.+changed )|(\[timeout)|(PRM\|1\|D)|(kpr)|(kdp)|(\|lc)|(penalty))" /e /r /s</v>
      </c>
      <c r="U11" s="9" t="str">
        <f t="shared" ref="U11" si="10">MID(B11,13,4)</f>
        <v>4003</v>
      </c>
      <c r="V11" s="33">
        <f t="shared" ref="V11" si="11">A11-utc_offset/24</f>
        <v>42758.181354166663</v>
      </c>
      <c r="W11" s="47" t="str">
        <f t="shared" si="4"/>
        <v>EC</v>
      </c>
      <c r="X11" s="47"/>
      <c r="Y11" s="115" t="str">
        <f t="shared" ref="Y11" si="12"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{"issue":{"subject":"Braking w/o banner","project_id":79,"tracker_id":40,"status_id":1,"priority_id":2,"assigned_to_id":23,"start_date":"2017-01-22","description":"","custom_fields":[{"id":1,"name":"Subdivision","value":"EC"},{"id":4,"name":"Milepost","value":"11.6838"},{"id":17,"name":"Train ID","value":"229-22"},{"id":16,"name":"Locomotive ID","value":"4003"},{"id":130,"name":"Impact","value":""},{"id":150,"name":"Time of Event (Mountain Time)","value":"21:21:09"},{"id":151,"name":"Denver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ref="AC11" si="13"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"%USERPROFILE%\AppData\Local\Temp\OnboardLogs"\RTDC4003\*4003*201701230*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"%USERPROFILE%\AppData\Local\Temp\OnboardLogs"\RTDC4003\*4003*201701230* &gt;&gt; 2017-01-22-SliceDisagreementCheck.txt</v>
      </c>
      <c r="AE11" s="180" t="str">
        <f t="shared" ref="AE11" si="14">"start /low /b "&amp;dls3logs&amp;" --loco "&amp;U11&amp;" --day "&amp;TEXT(V11,"YYYY-MM-DD")</f>
        <v>start /low /b %USERPROFILE%\Documents\GitHub\eaglep3\Utilities\DownloadLogsFromS3.py --loco 4003 --day 2017-01-23</v>
      </c>
    </row>
    <row r="12" spans="1:31" s="1" customFormat="1" x14ac:dyDescent="0.25">
      <c r="A12" s="33">
        <v>42757.355925925927</v>
      </c>
      <c r="B12" s="31" t="s">
        <v>428</v>
      </c>
      <c r="C12" s="31" t="s">
        <v>431</v>
      </c>
      <c r="D12" s="31" t="s">
        <v>98</v>
      </c>
      <c r="E12" s="31" t="s">
        <v>230</v>
      </c>
      <c r="F12" s="44">
        <v>200</v>
      </c>
      <c r="G12" s="44">
        <v>263</v>
      </c>
      <c r="H12" s="44">
        <v>5327</v>
      </c>
      <c r="I12" s="44">
        <v>6018</v>
      </c>
      <c r="J12" s="31" t="s">
        <v>231</v>
      </c>
      <c r="K12" s="44">
        <v>4677</v>
      </c>
      <c r="L12" s="150" t="s">
        <v>50</v>
      </c>
      <c r="M12" s="151">
        <f t="shared" si="0"/>
        <v>-708.048</v>
      </c>
      <c r="N12" s="152" t="str">
        <f>VLOOKUP(C12,'Trips&amp;Operators'!$C$1:$G$99999,5,FALSE)</f>
        <v>GEBRETEKLE DAGNEW</v>
      </c>
      <c r="O12" s="176" t="s">
        <v>188</v>
      </c>
      <c r="P12" s="153"/>
      <c r="Q12" s="31"/>
      <c r="R12" s="96" t="str">
        <f>VLOOKUP(C12,'Train Runs'!$A$13:$AE$9983,31,0)</f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S12" s="99" t="str">
        <f>VLOOKUP(C12,'Train Runs'!$A$13:$AE$9983,22,0)</f>
        <v>https://d0f6bd738d7f1b3e5a7ca70fe4ff75f0.us-east-1.aws.found.io/app/kibana#/discover/Steve-Slow-Train-Analysis-(2080s-and-2083s)?_g=(refreshInterval:(display:Off,pause:!f,section:0,value:0),time:(from:'2017-01-22T07:23:57-0700',mode:absolute,to:'2017-01-22T10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101" t="str">
        <f t="shared" si="1"/>
        <v>"C:\Program Files (x86)\AstroGrep\AstroGrep.exe" /spath="%USERPROFILE%\AppData\Local\Temp\OnboardLogs" /stypes="*4003*201701221*" /stext=" 15:.+((SYSTEM_STATE.+slice.+state.+changed )|(ment ac)|(multiple cpu faults)|(system.+state.+changed )|(\[timeout)|(PRM\|1\|D)|(kpr)|(kdp)|(\|lc)|(penalty))" /e /r /s</v>
      </c>
      <c r="U12" s="9" t="str">
        <f t="shared" si="2"/>
        <v>4003</v>
      </c>
      <c r="V12" s="33">
        <f t="shared" si="3"/>
        <v>42757.647592592592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{"issue":{"subject":"","project_id":79,"tracker_id":40,"status_id":1,"priority_id":2,"assigned_to_id":23,"start_date":"2017-01-22","description":"","custom_fields":[{"id":1,"name":"Subdivision","value":"EC"},{"id":4,"name":"Milepost","value":"0.4677"},{"id":17,"name":"Train ID","value":"139-22"},{"id":16,"name":"Locomotive ID","value":"4003"},{"id":130,"name":"Impact","value":""},{"id":150,"name":"Time of Event (Mountain Time)","value":"08:32:32"},{"id":151,"name":"Denver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"%USERPROFILE%\AppData\Local\Temp\OnboardLogs"\RTDC4003\*4003*201701221*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"%USERPROFILE%\AppData\Local\Temp\OnboardLogs"\RTDC4003\*4003*201701221* &gt;&gt; 2017-01-22-SliceDisagreementCheck.txt</v>
      </c>
      <c r="AE12" s="180" t="str">
        <f t="shared" si="8"/>
        <v>start /low /b %USERPROFILE%\Documents\GitHub\eaglep3\Utilities\DownloadLogsFromS3.py --loco 4003 --day 2017-01-22</v>
      </c>
    </row>
    <row r="13" spans="1:31" s="1" customFormat="1" x14ac:dyDescent="0.25">
      <c r="A13" s="33">
        <v>42757.441562499997</v>
      </c>
      <c r="B13" s="31" t="s">
        <v>266</v>
      </c>
      <c r="C13" s="31" t="s">
        <v>437</v>
      </c>
      <c r="D13" s="31" t="s">
        <v>98</v>
      </c>
      <c r="E13" s="31" t="s">
        <v>230</v>
      </c>
      <c r="F13" s="44">
        <v>600</v>
      </c>
      <c r="G13" s="44">
        <v>654</v>
      </c>
      <c r="H13" s="44">
        <v>184233</v>
      </c>
      <c r="I13" s="44">
        <v>180942</v>
      </c>
      <c r="J13" s="31" t="s">
        <v>231</v>
      </c>
      <c r="K13" s="44">
        <v>190834</v>
      </c>
      <c r="L13" s="150" t="s">
        <v>51</v>
      </c>
      <c r="M13" s="151">
        <f t="shared" si="0"/>
        <v>-5222.9759999999997</v>
      </c>
      <c r="N13" s="152" t="str">
        <f>VLOOKUP(C13,'Trips&amp;Operators'!$C$1:$G$99999,5,FALSE)</f>
        <v>PERKINS DARREN</v>
      </c>
      <c r="O13" s="176" t="s">
        <v>188</v>
      </c>
      <c r="P13" s="153"/>
      <c r="Q13" s="31"/>
      <c r="R13" s="96" t="str">
        <f>VLOOKUP(C13,'Train Runs'!$A$13:$AE$9983,31,0)</f>
        <v>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 &amp; 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</v>
      </c>
      <c r="S13" s="99" t="str">
        <f>VLOOKUP(C13,'Train Runs'!$A$13:$AE$9983,22,0)</f>
        <v>https://d0f6bd738d7f1b3e5a7ca70fe4ff75f0.us-east-1.aws.found.io/app/kibana#/discover/Steve-Slow-Train-Analysis-(2080s-and-2083s)?_g=(refreshInterval:(display:Off,pause:!f,section:0,value:0),time:(from:'2017-01-22T09:14:52-0700',mode:absolute,to:'2017-01-22T12:08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3" s="101" t="str">
        <f t="shared" si="1"/>
        <v>"C:\Program Files (x86)\AstroGrep\AstroGrep.exe" /spath="%USERPROFILE%\AppData\Local\Temp\OnboardLogs" /stypes="*4015*201701221*" /stext=" 17:.+((SYSTEM_STATE.+slice.+state.+changed )|(ment ac)|(multiple cpu faults)|(system.+state.+changed )|(\[timeout)|(PRM\|1\|D)|(kpr)|(kdp)|(\|lc)|(penalty))" /e /r /s</v>
      </c>
      <c r="U13" s="9" t="str">
        <f t="shared" si="2"/>
        <v>4015</v>
      </c>
      <c r="V13" s="33">
        <f t="shared" si="3"/>
        <v>42757.733229166661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{"issue":{"subject":"","project_id":79,"tracker_id":40,"status_id":1,"priority_id":2,"assigned_to_id":23,"start_date":"2017-01-22","description":"","custom_fields":[{"id":1,"name":"Subdivision","value":"EC"},{"id":4,"name":"Milepost","value":"19.0834"},{"id":17,"name":"Train ID","value":"148-22"},{"id":16,"name":"Locomotive ID","value":"4015"},{"id":130,"name":"Impact","value":""},{"id":150,"name":"Time of Event (Mountain Time)","value":"10:35:51"},{"id":151,"name":"Denver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"%USERPROFILE%\AppData\Local\Temp\OnboardLogs"\RTDC4015\*4015*201701221*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"%USERPROFILE%\AppData\Local\Temp\OnboardLogs"\RTDC4015\*4015*201701221* &gt;&gt; 2017-01-22-SliceDisagreementCheck.txt</v>
      </c>
      <c r="AE13" s="180" t="str">
        <f t="shared" si="8"/>
        <v>start /low /b %USERPROFILE%\Documents\GitHub\eaglep3\Utilities\DownloadLogsFromS3.py --loco 4015 --day 2017-01-22</v>
      </c>
    </row>
    <row r="14" spans="1:31" s="1" customFormat="1" x14ac:dyDescent="0.25">
      <c r="A14" s="33">
        <v>42757.628368055557</v>
      </c>
      <c r="B14" s="31" t="s">
        <v>202</v>
      </c>
      <c r="C14" s="31" t="s">
        <v>444</v>
      </c>
      <c r="D14" s="31" t="s">
        <v>49</v>
      </c>
      <c r="E14" s="31" t="s">
        <v>230</v>
      </c>
      <c r="F14" s="44">
        <v>350</v>
      </c>
      <c r="G14" s="44">
        <v>508</v>
      </c>
      <c r="H14" s="44">
        <v>223047</v>
      </c>
      <c r="I14" s="44">
        <v>224684</v>
      </c>
      <c r="J14" s="31" t="s">
        <v>231</v>
      </c>
      <c r="K14" s="44">
        <v>224578</v>
      </c>
      <c r="L14" s="150" t="s">
        <v>50</v>
      </c>
      <c r="M14" s="151">
        <f t="shared" si="0"/>
        <v>-55.968000000000004</v>
      </c>
      <c r="N14" s="152" t="str">
        <f>VLOOKUP(C14,'Trips&amp;Operators'!$C$1:$G$99999,5,FALSE)</f>
        <v>STEWART MICHAEL</v>
      </c>
      <c r="O14" s="176" t="s">
        <v>188</v>
      </c>
      <c r="P14" s="153" t="s">
        <v>849</v>
      </c>
      <c r="Q14" s="31"/>
      <c r="R14" s="96" t="str">
        <f>VLOOKUP(C14,'Train Runs'!$A$13:$AE$9983,31,0)</f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S14" s="99" t="str">
        <f>VLOOKUP(C14,'Train Runs'!$A$13:$AE$9983,22,0)</f>
        <v>https://d0f6bd738d7f1b3e5a7ca70fe4ff75f0.us-east-1.aws.found.io/app/kibana#/discover/Steve-Slow-Train-Analysis-(2080s-and-2083s)?_g=(refreshInterval:(display:Off,pause:!f,section:0,value:0),time:(from:'2017-01-22T13:26:13-0700',mode:absolute,to:'2017-01-22T16:10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14" s="101" t="str">
        <f t="shared" si="1"/>
        <v>"C:\Program Files (x86)\AstroGrep\AstroGrep.exe" /spath="%USERPROFILE%\AppData\Local\Temp\OnboardLogs" /stypes="*4038*201701222*" /stext=" 22:.+((SYSTEM_STATE.+slice.+state.+changed )|(ment ac)|(multiple cpu faults)|(system.+state.+changed )|(\[timeout)|(PRM\|1\|D)|(kpr)|(kdp)|(\|lc)|(penalty))" /e /r /s</v>
      </c>
      <c r="U14" s="9" t="str">
        <f t="shared" si="2"/>
        <v>4038</v>
      </c>
      <c r="V14" s="33">
        <f t="shared" si="3"/>
        <v>42757.920034722221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{"issue":{"subject":"Incident 35328 ","project_id":79,"tracker_id":40,"status_id":1,"priority_id":2,"assigned_to_id":23,"start_date":"2017-01-22","description":"","custom_fields":[{"id":1,"name":"Subdivision","value":"EC"},{"id":4,"name":"Milepost","value":"22.4578"},{"id":17,"name":"Train ID","value":"187-22"},{"id":16,"name":"Locomotive ID","value":"4038"},{"id":130,"name":"Impact","value":""},{"id":150,"name":"Time of Event (Mountain Time)","value":"15:04:51"},{"id":151,"name":"Denver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"%USERPROFILE%\AppData\Local\Temp\OnboardLogs"\RTDC4038\*4038*201701222*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"%USERPROFILE%\AppData\Local\Temp\OnboardLogs"\RTDC4038\*4038*201701222* &gt;&gt; 2017-01-22-SliceDisagreementCheck.txt</v>
      </c>
      <c r="AE14" s="180" t="str">
        <f t="shared" si="8"/>
        <v>start /low /b %USERPROFILE%\Documents\GitHub\eaglep3\Utilities\DownloadLogsFromS3.py --loco 4038 --day 2017-01-22</v>
      </c>
    </row>
    <row r="15" spans="1:31" s="1" customFormat="1" x14ac:dyDescent="0.25">
      <c r="A15" s="33">
        <v>42757.443310185183</v>
      </c>
      <c r="B15" s="31" t="s">
        <v>203</v>
      </c>
      <c r="C15" s="31" t="s">
        <v>438</v>
      </c>
      <c r="D15" s="31" t="s">
        <v>49</v>
      </c>
      <c r="E15" s="31" t="s">
        <v>189</v>
      </c>
      <c r="F15" s="44">
        <v>0</v>
      </c>
      <c r="G15" s="44">
        <v>178</v>
      </c>
      <c r="H15" s="44">
        <v>44269</v>
      </c>
      <c r="I15" s="44">
        <v>44031</v>
      </c>
      <c r="J15" s="31" t="s">
        <v>190</v>
      </c>
      <c r="K15" s="44">
        <v>43664</v>
      </c>
      <c r="L15" s="150" t="s">
        <v>51</v>
      </c>
      <c r="M15" s="151">
        <f t="shared" si="0"/>
        <v>193.77600000000001</v>
      </c>
      <c r="N15" s="152" t="str">
        <f>VLOOKUP(C15,'Trips&amp;Operators'!$C$1:$G$99999,5,FALSE)</f>
        <v>MAELZER KURT</v>
      </c>
      <c r="O15" s="176" t="s">
        <v>232</v>
      </c>
      <c r="P15" s="153" t="s">
        <v>814</v>
      </c>
      <c r="Q15" s="31"/>
      <c r="R15" s="96" t="str">
        <f>VLOOKUP(C15,'Train Runs'!$A$13:$AE$9983,31,0)</f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S15" s="99" t="str">
        <f>VLOOKUP(C15,'Train Runs'!$A$13:$AE$9983,22,0)</f>
        <v>https://d0f6bd738d7f1b3e5a7ca70fe4ff75f0.us-east-1.aws.found.io/app/kibana#/discover/Steve-Slow-Train-Analysis-(2080s-and-2083s)?_g=(refreshInterval:(display:Off,pause:!f,section:0,value:0),time:(from:'2017-01-22T09:06:25-0700',mode:absolute,to:'2017-01-22T11:52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15" s="101" t="str">
        <f t="shared" si="1"/>
        <v>"C:\Program Files (x86)\AstroGrep\AstroGrep.exe" /spath="%USERPROFILE%\AppData\Local\Temp\OnboardLogs" /stypes="*4037*201701221*" /stext=" 17:.+((SYSTEM_STATE.+slice.+state.+changed )|(ment ac)|(multiple cpu faults)|(system.+state.+changed )|(\[timeout)|(PRM\|1\|D)|(kpr)|(kdp)|(\|lc)|(penalty))" /e /r /s</v>
      </c>
      <c r="U15" s="9" t="str">
        <f t="shared" si="2"/>
        <v>4037</v>
      </c>
      <c r="V15" s="33">
        <f t="shared" si="3"/>
        <v>42757.734976851847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{"issue":{"subject":"Wi-MAX data drop","project_id":79,"tracker_id":40,"status_id":1,"priority_id":2,"assigned_to_id":23,"start_date":"2017-01-22","description":"","custom_fields":[{"id":1,"name":"Subdivision","value":"EC"},{"id":4,"name":"Milepost","value":"4.3664"},{"id":17,"name":"Train ID","value":"146-22"},{"id":16,"name":"Locomotive ID","value":"4037"},{"id":130,"name":"Impact","value":""},{"id":150,"name":"Time of Event (Mountain Time)","value":"10:38:22"},{"id":151,"name":"Denver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"%USERPROFILE%\AppData\Local\Temp\OnboardLogs"\RTDC4037\*4037*201701221*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"%USERPROFILE%\AppData\Local\Temp\OnboardLogs"\RTDC4037\*4037*201701221* &gt;&gt; 2017-01-22-SliceDisagreementCheck.txt</v>
      </c>
      <c r="AE15" s="180" t="str">
        <f t="shared" si="8"/>
        <v>start /low /b %USERPROFILE%\Documents\GitHub\eaglep3\Utilities\DownloadLogsFromS3.py --loco 4037 --day 2017-01-22</v>
      </c>
    </row>
    <row r="16" spans="1:31" s="1" customFormat="1" x14ac:dyDescent="0.25">
      <c r="A16" s="33">
        <v>42757.437581018516</v>
      </c>
      <c r="B16" s="31" t="s">
        <v>201</v>
      </c>
      <c r="C16" s="31" t="s">
        <v>436</v>
      </c>
      <c r="D16" s="31" t="s">
        <v>49</v>
      </c>
      <c r="E16" s="31" t="s">
        <v>189</v>
      </c>
      <c r="F16" s="44">
        <v>0</v>
      </c>
      <c r="G16" s="44">
        <v>600</v>
      </c>
      <c r="H16" s="44">
        <v>190660</v>
      </c>
      <c r="I16" s="44">
        <v>193680</v>
      </c>
      <c r="J16" s="31" t="s">
        <v>190</v>
      </c>
      <c r="K16" s="44">
        <v>190738</v>
      </c>
      <c r="L16" s="150" t="s">
        <v>50</v>
      </c>
      <c r="M16" s="151">
        <f t="shared" si="0"/>
        <v>-1553.376</v>
      </c>
      <c r="N16" s="152" t="str">
        <f>VLOOKUP(C16,'Trips&amp;Operators'!$C$1:$G$99999,5,FALSE)</f>
        <v>ROBINSON KADDIBA</v>
      </c>
      <c r="O16" s="176" t="s">
        <v>232</v>
      </c>
      <c r="P16" s="153" t="s">
        <v>809</v>
      </c>
      <c r="Q16" s="31"/>
      <c r="R16" s="96" t="str">
        <f>VLOOKUP(C16,'Train Runs'!$A$13:$AE$9983,31,0)</f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S16" s="99" t="str">
        <f>VLOOKUP(C16,'Train Runs'!$A$13:$AE$9983,22,0)</f>
        <v>https://d0f6bd738d7f1b3e5a7ca70fe4ff75f0.us-east-1.aws.found.io/app/kibana#/discover/Steve-Slow-Train-Analysis-(2080s-and-2083s)?_g=(refreshInterval:(display:Off,pause:!f,section:0,value:0),time:(from:'2017-01-22T08:52:16-0700',mode:absolute,to:'2017-01-22T11:30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6" s="101" t="str">
        <f t="shared" si="1"/>
        <v>"C:\Program Files (x86)\AstroGrep\AstroGrep.exe" /spath="%USERPROFILE%\AppData\Local\Temp\OnboardLogs" /stypes="*4022*201701221*" /stext=" 17:.+((SYSTEM_STATE.+slice.+state.+changed )|(ment ac)|(multiple cpu faults)|(system.+state.+changed )|(\[timeout)|(PRM\|1\|D)|(kpr)|(kdp)|(\|lc)|(penalty))" /e /r /s</v>
      </c>
      <c r="U16" s="9" t="str">
        <f t="shared" si="2"/>
        <v>4022</v>
      </c>
      <c r="V16" s="33">
        <f t="shared" si="3"/>
        <v>42757.72924768518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{"issue":{"subject":"Premature downgrade at Pena 2N","project_id":79,"tracker_id":40,"status_id":1,"priority_id":2,"assigned_to_id":23,"start_date":"2017-01-22","description":"","custom_fields":[{"id":1,"name":"Subdivision","value":"EC"},{"id":4,"name":"Milepost","value":"19.0738"},{"id":17,"name":"Train ID","value":"151-22"},{"id":16,"name":"Locomotive ID","value":"4022"},{"id":130,"name":"Impact","value":""},{"id":150,"name":"Time of Event (Mountain Time)","value":"10:30:07"},{"id":151,"name":"Denver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"%USERPROFILE%\AppData\Local\Temp\OnboardLogs"\RTDC4022\*4022*201701221*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"%USERPROFILE%\AppData\Local\Temp\OnboardLogs"\RTDC4022\*4022*201701221* &gt;&gt; 2017-01-22-SliceDisagreementCheck.txt</v>
      </c>
      <c r="AE16" s="180" t="str">
        <f t="shared" si="8"/>
        <v>start /low /b %USERPROFILE%\Documents\GitHub\eaglep3\Utilities\DownloadLogsFromS3.py --loco 4022 --day 2017-01-22</v>
      </c>
    </row>
    <row r="17" spans="1:32" x14ac:dyDescent="0.25">
      <c r="A17" s="33">
        <v>42757.160208333335</v>
      </c>
      <c r="B17" s="31" t="s">
        <v>428</v>
      </c>
      <c r="C17" s="31" t="s">
        <v>429</v>
      </c>
      <c r="D17" s="31" t="s">
        <v>49</v>
      </c>
      <c r="E17" s="31" t="s">
        <v>189</v>
      </c>
      <c r="F17" s="44">
        <v>0</v>
      </c>
      <c r="G17" s="44">
        <v>234</v>
      </c>
      <c r="H17" s="44">
        <v>228466</v>
      </c>
      <c r="I17" s="44">
        <v>229228</v>
      </c>
      <c r="J17" s="31" t="s">
        <v>190</v>
      </c>
      <c r="K17" s="44">
        <v>228572</v>
      </c>
      <c r="L17" s="150" t="s">
        <v>50</v>
      </c>
      <c r="M17" s="151">
        <f t="shared" si="0"/>
        <v>-346.36800000000005</v>
      </c>
      <c r="N17" s="152" t="str">
        <f>VLOOKUP(C17,'Trips&amp;Operators'!$C$1:$G$99999,5,FALSE)</f>
        <v>OUN ZACK</v>
      </c>
      <c r="O17" s="176" t="s">
        <v>188</v>
      </c>
      <c r="P17" s="153" t="s">
        <v>806</v>
      </c>
      <c r="Q17" s="31"/>
      <c r="R17" s="96" t="str">
        <f>VLOOKUP(C17,'Train Runs'!$A$13:$AE$9983,31,0)</f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S17" s="99" t="str">
        <f>VLOOKUP(C17,'Train Runs'!$A$13:$AE$9983,22,0)</f>
        <v>https://d0f6bd738d7f1b3e5a7ca70fe4ff75f0.us-east-1.aws.found.io/app/kibana#/discover/Steve-Slow-Train-Analysis-(2080s-and-2083s)?_g=(refreshInterval:(display:Off,pause:!f,section:0,value:0),time:(from:'2017-01-22T02:07:55-0700',mode:absolute,to:'2017-01-22T04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101" t="str">
        <f t="shared" si="1"/>
        <v>"C:\Program Files (x86)\AstroGrep\AstroGrep.exe" /spath="%USERPROFILE%\AppData\Local\Temp\OnboardLogs" /stypes="*4003*201701221*" /stext=" 10:.+((SYSTEM_STATE.+slice.+state.+changed )|(ment ac)|(multiple cpu faults)|(system.+state.+changed )|(\[timeout)|(PRM\|1\|D)|(kpr)|(kdp)|(\|lc)|(penalty))" /e /r /s</v>
      </c>
      <c r="U17" s="9" t="str">
        <f t="shared" si="2"/>
        <v>4003</v>
      </c>
      <c r="V17" s="33">
        <f t="shared" si="3"/>
        <v>42757.451874999999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{"issue":{"subject":"Efficiency test? DIA 4N STOP (no clear requests from dispatch)","project_id":79,"tracker_id":40,"status_id":1,"priority_id":2,"assigned_to_id":23,"start_date":"2017-01-22","description":"","custom_fields":[{"id":1,"name":"Subdivision","value":"EC"},{"id":4,"name":"Milepost","value":"22.8572"},{"id":17,"name":"Train ID","value":"101-22"},{"id":16,"name":"Locomotive ID","value":"4003"},{"id":130,"name":"Impact","value":""},{"id":150,"name":"Time of Event (Mountain Time)","value":"03:50:42"},{"id":151,"name":"Denver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"%USERPROFILE%\AppData\Local\Temp\OnboardLogs"\RTDC4003\*4003*201701221*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"%USERPROFILE%\AppData\Local\Temp\OnboardLogs"\RTDC4003\*4003*201701221* &gt;&gt; 2017-01-22-SliceDisagreementCheck.txt</v>
      </c>
      <c r="AE17" s="180" t="str">
        <f t="shared" si="8"/>
        <v>start /low /b %USERPROFILE%\Documents\GitHub\eaglep3\Utilities\DownloadLogsFromS3.py --loco 4003 --day 2017-01-22</v>
      </c>
      <c r="AF17" s="1"/>
    </row>
    <row r="18" spans="1:32" ht="15" customHeight="1" x14ac:dyDescent="0.25">
      <c r="A18" s="33">
        <v>42757.400671296295</v>
      </c>
      <c r="B18" s="31" t="s">
        <v>246</v>
      </c>
      <c r="C18" s="31" t="s">
        <v>432</v>
      </c>
      <c r="D18" s="31" t="s">
        <v>49</v>
      </c>
      <c r="E18" s="31" t="s">
        <v>191</v>
      </c>
      <c r="F18" s="44">
        <v>0</v>
      </c>
      <c r="G18" s="44">
        <v>74</v>
      </c>
      <c r="H18" s="44">
        <v>278</v>
      </c>
      <c r="I18" s="44">
        <v>123</v>
      </c>
      <c r="J18" s="31" t="s">
        <v>192</v>
      </c>
      <c r="K18" s="44">
        <v>1</v>
      </c>
      <c r="L18" s="150" t="s">
        <v>51</v>
      </c>
      <c r="M18" s="151">
        <f t="shared" si="0"/>
        <v>64.415999999999997</v>
      </c>
      <c r="N18" s="152" t="str">
        <f>VLOOKUP(C18,'Trips&amp;Operators'!$C$1:$G$99999,5,FALSE)</f>
        <v>DAVIS WENDY</v>
      </c>
      <c r="O18" s="176" t="s">
        <v>232</v>
      </c>
      <c r="P18" s="153" t="s">
        <v>847</v>
      </c>
      <c r="Q18" s="31"/>
      <c r="R18" s="96" t="str">
        <f>VLOOKUP(C18,'Train Runs'!$A$13:$AE$9983,31,0)</f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S18" s="99" t="str">
        <f>VLOOKUP(C18,'Train Runs'!$A$13:$AE$9983,22,0)</f>
        <v>https://d0f6bd738d7f1b3e5a7ca70fe4ff75f0.us-east-1.aws.found.io/app/kibana#/discover/Steve-Slow-Train-Analysis-(2080s-and-2083s)?_g=(refreshInterval:(display:Off,pause:!f,section:0,value:0),time:(from:'2017-01-22T07:51:44-0700',mode:absolute,to:'2017-01-22T10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8" s="101" t="str">
        <f t="shared" si="1"/>
        <v>"C:\Program Files (x86)\AstroGrep\AstroGrep.exe" /spath="%USERPROFILE%\AppData\Local\Temp\OnboardLogs" /stypes="*4008*201701221*" /stext=" 16:.+((SYSTEM_STATE.+slice.+state.+changed )|(ment ac)|(multiple cpu faults)|(system.+state.+changed )|(\[timeout)|(PRM\|1\|D)|(kpr)|(kdp)|(\|lc)|(penalty))" /e /r /s</v>
      </c>
      <c r="U18" s="9" t="str">
        <f t="shared" si="2"/>
        <v>4008</v>
      </c>
      <c r="V18" s="33">
        <f t="shared" si="3"/>
        <v>42757.692337962959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{"issue":{"subject":"Banner w/o braking","project_id":79,"tracker_id":40,"status_id":1,"priority_id":2,"assigned_to_id":23,"start_date":"2017-01-22","description":"","custom_fields":[{"id":1,"name":"Subdivision","value":"EC"},{"id":4,"name":"Milepost","value":"0.0001"},{"id":17,"name":"Train ID","value":"136-22"},{"id":16,"name":"Locomotive ID","value":"4008"},{"id":130,"name":"Impact","value":""},{"id":150,"name":"Time of Event (Mountain Time)","value":"09:36:58"},{"id":151,"name":"Denver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"%USERPROFILE%\AppData\Local\Temp\OnboardLogs"\RTDC4008\*4008*201701221*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"%USERPROFILE%\AppData\Local\Temp\OnboardLogs"\RTDC4008\*4008*201701221* &gt;&gt; 2017-01-22-SliceDisagreementCheck.txt</v>
      </c>
      <c r="AE18" s="180" t="str">
        <f t="shared" si="8"/>
        <v>start /low /b %USERPROFILE%\Documents\GitHub\eaglep3\Utilities\DownloadLogsFromS3.py --loco 4008 --day 2017-01-22</v>
      </c>
      <c r="AF18" s="1"/>
    </row>
    <row r="19" spans="1:32" x14ac:dyDescent="0.25">
      <c r="A19" s="33">
        <v>42757.589143518519</v>
      </c>
      <c r="B19" s="31" t="s">
        <v>349</v>
      </c>
      <c r="C19" s="31" t="s">
        <v>443</v>
      </c>
      <c r="D19" s="31" t="s">
        <v>49</v>
      </c>
      <c r="E19" s="31" t="s">
        <v>191</v>
      </c>
      <c r="F19" s="44">
        <v>0</v>
      </c>
      <c r="G19" s="44">
        <v>56</v>
      </c>
      <c r="H19" s="44">
        <v>174</v>
      </c>
      <c r="I19" s="44">
        <v>132</v>
      </c>
      <c r="J19" s="31" t="s">
        <v>192</v>
      </c>
      <c r="K19" s="44">
        <v>1</v>
      </c>
      <c r="L19" s="150" t="s">
        <v>51</v>
      </c>
      <c r="M19" s="151">
        <f t="shared" si="0"/>
        <v>69.168000000000006</v>
      </c>
      <c r="N19" s="152" t="str">
        <f>VLOOKUP(C19,'Trips&amp;Operators'!$C$1:$G$99999,5,FALSE)</f>
        <v>KILLION DAVID</v>
      </c>
      <c r="O19" s="176" t="s">
        <v>188</v>
      </c>
      <c r="P19" s="153"/>
      <c r="Q19" s="31"/>
      <c r="R19" s="96" t="str">
        <f>VLOOKUP(C19,'Train Runs'!$A$13:$AE$9983,31,0)</f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S19" s="99" t="str">
        <f>VLOOKUP(C19,'Train Runs'!$A$13:$AE$9983,22,0)</f>
        <v>https://d0f6bd738d7f1b3e5a7ca70fe4ff75f0.us-east-1.aws.found.io/app/kibana#/discover/Steve-Slow-Train-Analysis-(2080s-and-2083s)?_g=(refreshInterval:(display:Off,pause:!f,section:0,value:0),time:(from:'2017-01-22T12:21:30-0700',mode:absolute,to:'2017-01-22T15:08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101" t="str">
        <f t="shared" si="1"/>
        <v>"C:\Program Files (x86)\AstroGrep\AstroGrep.exe" /spath="%USERPROFILE%\AppData\Local\Temp\OnboardLogs" /stypes="*4043*201701222*" /stext=" 21:.+((SYSTEM_STATE.+slice.+state.+changed )|(ment ac)|(multiple cpu faults)|(system.+state.+changed )|(\[timeout)|(PRM\|1\|D)|(kpr)|(kdp)|(\|lc)|(penalty))" /e /r /s</v>
      </c>
      <c r="U19" s="9" t="str">
        <f t="shared" si="2"/>
        <v>4043</v>
      </c>
      <c r="V19" s="33">
        <f t="shared" si="3"/>
        <v>42757.880810185183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{"issue":{"subject":"","project_id":79,"tracker_id":40,"status_id":1,"priority_id":2,"assigned_to_id":23,"start_date":"2017-01-22","description":"","custom_fields":[{"id":1,"name":"Subdivision","value":"EC"},{"id":4,"name":"Milepost","value":"0.0001"},{"id":17,"name":"Train ID","value":"172-22"},{"id":16,"name":"Locomotive ID","value":"4043"},{"id":130,"name":"Impact","value":""},{"id":150,"name":"Time of Event (Mountain Time)","value":"14:08:22"},{"id":151,"name":"Denver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"%USERPROFILE%\AppData\Local\Temp\OnboardLogs"\RTDC4043\*4043*201701222*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"%USERPROFILE%\AppData\Local\Temp\OnboardLogs"\RTDC4043\*4043*201701222* &gt;&gt; 2017-01-22-SliceDisagreementCheck.txt</v>
      </c>
      <c r="AE19" s="180" t="str">
        <f t="shared" si="8"/>
        <v>start /low /b %USERPROFILE%\Documents\GitHub\eaglep3\Utilities\DownloadLogsFromS3.py --loco 4043 --day 2017-01-22</v>
      </c>
      <c r="AF19" s="1"/>
    </row>
    <row r="20" spans="1:32" x14ac:dyDescent="0.25">
      <c r="A20" s="33">
        <v>42757.407835648148</v>
      </c>
      <c r="B20" s="31" t="s">
        <v>433</v>
      </c>
      <c r="C20" s="31" t="s">
        <v>434</v>
      </c>
      <c r="D20" s="31" t="s">
        <v>98</v>
      </c>
      <c r="E20" s="31" t="s">
        <v>230</v>
      </c>
      <c r="F20" s="44">
        <v>400</v>
      </c>
      <c r="G20" s="44">
        <v>452</v>
      </c>
      <c r="H20" s="44">
        <v>39095</v>
      </c>
      <c r="I20" s="44">
        <v>37585</v>
      </c>
      <c r="J20" s="31" t="s">
        <v>231</v>
      </c>
      <c r="K20" s="44">
        <v>40977</v>
      </c>
      <c r="L20" s="150" t="s">
        <v>51</v>
      </c>
      <c r="M20" s="151">
        <f t="shared" si="0"/>
        <v>-1790.9760000000001</v>
      </c>
      <c r="N20" s="152" t="str">
        <f>VLOOKUP(C20,'Trips&amp;Operators'!$C$1:$G$99999,5,FALSE)</f>
        <v>YORK EDGAR</v>
      </c>
      <c r="O20" s="176" t="s">
        <v>188</v>
      </c>
      <c r="P20" s="153"/>
      <c r="Q20" s="31"/>
      <c r="R20" s="96" t="str">
        <f>VLOOKUP(C20,'Train Runs'!$A$13:$AE$9983,31,0)</f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S20" s="99" t="str">
        <f>VLOOKUP(C20,'Train Runs'!$A$13:$AE$9983,22,0)</f>
        <v>https://d0f6bd738d7f1b3e5a7ca70fe4ff75f0.us-east-1.aws.found.io/app/kibana#/discover/Steve-Slow-Train-Analysis-(2080s-and-2083s)?_g=(refreshInterval:(display:Off,pause:!f,section:0,value:0),time:(from:'2017-01-22T08:36:57-0700',mode:absolute,to:'2017-01-22T10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0" s="101" t="str">
        <f t="shared" si="1"/>
        <v>"C:\Program Files (x86)\AstroGrep\AstroGrep.exe" /spath="%USERPROFILE%\AppData\Local\Temp\OnboardLogs" /stypes="*4032*201701221*" /stext=" 16:.+((SYSTEM_STATE.+slice.+state.+changed )|(ment ac)|(multiple cpu faults)|(system.+state.+changed )|(\[timeout)|(PRM\|1\|D)|(kpr)|(kdp)|(\|lc)|(penalty))" /e /r /s</v>
      </c>
      <c r="U20" s="9" t="str">
        <f t="shared" si="2"/>
        <v>4032</v>
      </c>
      <c r="V20" s="33">
        <f t="shared" si="3"/>
        <v>42757.699502314812</v>
      </c>
      <c r="W20" s="47" t="str">
        <f t="shared" si="4"/>
        <v>NW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{"issue":{"subject":"","project_id":79,"tracker_id":40,"status_id":1,"priority_id":2,"assigned_to_id":23,"start_date":"2017-01-22","description":"","custom_fields":[{"id":1,"name":"Subdivision","value":"NW"},{"id":4,"name":"Milepost","value":"4.0977"},{"id":17,"name":"Train ID","value":"1808-22"},{"id":16,"name":"Locomotive ID","value":"4032"},{"id":130,"name":"Impact","value":""},{"id":150,"name":"Time of Event (Mountain Time)","value":"09:47:17"},{"id":151,"name":"Denver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"%USERPROFILE%\AppData\Local\Temp\OnboardLogs"\RTDC4032\*4032*201701221*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"%USERPROFILE%\AppData\Local\Temp\OnboardLogs"\RTDC4032\*4032*201701221* &gt;&gt; 2017-01-22-SliceDisagreementCheck.txt</v>
      </c>
      <c r="AE20" s="180" t="str">
        <f t="shared" si="8"/>
        <v>start /low /b %USERPROFILE%\Documents\GitHub\eaglep3\Utilities\DownloadLogsFromS3.py --loco 4032 --day 2017-01-22</v>
      </c>
      <c r="AF20" s="1"/>
    </row>
    <row r="21" spans="1:32" x14ac:dyDescent="0.25">
      <c r="A21" s="33">
        <v>42757.456585648149</v>
      </c>
      <c r="B21" s="31" t="s">
        <v>288</v>
      </c>
      <c r="C21" s="31" t="s">
        <v>440</v>
      </c>
      <c r="D21" s="31" t="s">
        <v>98</v>
      </c>
      <c r="E21" s="31" t="s">
        <v>189</v>
      </c>
      <c r="F21" s="44">
        <v>0</v>
      </c>
      <c r="G21" s="44">
        <v>172</v>
      </c>
      <c r="H21" s="44">
        <v>22007</v>
      </c>
      <c r="I21" s="44">
        <v>21663</v>
      </c>
      <c r="J21" s="31" t="s">
        <v>190</v>
      </c>
      <c r="K21" s="44">
        <v>22888</v>
      </c>
      <c r="L21" s="150" t="s">
        <v>51</v>
      </c>
      <c r="M21" s="151">
        <f t="shared" si="0"/>
        <v>-646.79999999999995</v>
      </c>
      <c r="N21" s="152" t="str">
        <f>VLOOKUP(C21,'Trips&amp;Operators'!$C$1:$G$99999,5,FALSE)</f>
        <v>LEVIN SCOTT</v>
      </c>
      <c r="O21" s="176" t="s">
        <v>188</v>
      </c>
      <c r="P21" s="153"/>
      <c r="Q21" s="31"/>
      <c r="R21" s="96" t="str">
        <f>VLOOKUP(C21,'Train Runs'!$A$13:$AE$9983,31,0)</f>
        <v>aws s3 cp s3://rtdc.mdm.uploadarchive.raw/RTDC4039/ "%USERPROFILE%\AppData\Local\Temp\OnboardLogs"\RTDC4039\2017-01-22 --exclude "*" --recursive --include "*20170122*" &amp; "%USERPROFILE%\Documents\GitHub\mrs-test-scripts\Headless Mode &amp; Sideloading\WalkAndUnGZ.bat" "%USERPROFILE%\AppData\Local\Temp\OnboardLogs"\RTDC4039\2017-01-22 &amp; 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</v>
      </c>
      <c r="S21" s="99" t="str">
        <f>VLOOKUP(C21,'Train Runs'!$A$13:$AE$9983,22,0)</f>
        <v>https://d0f6bd738d7f1b3e5a7ca70fe4ff75f0.us-east-1.aws.found.io/app/kibana#/discover/Steve-Slow-Train-Analysis-(2080s-and-2083s)?_g=(refreshInterval:(display:Off,pause:!f,section:0,value:0),time:(from:'2017-01-22T09:52:12-0700',mode:absolute,to:'2017-01-22T11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1" s="101" t="str">
        <f t="shared" si="1"/>
        <v>"C:\Program Files (x86)\AstroGrep\AstroGrep.exe" /spath="%USERPROFILE%\AppData\Local\Temp\OnboardLogs" /stypes="*4039*201701221*" /stext=" 17:.+((SYSTEM_STATE.+slice.+state.+changed )|(ment ac)|(multiple cpu faults)|(system.+state.+changed )|(\[timeout)|(PRM\|1\|D)|(kpr)|(kdp)|(\|lc)|(penalty))" /e /r /s</v>
      </c>
      <c r="U21" s="9" t="str">
        <f t="shared" si="2"/>
        <v>4039</v>
      </c>
      <c r="V21" s="33">
        <f t="shared" si="3"/>
        <v>42757.748252314814</v>
      </c>
      <c r="W21" s="47" t="str">
        <f t="shared" si="4"/>
        <v>Other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{"issue":{"subject":"","project_id":79,"tracker_id":40,"status_id":1,"priority_id":2,"assigned_to_id":23,"start_date":"2017-01-22","description":"","custom_fields":[{"id":1,"name":"Subdivision","value":"Other"},{"id":4,"name":"Milepost","value":"2.2888"},{"id":17,"name":"Train ID","value":"52-22"},{"id":16,"name":"Locomotive ID","value":"4039"},{"id":130,"name":"Impact","value":""},{"id":150,"name":"Time of Event (Mountain Time)","value":"10:57:29"},{"id":151,"name":"Denver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"%USERPROFILE%\AppData\Local\Temp\OnboardLogs"\RTDC4039\*4039*201701221*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"%USERPROFILE%\AppData\Local\Temp\OnboardLogs"\RTDC4039\*4039*201701221* &gt;&gt; 2017-01-22-SliceDisagreementCheck.txt</v>
      </c>
      <c r="AE21" s="180" t="str">
        <f t="shared" si="8"/>
        <v>start /low /b %USERPROFILE%\Documents\GitHub\eaglep3\Utilities\DownloadLogsFromS3.py --loco 4039 --day 2017-01-22</v>
      </c>
      <c r="AF21" s="1"/>
    </row>
    <row r="22" spans="1:32" ht="15" customHeight="1" x14ac:dyDescent="0.25">
      <c r="A22" s="33">
        <v>42757.456620370373</v>
      </c>
      <c r="B22" s="31" t="s">
        <v>288</v>
      </c>
      <c r="C22" s="31" t="s">
        <v>440</v>
      </c>
      <c r="D22" s="31" t="s">
        <v>98</v>
      </c>
      <c r="E22" s="31" t="s">
        <v>189</v>
      </c>
      <c r="F22" s="44">
        <v>0</v>
      </c>
      <c r="G22" s="44">
        <v>4</v>
      </c>
      <c r="H22" s="44">
        <v>21664</v>
      </c>
      <c r="I22" s="44">
        <v>21664</v>
      </c>
      <c r="J22" s="31" t="s">
        <v>190</v>
      </c>
      <c r="K22" s="44">
        <v>22888</v>
      </c>
      <c r="L22" s="150" t="s">
        <v>51</v>
      </c>
      <c r="M22" s="151">
        <f t="shared" si="0"/>
        <v>-646.27200000000005</v>
      </c>
      <c r="N22" s="152" t="str">
        <f>VLOOKUP(C22,'Trips&amp;Operators'!$C$1:$G$99999,5,FALSE)</f>
        <v>LEVIN SCOTT</v>
      </c>
      <c r="O22" s="176" t="s">
        <v>188</v>
      </c>
      <c r="P22" s="153"/>
      <c r="Q22" s="31"/>
      <c r="R22" s="96" t="str">
        <f>VLOOKUP(C22,'Train Runs'!$A$13:$AE$9983,31,0)</f>
        <v>aws s3 cp s3://rtdc.mdm.uploadarchive.raw/RTDC4039/ "%USERPROFILE%\AppData\Local\Temp\OnboardLogs"\RTDC4039\2017-01-22 --exclude "*" --recursive --include "*20170122*" &amp; "%USERPROFILE%\Documents\GitHub\mrs-test-scripts\Headless Mode &amp; Sideloading\WalkAndUnGZ.bat" "%USERPROFILE%\AppData\Local\Temp\OnboardLogs"\RTDC4039\2017-01-22 &amp; 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</v>
      </c>
      <c r="S22" s="99" t="str">
        <f>VLOOKUP(C22,'Train Runs'!$A$13:$AE$9983,22,0)</f>
        <v>https://d0f6bd738d7f1b3e5a7ca70fe4ff75f0.us-east-1.aws.found.io/app/kibana#/discover/Steve-Slow-Train-Analysis-(2080s-and-2083s)?_g=(refreshInterval:(display:Off,pause:!f,section:0,value:0),time:(from:'2017-01-22T09:52:12-0700',mode:absolute,to:'2017-01-22T11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2" s="101" t="str">
        <f t="shared" si="1"/>
        <v>"C:\Program Files (x86)\AstroGrep\AstroGrep.exe" /spath="%USERPROFILE%\AppData\Local\Temp\OnboardLogs" /stypes="*4039*201701221*" /stext=" 17:.+((SYSTEM_STATE.+slice.+state.+changed )|(ment ac)|(multiple cpu faults)|(system.+state.+changed )|(\[timeout)|(PRM\|1\|D)|(kpr)|(kdp)|(\|lc)|(penalty))" /e /r /s</v>
      </c>
      <c r="U22" s="9" t="str">
        <f t="shared" si="2"/>
        <v>4039</v>
      </c>
      <c r="V22" s="33">
        <f t="shared" si="3"/>
        <v>42757.748287037037</v>
      </c>
      <c r="W22" s="47" t="str">
        <f t="shared" si="4"/>
        <v>Other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{"issue":{"subject":"","project_id":79,"tracker_id":40,"status_id":1,"priority_id":2,"assigned_to_id":23,"start_date":"2017-01-22","description":"","custom_fields":[{"id":1,"name":"Subdivision","value":"Other"},{"id":4,"name":"Milepost","value":"2.2888"},{"id":17,"name":"Train ID","value":"52-22"},{"id":16,"name":"Locomotive ID","value":"4039"},{"id":130,"name":"Impact","value":""},{"id":150,"name":"Time of Event (Mountain Time)","value":"10:57:32"},{"id":151,"name":"Denver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"%USERPROFILE%\AppData\Local\Temp\OnboardLogs"\RTDC4039\*4039*201701221*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"%USERPROFILE%\AppData\Local\Temp\OnboardLogs"\RTDC4039\*4039*201701221* &gt;&gt; 2017-01-22-SliceDisagreementCheck.txt</v>
      </c>
      <c r="AE22" s="180" t="str">
        <f t="shared" si="8"/>
        <v>start /low /b %USERPROFILE%\Documents\GitHub\eaglep3\Utilities\DownloadLogsFromS3.py --loco 4039 --day 2017-01-22</v>
      </c>
      <c r="AF22" s="1"/>
    </row>
    <row r="23" spans="1:32" ht="15" customHeight="1" x14ac:dyDescent="0.25">
      <c r="A23" s="33">
        <v>42757.456770833334</v>
      </c>
      <c r="B23" s="31" t="s">
        <v>288</v>
      </c>
      <c r="C23" s="31" t="s">
        <v>440</v>
      </c>
      <c r="D23" s="31" t="s">
        <v>98</v>
      </c>
      <c r="E23" s="31" t="s">
        <v>189</v>
      </c>
      <c r="F23" s="44">
        <v>0</v>
      </c>
      <c r="G23" s="44">
        <v>4</v>
      </c>
      <c r="H23" s="44">
        <v>21680</v>
      </c>
      <c r="I23" s="44">
        <v>21680</v>
      </c>
      <c r="J23" s="31" t="s">
        <v>190</v>
      </c>
      <c r="K23" s="44">
        <v>22888</v>
      </c>
      <c r="L23" s="150" t="s">
        <v>51</v>
      </c>
      <c r="M23" s="151">
        <f t="shared" si="0"/>
        <v>-637.82399999999996</v>
      </c>
      <c r="N23" s="152" t="str">
        <f>VLOOKUP(C23,'Trips&amp;Operators'!$C$1:$G$99999,5,FALSE)</f>
        <v>LEVIN SCOTT</v>
      </c>
      <c r="O23" s="176" t="s">
        <v>188</v>
      </c>
      <c r="P23" s="153"/>
      <c r="Q23" s="31"/>
      <c r="R23" s="96" t="str">
        <f>VLOOKUP(C23,'Train Runs'!$A$13:$AE$9983,31,0)</f>
        <v>aws s3 cp s3://rtdc.mdm.uploadarchive.raw/RTDC4039/ "%USERPROFILE%\AppData\Local\Temp\OnboardLogs"\RTDC4039\2017-01-22 --exclude "*" --recursive --include "*20170122*" &amp; "%USERPROFILE%\Documents\GitHub\mrs-test-scripts\Headless Mode &amp; Sideloading\WalkAndUnGZ.bat" "%USERPROFILE%\AppData\Local\Temp\OnboardLogs"\RTDC4039\2017-01-22 &amp; 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</v>
      </c>
      <c r="S23" s="99" t="str">
        <f>VLOOKUP(C23,'Train Runs'!$A$13:$AE$9983,22,0)</f>
        <v>https://d0f6bd738d7f1b3e5a7ca70fe4ff75f0.us-east-1.aws.found.io/app/kibana#/discover/Steve-Slow-Train-Analysis-(2080s-and-2083s)?_g=(refreshInterval:(display:Off,pause:!f,section:0,value:0),time:(from:'2017-01-22T09:52:12-0700',mode:absolute,to:'2017-01-22T11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101" t="str">
        <f t="shared" si="1"/>
        <v>"C:\Program Files (x86)\AstroGrep\AstroGrep.exe" /spath="%USERPROFILE%\AppData\Local\Temp\OnboardLogs" /stypes="*4039*201701221*" /stext=" 17:.+((SYSTEM_STATE.+slice.+state.+changed )|(ment ac)|(multiple cpu faults)|(system.+state.+changed )|(\[timeout)|(PRM\|1\|D)|(kpr)|(kdp)|(\|lc)|(penalty))" /e /r /s</v>
      </c>
      <c r="U23" s="9" t="str">
        <f t="shared" si="2"/>
        <v>4039</v>
      </c>
      <c r="V23" s="33">
        <f t="shared" si="3"/>
        <v>42757.748437499999</v>
      </c>
      <c r="W23" s="47" t="str">
        <f t="shared" si="4"/>
        <v>Other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{"issue":{"subject":"","project_id":79,"tracker_id":40,"status_id":1,"priority_id":2,"assigned_to_id":23,"start_date":"2017-01-22","description":"","custom_fields":[{"id":1,"name":"Subdivision","value":"Other"},{"id":4,"name":"Milepost","value":"2.2888"},{"id":17,"name":"Train ID","value":"52-22"},{"id":16,"name":"Locomotive ID","value":"4039"},{"id":130,"name":"Impact","value":""},{"id":150,"name":"Time of Event (Mountain Time)","value":"10:57:45"},{"id":151,"name":"Denver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"%USERPROFILE%\AppData\Local\Temp\OnboardLogs"\RTDC4039\*4039*201701221*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"%USERPROFILE%\AppData\Local\Temp\OnboardLogs"\RTDC4039\*4039*201701221* &gt;&gt; 2017-01-22-SliceDisagreementCheck.txt</v>
      </c>
      <c r="AE23" s="180" t="str">
        <f t="shared" si="8"/>
        <v>start /low /b %USERPROFILE%\Documents\GitHub\eaglep3\Utilities\DownloadLogsFromS3.py --loco 4039 --day 2017-01-22</v>
      </c>
      <c r="AF23" s="1"/>
    </row>
    <row r="24" spans="1:32" x14ac:dyDescent="0.25">
      <c r="A24" s="33">
        <v>42757.456921296296</v>
      </c>
      <c r="B24" s="31" t="s">
        <v>288</v>
      </c>
      <c r="C24" s="31" t="s">
        <v>440</v>
      </c>
      <c r="D24" s="31" t="s">
        <v>98</v>
      </c>
      <c r="E24" s="31" t="s">
        <v>189</v>
      </c>
      <c r="F24" s="44">
        <v>0</v>
      </c>
      <c r="G24" s="44">
        <v>11</v>
      </c>
      <c r="H24" s="44">
        <v>21699</v>
      </c>
      <c r="I24" s="44">
        <v>21702</v>
      </c>
      <c r="J24" s="31" t="s">
        <v>190</v>
      </c>
      <c r="K24" s="44">
        <v>22888</v>
      </c>
      <c r="L24" s="150" t="s">
        <v>51</v>
      </c>
      <c r="M24" s="151">
        <f t="shared" si="0"/>
        <v>-626.20799999999997</v>
      </c>
      <c r="N24" s="152" t="str">
        <f>VLOOKUP(C24,'Trips&amp;Operators'!$C$1:$G$99999,5,FALSE)</f>
        <v>LEVIN SCOTT</v>
      </c>
      <c r="O24" s="176" t="s">
        <v>188</v>
      </c>
      <c r="P24" s="153"/>
      <c r="Q24" s="31"/>
      <c r="R24" s="96" t="str">
        <f>VLOOKUP(C24,'Train Runs'!$A$13:$AE$9983,31,0)</f>
        <v>aws s3 cp s3://rtdc.mdm.uploadarchive.raw/RTDC4039/ "%USERPROFILE%\AppData\Local\Temp\OnboardLogs"\RTDC4039\2017-01-22 --exclude "*" --recursive --include "*20170122*" &amp; "%USERPROFILE%\Documents\GitHub\mrs-test-scripts\Headless Mode &amp; Sideloading\WalkAndUnGZ.bat" "%USERPROFILE%\AppData\Local\Temp\OnboardLogs"\RTDC4039\2017-01-22 &amp; 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</v>
      </c>
      <c r="S24" s="99" t="str">
        <f>VLOOKUP(C24,'Train Runs'!$A$13:$AE$9983,22,0)</f>
        <v>https://d0f6bd738d7f1b3e5a7ca70fe4ff75f0.us-east-1.aws.found.io/app/kibana#/discover/Steve-Slow-Train-Analysis-(2080s-and-2083s)?_g=(refreshInterval:(display:Off,pause:!f,section:0,value:0),time:(from:'2017-01-22T09:52:12-0700',mode:absolute,to:'2017-01-22T11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4" s="101" t="str">
        <f t="shared" si="1"/>
        <v>"C:\Program Files (x86)\AstroGrep\AstroGrep.exe" /spath="%USERPROFILE%\AppData\Local\Temp\OnboardLogs" /stypes="*4039*201701221*" /stext=" 17:.+((SYSTEM_STATE.+slice.+state.+changed )|(ment ac)|(multiple cpu faults)|(system.+state.+changed )|(\[timeout)|(PRM\|1\|D)|(kpr)|(kdp)|(\|lc)|(penalty))" /e /r /s</v>
      </c>
      <c r="U24" s="9" t="str">
        <f t="shared" si="2"/>
        <v>4039</v>
      </c>
      <c r="V24" s="33">
        <f t="shared" si="3"/>
        <v>42757.74858796296</v>
      </c>
      <c r="W24" s="47" t="str">
        <f t="shared" si="4"/>
        <v>Other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{"issue":{"subject":"","project_id":79,"tracker_id":40,"status_id":1,"priority_id":2,"assigned_to_id":23,"start_date":"2017-01-22","description":"","custom_fields":[{"id":1,"name":"Subdivision","value":"Other"},{"id":4,"name":"Milepost","value":"2.2888"},{"id":17,"name":"Train ID","value":"52-22"},{"id":16,"name":"Locomotive ID","value":"4039"},{"id":130,"name":"Impact","value":""},{"id":150,"name":"Time of Event (Mountain Time)","value":"10:57:58"},{"id":151,"name":"Denver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"%USERPROFILE%\AppData\Local\Temp\OnboardLogs"\RTDC4039\*4039*201701221*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"%USERPROFILE%\AppData\Local\Temp\OnboardLogs"\RTDC4039\*4039*201701221* &gt;&gt; 2017-01-22-SliceDisagreementCheck.txt</v>
      </c>
      <c r="AE24" s="180" t="str">
        <f t="shared" si="8"/>
        <v>start /low /b %USERPROFILE%\Documents\GitHub\eaglep3\Utilities\DownloadLogsFromS3.py --loco 4039 --day 2017-01-22</v>
      </c>
      <c r="AF24" s="1"/>
    </row>
    <row r="25" spans="1:32" x14ac:dyDescent="0.25">
      <c r="A25" s="33">
        <v>42757.448784722219</v>
      </c>
      <c r="B25" s="31" t="s">
        <v>224</v>
      </c>
      <c r="C25" s="31" t="s">
        <v>439</v>
      </c>
      <c r="D25" s="31" t="s">
        <v>49</v>
      </c>
      <c r="E25" s="31" t="s">
        <v>191</v>
      </c>
      <c r="F25" s="44">
        <v>0</v>
      </c>
      <c r="G25" s="44">
        <v>72</v>
      </c>
      <c r="H25" s="44">
        <v>292</v>
      </c>
      <c r="I25" s="44">
        <v>218</v>
      </c>
      <c r="J25" s="31" t="s">
        <v>192</v>
      </c>
      <c r="K25" s="44">
        <v>1</v>
      </c>
      <c r="L25" s="150" t="s">
        <v>51</v>
      </c>
      <c r="M25" s="151">
        <f t="shared" si="0"/>
        <v>114.57599999999999</v>
      </c>
      <c r="N25" s="152" t="str">
        <f>VLOOKUP(C25,'Trips&amp;Operators'!$C$1:$G$99999,5,FALSE)</f>
        <v>STEWART MICHAEL</v>
      </c>
      <c r="O25" s="176" t="s">
        <v>188</v>
      </c>
      <c r="P25" s="153"/>
      <c r="Q25" s="31"/>
      <c r="R25" s="96" t="str">
        <f>VLOOKUP(C25,'Train Runs'!$A$13:$AE$9983,31,0)</f>
        <v>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 &amp; 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</v>
      </c>
      <c r="S25" s="99" t="str">
        <f>VLOOKUP(C25,'Train Runs'!$A$13:$AE$9983,22,0)</f>
        <v>https://d0f6bd738d7f1b3e5a7ca70fe4ff75f0.us-east-1.aws.found.io/app/kibana#/discover/Steve-Slow-Train-Analysis-(2080s-and-2083s)?_g=(refreshInterval:(display:Off,pause:!f,section:0,value:0),time:(from:'2017-01-22T09:35:21-0700',mode:absolute,to:'2017-01-22T11:46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5" s="101" t="str">
        <f t="shared" si="1"/>
        <v>"C:\Program Files (x86)\AstroGrep\AstroGrep.exe" /spath="%USERPROFILE%\AppData\Local\Temp\OnboardLogs" /stypes="*4030*201701221*" /stext=" 17:.+((SYSTEM_STATE.+slice.+state.+changed )|(ment ac)|(multiple cpu faults)|(system.+state.+changed )|(\[timeout)|(PRM\|1\|D)|(kpr)|(kdp)|(\|lc)|(penalty))" /e /r /s</v>
      </c>
      <c r="U25" s="9" t="str">
        <f t="shared" si="2"/>
        <v>4030</v>
      </c>
      <c r="V25" s="33">
        <f t="shared" si="3"/>
        <v>42757.740451388883</v>
      </c>
      <c r="W25" s="47" t="str">
        <f t="shared" si="4"/>
        <v>Other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{"issue":{"subject":"","project_id":79,"tracker_id":40,"status_id":1,"priority_id":2,"assigned_to_id":23,"start_date":"2017-01-22","description":"","custom_fields":[{"id":1,"name":"Subdivision","value":"Other"},{"id":4,"name":"Milepost","value":"0.0001"},{"id":17,"name":"Train ID","value":"50-22"},{"id":16,"name":"Locomotive ID","value":"4030"},{"id":130,"name":"Impact","value":""},{"id":150,"name":"Time of Event (Mountain Time)","value":"10:46:15"},{"id":151,"name":"Denver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"%USERPROFILE%\AppData\Local\Temp\OnboardLogs"\RTDC4030\*4030*201701221*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"%USERPROFILE%\AppData\Local\Temp\OnboardLogs"\RTDC4030\*4030*201701221* &gt;&gt; 2017-01-22-SliceDisagreementCheck.txt</v>
      </c>
      <c r="AE25" s="180" t="str">
        <f t="shared" si="8"/>
        <v>start /low /b %USERPROFILE%\Documents\GitHub\eaglep3\Utilities\DownloadLogsFromS3.py --loco 4030 --day 2017-01-22</v>
      </c>
      <c r="AF25" s="1"/>
    </row>
    <row r="26" spans="1:32" x14ac:dyDescent="0.25">
      <c r="A26" s="33">
        <v>42757.505659722221</v>
      </c>
      <c r="B26" s="31" t="s">
        <v>224</v>
      </c>
      <c r="C26" s="31" t="s">
        <v>441</v>
      </c>
      <c r="D26" s="31" t="s">
        <v>49</v>
      </c>
      <c r="E26" s="31" t="s">
        <v>191</v>
      </c>
      <c r="F26" s="44">
        <v>0</v>
      </c>
      <c r="G26" s="44">
        <v>43</v>
      </c>
      <c r="H26" s="44">
        <v>202</v>
      </c>
      <c r="I26" s="44">
        <v>175</v>
      </c>
      <c r="J26" s="31" t="s">
        <v>192</v>
      </c>
      <c r="K26" s="44">
        <v>1</v>
      </c>
      <c r="L26" s="150" t="s">
        <v>51</v>
      </c>
      <c r="M26" s="151">
        <f t="shared" si="0"/>
        <v>91.872</v>
      </c>
      <c r="N26" s="152" t="str">
        <f>VLOOKUP(C26,'Trips&amp;Operators'!$C$1:$G$99999,5,FALSE)</f>
        <v>KILLION DAVID</v>
      </c>
      <c r="O26" s="176" t="s">
        <v>188</v>
      </c>
      <c r="P26" s="153"/>
      <c r="Q26" s="31"/>
      <c r="R26" s="96" t="str">
        <f>VLOOKUP(C26,'Train Runs'!$A$13:$AE$9983,31,0)</f>
        <v>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 &amp; 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</v>
      </c>
      <c r="S26" s="99" t="str">
        <f>VLOOKUP(C26,'Train Runs'!$A$13:$AE$9983,22,0)</f>
        <v>https://d0f6bd738d7f1b3e5a7ca70fe4ff75f0.us-east-1.aws.found.io/app/kibana#/discover/Steve-Slow-Train-Analysis-(2080s-and-2083s)?_g=(refreshInterval:(display:Off,pause:!f,section:0,value:0),time:(from:'2017-01-22T10:57:40-0700',mode:absolute,to:'2017-01-22T13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6" s="101" t="str">
        <f t="shared" si="1"/>
        <v>"C:\Program Files (x86)\AstroGrep\AstroGrep.exe" /spath="%USERPROFILE%\AppData\Local\Temp\OnboardLogs" /stypes="*4030*201701221*" /stext=" 19:.+((SYSTEM_STATE.+slice.+state.+changed )|(ment ac)|(multiple cpu faults)|(system.+state.+changed )|(\[timeout)|(PRM\|1\|D)|(kpr)|(kdp)|(\|lc)|(penalty))" /e /r /s</v>
      </c>
      <c r="U26" s="9" t="str">
        <f t="shared" si="2"/>
        <v>4030</v>
      </c>
      <c r="V26" s="33">
        <f t="shared" si="3"/>
        <v>42757.797326388885</v>
      </c>
      <c r="W26" s="47" t="str">
        <f t="shared" si="4"/>
        <v>Other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{"issue":{"subject":"","project_id":79,"tracker_id":40,"status_id":1,"priority_id":2,"assigned_to_id":23,"start_date":"2017-01-22","description":"","custom_fields":[{"id":1,"name":"Subdivision","value":"Other"},{"id":4,"name":"Milepost","value":"0.0001"},{"id":17,"name":"Train ID","value":"56-22"},{"id":16,"name":"Locomotive ID","value":"4030"},{"id":130,"name":"Impact","value":""},{"id":150,"name":"Time of Event (Mountain Time)","value":"12:08:09"},{"id":151,"name":"Denver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"%USERPROFILE%\AppData\Local\Temp\OnboardLogs"\RTDC4030\*4030*201701221*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"%USERPROFILE%\AppData\Local\Temp\OnboardLogs"\RTDC4030\*4030*201701221* &gt;&gt; 2017-01-22-SliceDisagreementCheck.txt</v>
      </c>
      <c r="AE26" s="180" t="str">
        <f t="shared" si="8"/>
        <v>start /low /b %USERPROFILE%\Documents\GitHub\eaglep3\Utilities\DownloadLogsFromS3.py --loco 4030 --day 2017-01-22</v>
      </c>
      <c r="AF26" s="1"/>
    </row>
    <row r="27" spans="1:32" x14ac:dyDescent="0.25">
      <c r="A27" s="33">
        <v>42757.506157407406</v>
      </c>
      <c r="B27" s="31" t="s">
        <v>224</v>
      </c>
      <c r="C27" s="31" t="s">
        <v>441</v>
      </c>
      <c r="D27" s="31" t="s">
        <v>49</v>
      </c>
      <c r="E27" s="31" t="s">
        <v>191</v>
      </c>
      <c r="F27" s="44">
        <v>0</v>
      </c>
      <c r="G27" s="44">
        <v>26</v>
      </c>
      <c r="H27" s="44">
        <v>63</v>
      </c>
      <c r="I27" s="44">
        <v>43</v>
      </c>
      <c r="J27" s="31" t="s">
        <v>192</v>
      </c>
      <c r="K27" s="44">
        <v>1</v>
      </c>
      <c r="L27" s="150" t="s">
        <v>51</v>
      </c>
      <c r="M27" s="151">
        <f t="shared" si="0"/>
        <v>22.175999999999998</v>
      </c>
      <c r="N27" s="152" t="str">
        <f>VLOOKUP(C27,'Trips&amp;Operators'!$C$1:$G$99999,5,FALSE)</f>
        <v>KILLION DAVID</v>
      </c>
      <c r="O27" s="176" t="s">
        <v>188</v>
      </c>
      <c r="P27" s="153"/>
      <c r="Q27" s="31"/>
      <c r="R27" s="96" t="str">
        <f>VLOOKUP(C27,'Train Runs'!$A$13:$AE$9983,31,0)</f>
        <v>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 &amp; 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</v>
      </c>
      <c r="S27" s="99" t="str">
        <f>VLOOKUP(C27,'Train Runs'!$A$13:$AE$9983,22,0)</f>
        <v>https://d0f6bd738d7f1b3e5a7ca70fe4ff75f0.us-east-1.aws.found.io/app/kibana#/discover/Steve-Slow-Train-Analysis-(2080s-and-2083s)?_g=(refreshInterval:(display:Off,pause:!f,section:0,value:0),time:(from:'2017-01-22T10:57:40-0700',mode:absolute,to:'2017-01-22T13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7" s="101" t="str">
        <f t="shared" si="1"/>
        <v>"C:\Program Files (x86)\AstroGrep\AstroGrep.exe" /spath="%USERPROFILE%\AppData\Local\Temp\OnboardLogs" /stypes="*4030*201701221*" /stext=" 19:.+((SYSTEM_STATE.+slice.+state.+changed )|(ment ac)|(multiple cpu faults)|(system.+state.+changed )|(\[timeout)|(PRM\|1\|D)|(kpr)|(kdp)|(\|lc)|(penalty))" /e /r /s</v>
      </c>
      <c r="U27" s="9" t="str">
        <f t="shared" si="2"/>
        <v>4030</v>
      </c>
      <c r="V27" s="33">
        <f t="shared" si="3"/>
        <v>42757.79782407407</v>
      </c>
      <c r="W27" s="47" t="str">
        <f t="shared" si="4"/>
        <v>Other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{"issue":{"subject":"","project_id":79,"tracker_id":40,"status_id":1,"priority_id":2,"assigned_to_id":23,"start_date":"2017-01-22","description":"","custom_fields":[{"id":1,"name":"Subdivision","value":"Other"},{"id":4,"name":"Milepost","value":"0.0001"},{"id":17,"name":"Train ID","value":"56-22"},{"id":16,"name":"Locomotive ID","value":"4030"},{"id":130,"name":"Impact","value":""},{"id":150,"name":"Time of Event (Mountain Time)","value":"12:08:52"},{"id":151,"name":"Denver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"%USERPROFILE%\AppData\Local\Temp\OnboardLogs"\RTDC4030\*4030*201701221*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"%USERPROFILE%\AppData\Local\Temp\OnboardLogs"\RTDC4030\*4030*201701221* &gt;&gt; 2017-01-22-SliceDisagreementCheck.txt</v>
      </c>
      <c r="AE27" s="180" t="str">
        <f t="shared" si="8"/>
        <v>start /low /b %USERPROFILE%\Documents\GitHub\eaglep3\Utilities\DownloadLogsFromS3.py --loco 4030 --day 2017-01-22</v>
      </c>
      <c r="AF27" s="1"/>
    </row>
    <row r="28" spans="1:32" x14ac:dyDescent="0.25">
      <c r="A28" s="33">
        <v>42757.702291666668</v>
      </c>
      <c r="B28" s="31" t="s">
        <v>224</v>
      </c>
      <c r="C28" s="31" t="s">
        <v>445</v>
      </c>
      <c r="D28" s="31" t="s">
        <v>49</v>
      </c>
      <c r="E28" s="31" t="s">
        <v>191</v>
      </c>
      <c r="F28" s="44">
        <v>0</v>
      </c>
      <c r="G28" s="44">
        <v>24</v>
      </c>
      <c r="H28" s="44">
        <v>72</v>
      </c>
      <c r="I28" s="44">
        <v>55</v>
      </c>
      <c r="J28" s="31" t="s">
        <v>192</v>
      </c>
      <c r="K28" s="44">
        <v>1</v>
      </c>
      <c r="L28" s="150" t="s">
        <v>51</v>
      </c>
      <c r="M28" s="151">
        <f t="shared" si="0"/>
        <v>28.512</v>
      </c>
      <c r="N28" s="152" t="str">
        <f>VLOOKUP(C28,'Trips&amp;Operators'!$C$1:$G$99999,5,FALSE)</f>
        <v>CHANDLER KELVIN</v>
      </c>
      <c r="O28" s="176" t="s">
        <v>188</v>
      </c>
      <c r="P28" s="153"/>
      <c r="Q28" s="31"/>
      <c r="R28" s="96" t="str">
        <f>VLOOKUP(C28,'Train Runs'!$A$13:$AE$9983,31,0)</f>
        <v>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 &amp; 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</v>
      </c>
      <c r="S28" s="99" t="str">
        <f>VLOOKUP(C28,'Train Runs'!$A$13:$AE$9983,22,0)</f>
        <v>https://d0f6bd738d7f1b3e5a7ca70fe4ff75f0.us-east-1.aws.found.io/app/kibana#/discover/Steve-Slow-Train-Analysis-(2080s-and-2083s)?_g=(refreshInterval:(display:Off,pause:!f,section:0,value:0),time:(from:'2017-01-22T15:39:23-0700',mode:absolute,to:'2017-01-22T17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8" s="101" t="str">
        <f t="shared" si="1"/>
        <v>"C:\Program Files (x86)\AstroGrep\AstroGrep.exe" /spath="%USERPROFILE%\AppData\Local\Temp\OnboardLogs" /stypes="*4030*201701222*" /stext=" 23:.+((SYSTEM_STATE.+slice.+state.+changed )|(ment ac)|(multiple cpu faults)|(system.+state.+changed )|(\[timeout)|(PRM\|1\|D)|(kpr)|(kdp)|(\|lc)|(penalty))" /e /r /s</v>
      </c>
      <c r="U28" s="9" t="str">
        <f t="shared" si="2"/>
        <v>4030</v>
      </c>
      <c r="V28" s="33">
        <f t="shared" si="3"/>
        <v>42757.993958333333</v>
      </c>
      <c r="W28" s="47" t="str">
        <f t="shared" si="4"/>
        <v>Other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{"issue":{"subject":"","project_id":79,"tracker_id":40,"status_id":1,"priority_id":2,"assigned_to_id":23,"start_date":"2017-01-22","description":"","custom_fields":[{"id":1,"name":"Subdivision","value":"Other"},{"id":4,"name":"Milepost","value":"0.0001"},{"id":17,"name":"Train ID","value":"58-22"},{"id":16,"name":"Locomotive ID","value":"4030"},{"id":130,"name":"Impact","value":""},{"id":150,"name":"Time of Event (Mountain Time)","value":"16:51:18"},{"id":151,"name":"Denver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"%USERPROFILE%\AppData\Local\Temp\OnboardLogs"\RTDC4030\*4030*201701222*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"%USERPROFILE%\AppData\Local\Temp\OnboardLogs"\RTDC4030\*4030*201701222* &gt;&gt; 2017-01-22-SliceDisagreementCheck.txt</v>
      </c>
      <c r="AE28" s="180" t="str">
        <f t="shared" si="8"/>
        <v>start /low /b %USERPROFILE%\Documents\GitHub\eaglep3\Utilities\DownloadLogsFromS3.py --loco 4030 --day 2017-01-22</v>
      </c>
      <c r="AF28" s="1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</sheetData>
  <autoFilter ref="A6:AC37">
    <sortState ref="A7:AC36">
      <sortCondition ref="V6:V36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67:O1048576 O7:O2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8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AA7:AA28</xm:sqref>
        </x14:dataValidation>
        <x14:dataValidation type="list" allowBlank="1" showInputMessage="1" showErrorMessage="1">
          <x14:formula1>
            <xm:f>'Redmine List Values'!$C$2:$C$15</xm:f>
          </x14:formula1>
          <xm:sqref>AB7:AB28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4"/>
  <sheetViews>
    <sheetView workbookViewId="0"/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2017-01-22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>
        <v>119</v>
      </c>
      <c r="B3" s="44" t="str">
        <f>A3&amp;"-"&amp;IF(DAY(Variables!$A$2)&lt;10,0,"")&amp;DAY(Variables!$A$2)</f>
        <v>119-22</v>
      </c>
      <c r="C3" s="154"/>
      <c r="D3" s="188">
        <v>4045</v>
      </c>
      <c r="E3" s="31" t="s">
        <v>427</v>
      </c>
      <c r="F3" s="22" t="str">
        <f>VLOOKUP(B3,'Trips&amp;Operators'!$C$2:$E$10000,3,FALSE)</f>
        <v>PERKINS</v>
      </c>
      <c r="G3" s="22" t="str">
        <f>VLOOKUP(B3,'Trips&amp;Operators'!$C$1:$F$10000,4,FALSE)</f>
        <v>DARREN</v>
      </c>
      <c r="H3" s="30" t="str">
        <f>VLOOKUP(B3,'Trips&amp;Operators'!$C$1:$H$10000,5,FALSE)</f>
        <v>PERKINS DARREN</v>
      </c>
      <c r="I3" s="47" t="str">
        <f t="shared" ref="I3:I6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22119-22%22)),sort:!(Time.ISO8601,asc))</v>
      </c>
      <c r="J3" s="31" t="str">
        <f>VLOOKUP(B3,'Train Runs'!$A$13:$A$99980,1,FALSE)</f>
        <v>119-22</v>
      </c>
    </row>
    <row r="4" spans="1:10" x14ac:dyDescent="0.25">
      <c r="A4" s="164"/>
      <c r="B4" s="44" t="str">
        <f>A4&amp;"-"&amp;IF(DAY(Variables!$A$2)&lt;10,0,"")&amp;DAY(Variables!$A$2)</f>
        <v>-22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" s="31" t="e">
        <f>VLOOKUP(B4,'Train Runs'!$A$13:$A$99980,1,FALSE)</f>
        <v>#N/A</v>
      </c>
    </row>
    <row r="5" spans="1:10" x14ac:dyDescent="0.25">
      <c r="A5" s="164"/>
      <c r="B5" s="44" t="str">
        <f>A5&amp;"-"&amp;IF(DAY(Variables!$A$2)&lt;10,0,"")&amp;DAY(Variables!$A$2)</f>
        <v>-22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" s="31" t="e">
        <f>VLOOKUP(B5,'Train Runs'!$A$13:$A$99980,1,FALSE)</f>
        <v>#N/A</v>
      </c>
    </row>
    <row r="6" spans="1:10" x14ac:dyDescent="0.25">
      <c r="A6" s="164"/>
      <c r="B6" s="44" t="str">
        <f>A6&amp;"-"&amp;IF(DAY(Variables!$A$2)&lt;10,0,"")&amp;DAY(Variables!$A$2)</f>
        <v>-22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" s="31" t="e">
        <f>VLOOKUP(B6,'Train Runs'!$A$13:$A$99980,1,FALSE)</f>
        <v>#N/A</v>
      </c>
    </row>
    <row r="7" spans="1:10" x14ac:dyDescent="0.25">
      <c r="A7" s="164"/>
      <c r="B7" s="44" t="str">
        <f>A7&amp;"-"&amp;IF(DAY(Variables!$A$2)&lt;10,0,"")&amp;DAY(Variables!$A$2)</f>
        <v>-22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" s="31" t="e">
        <f>VLOOKUP(B7,'Train Runs'!$A$13:$A$99980,1,FALSE)</f>
        <v>#N/A</v>
      </c>
    </row>
    <row r="8" spans="1:10" x14ac:dyDescent="0.25">
      <c r="A8" s="164"/>
      <c r="B8" s="44" t="str">
        <f>A8&amp;"-"&amp;IF(DAY(Variables!$A$2)&lt;10,0,"")&amp;DAY(Variables!$A$2)</f>
        <v>-22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" s="31" t="e">
        <f>VLOOKUP(B8,'Train Runs'!$A$13:$A$99980,1,FALSE)</f>
        <v>#N/A</v>
      </c>
    </row>
    <row r="9" spans="1:10" x14ac:dyDescent="0.25">
      <c r="A9" s="164"/>
      <c r="B9" s="44" t="str">
        <f>A9&amp;"-"&amp;IF(DAY(Variables!$A$2)&lt;10,0,"")&amp;DAY(Variables!$A$2)</f>
        <v>-22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" s="31" t="e">
        <f>VLOOKUP(B9,'Train Runs'!$A$13:$A$99980,1,FALSE)</f>
        <v>#N/A</v>
      </c>
    </row>
    <row r="10" spans="1:10" x14ac:dyDescent="0.25">
      <c r="A10" s="164"/>
      <c r="B10" s="44" t="str">
        <f>A10&amp;"-"&amp;IF(DAY(Variables!$A$2)&lt;10,0,"")&amp;DAY(Variables!$A$2)</f>
        <v>-22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" s="31" t="e">
        <f>VLOOKUP(B10,'Train Runs'!$A$13:$A$99980,1,FALSE)</f>
        <v>#N/A</v>
      </c>
    </row>
    <row r="11" spans="1:10" x14ac:dyDescent="0.25">
      <c r="A11" s="164"/>
      <c r="B11" s="44" t="str">
        <f>A11&amp;"-"&amp;IF(DAY(Variables!$A$2)&lt;10,0,"")&amp;DAY(Variables!$A$2)</f>
        <v>-22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" s="31" t="e">
        <f>VLOOKUP(B11,'Train Runs'!$A$13:$A$99980,1,FALSE)</f>
        <v>#N/A</v>
      </c>
    </row>
    <row r="12" spans="1:10" x14ac:dyDescent="0.25">
      <c r="A12" s="164"/>
      <c r="B12" s="44" t="str">
        <f>A12&amp;"-"&amp;IF(DAY(Variables!$A$2)&lt;10,0,"")&amp;DAY(Variables!$A$2)</f>
        <v>-22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" s="31" t="e">
        <f>VLOOKUP(B12,'Train Runs'!$A$13:$A$99980,1,FALSE)</f>
        <v>#N/A</v>
      </c>
    </row>
    <row r="13" spans="1:10" x14ac:dyDescent="0.25">
      <c r="A13" s="164"/>
      <c r="B13" s="44" t="str">
        <f>A13&amp;"-"&amp;IF(DAY(Variables!$A$2)&lt;10,0,"")&amp;DAY(Variables!$A$2)</f>
        <v>-22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" s="31" t="e">
        <f>VLOOKUP(B13,'Train Runs'!$A$13:$A$99980,1,FALSE)</f>
        <v>#N/A</v>
      </c>
    </row>
    <row r="14" spans="1:10" x14ac:dyDescent="0.25">
      <c r="A14" s="164"/>
      <c r="B14" s="44" t="str">
        <f>A14&amp;"-"&amp;IF(DAY(Variables!$A$2)&lt;10,0,"")&amp;DAY(Variables!$A$2)</f>
        <v>-22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4" s="31" t="e">
        <f>VLOOKUP(B14,'Train Runs'!$A$13:$A$99980,1,FALSE)</f>
        <v>#N/A</v>
      </c>
    </row>
    <row r="15" spans="1:10" x14ac:dyDescent="0.25">
      <c r="A15" s="164"/>
      <c r="B15" s="44" t="str">
        <f>A15&amp;"-"&amp;IF(DAY(Variables!$A$2)&lt;10,0,"")&amp;DAY(Variables!$A$2)</f>
        <v>-22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5" s="31" t="e">
        <f>VLOOKUP(B15,'Train Runs'!$A$13:$A$99980,1,FALSE)</f>
        <v>#N/A</v>
      </c>
    </row>
    <row r="16" spans="1:10" x14ac:dyDescent="0.25">
      <c r="A16" s="164"/>
      <c r="B16" s="44" t="str">
        <f>A16&amp;"-"&amp;IF(DAY(Variables!$A$2)&lt;10,0,"")&amp;DAY(Variables!$A$2)</f>
        <v>-22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6" s="31" t="e">
        <f>VLOOKUP(B16,'Train Runs'!$A$13:$A$99980,1,FALSE)</f>
        <v>#N/A</v>
      </c>
    </row>
    <row r="17" spans="1:10" x14ac:dyDescent="0.25">
      <c r="A17" s="164"/>
      <c r="B17" s="44" t="str">
        <f>A17&amp;"-"&amp;IF(DAY(Variables!$A$2)&lt;10,0,"")&amp;DAY(Variables!$A$2)</f>
        <v>-22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7" s="31" t="e">
        <f>VLOOKUP(B17,'Train Runs'!$A$13:$A$99980,1,FALSE)</f>
        <v>#N/A</v>
      </c>
    </row>
    <row r="18" spans="1:10" x14ac:dyDescent="0.25">
      <c r="A18" s="164"/>
      <c r="B18" s="44" t="str">
        <f>A18&amp;"-"&amp;IF(DAY(Variables!$A$2)&lt;10,0,"")&amp;DAY(Variables!$A$2)</f>
        <v>-22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8" s="31" t="e">
        <f>VLOOKUP(B18,'Train Runs'!$A$13:$A$99980,1,FALSE)</f>
        <v>#N/A</v>
      </c>
    </row>
    <row r="19" spans="1:10" x14ac:dyDescent="0.25">
      <c r="A19" s="164"/>
      <c r="B19" s="44" t="str">
        <f>A19&amp;"-"&amp;IF(DAY(Variables!$A$2)&lt;10,0,"")&amp;DAY(Variables!$A$2)</f>
        <v>-22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9" s="31" t="e">
        <f>VLOOKUP(B19,'Train Runs'!$A$13:$A$99980,1,FALSE)</f>
        <v>#N/A</v>
      </c>
    </row>
    <row r="20" spans="1:10" x14ac:dyDescent="0.25">
      <c r="A20" s="164"/>
      <c r="B20" s="44" t="str">
        <f>A20&amp;"-"&amp;IF(DAY(Variables!$A$2)&lt;10,0,"")&amp;DAY(Variables!$A$2)</f>
        <v>-22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0" s="31" t="e">
        <f>VLOOKUP(B20,'Train Runs'!$A$13:$A$99980,1,FALSE)</f>
        <v>#N/A</v>
      </c>
    </row>
    <row r="21" spans="1:10" x14ac:dyDescent="0.25">
      <c r="A21" s="164"/>
      <c r="B21" s="44" t="str">
        <f>A21&amp;"-"&amp;IF(DAY(Variables!$A$2)&lt;10,0,"")&amp;DAY(Variables!$A$2)</f>
        <v>-22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1" s="31" t="e">
        <f>VLOOKUP(B21,'Train Runs'!$A$13:$A$99980,1,FALSE)</f>
        <v>#N/A</v>
      </c>
    </row>
    <row r="22" spans="1:10" x14ac:dyDescent="0.25">
      <c r="A22" s="164"/>
      <c r="B22" s="44" t="str">
        <f>A22&amp;"-"&amp;IF(DAY(Variables!$A$2)&lt;10,0,"")&amp;DAY(Variables!$A$2)</f>
        <v>-22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2" s="31" t="e">
        <f>VLOOKUP(B22,'Train Runs'!$A$13:$A$99980,1,FALSE)</f>
        <v>#N/A</v>
      </c>
    </row>
    <row r="23" spans="1:10" x14ac:dyDescent="0.25">
      <c r="A23" s="164"/>
      <c r="B23" s="44" t="str">
        <f>A23&amp;"-"&amp;IF(DAY(Variables!$A$2)&lt;10,0,"")&amp;DAY(Variables!$A$2)</f>
        <v>-22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3" s="31" t="e">
        <f>VLOOKUP(B23,'Train Runs'!$A$13:$A$99980,1,FALSE)</f>
        <v>#N/A</v>
      </c>
    </row>
    <row r="24" spans="1:10" x14ac:dyDescent="0.25">
      <c r="A24" s="164"/>
      <c r="B24" s="44" t="str">
        <f>A24&amp;"-"&amp;IF(DAY(Variables!$A$2)&lt;10,0,"")&amp;DAY(Variables!$A$2)</f>
        <v>-22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4" s="31" t="e">
        <f>VLOOKUP(B24,'Train Runs'!$A$13:$A$99980,1,FALSE)</f>
        <v>#N/A</v>
      </c>
    </row>
    <row r="25" spans="1:10" x14ac:dyDescent="0.25">
      <c r="A25" s="164"/>
      <c r="B25" s="44" t="str">
        <f>A25&amp;"-"&amp;IF(DAY(Variables!$A$2)&lt;10,0,"")&amp;DAY(Variables!$A$2)</f>
        <v>-22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5" s="31" t="e">
        <f>VLOOKUP(B25,'Train Runs'!$A$13:$A$99980,1,FALSE)</f>
        <v>#N/A</v>
      </c>
    </row>
    <row r="26" spans="1:10" x14ac:dyDescent="0.25">
      <c r="A26" s="164"/>
      <c r="B26" s="44" t="str">
        <f>A26&amp;"-"&amp;IF(DAY(Variables!$A$2)&lt;10,0,"")&amp;DAY(Variables!$A$2)</f>
        <v>-22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6" s="31" t="e">
        <f>VLOOKUP(B26,'Train Runs'!$A$13:$A$99980,1,FALSE)</f>
        <v>#N/A</v>
      </c>
    </row>
    <row r="27" spans="1:10" x14ac:dyDescent="0.25">
      <c r="A27" s="164"/>
      <c r="B27" s="44" t="str">
        <f>A27&amp;"-"&amp;IF(DAY(Variables!$A$2)&lt;10,0,"")&amp;DAY(Variables!$A$2)</f>
        <v>-22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7" s="31" t="e">
        <f>VLOOKUP(B27,'Train Runs'!$A$13:$A$99980,1,FALSE)</f>
        <v>#N/A</v>
      </c>
    </row>
    <row r="28" spans="1:10" x14ac:dyDescent="0.25">
      <c r="A28" s="164"/>
      <c r="B28" s="44" t="str">
        <f>A28&amp;"-"&amp;IF(DAY(Variables!$A$2)&lt;10,0,"")&amp;DAY(Variables!$A$2)</f>
        <v>-22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8" s="31" t="e">
        <f>VLOOKUP(B28,'Train Runs'!$A$13:$A$99980,1,FALSE)</f>
        <v>#N/A</v>
      </c>
    </row>
    <row r="29" spans="1:10" x14ac:dyDescent="0.25">
      <c r="A29" s="164"/>
      <c r="B29" s="44" t="str">
        <f>A29&amp;"-"&amp;IF(DAY(Variables!$A$2)&lt;10,0,"")&amp;DAY(Variables!$A$2)</f>
        <v>-22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9" s="31" t="e">
        <f>VLOOKUP(B29,'Train Runs'!$A$13:$A$99980,1,FALSE)</f>
        <v>#N/A</v>
      </c>
    </row>
    <row r="30" spans="1:10" x14ac:dyDescent="0.25">
      <c r="A30" s="164"/>
      <c r="B30" s="44" t="str">
        <f>A30&amp;"-"&amp;IF(DAY(Variables!$A$2)&lt;10,0,"")&amp;DAY(Variables!$A$2)</f>
        <v>-22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0" s="31" t="e">
        <f>VLOOKUP(B30,'Train Runs'!$A$13:$A$99980,1,FALSE)</f>
        <v>#N/A</v>
      </c>
    </row>
    <row r="31" spans="1:10" x14ac:dyDescent="0.25">
      <c r="A31" s="164"/>
      <c r="B31" s="44" t="str">
        <f>A31&amp;"-"&amp;IF(DAY(Variables!$A$2)&lt;10,0,"")&amp;DAY(Variables!$A$2)</f>
        <v>-22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1" s="31" t="e">
        <f>VLOOKUP(B31,'Train Runs'!$A$13:$A$99980,1,FALSE)</f>
        <v>#N/A</v>
      </c>
    </row>
    <row r="32" spans="1:10" x14ac:dyDescent="0.25">
      <c r="A32" s="164"/>
      <c r="B32" s="44" t="str">
        <f>A32&amp;"-"&amp;IF(DAY(Variables!$A$2)&lt;10,0,"")&amp;DAY(Variables!$A$2)</f>
        <v>-22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2" s="31" t="e">
        <f>VLOOKUP(B32,'Train Runs'!$A$13:$A$99980,1,FALSE)</f>
        <v>#N/A</v>
      </c>
    </row>
    <row r="33" spans="1:10" x14ac:dyDescent="0.25">
      <c r="A33" s="164"/>
      <c r="B33" s="44" t="str">
        <f>A33&amp;"-"&amp;IF(DAY(Variables!$A$2)&lt;10,0,"")&amp;DAY(Variables!$A$2)</f>
        <v>-22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3" s="31" t="e">
        <f>VLOOKUP(B33,'Train Runs'!$A$13:$A$99980,1,FALSE)</f>
        <v>#N/A</v>
      </c>
    </row>
    <row r="34" spans="1:10" x14ac:dyDescent="0.25">
      <c r="A34" s="164"/>
      <c r="B34" s="44" t="str">
        <f>A34&amp;"-"&amp;IF(DAY(Variables!$A$2)&lt;10,0,"")&amp;DAY(Variables!$A$2)</f>
        <v>-22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4" s="31" t="e">
        <f>VLOOKUP(B34,'Train Runs'!$A$13:$A$99980,1,FALSE)</f>
        <v>#N/A</v>
      </c>
    </row>
    <row r="35" spans="1:10" x14ac:dyDescent="0.25">
      <c r="A35" s="164"/>
      <c r="B35" s="44" t="str">
        <f>A35&amp;"-"&amp;IF(DAY(Variables!$A$2)&lt;10,0,"")&amp;DAY(Variables!$A$2)</f>
        <v>-22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5" s="31" t="e">
        <f>VLOOKUP(B35,'Train Runs'!$A$13:$A$99980,1,FALSE)</f>
        <v>#N/A</v>
      </c>
    </row>
    <row r="36" spans="1:10" x14ac:dyDescent="0.25">
      <c r="A36" s="164"/>
      <c r="B36" s="44" t="str">
        <f>A36&amp;"-"&amp;IF(DAY(Variables!$A$2)&lt;10,0,"")&amp;DAY(Variables!$A$2)</f>
        <v>-22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6" s="31" t="e">
        <f>VLOOKUP(B36,'Train Runs'!$A$13:$A$99980,1,FALSE)</f>
        <v>#N/A</v>
      </c>
    </row>
    <row r="37" spans="1:10" x14ac:dyDescent="0.25">
      <c r="A37" s="164"/>
      <c r="B37" s="44" t="str">
        <f>A37&amp;"-"&amp;IF(DAY(Variables!$A$2)&lt;10,0,"")&amp;DAY(Variables!$A$2)</f>
        <v>-22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7" s="31" t="e">
        <f>VLOOKUP(B37,'Train Runs'!$A$13:$A$99980,1,FALSE)</f>
        <v>#N/A</v>
      </c>
    </row>
    <row r="38" spans="1:10" x14ac:dyDescent="0.25">
      <c r="A38" s="164"/>
      <c r="B38" s="44" t="str">
        <f>A38&amp;"-"&amp;IF(DAY(Variables!$A$2)&lt;10,0,"")&amp;DAY(Variables!$A$2)</f>
        <v>-22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8" s="31" t="e">
        <f>VLOOKUP(B38,'Train Runs'!$A$13:$A$99980,1,FALSE)</f>
        <v>#N/A</v>
      </c>
    </row>
    <row r="39" spans="1:10" x14ac:dyDescent="0.25">
      <c r="A39" s="164"/>
      <c r="B39" s="44" t="str">
        <f>A39&amp;"-"&amp;IF(DAY(Variables!$A$2)&lt;10,0,"")&amp;DAY(Variables!$A$2)</f>
        <v>-22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9" s="31" t="e">
        <f>VLOOKUP(B39,'Train Runs'!$A$13:$A$99980,1,FALSE)</f>
        <v>#N/A</v>
      </c>
    </row>
    <row r="40" spans="1:10" x14ac:dyDescent="0.25">
      <c r="A40" s="164"/>
      <c r="B40" s="44" t="str">
        <f>A40&amp;"-"&amp;IF(DAY(Variables!$A$2)&lt;10,0,"")&amp;DAY(Variables!$A$2)</f>
        <v>-22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0" s="31" t="e">
        <f>VLOOKUP(B40,'Train Runs'!$A$13:$A$99980,1,FALSE)</f>
        <v>#N/A</v>
      </c>
    </row>
    <row r="41" spans="1:10" x14ac:dyDescent="0.25">
      <c r="A41" s="164"/>
      <c r="B41" s="44" t="str">
        <f>A41&amp;"-"&amp;IF(DAY(Variables!$A$2)&lt;10,0,"")&amp;DAY(Variables!$A$2)</f>
        <v>-22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1" s="31" t="e">
        <f>VLOOKUP(B41,'Train Runs'!$A$13:$A$99980,1,FALSE)</f>
        <v>#N/A</v>
      </c>
    </row>
    <row r="42" spans="1:10" x14ac:dyDescent="0.25">
      <c r="A42" s="164"/>
      <c r="B42" s="44" t="str">
        <f>A42&amp;"-"&amp;IF(DAY(Variables!$A$2)&lt;10,0,"")&amp;DAY(Variables!$A$2)</f>
        <v>-22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2" s="31" t="e">
        <f>VLOOKUP(B42,'Train Runs'!$A$13:$A$99980,1,FALSE)</f>
        <v>#N/A</v>
      </c>
    </row>
    <row r="43" spans="1:10" x14ac:dyDescent="0.25">
      <c r="A43" s="164"/>
      <c r="B43" s="44" t="str">
        <f>A43&amp;"-"&amp;IF(DAY(Variables!$A$2)&lt;10,0,"")&amp;DAY(Variables!$A$2)</f>
        <v>-22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3" s="31" t="e">
        <f>VLOOKUP(B43,'Train Runs'!$A$13:$A$99980,1,FALSE)</f>
        <v>#N/A</v>
      </c>
    </row>
    <row r="44" spans="1:10" x14ac:dyDescent="0.25">
      <c r="A44" s="164"/>
      <c r="B44" s="44" t="str">
        <f>A44&amp;"-"&amp;IF(DAY(Variables!$A$2)&lt;10,0,"")&amp;DAY(Variables!$A$2)</f>
        <v>-22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4" s="31" t="e">
        <f>VLOOKUP(B44,'Train Runs'!$A$13:$A$99980,1,FALSE)</f>
        <v>#N/A</v>
      </c>
    </row>
    <row r="45" spans="1:10" x14ac:dyDescent="0.25">
      <c r="A45" s="164"/>
      <c r="B45" s="44" t="str">
        <f>A45&amp;"-"&amp;IF(DAY(Variables!$A$2)&lt;10,0,"")&amp;DAY(Variables!$A$2)</f>
        <v>-22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5" s="31" t="e">
        <f>VLOOKUP(B45,'Train Runs'!$A$13:$A$99980,1,FALSE)</f>
        <v>#N/A</v>
      </c>
    </row>
    <row r="46" spans="1:10" x14ac:dyDescent="0.25">
      <c r="A46" s="164"/>
      <c r="B46" s="44" t="str">
        <f>A46&amp;"-"&amp;IF(DAY(Variables!$A$2)&lt;10,0,"")&amp;DAY(Variables!$A$2)</f>
        <v>-22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6" s="31" t="e">
        <f>VLOOKUP(B46,'Train Runs'!$A$13:$A$99980,1,FALSE)</f>
        <v>#N/A</v>
      </c>
    </row>
    <row r="47" spans="1:10" x14ac:dyDescent="0.25">
      <c r="A47" s="164"/>
      <c r="B47" s="44" t="str">
        <f>A47&amp;"-"&amp;IF(DAY(Variables!$A$2)&lt;10,0,"")&amp;DAY(Variables!$A$2)</f>
        <v>-22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7" s="31" t="e">
        <f>VLOOKUP(B47,'Train Runs'!$A$13:$A$99980,1,FALSE)</f>
        <v>#N/A</v>
      </c>
    </row>
    <row r="48" spans="1:10" x14ac:dyDescent="0.25">
      <c r="A48" s="164"/>
      <c r="B48" s="44" t="str">
        <f>A48&amp;"-"&amp;IF(DAY(Variables!$A$2)&lt;10,0,"")&amp;DAY(Variables!$A$2)</f>
        <v>-22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8" s="31" t="e">
        <f>VLOOKUP(B48,'Train Runs'!$A$13:$A$99980,1,FALSE)</f>
        <v>#N/A</v>
      </c>
    </row>
    <row r="49" spans="1:10" x14ac:dyDescent="0.25">
      <c r="A49" s="164"/>
      <c r="B49" s="44" t="str">
        <f>A49&amp;"-"&amp;IF(DAY(Variables!$A$2)&lt;10,0,"")&amp;DAY(Variables!$A$2)</f>
        <v>-22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9" s="31" t="e">
        <f>VLOOKUP(B49,'Train Runs'!$A$13:$A$99980,1,FALSE)</f>
        <v>#N/A</v>
      </c>
    </row>
    <row r="50" spans="1:10" x14ac:dyDescent="0.25">
      <c r="A50" s="164"/>
      <c r="B50" s="44" t="str">
        <f>A50&amp;"-"&amp;IF(DAY(Variables!$A$2)&lt;10,0,"")&amp;DAY(Variables!$A$2)</f>
        <v>-22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0" s="31" t="e">
        <f>VLOOKUP(B50,'Train Runs'!$A$13:$A$99980,1,FALSE)</f>
        <v>#N/A</v>
      </c>
    </row>
    <row r="51" spans="1:10" x14ac:dyDescent="0.25">
      <c r="A51" s="164"/>
      <c r="B51" s="44" t="str">
        <f>A51&amp;"-"&amp;IF(DAY(Variables!$A$2)&lt;10,0,"")&amp;DAY(Variables!$A$2)</f>
        <v>-22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1" s="31" t="e">
        <f>VLOOKUP(B51,'Train Runs'!$A$13:$A$99980,1,FALSE)</f>
        <v>#N/A</v>
      </c>
    </row>
    <row r="52" spans="1:10" x14ac:dyDescent="0.25">
      <c r="A52" s="164"/>
      <c r="B52" s="44" t="str">
        <f>A52&amp;"-"&amp;IF(DAY(Variables!$A$2)&lt;10,0,"")&amp;DAY(Variables!$A$2)</f>
        <v>-22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2" s="31" t="e">
        <f>VLOOKUP(B52,'Train Runs'!$A$13:$A$99980,1,FALSE)</f>
        <v>#N/A</v>
      </c>
    </row>
    <row r="53" spans="1:10" x14ac:dyDescent="0.25">
      <c r="A53" s="164"/>
      <c r="B53" s="44" t="str">
        <f>A53&amp;"-"&amp;IF(DAY(Variables!$A$2)&lt;10,0,"")&amp;DAY(Variables!$A$2)</f>
        <v>-22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3" s="31" t="e">
        <f>VLOOKUP(B53,'Train Runs'!$A$13:$A$99980,1,FALSE)</f>
        <v>#N/A</v>
      </c>
    </row>
    <row r="54" spans="1:10" x14ac:dyDescent="0.25">
      <c r="A54" s="164"/>
      <c r="B54" s="44" t="str">
        <f>A54&amp;"-"&amp;IF(DAY(Variables!$A$2)&lt;10,0,"")&amp;DAY(Variables!$A$2)</f>
        <v>-22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4" s="31" t="e">
        <f>VLOOKUP(B54,'Train Runs'!$A$13:$A$99980,1,FALSE)</f>
        <v>#N/A</v>
      </c>
    </row>
    <row r="55" spans="1:10" x14ac:dyDescent="0.25">
      <c r="A55" s="164"/>
      <c r="B55" s="44" t="str">
        <f>A55&amp;"-"&amp;IF(DAY(Variables!$A$2)&lt;10,0,"")&amp;DAY(Variables!$A$2)</f>
        <v>-22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5" s="31" t="e">
        <f>VLOOKUP(B55,'Train Runs'!$A$13:$A$99980,1,FALSE)</f>
        <v>#N/A</v>
      </c>
    </row>
    <row r="56" spans="1:10" x14ac:dyDescent="0.25">
      <c r="A56" s="164"/>
      <c r="B56" s="44" t="str">
        <f>A56&amp;"-"&amp;IF(DAY(Variables!$A$2)&lt;10,0,"")&amp;DAY(Variables!$A$2)</f>
        <v>-22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6" s="31" t="e">
        <f>VLOOKUP(B56,'Train Runs'!$A$13:$A$99980,1,FALSE)</f>
        <v>#N/A</v>
      </c>
    </row>
    <row r="57" spans="1:10" x14ac:dyDescent="0.25">
      <c r="A57" s="164"/>
      <c r="B57" s="44" t="str">
        <f>A57&amp;"-"&amp;IF(DAY(Variables!$A$2)&lt;10,0,"")&amp;DAY(Variables!$A$2)</f>
        <v>-22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7" s="31" t="e">
        <f>VLOOKUP(B57,'Train Runs'!$A$13:$A$99980,1,FALSE)</f>
        <v>#N/A</v>
      </c>
    </row>
    <row r="58" spans="1:10" x14ac:dyDescent="0.25">
      <c r="A58" s="164"/>
      <c r="B58" s="44" t="str">
        <f>A58&amp;"-"&amp;IF(DAY(Variables!$A$2)&lt;10,0,"")&amp;DAY(Variables!$A$2)</f>
        <v>-22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8" s="31" t="e">
        <f>VLOOKUP(B58,'Train Runs'!$A$13:$A$99980,1,FALSE)</f>
        <v>#N/A</v>
      </c>
    </row>
    <row r="59" spans="1:10" x14ac:dyDescent="0.25">
      <c r="A59" s="164"/>
      <c r="B59" s="44" t="str">
        <f>A59&amp;"-"&amp;IF(DAY(Variables!$A$2)&lt;10,0,"")&amp;DAY(Variables!$A$2)</f>
        <v>-22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9" s="31" t="e">
        <f>VLOOKUP(B59,'Train Runs'!$A$13:$A$99980,1,FALSE)</f>
        <v>#N/A</v>
      </c>
    </row>
    <row r="60" spans="1:10" x14ac:dyDescent="0.25">
      <c r="A60" s="164"/>
      <c r="B60" s="44" t="str">
        <f>A60&amp;"-"&amp;IF(DAY(Variables!$A$2)&lt;10,0,"")&amp;DAY(Variables!$A$2)</f>
        <v>-22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0" s="31" t="e">
        <f>VLOOKUP(B60,'Train Runs'!$A$13:$A$99980,1,FALSE)</f>
        <v>#N/A</v>
      </c>
    </row>
    <row r="61" spans="1:10" x14ac:dyDescent="0.25">
      <c r="A61" s="164"/>
      <c r="B61" s="44" t="str">
        <f>A61&amp;"-"&amp;IF(DAY(Variables!$A$2)&lt;10,0,"")&amp;DAY(Variables!$A$2)</f>
        <v>-22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1" s="31" t="e">
        <f>VLOOKUP(B61,'Train Runs'!$A$13:$A$99980,1,FALSE)</f>
        <v>#N/A</v>
      </c>
    </row>
    <row r="62" spans="1:10" x14ac:dyDescent="0.25">
      <c r="A62" s="164"/>
      <c r="B62" s="44" t="str">
        <f>A62&amp;"-"&amp;IF(DAY(Variables!$A$2)&lt;10,0,"")&amp;DAY(Variables!$A$2)</f>
        <v>-22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2" s="31" t="e">
        <f>VLOOKUP(B62,'Train Runs'!$A$13:$A$99980,1,FALSE)</f>
        <v>#N/A</v>
      </c>
    </row>
    <row r="63" spans="1:10" x14ac:dyDescent="0.25">
      <c r="A63" s="164"/>
      <c r="B63" s="44" t="str">
        <f>A63&amp;"-"&amp;IF(DAY(Variables!$A$2)&lt;10,0,"")&amp;DAY(Variables!$A$2)</f>
        <v>-22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3" s="31" t="e">
        <f>VLOOKUP(B63,'Train Runs'!$A$13:$A$99980,1,FALSE)</f>
        <v>#N/A</v>
      </c>
    </row>
    <row r="64" spans="1:10" x14ac:dyDescent="0.25">
      <c r="A64" s="164"/>
      <c r="B64" s="44" t="str">
        <f>A64&amp;"-"&amp;IF(DAY(Variables!$A$2)&lt;10,0,"")&amp;DAY(Variables!$A$2)</f>
        <v>-22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ref="I64:I1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4" s="31" t="e">
        <f>VLOOKUP(B64,'Train Runs'!$A$13:$A$99980,1,FALSE)</f>
        <v>#N/A</v>
      </c>
    </row>
    <row r="65" spans="1:10" x14ac:dyDescent="0.25">
      <c r="A65" s="164"/>
      <c r="B65" s="44" t="str">
        <f>A65&amp;"-"&amp;IF(DAY(Variables!$A$2)&lt;10,0,"")&amp;DAY(Variables!$A$2)</f>
        <v>-22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5" s="31" t="e">
        <f>VLOOKUP(B65,'Train Runs'!$A$13:$A$99980,1,FALSE)</f>
        <v>#N/A</v>
      </c>
    </row>
    <row r="66" spans="1:10" x14ac:dyDescent="0.25">
      <c r="A66" s="164"/>
      <c r="B66" s="44" t="str">
        <f>A66&amp;"-"&amp;IF(DAY(Variables!$A$2)&lt;10,0,"")&amp;DAY(Variables!$A$2)</f>
        <v>-22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6" s="31" t="e">
        <f>VLOOKUP(B66,'Train Runs'!$A$13:$A$99980,1,FALSE)</f>
        <v>#N/A</v>
      </c>
    </row>
    <row r="67" spans="1:10" x14ac:dyDescent="0.25">
      <c r="A67" s="164"/>
      <c r="B67" s="44" t="str">
        <f>A67&amp;"-"&amp;IF(DAY(Variables!$A$2)&lt;10,0,"")&amp;DAY(Variables!$A$2)</f>
        <v>-22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7" s="31" t="e">
        <f>VLOOKUP(B67,'Train Runs'!$A$13:$A$99980,1,FALSE)</f>
        <v>#N/A</v>
      </c>
    </row>
    <row r="68" spans="1:10" x14ac:dyDescent="0.25">
      <c r="A68" s="164"/>
      <c r="B68" s="44" t="str">
        <f>A68&amp;"-"&amp;IF(DAY(Variables!$A$2)&lt;10,0,"")&amp;DAY(Variables!$A$2)</f>
        <v>-22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8" s="31" t="e">
        <f>VLOOKUP(B68,'Train Runs'!$A$13:$A$99980,1,FALSE)</f>
        <v>#N/A</v>
      </c>
    </row>
    <row r="69" spans="1:10" x14ac:dyDescent="0.25">
      <c r="A69" s="164"/>
      <c r="B69" s="44" t="str">
        <f>A69&amp;"-"&amp;IF(DAY(Variables!$A$2)&lt;10,0,"")&amp;DAY(Variables!$A$2)</f>
        <v>-22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9" s="31" t="e">
        <f>VLOOKUP(B69,'Train Runs'!$A$13:$A$99980,1,FALSE)</f>
        <v>#N/A</v>
      </c>
    </row>
    <row r="70" spans="1:10" x14ac:dyDescent="0.25">
      <c r="A70" s="164"/>
      <c r="B70" s="44" t="str">
        <f>A70&amp;"-"&amp;IF(DAY(Variables!$A$2)&lt;10,0,"")&amp;DAY(Variables!$A$2)</f>
        <v>-22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0" s="31" t="e">
        <f>VLOOKUP(B70,'Train Runs'!$A$13:$A$99980,1,FALSE)</f>
        <v>#N/A</v>
      </c>
    </row>
    <row r="71" spans="1:10" x14ac:dyDescent="0.25">
      <c r="A71" s="164"/>
      <c r="B71" s="44" t="str">
        <f>A71&amp;"-"&amp;IF(DAY(Variables!$A$2)&lt;10,0,"")&amp;DAY(Variables!$A$2)</f>
        <v>-22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1" s="31" t="e">
        <f>VLOOKUP(B71,'Train Runs'!$A$13:$A$99980,1,FALSE)</f>
        <v>#N/A</v>
      </c>
    </row>
    <row r="72" spans="1:10" x14ac:dyDescent="0.25">
      <c r="A72" s="164"/>
      <c r="B72" s="44" t="str">
        <f>A72&amp;"-"&amp;IF(DAY(Variables!$A$2)&lt;10,0,"")&amp;DAY(Variables!$A$2)</f>
        <v>-22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2" s="31" t="e">
        <f>VLOOKUP(B72,'Train Runs'!$A$13:$A$99980,1,FALSE)</f>
        <v>#N/A</v>
      </c>
    </row>
    <row r="73" spans="1:10" x14ac:dyDescent="0.25">
      <c r="A73" s="164"/>
      <c r="B73" s="44" t="str">
        <f>A73&amp;"-"&amp;IF(DAY(Variables!$A$2)&lt;10,0,"")&amp;DAY(Variables!$A$2)</f>
        <v>-22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3" s="31" t="e">
        <f>VLOOKUP(B73,'Train Runs'!$A$13:$A$99980,1,FALSE)</f>
        <v>#N/A</v>
      </c>
    </row>
    <row r="74" spans="1:10" x14ac:dyDescent="0.25">
      <c r="A74" s="164"/>
      <c r="B74" s="44" t="str">
        <f>A74&amp;"-"&amp;IF(DAY(Variables!$A$2)&lt;10,0,"")&amp;DAY(Variables!$A$2)</f>
        <v>-22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4" s="31" t="e">
        <f>VLOOKUP(B74,'Train Runs'!$A$13:$A$99980,1,FALSE)</f>
        <v>#N/A</v>
      </c>
    </row>
    <row r="75" spans="1:10" x14ac:dyDescent="0.25">
      <c r="A75" s="164"/>
      <c r="B75" s="44" t="str">
        <f>A75&amp;"-"&amp;IF(DAY(Variables!$A$2)&lt;10,0,"")&amp;DAY(Variables!$A$2)</f>
        <v>-22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5" s="31" t="e">
        <f>VLOOKUP(B75,'Train Runs'!$A$13:$A$99980,1,FALSE)</f>
        <v>#N/A</v>
      </c>
    </row>
    <row r="76" spans="1:10" x14ac:dyDescent="0.25">
      <c r="A76" s="164"/>
      <c r="B76" s="44" t="str">
        <f>A76&amp;"-"&amp;IF(DAY(Variables!$A$2)&lt;10,0,"")&amp;DAY(Variables!$A$2)</f>
        <v>-22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6" s="31" t="e">
        <f>VLOOKUP(B76,'Train Runs'!$A$13:$A$99980,1,FALSE)</f>
        <v>#N/A</v>
      </c>
    </row>
    <row r="77" spans="1:10" x14ac:dyDescent="0.25">
      <c r="A77" s="164"/>
      <c r="B77" s="44" t="str">
        <f>A77&amp;"-"&amp;IF(DAY(Variables!$A$2)&lt;10,0,"")&amp;DAY(Variables!$A$2)</f>
        <v>-22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7" s="31" t="e">
        <f>VLOOKUP(B77,'Train Runs'!$A$13:$A$99980,1,FALSE)</f>
        <v>#N/A</v>
      </c>
    </row>
    <row r="78" spans="1:10" x14ac:dyDescent="0.25">
      <c r="A78" s="164"/>
      <c r="B78" s="44" t="str">
        <f>A78&amp;"-"&amp;IF(DAY(Variables!$A$2)&lt;10,0,"")&amp;DAY(Variables!$A$2)</f>
        <v>-22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8" s="31" t="e">
        <f>VLOOKUP(B78,'Train Runs'!$A$13:$A$99980,1,FALSE)</f>
        <v>#N/A</v>
      </c>
    </row>
    <row r="79" spans="1:10" x14ac:dyDescent="0.25">
      <c r="A79" s="164"/>
      <c r="B79" s="44" t="str">
        <f>A79&amp;"-"&amp;IF(DAY(Variables!$A$2)&lt;10,0,"")&amp;DAY(Variables!$A$2)</f>
        <v>-22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9" s="31" t="e">
        <f>VLOOKUP(B79,'Train Runs'!$A$13:$A$99980,1,FALSE)</f>
        <v>#N/A</v>
      </c>
    </row>
    <row r="80" spans="1:10" x14ac:dyDescent="0.25">
      <c r="A80" s="164"/>
      <c r="B80" s="44" t="str">
        <f>A80&amp;"-"&amp;IF(DAY(Variables!$A$2)&lt;10,0,"")&amp;DAY(Variables!$A$2)</f>
        <v>-22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0" s="31" t="e">
        <f>VLOOKUP(B80,'Train Runs'!$A$13:$A$99980,1,FALSE)</f>
        <v>#N/A</v>
      </c>
    </row>
    <row r="81" spans="1:10" x14ac:dyDescent="0.25">
      <c r="A81" s="164"/>
      <c r="B81" s="44" t="str">
        <f>A81&amp;"-"&amp;IF(DAY(Variables!$A$2)&lt;10,0,"")&amp;DAY(Variables!$A$2)</f>
        <v>-22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1" s="31" t="e">
        <f>VLOOKUP(B81,'Train Runs'!$A$13:$A$99980,1,FALSE)</f>
        <v>#N/A</v>
      </c>
    </row>
    <row r="82" spans="1:10" x14ac:dyDescent="0.25">
      <c r="A82" s="164"/>
      <c r="B82" s="44" t="str">
        <f>A82&amp;"-"&amp;IF(DAY(Variables!$A$2)&lt;10,0,"")&amp;DAY(Variables!$A$2)</f>
        <v>-22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2" s="31" t="e">
        <f>VLOOKUP(B82,'Train Runs'!$A$13:$A$99980,1,FALSE)</f>
        <v>#N/A</v>
      </c>
    </row>
    <row r="83" spans="1:10" x14ac:dyDescent="0.25">
      <c r="A83" s="164"/>
      <c r="B83" s="44" t="str">
        <f>A83&amp;"-"&amp;IF(DAY(Variables!$A$2)&lt;10,0,"")&amp;DAY(Variables!$A$2)</f>
        <v>-22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3" s="31" t="e">
        <f>VLOOKUP(B83,'Train Runs'!$A$13:$A$99980,1,FALSE)</f>
        <v>#N/A</v>
      </c>
    </row>
    <row r="84" spans="1:10" x14ac:dyDescent="0.25">
      <c r="A84" s="164"/>
      <c r="B84" s="44" t="str">
        <f>A84&amp;"-"&amp;IF(DAY(Variables!$A$2)&lt;10,0,"")&amp;DAY(Variables!$A$2)</f>
        <v>-22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4" s="31" t="e">
        <f>VLOOKUP(B84,'Train Runs'!$A$13:$A$99980,1,FALSE)</f>
        <v>#N/A</v>
      </c>
    </row>
    <row r="85" spans="1:10" x14ac:dyDescent="0.25">
      <c r="A85" s="164"/>
      <c r="B85" s="44" t="str">
        <f>A85&amp;"-"&amp;IF(DAY(Variables!$A$2)&lt;10,0,"")&amp;DAY(Variables!$A$2)</f>
        <v>-22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5" s="31" t="e">
        <f>VLOOKUP(B85,'Train Runs'!$A$13:$A$99980,1,FALSE)</f>
        <v>#N/A</v>
      </c>
    </row>
    <row r="86" spans="1:10" x14ac:dyDescent="0.25">
      <c r="A86" s="164"/>
      <c r="B86" s="44" t="str">
        <f>A86&amp;"-"&amp;IF(DAY(Variables!$A$2)&lt;10,0,"")&amp;DAY(Variables!$A$2)</f>
        <v>-22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6" s="31" t="e">
        <f>VLOOKUP(B86,'Train Runs'!$A$13:$A$99980,1,FALSE)</f>
        <v>#N/A</v>
      </c>
    </row>
    <row r="87" spans="1:10" x14ac:dyDescent="0.25">
      <c r="A87" s="164"/>
      <c r="B87" s="44" t="str">
        <f>A87&amp;"-"&amp;IF(DAY(Variables!$A$2)&lt;10,0,"")&amp;DAY(Variables!$A$2)</f>
        <v>-22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7" s="31" t="e">
        <f>VLOOKUP(B87,'Train Runs'!$A$13:$A$99980,1,FALSE)</f>
        <v>#N/A</v>
      </c>
    </row>
    <row r="88" spans="1:10" x14ac:dyDescent="0.25">
      <c r="A88" s="164"/>
      <c r="B88" s="44" t="str">
        <f>A88&amp;"-"&amp;IF(DAY(Variables!$A$2)&lt;10,0,"")&amp;DAY(Variables!$A$2)</f>
        <v>-22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8" s="31" t="e">
        <f>VLOOKUP(B88,'Train Runs'!$A$13:$A$99980,1,FALSE)</f>
        <v>#N/A</v>
      </c>
    </row>
    <row r="89" spans="1:10" x14ac:dyDescent="0.25">
      <c r="A89" s="164"/>
      <c r="B89" s="44" t="str">
        <f>A89&amp;"-"&amp;IF(DAY(Variables!$A$2)&lt;10,0,"")&amp;DAY(Variables!$A$2)</f>
        <v>-22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9" s="31" t="e">
        <f>VLOOKUP(B89,'Train Runs'!$A$13:$A$99980,1,FALSE)</f>
        <v>#N/A</v>
      </c>
    </row>
    <row r="90" spans="1:10" x14ac:dyDescent="0.25">
      <c r="A90" s="164"/>
      <c r="B90" s="44" t="str">
        <f>A90&amp;"-"&amp;IF(DAY(Variables!$A$2)&lt;10,0,"")&amp;DAY(Variables!$A$2)</f>
        <v>-22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0" s="31" t="e">
        <f>VLOOKUP(B90,'Train Runs'!$A$13:$A$99980,1,FALSE)</f>
        <v>#N/A</v>
      </c>
    </row>
    <row r="91" spans="1:10" x14ac:dyDescent="0.25">
      <c r="A91" s="164"/>
      <c r="B91" s="44" t="str">
        <f>A91&amp;"-"&amp;IF(DAY(Variables!$A$2)&lt;10,0,"")&amp;DAY(Variables!$A$2)</f>
        <v>-22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1" s="31" t="e">
        <f>VLOOKUP(B91,'Train Runs'!$A$13:$A$99980,1,FALSE)</f>
        <v>#N/A</v>
      </c>
    </row>
    <row r="92" spans="1:10" x14ac:dyDescent="0.25">
      <c r="A92" s="164"/>
      <c r="B92" s="44" t="str">
        <f>A92&amp;"-"&amp;IF(DAY(Variables!$A$2)&lt;10,0,"")&amp;DAY(Variables!$A$2)</f>
        <v>-22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2" s="31" t="e">
        <f>VLOOKUP(B92,'Train Runs'!$A$13:$A$99980,1,FALSE)</f>
        <v>#N/A</v>
      </c>
    </row>
    <row r="93" spans="1:10" x14ac:dyDescent="0.25">
      <c r="A93" s="164"/>
      <c r="B93" s="44" t="str">
        <f>A93&amp;"-"&amp;IF(DAY(Variables!$A$2)&lt;10,0,"")&amp;DAY(Variables!$A$2)</f>
        <v>-22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3" s="31" t="e">
        <f>VLOOKUP(B93,'Train Runs'!$A$13:$A$99980,1,FALSE)</f>
        <v>#N/A</v>
      </c>
    </row>
    <row r="94" spans="1:10" x14ac:dyDescent="0.25">
      <c r="A94" s="164"/>
      <c r="B94" s="44" t="str">
        <f>A94&amp;"-"&amp;IF(DAY(Variables!$A$2)&lt;10,0,"")&amp;DAY(Variables!$A$2)</f>
        <v>-22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4" s="31" t="e">
        <f>VLOOKUP(B94,'Train Runs'!$A$13:$A$99980,1,FALSE)</f>
        <v>#N/A</v>
      </c>
    </row>
    <row r="95" spans="1:10" x14ac:dyDescent="0.25">
      <c r="A95" s="164"/>
      <c r="B95" s="44" t="str">
        <f>A95&amp;"-"&amp;IF(DAY(Variables!$A$2)&lt;10,0,"")&amp;DAY(Variables!$A$2)</f>
        <v>-22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5" s="31" t="e">
        <f>VLOOKUP(B95,'Train Runs'!$A$13:$A$99980,1,FALSE)</f>
        <v>#N/A</v>
      </c>
    </row>
    <row r="96" spans="1:10" x14ac:dyDescent="0.25">
      <c r="A96" s="164"/>
      <c r="B96" s="44" t="str">
        <f>A96&amp;"-"&amp;IF(DAY(Variables!$A$2)&lt;10,0,"")&amp;DAY(Variables!$A$2)</f>
        <v>-22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6" s="31" t="e">
        <f>VLOOKUP(B96,'Train Runs'!$A$13:$A$99980,1,FALSE)</f>
        <v>#N/A</v>
      </c>
    </row>
    <row r="97" spans="1:10" x14ac:dyDescent="0.25">
      <c r="A97" s="164"/>
      <c r="B97" s="44" t="str">
        <f>A97&amp;"-"&amp;IF(DAY(Variables!$A$2)&lt;10,0,"")&amp;DAY(Variables!$A$2)</f>
        <v>-22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7" s="31" t="e">
        <f>VLOOKUP(B97,'Train Runs'!$A$13:$A$99980,1,FALSE)</f>
        <v>#N/A</v>
      </c>
    </row>
    <row r="98" spans="1:10" x14ac:dyDescent="0.25">
      <c r="A98" s="164"/>
      <c r="B98" s="44" t="str">
        <f>A98&amp;"-"&amp;IF(DAY(Variables!$A$2)&lt;10,0,"")&amp;DAY(Variables!$A$2)</f>
        <v>-22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8" s="31" t="e">
        <f>VLOOKUP(B98,'Train Runs'!$A$13:$A$99980,1,FALSE)</f>
        <v>#N/A</v>
      </c>
    </row>
    <row r="99" spans="1:10" x14ac:dyDescent="0.25">
      <c r="A99" s="164"/>
      <c r="B99" s="44" t="str">
        <f>A99&amp;"-"&amp;IF(DAY(Variables!$A$2)&lt;10,0,"")&amp;DAY(Variables!$A$2)</f>
        <v>-22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9" s="31" t="e">
        <f>VLOOKUP(B99,'Train Runs'!$A$13:$A$99980,1,FALSE)</f>
        <v>#N/A</v>
      </c>
    </row>
    <row r="100" spans="1:10" x14ac:dyDescent="0.25">
      <c r="A100" s="164"/>
      <c r="B100" s="44" t="str">
        <f>A100&amp;"-"&amp;IF(DAY(Variables!$A$2)&lt;10,0,"")&amp;DAY(Variables!$A$2)</f>
        <v>-22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0" s="31" t="e">
        <f>VLOOKUP(B100,'Train Runs'!$A$13:$A$99980,1,FALSE)</f>
        <v>#N/A</v>
      </c>
    </row>
    <row r="101" spans="1:10" x14ac:dyDescent="0.25">
      <c r="A101" s="164"/>
      <c r="B101" s="44" t="str">
        <f>A101&amp;"-"&amp;IF(DAY(Variables!$A$2)&lt;10,0,"")&amp;DAY(Variables!$A$2)</f>
        <v>-22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1" s="31" t="e">
        <f>VLOOKUP(B101,'Train Runs'!$A$13:$A$99980,1,FALSE)</f>
        <v>#N/A</v>
      </c>
    </row>
    <row r="102" spans="1:10" x14ac:dyDescent="0.25">
      <c r="A102" s="164"/>
      <c r="B102" s="44" t="str">
        <f>A102&amp;"-"&amp;IF(DAY(Variables!$A$2)&lt;10,0,"")&amp;DAY(Variables!$A$2)</f>
        <v>-22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2" s="31" t="e">
        <f>VLOOKUP(B102,'Train Runs'!$A$13:$A$99980,1,FALSE)</f>
        <v>#N/A</v>
      </c>
    </row>
    <row r="103" spans="1:10" x14ac:dyDescent="0.25">
      <c r="A103" s="164"/>
      <c r="B103" s="44" t="str">
        <f>A103&amp;"-"&amp;IF(DAY(Variables!$A$2)&lt;10,0,"")&amp;DAY(Variables!$A$2)</f>
        <v>-22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3" s="31" t="e">
        <f>VLOOKUP(B103,'Train Runs'!$A$13:$A$99980,1,FALSE)</f>
        <v>#N/A</v>
      </c>
    </row>
    <row r="104" spans="1:10" x14ac:dyDescent="0.25">
      <c r="A104" s="164"/>
      <c r="B104" s="44" t="str">
        <f>A104&amp;"-"&amp;IF(DAY(Variables!$A$2)&lt;10,0,"")&amp;DAY(Variables!$A$2)</f>
        <v>-22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4" s="31" t="e">
        <f>VLOOKUP(B104,'Train Runs'!$A$13:$A$99980,1,FALSE)</f>
        <v>#N/A</v>
      </c>
    </row>
    <row r="105" spans="1:10" x14ac:dyDescent="0.25">
      <c r="A105" s="164"/>
      <c r="B105" s="44" t="str">
        <f>A105&amp;"-"&amp;IF(DAY(Variables!$A$2)&lt;10,0,"")&amp;DAY(Variables!$A$2)</f>
        <v>-22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5" s="31" t="e">
        <f>VLOOKUP(B105,'Train Runs'!$A$13:$A$99980,1,FALSE)</f>
        <v>#N/A</v>
      </c>
    </row>
    <row r="106" spans="1:10" x14ac:dyDescent="0.25">
      <c r="A106" s="164"/>
      <c r="B106" s="44" t="str">
        <f>A106&amp;"-"&amp;IF(DAY(Variables!$A$2)&lt;10,0,"")&amp;DAY(Variables!$A$2)</f>
        <v>-22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6" s="31" t="e">
        <f>VLOOKUP(B106,'Train Runs'!$A$13:$A$99980,1,FALSE)</f>
        <v>#N/A</v>
      </c>
    </row>
    <row r="107" spans="1:10" x14ac:dyDescent="0.25">
      <c r="A107" s="164"/>
      <c r="B107" s="44" t="str">
        <f>A107&amp;"-"&amp;IF(DAY(Variables!$A$2)&lt;10,0,"")&amp;DAY(Variables!$A$2)</f>
        <v>-22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7" s="31" t="e">
        <f>VLOOKUP(B107,'Train Runs'!$A$13:$A$99980,1,FALSE)</f>
        <v>#N/A</v>
      </c>
    </row>
    <row r="108" spans="1:10" x14ac:dyDescent="0.25">
      <c r="A108" s="164"/>
      <c r="B108" s="44" t="str">
        <f>A108&amp;"-"&amp;IF(DAY(Variables!$A$2)&lt;10,0,"")&amp;DAY(Variables!$A$2)</f>
        <v>-22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8" s="31" t="e">
        <f>VLOOKUP(B108,'Train Runs'!$A$13:$A$99980,1,FALSE)</f>
        <v>#N/A</v>
      </c>
    </row>
    <row r="109" spans="1:10" x14ac:dyDescent="0.25">
      <c r="A109" s="164"/>
      <c r="B109" s="44" t="str">
        <f>A109&amp;"-"&amp;IF(DAY(Variables!$A$2)&lt;10,0,"")&amp;DAY(Variables!$A$2)</f>
        <v>-22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9" s="31" t="e">
        <f>VLOOKUP(B109,'Train Runs'!$A$13:$A$99980,1,FALSE)</f>
        <v>#N/A</v>
      </c>
    </row>
    <row r="110" spans="1:10" x14ac:dyDescent="0.25">
      <c r="A110" s="164"/>
      <c r="B110" s="44" t="str">
        <f>A110&amp;"-"&amp;IF(DAY(Variables!$A$2)&lt;10,0,"")&amp;DAY(Variables!$A$2)</f>
        <v>-22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0" s="31" t="e">
        <f>VLOOKUP(B110,'Train Runs'!$A$13:$A$99980,1,FALSE)</f>
        <v>#N/A</v>
      </c>
    </row>
    <row r="111" spans="1:10" x14ac:dyDescent="0.25">
      <c r="A111" s="164"/>
      <c r="B111" s="44" t="str">
        <f>A111&amp;"-"&amp;IF(DAY(Variables!$A$2)&lt;10,0,"")&amp;DAY(Variables!$A$2)</f>
        <v>-22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1" s="31" t="e">
        <f>VLOOKUP(B111,'Train Runs'!$A$13:$A$99980,1,FALSE)</f>
        <v>#N/A</v>
      </c>
    </row>
    <row r="112" spans="1:10" x14ac:dyDescent="0.25">
      <c r="A112" s="164"/>
      <c r="B112" s="44" t="str">
        <f>A112&amp;"-"&amp;IF(DAY(Variables!$A$2)&lt;10,0,"")&amp;DAY(Variables!$A$2)</f>
        <v>-22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2" s="31" t="e">
        <f>VLOOKUP(B112,'Train Runs'!$A$13:$A$99980,1,FALSE)</f>
        <v>#N/A</v>
      </c>
    </row>
    <row r="113" spans="1:10" x14ac:dyDescent="0.25">
      <c r="A113" s="164"/>
      <c r="B113" s="44" t="str">
        <f>A113&amp;"-"&amp;IF(DAY(Variables!$A$2)&lt;10,0,"")&amp;DAY(Variables!$A$2)</f>
        <v>-22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3" s="31" t="e">
        <f>VLOOKUP(B113,'Train Runs'!$A$13:$A$99980,1,FALSE)</f>
        <v>#N/A</v>
      </c>
    </row>
    <row r="114" spans="1:10" x14ac:dyDescent="0.25">
      <c r="A114" s="164"/>
      <c r="B114" s="44" t="str">
        <f>A114&amp;"-"&amp;IF(DAY(Variables!$A$2)&lt;10,0,"")&amp;DAY(Variables!$A$2)</f>
        <v>-22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4" s="31" t="e">
        <f>VLOOKUP(B114,'Train Runs'!$A$13:$A$99980,1,FALSE)</f>
        <v>#N/A</v>
      </c>
    </row>
    <row r="115" spans="1:10" x14ac:dyDescent="0.25">
      <c r="A115" s="164"/>
      <c r="B115" s="44" t="str">
        <f>A115&amp;"-"&amp;IF(DAY(Variables!$A$2)&lt;10,0,"")&amp;DAY(Variables!$A$2)</f>
        <v>-22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5" s="31" t="e">
        <f>VLOOKUP(B115,'Train Runs'!$A$13:$A$99980,1,FALSE)</f>
        <v>#N/A</v>
      </c>
    </row>
    <row r="116" spans="1:10" x14ac:dyDescent="0.25">
      <c r="A116" s="164"/>
      <c r="B116" s="44" t="str">
        <f>A116&amp;"-"&amp;IF(DAY(Variables!$A$2)&lt;10,0,"")&amp;DAY(Variables!$A$2)</f>
        <v>-22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6" s="31" t="e">
        <f>VLOOKUP(B116,'Train Runs'!$A$13:$A$99980,1,FALSE)</f>
        <v>#N/A</v>
      </c>
    </row>
    <row r="117" spans="1:10" x14ac:dyDescent="0.25">
      <c r="A117" s="164"/>
      <c r="B117" s="44" t="str">
        <f>A117&amp;"-"&amp;IF(DAY(Variables!$A$2)&lt;10,0,"")&amp;DAY(Variables!$A$2)</f>
        <v>-22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7" s="31" t="e">
        <f>VLOOKUP(B117,'Train Runs'!$A$13:$A$99980,1,FALSE)</f>
        <v>#N/A</v>
      </c>
    </row>
    <row r="118" spans="1:10" x14ac:dyDescent="0.25">
      <c r="A118" s="164"/>
      <c r="B118" s="44" t="str">
        <f>A118&amp;"-"&amp;IF(DAY(Variables!$A$2)&lt;10,0,"")&amp;DAY(Variables!$A$2)</f>
        <v>-22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8" s="31" t="e">
        <f>VLOOKUP(B118,'Train Runs'!$A$13:$A$99980,1,FALSE)</f>
        <v>#N/A</v>
      </c>
    </row>
    <row r="119" spans="1:10" x14ac:dyDescent="0.25">
      <c r="A119" s="164"/>
      <c r="B119" s="44" t="str">
        <f>A119&amp;"-"&amp;IF(DAY(Variables!$A$2)&lt;10,0,"")&amp;DAY(Variables!$A$2)</f>
        <v>-22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9" s="31" t="e">
        <f>VLOOKUP(B119,'Train Runs'!$A$13:$A$99980,1,FALSE)</f>
        <v>#N/A</v>
      </c>
    </row>
    <row r="120" spans="1:10" x14ac:dyDescent="0.25">
      <c r="A120" s="164"/>
      <c r="B120" s="44" t="str">
        <f>A120&amp;"-"&amp;IF(DAY(Variables!$A$2)&lt;10,0,"")&amp;DAY(Variables!$A$2)</f>
        <v>-22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0" s="31" t="e">
        <f>VLOOKUP(B120,'Train Runs'!$A$13:$A$99980,1,FALSE)</f>
        <v>#N/A</v>
      </c>
    </row>
    <row r="121" spans="1:10" x14ac:dyDescent="0.25">
      <c r="A121" s="164"/>
      <c r="B121" s="44" t="str">
        <f>A121&amp;"-"&amp;IF(DAY(Variables!$A$2)&lt;10,0,"")&amp;DAY(Variables!$A$2)</f>
        <v>-22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1" s="31" t="e">
        <f>VLOOKUP(B121,'Train Runs'!$A$13:$A$99980,1,FALSE)</f>
        <v>#N/A</v>
      </c>
    </row>
    <row r="122" spans="1:10" x14ac:dyDescent="0.25">
      <c r="A122" s="164"/>
      <c r="B122" s="44" t="str">
        <f>A122&amp;"-"&amp;IF(DAY(Variables!$A$2)&lt;10,0,"")&amp;DAY(Variables!$A$2)</f>
        <v>-22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2" s="31" t="e">
        <f>VLOOKUP(B122,'Train Runs'!$A$13:$A$99980,1,FALSE)</f>
        <v>#N/A</v>
      </c>
    </row>
    <row r="123" spans="1:10" x14ac:dyDescent="0.25">
      <c r="A123" s="164"/>
      <c r="B123" s="44" t="str">
        <f>A123&amp;"-"&amp;IF(DAY(Variables!$A$2)&lt;10,0,"")&amp;DAY(Variables!$A$2)</f>
        <v>-22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3" s="31" t="e">
        <f>VLOOKUP(B123,'Train Runs'!$A$13:$A$99980,1,FALSE)</f>
        <v>#N/A</v>
      </c>
    </row>
    <row r="124" spans="1:10" x14ac:dyDescent="0.25">
      <c r="A124" s="164"/>
      <c r="B124" s="44" t="str">
        <f>A124&amp;"-"&amp;IF(DAY(Variables!$A$2)&lt;10,0,"")&amp;DAY(Variables!$A$2)</f>
        <v>-22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4" s="31" t="e">
        <f>VLOOKUP(B124,'Train Runs'!$A$13:$A$99980,1,FALSE)</f>
        <v>#N/A</v>
      </c>
    </row>
    <row r="125" spans="1:10" x14ac:dyDescent="0.25">
      <c r="A125" s="164"/>
      <c r="B125" s="44" t="str">
        <f>A125&amp;"-"&amp;IF(DAY(Variables!$A$2)&lt;10,0,"")&amp;DAY(Variables!$A$2)</f>
        <v>-22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5" s="31" t="e">
        <f>VLOOKUP(B125,'Train Runs'!$A$13:$A$99980,1,FALSE)</f>
        <v>#N/A</v>
      </c>
    </row>
    <row r="126" spans="1:10" x14ac:dyDescent="0.25">
      <c r="A126" s="164"/>
      <c r="B126" s="44" t="str">
        <f>A126&amp;"-"&amp;IF(DAY(Variables!$A$2)&lt;10,0,"")&amp;DAY(Variables!$A$2)</f>
        <v>-22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6" s="31" t="e">
        <f>VLOOKUP(B126,'Train Runs'!$A$13:$A$99980,1,FALSE)</f>
        <v>#N/A</v>
      </c>
    </row>
    <row r="127" spans="1:10" x14ac:dyDescent="0.25">
      <c r="A127" s="164"/>
      <c r="B127" s="44" t="str">
        <f>A127&amp;"-"&amp;IF(DAY(Variables!$A$2)&lt;10,0,"")&amp;DAY(Variables!$A$2)</f>
        <v>-22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7" s="31" t="e">
        <f>VLOOKUP(B127,'Train Runs'!$A$13:$A$99980,1,FALSE)</f>
        <v>#N/A</v>
      </c>
    </row>
    <row r="128" spans="1:10" x14ac:dyDescent="0.25">
      <c r="A128" s="164"/>
      <c r="B128" s="44" t="str">
        <f>A128&amp;"-"&amp;IF(DAY(Variables!$A$2)&lt;10,0,"")&amp;DAY(Variables!$A$2)</f>
        <v>-22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ref="I128:I13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8" s="31" t="e">
        <f>VLOOKUP(B128,'Train Runs'!$A$13:$A$99980,1,FALSE)</f>
        <v>#N/A</v>
      </c>
    </row>
    <row r="129" spans="1:10" x14ac:dyDescent="0.25">
      <c r="A129" s="164"/>
      <c r="B129" s="44" t="str">
        <f>A129&amp;"-"&amp;IF(DAY(Variables!$A$2)&lt;10,0,"")&amp;DAY(Variables!$A$2)</f>
        <v>-22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9" s="31" t="e">
        <f>VLOOKUP(B129,'Train Runs'!$A$13:$A$99980,1,FALSE)</f>
        <v>#N/A</v>
      </c>
    </row>
    <row r="130" spans="1:10" x14ac:dyDescent="0.25">
      <c r="A130" s="164"/>
      <c r="B130" s="44" t="str">
        <f>A130&amp;"-"&amp;IF(DAY(Variables!$A$2)&lt;10,0,"")&amp;DAY(Variables!$A$2)</f>
        <v>-22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0" s="31" t="e">
        <f>VLOOKUP(B130,'Train Runs'!$A$13:$A$99980,1,FALSE)</f>
        <v>#N/A</v>
      </c>
    </row>
    <row r="131" spans="1:10" x14ac:dyDescent="0.25">
      <c r="A131" s="164"/>
      <c r="B131" s="44" t="str">
        <f>A131&amp;"-"&amp;IF(DAY(Variables!$A$2)&lt;10,0,"")&amp;DAY(Variables!$A$2)</f>
        <v>-22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1" s="31" t="e">
        <f>VLOOKUP(B131,'Train Runs'!$A$13:$A$99980,1,FALSE)</f>
        <v>#N/A</v>
      </c>
    </row>
    <row r="132" spans="1:10" x14ac:dyDescent="0.25">
      <c r="A132" s="164"/>
      <c r="B132" s="44" t="str">
        <f>A132&amp;"-"&amp;IF(DAY(Variables!$A$2)&lt;10,0,"")&amp;DAY(Variables!$A$2)</f>
        <v>-22</v>
      </c>
      <c r="C132" s="154"/>
      <c r="D132" s="188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2" s="31" t="e">
        <f>VLOOKUP(B132,'Train Runs'!$A$13:$A$99980,1,FALSE)</f>
        <v>#N/A</v>
      </c>
    </row>
    <row r="133" spans="1:10" x14ac:dyDescent="0.25">
      <c r="A133" s="164"/>
      <c r="B133" s="44" t="str">
        <f>A133&amp;"-"&amp;IF(DAY(Variables!$A$2)&lt;10,0,"")&amp;DAY(Variables!$A$2)</f>
        <v>-22</v>
      </c>
      <c r="C133" s="154"/>
      <c r="D133" s="188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3" s="31" t="e">
        <f>VLOOKUP(B133,'Train Runs'!$A$13:$A$99980,1,FALSE)</f>
        <v>#N/A</v>
      </c>
    </row>
    <row r="134" spans="1:10" x14ac:dyDescent="0.25">
      <c r="A134" s="164"/>
      <c r="B134" s="44" t="str">
        <f>A134&amp;"-"&amp;IF(DAY(Variables!$A$2)&lt;10,0,"")&amp;DAY(Variables!$A$2)</f>
        <v>-22</v>
      </c>
      <c r="C134" s="154"/>
      <c r="D134" s="188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4" s="31" t="e">
        <f>VLOOKUP(B134,'Train Runs'!$A$13:$A$99980,1,FALSE)</f>
        <v>#N/A</v>
      </c>
    </row>
  </sheetData>
  <autoFilter ref="A2:J134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176</v>
      </c>
      <c r="B1" s="21" t="s">
        <v>177</v>
      </c>
      <c r="C1" s="21" t="s">
        <v>0</v>
      </c>
      <c r="D1" s="157" t="s">
        <v>178</v>
      </c>
      <c r="E1" s="21" t="s">
        <v>179</v>
      </c>
      <c r="F1" s="21" t="s">
        <v>211</v>
      </c>
      <c r="G1" s="8" t="s">
        <v>210</v>
      </c>
    </row>
    <row r="2" spans="1:7" x14ac:dyDescent="0.25">
      <c r="A2" s="8">
        <v>42757.034780092596</v>
      </c>
      <c r="B2" s="21" t="s">
        <v>195</v>
      </c>
      <c r="C2" s="21" t="s">
        <v>447</v>
      </c>
      <c r="D2" s="157">
        <v>2270000</v>
      </c>
      <c r="E2" s="21" t="s">
        <v>292</v>
      </c>
      <c r="F2" s="21" t="s">
        <v>293</v>
      </c>
      <c r="G2" s="8" t="str">
        <f>E2&amp;" "&amp;F2</f>
        <v>BROWN JACOB</v>
      </c>
    </row>
    <row r="3" spans="1:7" x14ac:dyDescent="0.25">
      <c r="A3" s="8">
        <v>42757.047951388886</v>
      </c>
      <c r="B3" s="21" t="s">
        <v>351</v>
      </c>
      <c r="C3" s="21" t="s">
        <v>448</v>
      </c>
      <c r="D3" s="157">
        <v>2230000</v>
      </c>
      <c r="E3" s="21" t="s">
        <v>361</v>
      </c>
      <c r="F3" s="21" t="s">
        <v>214</v>
      </c>
      <c r="G3" s="8" t="str">
        <f t="shared" ref="G3:G66" si="0">E3&amp;" "&amp;F3</f>
        <v>SMITH MICHAEL</v>
      </c>
    </row>
    <row r="4" spans="1:7" x14ac:dyDescent="0.25">
      <c r="A4" s="8">
        <v>42757.050127314818</v>
      </c>
      <c r="B4" s="21" t="s">
        <v>154</v>
      </c>
      <c r="C4" s="21" t="s">
        <v>449</v>
      </c>
      <c r="D4" s="157">
        <v>2220000</v>
      </c>
      <c r="E4" s="21" t="s">
        <v>247</v>
      </c>
      <c r="F4" s="21" t="s">
        <v>248</v>
      </c>
      <c r="G4" s="8" t="str">
        <f t="shared" si="0"/>
        <v>HILLS DUSTIN</v>
      </c>
    </row>
    <row r="5" spans="1:7" x14ac:dyDescent="0.25">
      <c r="A5" s="8">
        <v>42757.057349537034</v>
      </c>
      <c r="B5" s="21" t="s">
        <v>154</v>
      </c>
      <c r="C5" s="21" t="s">
        <v>449</v>
      </c>
      <c r="D5" s="157">
        <v>2220000</v>
      </c>
      <c r="E5" s="21" t="s">
        <v>247</v>
      </c>
      <c r="F5" s="21" t="s">
        <v>248</v>
      </c>
      <c r="G5" s="8" t="str">
        <f t="shared" si="0"/>
        <v>HILLS DUSTIN</v>
      </c>
    </row>
    <row r="6" spans="1:7" x14ac:dyDescent="0.25">
      <c r="A6" s="8">
        <v>42757.067118055558</v>
      </c>
      <c r="B6" s="21" t="s">
        <v>287</v>
      </c>
      <c r="C6" s="21" t="s">
        <v>450</v>
      </c>
      <c r="D6" s="157">
        <v>2000000</v>
      </c>
      <c r="E6" s="21" t="s">
        <v>363</v>
      </c>
      <c r="F6" s="21" t="s">
        <v>209</v>
      </c>
      <c r="G6" s="8" t="str">
        <f t="shared" si="0"/>
        <v>STAMBAUGH JAMES</v>
      </c>
    </row>
    <row r="7" spans="1:7" x14ac:dyDescent="0.25">
      <c r="A7" s="8">
        <v>42757.074340277781</v>
      </c>
      <c r="B7" s="21" t="s">
        <v>199</v>
      </c>
      <c r="C7" s="21" t="s">
        <v>451</v>
      </c>
      <c r="D7" s="157">
        <v>2270000</v>
      </c>
      <c r="E7" s="21" t="s">
        <v>292</v>
      </c>
      <c r="F7" s="21" t="s">
        <v>293</v>
      </c>
      <c r="G7" s="8" t="str">
        <f t="shared" si="0"/>
        <v>BROWN JACOB</v>
      </c>
    </row>
    <row r="8" spans="1:7" x14ac:dyDescent="0.25">
      <c r="A8" s="8">
        <v>42757.087465277778</v>
      </c>
      <c r="B8" s="21" t="s">
        <v>153</v>
      </c>
      <c r="C8" s="21" t="s">
        <v>452</v>
      </c>
      <c r="D8" s="157">
        <v>2220000</v>
      </c>
      <c r="E8" s="21" t="s">
        <v>247</v>
      </c>
      <c r="F8" s="21" t="s">
        <v>248</v>
      </c>
      <c r="G8" s="8" t="str">
        <f t="shared" si="0"/>
        <v>HILLS DUSTIN</v>
      </c>
    </row>
    <row r="9" spans="1:7" ht="15.75" thickBot="1" x14ac:dyDescent="0.3">
      <c r="A9" s="25">
        <v>42757.111655092594</v>
      </c>
      <c r="B9" s="21" t="s">
        <v>195</v>
      </c>
      <c r="C9" s="21" t="s">
        <v>453</v>
      </c>
      <c r="D9" s="157">
        <v>2270000</v>
      </c>
      <c r="E9" s="21" t="s">
        <v>292</v>
      </c>
      <c r="F9" s="21" t="s">
        <v>293</v>
      </c>
      <c r="G9" s="8" t="str">
        <f t="shared" si="0"/>
        <v>BROWN JACOB</v>
      </c>
    </row>
    <row r="10" spans="1:7" x14ac:dyDescent="0.25">
      <c r="A10" s="8">
        <v>42757.120613425926</v>
      </c>
      <c r="B10" s="21" t="s">
        <v>250</v>
      </c>
      <c r="C10" s="21" t="s">
        <v>454</v>
      </c>
      <c r="D10" s="157">
        <v>2110000</v>
      </c>
      <c r="E10" s="21" t="s">
        <v>455</v>
      </c>
      <c r="F10" s="21" t="s">
        <v>456</v>
      </c>
      <c r="G10" s="8" t="str">
        <f t="shared" si="0"/>
        <v>OUN ZACK</v>
      </c>
    </row>
    <row r="11" spans="1:7" x14ac:dyDescent="0.25">
      <c r="A11" s="8">
        <v>42757.131168981483</v>
      </c>
      <c r="B11" s="21" t="s">
        <v>428</v>
      </c>
      <c r="C11" s="21" t="s">
        <v>429</v>
      </c>
      <c r="D11" s="157">
        <v>2110000</v>
      </c>
      <c r="E11" s="21" t="s">
        <v>455</v>
      </c>
      <c r="F11" s="21" t="s">
        <v>456</v>
      </c>
      <c r="G11" s="8" t="str">
        <f t="shared" si="0"/>
        <v>OUN ZACK</v>
      </c>
    </row>
    <row r="12" spans="1:7" x14ac:dyDescent="0.25">
      <c r="A12" s="8">
        <v>42757.137291666666</v>
      </c>
      <c r="B12" s="21" t="s">
        <v>203</v>
      </c>
      <c r="C12" s="21" t="s">
        <v>457</v>
      </c>
      <c r="D12" s="157">
        <v>2010000</v>
      </c>
      <c r="E12" s="21" t="s">
        <v>458</v>
      </c>
      <c r="F12" s="21" t="s">
        <v>459</v>
      </c>
      <c r="G12" s="8" t="str">
        <f t="shared" si="0"/>
        <v>MAELZER KURT</v>
      </c>
    </row>
    <row r="13" spans="1:7" x14ac:dyDescent="0.25">
      <c r="A13" s="8">
        <v>42757.148472222223</v>
      </c>
      <c r="B13" s="21" t="s">
        <v>350</v>
      </c>
      <c r="C13" s="21" t="s">
        <v>460</v>
      </c>
      <c r="D13" s="157">
        <v>2010000</v>
      </c>
      <c r="E13" s="21" t="s">
        <v>458</v>
      </c>
      <c r="F13" s="21" t="s">
        <v>459</v>
      </c>
      <c r="G13" s="8" t="str">
        <f t="shared" si="0"/>
        <v>MAELZER KURT</v>
      </c>
    </row>
    <row r="14" spans="1:7" x14ac:dyDescent="0.25">
      <c r="A14" s="8">
        <v>42757.162905092591</v>
      </c>
      <c r="B14" s="21" t="s">
        <v>253</v>
      </c>
      <c r="C14" s="21" t="s">
        <v>461</v>
      </c>
      <c r="D14" s="157">
        <v>2620000</v>
      </c>
      <c r="E14" s="21" t="s">
        <v>344</v>
      </c>
      <c r="F14" s="21" t="s">
        <v>345</v>
      </c>
      <c r="G14" s="8" t="str">
        <f t="shared" si="0"/>
        <v>PERKINS DARREN</v>
      </c>
    </row>
    <row r="15" spans="1:7" x14ac:dyDescent="0.25">
      <c r="A15" s="8">
        <v>42757.168634259258</v>
      </c>
      <c r="B15" s="21" t="s">
        <v>250</v>
      </c>
      <c r="C15" s="21" t="s">
        <v>462</v>
      </c>
      <c r="D15" s="157">
        <v>2110000</v>
      </c>
      <c r="E15" s="21" t="s">
        <v>455</v>
      </c>
      <c r="F15" s="21" t="s">
        <v>456</v>
      </c>
      <c r="G15" s="8" t="str">
        <f t="shared" si="0"/>
        <v>OUN ZACK</v>
      </c>
    </row>
    <row r="16" spans="1:7" x14ac:dyDescent="0.25">
      <c r="A16" s="8">
        <v>42757.174074074072</v>
      </c>
      <c r="B16" s="21" t="s">
        <v>246</v>
      </c>
      <c r="C16" s="21" t="s">
        <v>463</v>
      </c>
      <c r="D16" s="157">
        <v>1990000</v>
      </c>
      <c r="E16" s="21" t="s">
        <v>267</v>
      </c>
      <c r="F16" s="21" t="s">
        <v>346</v>
      </c>
      <c r="G16" s="8" t="str">
        <f t="shared" si="0"/>
        <v>DAVIS WENDY</v>
      </c>
    </row>
    <row r="17" spans="1:7" x14ac:dyDescent="0.25">
      <c r="A17" s="8">
        <v>42757.174768518518</v>
      </c>
      <c r="B17" s="21" t="s">
        <v>268</v>
      </c>
      <c r="C17" s="21" t="s">
        <v>464</v>
      </c>
      <c r="D17" s="157">
        <v>2620000</v>
      </c>
      <c r="E17" s="21" t="s">
        <v>344</v>
      </c>
      <c r="F17" s="21" t="s">
        <v>345</v>
      </c>
      <c r="G17" s="8" t="str">
        <f t="shared" si="0"/>
        <v>PERKINS DARREN</v>
      </c>
    </row>
    <row r="18" spans="1:7" x14ac:dyDescent="0.25">
      <c r="A18" s="8">
        <v>42757.178599537037</v>
      </c>
      <c r="B18" s="21" t="s">
        <v>251</v>
      </c>
      <c r="C18" s="21" t="s">
        <v>465</v>
      </c>
      <c r="D18" s="157">
        <v>2140000</v>
      </c>
      <c r="E18" s="21" t="s">
        <v>347</v>
      </c>
      <c r="F18" s="21" t="s">
        <v>348</v>
      </c>
      <c r="G18" s="8" t="str">
        <f t="shared" si="0"/>
        <v>ROBINSON KADDIBA</v>
      </c>
    </row>
    <row r="19" spans="1:7" x14ac:dyDescent="0.25">
      <c r="A19" s="8">
        <v>42757.18340277778</v>
      </c>
      <c r="B19" s="21" t="s">
        <v>289</v>
      </c>
      <c r="C19" s="21" t="s">
        <v>466</v>
      </c>
      <c r="D19" s="157">
        <v>1990000</v>
      </c>
      <c r="E19" s="21" t="s">
        <v>267</v>
      </c>
      <c r="F19" s="21" t="s">
        <v>346</v>
      </c>
      <c r="G19" s="8" t="str">
        <f t="shared" si="0"/>
        <v>DAVIS WENDY</v>
      </c>
    </row>
    <row r="20" spans="1:7" x14ac:dyDescent="0.25">
      <c r="A20" s="8">
        <v>42757.188344907408</v>
      </c>
      <c r="B20" s="21" t="s">
        <v>203</v>
      </c>
      <c r="C20" s="21" t="s">
        <v>467</v>
      </c>
      <c r="D20" s="157">
        <v>2010000</v>
      </c>
      <c r="E20" s="21" t="s">
        <v>458</v>
      </c>
      <c r="F20" s="21" t="s">
        <v>459</v>
      </c>
      <c r="G20" s="8" t="str">
        <f t="shared" si="0"/>
        <v>MAELZER KURT</v>
      </c>
    </row>
    <row r="21" spans="1:7" x14ac:dyDescent="0.25">
      <c r="A21" s="8">
        <v>42757.1952662037</v>
      </c>
      <c r="B21" s="21" t="s">
        <v>201</v>
      </c>
      <c r="C21" s="21" t="s">
        <v>468</v>
      </c>
      <c r="D21" s="157">
        <v>2140000</v>
      </c>
      <c r="E21" s="21" t="s">
        <v>347</v>
      </c>
      <c r="F21" s="21" t="s">
        <v>348</v>
      </c>
      <c r="G21" s="8" t="str">
        <f t="shared" si="0"/>
        <v>ROBINSON KADDIBA</v>
      </c>
    </row>
    <row r="22" spans="1:7" x14ac:dyDescent="0.25">
      <c r="A22" s="27">
        <v>42757.20521990741</v>
      </c>
      <c r="B22" s="21" t="s">
        <v>428</v>
      </c>
      <c r="C22" s="21" t="s">
        <v>469</v>
      </c>
      <c r="D22" s="157">
        <v>1100000</v>
      </c>
      <c r="E22" s="21" t="s">
        <v>301</v>
      </c>
      <c r="F22" s="21" t="s">
        <v>302</v>
      </c>
      <c r="G22" s="8" t="str">
        <f t="shared" si="0"/>
        <v>GEBRETEKLE DAGNEW</v>
      </c>
    </row>
    <row r="23" spans="1:7" x14ac:dyDescent="0.25">
      <c r="A23" s="8">
        <v>42757.20716435185</v>
      </c>
      <c r="B23" s="21" t="s">
        <v>253</v>
      </c>
      <c r="C23" s="21" t="s">
        <v>470</v>
      </c>
      <c r="D23" s="157">
        <v>2620000</v>
      </c>
      <c r="E23" s="21" t="s">
        <v>344</v>
      </c>
      <c r="F23" s="21" t="s">
        <v>345</v>
      </c>
      <c r="G23" s="8" t="str">
        <f t="shared" si="0"/>
        <v>PERKINS DARREN</v>
      </c>
    </row>
    <row r="24" spans="1:7" x14ac:dyDescent="0.25">
      <c r="A24" s="8">
        <v>42757.210752314815</v>
      </c>
      <c r="B24" s="21" t="s">
        <v>249</v>
      </c>
      <c r="C24" s="21" t="s">
        <v>471</v>
      </c>
      <c r="D24" s="157">
        <v>2110000</v>
      </c>
      <c r="E24" s="21" t="s">
        <v>455</v>
      </c>
      <c r="F24" s="21" t="s">
        <v>456</v>
      </c>
      <c r="G24" s="8" t="str">
        <f t="shared" si="0"/>
        <v>OUN ZACK</v>
      </c>
    </row>
    <row r="25" spans="1:7" x14ac:dyDescent="0.25">
      <c r="A25" s="8">
        <v>42757.225219907406</v>
      </c>
      <c r="B25" s="21" t="s">
        <v>246</v>
      </c>
      <c r="C25" s="21" t="s">
        <v>472</v>
      </c>
      <c r="D25" s="157">
        <v>1990000</v>
      </c>
      <c r="E25" s="21" t="s">
        <v>267</v>
      </c>
      <c r="F25" s="21" t="s">
        <v>346</v>
      </c>
      <c r="G25" s="8" t="str">
        <f t="shared" si="0"/>
        <v>DAVIS WENDY</v>
      </c>
    </row>
    <row r="26" spans="1:7" x14ac:dyDescent="0.25">
      <c r="A26" s="8">
        <v>42757.228055555555</v>
      </c>
      <c r="B26" s="21" t="s">
        <v>350</v>
      </c>
      <c r="C26" s="21" t="s">
        <v>473</v>
      </c>
      <c r="D26" s="157">
        <v>2020000</v>
      </c>
      <c r="E26" s="21" t="s">
        <v>352</v>
      </c>
      <c r="F26" s="21" t="s">
        <v>291</v>
      </c>
      <c r="G26" s="8" t="str">
        <f t="shared" si="0"/>
        <v>SHOOK JOHN</v>
      </c>
    </row>
    <row r="27" spans="1:7" x14ac:dyDescent="0.25">
      <c r="A27" s="8">
        <v>42757.231076388889</v>
      </c>
      <c r="B27" s="21" t="s">
        <v>474</v>
      </c>
      <c r="C27" s="21" t="s">
        <v>475</v>
      </c>
      <c r="D27" s="157">
        <v>1830000</v>
      </c>
      <c r="E27" s="21" t="s">
        <v>476</v>
      </c>
      <c r="F27" s="21" t="s">
        <v>477</v>
      </c>
      <c r="G27" s="8" t="str">
        <f t="shared" si="0"/>
        <v>YORK EDGAR</v>
      </c>
    </row>
    <row r="28" spans="1:7" x14ac:dyDescent="0.25">
      <c r="A28" s="8">
        <v>42757.231550925928</v>
      </c>
      <c r="B28" s="21" t="s">
        <v>251</v>
      </c>
      <c r="C28" s="21" t="s">
        <v>478</v>
      </c>
      <c r="D28" s="157">
        <v>2140000</v>
      </c>
      <c r="E28" s="21" t="s">
        <v>347</v>
      </c>
      <c r="F28" s="21" t="s">
        <v>348</v>
      </c>
      <c r="G28" s="8" t="str">
        <f t="shared" si="0"/>
        <v>ROBINSON KADDIBA</v>
      </c>
    </row>
    <row r="29" spans="1:7" x14ac:dyDescent="0.25">
      <c r="A29" s="8">
        <v>42757.232557870368</v>
      </c>
      <c r="B29" s="21" t="s">
        <v>202</v>
      </c>
      <c r="C29" s="21" t="s">
        <v>479</v>
      </c>
      <c r="D29" s="157">
        <v>2010000</v>
      </c>
      <c r="E29" s="21" t="s">
        <v>458</v>
      </c>
      <c r="F29" s="21" t="s">
        <v>459</v>
      </c>
      <c r="G29" s="8" t="str">
        <f t="shared" si="0"/>
        <v>MAELZER KURT</v>
      </c>
    </row>
    <row r="30" spans="1:7" x14ac:dyDescent="0.25">
      <c r="A30" s="8">
        <v>42757.237939814811</v>
      </c>
      <c r="B30" s="21" t="s">
        <v>433</v>
      </c>
      <c r="C30" s="21" t="s">
        <v>480</v>
      </c>
      <c r="D30" s="157">
        <v>1830000</v>
      </c>
      <c r="E30" s="21" t="s">
        <v>476</v>
      </c>
      <c r="F30" s="21" t="s">
        <v>477</v>
      </c>
      <c r="G30" s="8" t="str">
        <f t="shared" si="0"/>
        <v>YORK EDGAR</v>
      </c>
    </row>
    <row r="31" spans="1:7" x14ac:dyDescent="0.25">
      <c r="A31" s="8">
        <v>42757.242511574077</v>
      </c>
      <c r="B31" s="21" t="s">
        <v>481</v>
      </c>
      <c r="C31" s="21" t="s">
        <v>482</v>
      </c>
      <c r="D31" s="157">
        <v>1100000</v>
      </c>
      <c r="E31" s="21" t="s">
        <v>301</v>
      </c>
      <c r="F31" s="21" t="s">
        <v>302</v>
      </c>
      <c r="G31" s="8" t="str">
        <f t="shared" si="0"/>
        <v>GEBRETEKLE DAGNEW</v>
      </c>
    </row>
    <row r="32" spans="1:7" x14ac:dyDescent="0.25">
      <c r="A32" s="8">
        <v>42757.248969907407</v>
      </c>
      <c r="B32" s="21" t="s">
        <v>474</v>
      </c>
      <c r="C32" s="21" t="s">
        <v>483</v>
      </c>
      <c r="D32" s="157">
        <v>1830000</v>
      </c>
      <c r="E32" s="21" t="s">
        <v>476</v>
      </c>
      <c r="F32" s="21" t="s">
        <v>477</v>
      </c>
      <c r="G32" s="8" t="str">
        <f t="shared" si="0"/>
        <v>YORK EDGAR</v>
      </c>
    </row>
    <row r="33" spans="1:7" x14ac:dyDescent="0.25">
      <c r="A33" s="8">
        <v>42757.249027777776</v>
      </c>
      <c r="B33" s="21" t="s">
        <v>268</v>
      </c>
      <c r="C33" s="21" t="s">
        <v>484</v>
      </c>
      <c r="D33" s="157">
        <v>2620000</v>
      </c>
      <c r="E33" s="21" t="s">
        <v>344</v>
      </c>
      <c r="F33" s="21" t="s">
        <v>345</v>
      </c>
      <c r="G33" s="8" t="str">
        <f t="shared" si="0"/>
        <v>PERKINS DARREN</v>
      </c>
    </row>
    <row r="34" spans="1:7" x14ac:dyDescent="0.25">
      <c r="A34" s="8">
        <v>42757.255011574074</v>
      </c>
      <c r="B34" s="21" t="s">
        <v>250</v>
      </c>
      <c r="C34" s="21" t="s">
        <v>485</v>
      </c>
      <c r="D34" s="157">
        <v>2110000</v>
      </c>
      <c r="E34" s="21" t="s">
        <v>455</v>
      </c>
      <c r="F34" s="21" t="s">
        <v>456</v>
      </c>
      <c r="G34" s="8" t="str">
        <f t="shared" si="0"/>
        <v>OUN ZACK</v>
      </c>
    </row>
    <row r="35" spans="1:7" x14ac:dyDescent="0.25">
      <c r="A35" s="8">
        <v>42757.258090277777</v>
      </c>
      <c r="B35" s="21" t="s">
        <v>289</v>
      </c>
      <c r="C35" s="21" t="s">
        <v>486</v>
      </c>
      <c r="D35" s="157">
        <v>1990000</v>
      </c>
      <c r="E35" s="21" t="s">
        <v>267</v>
      </c>
      <c r="F35" s="21" t="s">
        <v>346</v>
      </c>
      <c r="G35" s="8" t="str">
        <f t="shared" si="0"/>
        <v>DAVIS WENDY</v>
      </c>
    </row>
    <row r="36" spans="1:7" x14ac:dyDescent="0.25">
      <c r="A36" s="8">
        <v>42757.258692129632</v>
      </c>
      <c r="B36" s="21" t="s">
        <v>349</v>
      </c>
      <c r="C36" s="21" t="s">
        <v>487</v>
      </c>
      <c r="D36" s="157">
        <v>2020000</v>
      </c>
      <c r="E36" s="21" t="s">
        <v>352</v>
      </c>
      <c r="F36" s="21" t="s">
        <v>291</v>
      </c>
      <c r="G36" s="8" t="str">
        <f t="shared" si="0"/>
        <v>SHOOK JOHN</v>
      </c>
    </row>
    <row r="37" spans="1:7" x14ac:dyDescent="0.25">
      <c r="A37" s="8">
        <v>42757.267627314817</v>
      </c>
      <c r="B37" s="21" t="s">
        <v>201</v>
      </c>
      <c r="C37" s="21" t="s">
        <v>488</v>
      </c>
      <c r="D37" s="157">
        <v>2140000</v>
      </c>
      <c r="E37" s="21" t="s">
        <v>347</v>
      </c>
      <c r="F37" s="21" t="s">
        <v>348</v>
      </c>
      <c r="G37" s="8" t="str">
        <f t="shared" si="0"/>
        <v>ROBINSON KADDIBA</v>
      </c>
    </row>
    <row r="38" spans="1:7" x14ac:dyDescent="0.25">
      <c r="A38" s="8">
        <v>42757.274097222224</v>
      </c>
      <c r="B38" s="21" t="s">
        <v>203</v>
      </c>
      <c r="C38" s="21" t="s">
        <v>489</v>
      </c>
      <c r="D38" s="157">
        <v>2010000</v>
      </c>
      <c r="E38" s="21" t="s">
        <v>458</v>
      </c>
      <c r="F38" s="21" t="s">
        <v>459</v>
      </c>
      <c r="G38" s="8" t="str">
        <f t="shared" si="0"/>
        <v>MAELZER KURT</v>
      </c>
    </row>
    <row r="39" spans="1:7" x14ac:dyDescent="0.25">
      <c r="A39" s="8">
        <v>42757.276504629626</v>
      </c>
      <c r="B39" s="21" t="s">
        <v>428</v>
      </c>
      <c r="C39" s="21" t="s">
        <v>490</v>
      </c>
      <c r="D39" s="157">
        <v>1100000</v>
      </c>
      <c r="E39" s="21" t="s">
        <v>301</v>
      </c>
      <c r="F39" s="21" t="s">
        <v>302</v>
      </c>
      <c r="G39" s="8" t="str">
        <f t="shared" si="0"/>
        <v>GEBRETEKLE DAGNEW</v>
      </c>
    </row>
    <row r="40" spans="1:7" x14ac:dyDescent="0.25">
      <c r="A40" s="8">
        <v>42757.276585648149</v>
      </c>
      <c r="B40" s="26" t="s">
        <v>433</v>
      </c>
      <c r="C40" s="21" t="s">
        <v>491</v>
      </c>
      <c r="D40" s="157">
        <v>1830000</v>
      </c>
      <c r="E40" s="21" t="s">
        <v>476</v>
      </c>
      <c r="F40" s="21" t="s">
        <v>477</v>
      </c>
      <c r="G40" s="8" t="str">
        <f t="shared" si="0"/>
        <v>YORK EDGAR</v>
      </c>
    </row>
    <row r="41" spans="1:7" x14ac:dyDescent="0.25">
      <c r="A41" s="8">
        <v>42757.286006944443</v>
      </c>
      <c r="B41" s="21" t="s">
        <v>266</v>
      </c>
      <c r="C41" s="21" t="s">
        <v>492</v>
      </c>
      <c r="D41" s="157">
        <v>2620000</v>
      </c>
      <c r="E41" s="21" t="s">
        <v>344</v>
      </c>
      <c r="F41" s="21" t="s">
        <v>345</v>
      </c>
      <c r="G41" s="8" t="str">
        <f t="shared" si="0"/>
        <v>PERKINS DARREN</v>
      </c>
    </row>
    <row r="42" spans="1:7" x14ac:dyDescent="0.25">
      <c r="A42" s="8">
        <v>42757.287557870368</v>
      </c>
      <c r="B42" s="21" t="s">
        <v>249</v>
      </c>
      <c r="C42" s="21" t="s">
        <v>493</v>
      </c>
      <c r="D42" s="157">
        <v>2110000</v>
      </c>
      <c r="E42" s="21" t="s">
        <v>455</v>
      </c>
      <c r="F42" s="21" t="s">
        <v>456</v>
      </c>
      <c r="G42" s="8" t="str">
        <f t="shared" si="0"/>
        <v>OUN ZACK</v>
      </c>
    </row>
    <row r="43" spans="1:7" x14ac:dyDescent="0.25">
      <c r="A43" s="8">
        <v>42757.289606481485</v>
      </c>
      <c r="B43" s="21" t="s">
        <v>474</v>
      </c>
      <c r="C43" s="21" t="s">
        <v>494</v>
      </c>
      <c r="D43" s="157">
        <v>1830000</v>
      </c>
      <c r="E43" s="21" t="s">
        <v>476</v>
      </c>
      <c r="F43" s="21" t="s">
        <v>477</v>
      </c>
      <c r="G43" s="8" t="str">
        <f t="shared" si="0"/>
        <v>YORK EDGAR</v>
      </c>
    </row>
    <row r="44" spans="1:7" x14ac:dyDescent="0.25">
      <c r="A44" s="8">
        <v>42757.298425925925</v>
      </c>
      <c r="B44" s="21" t="s">
        <v>246</v>
      </c>
      <c r="C44" s="21" t="s">
        <v>495</v>
      </c>
      <c r="D44" s="157">
        <v>1990000</v>
      </c>
      <c r="E44" s="21" t="s">
        <v>267</v>
      </c>
      <c r="F44" s="21" t="s">
        <v>346</v>
      </c>
      <c r="G44" s="8" t="str">
        <f t="shared" si="0"/>
        <v>DAVIS WENDY</v>
      </c>
    </row>
    <row r="45" spans="1:7" x14ac:dyDescent="0.25">
      <c r="A45" s="8">
        <v>42757.298483796294</v>
      </c>
      <c r="B45" s="21" t="s">
        <v>350</v>
      </c>
      <c r="C45" s="21" t="s">
        <v>496</v>
      </c>
      <c r="D45" s="157">
        <v>2020000</v>
      </c>
      <c r="E45" s="21" t="s">
        <v>352</v>
      </c>
      <c r="F45" s="21" t="s">
        <v>291</v>
      </c>
      <c r="G45" s="8" t="str">
        <f t="shared" si="0"/>
        <v>SHOOK JOHN</v>
      </c>
    </row>
    <row r="46" spans="1:7" x14ac:dyDescent="0.25">
      <c r="A46" s="8">
        <v>42757.305879629632</v>
      </c>
      <c r="B46" s="21" t="s">
        <v>251</v>
      </c>
      <c r="C46" s="21" t="s">
        <v>497</v>
      </c>
      <c r="D46" s="157">
        <v>2140000</v>
      </c>
      <c r="E46" s="21" t="s">
        <v>347</v>
      </c>
      <c r="F46" s="21" t="s">
        <v>348</v>
      </c>
      <c r="G46" s="8" t="str">
        <f t="shared" si="0"/>
        <v>ROBINSON KADDIBA</v>
      </c>
    </row>
    <row r="47" spans="1:7" x14ac:dyDescent="0.25">
      <c r="A47" s="8">
        <v>42757.307523148149</v>
      </c>
      <c r="B47" s="21" t="s">
        <v>202</v>
      </c>
      <c r="C47" s="21" t="s">
        <v>498</v>
      </c>
      <c r="D47" s="157">
        <v>2010000</v>
      </c>
      <c r="E47" s="21" t="s">
        <v>458</v>
      </c>
      <c r="F47" s="21" t="s">
        <v>459</v>
      </c>
      <c r="G47" s="8" t="str">
        <f t="shared" si="0"/>
        <v>MAELZER KURT</v>
      </c>
    </row>
    <row r="48" spans="1:7" x14ac:dyDescent="0.25">
      <c r="A48" s="8">
        <v>42757.317199074074</v>
      </c>
      <c r="B48" s="21" t="s">
        <v>481</v>
      </c>
      <c r="C48" s="21" t="s">
        <v>499</v>
      </c>
      <c r="D48" s="157">
        <v>1100000</v>
      </c>
      <c r="E48" s="21" t="s">
        <v>301</v>
      </c>
      <c r="F48" s="21" t="s">
        <v>302</v>
      </c>
      <c r="G48" s="8" t="str">
        <f t="shared" si="0"/>
        <v>GEBRETEKLE DAGNEW</v>
      </c>
    </row>
    <row r="49" spans="1:7" x14ac:dyDescent="0.25">
      <c r="A49" s="8">
        <v>42757.319201388891</v>
      </c>
      <c r="B49" s="21" t="s">
        <v>268</v>
      </c>
      <c r="C49" s="21" t="s">
        <v>500</v>
      </c>
      <c r="D49" s="157">
        <v>2620000</v>
      </c>
      <c r="E49" s="21" t="s">
        <v>344</v>
      </c>
      <c r="F49" s="21" t="s">
        <v>345</v>
      </c>
      <c r="G49" s="8" t="str">
        <f t="shared" si="0"/>
        <v>PERKINS DARREN</v>
      </c>
    </row>
    <row r="50" spans="1:7" x14ac:dyDescent="0.25">
      <c r="A50" s="8">
        <v>42757.320092592592</v>
      </c>
      <c r="B50" s="21" t="s">
        <v>433</v>
      </c>
      <c r="C50" s="21" t="s">
        <v>501</v>
      </c>
      <c r="D50" s="157">
        <v>1830000</v>
      </c>
      <c r="E50" s="21" t="s">
        <v>476</v>
      </c>
      <c r="F50" s="21" t="s">
        <v>477</v>
      </c>
      <c r="G50" s="8" t="str">
        <f t="shared" si="0"/>
        <v>YORK EDGAR</v>
      </c>
    </row>
    <row r="51" spans="1:7" x14ac:dyDescent="0.25">
      <c r="A51" s="8">
        <v>42757.326192129629</v>
      </c>
      <c r="B51" s="21" t="s">
        <v>250</v>
      </c>
      <c r="C51" s="21" t="s">
        <v>502</v>
      </c>
      <c r="D51" s="157">
        <v>2110000</v>
      </c>
      <c r="E51" s="21" t="s">
        <v>455</v>
      </c>
      <c r="F51" s="21" t="s">
        <v>456</v>
      </c>
      <c r="G51" s="8" t="str">
        <f t="shared" si="0"/>
        <v>OUN ZACK</v>
      </c>
    </row>
    <row r="52" spans="1:7" x14ac:dyDescent="0.25">
      <c r="A52" s="8">
        <v>42757.329768518517</v>
      </c>
      <c r="B52" s="21" t="s">
        <v>289</v>
      </c>
      <c r="C52" s="21" t="s">
        <v>503</v>
      </c>
      <c r="D52" s="157">
        <v>1990000</v>
      </c>
      <c r="E52" s="21" t="s">
        <v>267</v>
      </c>
      <c r="F52" s="21" t="s">
        <v>346</v>
      </c>
      <c r="G52" s="8" t="str">
        <f t="shared" si="0"/>
        <v>DAVIS WENDY</v>
      </c>
    </row>
    <row r="53" spans="1:7" x14ac:dyDescent="0.25">
      <c r="A53" s="8">
        <v>42757.331111111111</v>
      </c>
      <c r="B53" s="21" t="s">
        <v>474</v>
      </c>
      <c r="C53" s="21" t="s">
        <v>504</v>
      </c>
      <c r="D53" s="157">
        <v>1830000</v>
      </c>
      <c r="E53" s="21" t="s">
        <v>476</v>
      </c>
      <c r="F53" s="21" t="s">
        <v>477</v>
      </c>
      <c r="G53" s="8" t="str">
        <f t="shared" si="0"/>
        <v>YORK EDGAR</v>
      </c>
    </row>
    <row r="54" spans="1:7" x14ac:dyDescent="0.25">
      <c r="A54" s="8">
        <v>42757.331331018519</v>
      </c>
      <c r="B54" s="21" t="s">
        <v>349</v>
      </c>
      <c r="C54" s="21" t="s">
        <v>505</v>
      </c>
      <c r="D54" s="157">
        <v>2020000</v>
      </c>
      <c r="E54" s="21" t="s">
        <v>352</v>
      </c>
      <c r="F54" s="21" t="s">
        <v>291</v>
      </c>
      <c r="G54" s="8" t="str">
        <f t="shared" si="0"/>
        <v>SHOOK JOHN</v>
      </c>
    </row>
    <row r="55" spans="1:7" x14ac:dyDescent="0.25">
      <c r="A55" s="8">
        <v>42757.340185185189</v>
      </c>
      <c r="B55" s="21" t="s">
        <v>201</v>
      </c>
      <c r="C55" s="21" t="s">
        <v>430</v>
      </c>
      <c r="D55" s="157">
        <v>2140000</v>
      </c>
      <c r="E55" s="21" t="s">
        <v>347</v>
      </c>
      <c r="F55" s="21" t="s">
        <v>348</v>
      </c>
      <c r="G55" s="8" t="str">
        <f t="shared" si="0"/>
        <v>ROBINSON KADDIBA</v>
      </c>
    </row>
    <row r="56" spans="1:7" x14ac:dyDescent="0.25">
      <c r="A56" s="8">
        <v>42757.346458333333</v>
      </c>
      <c r="B56" s="21" t="s">
        <v>203</v>
      </c>
      <c r="C56" s="21" t="s">
        <v>506</v>
      </c>
      <c r="D56" s="157">
        <v>2010000</v>
      </c>
      <c r="E56" s="21" t="s">
        <v>458</v>
      </c>
      <c r="F56" s="21" t="s">
        <v>459</v>
      </c>
      <c r="G56" s="8" t="str">
        <f t="shared" si="0"/>
        <v>MAELZER KURT</v>
      </c>
    </row>
    <row r="57" spans="1:7" x14ac:dyDescent="0.25">
      <c r="A57" s="8">
        <v>42757.350381944445</v>
      </c>
      <c r="B57" s="21" t="s">
        <v>428</v>
      </c>
      <c r="C57" s="21" t="s">
        <v>431</v>
      </c>
      <c r="D57" s="157">
        <v>1100000</v>
      </c>
      <c r="E57" s="21" t="s">
        <v>301</v>
      </c>
      <c r="F57" s="21" t="s">
        <v>302</v>
      </c>
      <c r="G57" s="8" t="str">
        <f t="shared" si="0"/>
        <v>GEBRETEKLE DAGNEW</v>
      </c>
    </row>
    <row r="58" spans="1:7" x14ac:dyDescent="0.25">
      <c r="A58" s="8">
        <v>42757.354502314818</v>
      </c>
      <c r="B58" s="21" t="s">
        <v>266</v>
      </c>
      <c r="C58" s="21" t="s">
        <v>507</v>
      </c>
      <c r="D58" s="157">
        <v>2620000</v>
      </c>
      <c r="E58" s="21" t="s">
        <v>344</v>
      </c>
      <c r="F58" s="21" t="s">
        <v>345</v>
      </c>
      <c r="G58" s="8" t="str">
        <f t="shared" si="0"/>
        <v>PERKINS DARREN</v>
      </c>
    </row>
    <row r="59" spans="1:7" x14ac:dyDescent="0.25">
      <c r="A59" s="8">
        <v>42757.359803240739</v>
      </c>
      <c r="B59" s="21" t="s">
        <v>249</v>
      </c>
      <c r="C59" s="21" t="s">
        <v>508</v>
      </c>
      <c r="D59" s="157">
        <v>2110000</v>
      </c>
      <c r="E59" s="21" t="s">
        <v>455</v>
      </c>
      <c r="F59" s="21" t="s">
        <v>456</v>
      </c>
      <c r="G59" s="8" t="str">
        <f t="shared" si="0"/>
        <v>OUN ZACK</v>
      </c>
    </row>
    <row r="60" spans="1:7" x14ac:dyDescent="0.25">
      <c r="A60" s="8">
        <v>42757.360995370371</v>
      </c>
      <c r="B60" s="21" t="s">
        <v>433</v>
      </c>
      <c r="C60" s="21" t="s">
        <v>509</v>
      </c>
      <c r="D60" s="157">
        <v>1830000</v>
      </c>
      <c r="E60" s="21" t="s">
        <v>476</v>
      </c>
      <c r="F60" s="21" t="s">
        <v>477</v>
      </c>
      <c r="G60" s="8" t="str">
        <f t="shared" si="0"/>
        <v>YORK EDGAR</v>
      </c>
    </row>
    <row r="61" spans="1:7" x14ac:dyDescent="0.25">
      <c r="A61" s="8">
        <v>42757.36954861111</v>
      </c>
      <c r="B61" s="21" t="s">
        <v>246</v>
      </c>
      <c r="C61" s="21" t="s">
        <v>432</v>
      </c>
      <c r="D61" s="157">
        <v>1990000</v>
      </c>
      <c r="E61" s="21" t="s">
        <v>267</v>
      </c>
      <c r="F61" s="21" t="s">
        <v>346</v>
      </c>
      <c r="G61" s="8" t="str">
        <f t="shared" si="0"/>
        <v>DAVIS WENDY</v>
      </c>
    </row>
    <row r="62" spans="1:7" x14ac:dyDescent="0.25">
      <c r="A62" s="8">
        <v>42757.370555555557</v>
      </c>
      <c r="B62" s="21" t="s">
        <v>350</v>
      </c>
      <c r="C62" s="21" t="s">
        <v>510</v>
      </c>
      <c r="D62" s="157">
        <v>2020000</v>
      </c>
      <c r="E62" s="21" t="s">
        <v>352</v>
      </c>
      <c r="F62" s="21" t="s">
        <v>291</v>
      </c>
      <c r="G62" s="8" t="str">
        <f t="shared" si="0"/>
        <v>SHOOK JOHN</v>
      </c>
    </row>
    <row r="63" spans="1:7" x14ac:dyDescent="0.25">
      <c r="A63" s="8">
        <v>42757.372986111113</v>
      </c>
      <c r="B63" s="21" t="s">
        <v>474</v>
      </c>
      <c r="C63" s="21" t="s">
        <v>511</v>
      </c>
      <c r="D63" s="157">
        <v>1830000</v>
      </c>
      <c r="E63" s="21" t="s">
        <v>476</v>
      </c>
      <c r="F63" s="21" t="s">
        <v>477</v>
      </c>
      <c r="G63" s="8" t="str">
        <f t="shared" si="0"/>
        <v>YORK EDGAR</v>
      </c>
    </row>
    <row r="64" spans="1:7" x14ac:dyDescent="0.25">
      <c r="A64" s="27">
        <v>42757.378888888888</v>
      </c>
      <c r="B64" s="21" t="s">
        <v>251</v>
      </c>
      <c r="C64" s="21" t="s">
        <v>512</v>
      </c>
      <c r="D64" s="157">
        <v>2140000</v>
      </c>
      <c r="E64" s="21" t="s">
        <v>347</v>
      </c>
      <c r="F64" s="21" t="s">
        <v>348</v>
      </c>
      <c r="G64" s="8" t="str">
        <f t="shared" si="0"/>
        <v>ROBINSON KADDIBA</v>
      </c>
    </row>
    <row r="65" spans="1:7" x14ac:dyDescent="0.25">
      <c r="A65" s="8">
        <v>42757.383483796293</v>
      </c>
      <c r="B65" s="21" t="s">
        <v>202</v>
      </c>
      <c r="C65" s="21" t="s">
        <v>513</v>
      </c>
      <c r="D65" s="157">
        <v>2010000</v>
      </c>
      <c r="E65" s="21" t="s">
        <v>458</v>
      </c>
      <c r="F65" s="21" t="s">
        <v>459</v>
      </c>
      <c r="G65" s="8" t="str">
        <f t="shared" si="0"/>
        <v>MAELZER KURT</v>
      </c>
    </row>
    <row r="66" spans="1:7" x14ac:dyDescent="0.25">
      <c r="A66" s="8">
        <v>42757.389027777775</v>
      </c>
      <c r="B66" s="21" t="s">
        <v>481</v>
      </c>
      <c r="C66" s="21" t="s">
        <v>514</v>
      </c>
      <c r="D66" s="157">
        <v>1100000</v>
      </c>
      <c r="E66" s="21" t="s">
        <v>301</v>
      </c>
      <c r="F66" s="21" t="s">
        <v>302</v>
      </c>
      <c r="G66" s="8" t="str">
        <f t="shared" si="0"/>
        <v>GEBRETEKLE DAGNEW</v>
      </c>
    </row>
    <row r="67" spans="1:7" x14ac:dyDescent="0.25">
      <c r="A67" s="8">
        <v>42757.391192129631</v>
      </c>
      <c r="B67" s="21" t="s">
        <v>268</v>
      </c>
      <c r="C67" s="21" t="s">
        <v>515</v>
      </c>
      <c r="D67" s="157">
        <v>2620000</v>
      </c>
      <c r="E67" s="21" t="s">
        <v>344</v>
      </c>
      <c r="F67" s="21" t="s">
        <v>345</v>
      </c>
      <c r="G67" s="8" t="str">
        <f t="shared" ref="G67:G130" si="1">E67&amp;" "&amp;F67</f>
        <v>PERKINS DARREN</v>
      </c>
    </row>
    <row r="68" spans="1:7" x14ac:dyDescent="0.25">
      <c r="A68" s="8">
        <v>42757.399224537039</v>
      </c>
      <c r="B68" s="21" t="s">
        <v>250</v>
      </c>
      <c r="C68" s="21" t="s">
        <v>516</v>
      </c>
      <c r="D68" s="157">
        <v>2110000</v>
      </c>
      <c r="E68" s="21" t="s">
        <v>455</v>
      </c>
      <c r="F68" s="21" t="s">
        <v>456</v>
      </c>
      <c r="G68" s="8" t="str">
        <f t="shared" si="1"/>
        <v>OUN ZACK</v>
      </c>
    </row>
    <row r="69" spans="1:7" x14ac:dyDescent="0.25">
      <c r="A69" s="8">
        <v>42757.401145833333</v>
      </c>
      <c r="B69" s="21" t="s">
        <v>433</v>
      </c>
      <c r="C69" s="21" t="s">
        <v>434</v>
      </c>
      <c r="D69" s="157">
        <v>1830000</v>
      </c>
      <c r="E69" s="21" t="s">
        <v>476</v>
      </c>
      <c r="F69" s="21" t="s">
        <v>477</v>
      </c>
      <c r="G69" s="8" t="str">
        <f t="shared" si="1"/>
        <v>YORK EDGAR</v>
      </c>
    </row>
    <row r="70" spans="1:7" x14ac:dyDescent="0.25">
      <c r="A70" s="8">
        <v>42757.402407407404</v>
      </c>
      <c r="B70" s="21" t="s">
        <v>289</v>
      </c>
      <c r="C70" s="21" t="s">
        <v>517</v>
      </c>
      <c r="D70" s="157">
        <v>1990000</v>
      </c>
      <c r="E70" s="21" t="s">
        <v>267</v>
      </c>
      <c r="F70" s="21" t="s">
        <v>346</v>
      </c>
      <c r="G70" s="8" t="str">
        <f t="shared" si="1"/>
        <v>DAVIS WENDY</v>
      </c>
    </row>
    <row r="71" spans="1:7" x14ac:dyDescent="0.25">
      <c r="A71" s="8">
        <v>42757.403773148151</v>
      </c>
      <c r="B71" s="21" t="s">
        <v>349</v>
      </c>
      <c r="C71" s="21" t="s">
        <v>435</v>
      </c>
      <c r="D71" s="157">
        <v>2020000</v>
      </c>
      <c r="E71" s="21" t="s">
        <v>352</v>
      </c>
      <c r="F71" s="21" t="s">
        <v>291</v>
      </c>
      <c r="G71" s="8" t="str">
        <f t="shared" si="1"/>
        <v>SHOOK JOHN</v>
      </c>
    </row>
    <row r="72" spans="1:7" x14ac:dyDescent="0.25">
      <c r="A72" s="8">
        <v>42757.405127314814</v>
      </c>
      <c r="B72" s="21" t="s">
        <v>481</v>
      </c>
      <c r="C72" s="21" t="s">
        <v>514</v>
      </c>
      <c r="D72" s="157">
        <v>1100000</v>
      </c>
      <c r="E72" s="21" t="s">
        <v>301</v>
      </c>
      <c r="F72" s="21" t="s">
        <v>302</v>
      </c>
      <c r="G72" s="8" t="str">
        <f t="shared" si="1"/>
        <v>GEBRETEKLE DAGNEW</v>
      </c>
    </row>
    <row r="73" spans="1:7" x14ac:dyDescent="0.25">
      <c r="A73" s="8">
        <v>42757.411747685182</v>
      </c>
      <c r="B73" s="21" t="s">
        <v>201</v>
      </c>
      <c r="C73" s="21" t="s">
        <v>436</v>
      </c>
      <c r="D73" s="157">
        <v>2140000</v>
      </c>
      <c r="E73" s="21" t="s">
        <v>347</v>
      </c>
      <c r="F73" s="21" t="s">
        <v>348</v>
      </c>
      <c r="G73" s="8" t="str">
        <f t="shared" si="1"/>
        <v>ROBINSON KADDIBA</v>
      </c>
    </row>
    <row r="74" spans="1:7" x14ac:dyDescent="0.25">
      <c r="A74" s="8">
        <v>42757.415833333333</v>
      </c>
      <c r="B74" s="21" t="s">
        <v>474</v>
      </c>
      <c r="C74" s="21" t="s">
        <v>518</v>
      </c>
      <c r="D74" s="157">
        <v>1830000</v>
      </c>
      <c r="E74" s="21" t="s">
        <v>476</v>
      </c>
      <c r="F74" s="21" t="s">
        <v>477</v>
      </c>
      <c r="G74" s="8" t="str">
        <f t="shared" si="1"/>
        <v>YORK EDGAR</v>
      </c>
    </row>
    <row r="75" spans="1:7" x14ac:dyDescent="0.25">
      <c r="A75" s="8">
        <v>42757.421458333331</v>
      </c>
      <c r="B75" s="21" t="s">
        <v>203</v>
      </c>
      <c r="C75" s="21" t="s">
        <v>438</v>
      </c>
      <c r="D75" s="157">
        <v>2010000</v>
      </c>
      <c r="E75" s="21" t="s">
        <v>458</v>
      </c>
      <c r="F75" s="21" t="s">
        <v>459</v>
      </c>
      <c r="G75" s="8" t="str">
        <f t="shared" si="1"/>
        <v>MAELZER KURT</v>
      </c>
    </row>
    <row r="76" spans="1:7" x14ac:dyDescent="0.25">
      <c r="A76" s="8">
        <v>42757.424907407411</v>
      </c>
      <c r="B76" s="21" t="s">
        <v>428</v>
      </c>
      <c r="C76" s="21" t="s">
        <v>519</v>
      </c>
      <c r="D76" s="157">
        <v>1100000</v>
      </c>
      <c r="E76" s="21" t="s">
        <v>301</v>
      </c>
      <c r="F76" s="21" t="s">
        <v>302</v>
      </c>
      <c r="G76" s="8" t="str">
        <f t="shared" si="1"/>
        <v>GEBRETEKLE DAGNEW</v>
      </c>
    </row>
    <row r="77" spans="1:7" x14ac:dyDescent="0.25">
      <c r="A77" s="8">
        <v>42757.427476851852</v>
      </c>
      <c r="B77" s="21" t="s">
        <v>266</v>
      </c>
      <c r="C77" s="21" t="s">
        <v>437</v>
      </c>
      <c r="D77" s="157">
        <v>2620000</v>
      </c>
      <c r="E77" s="21" t="s">
        <v>344</v>
      </c>
      <c r="F77" s="21" t="s">
        <v>345</v>
      </c>
      <c r="G77" s="8" t="str">
        <f t="shared" si="1"/>
        <v>PERKINS DARREN</v>
      </c>
    </row>
    <row r="78" spans="1:7" x14ac:dyDescent="0.25">
      <c r="A78" s="8">
        <v>42757.433391203704</v>
      </c>
      <c r="B78" s="21" t="s">
        <v>249</v>
      </c>
      <c r="C78" s="21" t="s">
        <v>520</v>
      </c>
      <c r="D78" s="157">
        <v>2470000</v>
      </c>
      <c r="E78" s="21" t="s">
        <v>354</v>
      </c>
      <c r="F78" s="21" t="s">
        <v>355</v>
      </c>
      <c r="G78" s="8" t="str">
        <f t="shared" si="1"/>
        <v>ROMERO CHAD</v>
      </c>
    </row>
    <row r="79" spans="1:7" x14ac:dyDescent="0.25">
      <c r="A79" s="8">
        <v>42757.441770833335</v>
      </c>
      <c r="B79" s="21" t="s">
        <v>224</v>
      </c>
      <c r="C79" s="21" t="s">
        <v>439</v>
      </c>
      <c r="D79" s="157">
        <v>880000</v>
      </c>
      <c r="E79" s="21" t="s">
        <v>353</v>
      </c>
      <c r="F79" s="21" t="s">
        <v>214</v>
      </c>
      <c r="G79" s="8" t="str">
        <f t="shared" si="1"/>
        <v>STEWART MICHAEL</v>
      </c>
    </row>
    <row r="80" spans="1:7" x14ac:dyDescent="0.25">
      <c r="A80" s="8">
        <v>42757.443078703705</v>
      </c>
      <c r="B80" s="21" t="s">
        <v>433</v>
      </c>
      <c r="C80" s="21" t="s">
        <v>521</v>
      </c>
      <c r="D80" s="157">
        <v>1830000</v>
      </c>
      <c r="E80" s="21" t="s">
        <v>476</v>
      </c>
      <c r="F80" s="21" t="s">
        <v>477</v>
      </c>
      <c r="G80" s="8" t="str">
        <f t="shared" si="1"/>
        <v>YORK EDGAR</v>
      </c>
    </row>
    <row r="81" spans="1:7" x14ac:dyDescent="0.25">
      <c r="A81" s="8">
        <v>42757.443506944444</v>
      </c>
      <c r="B81" s="21" t="s">
        <v>246</v>
      </c>
      <c r="C81" s="21" t="s">
        <v>522</v>
      </c>
      <c r="D81" s="157">
        <v>1990000</v>
      </c>
      <c r="E81" s="21" t="s">
        <v>267</v>
      </c>
      <c r="F81" s="21" t="s">
        <v>346</v>
      </c>
      <c r="G81" s="8" t="str">
        <f t="shared" si="1"/>
        <v>DAVIS WENDY</v>
      </c>
    </row>
    <row r="82" spans="1:7" x14ac:dyDescent="0.25">
      <c r="A82" s="8">
        <v>42757.444699074076</v>
      </c>
      <c r="B82" s="21" t="s">
        <v>350</v>
      </c>
      <c r="C82" s="21" t="s">
        <v>523</v>
      </c>
      <c r="D82" s="157">
        <v>2020000</v>
      </c>
      <c r="E82" s="21" t="s">
        <v>352</v>
      </c>
      <c r="F82" s="21" t="s">
        <v>291</v>
      </c>
      <c r="G82" s="8" t="str">
        <f t="shared" si="1"/>
        <v>SHOOK JOHN</v>
      </c>
    </row>
    <row r="83" spans="1:7" x14ac:dyDescent="0.25">
      <c r="A83" s="8">
        <v>42757.45239583333</v>
      </c>
      <c r="B83" s="21" t="s">
        <v>251</v>
      </c>
      <c r="C83" s="21" t="s">
        <v>524</v>
      </c>
      <c r="D83" s="157">
        <v>2140000</v>
      </c>
      <c r="E83" s="21" t="s">
        <v>347</v>
      </c>
      <c r="F83" s="21" t="s">
        <v>348</v>
      </c>
      <c r="G83" s="8" t="str">
        <f t="shared" si="1"/>
        <v>ROBINSON KADDIBA</v>
      </c>
    </row>
    <row r="84" spans="1:7" x14ac:dyDescent="0.25">
      <c r="A84" s="8">
        <v>42757.453530092593</v>
      </c>
      <c r="B84" s="21" t="s">
        <v>288</v>
      </c>
      <c r="C84" s="21" t="s">
        <v>440</v>
      </c>
      <c r="D84" s="157">
        <v>1300000</v>
      </c>
      <c r="E84" s="21" t="s">
        <v>525</v>
      </c>
      <c r="F84" s="21" t="s">
        <v>526</v>
      </c>
      <c r="G84" s="8" t="str">
        <f t="shared" si="1"/>
        <v>LEVIN SCOTT</v>
      </c>
    </row>
    <row r="85" spans="1:7" x14ac:dyDescent="0.25">
      <c r="A85" s="8">
        <v>42757.45584490741</v>
      </c>
      <c r="B85" s="21" t="s">
        <v>202</v>
      </c>
      <c r="C85" s="21" t="s">
        <v>527</v>
      </c>
      <c r="D85" s="157">
        <v>880000</v>
      </c>
      <c r="E85" s="21" t="s">
        <v>353</v>
      </c>
      <c r="F85" s="21" t="s">
        <v>214</v>
      </c>
      <c r="G85" s="8" t="str">
        <f t="shared" si="1"/>
        <v>STEWART MICHAEL</v>
      </c>
    </row>
    <row r="86" spans="1:7" x14ac:dyDescent="0.25">
      <c r="A86" s="8">
        <v>42757.456620370373</v>
      </c>
      <c r="B86" s="21" t="s">
        <v>474</v>
      </c>
      <c r="C86" s="21" t="s">
        <v>528</v>
      </c>
      <c r="D86" s="157">
        <v>1830000</v>
      </c>
      <c r="E86" s="21" t="s">
        <v>476</v>
      </c>
      <c r="F86" s="21" t="s">
        <v>477</v>
      </c>
      <c r="G86" s="8" t="str">
        <f t="shared" si="1"/>
        <v>YORK EDGAR</v>
      </c>
    </row>
    <row r="87" spans="1:7" x14ac:dyDescent="0.25">
      <c r="A87" s="8">
        <v>42757.461412037039</v>
      </c>
      <c r="B87" s="21" t="s">
        <v>481</v>
      </c>
      <c r="C87" s="21" t="s">
        <v>529</v>
      </c>
      <c r="D87" s="157">
        <v>1100000</v>
      </c>
      <c r="E87" s="21" t="s">
        <v>301</v>
      </c>
      <c r="F87" s="21" t="s">
        <v>302</v>
      </c>
      <c r="G87" s="8" t="str">
        <f t="shared" si="1"/>
        <v>GEBRETEKLE DAGNEW</v>
      </c>
    </row>
    <row r="88" spans="1:7" x14ac:dyDescent="0.25">
      <c r="A88" s="8">
        <v>42757.466423611113</v>
      </c>
      <c r="B88" s="21" t="s">
        <v>250</v>
      </c>
      <c r="C88" s="21" t="s">
        <v>530</v>
      </c>
      <c r="D88" s="157">
        <v>2470000</v>
      </c>
      <c r="E88" s="21" t="s">
        <v>354</v>
      </c>
      <c r="F88" s="21" t="s">
        <v>355</v>
      </c>
      <c r="G88" s="8" t="str">
        <f t="shared" si="1"/>
        <v>ROMERO CHAD</v>
      </c>
    </row>
    <row r="89" spans="1:7" x14ac:dyDescent="0.25">
      <c r="A89" s="8">
        <v>42757.467199074075</v>
      </c>
      <c r="B89" s="21" t="s">
        <v>268</v>
      </c>
      <c r="C89" s="21" t="s">
        <v>531</v>
      </c>
      <c r="D89" s="157">
        <v>920000</v>
      </c>
      <c r="E89" s="21" t="s">
        <v>267</v>
      </c>
      <c r="F89" s="21" t="s">
        <v>214</v>
      </c>
      <c r="G89" s="8" t="str">
        <f t="shared" si="1"/>
        <v>DAVIS MICHAEL</v>
      </c>
    </row>
    <row r="90" spans="1:7" x14ac:dyDescent="0.25">
      <c r="A90" s="8">
        <v>42757.468078703707</v>
      </c>
      <c r="B90" s="21" t="s">
        <v>269</v>
      </c>
      <c r="C90" s="21" t="s">
        <v>532</v>
      </c>
      <c r="D90" s="157">
        <v>2260000</v>
      </c>
      <c r="E90" s="21" t="s">
        <v>533</v>
      </c>
      <c r="F90" s="21" t="s">
        <v>534</v>
      </c>
      <c r="G90" s="8" t="str">
        <f t="shared" si="1"/>
        <v>ARVIDSON DANIEL</v>
      </c>
    </row>
    <row r="91" spans="1:7" x14ac:dyDescent="0.25">
      <c r="A91" s="8">
        <v>42757.476053240738</v>
      </c>
      <c r="B91" s="21" t="s">
        <v>289</v>
      </c>
      <c r="C91" s="21" t="s">
        <v>535</v>
      </c>
      <c r="D91" s="157">
        <v>1300000</v>
      </c>
      <c r="E91" s="21" t="s">
        <v>525</v>
      </c>
      <c r="F91" s="21" t="s">
        <v>526</v>
      </c>
      <c r="G91" s="8" t="str">
        <f t="shared" si="1"/>
        <v>LEVIN SCOTT</v>
      </c>
    </row>
    <row r="92" spans="1:7" x14ac:dyDescent="0.25">
      <c r="A92" s="8">
        <v>42757.476134259261</v>
      </c>
      <c r="B92" s="21" t="s">
        <v>349</v>
      </c>
      <c r="C92" s="21" t="s">
        <v>536</v>
      </c>
      <c r="D92" s="157">
        <v>2020000</v>
      </c>
      <c r="E92" s="21" t="s">
        <v>352</v>
      </c>
      <c r="F92" s="21" t="s">
        <v>291</v>
      </c>
      <c r="G92" s="8" t="str">
        <f t="shared" si="1"/>
        <v>SHOOK JOHN</v>
      </c>
    </row>
    <row r="93" spans="1:7" x14ac:dyDescent="0.25">
      <c r="A93" s="8">
        <v>42757.484340277777</v>
      </c>
      <c r="B93" s="21" t="s">
        <v>197</v>
      </c>
      <c r="C93" s="21" t="s">
        <v>537</v>
      </c>
      <c r="D93" s="157">
        <v>1990000</v>
      </c>
      <c r="E93" s="21" t="s">
        <v>267</v>
      </c>
      <c r="F93" s="21" t="s">
        <v>346</v>
      </c>
      <c r="G93" s="8" t="str">
        <f t="shared" si="1"/>
        <v>DAVIS WENDY</v>
      </c>
    </row>
    <row r="94" spans="1:7" x14ac:dyDescent="0.25">
      <c r="A94" s="8">
        <v>42757.484664351854</v>
      </c>
      <c r="B94" s="21" t="s">
        <v>433</v>
      </c>
      <c r="C94" s="21" t="s">
        <v>538</v>
      </c>
      <c r="D94" s="157">
        <v>1830000</v>
      </c>
      <c r="E94" s="21" t="s">
        <v>476</v>
      </c>
      <c r="F94" s="21" t="s">
        <v>477</v>
      </c>
      <c r="G94" s="8" t="str">
        <f t="shared" si="1"/>
        <v>YORK EDGAR</v>
      </c>
    </row>
    <row r="95" spans="1:7" x14ac:dyDescent="0.25">
      <c r="A95" s="8">
        <v>42757.487060185187</v>
      </c>
      <c r="B95" s="21" t="s">
        <v>201</v>
      </c>
      <c r="C95" s="21" t="s">
        <v>539</v>
      </c>
      <c r="D95" s="157">
        <v>1770000</v>
      </c>
      <c r="E95" s="21" t="s">
        <v>356</v>
      </c>
      <c r="F95" s="21" t="s">
        <v>357</v>
      </c>
      <c r="G95" s="8" t="str">
        <f t="shared" si="1"/>
        <v>BRUDER RICHARD</v>
      </c>
    </row>
    <row r="96" spans="1:7" x14ac:dyDescent="0.25">
      <c r="A96" s="8">
        <v>42757.49423611111</v>
      </c>
      <c r="B96" s="21" t="s">
        <v>428</v>
      </c>
      <c r="C96" s="21" t="s">
        <v>540</v>
      </c>
      <c r="D96" s="157">
        <v>2250000</v>
      </c>
      <c r="E96" s="21" t="s">
        <v>541</v>
      </c>
      <c r="F96" s="21" t="s">
        <v>542</v>
      </c>
      <c r="G96" s="8" t="str">
        <f t="shared" si="1"/>
        <v>CRAYTON QUNTRELL</v>
      </c>
    </row>
    <row r="97" spans="1:7" x14ac:dyDescent="0.25">
      <c r="A97" s="8">
        <v>42757.495462962965</v>
      </c>
      <c r="B97" s="21" t="s">
        <v>203</v>
      </c>
      <c r="C97" s="21" t="s">
        <v>543</v>
      </c>
      <c r="D97" s="157">
        <v>880000</v>
      </c>
      <c r="E97" s="21" t="s">
        <v>353</v>
      </c>
      <c r="F97" s="21" t="s">
        <v>214</v>
      </c>
      <c r="G97" s="8" t="str">
        <f t="shared" si="1"/>
        <v>STEWART MICHAEL</v>
      </c>
    </row>
    <row r="98" spans="1:7" x14ac:dyDescent="0.25">
      <c r="A98" s="8">
        <v>42757.497789351852</v>
      </c>
      <c r="B98" s="21" t="s">
        <v>474</v>
      </c>
      <c r="C98" s="21" t="s">
        <v>544</v>
      </c>
      <c r="D98" s="157">
        <v>1830000</v>
      </c>
      <c r="E98" s="21" t="s">
        <v>476</v>
      </c>
      <c r="F98" s="21" t="s">
        <v>477</v>
      </c>
      <c r="G98" s="8" t="str">
        <f t="shared" si="1"/>
        <v>YORK EDGAR</v>
      </c>
    </row>
    <row r="99" spans="1:7" x14ac:dyDescent="0.25">
      <c r="A99" s="8">
        <v>42757.49895833333</v>
      </c>
      <c r="B99" s="21" t="s">
        <v>224</v>
      </c>
      <c r="C99" s="21" t="s">
        <v>441</v>
      </c>
      <c r="D99" s="157">
        <v>2030000</v>
      </c>
      <c r="E99" s="21" t="s">
        <v>358</v>
      </c>
      <c r="F99" s="21" t="s">
        <v>255</v>
      </c>
      <c r="G99" s="8" t="str">
        <f t="shared" si="1"/>
        <v>KILLION DAVID</v>
      </c>
    </row>
    <row r="100" spans="1:7" x14ac:dyDescent="0.25">
      <c r="A100" s="8">
        <v>42757.504120370373</v>
      </c>
      <c r="B100" s="21" t="s">
        <v>249</v>
      </c>
      <c r="C100" s="21" t="s">
        <v>545</v>
      </c>
      <c r="D100" s="157">
        <v>2370000</v>
      </c>
      <c r="E100" s="21" t="s">
        <v>308</v>
      </c>
      <c r="F100" s="21" t="s">
        <v>309</v>
      </c>
      <c r="G100" s="8" t="str">
        <f t="shared" si="1"/>
        <v>DELGADO DIANAH</v>
      </c>
    </row>
    <row r="101" spans="1:7" x14ac:dyDescent="0.25">
      <c r="A101" s="8">
        <v>42757.505243055559</v>
      </c>
      <c r="B101" s="21" t="s">
        <v>266</v>
      </c>
      <c r="C101" s="21" t="s">
        <v>546</v>
      </c>
      <c r="D101" s="157">
        <v>920000</v>
      </c>
      <c r="E101" s="21" t="s">
        <v>267</v>
      </c>
      <c r="F101" s="21" t="s">
        <v>214</v>
      </c>
      <c r="G101" s="8" t="str">
        <f t="shared" si="1"/>
        <v>DAVIS MICHAEL</v>
      </c>
    </row>
    <row r="102" spans="1:7" x14ac:dyDescent="0.25">
      <c r="A102" s="8">
        <v>42757.511689814812</v>
      </c>
      <c r="B102" s="21" t="s">
        <v>246</v>
      </c>
      <c r="C102" s="21" t="s">
        <v>547</v>
      </c>
      <c r="D102" s="157">
        <v>1300000</v>
      </c>
      <c r="E102" s="21" t="s">
        <v>525</v>
      </c>
      <c r="F102" s="21" t="s">
        <v>526</v>
      </c>
      <c r="G102" s="8" t="str">
        <f t="shared" si="1"/>
        <v>LEVIN SCOTT</v>
      </c>
    </row>
    <row r="103" spans="1:7" x14ac:dyDescent="0.25">
      <c r="A103" s="8">
        <v>42757.516863425924</v>
      </c>
      <c r="B103" s="21" t="s">
        <v>350</v>
      </c>
      <c r="C103" s="21" t="s">
        <v>548</v>
      </c>
      <c r="D103" s="157">
        <v>2030000</v>
      </c>
      <c r="E103" s="21" t="s">
        <v>358</v>
      </c>
      <c r="F103" s="21" t="s">
        <v>255</v>
      </c>
      <c r="G103" s="8" t="str">
        <f t="shared" si="1"/>
        <v>KILLION DAVID</v>
      </c>
    </row>
    <row r="104" spans="1:7" x14ac:dyDescent="0.25">
      <c r="A104" s="8">
        <v>42757.521168981482</v>
      </c>
      <c r="B104" s="21" t="s">
        <v>269</v>
      </c>
      <c r="C104" s="21" t="s">
        <v>549</v>
      </c>
      <c r="D104" s="157">
        <v>2020000</v>
      </c>
      <c r="E104" s="21" t="s">
        <v>352</v>
      </c>
      <c r="F104" s="21" t="s">
        <v>291</v>
      </c>
      <c r="G104" s="8" t="str">
        <f t="shared" si="1"/>
        <v>SHOOK JOHN</v>
      </c>
    </row>
    <row r="105" spans="1:7" x14ac:dyDescent="0.25">
      <c r="A105" s="8">
        <v>42757.524236111109</v>
      </c>
      <c r="B105" s="21" t="s">
        <v>251</v>
      </c>
      <c r="C105" s="21" t="s">
        <v>550</v>
      </c>
      <c r="D105" s="157">
        <v>1770000</v>
      </c>
      <c r="E105" s="21" t="s">
        <v>356</v>
      </c>
      <c r="F105" s="21" t="s">
        <v>357</v>
      </c>
      <c r="G105" s="8" t="str">
        <f t="shared" si="1"/>
        <v>BRUDER RICHARD</v>
      </c>
    </row>
    <row r="106" spans="1:7" x14ac:dyDescent="0.25">
      <c r="A106" s="8">
        <v>42757.527013888888</v>
      </c>
      <c r="B106" s="21" t="s">
        <v>202</v>
      </c>
      <c r="C106" s="21" t="s">
        <v>551</v>
      </c>
      <c r="D106" s="157">
        <v>880000</v>
      </c>
      <c r="E106" s="21" t="s">
        <v>353</v>
      </c>
      <c r="F106" s="21" t="s">
        <v>214</v>
      </c>
      <c r="G106" s="8" t="str">
        <f t="shared" si="1"/>
        <v>STEWART MICHAEL</v>
      </c>
    </row>
    <row r="107" spans="1:7" x14ac:dyDescent="0.25">
      <c r="A107" s="8">
        <v>42757.528101851851</v>
      </c>
      <c r="B107" s="21" t="s">
        <v>433</v>
      </c>
      <c r="C107" s="21" t="s">
        <v>552</v>
      </c>
      <c r="D107" s="157">
        <v>1830000</v>
      </c>
      <c r="E107" s="21" t="s">
        <v>476</v>
      </c>
      <c r="F107" s="21" t="s">
        <v>477</v>
      </c>
      <c r="G107" s="8" t="str">
        <f t="shared" si="1"/>
        <v>YORK EDGAR</v>
      </c>
    </row>
    <row r="108" spans="1:7" x14ac:dyDescent="0.25">
      <c r="A108" s="8">
        <v>42757.534131944441</v>
      </c>
      <c r="B108" s="21" t="s">
        <v>481</v>
      </c>
      <c r="C108" s="21" t="s">
        <v>553</v>
      </c>
      <c r="D108" s="157">
        <v>2250000</v>
      </c>
      <c r="E108" s="21" t="s">
        <v>541</v>
      </c>
      <c r="F108" s="21" t="s">
        <v>542</v>
      </c>
      <c r="G108" s="8" t="str">
        <f t="shared" si="1"/>
        <v>CRAYTON QUNTRELL</v>
      </c>
    </row>
    <row r="109" spans="1:7" x14ac:dyDescent="0.25">
      <c r="A109" s="8">
        <v>42757.539317129631</v>
      </c>
      <c r="B109" s="21" t="s">
        <v>268</v>
      </c>
      <c r="C109" s="21" t="s">
        <v>554</v>
      </c>
      <c r="D109" s="157">
        <v>920000</v>
      </c>
      <c r="E109" s="21" t="s">
        <v>267</v>
      </c>
      <c r="F109" s="21" t="s">
        <v>214</v>
      </c>
      <c r="G109" s="8" t="str">
        <f t="shared" si="1"/>
        <v>DAVIS MICHAEL</v>
      </c>
    </row>
    <row r="110" spans="1:7" x14ac:dyDescent="0.25">
      <c r="A110" s="8">
        <v>42757.541689814818</v>
      </c>
      <c r="B110" s="21" t="s">
        <v>250</v>
      </c>
      <c r="C110" s="21" t="s">
        <v>555</v>
      </c>
      <c r="D110" s="157">
        <v>2370000</v>
      </c>
      <c r="E110" s="21" t="s">
        <v>308</v>
      </c>
      <c r="F110" s="21" t="s">
        <v>309</v>
      </c>
      <c r="G110" s="8" t="str">
        <f t="shared" si="1"/>
        <v>DELGADO DIANAH</v>
      </c>
    </row>
    <row r="111" spans="1:7" x14ac:dyDescent="0.25">
      <c r="A111" s="8">
        <v>42757.542164351849</v>
      </c>
      <c r="B111" s="21" t="s">
        <v>474</v>
      </c>
      <c r="C111" s="21" t="s">
        <v>556</v>
      </c>
      <c r="D111" s="157">
        <v>1830000</v>
      </c>
      <c r="E111" s="21" t="s">
        <v>476</v>
      </c>
      <c r="F111" s="21" t="s">
        <v>477</v>
      </c>
      <c r="G111" s="8" t="str">
        <f t="shared" si="1"/>
        <v>YORK EDGAR</v>
      </c>
    </row>
    <row r="112" spans="1:7" x14ac:dyDescent="0.25">
      <c r="A112" s="8">
        <v>42757.549687500003</v>
      </c>
      <c r="B112" s="21" t="s">
        <v>289</v>
      </c>
      <c r="C112" s="21" t="s">
        <v>557</v>
      </c>
      <c r="D112" s="157">
        <v>1300000</v>
      </c>
      <c r="E112" s="21" t="s">
        <v>525</v>
      </c>
      <c r="F112" s="21" t="s">
        <v>526</v>
      </c>
      <c r="G112" s="8" t="str">
        <f t="shared" si="1"/>
        <v>LEVIN SCOTT</v>
      </c>
    </row>
    <row r="113" spans="1:7" x14ac:dyDescent="0.25">
      <c r="A113" s="8">
        <v>42757.55740740741</v>
      </c>
      <c r="B113" s="21" t="s">
        <v>201</v>
      </c>
      <c r="C113" s="21" t="s">
        <v>442</v>
      </c>
      <c r="D113" s="157">
        <v>1770000</v>
      </c>
      <c r="E113" s="21" t="s">
        <v>356</v>
      </c>
      <c r="F113" s="21" t="s">
        <v>357</v>
      </c>
      <c r="G113" s="8" t="str">
        <f t="shared" si="1"/>
        <v>BRUDER RICHARD</v>
      </c>
    </row>
    <row r="114" spans="1:7" x14ac:dyDescent="0.25">
      <c r="A114" s="8">
        <v>42757.557453703703</v>
      </c>
      <c r="B114" s="21" t="s">
        <v>349</v>
      </c>
      <c r="C114" s="21" t="s">
        <v>443</v>
      </c>
      <c r="D114" s="157">
        <v>2030000</v>
      </c>
      <c r="E114" s="21" t="s">
        <v>358</v>
      </c>
      <c r="F114" s="21" t="s">
        <v>255</v>
      </c>
      <c r="G114" s="8" t="str">
        <f t="shared" si="1"/>
        <v>KILLION DAVID</v>
      </c>
    </row>
    <row r="115" spans="1:7" x14ac:dyDescent="0.25">
      <c r="A115" s="8">
        <v>42757.568090277775</v>
      </c>
      <c r="B115" s="21" t="s">
        <v>203</v>
      </c>
      <c r="C115" s="21" t="s">
        <v>558</v>
      </c>
      <c r="D115" s="157">
        <v>880000</v>
      </c>
      <c r="E115" s="21" t="s">
        <v>353</v>
      </c>
      <c r="F115" s="21" t="s">
        <v>214</v>
      </c>
      <c r="G115" s="8" t="str">
        <f t="shared" si="1"/>
        <v>STEWART MICHAEL</v>
      </c>
    </row>
    <row r="116" spans="1:7" x14ac:dyDescent="0.25">
      <c r="A116" s="8">
        <v>42757.569421296299</v>
      </c>
      <c r="B116" s="21" t="s">
        <v>433</v>
      </c>
      <c r="C116" s="21" t="s">
        <v>559</v>
      </c>
      <c r="D116" s="157">
        <v>1830000</v>
      </c>
      <c r="E116" s="21" t="s">
        <v>476</v>
      </c>
      <c r="F116" s="21" t="s">
        <v>477</v>
      </c>
      <c r="G116" s="8" t="str">
        <f t="shared" si="1"/>
        <v>YORK EDGAR</v>
      </c>
    </row>
    <row r="117" spans="1:7" x14ac:dyDescent="0.25">
      <c r="A117" s="8">
        <v>42757.569699074076</v>
      </c>
      <c r="B117" s="21" t="s">
        <v>428</v>
      </c>
      <c r="C117" s="21" t="s">
        <v>560</v>
      </c>
      <c r="D117" s="157">
        <v>2250000</v>
      </c>
      <c r="E117" s="21" t="s">
        <v>541</v>
      </c>
      <c r="F117" s="21" t="s">
        <v>542</v>
      </c>
      <c r="G117" s="8" t="str">
        <f t="shared" si="1"/>
        <v>CRAYTON QUNTRELL</v>
      </c>
    </row>
    <row r="118" spans="1:7" x14ac:dyDescent="0.25">
      <c r="A118" s="8">
        <v>42757.578877314816</v>
      </c>
      <c r="B118" s="21" t="s">
        <v>266</v>
      </c>
      <c r="C118" s="21" t="s">
        <v>561</v>
      </c>
      <c r="D118" s="157">
        <v>920000</v>
      </c>
      <c r="E118" s="21" t="s">
        <v>267</v>
      </c>
      <c r="F118" s="21" t="s">
        <v>214</v>
      </c>
      <c r="G118" s="8" t="str">
        <f t="shared" si="1"/>
        <v>DAVIS MICHAEL</v>
      </c>
    </row>
    <row r="119" spans="1:7" x14ac:dyDescent="0.25">
      <c r="A119" s="8">
        <v>42757.581238425926</v>
      </c>
      <c r="B119" s="21" t="s">
        <v>249</v>
      </c>
      <c r="C119" s="21" t="s">
        <v>562</v>
      </c>
      <c r="D119" s="157">
        <v>2470000</v>
      </c>
      <c r="E119" s="21" t="s">
        <v>354</v>
      </c>
      <c r="F119" s="21" t="s">
        <v>355</v>
      </c>
      <c r="G119" s="8" t="str">
        <f t="shared" si="1"/>
        <v>ROMERO CHAD</v>
      </c>
    </row>
    <row r="120" spans="1:7" x14ac:dyDescent="0.25">
      <c r="A120" s="8">
        <v>42757.584340277775</v>
      </c>
      <c r="B120" s="21" t="s">
        <v>474</v>
      </c>
      <c r="C120" s="21" t="s">
        <v>563</v>
      </c>
      <c r="D120" s="157">
        <v>2420000</v>
      </c>
      <c r="E120" s="21" t="s">
        <v>564</v>
      </c>
      <c r="F120" s="21" t="s">
        <v>565</v>
      </c>
      <c r="G120" s="8" t="str">
        <f t="shared" si="1"/>
        <v>HOLCOMB KAMDEN</v>
      </c>
    </row>
    <row r="121" spans="1:7" x14ac:dyDescent="0.25">
      <c r="A121" s="8">
        <v>42757.586435185185</v>
      </c>
      <c r="B121" s="21" t="s">
        <v>246</v>
      </c>
      <c r="C121" s="21" t="s">
        <v>566</v>
      </c>
      <c r="D121" s="157">
        <v>1300000</v>
      </c>
      <c r="E121" s="21" t="s">
        <v>525</v>
      </c>
      <c r="F121" s="21" t="s">
        <v>526</v>
      </c>
      <c r="G121" s="8" t="str">
        <f t="shared" si="1"/>
        <v>LEVIN SCOTT</v>
      </c>
    </row>
    <row r="122" spans="1:7" x14ac:dyDescent="0.25">
      <c r="A122" s="8">
        <v>42757.591469907406</v>
      </c>
      <c r="B122" s="26" t="s">
        <v>350</v>
      </c>
      <c r="C122" s="21" t="s">
        <v>567</v>
      </c>
      <c r="D122" s="157">
        <v>2030000</v>
      </c>
      <c r="E122" s="21" t="s">
        <v>358</v>
      </c>
      <c r="F122" s="21" t="s">
        <v>255</v>
      </c>
      <c r="G122" s="8" t="str">
        <f t="shared" si="1"/>
        <v>KILLION DAVID</v>
      </c>
    </row>
    <row r="123" spans="1:7" x14ac:dyDescent="0.25">
      <c r="A123" s="8">
        <v>42757.597314814811</v>
      </c>
      <c r="B123" s="21" t="s">
        <v>251</v>
      </c>
      <c r="C123" s="21" t="s">
        <v>568</v>
      </c>
      <c r="D123" s="157">
        <v>1770000</v>
      </c>
      <c r="E123" s="21" t="s">
        <v>356</v>
      </c>
      <c r="F123" s="21" t="s">
        <v>357</v>
      </c>
      <c r="G123" s="8" t="str">
        <f t="shared" si="1"/>
        <v>BRUDER RICHARD</v>
      </c>
    </row>
    <row r="124" spans="1:7" x14ac:dyDescent="0.25">
      <c r="A124" s="8">
        <v>42757.602152777778</v>
      </c>
      <c r="B124" s="21" t="s">
        <v>202</v>
      </c>
      <c r="C124" s="21" t="s">
        <v>444</v>
      </c>
      <c r="D124" s="157">
        <v>880000</v>
      </c>
      <c r="E124" s="21" t="s">
        <v>353</v>
      </c>
      <c r="F124" s="21" t="s">
        <v>214</v>
      </c>
      <c r="G124" s="8" t="str">
        <f t="shared" si="1"/>
        <v>STEWART MICHAEL</v>
      </c>
    </row>
    <row r="125" spans="1:7" x14ac:dyDescent="0.25">
      <c r="A125" s="8">
        <v>42757.606562499997</v>
      </c>
      <c r="B125" s="21" t="s">
        <v>481</v>
      </c>
      <c r="C125" s="21" t="s">
        <v>569</v>
      </c>
      <c r="D125" s="157">
        <v>2250000</v>
      </c>
      <c r="E125" s="21" t="s">
        <v>541</v>
      </c>
      <c r="F125" s="21" t="s">
        <v>542</v>
      </c>
      <c r="G125" s="8" t="str">
        <f t="shared" si="1"/>
        <v>CRAYTON QUNTRELL</v>
      </c>
    </row>
    <row r="126" spans="1:7" x14ac:dyDescent="0.25">
      <c r="A126" s="8">
        <v>42757.610891203702</v>
      </c>
      <c r="B126" s="21" t="s">
        <v>250</v>
      </c>
      <c r="C126" s="21" t="s">
        <v>570</v>
      </c>
      <c r="D126" s="157">
        <v>2470000</v>
      </c>
      <c r="E126" s="21" t="s">
        <v>354</v>
      </c>
      <c r="F126" s="21" t="s">
        <v>355</v>
      </c>
      <c r="G126" s="8" t="str">
        <f t="shared" si="1"/>
        <v>ROMERO CHAD</v>
      </c>
    </row>
    <row r="127" spans="1:7" x14ac:dyDescent="0.25">
      <c r="A127" s="8">
        <v>42757.612083333333</v>
      </c>
      <c r="B127" s="21" t="s">
        <v>433</v>
      </c>
      <c r="C127" s="21" t="s">
        <v>571</v>
      </c>
      <c r="D127" s="157">
        <v>2420000</v>
      </c>
      <c r="E127" s="21" t="s">
        <v>564</v>
      </c>
      <c r="F127" s="21" t="s">
        <v>565</v>
      </c>
      <c r="G127" s="8" t="str">
        <f t="shared" si="1"/>
        <v>HOLCOMB KAMDEN</v>
      </c>
    </row>
    <row r="128" spans="1:7" x14ac:dyDescent="0.25">
      <c r="A128" s="8">
        <v>42757.614050925928</v>
      </c>
      <c r="B128" s="21" t="s">
        <v>254</v>
      </c>
      <c r="C128" s="21" t="s">
        <v>572</v>
      </c>
      <c r="D128" s="157">
        <v>2440000</v>
      </c>
      <c r="E128" s="21" t="s">
        <v>359</v>
      </c>
      <c r="F128" s="21" t="s">
        <v>360</v>
      </c>
      <c r="G128" s="8" t="str">
        <f t="shared" si="1"/>
        <v>LOPES KIMBERLY</v>
      </c>
    </row>
    <row r="129" spans="1:7" x14ac:dyDescent="0.25">
      <c r="A129" s="8">
        <v>42757.622094907405</v>
      </c>
      <c r="B129" s="21" t="s">
        <v>289</v>
      </c>
      <c r="C129" s="21" t="s">
        <v>573</v>
      </c>
      <c r="D129" s="157">
        <v>1300000</v>
      </c>
      <c r="E129" s="21" t="s">
        <v>525</v>
      </c>
      <c r="F129" s="21" t="s">
        <v>526</v>
      </c>
      <c r="G129" s="8" t="str">
        <f t="shared" si="1"/>
        <v>LEVIN SCOTT</v>
      </c>
    </row>
    <row r="130" spans="1:7" x14ac:dyDescent="0.25">
      <c r="A130" s="8">
        <v>42757.62809027778</v>
      </c>
      <c r="B130" s="21" t="s">
        <v>349</v>
      </c>
      <c r="C130" s="21" t="s">
        <v>574</v>
      </c>
      <c r="D130" s="157">
        <v>2030000</v>
      </c>
      <c r="E130" s="21" t="s">
        <v>358</v>
      </c>
      <c r="F130" s="21" t="s">
        <v>255</v>
      </c>
      <c r="G130" s="8" t="str">
        <f t="shared" si="1"/>
        <v>KILLION DAVID</v>
      </c>
    </row>
    <row r="131" spans="1:7" x14ac:dyDescent="0.25">
      <c r="A131" s="8">
        <v>42757.631909722222</v>
      </c>
      <c r="B131" s="21" t="s">
        <v>201</v>
      </c>
      <c r="C131" s="21" t="s">
        <v>575</v>
      </c>
      <c r="D131" s="157">
        <v>1770000</v>
      </c>
      <c r="E131" s="21" t="s">
        <v>356</v>
      </c>
      <c r="F131" s="21" t="s">
        <v>357</v>
      </c>
      <c r="G131" s="8" t="str">
        <f t="shared" ref="G131:G194" si="2">E131&amp;" "&amp;F131</f>
        <v>BRUDER RICHARD</v>
      </c>
    </row>
    <row r="132" spans="1:7" x14ac:dyDescent="0.25">
      <c r="A132" s="8">
        <v>42757.636840277781</v>
      </c>
      <c r="B132" s="21" t="s">
        <v>474</v>
      </c>
      <c r="C132" s="21" t="s">
        <v>576</v>
      </c>
      <c r="D132" s="157">
        <v>1540000</v>
      </c>
      <c r="E132" s="21" t="s">
        <v>306</v>
      </c>
      <c r="F132" s="21" t="s">
        <v>307</v>
      </c>
      <c r="G132" s="8" t="str">
        <f t="shared" si="2"/>
        <v>HELVIE ADAM</v>
      </c>
    </row>
    <row r="133" spans="1:7" x14ac:dyDescent="0.25">
      <c r="A133" s="8">
        <v>42757.641273148147</v>
      </c>
      <c r="B133" s="21" t="s">
        <v>203</v>
      </c>
      <c r="C133" s="21" t="s">
        <v>577</v>
      </c>
      <c r="D133" s="157">
        <v>880000</v>
      </c>
      <c r="E133" s="21" t="s">
        <v>353</v>
      </c>
      <c r="F133" s="21" t="s">
        <v>214</v>
      </c>
      <c r="G133" s="8" t="str">
        <f t="shared" si="2"/>
        <v>STEWART MICHAEL</v>
      </c>
    </row>
    <row r="134" spans="1:7" x14ac:dyDescent="0.25">
      <c r="A134" s="8">
        <v>42757.643113425926</v>
      </c>
      <c r="B134" s="21" t="s">
        <v>428</v>
      </c>
      <c r="C134" s="21" t="s">
        <v>578</v>
      </c>
      <c r="D134" s="157">
        <v>2250000</v>
      </c>
      <c r="E134" s="21" t="s">
        <v>541</v>
      </c>
      <c r="F134" s="21" t="s">
        <v>542</v>
      </c>
      <c r="G134" s="8" t="str">
        <f t="shared" si="2"/>
        <v>CRAYTON QUNTRELL</v>
      </c>
    </row>
    <row r="135" spans="1:7" x14ac:dyDescent="0.25">
      <c r="A135" s="8">
        <v>42757.648530092592</v>
      </c>
      <c r="B135" s="21" t="s">
        <v>253</v>
      </c>
      <c r="C135" s="21" t="s">
        <v>579</v>
      </c>
      <c r="D135" s="157">
        <v>2440000</v>
      </c>
      <c r="E135" s="21" t="s">
        <v>359</v>
      </c>
      <c r="F135" s="21" t="s">
        <v>360</v>
      </c>
      <c r="G135" s="8" t="str">
        <f t="shared" si="2"/>
        <v>LOPES KIMBERLY</v>
      </c>
    </row>
    <row r="136" spans="1:7" x14ac:dyDescent="0.25">
      <c r="A136" s="8">
        <v>42757.651377314818</v>
      </c>
      <c r="B136" s="21" t="s">
        <v>433</v>
      </c>
      <c r="C136" s="21" t="s">
        <v>580</v>
      </c>
      <c r="D136" s="157">
        <v>1540000</v>
      </c>
      <c r="E136" s="21" t="s">
        <v>306</v>
      </c>
      <c r="F136" s="21" t="s">
        <v>307</v>
      </c>
      <c r="G136" s="8" t="str">
        <f t="shared" si="2"/>
        <v>HELVIE ADAM</v>
      </c>
    </row>
    <row r="137" spans="1:7" x14ac:dyDescent="0.25">
      <c r="A137" s="8">
        <v>42757.653749999998</v>
      </c>
      <c r="B137" s="21" t="s">
        <v>249</v>
      </c>
      <c r="C137" s="21" t="s">
        <v>581</v>
      </c>
      <c r="D137" s="157">
        <v>2470000</v>
      </c>
      <c r="E137" s="21" t="s">
        <v>354</v>
      </c>
      <c r="F137" s="21" t="s">
        <v>355</v>
      </c>
      <c r="G137" s="8" t="str">
        <f t="shared" si="2"/>
        <v>ROMERO CHAD</v>
      </c>
    </row>
    <row r="138" spans="1:7" x14ac:dyDescent="0.25">
      <c r="A138" s="8">
        <v>42757.660405092596</v>
      </c>
      <c r="B138" s="21" t="s">
        <v>246</v>
      </c>
      <c r="C138" s="21" t="s">
        <v>582</v>
      </c>
      <c r="D138" s="157">
        <v>1300000</v>
      </c>
      <c r="E138" s="21" t="s">
        <v>525</v>
      </c>
      <c r="F138" s="21" t="s">
        <v>526</v>
      </c>
      <c r="G138" s="8" t="str">
        <f t="shared" si="2"/>
        <v>LEVIN SCOTT</v>
      </c>
    </row>
    <row r="139" spans="1:7" x14ac:dyDescent="0.25">
      <c r="A139" s="8">
        <v>42757.663831018515</v>
      </c>
      <c r="B139" s="21" t="s">
        <v>350</v>
      </c>
      <c r="C139" s="21" t="s">
        <v>583</v>
      </c>
      <c r="D139" s="157">
        <v>2030000</v>
      </c>
      <c r="E139" s="21" t="s">
        <v>358</v>
      </c>
      <c r="F139" s="21" t="s">
        <v>255</v>
      </c>
      <c r="G139" s="8" t="str">
        <f t="shared" si="2"/>
        <v>KILLION DAVID</v>
      </c>
    </row>
    <row r="140" spans="1:7" x14ac:dyDescent="0.25">
      <c r="A140" s="8">
        <v>42757.668078703704</v>
      </c>
      <c r="B140" s="21" t="s">
        <v>251</v>
      </c>
      <c r="C140" s="21" t="s">
        <v>584</v>
      </c>
      <c r="D140" s="157">
        <v>1770000</v>
      </c>
      <c r="E140" s="21" t="s">
        <v>356</v>
      </c>
      <c r="F140" s="21" t="s">
        <v>357</v>
      </c>
      <c r="G140" s="8" t="str">
        <f t="shared" si="2"/>
        <v>BRUDER RICHARD</v>
      </c>
    </row>
    <row r="141" spans="1:7" x14ac:dyDescent="0.25">
      <c r="A141" s="8">
        <v>42757.674976851849</v>
      </c>
      <c r="B141" s="21" t="s">
        <v>202</v>
      </c>
      <c r="C141" s="21" t="s">
        <v>585</v>
      </c>
      <c r="D141" s="157">
        <v>880000</v>
      </c>
      <c r="E141" s="21" t="s">
        <v>353</v>
      </c>
      <c r="F141" s="21" t="s">
        <v>214</v>
      </c>
      <c r="G141" s="8" t="str">
        <f t="shared" si="2"/>
        <v>STEWART MICHAEL</v>
      </c>
    </row>
    <row r="142" spans="1:7" x14ac:dyDescent="0.25">
      <c r="A142" s="8">
        <v>42757.677048611113</v>
      </c>
      <c r="B142" s="21" t="s">
        <v>474</v>
      </c>
      <c r="C142" s="21" t="s">
        <v>586</v>
      </c>
      <c r="D142" s="157">
        <v>1540000</v>
      </c>
      <c r="E142" s="21" t="s">
        <v>306</v>
      </c>
      <c r="F142" s="21" t="s">
        <v>307</v>
      </c>
      <c r="G142" s="8" t="str">
        <f t="shared" si="2"/>
        <v>HELVIE ADAM</v>
      </c>
    </row>
    <row r="143" spans="1:7" x14ac:dyDescent="0.25">
      <c r="A143" s="8">
        <v>42757.681145833332</v>
      </c>
      <c r="B143" s="21" t="s">
        <v>481</v>
      </c>
      <c r="C143" s="21" t="s">
        <v>587</v>
      </c>
      <c r="D143" s="157">
        <v>2250000</v>
      </c>
      <c r="E143" s="21" t="s">
        <v>541</v>
      </c>
      <c r="F143" s="21" t="s">
        <v>542</v>
      </c>
      <c r="G143" s="8" t="str">
        <f t="shared" si="2"/>
        <v>CRAYTON QUNTRELL</v>
      </c>
    </row>
    <row r="144" spans="1:7" x14ac:dyDescent="0.25">
      <c r="A144" s="8">
        <v>42757.684918981482</v>
      </c>
      <c r="B144" s="21" t="s">
        <v>254</v>
      </c>
      <c r="C144" s="21" t="s">
        <v>588</v>
      </c>
      <c r="D144" s="157">
        <v>920000</v>
      </c>
      <c r="E144" s="21" t="s">
        <v>267</v>
      </c>
      <c r="F144" s="21" t="s">
        <v>214</v>
      </c>
      <c r="G144" s="8" t="str">
        <f t="shared" si="2"/>
        <v>DAVIS MICHAEL</v>
      </c>
    </row>
    <row r="145" spans="1:7" x14ac:dyDescent="0.25">
      <c r="A145" s="8">
        <v>42757.685798611114</v>
      </c>
      <c r="B145" s="21" t="s">
        <v>250</v>
      </c>
      <c r="C145" s="21" t="s">
        <v>446</v>
      </c>
      <c r="D145" s="157">
        <v>2480000</v>
      </c>
      <c r="E145" s="21" t="s">
        <v>362</v>
      </c>
      <c r="F145" s="21" t="s">
        <v>248</v>
      </c>
      <c r="G145" s="8" t="str">
        <f t="shared" si="2"/>
        <v>WHITED DUSTIN</v>
      </c>
    </row>
    <row r="146" spans="1:7" x14ac:dyDescent="0.25">
      <c r="A146" s="8">
        <v>42757.693333333336</v>
      </c>
      <c r="B146" s="21" t="s">
        <v>433</v>
      </c>
      <c r="C146" s="21" t="s">
        <v>589</v>
      </c>
      <c r="D146" s="157">
        <v>1540000</v>
      </c>
      <c r="E146" s="21" t="s">
        <v>306</v>
      </c>
      <c r="F146" s="21" t="s">
        <v>307</v>
      </c>
      <c r="G146" s="8" t="str">
        <f t="shared" si="2"/>
        <v>HELVIE ADAM</v>
      </c>
    </row>
    <row r="147" spans="1:7" x14ac:dyDescent="0.25">
      <c r="A147" s="8">
        <v>42757.69358796296</v>
      </c>
      <c r="B147" s="21" t="s">
        <v>289</v>
      </c>
      <c r="C147" s="21" t="s">
        <v>590</v>
      </c>
      <c r="D147" s="157">
        <v>1300000</v>
      </c>
      <c r="E147" s="21" t="s">
        <v>525</v>
      </c>
      <c r="F147" s="21" t="s">
        <v>526</v>
      </c>
      <c r="G147" s="8" t="str">
        <f t="shared" si="2"/>
        <v>LEVIN SCOTT</v>
      </c>
    </row>
    <row r="148" spans="1:7" x14ac:dyDescent="0.25">
      <c r="A148" s="8">
        <v>42757.694467592592</v>
      </c>
      <c r="B148" s="21" t="s">
        <v>224</v>
      </c>
      <c r="C148" s="21" t="s">
        <v>445</v>
      </c>
      <c r="D148" s="157">
        <v>1800000</v>
      </c>
      <c r="E148" s="21" t="s">
        <v>591</v>
      </c>
      <c r="F148" s="21" t="s">
        <v>592</v>
      </c>
      <c r="G148" s="8" t="str">
        <f t="shared" si="2"/>
        <v>CHANDLER KELVIN</v>
      </c>
    </row>
    <row r="149" spans="1:7" x14ac:dyDescent="0.25">
      <c r="A149" s="8">
        <v>42757.703668981485</v>
      </c>
      <c r="B149" s="21" t="s">
        <v>201</v>
      </c>
      <c r="C149" s="21" t="s">
        <v>593</v>
      </c>
      <c r="D149" s="157">
        <v>1770000</v>
      </c>
      <c r="E149" s="21" t="s">
        <v>356</v>
      </c>
      <c r="F149" s="21" t="s">
        <v>357</v>
      </c>
      <c r="G149" s="8" t="str">
        <f t="shared" si="2"/>
        <v>BRUDER RICHARD</v>
      </c>
    </row>
    <row r="150" spans="1:7" x14ac:dyDescent="0.25">
      <c r="A150" s="8">
        <v>42757.70412037037</v>
      </c>
      <c r="B150" s="21" t="s">
        <v>349</v>
      </c>
      <c r="C150" s="21" t="s">
        <v>594</v>
      </c>
      <c r="D150" s="157">
        <v>2030000</v>
      </c>
      <c r="E150" s="21" t="s">
        <v>358</v>
      </c>
      <c r="F150" s="21" t="s">
        <v>255</v>
      </c>
      <c r="G150" s="8" t="str">
        <f t="shared" si="2"/>
        <v>KILLION DAVID</v>
      </c>
    </row>
    <row r="151" spans="1:7" x14ac:dyDescent="0.25">
      <c r="A151" s="8">
        <v>42757.713553240741</v>
      </c>
      <c r="B151" s="21" t="s">
        <v>203</v>
      </c>
      <c r="C151" s="21" t="s">
        <v>595</v>
      </c>
      <c r="D151" s="157">
        <v>880000</v>
      </c>
      <c r="E151" s="21" t="s">
        <v>353</v>
      </c>
      <c r="F151" s="21" t="s">
        <v>214</v>
      </c>
      <c r="G151" s="8" t="str">
        <f t="shared" si="2"/>
        <v>STEWART MICHAEL</v>
      </c>
    </row>
    <row r="152" spans="1:7" x14ac:dyDescent="0.25">
      <c r="A152" s="8">
        <v>42757.717187499999</v>
      </c>
      <c r="B152" s="21" t="s">
        <v>428</v>
      </c>
      <c r="C152" s="21" t="s">
        <v>596</v>
      </c>
      <c r="D152" s="157">
        <v>1800000</v>
      </c>
      <c r="E152" s="21" t="s">
        <v>591</v>
      </c>
      <c r="F152" s="21" t="s">
        <v>592</v>
      </c>
      <c r="G152" s="8" t="str">
        <f t="shared" si="2"/>
        <v>CHANDLER KELVIN</v>
      </c>
    </row>
    <row r="153" spans="1:7" x14ac:dyDescent="0.25">
      <c r="A153" s="8">
        <v>42757.720625000002</v>
      </c>
      <c r="B153" s="21" t="s">
        <v>474</v>
      </c>
      <c r="C153" s="21" t="s">
        <v>597</v>
      </c>
      <c r="D153" s="157">
        <v>1540000</v>
      </c>
      <c r="E153" s="21" t="s">
        <v>306</v>
      </c>
      <c r="F153" s="21" t="s">
        <v>307</v>
      </c>
      <c r="G153" s="8" t="str">
        <f t="shared" si="2"/>
        <v>HELVIE ADAM</v>
      </c>
    </row>
    <row r="154" spans="1:7" x14ac:dyDescent="0.25">
      <c r="A154" s="8">
        <v>42757.723958333336</v>
      </c>
      <c r="B154" s="21" t="s">
        <v>268</v>
      </c>
      <c r="C154" s="21" t="s">
        <v>598</v>
      </c>
      <c r="D154" s="157">
        <v>2440000</v>
      </c>
      <c r="E154" s="21" t="s">
        <v>359</v>
      </c>
      <c r="F154" s="21" t="s">
        <v>360</v>
      </c>
      <c r="G154" s="8" t="str">
        <f t="shared" si="2"/>
        <v>LOPES KIMBERLY</v>
      </c>
    </row>
    <row r="155" spans="1:7" x14ac:dyDescent="0.25">
      <c r="A155" s="8">
        <v>42757.724317129629</v>
      </c>
      <c r="B155" s="21" t="s">
        <v>249</v>
      </c>
      <c r="C155" s="21" t="s">
        <v>599</v>
      </c>
      <c r="D155" s="157">
        <v>2250000</v>
      </c>
      <c r="E155" s="21" t="s">
        <v>541</v>
      </c>
      <c r="F155" s="21" t="s">
        <v>542</v>
      </c>
      <c r="G155" s="8" t="str">
        <f t="shared" si="2"/>
        <v>CRAYTON QUNTRELL</v>
      </c>
    </row>
    <row r="156" spans="1:7" x14ac:dyDescent="0.25">
      <c r="A156" s="8">
        <v>42757.724409722221</v>
      </c>
      <c r="B156" s="21" t="s">
        <v>253</v>
      </c>
      <c r="C156" s="21" t="s">
        <v>600</v>
      </c>
      <c r="D156" s="157">
        <v>920000</v>
      </c>
      <c r="E156" s="21" t="s">
        <v>267</v>
      </c>
      <c r="F156" s="21" t="s">
        <v>214</v>
      </c>
      <c r="G156" s="8" t="str">
        <f t="shared" si="2"/>
        <v>DAVIS MICHAEL</v>
      </c>
    </row>
    <row r="157" spans="1:7" x14ac:dyDescent="0.25">
      <c r="A157" s="8">
        <v>42757.728159722225</v>
      </c>
      <c r="B157" s="21" t="s">
        <v>269</v>
      </c>
      <c r="C157" s="21" t="s">
        <v>601</v>
      </c>
      <c r="D157" s="157">
        <v>2420000</v>
      </c>
      <c r="E157" s="21" t="s">
        <v>564</v>
      </c>
      <c r="F157" s="21" t="s">
        <v>565</v>
      </c>
      <c r="G157" s="8" t="str">
        <f t="shared" si="2"/>
        <v>HOLCOMB KAMDEN</v>
      </c>
    </row>
    <row r="158" spans="1:7" x14ac:dyDescent="0.25">
      <c r="A158" s="8">
        <v>42757.733043981483</v>
      </c>
      <c r="B158" s="21" t="s">
        <v>246</v>
      </c>
      <c r="C158" s="21" t="s">
        <v>602</v>
      </c>
      <c r="D158" s="157">
        <v>1300000</v>
      </c>
      <c r="E158" s="21" t="s">
        <v>525</v>
      </c>
      <c r="F158" s="21" t="s">
        <v>526</v>
      </c>
      <c r="G158" s="8" t="str">
        <f t="shared" si="2"/>
        <v>LEVIN SCOTT</v>
      </c>
    </row>
    <row r="159" spans="1:7" x14ac:dyDescent="0.25">
      <c r="A159" s="8">
        <v>42757.734907407408</v>
      </c>
      <c r="B159" s="21" t="s">
        <v>433</v>
      </c>
      <c r="C159" s="21" t="s">
        <v>603</v>
      </c>
      <c r="D159" s="157">
        <v>1540000</v>
      </c>
      <c r="E159" s="21" t="s">
        <v>306</v>
      </c>
      <c r="F159" s="21" t="s">
        <v>307</v>
      </c>
      <c r="G159" s="8" t="str">
        <f t="shared" si="2"/>
        <v>HELVIE ADAM</v>
      </c>
    </row>
    <row r="160" spans="1:7" x14ac:dyDescent="0.25">
      <c r="A160" s="8">
        <v>42757.737488425926</v>
      </c>
      <c r="B160" s="21" t="s">
        <v>350</v>
      </c>
      <c r="C160" s="21" t="s">
        <v>604</v>
      </c>
      <c r="D160" s="157">
        <v>1810000</v>
      </c>
      <c r="E160" s="21" t="s">
        <v>219</v>
      </c>
      <c r="F160" s="21" t="s">
        <v>209</v>
      </c>
      <c r="G160" s="8" t="str">
        <f t="shared" si="2"/>
        <v>NEWELL JAMES</v>
      </c>
    </row>
    <row r="161" spans="1:7" x14ac:dyDescent="0.25">
      <c r="A161" s="8">
        <v>42757.740011574075</v>
      </c>
      <c r="B161" s="21" t="s">
        <v>251</v>
      </c>
      <c r="C161" s="21" t="s">
        <v>605</v>
      </c>
      <c r="D161" s="157">
        <v>1770000</v>
      </c>
      <c r="E161" s="21" t="s">
        <v>356</v>
      </c>
      <c r="F161" s="21" t="s">
        <v>357</v>
      </c>
      <c r="G161" s="8" t="str">
        <f t="shared" si="2"/>
        <v>BRUDER RICHARD</v>
      </c>
    </row>
    <row r="162" spans="1:7" x14ac:dyDescent="0.25">
      <c r="A162" s="8">
        <v>42757.745717592596</v>
      </c>
      <c r="B162" s="21" t="s">
        <v>202</v>
      </c>
      <c r="C162" s="21" t="s">
        <v>606</v>
      </c>
      <c r="D162" s="157">
        <v>2030000</v>
      </c>
      <c r="E162" s="21" t="s">
        <v>358</v>
      </c>
      <c r="F162" s="21" t="s">
        <v>255</v>
      </c>
      <c r="G162" s="8" t="str">
        <f t="shared" si="2"/>
        <v>KILLION DAVID</v>
      </c>
    </row>
    <row r="163" spans="1:7" x14ac:dyDescent="0.25">
      <c r="A163" s="8">
        <v>42757.747037037036</v>
      </c>
      <c r="B163" s="21" t="s">
        <v>290</v>
      </c>
      <c r="C163" s="21" t="s">
        <v>607</v>
      </c>
      <c r="D163" s="157">
        <v>2670000</v>
      </c>
      <c r="E163" s="21" t="s">
        <v>318</v>
      </c>
      <c r="F163" s="21" t="s">
        <v>319</v>
      </c>
      <c r="G163" s="8" t="str">
        <f t="shared" si="2"/>
        <v>COMELLA JUSTIN</v>
      </c>
    </row>
    <row r="164" spans="1:7" x14ac:dyDescent="0.25">
      <c r="A164" s="8">
        <v>42757.754537037035</v>
      </c>
      <c r="B164" s="21" t="s">
        <v>288</v>
      </c>
      <c r="C164" s="21" t="s">
        <v>608</v>
      </c>
      <c r="D164" s="157">
        <v>2000000</v>
      </c>
      <c r="E164" s="21" t="s">
        <v>363</v>
      </c>
      <c r="F164" s="21" t="s">
        <v>209</v>
      </c>
      <c r="G164" s="8" t="str">
        <f t="shared" si="2"/>
        <v>STAMBAUGH JAMES</v>
      </c>
    </row>
    <row r="165" spans="1:7" x14ac:dyDescent="0.25">
      <c r="A165" s="8">
        <v>42757.754861111112</v>
      </c>
      <c r="B165" s="21" t="s">
        <v>481</v>
      </c>
      <c r="C165" s="21" t="s">
        <v>609</v>
      </c>
      <c r="D165" s="157">
        <v>1800000</v>
      </c>
      <c r="E165" s="21" t="s">
        <v>591</v>
      </c>
      <c r="F165" s="21" t="s">
        <v>592</v>
      </c>
      <c r="G165" s="8" t="str">
        <f t="shared" si="2"/>
        <v>CHANDLER KELVIN</v>
      </c>
    </row>
    <row r="166" spans="1:7" x14ac:dyDescent="0.25">
      <c r="A166" s="8">
        <v>42757.75818287037</v>
      </c>
      <c r="B166" s="21" t="s">
        <v>254</v>
      </c>
      <c r="C166" s="21" t="s">
        <v>610</v>
      </c>
      <c r="D166" s="157">
        <v>2230000</v>
      </c>
      <c r="E166" s="21" t="s">
        <v>361</v>
      </c>
      <c r="F166" s="21" t="s">
        <v>214</v>
      </c>
      <c r="G166" s="8" t="str">
        <f t="shared" si="2"/>
        <v>SMITH MICHAEL</v>
      </c>
    </row>
    <row r="167" spans="1:7" x14ac:dyDescent="0.25">
      <c r="A167" s="8">
        <v>42757.762789351851</v>
      </c>
      <c r="B167" s="21" t="s">
        <v>474</v>
      </c>
      <c r="C167" s="21" t="s">
        <v>611</v>
      </c>
      <c r="D167" s="157">
        <v>1540000</v>
      </c>
      <c r="E167" s="21" t="s">
        <v>306</v>
      </c>
      <c r="F167" s="21" t="s">
        <v>307</v>
      </c>
      <c r="G167" s="8" t="str">
        <f t="shared" si="2"/>
        <v>HELVIE ADAM</v>
      </c>
    </row>
    <row r="168" spans="1:7" x14ac:dyDescent="0.25">
      <c r="A168" s="8">
        <v>42757.762939814813</v>
      </c>
      <c r="B168" s="21" t="s">
        <v>250</v>
      </c>
      <c r="C168" s="21" t="s">
        <v>612</v>
      </c>
      <c r="D168" s="157">
        <v>2250000</v>
      </c>
      <c r="E168" s="21" t="s">
        <v>541</v>
      </c>
      <c r="F168" s="21" t="s">
        <v>542</v>
      </c>
      <c r="G168" s="8" t="str">
        <f t="shared" si="2"/>
        <v>CRAYTON QUNTRELL</v>
      </c>
    </row>
    <row r="169" spans="1:7" x14ac:dyDescent="0.25">
      <c r="A169" s="8">
        <v>42757.767106481479</v>
      </c>
      <c r="B169" s="21" t="s">
        <v>289</v>
      </c>
      <c r="C169" s="21" t="s">
        <v>613</v>
      </c>
      <c r="D169" s="157">
        <v>2000000</v>
      </c>
      <c r="E169" s="21" t="s">
        <v>363</v>
      </c>
      <c r="F169" s="21" t="s">
        <v>209</v>
      </c>
      <c r="G169" s="8" t="str">
        <f t="shared" si="2"/>
        <v>STAMBAUGH JAMES</v>
      </c>
    </row>
    <row r="170" spans="1:7" x14ac:dyDescent="0.25">
      <c r="A170" s="8">
        <v>42757.76903935185</v>
      </c>
      <c r="B170" s="21" t="s">
        <v>197</v>
      </c>
      <c r="C170" s="21" t="s">
        <v>614</v>
      </c>
      <c r="D170" s="157">
        <v>1300000</v>
      </c>
      <c r="E170" s="21" t="s">
        <v>525</v>
      </c>
      <c r="F170" s="21" t="s">
        <v>526</v>
      </c>
      <c r="G170" s="8" t="str">
        <f t="shared" si="2"/>
        <v>LEVIN SCOTT</v>
      </c>
    </row>
    <row r="171" spans="1:7" x14ac:dyDescent="0.25">
      <c r="A171" s="8">
        <v>42757.770474537036</v>
      </c>
      <c r="B171" s="21" t="s">
        <v>349</v>
      </c>
      <c r="C171" s="21" t="s">
        <v>615</v>
      </c>
      <c r="D171" s="157">
        <v>1810000</v>
      </c>
      <c r="E171" s="21" t="s">
        <v>219</v>
      </c>
      <c r="F171" s="21" t="s">
        <v>209</v>
      </c>
      <c r="G171" s="8" t="str">
        <f t="shared" si="2"/>
        <v>NEWELL JAMES</v>
      </c>
    </row>
    <row r="172" spans="1:7" x14ac:dyDescent="0.25">
      <c r="A172" s="8">
        <v>42757.776099537034</v>
      </c>
      <c r="B172" s="21" t="s">
        <v>433</v>
      </c>
      <c r="C172" s="21" t="s">
        <v>616</v>
      </c>
      <c r="D172" s="157">
        <v>1540000</v>
      </c>
      <c r="E172" s="21" t="s">
        <v>306</v>
      </c>
      <c r="F172" s="21" t="s">
        <v>307</v>
      </c>
      <c r="G172" s="8" t="str">
        <f t="shared" si="2"/>
        <v>HELVIE ADAM</v>
      </c>
    </row>
    <row r="173" spans="1:7" x14ac:dyDescent="0.25">
      <c r="A173" s="8">
        <v>42757.77747685185</v>
      </c>
      <c r="B173" s="21" t="s">
        <v>201</v>
      </c>
      <c r="C173" s="21" t="s">
        <v>617</v>
      </c>
      <c r="D173" s="157">
        <v>1770000</v>
      </c>
      <c r="E173" s="21" t="s">
        <v>356</v>
      </c>
      <c r="F173" s="21" t="s">
        <v>357</v>
      </c>
      <c r="G173" s="8" t="str">
        <f t="shared" si="2"/>
        <v>BRUDER RICHARD</v>
      </c>
    </row>
    <row r="174" spans="1:7" x14ac:dyDescent="0.25">
      <c r="A174" s="8">
        <v>42757.782685185186</v>
      </c>
      <c r="B174" s="21" t="s">
        <v>203</v>
      </c>
      <c r="C174" s="21" t="s">
        <v>618</v>
      </c>
      <c r="D174" s="157">
        <v>2030000</v>
      </c>
      <c r="E174" s="21" t="s">
        <v>358</v>
      </c>
      <c r="F174" s="21" t="s">
        <v>255</v>
      </c>
      <c r="G174" s="8" t="str">
        <f t="shared" si="2"/>
        <v>KILLION DAVID</v>
      </c>
    </row>
    <row r="175" spans="1:7" x14ac:dyDescent="0.25">
      <c r="A175" s="8">
        <v>42757.789444444446</v>
      </c>
      <c r="B175" s="21" t="s">
        <v>428</v>
      </c>
      <c r="C175" s="21" t="s">
        <v>619</v>
      </c>
      <c r="D175" s="157">
        <v>1800000</v>
      </c>
      <c r="E175" s="21" t="s">
        <v>591</v>
      </c>
      <c r="F175" s="21" t="s">
        <v>592</v>
      </c>
      <c r="G175" s="8" t="str">
        <f t="shared" si="2"/>
        <v>CHANDLER KELVIN</v>
      </c>
    </row>
    <row r="176" spans="1:7" x14ac:dyDescent="0.25">
      <c r="A176" s="8">
        <v>42757.792673611111</v>
      </c>
      <c r="B176" s="21" t="s">
        <v>253</v>
      </c>
      <c r="C176" s="21" t="s">
        <v>620</v>
      </c>
      <c r="D176" s="157">
        <v>2230000</v>
      </c>
      <c r="E176" s="21" t="s">
        <v>361</v>
      </c>
      <c r="F176" s="21" t="s">
        <v>214</v>
      </c>
      <c r="G176" s="8" t="str">
        <f t="shared" si="2"/>
        <v>SMITH MICHAEL</v>
      </c>
    </row>
    <row r="177" spans="1:7" x14ac:dyDescent="0.25">
      <c r="A177" s="8">
        <v>42757.798263888886</v>
      </c>
      <c r="B177" s="21" t="s">
        <v>249</v>
      </c>
      <c r="C177" s="21" t="s">
        <v>621</v>
      </c>
      <c r="D177" s="157">
        <v>2250000</v>
      </c>
      <c r="E177" s="21" t="s">
        <v>541</v>
      </c>
      <c r="F177" s="21" t="s">
        <v>542</v>
      </c>
      <c r="G177" s="8" t="str">
        <f t="shared" si="2"/>
        <v>CRAYTON QUNTRELL</v>
      </c>
    </row>
    <row r="178" spans="1:7" x14ac:dyDescent="0.25">
      <c r="A178" s="8">
        <v>42757.80059027778</v>
      </c>
      <c r="B178" s="21" t="s">
        <v>246</v>
      </c>
      <c r="C178" s="21" t="s">
        <v>622</v>
      </c>
      <c r="D178" s="157">
        <v>2000000</v>
      </c>
      <c r="E178" s="21" t="s">
        <v>363</v>
      </c>
      <c r="F178" s="21" t="s">
        <v>209</v>
      </c>
      <c r="G178" s="8" t="str">
        <f t="shared" si="2"/>
        <v>STAMBAUGH JAMES</v>
      </c>
    </row>
    <row r="179" spans="1:7" x14ac:dyDescent="0.25">
      <c r="A179" s="8">
        <v>42757.803171296298</v>
      </c>
      <c r="B179" s="21" t="s">
        <v>474</v>
      </c>
      <c r="C179" s="21" t="s">
        <v>623</v>
      </c>
      <c r="D179" s="157">
        <v>1540000</v>
      </c>
      <c r="E179" s="21" t="s">
        <v>306</v>
      </c>
      <c r="F179" s="21" t="s">
        <v>307</v>
      </c>
      <c r="G179" s="8" t="str">
        <f t="shared" si="2"/>
        <v>HELVIE ADAM</v>
      </c>
    </row>
    <row r="180" spans="1:7" x14ac:dyDescent="0.25">
      <c r="A180" s="8">
        <v>42757.808958333335</v>
      </c>
      <c r="B180" s="21" t="s">
        <v>350</v>
      </c>
      <c r="C180" s="21" t="s">
        <v>624</v>
      </c>
      <c r="D180" s="157">
        <v>1810000</v>
      </c>
      <c r="E180" s="21" t="s">
        <v>219</v>
      </c>
      <c r="F180" s="21" t="s">
        <v>209</v>
      </c>
      <c r="G180" s="8" t="str">
        <f t="shared" si="2"/>
        <v>NEWELL JAMES</v>
      </c>
    </row>
    <row r="181" spans="1:7" x14ac:dyDescent="0.25">
      <c r="A181" s="8">
        <v>42757.817974537036</v>
      </c>
      <c r="B181" s="21" t="s">
        <v>433</v>
      </c>
      <c r="C181" s="21" t="s">
        <v>625</v>
      </c>
      <c r="D181" s="157">
        <v>1540000</v>
      </c>
      <c r="E181" s="21" t="s">
        <v>306</v>
      </c>
      <c r="F181" s="21" t="s">
        <v>307</v>
      </c>
      <c r="G181" s="8" t="str">
        <f t="shared" si="2"/>
        <v>HELVIE ADAM</v>
      </c>
    </row>
    <row r="182" spans="1:7" x14ac:dyDescent="0.25">
      <c r="A182" s="8">
        <v>42757.818449074075</v>
      </c>
      <c r="B182" s="21" t="s">
        <v>202</v>
      </c>
      <c r="C182" s="21" t="s">
        <v>626</v>
      </c>
      <c r="D182" s="157">
        <v>2030000</v>
      </c>
      <c r="E182" s="21" t="s">
        <v>358</v>
      </c>
      <c r="F182" s="21" t="s">
        <v>255</v>
      </c>
      <c r="G182" s="8" t="str">
        <f t="shared" si="2"/>
        <v>KILLION DAVID</v>
      </c>
    </row>
    <row r="183" spans="1:7" x14ac:dyDescent="0.25">
      <c r="A183" s="8">
        <v>42757.828993055555</v>
      </c>
      <c r="B183" s="21" t="s">
        <v>481</v>
      </c>
      <c r="C183" s="21" t="s">
        <v>627</v>
      </c>
      <c r="D183" s="157">
        <v>1800000</v>
      </c>
      <c r="E183" s="21" t="s">
        <v>591</v>
      </c>
      <c r="F183" s="21" t="s">
        <v>592</v>
      </c>
      <c r="G183" s="8" t="str">
        <f t="shared" si="2"/>
        <v>CHANDLER KELVIN</v>
      </c>
    </row>
    <row r="184" spans="1:7" x14ac:dyDescent="0.25">
      <c r="A184" s="8">
        <v>42757.83084490741</v>
      </c>
      <c r="B184" s="21" t="s">
        <v>254</v>
      </c>
      <c r="C184" s="21" t="s">
        <v>628</v>
      </c>
      <c r="D184" s="157">
        <v>2230000</v>
      </c>
      <c r="E184" s="21" t="s">
        <v>361</v>
      </c>
      <c r="F184" s="21" t="s">
        <v>214</v>
      </c>
      <c r="G184" s="8" t="str">
        <f t="shared" si="2"/>
        <v>SMITH MICHAEL</v>
      </c>
    </row>
    <row r="185" spans="1:7" x14ac:dyDescent="0.25">
      <c r="A185" s="8">
        <v>42757.837592592594</v>
      </c>
      <c r="B185" s="21" t="s">
        <v>289</v>
      </c>
      <c r="C185" s="21" t="s">
        <v>629</v>
      </c>
      <c r="D185" s="157">
        <v>2000000</v>
      </c>
      <c r="E185" s="21" t="s">
        <v>363</v>
      </c>
      <c r="F185" s="21" t="s">
        <v>209</v>
      </c>
      <c r="G185" s="8" t="str">
        <f t="shared" si="2"/>
        <v>STAMBAUGH JAMES</v>
      </c>
    </row>
    <row r="186" spans="1:7" x14ac:dyDescent="0.25">
      <c r="A186" s="8">
        <v>42757.841111111113</v>
      </c>
      <c r="B186" s="21" t="s">
        <v>349</v>
      </c>
      <c r="C186" s="21" t="s">
        <v>630</v>
      </c>
      <c r="D186" s="157">
        <v>1810000</v>
      </c>
      <c r="E186" s="21" t="s">
        <v>219</v>
      </c>
      <c r="F186" s="21" t="s">
        <v>209</v>
      </c>
      <c r="G186" s="8" t="str">
        <f t="shared" si="2"/>
        <v>NEWELL JAMES</v>
      </c>
    </row>
    <row r="187" spans="1:7" x14ac:dyDescent="0.25">
      <c r="A187" s="8">
        <v>42757.847118055557</v>
      </c>
      <c r="B187" s="21" t="s">
        <v>474</v>
      </c>
      <c r="C187" s="21" t="s">
        <v>631</v>
      </c>
      <c r="D187" s="157">
        <v>1540000</v>
      </c>
      <c r="E187" s="21" t="s">
        <v>306</v>
      </c>
      <c r="F187" s="21" t="s">
        <v>307</v>
      </c>
      <c r="G187" s="8" t="str">
        <f t="shared" si="2"/>
        <v>HELVIE ADAM</v>
      </c>
    </row>
    <row r="188" spans="1:7" x14ac:dyDescent="0.25">
      <c r="A188" s="8">
        <v>42757.860196759262</v>
      </c>
      <c r="B188" s="21" t="s">
        <v>433</v>
      </c>
      <c r="C188" s="21" t="s">
        <v>632</v>
      </c>
      <c r="D188" s="157">
        <v>1540000</v>
      </c>
      <c r="E188" s="21" t="s">
        <v>306</v>
      </c>
      <c r="F188" s="21" t="s">
        <v>307</v>
      </c>
      <c r="G188" s="8" t="str">
        <f t="shared" si="2"/>
        <v>HELVIE ADAM</v>
      </c>
    </row>
    <row r="189" spans="1:7" x14ac:dyDescent="0.25">
      <c r="A189" s="8">
        <v>42757.865034722221</v>
      </c>
      <c r="B189" s="21" t="s">
        <v>253</v>
      </c>
      <c r="C189" s="21" t="s">
        <v>633</v>
      </c>
      <c r="D189" s="157">
        <v>2230000</v>
      </c>
      <c r="E189" s="21" t="s">
        <v>361</v>
      </c>
      <c r="F189" s="21" t="s">
        <v>214</v>
      </c>
      <c r="G189" s="8" t="str">
        <f t="shared" si="2"/>
        <v>SMITH MICHAEL</v>
      </c>
    </row>
    <row r="190" spans="1:7" x14ac:dyDescent="0.25">
      <c r="A190" s="8">
        <v>42757.873645833337</v>
      </c>
      <c r="B190" s="21" t="s">
        <v>428</v>
      </c>
      <c r="C190" s="21" t="s">
        <v>634</v>
      </c>
      <c r="D190" s="157">
        <v>1800000</v>
      </c>
      <c r="E190" s="21" t="s">
        <v>591</v>
      </c>
      <c r="F190" s="21" t="s">
        <v>592</v>
      </c>
      <c r="G190" s="8" t="str">
        <f t="shared" si="2"/>
        <v>CHANDLER KELVIN</v>
      </c>
    </row>
    <row r="191" spans="1:7" x14ac:dyDescent="0.25">
      <c r="A191" s="8">
        <v>42757.881793981483</v>
      </c>
      <c r="B191" s="21" t="s">
        <v>350</v>
      </c>
      <c r="C191" s="21" t="s">
        <v>635</v>
      </c>
      <c r="D191" s="157">
        <v>1810000</v>
      </c>
      <c r="E191" s="21" t="s">
        <v>219</v>
      </c>
      <c r="F191" s="21" t="s">
        <v>209</v>
      </c>
      <c r="G191" s="8" t="str">
        <f t="shared" si="2"/>
        <v>NEWELL JAMES</v>
      </c>
    </row>
    <row r="192" spans="1:7" x14ac:dyDescent="0.25">
      <c r="A192" s="8">
        <v>42757.887395833335</v>
      </c>
      <c r="B192" s="21" t="s">
        <v>474</v>
      </c>
      <c r="C192" s="21" t="s">
        <v>636</v>
      </c>
      <c r="D192" s="157">
        <v>1540000</v>
      </c>
      <c r="E192" s="21" t="s">
        <v>306</v>
      </c>
      <c r="F192" s="21" t="s">
        <v>307</v>
      </c>
      <c r="G192" s="8" t="str">
        <f t="shared" si="2"/>
        <v>HELVIE ADAM</v>
      </c>
    </row>
    <row r="193" spans="1:7" x14ac:dyDescent="0.25">
      <c r="A193" s="8">
        <v>42757.891921296294</v>
      </c>
      <c r="B193" s="21" t="s">
        <v>246</v>
      </c>
      <c r="C193" s="21" t="s">
        <v>637</v>
      </c>
      <c r="D193" s="157">
        <v>2000000</v>
      </c>
      <c r="E193" s="21" t="s">
        <v>363</v>
      </c>
      <c r="F193" s="21" t="s">
        <v>209</v>
      </c>
      <c r="G193" s="8" t="str">
        <f t="shared" si="2"/>
        <v>STAMBAUGH JAMES</v>
      </c>
    </row>
    <row r="194" spans="1:7" x14ac:dyDescent="0.25">
      <c r="A194" s="8">
        <v>42757.902071759258</v>
      </c>
      <c r="B194" s="21" t="s">
        <v>433</v>
      </c>
      <c r="C194" s="21" t="s">
        <v>638</v>
      </c>
      <c r="D194" s="157">
        <v>1540000</v>
      </c>
      <c r="E194" s="21" t="s">
        <v>306</v>
      </c>
      <c r="F194" s="21" t="s">
        <v>307</v>
      </c>
      <c r="G194" s="8" t="str">
        <f t="shared" si="2"/>
        <v>HELVIE ADAM</v>
      </c>
    </row>
    <row r="195" spans="1:7" x14ac:dyDescent="0.25">
      <c r="A195" s="8">
        <v>42757.902824074074</v>
      </c>
      <c r="B195" s="21" t="s">
        <v>254</v>
      </c>
      <c r="C195" s="21" t="s">
        <v>639</v>
      </c>
      <c r="D195" s="157">
        <v>2230000</v>
      </c>
      <c r="E195" s="21" t="s">
        <v>361</v>
      </c>
      <c r="F195" s="21" t="s">
        <v>214</v>
      </c>
      <c r="G195" s="8" t="str">
        <f t="shared" ref="G195:G258" si="3">E195&amp;" "&amp;F195</f>
        <v>SMITH MICHAEL</v>
      </c>
    </row>
    <row r="196" spans="1:7" x14ac:dyDescent="0.25">
      <c r="A196" s="8">
        <v>42757.911527777775</v>
      </c>
      <c r="B196" s="21" t="s">
        <v>481</v>
      </c>
      <c r="C196" s="21" t="s">
        <v>640</v>
      </c>
      <c r="D196" s="157">
        <v>1800000</v>
      </c>
      <c r="E196" s="21" t="s">
        <v>591</v>
      </c>
      <c r="F196" s="21" t="s">
        <v>592</v>
      </c>
      <c r="G196" s="8" t="str">
        <f t="shared" si="3"/>
        <v>CHANDLER KELVIN</v>
      </c>
    </row>
    <row r="197" spans="1:7" x14ac:dyDescent="0.25">
      <c r="A197" s="8">
        <v>42757.921724537038</v>
      </c>
      <c r="B197" s="21" t="s">
        <v>289</v>
      </c>
      <c r="C197" s="21" t="s">
        <v>641</v>
      </c>
      <c r="D197" s="157">
        <v>2000000</v>
      </c>
      <c r="E197" s="21" t="s">
        <v>363</v>
      </c>
      <c r="F197" s="21" t="s">
        <v>209</v>
      </c>
      <c r="G197" s="8" t="str">
        <f t="shared" si="3"/>
        <v>STAMBAUGH JAMES</v>
      </c>
    </row>
    <row r="198" spans="1:7" x14ac:dyDescent="0.25">
      <c r="A198" s="8">
        <v>42757.929236111115</v>
      </c>
      <c r="B198" s="21" t="s">
        <v>474</v>
      </c>
      <c r="C198" s="21" t="s">
        <v>642</v>
      </c>
      <c r="D198" s="157">
        <v>1540000</v>
      </c>
      <c r="E198" s="21" t="s">
        <v>306</v>
      </c>
      <c r="F198" s="21" t="s">
        <v>307</v>
      </c>
      <c r="G198" s="8" t="str">
        <f t="shared" si="3"/>
        <v>HELVIE ADAM</v>
      </c>
    </row>
    <row r="199" spans="1:7" x14ac:dyDescent="0.25">
      <c r="A199" s="8">
        <v>42757.932615740741</v>
      </c>
      <c r="B199" s="21" t="s">
        <v>349</v>
      </c>
      <c r="C199" s="21" t="s">
        <v>643</v>
      </c>
      <c r="D199" s="157">
        <v>1810000</v>
      </c>
      <c r="E199" s="21" t="s">
        <v>219</v>
      </c>
      <c r="F199" s="21" t="s">
        <v>209</v>
      </c>
      <c r="G199" s="8" t="str">
        <f t="shared" si="3"/>
        <v>NEWELL JAMES</v>
      </c>
    </row>
    <row r="200" spans="1:7" x14ac:dyDescent="0.25">
      <c r="A200" s="8">
        <v>42757.942337962966</v>
      </c>
      <c r="B200" s="21" t="s">
        <v>433</v>
      </c>
      <c r="C200" s="21" t="s">
        <v>644</v>
      </c>
      <c r="D200" s="157">
        <v>1540000</v>
      </c>
      <c r="E200" s="21" t="s">
        <v>306</v>
      </c>
      <c r="F200" s="21" t="s">
        <v>307</v>
      </c>
      <c r="G200" s="8" t="str">
        <f t="shared" si="3"/>
        <v>HELVIE ADAM</v>
      </c>
    </row>
    <row r="201" spans="1:7" x14ac:dyDescent="0.25">
      <c r="A201" s="8">
        <v>42757.946006944447</v>
      </c>
      <c r="B201" s="21" t="s">
        <v>253</v>
      </c>
      <c r="C201" s="21" t="s">
        <v>645</v>
      </c>
      <c r="D201" s="157">
        <v>2230000</v>
      </c>
      <c r="E201" s="21" t="s">
        <v>361</v>
      </c>
      <c r="F201" s="21" t="s">
        <v>214</v>
      </c>
      <c r="G201" s="8" t="str">
        <f t="shared" si="3"/>
        <v>SMITH MICHAEL</v>
      </c>
    </row>
    <row r="202" spans="1:7" x14ac:dyDescent="0.25">
      <c r="A202" s="27">
        <v>42757.955682870372</v>
      </c>
      <c r="B202" s="21" t="s">
        <v>428</v>
      </c>
      <c r="C202" s="21" t="s">
        <v>646</v>
      </c>
      <c r="D202" s="157">
        <v>1800000</v>
      </c>
      <c r="E202" s="21" t="s">
        <v>591</v>
      </c>
      <c r="F202" s="21" t="s">
        <v>592</v>
      </c>
      <c r="G202" s="8" t="str">
        <f t="shared" si="3"/>
        <v>CHANDLER KELVIN</v>
      </c>
    </row>
    <row r="203" spans="1:7" x14ac:dyDescent="0.25">
      <c r="A203" s="8">
        <v>42757.962256944447</v>
      </c>
      <c r="B203" s="21" t="s">
        <v>350</v>
      </c>
      <c r="C203" s="21" t="s">
        <v>647</v>
      </c>
      <c r="D203" s="157">
        <v>1810000</v>
      </c>
      <c r="E203" s="21" t="s">
        <v>219</v>
      </c>
      <c r="F203" s="21" t="s">
        <v>209</v>
      </c>
      <c r="G203" s="8" t="str">
        <f t="shared" si="3"/>
        <v>NEWELL JAMES</v>
      </c>
    </row>
    <row r="204" spans="1:7" x14ac:dyDescent="0.25">
      <c r="A204" s="8">
        <v>42757.97556712963</v>
      </c>
      <c r="B204" s="21" t="s">
        <v>246</v>
      </c>
      <c r="C204" s="21" t="s">
        <v>648</v>
      </c>
      <c r="D204" s="157">
        <v>2000000</v>
      </c>
      <c r="E204" s="21" t="s">
        <v>363</v>
      </c>
      <c r="F204" s="21" t="s">
        <v>209</v>
      </c>
      <c r="G204" s="8" t="str">
        <f t="shared" si="3"/>
        <v>STAMBAUGH JAMES</v>
      </c>
    </row>
    <row r="205" spans="1:7" x14ac:dyDescent="0.25">
      <c r="A205" s="8">
        <v>42757.988078703704</v>
      </c>
      <c r="B205" s="21" t="s">
        <v>254</v>
      </c>
      <c r="C205" s="21" t="s">
        <v>649</v>
      </c>
      <c r="D205" s="157">
        <v>2230000</v>
      </c>
      <c r="E205" s="21" t="s">
        <v>361</v>
      </c>
      <c r="F205" s="21" t="s">
        <v>214</v>
      </c>
      <c r="G205" s="8" t="str">
        <f t="shared" si="3"/>
        <v>SMITH MICHAEL</v>
      </c>
    </row>
    <row r="206" spans="1:7" x14ac:dyDescent="0.25">
      <c r="A206" s="8">
        <v>42757.993738425925</v>
      </c>
      <c r="B206" s="21" t="s">
        <v>481</v>
      </c>
      <c r="C206" s="21" t="s">
        <v>650</v>
      </c>
      <c r="D206" s="157">
        <v>1800000</v>
      </c>
      <c r="E206" s="21" t="s">
        <v>591</v>
      </c>
      <c r="F206" s="21" t="s">
        <v>592</v>
      </c>
      <c r="G206" s="8" t="str">
        <f t="shared" si="3"/>
        <v>CHANDLER KELVIN</v>
      </c>
    </row>
    <row r="207" spans="1:7" x14ac:dyDescent="0.25">
      <c r="A207" s="8">
        <v>42758.004884259259</v>
      </c>
      <c r="B207" s="21" t="s">
        <v>289</v>
      </c>
      <c r="C207" s="21" t="s">
        <v>651</v>
      </c>
      <c r="D207" s="157">
        <v>2000000</v>
      </c>
      <c r="E207" s="21" t="s">
        <v>363</v>
      </c>
      <c r="F207" s="21" t="s">
        <v>209</v>
      </c>
      <c r="G207" s="8" t="str">
        <f t="shared" si="3"/>
        <v>STAMBAUGH JAMES</v>
      </c>
    </row>
    <row r="208" spans="1:7" x14ac:dyDescent="0.25">
      <c r="A208" s="8">
        <v>42758.011192129627</v>
      </c>
      <c r="B208" s="21" t="s">
        <v>349</v>
      </c>
      <c r="C208" s="21" t="s">
        <v>652</v>
      </c>
      <c r="D208" s="157">
        <v>1810000</v>
      </c>
      <c r="E208" s="21" t="s">
        <v>219</v>
      </c>
      <c r="F208" s="21" t="s">
        <v>209</v>
      </c>
      <c r="G208" s="8" t="str">
        <f t="shared" si="3"/>
        <v>NEWELL JAMES</v>
      </c>
    </row>
    <row r="209" spans="1:7" x14ac:dyDescent="0.25">
      <c r="A209" s="8">
        <v>42758.028229166666</v>
      </c>
      <c r="B209" s="21" t="s">
        <v>428</v>
      </c>
      <c r="C209" s="21" t="s">
        <v>653</v>
      </c>
      <c r="D209" s="157">
        <v>1800000</v>
      </c>
      <c r="E209" s="21" t="s">
        <v>591</v>
      </c>
      <c r="F209" s="21" t="s">
        <v>592</v>
      </c>
      <c r="G209" s="8" t="str">
        <f t="shared" si="3"/>
        <v>CHANDLER KELVIN</v>
      </c>
    </row>
    <row r="210" spans="1:7" x14ac:dyDescent="0.25">
      <c r="A210" s="8">
        <v>42758.028229166666</v>
      </c>
      <c r="B210" s="21" t="s">
        <v>253</v>
      </c>
      <c r="C210" s="21" t="s">
        <v>654</v>
      </c>
      <c r="D210" s="157">
        <v>2230000</v>
      </c>
      <c r="E210" s="21" t="s">
        <v>361</v>
      </c>
      <c r="F210" s="21" t="s">
        <v>214</v>
      </c>
      <c r="G210" s="8" t="str">
        <f t="shared" si="3"/>
        <v>SMITH MICHAEL</v>
      </c>
    </row>
    <row r="211" spans="1:7" x14ac:dyDescent="0.25">
      <c r="A211" s="8">
        <v>42758.029189814813</v>
      </c>
      <c r="B211" s="21" t="s">
        <v>428</v>
      </c>
      <c r="C211" s="21" t="s">
        <v>653</v>
      </c>
      <c r="D211" s="157">
        <v>1800000</v>
      </c>
      <c r="E211" s="21" t="s">
        <v>591</v>
      </c>
      <c r="F211" s="21" t="s">
        <v>592</v>
      </c>
      <c r="G211" s="8" t="str">
        <f t="shared" si="3"/>
        <v>CHANDLER KELVIN</v>
      </c>
    </row>
    <row r="212" spans="1:7" x14ac:dyDescent="0.25">
      <c r="A212" s="8">
        <v>42758.047453703701</v>
      </c>
      <c r="B212" s="21" t="s">
        <v>350</v>
      </c>
      <c r="C212" s="21" t="s">
        <v>655</v>
      </c>
      <c r="D212" s="157">
        <v>1810000</v>
      </c>
      <c r="E212" s="21" t="s">
        <v>219</v>
      </c>
      <c r="F212" s="21" t="s">
        <v>209</v>
      </c>
      <c r="G212" s="8" t="str">
        <f t="shared" si="3"/>
        <v>NEWELL JAMES</v>
      </c>
    </row>
    <row r="213" spans="1:7" x14ac:dyDescent="0.25">
      <c r="A213" s="8">
        <v>42758.048344907409</v>
      </c>
      <c r="B213" s="21" t="s">
        <v>350</v>
      </c>
      <c r="C213" s="21" t="s">
        <v>655</v>
      </c>
      <c r="D213" s="157">
        <v>1810000</v>
      </c>
      <c r="E213" s="21" t="s">
        <v>219</v>
      </c>
      <c r="F213" s="21" t="s">
        <v>209</v>
      </c>
      <c r="G213" s="8" t="str">
        <f t="shared" si="3"/>
        <v>NEWELL JAMES</v>
      </c>
    </row>
    <row r="214" spans="1:7" x14ac:dyDescent="0.25">
      <c r="A214" s="8">
        <v>42758.059108796297</v>
      </c>
      <c r="B214" s="21" t="s">
        <v>246</v>
      </c>
      <c r="C214" s="21" t="s">
        <v>656</v>
      </c>
      <c r="D214" s="157">
        <v>2000000</v>
      </c>
      <c r="E214" s="21" t="s">
        <v>363</v>
      </c>
      <c r="F214" s="21" t="s">
        <v>209</v>
      </c>
      <c r="G214" s="8" t="str">
        <f t="shared" si="3"/>
        <v>STAMBAUGH JAMES</v>
      </c>
    </row>
    <row r="215" spans="1:7" x14ac:dyDescent="0.25">
      <c r="A215" s="8">
        <v>42758.069155092591</v>
      </c>
      <c r="B215" s="21" t="s">
        <v>254</v>
      </c>
      <c r="C215" s="21" t="s">
        <v>657</v>
      </c>
      <c r="D215" s="157">
        <v>2230000</v>
      </c>
      <c r="E215" s="21" t="s">
        <v>361</v>
      </c>
      <c r="F215" s="21" t="s">
        <v>214</v>
      </c>
      <c r="G215" s="8" t="str">
        <f t="shared" si="3"/>
        <v>SMITH MICHAEL</v>
      </c>
    </row>
    <row r="216" spans="1:7" x14ac:dyDescent="0.25">
      <c r="A216" s="8">
        <v>42758.087685185186</v>
      </c>
      <c r="B216" s="21" t="s">
        <v>289</v>
      </c>
      <c r="C216" s="21" t="s">
        <v>658</v>
      </c>
      <c r="D216" s="157">
        <v>2000000</v>
      </c>
      <c r="E216" s="21" t="s">
        <v>363</v>
      </c>
      <c r="F216" s="21" t="s">
        <v>209</v>
      </c>
      <c r="G216" s="8" t="str">
        <f t="shared" si="3"/>
        <v>STAMBAUGH JAMES</v>
      </c>
    </row>
    <row r="217" spans="1:7" x14ac:dyDescent="0.25">
      <c r="A217" s="8">
        <v>42758.08871527778</v>
      </c>
      <c r="B217" s="21" t="s">
        <v>289</v>
      </c>
      <c r="C217" s="21" t="s">
        <v>658</v>
      </c>
      <c r="D217" s="157">
        <v>2000000</v>
      </c>
      <c r="E217" s="21" t="s">
        <v>363</v>
      </c>
      <c r="F217" s="21" t="s">
        <v>209</v>
      </c>
      <c r="G217" s="8" t="str">
        <f t="shared" si="3"/>
        <v>STAMBAUGH JAMES</v>
      </c>
    </row>
    <row r="218" spans="1:7" x14ac:dyDescent="0.25">
      <c r="A218" s="8">
        <v>42755.799872685187</v>
      </c>
      <c r="B218" s="21" t="s">
        <v>351</v>
      </c>
      <c r="C218" s="21" t="s">
        <v>364</v>
      </c>
      <c r="D218" s="157">
        <v>2030000</v>
      </c>
      <c r="E218" s="21" t="s">
        <v>358</v>
      </c>
      <c r="F218" s="21" t="s">
        <v>255</v>
      </c>
      <c r="G218" s="8" t="str">
        <f t="shared" si="3"/>
        <v>KILLION DAVID</v>
      </c>
    </row>
    <row r="219" spans="1:7" x14ac:dyDescent="0.25">
      <c r="A219" s="8">
        <v>42755.800358796296</v>
      </c>
      <c r="B219" s="21" t="s">
        <v>268</v>
      </c>
      <c r="C219" s="21" t="s">
        <v>365</v>
      </c>
      <c r="D219" s="157">
        <v>1180000</v>
      </c>
      <c r="E219" s="21" t="s">
        <v>304</v>
      </c>
      <c r="F219" s="21" t="s">
        <v>305</v>
      </c>
      <c r="G219" s="8" t="str">
        <f t="shared" si="3"/>
        <v>LEVERE CRAIG</v>
      </c>
    </row>
    <row r="220" spans="1:7" x14ac:dyDescent="0.25">
      <c r="A220" s="8">
        <v>42755.807986111111</v>
      </c>
      <c r="B220" s="21" t="s">
        <v>303</v>
      </c>
      <c r="C220" s="21" t="s">
        <v>366</v>
      </c>
      <c r="D220" s="157">
        <v>1740000</v>
      </c>
      <c r="E220" s="21" t="s">
        <v>276</v>
      </c>
      <c r="F220" s="21" t="s">
        <v>277</v>
      </c>
      <c r="G220" s="8" t="str">
        <f t="shared" si="3"/>
        <v>STORY SAMANTHA</v>
      </c>
    </row>
    <row r="221" spans="1:7" x14ac:dyDescent="0.25">
      <c r="A221" s="8">
        <v>42755.818298611113</v>
      </c>
      <c r="B221" s="21" t="s">
        <v>266</v>
      </c>
      <c r="C221" s="21" t="s">
        <v>367</v>
      </c>
      <c r="D221" s="157">
        <v>1180000</v>
      </c>
      <c r="E221" s="21" t="s">
        <v>304</v>
      </c>
      <c r="F221" s="21" t="s">
        <v>305</v>
      </c>
      <c r="G221" s="8" t="str">
        <f t="shared" si="3"/>
        <v>LEVERE CRAIG</v>
      </c>
    </row>
    <row r="222" spans="1:7" x14ac:dyDescent="0.25">
      <c r="A222" s="8">
        <v>42755.826863425929</v>
      </c>
      <c r="B222" s="21" t="s">
        <v>288</v>
      </c>
      <c r="C222" s="21" t="s">
        <v>368</v>
      </c>
      <c r="D222" s="157">
        <v>2270000</v>
      </c>
      <c r="E222" s="21" t="s">
        <v>292</v>
      </c>
      <c r="F222" s="21" t="s">
        <v>293</v>
      </c>
      <c r="G222" s="8" t="str">
        <f t="shared" si="3"/>
        <v>BROWN JACOB</v>
      </c>
    </row>
    <row r="223" spans="1:7" x14ac:dyDescent="0.25">
      <c r="A223" s="8">
        <v>42755.829085648147</v>
      </c>
      <c r="B223" s="21" t="s">
        <v>153</v>
      </c>
      <c r="C223" s="21" t="s">
        <v>369</v>
      </c>
      <c r="D223" s="157">
        <v>2440000</v>
      </c>
      <c r="E223" s="21" t="s">
        <v>359</v>
      </c>
      <c r="F223" s="21" t="s">
        <v>360</v>
      </c>
      <c r="G223" s="8" t="str">
        <f t="shared" si="3"/>
        <v>LOPES KIMBERLY</v>
      </c>
    </row>
    <row r="224" spans="1:7" x14ac:dyDescent="0.25">
      <c r="A224" s="8">
        <v>42755.829837962963</v>
      </c>
      <c r="B224" t="s">
        <v>202</v>
      </c>
      <c r="C224" t="s">
        <v>370</v>
      </c>
      <c r="D224" s="157">
        <v>2000000</v>
      </c>
      <c r="E224" t="s">
        <v>363</v>
      </c>
      <c r="F224" s="21" t="s">
        <v>209</v>
      </c>
      <c r="G224" s="8" t="str">
        <f t="shared" si="3"/>
        <v>STAMBAUGH JAMES</v>
      </c>
    </row>
    <row r="225" spans="1:7" x14ac:dyDescent="0.25">
      <c r="A225" s="8">
        <v>42755.830601851849</v>
      </c>
      <c r="B225" t="s">
        <v>202</v>
      </c>
      <c r="C225" t="s">
        <v>370</v>
      </c>
      <c r="D225" s="157">
        <v>2000000</v>
      </c>
      <c r="E225" t="s">
        <v>363</v>
      </c>
      <c r="F225" s="21" t="s">
        <v>209</v>
      </c>
      <c r="G225" s="8" t="str">
        <f t="shared" si="3"/>
        <v>STAMBAUGH JAMES</v>
      </c>
    </row>
    <row r="226" spans="1:7" x14ac:dyDescent="0.25">
      <c r="A226" s="8">
        <v>42755.831250000003</v>
      </c>
      <c r="B226" t="s">
        <v>202</v>
      </c>
      <c r="C226" t="s">
        <v>370</v>
      </c>
      <c r="D226" s="157">
        <v>2000000</v>
      </c>
      <c r="E226" t="s">
        <v>363</v>
      </c>
      <c r="F226" s="21" t="s">
        <v>209</v>
      </c>
      <c r="G226" s="8" t="str">
        <f t="shared" si="3"/>
        <v>STAMBAUGH JAMES</v>
      </c>
    </row>
    <row r="227" spans="1:7" x14ac:dyDescent="0.25">
      <c r="A227" s="8">
        <v>42755.833541666667</v>
      </c>
      <c r="B227" t="s">
        <v>154</v>
      </c>
      <c r="C227" t="s">
        <v>369</v>
      </c>
      <c r="D227" s="157">
        <v>2440000</v>
      </c>
      <c r="E227" t="s">
        <v>359</v>
      </c>
      <c r="F227" s="21" t="s">
        <v>360</v>
      </c>
      <c r="G227" s="8" t="str">
        <f t="shared" si="3"/>
        <v>LOPES KIMBERLY</v>
      </c>
    </row>
    <row r="228" spans="1:7" x14ac:dyDescent="0.25">
      <c r="A228" s="8">
        <v>42755.837326388886</v>
      </c>
      <c r="B228" t="s">
        <v>153</v>
      </c>
      <c r="C228" t="s">
        <v>369</v>
      </c>
      <c r="D228" s="157">
        <v>2440000</v>
      </c>
      <c r="E228" t="s">
        <v>359</v>
      </c>
      <c r="F228" s="21" t="s">
        <v>360</v>
      </c>
      <c r="G228" s="8" t="str">
        <f t="shared" si="3"/>
        <v>LOPES KIMBERLY</v>
      </c>
    </row>
    <row r="229" spans="1:7" x14ac:dyDescent="0.25">
      <c r="A229" s="8">
        <v>42755.838750000003</v>
      </c>
      <c r="B229" t="s">
        <v>269</v>
      </c>
      <c r="C229" t="s">
        <v>371</v>
      </c>
      <c r="D229" s="157">
        <v>2220000</v>
      </c>
      <c r="E229" t="s">
        <v>247</v>
      </c>
      <c r="F229" s="21" t="s">
        <v>248</v>
      </c>
      <c r="G229" s="8" t="str">
        <f t="shared" si="3"/>
        <v>HILLS DUSTIN</v>
      </c>
    </row>
    <row r="230" spans="1:7" x14ac:dyDescent="0.25">
      <c r="A230" s="8">
        <v>42755.840219907404</v>
      </c>
      <c r="B230" t="s">
        <v>268</v>
      </c>
      <c r="C230" t="s">
        <v>339</v>
      </c>
      <c r="D230" s="157">
        <v>1180000</v>
      </c>
      <c r="E230" t="s">
        <v>304</v>
      </c>
      <c r="F230" s="21" t="s">
        <v>305</v>
      </c>
      <c r="G230" s="8" t="str">
        <f t="shared" si="3"/>
        <v>LEVERE CRAIG</v>
      </c>
    </row>
    <row r="231" spans="1:7" x14ac:dyDescent="0.25">
      <c r="A231" s="8">
        <v>42755.843275462961</v>
      </c>
      <c r="B231" t="s">
        <v>238</v>
      </c>
      <c r="C231" t="s">
        <v>340</v>
      </c>
      <c r="D231" s="157">
        <v>1740000</v>
      </c>
      <c r="E231" t="s">
        <v>276</v>
      </c>
      <c r="F231" s="21" t="s">
        <v>277</v>
      </c>
      <c r="G231" s="8" t="str">
        <f t="shared" si="3"/>
        <v>STORY SAMANTHA</v>
      </c>
    </row>
    <row r="232" spans="1:7" x14ac:dyDescent="0.25">
      <c r="A232" s="8">
        <v>42755.860289351855</v>
      </c>
      <c r="B232" t="s">
        <v>266</v>
      </c>
      <c r="C232" t="s">
        <v>372</v>
      </c>
      <c r="D232" s="157">
        <v>1180000</v>
      </c>
      <c r="E232" t="s">
        <v>304</v>
      </c>
      <c r="F232" s="21" t="s">
        <v>305</v>
      </c>
      <c r="G232" s="8" t="str">
        <f t="shared" si="3"/>
        <v>LEVERE CRAIG</v>
      </c>
    </row>
    <row r="233" spans="1:7" x14ac:dyDescent="0.25">
      <c r="A233" s="8">
        <v>42755.862222222226</v>
      </c>
      <c r="B233" t="s">
        <v>203</v>
      </c>
      <c r="C233" t="s">
        <v>373</v>
      </c>
      <c r="D233" s="157">
        <v>2000000</v>
      </c>
      <c r="E233" t="s">
        <v>363</v>
      </c>
      <c r="F233" s="21" t="s">
        <v>209</v>
      </c>
      <c r="G233" s="8" t="str">
        <f t="shared" si="3"/>
        <v>STAMBAUGH JAMES</v>
      </c>
    </row>
    <row r="234" spans="1:7" x14ac:dyDescent="0.25">
      <c r="A234" s="8">
        <v>42755.869745370372</v>
      </c>
      <c r="B234" t="s">
        <v>197</v>
      </c>
      <c r="C234" t="s">
        <v>374</v>
      </c>
      <c r="D234" s="157">
        <v>2270000</v>
      </c>
      <c r="E234" t="s">
        <v>292</v>
      </c>
      <c r="F234" s="21" t="s">
        <v>293</v>
      </c>
      <c r="G234" s="8" t="str">
        <f t="shared" si="3"/>
        <v>BROWN JACOB</v>
      </c>
    </row>
    <row r="235" spans="1:7" x14ac:dyDescent="0.25">
      <c r="A235" s="8">
        <v>42755.878784722219</v>
      </c>
      <c r="B235" t="s">
        <v>268</v>
      </c>
      <c r="C235" t="s">
        <v>375</v>
      </c>
      <c r="D235" s="157">
        <v>2230000</v>
      </c>
      <c r="E235" t="s">
        <v>361</v>
      </c>
      <c r="F235" s="21" t="s">
        <v>214</v>
      </c>
      <c r="G235" s="8" t="str">
        <f t="shared" si="3"/>
        <v>SMITH MICHAEL</v>
      </c>
    </row>
    <row r="236" spans="1:7" x14ac:dyDescent="0.25">
      <c r="A236" s="8">
        <v>42755.883101851854</v>
      </c>
      <c r="B236" t="s">
        <v>224</v>
      </c>
      <c r="C236" t="s">
        <v>341</v>
      </c>
      <c r="D236" s="157">
        <v>2220000</v>
      </c>
      <c r="E236" t="s">
        <v>247</v>
      </c>
      <c r="F236" s="21" t="s">
        <v>248</v>
      </c>
      <c r="G236" s="8" t="str">
        <f t="shared" si="3"/>
        <v>HILLS DUSTIN</v>
      </c>
    </row>
    <row r="237" spans="1:7" x14ac:dyDescent="0.25">
      <c r="A237" s="8">
        <v>42755.884039351855</v>
      </c>
      <c r="B237" t="s">
        <v>303</v>
      </c>
      <c r="C237" t="s">
        <v>376</v>
      </c>
      <c r="D237" s="157">
        <v>1740000</v>
      </c>
      <c r="E237" t="s">
        <v>276</v>
      </c>
      <c r="F237" s="21" t="s">
        <v>277</v>
      </c>
      <c r="G237" s="8" t="str">
        <f t="shared" si="3"/>
        <v>STORY SAMANTHA</v>
      </c>
    </row>
    <row r="238" spans="1:7" x14ac:dyDescent="0.25">
      <c r="A238" s="8">
        <v>42755.901226851849</v>
      </c>
      <c r="B238" t="s">
        <v>202</v>
      </c>
      <c r="C238" t="s">
        <v>377</v>
      </c>
      <c r="D238" s="157">
        <v>2000000</v>
      </c>
      <c r="E238" t="s">
        <v>363</v>
      </c>
      <c r="F238" s="21" t="s">
        <v>209</v>
      </c>
      <c r="G238" s="8" t="str">
        <f t="shared" si="3"/>
        <v>STAMBAUGH JAMES</v>
      </c>
    </row>
    <row r="239" spans="1:7" x14ac:dyDescent="0.25">
      <c r="A239" s="8">
        <v>42755.90221064815</v>
      </c>
      <c r="B239" t="s">
        <v>266</v>
      </c>
      <c r="C239" t="s">
        <v>378</v>
      </c>
      <c r="D239" s="157">
        <v>2230000</v>
      </c>
      <c r="E239" t="s">
        <v>361</v>
      </c>
      <c r="F239" s="21" t="s">
        <v>214</v>
      </c>
      <c r="G239" s="8" t="str">
        <f t="shared" si="3"/>
        <v>SMITH MICHAEL</v>
      </c>
    </row>
    <row r="240" spans="1:7" x14ac:dyDescent="0.25">
      <c r="A240" s="8">
        <v>42755.912662037037</v>
      </c>
      <c r="B240" t="s">
        <v>288</v>
      </c>
      <c r="C240" t="s">
        <v>342</v>
      </c>
      <c r="D240" s="157">
        <v>2270000</v>
      </c>
      <c r="E240" t="s">
        <v>292</v>
      </c>
      <c r="F240" s="21" t="s">
        <v>293</v>
      </c>
      <c r="G240" s="8" t="str">
        <f t="shared" si="3"/>
        <v>BROWN JACOB</v>
      </c>
    </row>
    <row r="241" spans="1:7" x14ac:dyDescent="0.25">
      <c r="A241" s="8">
        <v>42755.924525462964</v>
      </c>
      <c r="B241" t="s">
        <v>269</v>
      </c>
      <c r="C241" t="s">
        <v>379</v>
      </c>
      <c r="D241" s="157">
        <v>2220000</v>
      </c>
      <c r="E241" t="s">
        <v>247</v>
      </c>
      <c r="F241" s="21" t="s">
        <v>248</v>
      </c>
      <c r="G241" s="8" t="str">
        <f t="shared" si="3"/>
        <v>HILLS DUSTIN</v>
      </c>
    </row>
    <row r="242" spans="1:7" x14ac:dyDescent="0.25">
      <c r="A242" s="8">
        <v>42755.924675925926</v>
      </c>
      <c r="B242" t="s">
        <v>268</v>
      </c>
      <c r="C242" t="s">
        <v>380</v>
      </c>
      <c r="D242" s="157">
        <v>2230000</v>
      </c>
      <c r="E242" t="s">
        <v>361</v>
      </c>
      <c r="F242" s="21" t="s">
        <v>214</v>
      </c>
      <c r="G242" s="8" t="str">
        <f t="shared" si="3"/>
        <v>SMITH MICHAEL</v>
      </c>
    </row>
    <row r="243" spans="1:7" x14ac:dyDescent="0.25">
      <c r="A243" s="8">
        <v>42755.927685185183</v>
      </c>
      <c r="B243" t="s">
        <v>238</v>
      </c>
      <c r="C243" t="s">
        <v>381</v>
      </c>
      <c r="D243" s="157">
        <v>1740000</v>
      </c>
      <c r="E243" t="s">
        <v>276</v>
      </c>
      <c r="F243" s="21" t="s">
        <v>277</v>
      </c>
      <c r="G243" s="8" t="str">
        <f t="shared" si="3"/>
        <v>STORY SAMANTHA</v>
      </c>
    </row>
    <row r="244" spans="1:7" x14ac:dyDescent="0.25">
      <c r="A244" s="8">
        <v>42755.943460648145</v>
      </c>
      <c r="B244" t="s">
        <v>266</v>
      </c>
      <c r="C244" t="s">
        <v>382</v>
      </c>
      <c r="D244" s="157">
        <v>2230000</v>
      </c>
      <c r="E244" t="s">
        <v>361</v>
      </c>
      <c r="F244" s="21" t="s">
        <v>214</v>
      </c>
      <c r="G244" s="8" t="str">
        <f t="shared" si="3"/>
        <v>SMITH MICHAEL</v>
      </c>
    </row>
    <row r="245" spans="1:7" x14ac:dyDescent="0.25">
      <c r="A245" s="8">
        <v>42755.947766203702</v>
      </c>
      <c r="B245" t="s">
        <v>197</v>
      </c>
      <c r="C245" t="s">
        <v>343</v>
      </c>
      <c r="D245" s="157">
        <v>2270000</v>
      </c>
      <c r="E245" t="s">
        <v>292</v>
      </c>
      <c r="F245" s="21" t="s">
        <v>293</v>
      </c>
      <c r="G245" s="8" t="str">
        <f t="shared" si="3"/>
        <v>BROWN JACOB</v>
      </c>
    </row>
    <row r="246" spans="1:7" x14ac:dyDescent="0.25">
      <c r="A246" s="8">
        <v>42755.953634259262</v>
      </c>
      <c r="B246" t="s">
        <v>203</v>
      </c>
      <c r="C246" t="s">
        <v>383</v>
      </c>
      <c r="D246" s="157">
        <v>2000000</v>
      </c>
      <c r="E246" t="s">
        <v>363</v>
      </c>
      <c r="F246" s="21" t="s">
        <v>209</v>
      </c>
      <c r="G246" s="8" t="str">
        <f t="shared" si="3"/>
        <v>STAMBAUGH JAMES</v>
      </c>
    </row>
    <row r="247" spans="1:7" x14ac:dyDescent="0.25">
      <c r="A247" s="8">
        <v>42755.973252314812</v>
      </c>
      <c r="B247" t="s">
        <v>224</v>
      </c>
      <c r="C247" t="s">
        <v>384</v>
      </c>
      <c r="D247" s="157">
        <v>2220000</v>
      </c>
      <c r="E247" t="s">
        <v>247</v>
      </c>
      <c r="F247" s="21" t="s">
        <v>248</v>
      </c>
      <c r="G247" s="8" t="str">
        <f t="shared" si="3"/>
        <v>HILLS DUSTIN</v>
      </c>
    </row>
    <row r="248" spans="1:7" x14ac:dyDescent="0.25">
      <c r="A248" s="8">
        <v>42755.975636574076</v>
      </c>
      <c r="B248" t="s">
        <v>303</v>
      </c>
      <c r="C248" t="s">
        <v>385</v>
      </c>
      <c r="D248" s="157">
        <v>1740000</v>
      </c>
      <c r="E248" t="s">
        <v>276</v>
      </c>
      <c r="F248" s="21" t="s">
        <v>277</v>
      </c>
      <c r="G248" s="8" t="str">
        <f t="shared" si="3"/>
        <v>STORY SAMANTHA</v>
      </c>
    </row>
    <row r="249" spans="1:7" x14ac:dyDescent="0.25">
      <c r="A249" s="8">
        <v>42755.984710648147</v>
      </c>
      <c r="B249" t="s">
        <v>202</v>
      </c>
      <c r="C249" t="s">
        <v>386</v>
      </c>
      <c r="D249" s="157">
        <v>2000000</v>
      </c>
      <c r="E249" t="s">
        <v>363</v>
      </c>
      <c r="F249" s="21" t="s">
        <v>209</v>
      </c>
      <c r="G249" s="8" t="str">
        <f t="shared" si="3"/>
        <v>STAMBAUGH JAMES</v>
      </c>
    </row>
    <row r="250" spans="1:7" x14ac:dyDescent="0.25">
      <c r="A250" s="8">
        <v>42755.990347222221</v>
      </c>
      <c r="B250" t="s">
        <v>288</v>
      </c>
      <c r="C250" t="s">
        <v>387</v>
      </c>
      <c r="D250" s="157">
        <v>2270000</v>
      </c>
      <c r="E250" t="s">
        <v>292</v>
      </c>
      <c r="F250" s="21" t="s">
        <v>293</v>
      </c>
      <c r="G250" s="8" t="str">
        <f t="shared" si="3"/>
        <v>BROWN JACOB</v>
      </c>
    </row>
    <row r="251" spans="1:7" x14ac:dyDescent="0.25">
      <c r="A251" s="8">
        <v>42756.008773148147</v>
      </c>
      <c r="B251" t="s">
        <v>269</v>
      </c>
      <c r="C251" t="s">
        <v>388</v>
      </c>
      <c r="D251" s="157">
        <v>2220000</v>
      </c>
      <c r="E251" t="s">
        <v>247</v>
      </c>
      <c r="F251" s="21" t="s">
        <v>248</v>
      </c>
      <c r="G251" s="8" t="str">
        <f t="shared" si="3"/>
        <v>HILLS DUSTIN</v>
      </c>
    </row>
    <row r="252" spans="1:7" x14ac:dyDescent="0.25">
      <c r="A252" s="8">
        <v>42756.014004629629</v>
      </c>
      <c r="B252" t="s">
        <v>238</v>
      </c>
      <c r="C252" t="s">
        <v>389</v>
      </c>
      <c r="D252" s="157">
        <v>1740000</v>
      </c>
      <c r="E252" t="s">
        <v>276</v>
      </c>
      <c r="F252" s="21" t="s">
        <v>277</v>
      </c>
      <c r="G252" s="8" t="str">
        <f t="shared" si="3"/>
        <v>STORY SAMANTHA</v>
      </c>
    </row>
    <row r="253" spans="1:7" x14ac:dyDescent="0.25">
      <c r="A253" s="8">
        <v>42756.027986111112</v>
      </c>
      <c r="B253" t="s">
        <v>203</v>
      </c>
      <c r="C253" t="s">
        <v>390</v>
      </c>
      <c r="D253" s="157">
        <v>2000000</v>
      </c>
      <c r="E253" t="s">
        <v>363</v>
      </c>
      <c r="F253" s="21" t="s">
        <v>209</v>
      </c>
      <c r="G253" s="8" t="str">
        <f t="shared" si="3"/>
        <v>STAMBAUGH JAMES</v>
      </c>
    </row>
    <row r="254" spans="1:7" x14ac:dyDescent="0.25">
      <c r="A254" s="8">
        <v>42756.031770833331</v>
      </c>
      <c r="B254" t="s">
        <v>197</v>
      </c>
      <c r="C254" t="s">
        <v>391</v>
      </c>
      <c r="D254" s="157">
        <v>2270000</v>
      </c>
      <c r="E254" t="s">
        <v>292</v>
      </c>
      <c r="F254" s="21" t="s">
        <v>293</v>
      </c>
      <c r="G254" s="8" t="str">
        <f t="shared" si="3"/>
        <v>BROWN JACOB</v>
      </c>
    </row>
    <row r="255" spans="1:7" x14ac:dyDescent="0.25">
      <c r="A255" s="8">
        <v>42756.046736111108</v>
      </c>
      <c r="B255" t="s">
        <v>303</v>
      </c>
      <c r="C255" t="s">
        <v>392</v>
      </c>
      <c r="D255" s="157">
        <v>1740000</v>
      </c>
      <c r="E255" t="s">
        <v>276</v>
      </c>
      <c r="F255" s="21" t="s">
        <v>277</v>
      </c>
      <c r="G255" s="8" t="str">
        <f t="shared" si="3"/>
        <v>STORY SAMANTHA</v>
      </c>
    </row>
    <row r="256" spans="1:7" x14ac:dyDescent="0.25">
      <c r="A256" s="8">
        <v>42756.050243055557</v>
      </c>
      <c r="B256" t="s">
        <v>224</v>
      </c>
      <c r="C256" t="s">
        <v>393</v>
      </c>
      <c r="D256" s="157">
        <v>2220000</v>
      </c>
      <c r="E256" t="s">
        <v>247</v>
      </c>
      <c r="F256" s="21" t="s">
        <v>248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202</v>
      </c>
      <c r="C257" t="s">
        <v>394</v>
      </c>
      <c r="D257" s="157">
        <v>2000000</v>
      </c>
      <c r="E257" t="s">
        <v>363</v>
      </c>
      <c r="F257" s="21" t="s">
        <v>209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269</v>
      </c>
      <c r="C258" t="s">
        <v>395</v>
      </c>
      <c r="D258" s="157">
        <v>2220000</v>
      </c>
      <c r="E258" t="s">
        <v>247</v>
      </c>
      <c r="F258" s="21" t="s">
        <v>248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349</v>
      </c>
      <c r="C259" t="s">
        <v>396</v>
      </c>
      <c r="D259" s="157">
        <v>1360000</v>
      </c>
      <c r="E259" t="s">
        <v>397</v>
      </c>
      <c r="F259" s="21" t="s">
        <v>398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303</v>
      </c>
      <c r="C260" t="s">
        <v>315</v>
      </c>
      <c r="D260" s="157">
        <v>2450000</v>
      </c>
      <c r="E260" t="s">
        <v>311</v>
      </c>
      <c r="F260" s="21" t="s">
        <v>312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253</v>
      </c>
      <c r="C261" t="s">
        <v>322</v>
      </c>
      <c r="D261" s="157">
        <v>1810000</v>
      </c>
      <c r="E261" t="s">
        <v>219</v>
      </c>
      <c r="F261" s="21" t="s">
        <v>209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316</v>
      </c>
      <c r="C262" t="s">
        <v>320</v>
      </c>
      <c r="D262" s="157">
        <v>2670000</v>
      </c>
      <c r="E262" t="s">
        <v>318</v>
      </c>
      <c r="F262" s="21" t="s">
        <v>319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249</v>
      </c>
      <c r="C263" t="s">
        <v>314</v>
      </c>
      <c r="D263" s="157">
        <v>2540000</v>
      </c>
      <c r="E263" t="s">
        <v>256</v>
      </c>
      <c r="F263" s="21" t="s">
        <v>257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238</v>
      </c>
      <c r="C264" t="s">
        <v>310</v>
      </c>
      <c r="D264" s="157">
        <v>2450000</v>
      </c>
      <c r="E264" t="s">
        <v>311</v>
      </c>
      <c r="F264" s="21" t="s">
        <v>312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289</v>
      </c>
      <c r="C265" t="s">
        <v>323</v>
      </c>
      <c r="D265" s="157">
        <v>2270000</v>
      </c>
      <c r="E265" t="s">
        <v>292</v>
      </c>
      <c r="F265" s="21" t="s">
        <v>293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250</v>
      </c>
      <c r="C266" t="s">
        <v>313</v>
      </c>
      <c r="D266" s="157">
        <v>2540000</v>
      </c>
      <c r="E266" t="s">
        <v>256</v>
      </c>
      <c r="F266" s="21" t="s">
        <v>257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303</v>
      </c>
      <c r="C267" t="s">
        <v>315</v>
      </c>
      <c r="D267" s="157">
        <v>2450000</v>
      </c>
      <c r="E267" t="s">
        <v>311</v>
      </c>
      <c r="F267" s="21" t="s">
        <v>312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289</v>
      </c>
      <c r="C268" t="s">
        <v>323</v>
      </c>
      <c r="D268" s="157">
        <v>2270000</v>
      </c>
      <c r="E268" t="s">
        <v>292</v>
      </c>
      <c r="F268" s="21" t="s">
        <v>293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249</v>
      </c>
      <c r="C269" t="s">
        <v>314</v>
      </c>
      <c r="D269" s="157">
        <v>2540000</v>
      </c>
      <c r="E269" t="s">
        <v>256</v>
      </c>
      <c r="F269" s="21" t="s">
        <v>257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254</v>
      </c>
      <c r="C270" t="s">
        <v>324</v>
      </c>
      <c r="D270" s="157">
        <v>1810000</v>
      </c>
      <c r="E270" t="s">
        <v>219</v>
      </c>
      <c r="F270" s="21" t="s">
        <v>209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321</v>
      </c>
      <c r="C271" t="s">
        <v>317</v>
      </c>
      <c r="D271" s="157">
        <v>2670000</v>
      </c>
      <c r="E271" t="s">
        <v>318</v>
      </c>
      <c r="F271" s="21" t="s">
        <v>319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238</v>
      </c>
      <c r="C272" t="s">
        <v>310</v>
      </c>
      <c r="D272" s="157">
        <v>2450000</v>
      </c>
      <c r="E272" t="s">
        <v>311</v>
      </c>
      <c r="F272" s="21" t="s">
        <v>312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250</v>
      </c>
      <c r="C273" t="s">
        <v>313</v>
      </c>
      <c r="D273" s="157">
        <v>2540000</v>
      </c>
      <c r="E273" t="s">
        <v>256</v>
      </c>
      <c r="F273" s="21" t="s">
        <v>257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164</v>
      </c>
      <c r="B1" s="172" t="s">
        <v>167</v>
      </c>
      <c r="C1" s="172" t="s">
        <v>160</v>
      </c>
      <c r="D1" s="155" t="s">
        <v>172</v>
      </c>
      <c r="E1" s="172" t="s">
        <v>161</v>
      </c>
      <c r="F1" s="172" t="s">
        <v>159</v>
      </c>
      <c r="G1" s="172" t="s">
        <v>157</v>
      </c>
      <c r="H1" s="172" t="s">
        <v>170</v>
      </c>
      <c r="I1" s="172" t="s">
        <v>171</v>
      </c>
      <c r="J1" s="172" t="s">
        <v>165</v>
      </c>
      <c r="K1" s="172" t="s">
        <v>163</v>
      </c>
      <c r="L1" s="172" t="s">
        <v>158</v>
      </c>
      <c r="M1" s="172" t="s">
        <v>168</v>
      </c>
      <c r="N1" s="172" t="s">
        <v>162</v>
      </c>
      <c r="O1" s="172" t="s">
        <v>169</v>
      </c>
      <c r="P1" s="172" t="s">
        <v>166</v>
      </c>
      <c r="Q1"/>
      <c r="R1"/>
    </row>
    <row r="2" spans="1:18" x14ac:dyDescent="0.25">
      <c r="A2" s="162">
        <v>30.63</v>
      </c>
      <c r="B2" s="162">
        <v>0.75</v>
      </c>
      <c r="C2" s="162">
        <v>23.11</v>
      </c>
      <c r="D2" s="8">
        <v>42757</v>
      </c>
      <c r="E2" s="162">
        <v>0.73</v>
      </c>
      <c r="F2" s="162" t="s">
        <v>399</v>
      </c>
      <c r="G2" s="162">
        <v>347.09</v>
      </c>
      <c r="H2" s="162">
        <v>0</v>
      </c>
      <c r="I2" s="162">
        <v>0</v>
      </c>
      <c r="J2" s="162">
        <v>1009.39</v>
      </c>
      <c r="K2" s="162" t="s">
        <v>400</v>
      </c>
      <c r="L2" s="162">
        <v>30.63</v>
      </c>
      <c r="M2" s="162">
        <v>1485068400</v>
      </c>
      <c r="N2" s="162">
        <v>6.25</v>
      </c>
      <c r="O2" s="162">
        <v>287</v>
      </c>
      <c r="P2" s="162">
        <v>2.11</v>
      </c>
      <c r="Q2"/>
      <c r="R2"/>
    </row>
    <row r="3" spans="1:18" x14ac:dyDescent="0.25">
      <c r="A3" s="162">
        <v>29.46</v>
      </c>
      <c r="B3" s="162">
        <v>0.67</v>
      </c>
      <c r="C3" s="162">
        <v>22.76</v>
      </c>
      <c r="D3" s="8">
        <v>42757.041666666664</v>
      </c>
      <c r="E3" s="162">
        <v>0.76</v>
      </c>
      <c r="F3" s="162" t="s">
        <v>399</v>
      </c>
      <c r="G3" s="162">
        <v>345.24</v>
      </c>
      <c r="H3" s="162">
        <v>0</v>
      </c>
      <c r="I3" s="162">
        <v>0</v>
      </c>
      <c r="J3" s="162">
        <v>1010.58</v>
      </c>
      <c r="K3" s="162" t="s">
        <v>400</v>
      </c>
      <c r="L3" s="162">
        <v>29.46</v>
      </c>
      <c r="M3" s="162">
        <v>1485072000</v>
      </c>
      <c r="N3" s="162">
        <v>6.6</v>
      </c>
      <c r="O3" s="162">
        <v>273</v>
      </c>
      <c r="P3" s="162">
        <v>1.85</v>
      </c>
      <c r="Q3"/>
      <c r="R3"/>
    </row>
    <row r="4" spans="1:18" x14ac:dyDescent="0.25">
      <c r="A4" s="162">
        <v>28.15</v>
      </c>
      <c r="B4" s="162">
        <v>0.59</v>
      </c>
      <c r="C4" s="162">
        <v>21.69</v>
      </c>
      <c r="D4" s="8">
        <v>42757.083333333336</v>
      </c>
      <c r="E4" s="162">
        <v>0.76</v>
      </c>
      <c r="F4" s="162" t="s">
        <v>399</v>
      </c>
      <c r="G4" s="162">
        <v>343.39</v>
      </c>
      <c r="H4" s="162">
        <v>0</v>
      </c>
      <c r="I4" s="162">
        <v>0</v>
      </c>
      <c r="J4" s="162">
        <v>1011.5</v>
      </c>
      <c r="K4" s="162" t="s">
        <v>402</v>
      </c>
      <c r="L4" s="162">
        <v>28.15</v>
      </c>
      <c r="M4" s="162">
        <v>1485075600</v>
      </c>
      <c r="N4" s="162">
        <v>6.09</v>
      </c>
      <c r="O4" s="162">
        <v>239</v>
      </c>
      <c r="P4" s="162">
        <v>2.0299999999999998</v>
      </c>
      <c r="Q4"/>
      <c r="R4"/>
    </row>
    <row r="5" spans="1:18" x14ac:dyDescent="0.25">
      <c r="A5" s="162">
        <v>29</v>
      </c>
      <c r="B5" s="162">
        <v>0.57999999999999996</v>
      </c>
      <c r="C5" s="162">
        <v>22.04</v>
      </c>
      <c r="D5" s="8">
        <v>42757.125</v>
      </c>
      <c r="E5" s="162">
        <v>0.75</v>
      </c>
      <c r="F5" s="162" t="s">
        <v>399</v>
      </c>
      <c r="G5" s="162">
        <v>340.57</v>
      </c>
      <c r="H5" s="162">
        <v>0</v>
      </c>
      <c r="I5" s="162">
        <v>0</v>
      </c>
      <c r="J5" s="162">
        <v>1012.65</v>
      </c>
      <c r="K5" s="162" t="s">
        <v>402</v>
      </c>
      <c r="L5" s="162">
        <v>29</v>
      </c>
      <c r="M5" s="162">
        <v>1485079200</v>
      </c>
      <c r="N5" s="162">
        <v>9.83</v>
      </c>
      <c r="O5" s="162">
        <v>241</v>
      </c>
      <c r="P5" s="162">
        <v>2.16</v>
      </c>
      <c r="Q5"/>
      <c r="R5"/>
    </row>
    <row r="6" spans="1:18" x14ac:dyDescent="0.25">
      <c r="A6" s="162">
        <v>28.52</v>
      </c>
      <c r="B6" s="162">
        <v>0.64</v>
      </c>
      <c r="C6" s="162">
        <v>19.399999999999999</v>
      </c>
      <c r="D6" s="8">
        <v>42757.166666666664</v>
      </c>
      <c r="E6" s="162">
        <v>0.68</v>
      </c>
      <c r="F6" s="162" t="s">
        <v>399</v>
      </c>
      <c r="G6" s="162">
        <v>337.27</v>
      </c>
      <c r="H6" s="162">
        <v>0</v>
      </c>
      <c r="I6" s="162">
        <v>0</v>
      </c>
      <c r="J6" s="162">
        <v>1013.91</v>
      </c>
      <c r="K6" s="162" t="s">
        <v>400</v>
      </c>
      <c r="L6" s="162">
        <v>28.52</v>
      </c>
      <c r="M6" s="162">
        <v>1485082800</v>
      </c>
      <c r="N6" s="162">
        <v>9.91</v>
      </c>
      <c r="O6" s="162">
        <v>268</v>
      </c>
      <c r="P6" s="162">
        <v>2.71</v>
      </c>
      <c r="Q6"/>
      <c r="R6"/>
    </row>
    <row r="7" spans="1:18" x14ac:dyDescent="0.25">
      <c r="A7" s="162">
        <v>23.38</v>
      </c>
      <c r="B7" s="162">
        <v>0.67</v>
      </c>
      <c r="C7" s="162">
        <v>13.61</v>
      </c>
      <c r="D7" s="8">
        <v>42757.208333333336</v>
      </c>
      <c r="E7" s="162">
        <v>0.51</v>
      </c>
      <c r="F7" s="162" t="s">
        <v>399</v>
      </c>
      <c r="G7" s="162">
        <v>333.56</v>
      </c>
      <c r="H7" s="162">
        <v>0</v>
      </c>
      <c r="I7" s="162">
        <v>0</v>
      </c>
      <c r="J7" s="162">
        <v>1015.11</v>
      </c>
      <c r="K7" s="162" t="s">
        <v>400</v>
      </c>
      <c r="L7" s="162">
        <v>29.68</v>
      </c>
      <c r="M7" s="162">
        <v>1485086400</v>
      </c>
      <c r="N7" s="162">
        <v>6.63</v>
      </c>
      <c r="O7" s="162">
        <v>276</v>
      </c>
      <c r="P7" s="162">
        <v>6.11</v>
      </c>
      <c r="Q7"/>
      <c r="R7"/>
    </row>
    <row r="8" spans="1:18" x14ac:dyDescent="0.25">
      <c r="A8" s="162">
        <v>23.23</v>
      </c>
      <c r="B8" s="162">
        <v>0.57999999999999996</v>
      </c>
      <c r="C8" s="162">
        <v>11.93</v>
      </c>
      <c r="D8" s="8">
        <v>42757.25</v>
      </c>
      <c r="E8" s="162">
        <v>0.48</v>
      </c>
      <c r="F8" s="162" t="s">
        <v>399</v>
      </c>
      <c r="G8" s="162">
        <v>329.46</v>
      </c>
      <c r="H8" s="162">
        <v>0</v>
      </c>
      <c r="I8" s="162">
        <v>0</v>
      </c>
      <c r="J8" s="162">
        <v>1016.03</v>
      </c>
      <c r="K8" s="162" t="s">
        <v>402</v>
      </c>
      <c r="L8" s="162">
        <v>28.93</v>
      </c>
      <c r="M8" s="162">
        <v>1485090000</v>
      </c>
      <c r="N8" s="162">
        <v>7.18</v>
      </c>
      <c r="O8" s="162">
        <v>267</v>
      </c>
      <c r="P8" s="162">
        <v>5.26</v>
      </c>
      <c r="Q8"/>
      <c r="R8"/>
    </row>
    <row r="9" spans="1:18" x14ac:dyDescent="0.25">
      <c r="A9" s="162">
        <v>23.62</v>
      </c>
      <c r="B9" s="162">
        <v>0.42</v>
      </c>
      <c r="C9" s="162">
        <v>12.94</v>
      </c>
      <c r="D9" s="8">
        <v>42757.291666666664</v>
      </c>
      <c r="E9" s="162">
        <v>0.53</v>
      </c>
      <c r="F9" s="162" t="s">
        <v>399</v>
      </c>
      <c r="G9" s="162">
        <v>324.95</v>
      </c>
      <c r="H9" s="162">
        <v>0</v>
      </c>
      <c r="I9" s="162">
        <v>0</v>
      </c>
      <c r="J9" s="162">
        <v>1016.86</v>
      </c>
      <c r="K9" s="162" t="s">
        <v>402</v>
      </c>
      <c r="L9" s="162">
        <v>28.04</v>
      </c>
      <c r="M9" s="162">
        <v>1485093600</v>
      </c>
      <c r="N9" s="162">
        <v>6.1</v>
      </c>
      <c r="O9" s="162">
        <v>247</v>
      </c>
      <c r="P9" s="162">
        <v>3.91</v>
      </c>
      <c r="Q9"/>
      <c r="R9"/>
    </row>
    <row r="10" spans="1:18" x14ac:dyDescent="0.25">
      <c r="A10" s="162">
        <v>25.52</v>
      </c>
      <c r="B10" s="162">
        <v>0.35</v>
      </c>
      <c r="C10" s="162">
        <v>14.04</v>
      </c>
      <c r="D10" s="8">
        <v>42757.333333333336</v>
      </c>
      <c r="E10" s="162">
        <v>0.53</v>
      </c>
      <c r="F10" s="162" t="s">
        <v>401</v>
      </c>
      <c r="G10" s="162">
        <v>319.95999999999998</v>
      </c>
      <c r="H10" s="162">
        <v>0</v>
      </c>
      <c r="I10" s="162">
        <v>0</v>
      </c>
      <c r="J10" s="162">
        <v>1017.24</v>
      </c>
      <c r="K10" s="162" t="s">
        <v>402</v>
      </c>
      <c r="L10" s="162">
        <v>28.96</v>
      </c>
      <c r="M10" s="162">
        <v>1485097200</v>
      </c>
      <c r="N10" s="162">
        <v>5.56</v>
      </c>
      <c r="O10" s="162">
        <v>243</v>
      </c>
      <c r="P10" s="162">
        <v>3.25</v>
      </c>
      <c r="Q10"/>
      <c r="R10"/>
    </row>
    <row r="11" spans="1:18" x14ac:dyDescent="0.25">
      <c r="A11" s="162">
        <v>33.479999999999997</v>
      </c>
      <c r="B11" s="162">
        <v>0.32</v>
      </c>
      <c r="C11" s="162">
        <v>16.440000000000001</v>
      </c>
      <c r="D11" s="8">
        <v>42757.375</v>
      </c>
      <c r="E11" s="162">
        <v>0.49</v>
      </c>
      <c r="F11" s="162" t="s">
        <v>401</v>
      </c>
      <c r="G11" s="162">
        <v>313.95999999999998</v>
      </c>
      <c r="H11" s="162">
        <v>0</v>
      </c>
      <c r="I11" s="162">
        <v>0</v>
      </c>
      <c r="J11" s="162">
        <v>1016.85</v>
      </c>
      <c r="K11" s="162" t="s">
        <v>402</v>
      </c>
      <c r="L11" s="162">
        <v>33.479999999999997</v>
      </c>
      <c r="M11" s="162">
        <v>1485100800</v>
      </c>
      <c r="N11" s="162">
        <v>5.31</v>
      </c>
      <c r="O11" s="162">
        <v>262</v>
      </c>
      <c r="P11" s="162">
        <v>1.88</v>
      </c>
      <c r="Q11"/>
      <c r="R11"/>
    </row>
    <row r="12" spans="1:18" x14ac:dyDescent="0.25">
      <c r="A12" s="162">
        <v>38.020000000000003</v>
      </c>
      <c r="B12" s="162">
        <v>0.33</v>
      </c>
      <c r="C12" s="162">
        <v>14.79</v>
      </c>
      <c r="D12" s="8">
        <v>42757.416666666664</v>
      </c>
      <c r="E12" s="162">
        <v>0.38</v>
      </c>
      <c r="F12" s="162" t="s">
        <v>401</v>
      </c>
      <c r="G12" s="162">
        <v>307.48</v>
      </c>
      <c r="H12" s="162">
        <v>0</v>
      </c>
      <c r="I12" s="162">
        <v>0</v>
      </c>
      <c r="J12" s="162">
        <v>1016.03</v>
      </c>
      <c r="K12" s="162" t="s">
        <v>402</v>
      </c>
      <c r="L12" s="162">
        <v>38.020000000000003</v>
      </c>
      <c r="M12" s="162">
        <v>1485104400</v>
      </c>
      <c r="N12" s="162">
        <v>5.23</v>
      </c>
      <c r="O12" s="162">
        <v>276</v>
      </c>
      <c r="P12" s="162">
        <v>2.39</v>
      </c>
      <c r="Q12"/>
      <c r="R12"/>
    </row>
    <row r="13" spans="1:18" x14ac:dyDescent="0.25">
      <c r="A13" s="162">
        <v>39.22</v>
      </c>
      <c r="B13" s="162">
        <v>0.33</v>
      </c>
      <c r="C13" s="162">
        <v>13.54</v>
      </c>
      <c r="D13" s="8">
        <v>42757.458333333336</v>
      </c>
      <c r="E13" s="162">
        <v>0.31</v>
      </c>
      <c r="F13" s="162" t="s">
        <v>401</v>
      </c>
      <c r="G13" s="162">
        <v>302.13</v>
      </c>
      <c r="H13" s="162">
        <v>0</v>
      </c>
      <c r="I13" s="162">
        <v>0</v>
      </c>
      <c r="J13" s="162">
        <v>1015.25</v>
      </c>
      <c r="K13" s="162" t="s">
        <v>402</v>
      </c>
      <c r="L13" s="162">
        <v>41.62</v>
      </c>
      <c r="M13" s="162">
        <v>1485108000</v>
      </c>
      <c r="N13" s="162">
        <v>5.21</v>
      </c>
      <c r="O13" s="162">
        <v>301</v>
      </c>
      <c r="P13" s="162">
        <v>3.97</v>
      </c>
      <c r="Q13"/>
      <c r="R13"/>
    </row>
    <row r="14" spans="1:18" x14ac:dyDescent="0.25">
      <c r="A14" s="162">
        <v>43.94</v>
      </c>
      <c r="B14" s="162">
        <v>0.32</v>
      </c>
      <c r="C14" s="162">
        <v>11.65</v>
      </c>
      <c r="D14" s="8">
        <v>42757.5</v>
      </c>
      <c r="E14" s="162">
        <v>0.25</v>
      </c>
      <c r="F14" s="162" t="s">
        <v>401</v>
      </c>
      <c r="G14" s="162">
        <v>298.97000000000003</v>
      </c>
      <c r="H14" s="162">
        <v>0</v>
      </c>
      <c r="I14" s="162">
        <v>0</v>
      </c>
      <c r="J14" s="162">
        <v>1014.57</v>
      </c>
      <c r="K14" s="162" t="s">
        <v>402</v>
      </c>
      <c r="L14" s="162">
        <v>45.41</v>
      </c>
      <c r="M14" s="162">
        <v>1485111600</v>
      </c>
      <c r="N14" s="162">
        <v>5.21</v>
      </c>
      <c r="O14" s="162">
        <v>325</v>
      </c>
      <c r="P14" s="162">
        <v>3.57</v>
      </c>
      <c r="Q14"/>
      <c r="R14"/>
    </row>
    <row r="15" spans="1:18" x14ac:dyDescent="0.25">
      <c r="A15" s="162">
        <v>46.25</v>
      </c>
      <c r="B15" s="162">
        <v>0.3</v>
      </c>
      <c r="C15" s="162">
        <v>11.81</v>
      </c>
      <c r="D15" s="8">
        <v>42757.541666666664</v>
      </c>
      <c r="E15" s="162">
        <v>0.24</v>
      </c>
      <c r="F15" s="162" t="s">
        <v>401</v>
      </c>
      <c r="G15" s="162">
        <v>296.94</v>
      </c>
      <c r="H15" s="162">
        <v>0</v>
      </c>
      <c r="I15" s="162">
        <v>0</v>
      </c>
      <c r="J15" s="162">
        <v>1013.95</v>
      </c>
      <c r="K15" s="162" t="s">
        <v>402</v>
      </c>
      <c r="L15" s="162">
        <v>46.25</v>
      </c>
      <c r="M15" s="162">
        <v>1485115200</v>
      </c>
      <c r="N15" s="162">
        <v>10</v>
      </c>
      <c r="O15" s="162">
        <v>330</v>
      </c>
      <c r="P15" s="162">
        <v>2.48</v>
      </c>
      <c r="Q15"/>
      <c r="R15"/>
    </row>
    <row r="16" spans="1:18" x14ac:dyDescent="0.25">
      <c r="A16" s="162">
        <v>48.16</v>
      </c>
      <c r="B16" s="162">
        <v>0.32</v>
      </c>
      <c r="C16" s="162">
        <v>10.76</v>
      </c>
      <c r="D16" s="8">
        <v>42757.583333333336</v>
      </c>
      <c r="E16" s="162">
        <v>0.22</v>
      </c>
      <c r="F16" s="162" t="s">
        <v>401</v>
      </c>
      <c r="G16" s="162">
        <v>294.43</v>
      </c>
      <c r="H16" s="162">
        <v>0</v>
      </c>
      <c r="I16" s="162">
        <v>0</v>
      </c>
      <c r="J16" s="162">
        <v>1013.43</v>
      </c>
      <c r="K16" s="162" t="s">
        <v>402</v>
      </c>
      <c r="L16" s="162">
        <v>48.16</v>
      </c>
      <c r="M16" s="162">
        <v>1485118800</v>
      </c>
      <c r="N16" s="162">
        <v>5.23</v>
      </c>
      <c r="O16" s="162">
        <v>346</v>
      </c>
      <c r="P16" s="162">
        <v>2.1</v>
      </c>
      <c r="Q16"/>
      <c r="R16"/>
    </row>
    <row r="17" spans="1:18" x14ac:dyDescent="0.25">
      <c r="A17" s="162">
        <v>46.92</v>
      </c>
      <c r="B17" s="162">
        <v>0.37</v>
      </c>
      <c r="C17" s="162">
        <v>10.71</v>
      </c>
      <c r="D17" s="8">
        <v>42757.625</v>
      </c>
      <c r="E17" s="162">
        <v>0.23</v>
      </c>
      <c r="F17" s="162" t="s">
        <v>401</v>
      </c>
      <c r="G17" s="162">
        <v>290.45</v>
      </c>
      <c r="H17" s="162">
        <v>0</v>
      </c>
      <c r="I17" s="162">
        <v>0</v>
      </c>
      <c r="J17" s="162">
        <v>1013.27</v>
      </c>
      <c r="K17" s="162" t="s">
        <v>402</v>
      </c>
      <c r="L17" s="162">
        <v>46.92</v>
      </c>
      <c r="M17" s="162">
        <v>1485122400</v>
      </c>
      <c r="N17" s="162">
        <v>5.33</v>
      </c>
      <c r="O17" s="162">
        <v>51</v>
      </c>
      <c r="P17" s="162">
        <v>1.7</v>
      </c>
      <c r="Q17"/>
      <c r="R17"/>
    </row>
    <row r="18" spans="1:18" x14ac:dyDescent="0.25">
      <c r="A18" s="162">
        <v>44.09</v>
      </c>
      <c r="B18" s="162">
        <v>0.44</v>
      </c>
      <c r="C18" s="162">
        <v>10.27</v>
      </c>
      <c r="D18" s="8">
        <v>42757.666666666664</v>
      </c>
      <c r="E18" s="162">
        <v>0.24</v>
      </c>
      <c r="F18" s="162" t="s">
        <v>401</v>
      </c>
      <c r="G18" s="162">
        <v>285.99</v>
      </c>
      <c r="H18" s="162">
        <v>0</v>
      </c>
      <c r="I18" s="162">
        <v>0</v>
      </c>
      <c r="J18" s="162">
        <v>1013.45</v>
      </c>
      <c r="K18" s="162" t="s">
        <v>402</v>
      </c>
      <c r="L18" s="162">
        <v>45.24</v>
      </c>
      <c r="M18" s="162">
        <v>1485126000</v>
      </c>
      <c r="N18" s="162">
        <v>5.67</v>
      </c>
      <c r="O18" s="162">
        <v>101</v>
      </c>
      <c r="P18" s="162">
        <v>3.2</v>
      </c>
      <c r="Q18"/>
      <c r="R18"/>
    </row>
    <row r="19" spans="1:18" x14ac:dyDescent="0.25">
      <c r="A19" s="162">
        <v>39.46</v>
      </c>
      <c r="B19" s="162">
        <v>0.51</v>
      </c>
      <c r="C19" s="162">
        <v>11.13</v>
      </c>
      <c r="D19" s="8">
        <v>42757.708333333336</v>
      </c>
      <c r="E19" s="162">
        <v>0.27</v>
      </c>
      <c r="F19" s="162" t="s">
        <v>401</v>
      </c>
      <c r="G19" s="162">
        <v>282.52999999999997</v>
      </c>
      <c r="H19" s="162">
        <v>0</v>
      </c>
      <c r="I19" s="162">
        <v>0</v>
      </c>
      <c r="J19" s="162">
        <v>1013.75</v>
      </c>
      <c r="K19" s="162" t="s">
        <v>402</v>
      </c>
      <c r="L19" s="162">
        <v>42.63</v>
      </c>
      <c r="M19" s="162">
        <v>1485129600</v>
      </c>
      <c r="N19" s="162">
        <v>10</v>
      </c>
      <c r="O19" s="162">
        <v>114</v>
      </c>
      <c r="P19" s="162">
        <v>5.14</v>
      </c>
      <c r="Q19"/>
      <c r="R19"/>
    </row>
    <row r="20" spans="1:18" x14ac:dyDescent="0.25">
      <c r="A20" s="162">
        <v>35.200000000000003</v>
      </c>
      <c r="B20" s="162">
        <v>0.53</v>
      </c>
      <c r="C20" s="162">
        <v>10.29</v>
      </c>
      <c r="D20" s="8">
        <v>42757.75</v>
      </c>
      <c r="E20" s="162">
        <v>0.31</v>
      </c>
      <c r="F20" s="162" t="s">
        <v>399</v>
      </c>
      <c r="G20" s="162">
        <v>280.83999999999997</v>
      </c>
      <c r="H20" s="162">
        <v>0</v>
      </c>
      <c r="I20" s="162">
        <v>0</v>
      </c>
      <c r="J20" s="162">
        <v>1013.71</v>
      </c>
      <c r="K20" s="162" t="s">
        <v>402</v>
      </c>
      <c r="L20" s="162">
        <v>38.44</v>
      </c>
      <c r="M20" s="162">
        <v>1485133200</v>
      </c>
      <c r="N20" s="162">
        <v>7.04</v>
      </c>
      <c r="O20" s="162">
        <v>122</v>
      </c>
      <c r="P20" s="162">
        <v>4.33</v>
      </c>
      <c r="Q20"/>
      <c r="R20"/>
    </row>
    <row r="21" spans="1:18" x14ac:dyDescent="0.25">
      <c r="A21" s="162">
        <v>36.82</v>
      </c>
      <c r="B21" s="162">
        <v>0.56999999999999995</v>
      </c>
      <c r="C21" s="162">
        <v>11.31</v>
      </c>
      <c r="D21" s="8">
        <v>42757.791666666664</v>
      </c>
      <c r="E21" s="162">
        <v>0.34</v>
      </c>
      <c r="F21" s="162" t="s">
        <v>399</v>
      </c>
      <c r="G21" s="162">
        <v>280.13</v>
      </c>
      <c r="H21" s="162">
        <v>0</v>
      </c>
      <c r="I21" s="162">
        <v>0</v>
      </c>
      <c r="J21" s="162">
        <v>1013.87</v>
      </c>
      <c r="K21" s="162" t="s">
        <v>402</v>
      </c>
      <c r="L21" s="162">
        <v>36.82</v>
      </c>
      <c r="M21" s="162">
        <v>1485136800</v>
      </c>
      <c r="N21" s="162">
        <v>7.05</v>
      </c>
      <c r="O21" s="162">
        <v>130</v>
      </c>
      <c r="P21" s="162">
        <v>2.96</v>
      </c>
      <c r="Q21"/>
      <c r="R21"/>
    </row>
    <row r="22" spans="1:18" x14ac:dyDescent="0.25">
      <c r="A22" s="162">
        <v>35.299999999999997</v>
      </c>
      <c r="B22" s="162">
        <v>0.61</v>
      </c>
      <c r="C22" s="162">
        <v>12.35</v>
      </c>
      <c r="D22" s="8">
        <v>42757.833333333336</v>
      </c>
      <c r="E22" s="162">
        <v>0.38</v>
      </c>
      <c r="F22" s="162" t="s">
        <v>399</v>
      </c>
      <c r="G22" s="162">
        <v>279.52999999999997</v>
      </c>
      <c r="H22" s="162">
        <v>0</v>
      </c>
      <c r="I22" s="162">
        <v>0</v>
      </c>
      <c r="J22" s="162">
        <v>1013.72</v>
      </c>
      <c r="K22" s="162" t="s">
        <v>400</v>
      </c>
      <c r="L22" s="162">
        <v>35.299999999999997</v>
      </c>
      <c r="M22" s="162">
        <v>1485140400</v>
      </c>
      <c r="N22" s="162">
        <v>6.06</v>
      </c>
      <c r="O22" s="162">
        <v>304</v>
      </c>
      <c r="P22" s="162">
        <v>0.42</v>
      </c>
      <c r="Q22"/>
      <c r="R22"/>
    </row>
    <row r="23" spans="1:18" x14ac:dyDescent="0.25">
      <c r="A23" s="162">
        <v>35.08</v>
      </c>
      <c r="B23" s="162">
        <v>0.75</v>
      </c>
      <c r="C23" s="162">
        <v>14.4</v>
      </c>
      <c r="D23" s="8">
        <v>42757.875</v>
      </c>
      <c r="E23" s="162">
        <v>0.42</v>
      </c>
      <c r="F23" s="162" t="s">
        <v>399</v>
      </c>
      <c r="G23" s="162">
        <v>278.64999999999998</v>
      </c>
      <c r="H23" s="162">
        <v>0</v>
      </c>
      <c r="I23" s="162">
        <v>0</v>
      </c>
      <c r="J23" s="162">
        <v>1012.93</v>
      </c>
      <c r="K23" s="162" t="s">
        <v>400</v>
      </c>
      <c r="L23" s="162">
        <v>35.08</v>
      </c>
      <c r="M23" s="162">
        <v>1485144000</v>
      </c>
      <c r="N23" s="162">
        <v>5.32</v>
      </c>
      <c r="O23" s="162">
        <v>265</v>
      </c>
      <c r="P23" s="162">
        <v>1.2</v>
      </c>
      <c r="Q23"/>
      <c r="R23"/>
    </row>
    <row r="24" spans="1:18" x14ac:dyDescent="0.25">
      <c r="A24" s="162">
        <v>33.94</v>
      </c>
      <c r="B24" s="162">
        <v>0.8</v>
      </c>
      <c r="C24" s="162">
        <v>14.82</v>
      </c>
      <c r="D24" s="8">
        <v>42757.916666666664</v>
      </c>
      <c r="E24" s="162">
        <v>0.45</v>
      </c>
      <c r="F24" s="162" t="s">
        <v>399</v>
      </c>
      <c r="G24" s="162">
        <v>277.87</v>
      </c>
      <c r="H24" s="162">
        <v>0</v>
      </c>
      <c r="I24" s="162">
        <v>0</v>
      </c>
      <c r="J24" s="162">
        <v>1011.8</v>
      </c>
      <c r="K24" s="162" t="s">
        <v>400</v>
      </c>
      <c r="L24" s="162">
        <v>33.94</v>
      </c>
      <c r="M24" s="162">
        <v>1485147600</v>
      </c>
      <c r="N24" s="162">
        <v>5.35</v>
      </c>
      <c r="O24" s="162">
        <v>248</v>
      </c>
      <c r="P24" s="162">
        <v>1.84</v>
      </c>
      <c r="Q24"/>
      <c r="R24"/>
    </row>
    <row r="25" spans="1:18" x14ac:dyDescent="0.25">
      <c r="A25" s="162">
        <v>33.28</v>
      </c>
      <c r="B25" s="162">
        <v>0.83</v>
      </c>
      <c r="C25" s="162">
        <v>14.33</v>
      </c>
      <c r="D25" s="8">
        <v>42757.958333333336</v>
      </c>
      <c r="E25" s="162">
        <v>0.45</v>
      </c>
      <c r="F25" s="162" t="s">
        <v>399</v>
      </c>
      <c r="G25" s="162">
        <v>277.44</v>
      </c>
      <c r="H25" s="162">
        <v>0</v>
      </c>
      <c r="I25" s="162">
        <v>0</v>
      </c>
      <c r="J25" s="162">
        <v>1010.85</v>
      </c>
      <c r="K25" s="162" t="s">
        <v>400</v>
      </c>
      <c r="L25" s="162">
        <v>33.28</v>
      </c>
      <c r="M25" s="162">
        <v>1485151200</v>
      </c>
      <c r="N25" s="162">
        <v>5.7</v>
      </c>
      <c r="O25" s="162">
        <v>248</v>
      </c>
      <c r="P25" s="162">
        <v>2.4500000000000002</v>
      </c>
      <c r="Q25"/>
      <c r="R25"/>
    </row>
    <row r="26" spans="1:18" x14ac:dyDescent="0.25">
      <c r="A26" s="162">
        <v>32.880000000000003</v>
      </c>
      <c r="B26" s="162">
        <v>0.75</v>
      </c>
      <c r="C26" s="162">
        <v>14.44</v>
      </c>
      <c r="D26" s="8">
        <v>42758</v>
      </c>
      <c r="E26" s="162">
        <v>0.46</v>
      </c>
      <c r="F26" s="162" t="s">
        <v>399</v>
      </c>
      <c r="G26" s="162">
        <v>277.81</v>
      </c>
      <c r="H26" s="162">
        <v>0</v>
      </c>
      <c r="I26" s="162">
        <v>0</v>
      </c>
      <c r="J26" s="162">
        <v>1010.91</v>
      </c>
      <c r="K26" s="162" t="s">
        <v>400</v>
      </c>
      <c r="L26" s="162">
        <v>32.880000000000003</v>
      </c>
      <c r="M26" s="162">
        <v>1485154800</v>
      </c>
      <c r="N26" s="162">
        <v>5.93</v>
      </c>
      <c r="O26" s="162">
        <v>308</v>
      </c>
      <c r="P26" s="162">
        <v>1.06</v>
      </c>
      <c r="Q26"/>
      <c r="R26"/>
    </row>
    <row r="27" spans="1:18" x14ac:dyDescent="0.25">
      <c r="A27" s="162">
        <v>33.36</v>
      </c>
      <c r="B27" s="162">
        <v>0.84</v>
      </c>
      <c r="C27" s="162">
        <v>16.3</v>
      </c>
      <c r="D27" s="8">
        <v>42758.041666666664</v>
      </c>
      <c r="E27" s="162">
        <v>0.49</v>
      </c>
      <c r="F27" s="162" t="s">
        <v>399</v>
      </c>
      <c r="G27" s="162">
        <v>278.18</v>
      </c>
      <c r="H27" s="162">
        <v>0</v>
      </c>
      <c r="I27" s="162">
        <v>0</v>
      </c>
      <c r="J27" s="162">
        <v>1010.6</v>
      </c>
      <c r="K27" s="162" t="s">
        <v>400</v>
      </c>
      <c r="L27" s="162">
        <v>33.36</v>
      </c>
      <c r="M27" s="162">
        <v>1485158400</v>
      </c>
      <c r="N27" s="162">
        <v>6.03</v>
      </c>
      <c r="O27" s="162">
        <v>298</v>
      </c>
      <c r="P27" s="162">
        <v>0.71</v>
      </c>
      <c r="Q27"/>
      <c r="R27"/>
    </row>
    <row r="28" spans="1:18" x14ac:dyDescent="0.25">
      <c r="A28" s="162">
        <v>33.5</v>
      </c>
      <c r="B28" s="162">
        <v>0.83</v>
      </c>
      <c r="C28" s="162">
        <v>16.940000000000001</v>
      </c>
      <c r="D28" s="8">
        <v>42758.083333333336</v>
      </c>
      <c r="E28" s="162">
        <v>0.5</v>
      </c>
      <c r="F28" s="162" t="s">
        <v>399</v>
      </c>
      <c r="G28" s="162">
        <v>278.54000000000002</v>
      </c>
      <c r="H28" s="162">
        <v>0</v>
      </c>
      <c r="I28" s="162">
        <v>0</v>
      </c>
      <c r="J28" s="162">
        <v>1009.77</v>
      </c>
      <c r="K28" s="162" t="s">
        <v>400</v>
      </c>
      <c r="L28" s="162">
        <v>33.5</v>
      </c>
      <c r="M28" s="162">
        <v>1485162000</v>
      </c>
      <c r="N28" s="162">
        <v>3.94</v>
      </c>
      <c r="O28" s="162">
        <v>303</v>
      </c>
      <c r="P28" s="162">
        <v>1.67</v>
      </c>
      <c r="Q28"/>
      <c r="R28"/>
    </row>
    <row r="29" spans="1:18" x14ac:dyDescent="0.25">
      <c r="A29" s="162">
        <v>30.67</v>
      </c>
      <c r="B29" s="162">
        <v>0.77</v>
      </c>
      <c r="C29" s="162">
        <v>16.53</v>
      </c>
      <c r="D29" s="8">
        <v>42758.125</v>
      </c>
      <c r="E29" s="162">
        <v>0.55000000000000004</v>
      </c>
      <c r="F29" s="162" t="s">
        <v>399</v>
      </c>
      <c r="G29" s="162">
        <v>279.3</v>
      </c>
      <c r="H29" s="162">
        <v>0</v>
      </c>
      <c r="I29" s="162">
        <v>0</v>
      </c>
      <c r="J29" s="162">
        <v>1009.11</v>
      </c>
      <c r="K29" s="162" t="s">
        <v>400</v>
      </c>
      <c r="L29" s="162">
        <v>30.67</v>
      </c>
      <c r="M29" s="162">
        <v>1485165600</v>
      </c>
      <c r="N29" s="162">
        <v>6.44</v>
      </c>
      <c r="O29" s="162">
        <v>256</v>
      </c>
      <c r="P29" s="162">
        <v>1.5</v>
      </c>
      <c r="Q29"/>
      <c r="R29"/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193</v>
      </c>
    </row>
    <row r="33" spans="1:1" x14ac:dyDescent="0.25">
      <c r="A33" s="167" t="s">
        <v>181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42757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194</v>
      </c>
      <c r="J17" s="183"/>
      <c r="K17" s="184"/>
      <c r="L17" s="184"/>
    </row>
    <row r="18" spans="3:13" x14ac:dyDescent="0.25">
      <c r="C18" t="s">
        <v>796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797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798</v>
      </c>
      <c r="J20" s="162" t="s">
        <v>87</v>
      </c>
      <c r="M20" s="162" t="s">
        <v>228</v>
      </c>
    </row>
    <row r="21" spans="3:13" x14ac:dyDescent="0.25">
      <c r="C21" t="s">
        <v>799</v>
      </c>
      <c r="J21" s="162" t="s">
        <v>90</v>
      </c>
      <c r="K21" s="162" t="s">
        <v>91</v>
      </c>
      <c r="M21" s="162" t="s">
        <v>180</v>
      </c>
    </row>
    <row r="22" spans="3:13" x14ac:dyDescent="0.25">
      <c r="C22" t="s">
        <v>800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801</v>
      </c>
      <c r="J23" s="185" t="s">
        <v>95</v>
      </c>
      <c r="M23" s="162" t="str">
        <f>"-07"</f>
        <v>-07</v>
      </c>
    </row>
    <row r="24" spans="3:13" x14ac:dyDescent="0.25">
      <c r="C24" t="s">
        <v>802</v>
      </c>
      <c r="J24" s="162" t="s">
        <v>108</v>
      </c>
      <c r="M24" s="162" t="s">
        <v>110</v>
      </c>
    </row>
    <row r="25" spans="3:13" x14ac:dyDescent="0.25">
      <c r="C25" t="s">
        <v>803</v>
      </c>
      <c r="J25" s="162" t="s">
        <v>150</v>
      </c>
      <c r="M25" s="162" t="b">
        <v>1</v>
      </c>
    </row>
    <row r="26" spans="3:13" x14ac:dyDescent="0.25">
      <c r="C26" t="s">
        <v>804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C:\Users\stu\Documents\GitHub\eaglep3-reporting\EC\2017-01-22-refined-times.txt</v>
      </c>
    </row>
    <row r="27" spans="3:13" x14ac:dyDescent="0.25">
      <c r="C27" t="s">
        <v>805</v>
      </c>
      <c r="J27" s="162" t="s">
        <v>182</v>
      </c>
      <c r="M27" s="162" t="str">
        <f>"C:\Users\stu\Documents\GitHub\eaglep3-reporting\EC\"&amp;TEXT(A2,"YYYY-MM-DD")&amp;"-Enforcements.txt"</f>
        <v>C:\Users\stu\Documents\GitHub\eaglep3-reporting\EC\2017-01-22-Enforcements.txt</v>
      </c>
    </row>
    <row r="28" spans="3:13" x14ac:dyDescent="0.25">
      <c r="J28" s="162" t="s">
        <v>183</v>
      </c>
      <c r="M28" s="162" t="str">
        <f>"C:\Users\stu\Documents\GitHub\eaglep3-reporting\EC\"&amp;TEXT(A2,"YYYY-MM-DD")&amp;"-Runs-refined.txt"</f>
        <v>C:\Users\stu\Documents\GitHub\eaglep3-reporting\EC\2017-01-22-Runs-refined.txt</v>
      </c>
    </row>
    <row r="29" spans="3:13" x14ac:dyDescent="0.25">
      <c r="J29" s="162" t="s">
        <v>184</v>
      </c>
      <c r="M29" s="162" t="str">
        <f>"C:\Users\stu\Documents\GitHub\eaglep3-reporting\EC\"&amp;TEXT(A2,"YYYY-MM-DD")&amp;"-Trips.txt"</f>
        <v>C:\Users\stu\Documents\GitHub\eaglep3-reporting\EC\2017-01-22-Trips.txt</v>
      </c>
    </row>
    <row r="30" spans="3:13" x14ac:dyDescent="0.25">
      <c r="J30" s="162" t="s">
        <v>185</v>
      </c>
      <c r="M30" s="162" t="str">
        <f>"C:\Users\stu\Documents\GitHub\eaglep3-reporting\EC\"&amp;TEXT(A2,"YYYY-MM-DD")&amp;"-Weather.txt"</f>
        <v>C:\Users\stu\Documents\GitHub\eaglep3-reporting\EC\2017-01-22-Weather.txt</v>
      </c>
    </row>
    <row r="31" spans="3:13" x14ac:dyDescent="0.25">
      <c r="J31" s="162" t="s">
        <v>226</v>
      </c>
      <c r="M31" s="162" t="s">
        <v>227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173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174</v>
      </c>
    </row>
    <row r="15" spans="1:11" x14ac:dyDescent="0.25">
      <c r="C15" s="112" t="s">
        <v>198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815</v>
      </c>
      <c r="B1" t="str">
        <f t="shared" ref="B1:B30" si="0">MID(A1,6,23)</f>
        <v>2017/01/22 10:50:28.282</v>
      </c>
      <c r="C1" t="e">
        <f>ABS(B1-#REF!)</f>
        <v>#REF!</v>
      </c>
    </row>
    <row r="2" spans="1:3" x14ac:dyDescent="0.25">
      <c r="A2" t="s">
        <v>816</v>
      </c>
      <c r="B2" s="21" t="str">
        <f t="shared" si="0"/>
        <v>2017/01/22 10:50:28.887</v>
      </c>
      <c r="C2">
        <f>ABS(B2-B1)</f>
        <v>7.0023161242716014E-6</v>
      </c>
    </row>
    <row r="3" spans="1:3" x14ac:dyDescent="0.25">
      <c r="A3" t="s">
        <v>817</v>
      </c>
      <c r="B3" s="21" t="str">
        <f t="shared" si="0"/>
        <v>2017/01/22 10:50:29.883</v>
      </c>
      <c r="C3" s="21">
        <f t="shared" ref="C3:C30" si="1">ABS(B3-B2)</f>
        <v>1.1527772585395724E-5</v>
      </c>
    </row>
    <row r="4" spans="1:3" x14ac:dyDescent="0.25">
      <c r="A4" t="s">
        <v>818</v>
      </c>
      <c r="B4" s="21" t="str">
        <f t="shared" si="0"/>
        <v>2017/01/22 15:22:19.793</v>
      </c>
      <c r="C4" s="21">
        <f t="shared" si="1"/>
        <v>0.18877210648497567</v>
      </c>
    </row>
    <row r="5" spans="1:3" x14ac:dyDescent="0.25">
      <c r="A5" t="s">
        <v>819</v>
      </c>
      <c r="B5" s="21" t="str">
        <f t="shared" si="0"/>
        <v>2017/01/22 15:22:20.414</v>
      </c>
      <c r="C5" s="21">
        <f t="shared" si="1"/>
        <v>7.1874965215101838E-6</v>
      </c>
    </row>
    <row r="6" spans="1:3" x14ac:dyDescent="0.25">
      <c r="A6" t="s">
        <v>820</v>
      </c>
      <c r="B6" s="21" t="str">
        <f t="shared" si="0"/>
        <v>2017/01/22 15:22:20.800</v>
      </c>
      <c r="C6" s="21">
        <f t="shared" si="1"/>
        <v>4.4675980461761355E-6</v>
      </c>
    </row>
    <row r="7" spans="1:3" x14ac:dyDescent="0.25">
      <c r="A7" t="s">
        <v>821</v>
      </c>
      <c r="B7" s="21" t="str">
        <f t="shared" si="0"/>
        <v>2017/01/22 15:32:15.907</v>
      </c>
      <c r="C7" s="21">
        <f t="shared" si="1"/>
        <v>6.8878124948241748E-3</v>
      </c>
    </row>
    <row r="8" spans="1:3" x14ac:dyDescent="0.25">
      <c r="A8" t="s">
        <v>822</v>
      </c>
      <c r="B8" s="21" t="str">
        <f t="shared" si="0"/>
        <v>2017/01/22 15:32:16.299</v>
      </c>
      <c r="C8" s="21">
        <f t="shared" si="1"/>
        <v>4.5370397856459022E-6</v>
      </c>
    </row>
    <row r="9" spans="1:3" x14ac:dyDescent="0.25">
      <c r="A9" t="s">
        <v>823</v>
      </c>
      <c r="B9" s="21" t="str">
        <f t="shared" si="0"/>
        <v>2017/01/22 15:32:16.911</v>
      </c>
      <c r="C9" s="21">
        <f t="shared" si="1"/>
        <v>7.0833339123055339E-6</v>
      </c>
    </row>
    <row r="10" spans="1:3" x14ac:dyDescent="0.25">
      <c r="A10" t="s">
        <v>824</v>
      </c>
      <c r="B10" s="21" t="str">
        <f t="shared" si="0"/>
        <v>2017/01/22 16:36:37.590</v>
      </c>
      <c r="C10" s="21">
        <f t="shared" si="1"/>
        <v>4.4683784719381947E-2</v>
      </c>
    </row>
    <row r="11" spans="1:3" x14ac:dyDescent="0.25">
      <c r="A11" t="s">
        <v>825</v>
      </c>
      <c r="B11" s="21" t="str">
        <f t="shared" si="0"/>
        <v>2017/01/22 16:46:55.632</v>
      </c>
      <c r="C11" s="21">
        <f t="shared" si="1"/>
        <v>7.1532638903590851E-3</v>
      </c>
    </row>
    <row r="12" spans="1:3" x14ac:dyDescent="0.25">
      <c r="A12" t="s">
        <v>826</v>
      </c>
      <c r="B12" s="21" t="str">
        <f t="shared" si="0"/>
        <v>2017/01/22 16:46:56.227</v>
      </c>
      <c r="C12" s="21">
        <f t="shared" si="1"/>
        <v>6.8865774665027857E-6</v>
      </c>
    </row>
    <row r="13" spans="1:3" x14ac:dyDescent="0.25">
      <c r="A13" t="s">
        <v>827</v>
      </c>
      <c r="B13" s="21" t="str">
        <f t="shared" si="0"/>
        <v>2017/01/22 16:46:56.658</v>
      </c>
      <c r="C13" s="21">
        <f t="shared" si="1"/>
        <v>4.9884256441146135E-6</v>
      </c>
    </row>
    <row r="14" spans="1:3" x14ac:dyDescent="0.25">
      <c r="A14" t="s">
        <v>828</v>
      </c>
      <c r="B14" s="21" t="str">
        <f t="shared" si="0"/>
        <v>2017/01/22 17:27:49.084</v>
      </c>
      <c r="C14" s="21">
        <f t="shared" si="1"/>
        <v>2.838456018071156E-2</v>
      </c>
    </row>
    <row r="15" spans="1:3" x14ac:dyDescent="0.25">
      <c r="A15" t="s">
        <v>829</v>
      </c>
      <c r="B15" s="21" t="str">
        <f t="shared" si="0"/>
        <v>2017/01/22 17:27:49.542</v>
      </c>
      <c r="C15" s="21">
        <f t="shared" si="1"/>
        <v>5.3009280236437917E-6</v>
      </c>
    </row>
    <row r="16" spans="1:3" x14ac:dyDescent="0.25">
      <c r="A16" t="s">
        <v>830</v>
      </c>
      <c r="B16" s="21" t="str">
        <f t="shared" si="0"/>
        <v>2017/01/22 17:27:51.038</v>
      </c>
      <c r="C16" s="21">
        <f t="shared" si="1"/>
        <v>1.7314814613200724E-5</v>
      </c>
    </row>
    <row r="17" spans="1:3" x14ac:dyDescent="0.25">
      <c r="A17" t="s">
        <v>831</v>
      </c>
      <c r="B17" s="21" t="str">
        <f t="shared" si="0"/>
        <v>2017/01/22 17:29:40.804</v>
      </c>
      <c r="C17" s="21">
        <f t="shared" si="1"/>
        <v>1.2704398177447729E-3</v>
      </c>
    </row>
    <row r="18" spans="1:3" x14ac:dyDescent="0.25">
      <c r="A18" t="s">
        <v>832</v>
      </c>
      <c r="B18" s="21" t="str">
        <f t="shared" si="0"/>
        <v>2017/01/22 17:29:41.399</v>
      </c>
      <c r="C18" s="21">
        <f t="shared" si="1"/>
        <v>6.8865701905451715E-6</v>
      </c>
    </row>
    <row r="19" spans="1:3" x14ac:dyDescent="0.25">
      <c r="A19" t="s">
        <v>833</v>
      </c>
      <c r="B19" s="21" t="str">
        <f t="shared" si="0"/>
        <v>2017/01/22 17:31:59.393</v>
      </c>
      <c r="C19" s="21">
        <f t="shared" si="1"/>
        <v>1.5971527755027637E-3</v>
      </c>
    </row>
    <row r="20" spans="1:3" x14ac:dyDescent="0.25">
      <c r="A20" t="s">
        <v>834</v>
      </c>
      <c r="B20" s="21" t="str">
        <f t="shared" si="0"/>
        <v>2017/01/22 17:31:59.792</v>
      </c>
      <c r="C20" s="21">
        <f t="shared" si="1"/>
        <v>4.6180575736798346E-6</v>
      </c>
    </row>
    <row r="21" spans="1:3" x14ac:dyDescent="0.25">
      <c r="A21" t="s">
        <v>835</v>
      </c>
      <c r="B21" s="21" t="str">
        <f t="shared" si="0"/>
        <v>2017/01/22 17:35:17.998</v>
      </c>
      <c r="C21" s="21">
        <f t="shared" si="1"/>
        <v>2.2940509297768585E-3</v>
      </c>
    </row>
    <row r="22" spans="1:3" x14ac:dyDescent="0.25">
      <c r="A22" t="s">
        <v>836</v>
      </c>
      <c r="B22" s="21" t="str">
        <f t="shared" si="0"/>
        <v>2017/01/22 17:35:18.022</v>
      </c>
      <c r="C22" s="21">
        <f t="shared" si="1"/>
        <v>2.7777423383668065E-7</v>
      </c>
    </row>
    <row r="23" spans="1:3" x14ac:dyDescent="0.25">
      <c r="A23" t="s">
        <v>837</v>
      </c>
      <c r="B23" s="21" t="str">
        <f t="shared" si="0"/>
        <v>2017/01/22 17:35:18.034</v>
      </c>
      <c r="C23" s="21">
        <f t="shared" si="1"/>
        <v>1.3889075489714742E-7</v>
      </c>
    </row>
    <row r="24" spans="1:3" x14ac:dyDescent="0.25">
      <c r="A24" t="s">
        <v>838</v>
      </c>
      <c r="B24" s="21" t="str">
        <f t="shared" si="0"/>
        <v>2017/01/22 17:38:10.422</v>
      </c>
      <c r="C24" s="21">
        <f t="shared" si="1"/>
        <v>1.9952314833062701E-3</v>
      </c>
    </row>
    <row r="25" spans="1:3" x14ac:dyDescent="0.25">
      <c r="A25" t="s">
        <v>839</v>
      </c>
      <c r="B25" s="21" t="str">
        <f t="shared" si="0"/>
        <v>2017/01/22 20:43:41.520</v>
      </c>
      <c r="C25" s="21">
        <f t="shared" si="1"/>
        <v>0.12883215277543059</v>
      </c>
    </row>
    <row r="26" spans="1:3" x14ac:dyDescent="0.25">
      <c r="A26" t="s">
        <v>840</v>
      </c>
      <c r="B26" s="21" t="str">
        <f t="shared" si="0"/>
        <v>2017/01/22 21:08:16.026</v>
      </c>
      <c r="C26" s="21">
        <f t="shared" si="1"/>
        <v>1.706604166975012E-2</v>
      </c>
    </row>
    <row r="27" spans="1:3" x14ac:dyDescent="0.25">
      <c r="A27" t="s">
        <v>841</v>
      </c>
      <c r="B27" s="21" t="str">
        <f t="shared" si="0"/>
        <v>2017/01/22 21:08:16.531</v>
      </c>
      <c r="C27" s="21">
        <f t="shared" si="1"/>
        <v>5.8449004427529871E-6</v>
      </c>
    </row>
    <row r="28" spans="1:3" x14ac:dyDescent="0.25">
      <c r="A28" t="s">
        <v>842</v>
      </c>
      <c r="B28" s="21" t="str">
        <f t="shared" si="0"/>
        <v>2017/01/22 22:04:30.950</v>
      </c>
      <c r="C28" s="21">
        <f t="shared" si="1"/>
        <v>3.9055775465385523E-2</v>
      </c>
    </row>
    <row r="29" spans="1:3" x14ac:dyDescent="0.25">
      <c r="A29" t="s">
        <v>843</v>
      </c>
      <c r="B29" s="21" t="str">
        <f t="shared" si="0"/>
        <v>2017/01/22 22:04:31.449</v>
      </c>
      <c r="C29" s="21">
        <f t="shared" si="1"/>
        <v>5.7754659792408347E-6</v>
      </c>
    </row>
    <row r="30" spans="1:3" x14ac:dyDescent="0.25">
      <c r="A30" t="s">
        <v>844</v>
      </c>
      <c r="B30" s="21" t="str">
        <f t="shared" si="0"/>
        <v>2017/01/23 00:04:30.568</v>
      </c>
      <c r="C30" s="21">
        <f t="shared" si="1"/>
        <v>8.3323136568651535E-2</v>
      </c>
    </row>
    <row r="31" spans="1:3" x14ac:dyDescent="0.25">
      <c r="A31" t="s">
        <v>845</v>
      </c>
      <c r="B31" s="21" t="str">
        <f t="shared" ref="B31:B32" si="2">MID(A31,6,23)</f>
        <v>2017/01/23 00:04:31.605</v>
      </c>
      <c r="C31" s="21">
        <f t="shared" ref="C31:C32" si="3">ABS(B31-B30)</f>
        <v>1.2002317816950381E-5</v>
      </c>
    </row>
    <row r="32" spans="1:3" x14ac:dyDescent="0.25">
      <c r="A32" t="s">
        <v>846</v>
      </c>
      <c r="B32" s="21" t="str">
        <f t="shared" si="2"/>
        <v>2017/01/23 00:04:31.760</v>
      </c>
      <c r="C32" s="21">
        <f t="shared" si="3"/>
        <v>1.793981937225908E-6</v>
      </c>
    </row>
    <row r="33" spans="2:3" x14ac:dyDescent="0.25">
      <c r="B33" s="21"/>
      <c r="C33" s="21"/>
    </row>
    <row r="34" spans="2:3" x14ac:dyDescent="0.25">
      <c r="B34" s="21"/>
      <c r="C34" s="21"/>
    </row>
    <row r="35" spans="2:3" x14ac:dyDescent="0.25">
      <c r="B35" s="21"/>
      <c r="C35" s="21"/>
    </row>
    <row r="36" spans="2:3" x14ac:dyDescent="0.25">
      <c r="B36" s="21"/>
      <c r="C36" s="21"/>
    </row>
    <row r="37" spans="2:3" x14ac:dyDescent="0.25">
      <c r="B37" s="21"/>
      <c r="C37" s="21"/>
    </row>
    <row r="38" spans="2:3" x14ac:dyDescent="0.25">
      <c r="B38" s="21"/>
      <c r="C38" s="21"/>
    </row>
    <row r="39" spans="2:3" x14ac:dyDescent="0.25">
      <c r="B39" s="21"/>
      <c r="C39" s="21"/>
    </row>
    <row r="40" spans="2:3" x14ac:dyDescent="0.25">
      <c r="B40" s="21"/>
      <c r="C40" s="21"/>
    </row>
    <row r="41" spans="2:3" x14ac:dyDescent="0.25">
      <c r="B41" s="21"/>
      <c r="C41" s="21"/>
    </row>
    <row r="42" spans="2:3" x14ac:dyDescent="0.25">
      <c r="B42" s="21"/>
      <c r="C42" s="21"/>
    </row>
    <row r="43" spans="2:3" x14ac:dyDescent="0.25">
      <c r="B43" s="21"/>
      <c r="C43" s="21"/>
    </row>
    <row r="44" spans="2:3" x14ac:dyDescent="0.25">
      <c r="B44" s="21"/>
      <c r="C44" s="21"/>
    </row>
    <row r="45" spans="2:3" x14ac:dyDescent="0.25">
      <c r="B45" s="21"/>
      <c r="C45" s="21"/>
    </row>
    <row r="46" spans="2:3" x14ac:dyDescent="0.25">
      <c r="B46" s="21"/>
      <c r="C46" s="21"/>
    </row>
    <row r="47" spans="2:3" x14ac:dyDescent="0.25">
      <c r="B47" s="21"/>
      <c r="C47" s="21"/>
    </row>
    <row r="48" spans="2:3" x14ac:dyDescent="0.25">
      <c r="B48" s="21"/>
      <c r="C48" s="21"/>
    </row>
    <row r="49" spans="2:3" x14ac:dyDescent="0.25">
      <c r="B49" s="21"/>
      <c r="C49" s="21"/>
    </row>
    <row r="50" spans="2:3" x14ac:dyDescent="0.25">
      <c r="B50" s="21"/>
      <c r="C50" s="21"/>
    </row>
    <row r="51" spans="2:3" x14ac:dyDescent="0.25">
      <c r="B51" s="21"/>
      <c r="C51" s="21"/>
    </row>
    <row r="52" spans="2:3" x14ac:dyDescent="0.25">
      <c r="B52" s="21"/>
      <c r="C52" s="21"/>
    </row>
    <row r="53" spans="2:3" x14ac:dyDescent="0.25">
      <c r="B53" s="21"/>
      <c r="C53" s="21"/>
    </row>
    <row r="54" spans="2:3" x14ac:dyDescent="0.25">
      <c r="B54" s="21"/>
      <c r="C54" s="21"/>
    </row>
    <row r="55" spans="2:3" x14ac:dyDescent="0.25">
      <c r="B55" s="21"/>
      <c r="C55" s="21"/>
    </row>
    <row r="56" spans="2:3" x14ac:dyDescent="0.25">
      <c r="B56" s="21"/>
      <c r="C56" s="21"/>
    </row>
    <row r="57" spans="2:3" x14ac:dyDescent="0.25">
      <c r="B57" s="21"/>
      <c r="C57" s="21"/>
    </row>
    <row r="58" spans="2:3" x14ac:dyDescent="0.25">
      <c r="B58" s="21"/>
      <c r="C58" s="21"/>
    </row>
    <row r="59" spans="2:3" x14ac:dyDescent="0.25">
      <c r="B59" s="21"/>
      <c r="C59" s="21"/>
    </row>
    <row r="60" spans="2:3" x14ac:dyDescent="0.25">
      <c r="B60" s="21"/>
      <c r="C60" s="21"/>
    </row>
    <row r="61" spans="2:3" x14ac:dyDescent="0.25">
      <c r="B61" s="21"/>
      <c r="C61" s="21"/>
    </row>
    <row r="62" spans="2:3" x14ac:dyDescent="0.25">
      <c r="B62" s="21"/>
      <c r="C62" s="21"/>
    </row>
    <row r="63" spans="2:3" x14ac:dyDescent="0.25">
      <c r="B63" s="21"/>
      <c r="C63" s="21"/>
    </row>
    <row r="64" spans="2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2017-01-23T22:06:54Z</dcterms:modified>
</cp:coreProperties>
</file>