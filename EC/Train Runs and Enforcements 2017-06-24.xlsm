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Trips'!$A$2:$J$54</definedName>
    <definedName name="_xlnm._FilterDatabase" localSheetId="0" hidden="1">'Train Runs'!$A$12:$AG$275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82" i="1" l="1"/>
  <c r="P175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K68" i="1"/>
  <c r="L68" i="1"/>
  <c r="M68" i="1"/>
  <c r="N68" i="1" s="1"/>
  <c r="V68" i="1"/>
  <c r="AA68" i="1"/>
  <c r="AB68" i="1"/>
  <c r="AC68" i="1"/>
  <c r="AD68" i="1"/>
  <c r="T68" i="1" s="1"/>
  <c r="AE68" i="1"/>
  <c r="AF68" i="1"/>
  <c r="AH68" i="1"/>
  <c r="AM68" i="1"/>
  <c r="AN68" i="1"/>
  <c r="AG68" i="1"/>
  <c r="W68" i="1" l="1"/>
  <c r="AI68" i="1"/>
  <c r="U68" i="1"/>
  <c r="S68" i="1" s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P29" i="1" s="1"/>
  <c r="V29" i="1"/>
  <c r="Y29" i="1"/>
  <c r="AA29" i="1" s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AA31" i="1" s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/>
  <c r="V35" i="1"/>
  <c r="Y35" i="1"/>
  <c r="Z35" i="1"/>
  <c r="AB35" i="1"/>
  <c r="AC35" i="1"/>
  <c r="AD35" i="1"/>
  <c r="X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AF40" i="1"/>
  <c r="AH40" i="1"/>
  <c r="AM40" i="1"/>
  <c r="AN40" i="1"/>
  <c r="K41" i="1"/>
  <c r="L41" i="1"/>
  <c r="M41" i="1"/>
  <c r="N41" i="1" s="1"/>
  <c r="V41" i="1"/>
  <c r="S23" i="3" s="1"/>
  <c r="Y41" i="1"/>
  <c r="Z41" i="1"/>
  <c r="AB41" i="1"/>
  <c r="AC41" i="1"/>
  <c r="AD41" i="1"/>
  <c r="AE41" i="1"/>
  <c r="R23" i="3" s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S15" i="3" s="1"/>
  <c r="Y47" i="1"/>
  <c r="Z47" i="1"/>
  <c r="AA47" i="1"/>
  <c r="AB47" i="1"/>
  <c r="AC47" i="1"/>
  <c r="AD47" i="1"/>
  <c r="T47" i="1" s="1"/>
  <c r="AE47" i="1"/>
  <c r="R15" i="3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A57" i="1" s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AA65" i="1" s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X68" i="1" s="1"/>
  <c r="AE67" i="1"/>
  <c r="AF67" i="1"/>
  <c r="AH67" i="1"/>
  <c r="AM67" i="1"/>
  <c r="AN67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AB71" i="1"/>
  <c r="AC71" i="1"/>
  <c r="AD71" i="1"/>
  <c r="T71" i="1" s="1"/>
  <c r="AE71" i="1"/>
  <c r="R26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R13" i="3" s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R27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R17" i="3" s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4" i="1"/>
  <c r="AM94" i="1"/>
  <c r="AN94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5" i="1"/>
  <c r="AM95" i="1"/>
  <c r="AN95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6" i="1"/>
  <c r="AM96" i="1"/>
  <c r="AN96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7" i="1"/>
  <c r="AM97" i="1"/>
  <c r="AN97" i="1"/>
  <c r="K165" i="1"/>
  <c r="L165" i="1"/>
  <c r="M165" i="1"/>
  <c r="N165" i="1" s="1"/>
  <c r="V165" i="1"/>
  <c r="S31" i="3" s="1"/>
  <c r="Y165" i="1"/>
  <c r="Z165" i="1"/>
  <c r="AB165" i="1"/>
  <c r="AC165" i="1"/>
  <c r="AD165" i="1"/>
  <c r="T165" i="1" s="1"/>
  <c r="AE165" i="1"/>
  <c r="AF165" i="1"/>
  <c r="AH98" i="1"/>
  <c r="AM98" i="1"/>
  <c r="AN98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R33" i="3" s="1"/>
  <c r="AF166" i="1"/>
  <c r="AH99" i="1"/>
  <c r="AM99" i="1"/>
  <c r="AN99" i="1"/>
  <c r="K167" i="1"/>
  <c r="L167" i="1"/>
  <c r="M167" i="1"/>
  <c r="N167" i="1" s="1"/>
  <c r="V167" i="1"/>
  <c r="S34" i="3" s="1"/>
  <c r="Y167" i="1"/>
  <c r="Z167" i="1"/>
  <c r="AB167" i="1"/>
  <c r="AC167" i="1"/>
  <c r="AD167" i="1"/>
  <c r="AE167" i="1"/>
  <c r="AF167" i="1"/>
  <c r="AH100" i="1"/>
  <c r="AM100" i="1"/>
  <c r="AN100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1" i="1"/>
  <c r="AM101" i="1"/>
  <c r="AN101" i="1"/>
  <c r="K169" i="1"/>
  <c r="L169" i="1"/>
  <c r="M169" i="1"/>
  <c r="N169" i="1" s="1"/>
  <c r="V169" i="1"/>
  <c r="S32" i="3" s="1"/>
  <c r="Y169" i="1"/>
  <c r="Z169" i="1"/>
  <c r="AB169" i="1"/>
  <c r="AC169" i="1"/>
  <c r="AD169" i="1"/>
  <c r="T169" i="1" s="1"/>
  <c r="AE169" i="1"/>
  <c r="AF169" i="1"/>
  <c r="AH102" i="1"/>
  <c r="AM102" i="1"/>
  <c r="AN102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3" i="1"/>
  <c r="AM103" i="1"/>
  <c r="AN103" i="1"/>
  <c r="K94" i="1"/>
  <c r="L94" i="1"/>
  <c r="M94" i="1"/>
  <c r="N94" i="1" s="1"/>
  <c r="V94" i="1"/>
  <c r="X94" i="1"/>
  <c r="Y94" i="1"/>
  <c r="Z94" i="1"/>
  <c r="AB94" i="1"/>
  <c r="AC94" i="1"/>
  <c r="AD94" i="1"/>
  <c r="T94" i="1" s="1"/>
  <c r="AE94" i="1"/>
  <c r="AF94" i="1"/>
  <c r="AH104" i="1"/>
  <c r="AM104" i="1"/>
  <c r="AN104" i="1"/>
  <c r="K171" i="1"/>
  <c r="L171" i="1"/>
  <c r="M171" i="1"/>
  <c r="N171" i="1" s="1"/>
  <c r="V171" i="1"/>
  <c r="Y171" i="1"/>
  <c r="Z171" i="1"/>
  <c r="AB171" i="1"/>
  <c r="AC171" i="1"/>
  <c r="AD171" i="1"/>
  <c r="X171" i="1" s="1"/>
  <c r="AE171" i="1"/>
  <c r="AF171" i="1"/>
  <c r="AH105" i="1"/>
  <c r="AM105" i="1"/>
  <c r="AN105" i="1"/>
  <c r="K172" i="1"/>
  <c r="L172" i="1"/>
  <c r="M172" i="1"/>
  <c r="N172" i="1" s="1"/>
  <c r="V172" i="1"/>
  <c r="Y172" i="1"/>
  <c r="Z172" i="1"/>
  <c r="AB172" i="1"/>
  <c r="AC172" i="1"/>
  <c r="AD172" i="1"/>
  <c r="AE172" i="1"/>
  <c r="R35" i="3" s="1"/>
  <c r="AF172" i="1"/>
  <c r="AH106" i="1"/>
  <c r="AM106" i="1"/>
  <c r="AN106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107" i="1"/>
  <c r="AM107" i="1"/>
  <c r="AN107" i="1"/>
  <c r="K174" i="1"/>
  <c r="L174" i="1"/>
  <c r="M174" i="1"/>
  <c r="N174" i="1" s="1"/>
  <c r="V174" i="1"/>
  <c r="Y174" i="1"/>
  <c r="Z174" i="1"/>
  <c r="AA174" i="1"/>
  <c r="AB174" i="1"/>
  <c r="AC174" i="1"/>
  <c r="AD174" i="1"/>
  <c r="T174" i="1" s="1"/>
  <c r="AE174" i="1"/>
  <c r="AF174" i="1"/>
  <c r="AH108" i="1"/>
  <c r="AM108" i="1"/>
  <c r="AN108" i="1"/>
  <c r="K175" i="1"/>
  <c r="L175" i="1"/>
  <c r="M175" i="1"/>
  <c r="V175" i="1"/>
  <c r="Y175" i="1"/>
  <c r="Z175" i="1"/>
  <c r="AA175" i="1"/>
  <c r="AB175" i="1"/>
  <c r="AC175" i="1"/>
  <c r="AD175" i="1"/>
  <c r="AE175" i="1"/>
  <c r="AF175" i="1"/>
  <c r="AH109" i="1"/>
  <c r="AM109" i="1"/>
  <c r="AN109" i="1"/>
  <c r="K176" i="1"/>
  <c r="L176" i="1"/>
  <c r="M176" i="1"/>
  <c r="N176" i="1" s="1"/>
  <c r="T176" i="1"/>
  <c r="V176" i="1"/>
  <c r="Y176" i="1"/>
  <c r="Z176" i="1"/>
  <c r="AB176" i="1"/>
  <c r="AC176" i="1"/>
  <c r="AD176" i="1"/>
  <c r="X176" i="1" s="1"/>
  <c r="AE176" i="1"/>
  <c r="AF176" i="1"/>
  <c r="AH110" i="1"/>
  <c r="AM110" i="1"/>
  <c r="AN110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111" i="1"/>
  <c r="AM111" i="1"/>
  <c r="AN111" i="1"/>
  <c r="K178" i="1"/>
  <c r="L178" i="1"/>
  <c r="M178" i="1"/>
  <c r="N178" i="1" s="1"/>
  <c r="V178" i="1"/>
  <c r="S30" i="3" s="1"/>
  <c r="Y178" i="1"/>
  <c r="Z178" i="1"/>
  <c r="AB178" i="1"/>
  <c r="AC178" i="1"/>
  <c r="AD178" i="1"/>
  <c r="AE178" i="1"/>
  <c r="R30" i="3" s="1"/>
  <c r="AF178" i="1"/>
  <c r="AH112" i="1"/>
  <c r="AM112" i="1"/>
  <c r="AN11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3" i="1"/>
  <c r="AM113" i="1"/>
  <c r="AN113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4" i="1"/>
  <c r="AM114" i="1"/>
  <c r="AN11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15" i="1"/>
  <c r="AM115" i="1"/>
  <c r="AN115" i="1"/>
  <c r="K181" i="1"/>
  <c r="L181" i="1"/>
  <c r="M181" i="1"/>
  <c r="N181" i="1" s="1"/>
  <c r="V181" i="1"/>
  <c r="Y181" i="1"/>
  <c r="Z181" i="1"/>
  <c r="AA181" i="1"/>
  <c r="AB181" i="1"/>
  <c r="AC181" i="1"/>
  <c r="AD181" i="1"/>
  <c r="T181" i="1" s="1"/>
  <c r="AE181" i="1"/>
  <c r="AF181" i="1"/>
  <c r="AH116" i="1"/>
  <c r="AM116" i="1"/>
  <c r="AN116" i="1"/>
  <c r="K182" i="1"/>
  <c r="L182" i="1"/>
  <c r="M182" i="1"/>
  <c r="V182" i="1"/>
  <c r="Y182" i="1"/>
  <c r="Z182" i="1"/>
  <c r="AB182" i="1"/>
  <c r="AC182" i="1"/>
  <c r="AD182" i="1"/>
  <c r="AE182" i="1"/>
  <c r="AF182" i="1"/>
  <c r="AH117" i="1"/>
  <c r="AM117" i="1"/>
  <c r="AN11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8" i="1"/>
  <c r="AM118" i="1"/>
  <c r="AN118" i="1"/>
  <c r="K184" i="1"/>
  <c r="L184" i="1"/>
  <c r="M184" i="1"/>
  <c r="N184" i="1" s="1"/>
  <c r="T184" i="1"/>
  <c r="V184" i="1"/>
  <c r="Y184" i="1"/>
  <c r="Z184" i="1"/>
  <c r="AA184" i="1"/>
  <c r="AB184" i="1"/>
  <c r="AC184" i="1"/>
  <c r="AD184" i="1"/>
  <c r="X184" i="1" s="1"/>
  <c r="AE184" i="1"/>
  <c r="AF184" i="1"/>
  <c r="AH119" i="1"/>
  <c r="AM119" i="1"/>
  <c r="AN119" i="1"/>
  <c r="K185" i="1"/>
  <c r="L185" i="1"/>
  <c r="M185" i="1"/>
  <c r="N185" i="1" s="1"/>
  <c r="T185" i="1"/>
  <c r="V185" i="1"/>
  <c r="Y185" i="1"/>
  <c r="Z185" i="1"/>
  <c r="AB185" i="1"/>
  <c r="AC185" i="1"/>
  <c r="AD185" i="1"/>
  <c r="AE185" i="1"/>
  <c r="AF185" i="1"/>
  <c r="AH120" i="1"/>
  <c r="AM120" i="1"/>
  <c r="AN120" i="1"/>
  <c r="K186" i="1"/>
  <c r="L186" i="1"/>
  <c r="M186" i="1"/>
  <c r="N186" i="1" s="1"/>
  <c r="V186" i="1"/>
  <c r="S36" i="3" s="1"/>
  <c r="Y186" i="1"/>
  <c r="Z186" i="1"/>
  <c r="AB186" i="1"/>
  <c r="AC186" i="1"/>
  <c r="AD186" i="1"/>
  <c r="T186" i="1" s="1"/>
  <c r="AE186" i="1"/>
  <c r="R36" i="3" s="1"/>
  <c r="AF186" i="1"/>
  <c r="AH121" i="1"/>
  <c r="AM121" i="1"/>
  <c r="AN12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2" i="1"/>
  <c r="AM122" i="1"/>
  <c r="AN122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123" i="1"/>
  <c r="AM123" i="1"/>
  <c r="AN123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4" i="1"/>
  <c r="AM124" i="1"/>
  <c r="AN124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5" i="1"/>
  <c r="AM125" i="1"/>
  <c r="AN12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6" i="1"/>
  <c r="AM126" i="1"/>
  <c r="AN126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127" i="1"/>
  <c r="AM127" i="1"/>
  <c r="AN12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8" i="1"/>
  <c r="AM128" i="1"/>
  <c r="AN12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AH129" i="1"/>
  <c r="AM129" i="1"/>
  <c r="AN129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0" i="1"/>
  <c r="AM130" i="1"/>
  <c r="AN130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1" i="1"/>
  <c r="AM131" i="1"/>
  <c r="AN131" i="1"/>
  <c r="K99" i="1"/>
  <c r="L99" i="1"/>
  <c r="M99" i="1"/>
  <c r="N99" i="1" s="1"/>
  <c r="V99" i="1"/>
  <c r="S12" i="3" s="1"/>
  <c r="Y99" i="1"/>
  <c r="Z99" i="1"/>
  <c r="AB99" i="1"/>
  <c r="AC99" i="1"/>
  <c r="AD99" i="1"/>
  <c r="AE99" i="1"/>
  <c r="AF99" i="1"/>
  <c r="AH132" i="1"/>
  <c r="AM132" i="1"/>
  <c r="AN132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33" i="1"/>
  <c r="AM133" i="1"/>
  <c r="AN133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34" i="1"/>
  <c r="AM134" i="1"/>
  <c r="AN134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5" i="1"/>
  <c r="AM135" i="1"/>
  <c r="AN135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6" i="1"/>
  <c r="AM136" i="1"/>
  <c r="AN136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37" i="1"/>
  <c r="AM137" i="1"/>
  <c r="AN137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38" i="1"/>
  <c r="AM138" i="1"/>
  <c r="AN138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39" i="1"/>
  <c r="AM139" i="1"/>
  <c r="AN139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0" i="1"/>
  <c r="AM140" i="1"/>
  <c r="AN140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1" i="1"/>
  <c r="AM141" i="1"/>
  <c r="AN141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2" i="1"/>
  <c r="AM142" i="1"/>
  <c r="AN142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R22" i="3" s="1"/>
  <c r="AF109" i="1"/>
  <c r="AH143" i="1"/>
  <c r="AM143" i="1"/>
  <c r="AN143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4" i="1"/>
  <c r="AM144" i="1"/>
  <c r="AN144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45" i="1"/>
  <c r="AM145" i="1"/>
  <c r="AN145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6" i="1"/>
  <c r="AM146" i="1"/>
  <c r="AN146" i="1"/>
  <c r="K113" i="1"/>
  <c r="L113" i="1"/>
  <c r="M113" i="1"/>
  <c r="N113" i="1" s="1"/>
  <c r="V113" i="1"/>
  <c r="Y113" i="1"/>
  <c r="Z113" i="1"/>
  <c r="AB113" i="1"/>
  <c r="AC113" i="1"/>
  <c r="AD113" i="1"/>
  <c r="X113" i="1" s="1"/>
  <c r="AE113" i="1"/>
  <c r="AF113" i="1"/>
  <c r="AH147" i="1"/>
  <c r="AM147" i="1"/>
  <c r="AN147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48" i="1"/>
  <c r="AM148" i="1"/>
  <c r="AN148" i="1"/>
  <c r="K115" i="1"/>
  <c r="L115" i="1"/>
  <c r="M115" i="1"/>
  <c r="N115" i="1" s="1"/>
  <c r="V115" i="1"/>
  <c r="S28" i="3" s="1"/>
  <c r="Y115" i="1"/>
  <c r="Z115" i="1"/>
  <c r="AB115" i="1"/>
  <c r="AC115" i="1"/>
  <c r="AD115" i="1"/>
  <c r="T115" i="1" s="1"/>
  <c r="AE115" i="1"/>
  <c r="AF115" i="1"/>
  <c r="AH149" i="1"/>
  <c r="AM149" i="1"/>
  <c r="AN149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0" i="1"/>
  <c r="AM150" i="1"/>
  <c r="AN150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51" i="1"/>
  <c r="AM151" i="1"/>
  <c r="AN151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2" i="1"/>
  <c r="AM152" i="1"/>
  <c r="AN152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3" i="1"/>
  <c r="AM153" i="1"/>
  <c r="AN153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4" i="1"/>
  <c r="AM154" i="1"/>
  <c r="AN154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5" i="1"/>
  <c r="AM155" i="1"/>
  <c r="AN155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6" i="1"/>
  <c r="AM156" i="1"/>
  <c r="AN156" i="1"/>
  <c r="K123" i="1"/>
  <c r="L123" i="1"/>
  <c r="M123" i="1"/>
  <c r="N123" i="1" s="1"/>
  <c r="V123" i="1"/>
  <c r="S21" i="3" s="1"/>
  <c r="Y123" i="1"/>
  <c r="Z123" i="1"/>
  <c r="AB123" i="1"/>
  <c r="AC123" i="1"/>
  <c r="AD123" i="1"/>
  <c r="T123" i="1" s="1"/>
  <c r="AE123" i="1"/>
  <c r="R21" i="3" s="1"/>
  <c r="AF123" i="1"/>
  <c r="AH157" i="1"/>
  <c r="AM157" i="1"/>
  <c r="AN157" i="1"/>
  <c r="K124" i="1"/>
  <c r="L124" i="1"/>
  <c r="M124" i="1"/>
  <c r="N124" i="1" s="1"/>
  <c r="V124" i="1"/>
  <c r="S14" i="3" s="1"/>
  <c r="Y124" i="1"/>
  <c r="Z124" i="1"/>
  <c r="AB124" i="1"/>
  <c r="AC124" i="1"/>
  <c r="AD124" i="1"/>
  <c r="AE124" i="1"/>
  <c r="R14" i="3" s="1"/>
  <c r="AF124" i="1"/>
  <c r="AH158" i="1"/>
  <c r="AM158" i="1"/>
  <c r="AN158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59" i="1"/>
  <c r="AM159" i="1"/>
  <c r="AN159" i="1"/>
  <c r="K126" i="1"/>
  <c r="L126" i="1"/>
  <c r="M126" i="1"/>
  <c r="P126" i="1" s="1"/>
  <c r="V126" i="1"/>
  <c r="S20" i="3" s="1"/>
  <c r="Y126" i="1"/>
  <c r="Z126" i="1"/>
  <c r="AB126" i="1"/>
  <c r="AC126" i="1"/>
  <c r="AD126" i="1"/>
  <c r="X126" i="1" s="1"/>
  <c r="AE126" i="1"/>
  <c r="R20" i="3" s="1"/>
  <c r="AF126" i="1"/>
  <c r="K127" i="1"/>
  <c r="L127" i="1"/>
  <c r="M127" i="1"/>
  <c r="V127" i="1"/>
  <c r="Y127" i="1"/>
  <c r="Z127" i="1"/>
  <c r="AA127" i="1" s="1"/>
  <c r="AB127" i="1"/>
  <c r="AC127" i="1"/>
  <c r="AD127" i="1"/>
  <c r="AE127" i="1"/>
  <c r="AF127" i="1"/>
  <c r="AH160" i="1"/>
  <c r="AM160" i="1"/>
  <c r="AN160" i="1"/>
  <c r="K128" i="1"/>
  <c r="L128" i="1"/>
  <c r="M128" i="1"/>
  <c r="N128" i="1" s="1"/>
  <c r="V128" i="1"/>
  <c r="Y128" i="1"/>
  <c r="AA128" i="1" s="1"/>
  <c r="Z128" i="1"/>
  <c r="AB128" i="1"/>
  <c r="AC128" i="1"/>
  <c r="AD128" i="1"/>
  <c r="AE128" i="1"/>
  <c r="AF128" i="1"/>
  <c r="AH161" i="1"/>
  <c r="AM161" i="1"/>
  <c r="AN161" i="1"/>
  <c r="AH162" i="1"/>
  <c r="AM162" i="1"/>
  <c r="AN162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3" i="1"/>
  <c r="AM163" i="1"/>
  <c r="AN163" i="1"/>
  <c r="K130" i="1"/>
  <c r="L130" i="1"/>
  <c r="M130" i="1"/>
  <c r="N130" i="1" s="1"/>
  <c r="V130" i="1"/>
  <c r="Y130" i="1"/>
  <c r="Z130" i="1"/>
  <c r="AB130" i="1"/>
  <c r="AC130" i="1"/>
  <c r="AD130" i="1"/>
  <c r="X130" i="1" s="1"/>
  <c r="AE130" i="1"/>
  <c r="AF130" i="1"/>
  <c r="AH164" i="1"/>
  <c r="AM164" i="1"/>
  <c r="AN164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5" i="1"/>
  <c r="AM165" i="1"/>
  <c r="AN165" i="1"/>
  <c r="K132" i="1"/>
  <c r="L132" i="1"/>
  <c r="M132" i="1"/>
  <c r="N132" i="1" s="1"/>
  <c r="V132" i="1"/>
  <c r="Y132" i="1"/>
  <c r="Z132" i="1"/>
  <c r="AB132" i="1"/>
  <c r="AC132" i="1"/>
  <c r="AD132" i="1"/>
  <c r="X132" i="1" s="1"/>
  <c r="AE132" i="1"/>
  <c r="R11" i="3" s="1"/>
  <c r="AF132" i="1"/>
  <c r="AH166" i="1"/>
  <c r="AM166" i="1"/>
  <c r="AN166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67" i="1"/>
  <c r="AM167" i="1"/>
  <c r="AN167" i="1"/>
  <c r="K134" i="1"/>
  <c r="L134" i="1"/>
  <c r="M134" i="1"/>
  <c r="N134" i="1" s="1"/>
  <c r="T134" i="1"/>
  <c r="V134" i="1"/>
  <c r="Y134" i="1"/>
  <c r="Z134" i="1"/>
  <c r="AB134" i="1"/>
  <c r="AC134" i="1"/>
  <c r="AD134" i="1"/>
  <c r="X134" i="1" s="1"/>
  <c r="AE134" i="1"/>
  <c r="AF134" i="1"/>
  <c r="AH168" i="1"/>
  <c r="AM168" i="1"/>
  <c r="AN168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69" i="1"/>
  <c r="AM169" i="1"/>
  <c r="AN169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0" i="1"/>
  <c r="AM170" i="1"/>
  <c r="AN170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1" i="1"/>
  <c r="AM171" i="1"/>
  <c r="AN171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2" i="1"/>
  <c r="AM172" i="1"/>
  <c r="AN172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3" i="1"/>
  <c r="AM173" i="1"/>
  <c r="AN173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74" i="1"/>
  <c r="AM174" i="1"/>
  <c r="AN174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5" i="1"/>
  <c r="AM175" i="1"/>
  <c r="AN175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R18" i="3" s="1"/>
  <c r="AF142" i="1"/>
  <c r="AH176" i="1"/>
  <c r="AM176" i="1"/>
  <c r="AN176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80" i="1"/>
  <c r="AM180" i="1"/>
  <c r="AN180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82" i="1"/>
  <c r="AM182" i="1"/>
  <c r="AN182" i="1"/>
  <c r="K149" i="1"/>
  <c r="L149" i="1"/>
  <c r="M149" i="1"/>
  <c r="N149" i="1" s="1"/>
  <c r="V149" i="1"/>
  <c r="S10" i="3" s="1"/>
  <c r="Y149" i="1"/>
  <c r="Z149" i="1"/>
  <c r="AB149" i="1"/>
  <c r="AC149" i="1"/>
  <c r="AD149" i="1"/>
  <c r="T149" i="1" s="1"/>
  <c r="AE149" i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84" i="1"/>
  <c r="AM184" i="1"/>
  <c r="AN184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5" i="1"/>
  <c r="AM185" i="1"/>
  <c r="AN185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6" i="1"/>
  <c r="AM186" i="1"/>
  <c r="AN186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7" i="1"/>
  <c r="AM187" i="1"/>
  <c r="AN187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8" i="1"/>
  <c r="AM188" i="1"/>
  <c r="AN188" i="1"/>
  <c r="K155" i="1"/>
  <c r="L155" i="1"/>
  <c r="M155" i="1"/>
  <c r="N155" i="1" s="1"/>
  <c r="V155" i="1"/>
  <c r="S19" i="3" s="1"/>
  <c r="Y155" i="1"/>
  <c r="Z155" i="1"/>
  <c r="AB155" i="1"/>
  <c r="AC155" i="1"/>
  <c r="AD155" i="1"/>
  <c r="T155" i="1" s="1"/>
  <c r="AE155" i="1"/>
  <c r="R19" i="3" s="1"/>
  <c r="AF155" i="1"/>
  <c r="AH189" i="1"/>
  <c r="AM189" i="1"/>
  <c r="AN189" i="1"/>
  <c r="K156" i="1"/>
  <c r="L156" i="1"/>
  <c r="M156" i="1"/>
  <c r="N156" i="1" s="1"/>
  <c r="V156" i="1"/>
  <c r="Y156" i="1"/>
  <c r="Z156" i="1"/>
  <c r="AB156" i="1"/>
  <c r="AC156" i="1"/>
  <c r="AD156" i="1"/>
  <c r="AE156" i="1"/>
  <c r="R7" i="3" s="1"/>
  <c r="AF156" i="1"/>
  <c r="AH190" i="1"/>
  <c r="AM190" i="1"/>
  <c r="AN190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1" i="1"/>
  <c r="AM191" i="1"/>
  <c r="AN191" i="1"/>
  <c r="K158" i="1"/>
  <c r="L158" i="1"/>
  <c r="M158" i="1"/>
  <c r="N158" i="1" s="1"/>
  <c r="V158" i="1"/>
  <c r="S16" i="3" s="1"/>
  <c r="Y158" i="1"/>
  <c r="Z158" i="1"/>
  <c r="AB158" i="1"/>
  <c r="AC158" i="1"/>
  <c r="AD158" i="1"/>
  <c r="T158" i="1" s="1"/>
  <c r="AE158" i="1"/>
  <c r="AF158" i="1"/>
  <c r="AH192" i="1"/>
  <c r="AM192" i="1"/>
  <c r="AN19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3" i="1"/>
  <c r="AM193" i="1"/>
  <c r="AN193" i="1"/>
  <c r="AH194" i="1"/>
  <c r="AM194" i="1"/>
  <c r="AN19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5" i="1"/>
  <c r="AM195" i="1"/>
  <c r="AN195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96" i="1"/>
  <c r="AM196" i="1"/>
  <c r="AN19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7" i="1"/>
  <c r="AM197" i="1"/>
  <c r="AN197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8" i="1"/>
  <c r="AM198" i="1"/>
  <c r="AN19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99" i="1"/>
  <c r="AM199" i="1"/>
  <c r="AN19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0" i="1"/>
  <c r="AM200" i="1"/>
  <c r="AN200" i="1"/>
  <c r="K200" i="1"/>
  <c r="L200" i="1"/>
  <c r="M200" i="1"/>
  <c r="N200" i="1" s="1"/>
  <c r="V200" i="1"/>
  <c r="S37" i="3" s="1"/>
  <c r="Y200" i="1"/>
  <c r="Z200" i="1"/>
  <c r="AB200" i="1"/>
  <c r="AC200" i="1"/>
  <c r="AD200" i="1"/>
  <c r="T200" i="1" s="1"/>
  <c r="AE200" i="1"/>
  <c r="R37" i="3" s="1"/>
  <c r="AF200" i="1"/>
  <c r="AH201" i="1"/>
  <c r="AM201" i="1"/>
  <c r="AN201" i="1"/>
  <c r="K201" i="1"/>
  <c r="L201" i="1"/>
  <c r="M201" i="1"/>
  <c r="N201" i="1" s="1"/>
  <c r="V201" i="1"/>
  <c r="Y201" i="1"/>
  <c r="Z201" i="1"/>
  <c r="AA201" i="1" s="1"/>
  <c r="AB201" i="1"/>
  <c r="AC201" i="1"/>
  <c r="AD201" i="1"/>
  <c r="AE201" i="1"/>
  <c r="AF201" i="1"/>
  <c r="AH202" i="1"/>
  <c r="AM202" i="1"/>
  <c r="AN202" i="1"/>
  <c r="K202" i="1"/>
  <c r="L202" i="1"/>
  <c r="M202" i="1"/>
  <c r="N202" i="1" s="1"/>
  <c r="T202" i="1"/>
  <c r="V202" i="1"/>
  <c r="Y202" i="1"/>
  <c r="Z202" i="1"/>
  <c r="AB202" i="1"/>
  <c r="AC202" i="1"/>
  <c r="AD202" i="1"/>
  <c r="AE202" i="1"/>
  <c r="AF202" i="1"/>
  <c r="AH203" i="1"/>
  <c r="AM203" i="1"/>
  <c r="AN203" i="1"/>
  <c r="K203" i="1"/>
  <c r="L203" i="1"/>
  <c r="M203" i="1"/>
  <c r="N203" i="1" s="1"/>
  <c r="V203" i="1"/>
  <c r="X203" i="1"/>
  <c r="Y203" i="1"/>
  <c r="Z203" i="1"/>
  <c r="AB203" i="1"/>
  <c r="AC203" i="1"/>
  <c r="AD203" i="1"/>
  <c r="T203" i="1" s="1"/>
  <c r="AE203" i="1"/>
  <c r="AF203" i="1"/>
  <c r="AH204" i="1"/>
  <c r="AM204" i="1"/>
  <c r="AN20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5" i="1"/>
  <c r="AM205" i="1"/>
  <c r="AN205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06" i="1"/>
  <c r="AM206" i="1"/>
  <c r="AN20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7" i="1"/>
  <c r="AM207" i="1"/>
  <c r="AN207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08" i="1"/>
  <c r="AM208" i="1"/>
  <c r="AN20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9" i="1"/>
  <c r="AM209" i="1"/>
  <c r="AN209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10" i="1"/>
  <c r="AM210" i="1"/>
  <c r="AN21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1" i="1"/>
  <c r="AM211" i="1"/>
  <c r="AN211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212" i="1"/>
  <c r="AM212" i="1"/>
  <c r="AN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K217" i="1"/>
  <c r="L217" i="1"/>
  <c r="M217" i="1"/>
  <c r="N217" i="1" s="1"/>
  <c r="V217" i="1"/>
  <c r="Y217" i="1"/>
  <c r="AA217" i="1" s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A218" i="1" s="1"/>
  <c r="AB218" i="1"/>
  <c r="AC218" i="1"/>
  <c r="AD218" i="1"/>
  <c r="AE218" i="1"/>
  <c r="AF218" i="1"/>
  <c r="AH218" i="1"/>
  <c r="AM218" i="1"/>
  <c r="AN218" i="1"/>
  <c r="K219" i="1"/>
  <c r="L219" i="1"/>
  <c r="M219" i="1"/>
  <c r="N219" i="1" s="1"/>
  <c r="T219" i="1"/>
  <c r="V219" i="1"/>
  <c r="Y219" i="1"/>
  <c r="Z219" i="1"/>
  <c r="AB219" i="1"/>
  <c r="AC219" i="1"/>
  <c r="AD219" i="1"/>
  <c r="AE219" i="1"/>
  <c r="AF219" i="1"/>
  <c r="AH219" i="1"/>
  <c r="AM219" i="1"/>
  <c r="AN219" i="1"/>
  <c r="K220" i="1"/>
  <c r="L220" i="1"/>
  <c r="M220" i="1"/>
  <c r="N220" i="1" s="1"/>
  <c r="V220" i="1"/>
  <c r="X220" i="1"/>
  <c r="Y220" i="1"/>
  <c r="Z220" i="1"/>
  <c r="AB220" i="1"/>
  <c r="AC220" i="1"/>
  <c r="AD220" i="1"/>
  <c r="T220" i="1" s="1"/>
  <c r="AE220" i="1"/>
  <c r="AF220" i="1"/>
  <c r="AH220" i="1"/>
  <c r="AM220" i="1"/>
  <c r="AN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M9" i="3"/>
  <c r="R9" i="3"/>
  <c r="S9" i="3"/>
  <c r="U9" i="3"/>
  <c r="T9" i="3" s="1"/>
  <c r="V9" i="3"/>
  <c r="X9" i="3"/>
  <c r="M31" i="3"/>
  <c r="R31" i="3"/>
  <c r="U31" i="3"/>
  <c r="AD31" i="3" s="1"/>
  <c r="V31" i="3"/>
  <c r="X31" i="3"/>
  <c r="M33" i="3"/>
  <c r="S33" i="3"/>
  <c r="U33" i="3"/>
  <c r="AC33" i="3" s="1"/>
  <c r="V33" i="3"/>
  <c r="X33" i="3"/>
  <c r="M23" i="3"/>
  <c r="U23" i="3"/>
  <c r="AC23" i="3" s="1"/>
  <c r="V23" i="3"/>
  <c r="X23" i="3"/>
  <c r="M15" i="3"/>
  <c r="U15" i="3"/>
  <c r="T15" i="3" s="1"/>
  <c r="V15" i="3"/>
  <c r="X15" i="3"/>
  <c r="M34" i="3"/>
  <c r="R34" i="3"/>
  <c r="U34" i="3"/>
  <c r="AC34" i="3" s="1"/>
  <c r="V34" i="3"/>
  <c r="X34" i="3"/>
  <c r="M24" i="3"/>
  <c r="R24" i="3"/>
  <c r="S24" i="3"/>
  <c r="U24" i="3"/>
  <c r="AC24" i="3" s="1"/>
  <c r="V24" i="3"/>
  <c r="X24" i="3"/>
  <c r="M32" i="3"/>
  <c r="R32" i="3"/>
  <c r="U32" i="3"/>
  <c r="AC32" i="3" s="1"/>
  <c r="V32" i="3"/>
  <c r="X32" i="3"/>
  <c r="M25" i="3"/>
  <c r="R25" i="3"/>
  <c r="S25" i="3"/>
  <c r="U25" i="3"/>
  <c r="T25" i="3" s="1"/>
  <c r="V25" i="3"/>
  <c r="X25" i="3"/>
  <c r="M35" i="3"/>
  <c r="S35" i="3"/>
  <c r="U35" i="3"/>
  <c r="AD35" i="3" s="1"/>
  <c r="V35" i="3"/>
  <c r="X35" i="3"/>
  <c r="M26" i="3"/>
  <c r="S26" i="3"/>
  <c r="U26" i="3"/>
  <c r="AC26" i="3" s="1"/>
  <c r="V26" i="3"/>
  <c r="X26" i="3"/>
  <c r="M29" i="3"/>
  <c r="R29" i="3"/>
  <c r="S29" i="3"/>
  <c r="U29" i="3"/>
  <c r="T29" i="3" s="1"/>
  <c r="V29" i="3"/>
  <c r="X29" i="3"/>
  <c r="M13" i="3"/>
  <c r="S13" i="3"/>
  <c r="U13" i="3"/>
  <c r="T13" i="3" s="1"/>
  <c r="V13" i="3"/>
  <c r="X13" i="3"/>
  <c r="M17" i="3"/>
  <c r="S17" i="3"/>
  <c r="U17" i="3"/>
  <c r="V17" i="3"/>
  <c r="X17" i="3"/>
  <c r="M27" i="3"/>
  <c r="S27" i="3"/>
  <c r="U27" i="3"/>
  <c r="AC27" i="3" s="1"/>
  <c r="V27" i="3"/>
  <c r="X27" i="3"/>
  <c r="M30" i="3"/>
  <c r="U30" i="3"/>
  <c r="V30" i="3"/>
  <c r="X30" i="3"/>
  <c r="M12" i="3"/>
  <c r="R12" i="3"/>
  <c r="U12" i="3"/>
  <c r="T12" i="3" s="1"/>
  <c r="V12" i="3"/>
  <c r="X12" i="3"/>
  <c r="M22" i="3"/>
  <c r="S22" i="3"/>
  <c r="U22" i="3"/>
  <c r="AD25" i="3" s="1"/>
  <c r="V22" i="3"/>
  <c r="X22" i="3"/>
  <c r="M28" i="3"/>
  <c r="R28" i="3"/>
  <c r="U28" i="3"/>
  <c r="AC28" i="3" s="1"/>
  <c r="V28" i="3"/>
  <c r="X28" i="3"/>
  <c r="M14" i="3"/>
  <c r="U14" i="3"/>
  <c r="T14" i="3" s="1"/>
  <c r="V14" i="3"/>
  <c r="X14" i="3"/>
  <c r="M20" i="3"/>
  <c r="U20" i="3"/>
  <c r="T20" i="3" s="1"/>
  <c r="V20" i="3"/>
  <c r="X20" i="3"/>
  <c r="AD28" i="3"/>
  <c r="M21" i="3"/>
  <c r="U21" i="3"/>
  <c r="V21" i="3"/>
  <c r="X21" i="3"/>
  <c r="M36" i="3"/>
  <c r="U36" i="3"/>
  <c r="AC36" i="3" s="1"/>
  <c r="V36" i="3"/>
  <c r="X36" i="3"/>
  <c r="M11" i="3"/>
  <c r="S11" i="3"/>
  <c r="U11" i="3"/>
  <c r="T11" i="3" s="1"/>
  <c r="V11" i="3"/>
  <c r="X11" i="3"/>
  <c r="M37" i="3"/>
  <c r="U37" i="3"/>
  <c r="T37" i="3" s="1"/>
  <c r="V37" i="3"/>
  <c r="X37" i="3"/>
  <c r="M18" i="3"/>
  <c r="S18" i="3"/>
  <c r="U18" i="3"/>
  <c r="V18" i="3"/>
  <c r="X18" i="3"/>
  <c r="M10" i="3"/>
  <c r="R10" i="3"/>
  <c r="U10" i="3"/>
  <c r="AC10" i="3" s="1"/>
  <c r="V10" i="3"/>
  <c r="X10" i="3"/>
  <c r="M8" i="3"/>
  <c r="R8" i="3"/>
  <c r="S8" i="3"/>
  <c r="U8" i="3"/>
  <c r="V8" i="3"/>
  <c r="X8" i="3"/>
  <c r="M19" i="3"/>
  <c r="U19" i="3"/>
  <c r="T19" i="3" s="1"/>
  <c r="V19" i="3"/>
  <c r="X19" i="3"/>
  <c r="M7" i="3"/>
  <c r="S7" i="3"/>
  <c r="U7" i="3"/>
  <c r="V7" i="3"/>
  <c r="X7" i="3"/>
  <c r="M16" i="3"/>
  <c r="R16" i="3"/>
  <c r="U16" i="3"/>
  <c r="AC16" i="3" s="1"/>
  <c r="V16" i="3"/>
  <c r="X16" i="3"/>
  <c r="AG28" i="1"/>
  <c r="AG44" i="1"/>
  <c r="AG19" i="1"/>
  <c r="AG35" i="1"/>
  <c r="AG51" i="1"/>
  <c r="AG32" i="1"/>
  <c r="AG52" i="1"/>
  <c r="AG31" i="1"/>
  <c r="AG14" i="1"/>
  <c r="AG30" i="1"/>
  <c r="AG46" i="1"/>
  <c r="AG25" i="1"/>
  <c r="AG41" i="1"/>
  <c r="AG57" i="1"/>
  <c r="AG74" i="1"/>
  <c r="AG56" i="1"/>
  <c r="AG73" i="1"/>
  <c r="AG55" i="1"/>
  <c r="AG72" i="1"/>
  <c r="AG54" i="1"/>
  <c r="AG71" i="1"/>
  <c r="AG87" i="1"/>
  <c r="AG169" i="1"/>
  <c r="AG183" i="1"/>
  <c r="AG89" i="1"/>
  <c r="AG171" i="1"/>
  <c r="AG186" i="1"/>
  <c r="AG88" i="1"/>
  <c r="AG94" i="1"/>
  <c r="AG185" i="1"/>
  <c r="AG91" i="1"/>
  <c r="AG173" i="1"/>
  <c r="AG188" i="1"/>
  <c r="AG106" i="1"/>
  <c r="AG122" i="1"/>
  <c r="AG109" i="1"/>
  <c r="AG125" i="1"/>
  <c r="AG112" i="1"/>
  <c r="AG128" i="1"/>
  <c r="AG111" i="1"/>
  <c r="AG127" i="1"/>
  <c r="AG144" i="1"/>
  <c r="AG209" i="1"/>
  <c r="AG221" i="1"/>
  <c r="AG143" i="1"/>
  <c r="AG159" i="1"/>
  <c r="AG208" i="1"/>
  <c r="AG129" i="1"/>
  <c r="AG142" i="1"/>
  <c r="AG158" i="1"/>
  <c r="AG207" i="1"/>
  <c r="AG133" i="1"/>
  <c r="AG149" i="1"/>
  <c r="AG198" i="1"/>
  <c r="AG215" i="1"/>
  <c r="AG39" i="1"/>
  <c r="AG29" i="1"/>
  <c r="AG61" i="1"/>
  <c r="AG60" i="1"/>
  <c r="AG59" i="1"/>
  <c r="AG58" i="1"/>
  <c r="AG90" i="1"/>
  <c r="AG187" i="1"/>
  <c r="AG175" i="1"/>
  <c r="AG92" i="1"/>
  <c r="AG189" i="1"/>
  <c r="AG162" i="1"/>
  <c r="AG191" i="1"/>
  <c r="AG126" i="1"/>
  <c r="AG101" i="1"/>
  <c r="AG100" i="1"/>
  <c r="AG132" i="1"/>
  <c r="AG148" i="1"/>
  <c r="AG214" i="1"/>
  <c r="AG147" i="1"/>
  <c r="AG213" i="1"/>
  <c r="AG146" i="1"/>
  <c r="AG212" i="1"/>
  <c r="AG137" i="1"/>
  <c r="AG202" i="1"/>
  <c r="AG219" i="1"/>
  <c r="AG20" i="1"/>
  <c r="AG40" i="1"/>
  <c r="AG23" i="1"/>
  <c r="AG43" i="1"/>
  <c r="AG22" i="1"/>
  <c r="AG38" i="1"/>
  <c r="AG17" i="1"/>
  <c r="AG33" i="1"/>
  <c r="AG49" i="1"/>
  <c r="AG65" i="1"/>
  <c r="AG82" i="1"/>
  <c r="AG64" i="1"/>
  <c r="AG81" i="1"/>
  <c r="AG63" i="1"/>
  <c r="AG80" i="1"/>
  <c r="AG62" i="1"/>
  <c r="AG79" i="1"/>
  <c r="AG161" i="1"/>
  <c r="AG176" i="1"/>
  <c r="AG96" i="1"/>
  <c r="AG179" i="1"/>
  <c r="AG193" i="1"/>
  <c r="AG163" i="1"/>
  <c r="AG178" i="1"/>
  <c r="AG192" i="1"/>
  <c r="AG166" i="1"/>
  <c r="AG97" i="1"/>
  <c r="AG114" i="1"/>
  <c r="AG117" i="1"/>
  <c r="AG104" i="1"/>
  <c r="AG211" i="1"/>
  <c r="AG136" i="1"/>
  <c r="AG152" i="1"/>
  <c r="AG218" i="1"/>
  <c r="AG151" i="1"/>
  <c r="AG217" i="1"/>
  <c r="AG150" i="1"/>
  <c r="AG199" i="1"/>
  <c r="AG141" i="1"/>
  <c r="AG206" i="1"/>
  <c r="AG167" i="1"/>
  <c r="AG103" i="1"/>
  <c r="AG121" i="1"/>
  <c r="AG107" i="1"/>
  <c r="AG222" i="1"/>
  <c r="AG204" i="1"/>
  <c r="AG138" i="1"/>
  <c r="AG160" i="1"/>
  <c r="AG16" i="1"/>
  <c r="AG36" i="1"/>
  <c r="AG15" i="1"/>
  <c r="AG18" i="1"/>
  <c r="AG34" i="1"/>
  <c r="AG50" i="1"/>
  <c r="AG45" i="1"/>
  <c r="AG78" i="1"/>
  <c r="AG77" i="1"/>
  <c r="AG76" i="1"/>
  <c r="AG75" i="1"/>
  <c r="AG172" i="1"/>
  <c r="AG93" i="1"/>
  <c r="AG190" i="1"/>
  <c r="AG174" i="1"/>
  <c r="AG177" i="1"/>
  <c r="AG110" i="1"/>
  <c r="AG113" i="1"/>
  <c r="AG116" i="1"/>
  <c r="AG115" i="1"/>
  <c r="AG197" i="1"/>
  <c r="AG131" i="1"/>
  <c r="AG196" i="1"/>
  <c r="AG130" i="1"/>
  <c r="AG195" i="1"/>
  <c r="AG153" i="1"/>
  <c r="AG164" i="1"/>
  <c r="AG95" i="1"/>
  <c r="AG102" i="1"/>
  <c r="AG120" i="1"/>
  <c r="AG119" i="1"/>
  <c r="AG201" i="1"/>
  <c r="AG135" i="1"/>
  <c r="AG200" i="1"/>
  <c r="AG134" i="1"/>
  <c r="AG216" i="1"/>
  <c r="AG157" i="1"/>
  <c r="AG184" i="1"/>
  <c r="AG156" i="1"/>
  <c r="AG155" i="1"/>
  <c r="AG203" i="1"/>
  <c r="AG66" i="1"/>
  <c r="AG182" i="1"/>
  <c r="AG98" i="1"/>
  <c r="AG118" i="1"/>
  <c r="AG108" i="1"/>
  <c r="AG123" i="1"/>
  <c r="AG205" i="1"/>
  <c r="AG154" i="1"/>
  <c r="AG145" i="1"/>
  <c r="AG24" i="1"/>
  <c r="AG48" i="1"/>
  <c r="AG27" i="1"/>
  <c r="AG47" i="1"/>
  <c r="AG26" i="1"/>
  <c r="AG42" i="1"/>
  <c r="AG21" i="1"/>
  <c r="AG37" i="1"/>
  <c r="AG53" i="1"/>
  <c r="AG70" i="1"/>
  <c r="AG86" i="1"/>
  <c r="AG69" i="1"/>
  <c r="AG85" i="1"/>
  <c r="AG67" i="1"/>
  <c r="AG84" i="1"/>
  <c r="AG83" i="1"/>
  <c r="AG165" i="1"/>
  <c r="AG180" i="1"/>
  <c r="AG194" i="1"/>
  <c r="AG168" i="1"/>
  <c r="AG99" i="1"/>
  <c r="AG181" i="1"/>
  <c r="AG170" i="1"/>
  <c r="AG105" i="1"/>
  <c r="AG124" i="1"/>
  <c r="AG140" i="1"/>
  <c r="AG139" i="1"/>
  <c r="AG220" i="1"/>
  <c r="AG210" i="1"/>
  <c r="W17" i="3"/>
  <c r="W7" i="3"/>
  <c r="W33" i="3"/>
  <c r="W28" i="3"/>
  <c r="W20" i="3"/>
  <c r="W30" i="3"/>
  <c r="W9" i="3"/>
  <c r="W34" i="3"/>
  <c r="W21" i="3"/>
  <c r="W16" i="3"/>
  <c r="W26" i="3"/>
  <c r="W14" i="3"/>
  <c r="W32" i="3"/>
  <c r="W37" i="3"/>
  <c r="W25" i="3"/>
  <c r="W23" i="3"/>
  <c r="W35" i="3"/>
  <c r="W18" i="3"/>
  <c r="W8" i="3"/>
  <c r="W27" i="3"/>
  <c r="W12" i="3"/>
  <c r="W29" i="3"/>
  <c r="W19" i="3"/>
  <c r="W13" i="3"/>
  <c r="W31" i="3"/>
  <c r="W22" i="3"/>
  <c r="W36" i="3"/>
  <c r="W24" i="3"/>
  <c r="W10" i="3"/>
  <c r="W11" i="3"/>
  <c r="W15" i="3"/>
  <c r="T135" i="1" l="1"/>
  <c r="X135" i="1"/>
  <c r="X121" i="1"/>
  <c r="X112" i="1"/>
  <c r="AA186" i="1"/>
  <c r="AA95" i="1"/>
  <c r="AA177" i="1"/>
  <c r="AA150" i="1"/>
  <c r="T150" i="1"/>
  <c r="AA149" i="1"/>
  <c r="X138" i="1"/>
  <c r="T131" i="1"/>
  <c r="X131" i="1"/>
  <c r="T129" i="1"/>
  <c r="X129" i="1"/>
  <c r="T125" i="1"/>
  <c r="X125" i="1"/>
  <c r="X117" i="1"/>
  <c r="T113" i="1"/>
  <c r="AA110" i="1"/>
  <c r="AA108" i="1"/>
  <c r="AA104" i="1"/>
  <c r="AA92" i="1"/>
  <c r="AA82" i="1"/>
  <c r="X58" i="1"/>
  <c r="X48" i="1"/>
  <c r="X47" i="1"/>
  <c r="X44" i="1"/>
  <c r="X20" i="1"/>
  <c r="X16" i="1"/>
  <c r="T128" i="1"/>
  <c r="X128" i="1"/>
  <c r="AA208" i="1"/>
  <c r="AD29" i="3"/>
  <c r="AA203" i="1"/>
  <c r="X146" i="1"/>
  <c r="AA134" i="1"/>
  <c r="T133" i="1"/>
  <c r="X133" i="1"/>
  <c r="X127" i="1"/>
  <c r="X105" i="1"/>
  <c r="AA211" i="1"/>
  <c r="X102" i="1"/>
  <c r="X98" i="1"/>
  <c r="X194" i="1"/>
  <c r="AA192" i="1"/>
  <c r="AA189" i="1"/>
  <c r="X183" i="1"/>
  <c r="AA162" i="1"/>
  <c r="X83" i="1"/>
  <c r="X212" i="1"/>
  <c r="X142" i="1"/>
  <c r="X124" i="1"/>
  <c r="AA107" i="1"/>
  <c r="T194" i="1"/>
  <c r="AA171" i="1"/>
  <c r="AA89" i="1"/>
  <c r="X88" i="1"/>
  <c r="AA86" i="1"/>
  <c r="AA85" i="1"/>
  <c r="AA83" i="1"/>
  <c r="X82" i="1"/>
  <c r="AA74" i="1"/>
  <c r="AA70" i="1"/>
  <c r="AA58" i="1"/>
  <c r="X57" i="1"/>
  <c r="AA52" i="1"/>
  <c r="AA42" i="1"/>
  <c r="AA40" i="1"/>
  <c r="X39" i="1"/>
  <c r="X28" i="1"/>
  <c r="AA24" i="1"/>
  <c r="AA17" i="1"/>
  <c r="X15" i="1"/>
  <c r="X154" i="1"/>
  <c r="AA125" i="1"/>
  <c r="AA117" i="1"/>
  <c r="X193" i="1"/>
  <c r="X65" i="1"/>
  <c r="X54" i="1"/>
  <c r="AD36" i="3"/>
  <c r="AC29" i="3"/>
  <c r="AA219" i="1"/>
  <c r="AA202" i="1"/>
  <c r="AA198" i="1"/>
  <c r="X195" i="1"/>
  <c r="X120" i="1"/>
  <c r="AA120" i="1"/>
  <c r="X108" i="1"/>
  <c r="X104" i="1"/>
  <c r="AA103" i="1"/>
  <c r="AA101" i="1"/>
  <c r="AA99" i="1"/>
  <c r="X189" i="1"/>
  <c r="X185" i="1"/>
  <c r="X178" i="1"/>
  <c r="T177" i="1"/>
  <c r="AA167" i="1"/>
  <c r="AA165" i="1"/>
  <c r="AA93" i="1"/>
  <c r="X90" i="1"/>
  <c r="X87" i="1"/>
  <c r="T86" i="1"/>
  <c r="X84" i="1"/>
  <c r="X79" i="1"/>
  <c r="T69" i="1"/>
  <c r="X69" i="1"/>
  <c r="X66" i="1"/>
  <c r="AA62" i="1"/>
  <c r="X53" i="1"/>
  <c r="X52" i="1"/>
  <c r="X25" i="1"/>
  <c r="X23" i="1"/>
  <c r="AC35" i="3"/>
  <c r="AD33" i="3"/>
  <c r="AD32" i="3"/>
  <c r="AD27" i="3"/>
  <c r="AE27" i="3"/>
  <c r="T29" i="1"/>
  <c r="AE35" i="3"/>
  <c r="AD24" i="3"/>
  <c r="AC22" i="3"/>
  <c r="AC12" i="3"/>
  <c r="AD15" i="3"/>
  <c r="AC15" i="3"/>
  <c r="AC21" i="3"/>
  <c r="AC14" i="3"/>
  <c r="AE23" i="3"/>
  <c r="AC13" i="3"/>
  <c r="AE15" i="3"/>
  <c r="AD9" i="3"/>
  <c r="AC9" i="3"/>
  <c r="AD23" i="3"/>
  <c r="AC31" i="3"/>
  <c r="AA215" i="1"/>
  <c r="AA210" i="1"/>
  <c r="AA206" i="1"/>
  <c r="AA195" i="1"/>
  <c r="T195" i="1"/>
  <c r="U195" i="1" s="1"/>
  <c r="S195" i="1" s="1"/>
  <c r="AA160" i="1"/>
  <c r="AA146" i="1"/>
  <c r="T146" i="1"/>
  <c r="AA145" i="1"/>
  <c r="AA130" i="1"/>
  <c r="AA126" i="1"/>
  <c r="AA124" i="1"/>
  <c r="AA119" i="1"/>
  <c r="AA115" i="1"/>
  <c r="AA109" i="1"/>
  <c r="T105" i="1"/>
  <c r="AA191" i="1"/>
  <c r="X188" i="1"/>
  <c r="X182" i="1"/>
  <c r="AA182" i="1"/>
  <c r="AA178" i="1"/>
  <c r="X174" i="1"/>
  <c r="X172" i="1"/>
  <c r="AA166" i="1"/>
  <c r="AA163" i="1"/>
  <c r="T163" i="1"/>
  <c r="X76" i="1"/>
  <c r="X74" i="1"/>
  <c r="AA66" i="1"/>
  <c r="X62" i="1"/>
  <c r="X61" i="1"/>
  <c r="AA50" i="1"/>
  <c r="AA48" i="1"/>
  <c r="X41" i="1"/>
  <c r="AA36" i="1"/>
  <c r="X27" i="1"/>
  <c r="X24" i="1"/>
  <c r="AA22" i="1"/>
  <c r="X21" i="1"/>
  <c r="X19" i="1"/>
  <c r="AA23" i="1"/>
  <c r="AA20" i="1"/>
  <c r="AA18" i="1"/>
  <c r="X17" i="1"/>
  <c r="AA222" i="1"/>
  <c r="AA221" i="1"/>
  <c r="AA209" i="1"/>
  <c r="AA200" i="1"/>
  <c r="AA154" i="1"/>
  <c r="AA153" i="1"/>
  <c r="AA138" i="1"/>
  <c r="AA137" i="1"/>
  <c r="AA123" i="1"/>
  <c r="AA118" i="1"/>
  <c r="AA116" i="1"/>
  <c r="AA112" i="1"/>
  <c r="AA102" i="1"/>
  <c r="AA98" i="1"/>
  <c r="AA185" i="1"/>
  <c r="X95" i="1"/>
  <c r="AA179" i="1"/>
  <c r="X91" i="1"/>
  <c r="T83" i="1"/>
  <c r="X80" i="1"/>
  <c r="AA78" i="1"/>
  <c r="X71" i="1"/>
  <c r="X51" i="1"/>
  <c r="X45" i="1"/>
  <c r="X36" i="1"/>
  <c r="AA27" i="1"/>
  <c r="AA220" i="1"/>
  <c r="X207" i="1"/>
  <c r="AA158" i="1"/>
  <c r="AA157" i="1"/>
  <c r="AA142" i="1"/>
  <c r="AA141" i="1"/>
  <c r="AA97" i="1"/>
  <c r="X96" i="1"/>
  <c r="AA188" i="1"/>
  <c r="X187" i="1"/>
  <c r="X179" i="1"/>
  <c r="T178" i="1"/>
  <c r="X175" i="1"/>
  <c r="AA94" i="1"/>
  <c r="AA170" i="1"/>
  <c r="AA164" i="1"/>
  <c r="T162" i="1"/>
  <c r="X93" i="1"/>
  <c r="X92" i="1"/>
  <c r="X70" i="1"/>
  <c r="T66" i="1"/>
  <c r="AA54" i="1"/>
  <c r="AA44" i="1"/>
  <c r="X43" i="1"/>
  <c r="X37" i="1"/>
  <c r="AA35" i="1"/>
  <c r="X32" i="1"/>
  <c r="X31" i="1"/>
  <c r="AA19" i="1"/>
  <c r="T216" i="1"/>
  <c r="X216" i="1"/>
  <c r="X215" i="1"/>
  <c r="X198" i="1"/>
  <c r="X157" i="1"/>
  <c r="X149" i="1"/>
  <c r="X141" i="1"/>
  <c r="T124" i="1"/>
  <c r="X116" i="1"/>
  <c r="T108" i="1"/>
  <c r="U108" i="1" s="1"/>
  <c r="S108" i="1" s="1"/>
  <c r="X101" i="1"/>
  <c r="X97" i="1"/>
  <c r="AA183" i="1"/>
  <c r="X67" i="1"/>
  <c r="T67" i="1"/>
  <c r="X210" i="1"/>
  <c r="AA207" i="1"/>
  <c r="W207" i="1" s="1"/>
  <c r="T207" i="1"/>
  <c r="AA205" i="1"/>
  <c r="AA204" i="1"/>
  <c r="X199" i="1"/>
  <c r="AA159" i="1"/>
  <c r="AA152" i="1"/>
  <c r="AA151" i="1"/>
  <c r="W151" i="1" s="1"/>
  <c r="AA144" i="1"/>
  <c r="AA143" i="1"/>
  <c r="AA136" i="1"/>
  <c r="AA135" i="1"/>
  <c r="AA122" i="1"/>
  <c r="AA121" i="1"/>
  <c r="W121" i="1" s="1"/>
  <c r="T120" i="1"/>
  <c r="T117" i="1"/>
  <c r="X109" i="1"/>
  <c r="AA106" i="1"/>
  <c r="W106" i="1" s="1"/>
  <c r="AA105" i="1"/>
  <c r="T104" i="1"/>
  <c r="T102" i="1"/>
  <c r="T98" i="1"/>
  <c r="X192" i="1"/>
  <c r="X181" i="1"/>
  <c r="X180" i="1"/>
  <c r="AA176" i="1"/>
  <c r="W176" i="1" s="1"/>
  <c r="T175" i="1"/>
  <c r="AA173" i="1"/>
  <c r="T173" i="1"/>
  <c r="AA172" i="1"/>
  <c r="T172" i="1"/>
  <c r="T171" i="1"/>
  <c r="AA168" i="1"/>
  <c r="T168" i="1"/>
  <c r="T167" i="1"/>
  <c r="AA90" i="1"/>
  <c r="X89" i="1"/>
  <c r="AA87" i="1"/>
  <c r="AA75" i="1"/>
  <c r="X72" i="1"/>
  <c r="T72" i="1"/>
  <c r="X55" i="1"/>
  <c r="T55" i="1"/>
  <c r="X206" i="1"/>
  <c r="X153" i="1"/>
  <c r="X145" i="1"/>
  <c r="X137" i="1"/>
  <c r="T96" i="1"/>
  <c r="T182" i="1"/>
  <c r="U182" i="1" s="1"/>
  <c r="S182" i="1" s="1"/>
  <c r="T84" i="1"/>
  <c r="X75" i="1"/>
  <c r="T74" i="1"/>
  <c r="X59" i="1"/>
  <c r="T59" i="1"/>
  <c r="T58" i="1"/>
  <c r="X49" i="1"/>
  <c r="T49" i="1"/>
  <c r="U49" i="1" s="1"/>
  <c r="S49" i="1" s="1"/>
  <c r="T48" i="1"/>
  <c r="X219" i="1"/>
  <c r="AA216" i="1"/>
  <c r="AA214" i="1"/>
  <c r="AA213" i="1"/>
  <c r="X202" i="1"/>
  <c r="AA199" i="1"/>
  <c r="AA197" i="1"/>
  <c r="AA196" i="1"/>
  <c r="AA156" i="1"/>
  <c r="AA155" i="1"/>
  <c r="AA148" i="1"/>
  <c r="W148" i="1" s="1"/>
  <c r="AA147" i="1"/>
  <c r="AA140" i="1"/>
  <c r="AA139" i="1"/>
  <c r="AA132" i="1"/>
  <c r="AA131" i="1"/>
  <c r="AA114" i="1"/>
  <c r="AA113" i="1"/>
  <c r="W113" i="1" s="1"/>
  <c r="X99" i="1"/>
  <c r="AA193" i="1"/>
  <c r="T191" i="1"/>
  <c r="AA96" i="1"/>
  <c r="W96" i="1" s="1"/>
  <c r="X190" i="1"/>
  <c r="AA190" i="1"/>
  <c r="X186" i="1"/>
  <c r="T183" i="1"/>
  <c r="U183" i="1" s="1"/>
  <c r="S183" i="1" s="1"/>
  <c r="AA161" i="1"/>
  <c r="AA84" i="1"/>
  <c r="X78" i="1"/>
  <c r="X63" i="1"/>
  <c r="T63" i="1"/>
  <c r="T62" i="1"/>
  <c r="T78" i="1"/>
  <c r="U78" i="1" s="1"/>
  <c r="S78" i="1" s="1"/>
  <c r="AA77" i="1"/>
  <c r="T75" i="1"/>
  <c r="AA72" i="1"/>
  <c r="AA67" i="1"/>
  <c r="AA63" i="1"/>
  <c r="AA59" i="1"/>
  <c r="AA55" i="1"/>
  <c r="T51" i="1"/>
  <c r="AA49" i="1"/>
  <c r="T43" i="1"/>
  <c r="AA41" i="1"/>
  <c r="T41" i="1"/>
  <c r="U41" i="1" s="1"/>
  <c r="S41" i="1" s="1"/>
  <c r="T35" i="1"/>
  <c r="AA33" i="1"/>
  <c r="T33" i="1"/>
  <c r="AA26" i="1"/>
  <c r="W26" i="1" s="1"/>
  <c r="T23" i="1"/>
  <c r="T20" i="1"/>
  <c r="T16" i="1"/>
  <c r="T40" i="1"/>
  <c r="U40" i="1" s="1"/>
  <c r="S40" i="1" s="1"/>
  <c r="T32" i="1"/>
  <c r="T19" i="1"/>
  <c r="T15" i="1"/>
  <c r="AA187" i="1"/>
  <c r="AA180" i="1"/>
  <c r="AA169" i="1"/>
  <c r="AA91" i="1"/>
  <c r="AA80" i="1"/>
  <c r="AA69" i="1"/>
  <c r="AA64" i="1"/>
  <c r="AA60" i="1"/>
  <c r="AA56" i="1"/>
  <c r="W56" i="1" s="1"/>
  <c r="AA45" i="1"/>
  <c r="AA37" i="1"/>
  <c r="AA25" i="1"/>
  <c r="AA81" i="1"/>
  <c r="AA76" i="1"/>
  <c r="AA46" i="1"/>
  <c r="AA38" i="1"/>
  <c r="AA30" i="1"/>
  <c r="W30" i="1" s="1"/>
  <c r="AA21" i="1"/>
  <c r="AI219" i="1"/>
  <c r="U219" i="1"/>
  <c r="S219" i="1" s="1"/>
  <c r="AI215" i="1"/>
  <c r="U215" i="1"/>
  <c r="S215" i="1" s="1"/>
  <c r="AI211" i="1"/>
  <c r="U210" i="1"/>
  <c r="S210" i="1" s="1"/>
  <c r="AI207" i="1"/>
  <c r="U206" i="1"/>
  <c r="S206" i="1" s="1"/>
  <c r="AI203" i="1"/>
  <c r="U202" i="1"/>
  <c r="S202" i="1" s="1"/>
  <c r="AI199" i="1"/>
  <c r="U198" i="1"/>
  <c r="S198" i="1" s="1"/>
  <c r="AI195" i="1"/>
  <c r="U160" i="1"/>
  <c r="S160" i="1" s="1"/>
  <c r="AI191" i="1"/>
  <c r="U157" i="1"/>
  <c r="S157" i="1" s="1"/>
  <c r="AI187" i="1"/>
  <c r="U153" i="1"/>
  <c r="S153" i="1" s="1"/>
  <c r="AI183" i="1"/>
  <c r="U149" i="1"/>
  <c r="S149" i="1" s="1"/>
  <c r="AI179" i="1"/>
  <c r="U145" i="1"/>
  <c r="S145" i="1" s="1"/>
  <c r="AI175" i="1"/>
  <c r="U141" i="1"/>
  <c r="S141" i="1" s="1"/>
  <c r="AI171" i="1"/>
  <c r="U137" i="1"/>
  <c r="S137" i="1" s="1"/>
  <c r="AI167" i="1"/>
  <c r="U133" i="1"/>
  <c r="S133" i="1" s="1"/>
  <c r="AI220" i="1"/>
  <c r="U220" i="1"/>
  <c r="S220" i="1" s="1"/>
  <c r="AI216" i="1"/>
  <c r="U216" i="1"/>
  <c r="S216" i="1" s="1"/>
  <c r="AI212" i="1"/>
  <c r="U212" i="1"/>
  <c r="S212" i="1" s="1"/>
  <c r="AI208" i="1"/>
  <c r="U207" i="1"/>
  <c r="S207" i="1" s="1"/>
  <c r="AI204" i="1"/>
  <c r="U203" i="1"/>
  <c r="S203" i="1" s="1"/>
  <c r="AI200" i="1"/>
  <c r="U199" i="1"/>
  <c r="S199" i="1" s="1"/>
  <c r="AI196" i="1"/>
  <c r="AI192" i="1"/>
  <c r="U158" i="1"/>
  <c r="S158" i="1" s="1"/>
  <c r="AI188" i="1"/>
  <c r="U154" i="1"/>
  <c r="S154" i="1" s="1"/>
  <c r="AI184" i="1"/>
  <c r="U150" i="1"/>
  <c r="S150" i="1" s="1"/>
  <c r="AI180" i="1"/>
  <c r="U146" i="1"/>
  <c r="S146" i="1" s="1"/>
  <c r="AI176" i="1"/>
  <c r="U142" i="1"/>
  <c r="S142" i="1" s="1"/>
  <c r="AI172" i="1"/>
  <c r="U138" i="1"/>
  <c r="S138" i="1" s="1"/>
  <c r="AI168" i="1"/>
  <c r="U134" i="1"/>
  <c r="S134" i="1" s="1"/>
  <c r="AI164" i="1"/>
  <c r="AI163" i="1"/>
  <c r="U129" i="1"/>
  <c r="S129" i="1" s="1"/>
  <c r="AI162" i="1"/>
  <c r="U217" i="1"/>
  <c r="S217" i="1" s="1"/>
  <c r="AI217" i="1"/>
  <c r="U213" i="1"/>
  <c r="S213" i="1" s="1"/>
  <c r="AI213" i="1"/>
  <c r="U208" i="1"/>
  <c r="S208" i="1" s="1"/>
  <c r="AI209" i="1"/>
  <c r="U204" i="1"/>
  <c r="S204" i="1" s="1"/>
  <c r="AI205" i="1"/>
  <c r="U200" i="1"/>
  <c r="S200" i="1" s="1"/>
  <c r="AI201" i="1"/>
  <c r="U196" i="1"/>
  <c r="S196" i="1" s="1"/>
  <c r="AI197" i="1"/>
  <c r="U159" i="1"/>
  <c r="S159" i="1" s="1"/>
  <c r="AI193" i="1"/>
  <c r="U155" i="1"/>
  <c r="S155" i="1" s="1"/>
  <c r="AI189" i="1"/>
  <c r="U151" i="1"/>
  <c r="S151" i="1" s="1"/>
  <c r="AI185" i="1"/>
  <c r="U147" i="1"/>
  <c r="S147" i="1" s="1"/>
  <c r="AI181" i="1"/>
  <c r="U143" i="1"/>
  <c r="S143" i="1" s="1"/>
  <c r="AI177" i="1"/>
  <c r="U139" i="1"/>
  <c r="S139" i="1" s="1"/>
  <c r="AI173" i="1"/>
  <c r="U135" i="1"/>
  <c r="S135" i="1" s="1"/>
  <c r="AI169" i="1"/>
  <c r="U131" i="1"/>
  <c r="S131" i="1" s="1"/>
  <c r="AI165" i="1"/>
  <c r="U221" i="1"/>
  <c r="S221" i="1" s="1"/>
  <c r="AI221" i="1"/>
  <c r="U222" i="1"/>
  <c r="S222" i="1"/>
  <c r="AI222" i="1"/>
  <c r="AI218" i="1"/>
  <c r="AI214" i="1"/>
  <c r="AI210" i="1"/>
  <c r="AI206" i="1"/>
  <c r="AI202" i="1"/>
  <c r="AI198" i="1"/>
  <c r="AI194" i="1"/>
  <c r="AI190" i="1"/>
  <c r="AI186" i="1"/>
  <c r="AI182" i="1"/>
  <c r="AI178" i="1"/>
  <c r="AI174" i="1"/>
  <c r="AI170" i="1"/>
  <c r="AI166" i="1"/>
  <c r="AI160" i="1"/>
  <c r="AI157" i="1"/>
  <c r="U123" i="1"/>
  <c r="S123" i="1" s="1"/>
  <c r="AI153" i="1"/>
  <c r="U119" i="1"/>
  <c r="S119" i="1" s="1"/>
  <c r="AI149" i="1"/>
  <c r="U115" i="1"/>
  <c r="S115" i="1" s="1"/>
  <c r="AI145" i="1"/>
  <c r="U111" i="1"/>
  <c r="S111" i="1" s="1"/>
  <c r="AI141" i="1"/>
  <c r="U107" i="1"/>
  <c r="S107" i="1" s="1"/>
  <c r="AI137" i="1"/>
  <c r="U211" i="1"/>
  <c r="S211" i="1" s="1"/>
  <c r="AI133" i="1"/>
  <c r="U100" i="1"/>
  <c r="S100" i="1" s="1"/>
  <c r="U128" i="1"/>
  <c r="S128" i="1" s="1"/>
  <c r="AI161" i="1"/>
  <c r="AI158" i="1"/>
  <c r="U124" i="1"/>
  <c r="S124" i="1" s="1"/>
  <c r="AI154" i="1"/>
  <c r="U120" i="1"/>
  <c r="S120" i="1" s="1"/>
  <c r="AI150" i="1"/>
  <c r="U116" i="1"/>
  <c r="S116" i="1" s="1"/>
  <c r="AI146" i="1"/>
  <c r="U112" i="1"/>
  <c r="S112" i="1" s="1"/>
  <c r="AI142" i="1"/>
  <c r="AI138" i="1"/>
  <c r="U104" i="1"/>
  <c r="S104" i="1" s="1"/>
  <c r="AI134" i="1"/>
  <c r="U101" i="1"/>
  <c r="S101" i="1" s="1"/>
  <c r="U125" i="1"/>
  <c r="S125" i="1" s="1"/>
  <c r="AI159" i="1"/>
  <c r="U121" i="1"/>
  <c r="S121" i="1" s="1"/>
  <c r="AI155" i="1"/>
  <c r="U117" i="1"/>
  <c r="S117" i="1" s="1"/>
  <c r="AI151" i="1"/>
  <c r="U113" i="1"/>
  <c r="S113" i="1" s="1"/>
  <c r="AI147" i="1"/>
  <c r="U109" i="1"/>
  <c r="S109" i="1" s="1"/>
  <c r="AI143" i="1"/>
  <c r="U105" i="1"/>
  <c r="S105" i="1" s="1"/>
  <c r="AI139" i="1"/>
  <c r="U102" i="1"/>
  <c r="S102" i="1" s="1"/>
  <c r="AI135" i="1"/>
  <c r="U122" i="1"/>
  <c r="S122" i="1" s="1"/>
  <c r="AI156" i="1"/>
  <c r="U118" i="1"/>
  <c r="S118" i="1" s="1"/>
  <c r="AI152" i="1"/>
  <c r="U114" i="1"/>
  <c r="S114" i="1" s="1"/>
  <c r="AI148" i="1"/>
  <c r="U110" i="1"/>
  <c r="S110" i="1" s="1"/>
  <c r="AI144" i="1"/>
  <c r="U106" i="1"/>
  <c r="S106" i="1" s="1"/>
  <c r="AI140" i="1"/>
  <c r="U103" i="1"/>
  <c r="S103" i="1" s="1"/>
  <c r="AI136" i="1"/>
  <c r="AI130" i="1"/>
  <c r="U97" i="1"/>
  <c r="S97" i="1" s="1"/>
  <c r="AI127" i="1"/>
  <c r="U191" i="1"/>
  <c r="S191" i="1" s="1"/>
  <c r="AI123" i="1"/>
  <c r="U188" i="1"/>
  <c r="S188" i="1" s="1"/>
  <c r="AI119" i="1"/>
  <c r="U184" i="1"/>
  <c r="S184" i="1" s="1"/>
  <c r="AI115" i="1"/>
  <c r="U95" i="1"/>
  <c r="S95" i="1" s="1"/>
  <c r="AI111" i="1"/>
  <c r="U177" i="1"/>
  <c r="S177" i="1" s="1"/>
  <c r="AI107" i="1"/>
  <c r="U173" i="1"/>
  <c r="S173" i="1" s="1"/>
  <c r="AI103" i="1"/>
  <c r="U170" i="1"/>
  <c r="S170" i="1" s="1"/>
  <c r="AI99" i="1"/>
  <c r="U166" i="1"/>
  <c r="S166" i="1" s="1"/>
  <c r="AI95" i="1"/>
  <c r="U162" i="1"/>
  <c r="S162" i="1" s="1"/>
  <c r="AI91" i="1"/>
  <c r="U91" i="1"/>
  <c r="S91" i="1" s="1"/>
  <c r="U98" i="1"/>
  <c r="S98" i="1" s="1"/>
  <c r="AI131" i="1"/>
  <c r="AI128" i="1"/>
  <c r="U192" i="1"/>
  <c r="S192" i="1" s="1"/>
  <c r="AI124" i="1"/>
  <c r="U189" i="1"/>
  <c r="S189" i="1" s="1"/>
  <c r="AI120" i="1"/>
  <c r="U185" i="1"/>
  <c r="S185" i="1" s="1"/>
  <c r="AI116" i="1"/>
  <c r="U181" i="1"/>
  <c r="S181" i="1" s="1"/>
  <c r="AI112" i="1"/>
  <c r="U178" i="1"/>
  <c r="S178" i="1" s="1"/>
  <c r="AI108" i="1"/>
  <c r="U174" i="1"/>
  <c r="S174" i="1" s="1"/>
  <c r="AI104" i="1"/>
  <c r="U94" i="1"/>
  <c r="S94" i="1" s="1"/>
  <c r="AI100" i="1"/>
  <c r="U167" i="1"/>
  <c r="S167" i="1" s="1"/>
  <c r="AI96" i="1"/>
  <c r="U163" i="1"/>
  <c r="S163" i="1" s="1"/>
  <c r="AI92" i="1"/>
  <c r="U92" i="1"/>
  <c r="S92" i="1" s="1"/>
  <c r="AI88" i="1"/>
  <c r="AI132" i="1"/>
  <c r="U193" i="1"/>
  <c r="S193" i="1" s="1"/>
  <c r="U190" i="1"/>
  <c r="S190" i="1" s="1"/>
  <c r="AI125" i="1"/>
  <c r="U186" i="1"/>
  <c r="S186" i="1"/>
  <c r="AI121" i="1"/>
  <c r="AI117" i="1"/>
  <c r="U179" i="1"/>
  <c r="S179" i="1" s="1"/>
  <c r="AI113" i="1"/>
  <c r="U175" i="1"/>
  <c r="S175" i="1" s="1"/>
  <c r="AI109" i="1"/>
  <c r="U171" i="1"/>
  <c r="S171" i="1"/>
  <c r="AI105" i="1"/>
  <c r="U168" i="1"/>
  <c r="S168" i="1" s="1"/>
  <c r="AI101" i="1"/>
  <c r="U164" i="1"/>
  <c r="S164" i="1" s="1"/>
  <c r="AI97" i="1"/>
  <c r="U93" i="1"/>
  <c r="S93" i="1" s="1"/>
  <c r="AI93" i="1"/>
  <c r="U89" i="1"/>
  <c r="S89" i="1" s="1"/>
  <c r="AI89" i="1"/>
  <c r="U194" i="1"/>
  <c r="S194" i="1" s="1"/>
  <c r="AI129" i="1"/>
  <c r="U96" i="1"/>
  <c r="S96" i="1" s="1"/>
  <c r="AI126" i="1"/>
  <c r="U187" i="1"/>
  <c r="S187" i="1" s="1"/>
  <c r="AI122" i="1"/>
  <c r="AI118" i="1"/>
  <c r="U180" i="1"/>
  <c r="S180" i="1" s="1"/>
  <c r="AI114" i="1"/>
  <c r="U176" i="1"/>
  <c r="S176" i="1" s="1"/>
  <c r="AI110" i="1"/>
  <c r="U172" i="1"/>
  <c r="S172" i="1" s="1"/>
  <c r="AI106" i="1"/>
  <c r="U169" i="1"/>
  <c r="S169" i="1" s="1"/>
  <c r="AI102" i="1"/>
  <c r="U165" i="1"/>
  <c r="S165" i="1" s="1"/>
  <c r="AI98" i="1"/>
  <c r="U161" i="1"/>
  <c r="S161" i="1" s="1"/>
  <c r="AI94" i="1"/>
  <c r="U90" i="1"/>
  <c r="S90" i="1" s="1"/>
  <c r="AI90" i="1"/>
  <c r="U87" i="1"/>
  <c r="S87" i="1" s="1"/>
  <c r="AI87" i="1"/>
  <c r="AI83" i="1"/>
  <c r="U83" i="1"/>
  <c r="S83" i="1" s="1"/>
  <c r="AI79" i="1"/>
  <c r="U79" i="1"/>
  <c r="S79" i="1" s="1"/>
  <c r="AI75" i="1"/>
  <c r="U75" i="1"/>
  <c r="S75" i="1" s="1"/>
  <c r="AI71" i="1"/>
  <c r="U71" i="1"/>
  <c r="S71" i="1" s="1"/>
  <c r="AI66" i="1"/>
  <c r="U66" i="1"/>
  <c r="S66" i="1" s="1"/>
  <c r="AI62" i="1"/>
  <c r="U62" i="1"/>
  <c r="S62" i="1" s="1"/>
  <c r="AI58" i="1"/>
  <c r="U58" i="1"/>
  <c r="S58" i="1" s="1"/>
  <c r="AI54" i="1"/>
  <c r="U54" i="1"/>
  <c r="S54" i="1" s="1"/>
  <c r="AI84" i="1"/>
  <c r="U84" i="1"/>
  <c r="S84" i="1" s="1"/>
  <c r="AI80" i="1"/>
  <c r="U80" i="1"/>
  <c r="S80" i="1" s="1"/>
  <c r="AI76" i="1"/>
  <c r="U76" i="1"/>
  <c r="S76" i="1" s="1"/>
  <c r="AI72" i="1"/>
  <c r="U72" i="1"/>
  <c r="S72" i="1" s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U85" i="1"/>
  <c r="S85" i="1" s="1"/>
  <c r="AI85" i="1"/>
  <c r="U81" i="1"/>
  <c r="S81" i="1" s="1"/>
  <c r="AI81" i="1"/>
  <c r="U77" i="1"/>
  <c r="S77" i="1" s="1"/>
  <c r="AI77" i="1"/>
  <c r="U73" i="1"/>
  <c r="S73" i="1" s="1"/>
  <c r="AI73" i="1"/>
  <c r="U69" i="1"/>
  <c r="S69" i="1" s="1"/>
  <c r="AI69" i="1"/>
  <c r="U64" i="1"/>
  <c r="S64" i="1" s="1"/>
  <c r="AI64" i="1"/>
  <c r="U60" i="1"/>
  <c r="S60" i="1" s="1"/>
  <c r="AI60" i="1"/>
  <c r="U56" i="1"/>
  <c r="S56" i="1" s="1"/>
  <c r="AI56" i="1"/>
  <c r="U86" i="1"/>
  <c r="S86" i="1" s="1"/>
  <c r="AI86" i="1"/>
  <c r="U82" i="1"/>
  <c r="S82" i="1" s="1"/>
  <c r="AI82" i="1"/>
  <c r="AI78" i="1"/>
  <c r="U74" i="1"/>
  <c r="S74" i="1" s="1"/>
  <c r="AI74" i="1"/>
  <c r="U70" i="1"/>
  <c r="S70" i="1" s="1"/>
  <c r="AI70" i="1"/>
  <c r="U65" i="1"/>
  <c r="S65" i="1" s="1"/>
  <c r="AI65" i="1"/>
  <c r="U61" i="1"/>
  <c r="S61" i="1" s="1"/>
  <c r="AI61" i="1"/>
  <c r="U57" i="1"/>
  <c r="S57" i="1" s="1"/>
  <c r="AI57" i="1"/>
  <c r="U53" i="1"/>
  <c r="S53" i="1" s="1"/>
  <c r="AI53" i="1"/>
  <c r="AI49" i="1"/>
  <c r="AI45" i="1"/>
  <c r="U45" i="1"/>
  <c r="S45" i="1" s="1"/>
  <c r="AI41" i="1"/>
  <c r="AI37" i="1"/>
  <c r="U37" i="1"/>
  <c r="S37" i="1" s="1"/>
  <c r="AI33" i="1"/>
  <c r="U33" i="1"/>
  <c r="S33" i="1" s="1"/>
  <c r="AI29" i="1"/>
  <c r="U29" i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52" i="1"/>
  <c r="S52" i="1" s="1"/>
  <c r="AI52" i="1"/>
  <c r="U48" i="1"/>
  <c r="S48" i="1" s="1"/>
  <c r="AI48" i="1"/>
  <c r="U44" i="1"/>
  <c r="S44" i="1" s="1"/>
  <c r="AI44" i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12" i="1"/>
  <c r="W210" i="1"/>
  <c r="W209" i="1"/>
  <c r="W208" i="1"/>
  <c r="W195" i="1"/>
  <c r="W154" i="1"/>
  <c r="W146" i="1"/>
  <c r="W138" i="1"/>
  <c r="W130" i="1"/>
  <c r="W127" i="1"/>
  <c r="W222" i="1"/>
  <c r="W221" i="1"/>
  <c r="W206" i="1"/>
  <c r="W205" i="1"/>
  <c r="W204" i="1"/>
  <c r="W160" i="1"/>
  <c r="W159" i="1"/>
  <c r="W153" i="1"/>
  <c r="W152" i="1"/>
  <c r="W145" i="1"/>
  <c r="W144" i="1"/>
  <c r="W143" i="1"/>
  <c r="W137" i="1"/>
  <c r="W136" i="1"/>
  <c r="W135" i="1"/>
  <c r="W220" i="1"/>
  <c r="W219" i="1"/>
  <c r="W218" i="1"/>
  <c r="W217" i="1"/>
  <c r="W203" i="1"/>
  <c r="W202" i="1"/>
  <c r="W201" i="1"/>
  <c r="W200" i="1"/>
  <c r="W158" i="1"/>
  <c r="W150" i="1"/>
  <c r="W142" i="1"/>
  <c r="W134" i="1"/>
  <c r="W128" i="1"/>
  <c r="W216" i="1"/>
  <c r="W215" i="1"/>
  <c r="W214" i="1"/>
  <c r="W213" i="1"/>
  <c r="W199" i="1"/>
  <c r="W198" i="1"/>
  <c r="W197" i="1"/>
  <c r="W196" i="1"/>
  <c r="W157" i="1"/>
  <c r="W156" i="1"/>
  <c r="W155" i="1"/>
  <c r="W149" i="1"/>
  <c r="W147" i="1"/>
  <c r="W141" i="1"/>
  <c r="W140" i="1"/>
  <c r="W139" i="1"/>
  <c r="W133" i="1"/>
  <c r="W132" i="1"/>
  <c r="W131" i="1"/>
  <c r="X222" i="1"/>
  <c r="X218" i="1"/>
  <c r="T218" i="1"/>
  <c r="U218" i="1" s="1"/>
  <c r="S218" i="1" s="1"/>
  <c r="X214" i="1"/>
  <c r="T214" i="1"/>
  <c r="U214" i="1" s="1"/>
  <c r="S214" i="1" s="1"/>
  <c r="X209" i="1"/>
  <c r="T209" i="1"/>
  <c r="U209" i="1" s="1"/>
  <c r="S209" i="1" s="1"/>
  <c r="X205" i="1"/>
  <c r="T205" i="1"/>
  <c r="U205" i="1" s="1"/>
  <c r="S205" i="1" s="1"/>
  <c r="X201" i="1"/>
  <c r="T201" i="1"/>
  <c r="U201" i="1" s="1"/>
  <c r="S201" i="1" s="1"/>
  <c r="X197" i="1"/>
  <c r="T197" i="1"/>
  <c r="U197" i="1" s="1"/>
  <c r="S197" i="1" s="1"/>
  <c r="X156" i="1"/>
  <c r="T156" i="1"/>
  <c r="U156" i="1" s="1"/>
  <c r="S156" i="1" s="1"/>
  <c r="X152" i="1"/>
  <c r="T152" i="1"/>
  <c r="U152" i="1" s="1"/>
  <c r="S152" i="1" s="1"/>
  <c r="X148" i="1"/>
  <c r="T148" i="1"/>
  <c r="U148" i="1" s="1"/>
  <c r="S148" i="1" s="1"/>
  <c r="X144" i="1"/>
  <c r="T144" i="1"/>
  <c r="U144" i="1" s="1"/>
  <c r="S144" i="1" s="1"/>
  <c r="X140" i="1"/>
  <c r="T140" i="1"/>
  <c r="U140" i="1" s="1"/>
  <c r="S140" i="1" s="1"/>
  <c r="X136" i="1"/>
  <c r="T136" i="1"/>
  <c r="U136" i="1" s="1"/>
  <c r="S136" i="1" s="1"/>
  <c r="T132" i="1"/>
  <c r="U132" i="1" s="1"/>
  <c r="S132" i="1" s="1"/>
  <c r="T130" i="1"/>
  <c r="U130" i="1" s="1"/>
  <c r="S130" i="1" s="1"/>
  <c r="W126" i="1"/>
  <c r="W125" i="1"/>
  <c r="W120" i="1"/>
  <c r="W111" i="1"/>
  <c r="W110" i="1"/>
  <c r="W109" i="1"/>
  <c r="W104" i="1"/>
  <c r="W98" i="1"/>
  <c r="T126" i="1"/>
  <c r="U126" i="1" s="1"/>
  <c r="W123" i="1"/>
  <c r="W122" i="1"/>
  <c r="W116" i="1"/>
  <c r="W107" i="1"/>
  <c r="W105" i="1"/>
  <c r="W101" i="1"/>
  <c r="W119" i="1"/>
  <c r="W118" i="1"/>
  <c r="W117" i="1"/>
  <c r="W112" i="1"/>
  <c r="W211" i="1"/>
  <c r="W103" i="1"/>
  <c r="W102" i="1"/>
  <c r="W99" i="1"/>
  <c r="X221" i="1"/>
  <c r="X217" i="1"/>
  <c r="X213" i="1"/>
  <c r="X208" i="1"/>
  <c r="X204" i="1"/>
  <c r="X200" i="1"/>
  <c r="X196" i="1"/>
  <c r="X155" i="1"/>
  <c r="X151" i="1"/>
  <c r="X147" i="1"/>
  <c r="X143" i="1"/>
  <c r="X139" i="1"/>
  <c r="AA129" i="1"/>
  <c r="W129" i="1" s="1"/>
  <c r="T127" i="1"/>
  <c r="U127" i="1" s="1"/>
  <c r="W124" i="1"/>
  <c r="W115" i="1"/>
  <c r="W114" i="1"/>
  <c r="W108" i="1"/>
  <c r="W100" i="1"/>
  <c r="X122" i="1"/>
  <c r="X118" i="1"/>
  <c r="X114" i="1"/>
  <c r="X110" i="1"/>
  <c r="X106" i="1"/>
  <c r="X103" i="1"/>
  <c r="W189" i="1"/>
  <c r="W183" i="1"/>
  <c r="W181" i="1"/>
  <c r="W175" i="1"/>
  <c r="W94" i="1"/>
  <c r="W166" i="1"/>
  <c r="W93" i="1"/>
  <c r="X123" i="1"/>
  <c r="X119" i="1"/>
  <c r="X115" i="1"/>
  <c r="X111" i="1"/>
  <c r="X107" i="1"/>
  <c r="X211" i="1"/>
  <c r="X100" i="1"/>
  <c r="T99" i="1"/>
  <c r="U99" i="1" s="1"/>
  <c r="S99" i="1" s="1"/>
  <c r="W97" i="1"/>
  <c r="W190" i="1"/>
  <c r="W188" i="1"/>
  <c r="W182" i="1"/>
  <c r="W95" i="1"/>
  <c r="W174" i="1"/>
  <c r="W170" i="1"/>
  <c r="W165" i="1"/>
  <c r="W164" i="1"/>
  <c r="W161" i="1"/>
  <c r="W92" i="1"/>
  <c r="W194" i="1"/>
  <c r="W192" i="1"/>
  <c r="W187" i="1"/>
  <c r="W185" i="1"/>
  <c r="W180" i="1"/>
  <c r="W178" i="1"/>
  <c r="W173" i="1"/>
  <c r="W169" i="1"/>
  <c r="W168" i="1"/>
  <c r="W163" i="1"/>
  <c r="W91" i="1"/>
  <c r="W90" i="1"/>
  <c r="W193" i="1"/>
  <c r="W191" i="1"/>
  <c r="W186" i="1"/>
  <c r="W184" i="1"/>
  <c r="W179" i="1"/>
  <c r="W177" i="1"/>
  <c r="W172" i="1"/>
  <c r="W171" i="1"/>
  <c r="W167" i="1"/>
  <c r="W162" i="1"/>
  <c r="W89" i="1"/>
  <c r="T88" i="1"/>
  <c r="U88" i="1" s="1"/>
  <c r="S88" i="1" s="1"/>
  <c r="W84" i="1"/>
  <c r="W83" i="1"/>
  <c r="W77" i="1"/>
  <c r="W74" i="1"/>
  <c r="W72" i="1"/>
  <c r="W71" i="1"/>
  <c r="W67" i="1"/>
  <c r="W66" i="1"/>
  <c r="W63" i="1"/>
  <c r="W62" i="1"/>
  <c r="W59" i="1"/>
  <c r="W58" i="1"/>
  <c r="W55" i="1"/>
  <c r="W54" i="1"/>
  <c r="W87" i="1"/>
  <c r="W85" i="1"/>
  <c r="W82" i="1"/>
  <c r="W73" i="1"/>
  <c r="W70" i="1"/>
  <c r="W65" i="1"/>
  <c r="W61" i="1"/>
  <c r="W57" i="1"/>
  <c r="W80" i="1"/>
  <c r="W79" i="1"/>
  <c r="W69" i="1"/>
  <c r="W64" i="1"/>
  <c r="W60" i="1"/>
  <c r="AA88" i="1"/>
  <c r="W88" i="1" s="1"/>
  <c r="W86" i="1"/>
  <c r="W81" i="1"/>
  <c r="W78" i="1"/>
  <c r="W76" i="1"/>
  <c r="W75" i="1"/>
  <c r="W49" i="1"/>
  <c r="W48" i="1"/>
  <c r="W41" i="1"/>
  <c r="W40" i="1"/>
  <c r="W33" i="1"/>
  <c r="W32" i="1"/>
  <c r="W19" i="1"/>
  <c r="W17" i="1"/>
  <c r="W15" i="1"/>
  <c r="W53" i="1"/>
  <c r="W52" i="1"/>
  <c r="W50" i="1"/>
  <c r="W47" i="1"/>
  <c r="W42" i="1"/>
  <c r="W39" i="1"/>
  <c r="W34" i="1"/>
  <c r="W31" i="1"/>
  <c r="W29" i="1"/>
  <c r="W28" i="1"/>
  <c r="W22" i="1"/>
  <c r="W18" i="1"/>
  <c r="W14" i="1"/>
  <c r="W45" i="1"/>
  <c r="W44" i="1"/>
  <c r="W37" i="1"/>
  <c r="W36" i="1"/>
  <c r="W27" i="1"/>
  <c r="W25" i="1"/>
  <c r="W24" i="1"/>
  <c r="X85" i="1"/>
  <c r="X81" i="1"/>
  <c r="X77" i="1"/>
  <c r="X73" i="1"/>
  <c r="X64" i="1"/>
  <c r="X60" i="1"/>
  <c r="X56" i="1"/>
  <c r="W51" i="1"/>
  <c r="W46" i="1"/>
  <c r="W43" i="1"/>
  <c r="W38" i="1"/>
  <c r="W35" i="1"/>
  <c r="W23" i="1"/>
  <c r="W21" i="1"/>
  <c r="W20" i="1"/>
  <c r="W16" i="1"/>
  <c r="X50" i="1"/>
  <c r="X46" i="1"/>
  <c r="X42" i="1"/>
  <c r="X38" i="1"/>
  <c r="X34" i="1"/>
  <c r="X30" i="1"/>
  <c r="X26" i="1"/>
  <c r="X22" i="1"/>
  <c r="X18" i="1"/>
  <c r="AC19" i="3"/>
  <c r="AD37" i="3"/>
  <c r="AD20" i="3"/>
  <c r="AD13" i="3"/>
  <c r="AD19" i="3"/>
  <c r="AE19" i="3"/>
  <c r="AD17" i="3"/>
  <c r="AD12" i="3"/>
  <c r="AD16" i="3"/>
  <c r="AE11" i="3"/>
  <c r="AC8" i="3"/>
  <c r="T8" i="3"/>
  <c r="AC18" i="3"/>
  <c r="AC20" i="3"/>
  <c r="AD21" i="3"/>
  <c r="AD11" i="3"/>
  <c r="T23" i="3"/>
  <c r="AD8" i="3"/>
  <c r="AC7" i="3"/>
  <c r="AC37" i="3"/>
  <c r="AE31" i="3"/>
  <c r="AC30" i="3"/>
  <c r="T30" i="3"/>
  <c r="AC17" i="3"/>
  <c r="AC25" i="3"/>
  <c r="T32" i="3"/>
  <c r="AC11" i="3"/>
  <c r="Y13" i="3"/>
  <c r="Y25" i="3"/>
  <c r="Y15" i="3"/>
  <c r="Y9" i="3"/>
  <c r="Y19" i="3"/>
  <c r="Y37" i="3"/>
  <c r="Y11" i="3"/>
  <c r="Y30" i="3"/>
  <c r="Y29" i="3"/>
  <c r="Y32" i="3"/>
  <c r="Y23" i="3"/>
  <c r="Y20" i="3"/>
  <c r="Y12" i="3"/>
  <c r="Y14" i="3"/>
  <c r="Y10" i="3"/>
  <c r="Y28" i="3"/>
  <c r="Y27" i="3"/>
  <c r="Y26" i="3"/>
  <c r="Y24" i="3"/>
  <c r="Y33" i="3"/>
  <c r="Y8" i="3"/>
  <c r="Y16" i="3"/>
  <c r="Y36" i="3"/>
  <c r="Y7" i="3"/>
  <c r="Y18" i="3"/>
  <c r="Y21" i="3"/>
  <c r="Y22" i="3"/>
  <c r="Y17" i="3"/>
  <c r="Y35" i="3"/>
  <c r="Y34" i="3"/>
  <c r="Y31" i="3"/>
  <c r="T16" i="3"/>
  <c r="AE30" i="3"/>
  <c r="T36" i="3"/>
  <c r="AE18" i="3"/>
  <c r="T26" i="3"/>
  <c r="AE14" i="3"/>
  <c r="T24" i="3"/>
  <c r="AE10" i="3"/>
  <c r="T33" i="3"/>
  <c r="AE34" i="3"/>
  <c r="T10" i="3"/>
  <c r="T28" i="3"/>
  <c r="AE37" i="3"/>
  <c r="T7" i="3"/>
  <c r="AD34" i="3"/>
  <c r="AE29" i="3"/>
  <c r="AD26" i="3"/>
  <c r="AE25" i="3"/>
  <c r="T22" i="3"/>
  <c r="AD22" i="3"/>
  <c r="AE21" i="3"/>
  <c r="T17" i="3"/>
  <c r="AD18" i="3"/>
  <c r="AE17" i="3"/>
  <c r="T35" i="3"/>
  <c r="AD14" i="3"/>
  <c r="AE13" i="3"/>
  <c r="T34" i="3"/>
  <c r="AD10" i="3"/>
  <c r="AE9" i="3"/>
  <c r="T31" i="3"/>
  <c r="AE26" i="3"/>
  <c r="AE22" i="3"/>
  <c r="T27" i="3"/>
  <c r="AE33" i="3"/>
  <c r="T18" i="3"/>
  <c r="AD30" i="3"/>
  <c r="T21" i="3"/>
  <c r="AE36" i="3"/>
  <c r="AE32" i="3"/>
  <c r="AE28" i="3"/>
  <c r="AE24" i="3"/>
  <c r="AE20" i="3"/>
  <c r="AE16" i="3"/>
  <c r="AE12" i="3"/>
  <c r="AE8" i="3"/>
  <c r="S126" i="1" l="1"/>
  <c r="S29" i="1"/>
  <c r="M38" i="3"/>
  <c r="R38" i="3"/>
  <c r="S38" i="3"/>
  <c r="U38" i="3"/>
  <c r="V38" i="3"/>
  <c r="X38" i="3"/>
  <c r="W38" i="3"/>
  <c r="T38" i="3" l="1"/>
  <c r="AD38" i="3"/>
  <c r="AE38" i="3"/>
  <c r="AC38" i="3"/>
  <c r="Y38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T13" i="1" l="1"/>
  <c r="U13" i="1" s="1"/>
  <c r="S13" i="1" s="1"/>
  <c r="X13" i="1"/>
  <c r="AA13" i="1"/>
  <c r="W13" i="1" s="1"/>
  <c r="AI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B3" i="6" l="1"/>
  <c r="C52" i="9"/>
  <c r="C54" i="9"/>
  <c r="C55" i="9"/>
  <c r="C53" i="9"/>
  <c r="C51" i="9"/>
  <c r="G3" i="6" l="1"/>
  <c r="I3" i="6"/>
  <c r="J3" i="6"/>
  <c r="F3" i="6"/>
  <c r="B4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5" i="6" l="1"/>
  <c r="F4" i="6"/>
  <c r="G4" i="6"/>
  <c r="I4" i="6"/>
  <c r="J4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5" i="6" l="1"/>
  <c r="I5" i="6"/>
  <c r="J5" i="6"/>
  <c r="F5" i="6"/>
  <c r="B6" i="6"/>
  <c r="B31" i="9"/>
  <c r="B32" i="9"/>
  <c r="C33" i="9" s="1"/>
  <c r="F6" i="6" l="1"/>
  <c r="G6" i="6"/>
  <c r="I6" i="6"/>
  <c r="J6" i="6"/>
  <c r="B7" i="6"/>
  <c r="C32" i="9"/>
  <c r="G7" i="6" l="1"/>
  <c r="I7" i="6"/>
  <c r="F7" i="6"/>
  <c r="H7" i="6"/>
  <c r="J7" i="6"/>
  <c r="B8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N9" i="3" s="1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31" i="3" s="1"/>
  <c r="G63" i="4"/>
  <c r="G64" i="4"/>
  <c r="N23" i="3" s="1"/>
  <c r="G65" i="4"/>
  <c r="N33" i="3" s="1"/>
  <c r="G66" i="4"/>
  <c r="G67" i="4"/>
  <c r="G68" i="4"/>
  <c r="G69" i="4"/>
  <c r="G70" i="4"/>
  <c r="G71" i="4"/>
  <c r="N34" i="3" s="1"/>
  <c r="G72" i="4"/>
  <c r="G73" i="4"/>
  <c r="N15" i="3" s="1"/>
  <c r="G74" i="4"/>
  <c r="G75" i="4"/>
  <c r="N24" i="3" s="1"/>
  <c r="G76" i="4"/>
  <c r="G77" i="4"/>
  <c r="G78" i="4"/>
  <c r="G79" i="4"/>
  <c r="G80" i="4"/>
  <c r="G81" i="4"/>
  <c r="G82" i="4"/>
  <c r="N32" i="3" s="1"/>
  <c r="G83" i="4"/>
  <c r="G84" i="4"/>
  <c r="G85" i="4"/>
  <c r="G86" i="4"/>
  <c r="G87" i="4"/>
  <c r="G88" i="4"/>
  <c r="G89" i="4"/>
  <c r="G90" i="4"/>
  <c r="N25" i="3" s="1"/>
  <c r="G91" i="4"/>
  <c r="G92" i="4"/>
  <c r="G93" i="4"/>
  <c r="G94" i="4"/>
  <c r="G95" i="4"/>
  <c r="G96" i="4"/>
  <c r="N35" i="3" s="1"/>
  <c r="G97" i="4"/>
  <c r="G98" i="4"/>
  <c r="G99" i="4"/>
  <c r="G100" i="4"/>
  <c r="G101" i="4"/>
  <c r="N26" i="3" s="1"/>
  <c r="G102" i="4"/>
  <c r="G103" i="4"/>
  <c r="G104" i="4"/>
  <c r="G105" i="4"/>
  <c r="G106" i="4"/>
  <c r="G107" i="4"/>
  <c r="G108" i="4"/>
  <c r="G109" i="4"/>
  <c r="N29" i="3" s="1"/>
  <c r="G110" i="4"/>
  <c r="G111" i="4"/>
  <c r="G112" i="4"/>
  <c r="G113" i="4"/>
  <c r="G114" i="4"/>
  <c r="G115" i="4"/>
  <c r="G116" i="4"/>
  <c r="G117" i="4"/>
  <c r="N13" i="3" s="1"/>
  <c r="G118" i="4"/>
  <c r="G119" i="4"/>
  <c r="G120" i="4"/>
  <c r="G121" i="4"/>
  <c r="G122" i="4"/>
  <c r="N17" i="3" s="1"/>
  <c r="G123" i="4"/>
  <c r="G124" i="4"/>
  <c r="G125" i="4"/>
  <c r="N27" i="3" s="1"/>
  <c r="G126" i="4"/>
  <c r="G127" i="4"/>
  <c r="G128" i="4"/>
  <c r="G129" i="4"/>
  <c r="N30" i="3" s="1"/>
  <c r="G130" i="4"/>
  <c r="G131" i="4"/>
  <c r="G132" i="4"/>
  <c r="G133" i="4"/>
  <c r="G134" i="4"/>
  <c r="G135" i="4"/>
  <c r="G136" i="4"/>
  <c r="G137" i="4"/>
  <c r="G138" i="4"/>
  <c r="G139" i="4"/>
  <c r="N12" i="3" s="1"/>
  <c r="G140" i="4"/>
  <c r="G141" i="4"/>
  <c r="G142" i="4"/>
  <c r="G143" i="4"/>
  <c r="G144" i="4"/>
  <c r="G145" i="4"/>
  <c r="G146" i="4"/>
  <c r="G147" i="4"/>
  <c r="G148" i="4"/>
  <c r="G149" i="4"/>
  <c r="G150" i="4"/>
  <c r="G151" i="4"/>
  <c r="N22" i="3" s="1"/>
  <c r="G152" i="4"/>
  <c r="G153" i="4"/>
  <c r="G154" i="4"/>
  <c r="G155" i="4"/>
  <c r="G156" i="4"/>
  <c r="G157" i="4"/>
  <c r="G158" i="4"/>
  <c r="G159" i="4"/>
  <c r="G160" i="4"/>
  <c r="G161" i="4"/>
  <c r="G162" i="4"/>
  <c r="G163" i="4"/>
  <c r="N28" i="3" s="1"/>
  <c r="G164" i="4"/>
  <c r="G165" i="4"/>
  <c r="G166" i="4"/>
  <c r="N14" i="3" s="1"/>
  <c r="G167" i="4"/>
  <c r="G168" i="4"/>
  <c r="G169" i="4"/>
  <c r="G170" i="4"/>
  <c r="N20" i="3" s="1"/>
  <c r="G171" i="4"/>
  <c r="G172" i="4"/>
  <c r="G173" i="4"/>
  <c r="G174" i="4"/>
  <c r="N36" i="3" s="1"/>
  <c r="G175" i="4"/>
  <c r="N21" i="3" s="1"/>
  <c r="G176" i="4"/>
  <c r="G177" i="4"/>
  <c r="G178" i="4"/>
  <c r="G179" i="4"/>
  <c r="G180" i="4"/>
  <c r="G181" i="4"/>
  <c r="G182" i="4"/>
  <c r="G183" i="4"/>
  <c r="G184" i="4"/>
  <c r="G185" i="4"/>
  <c r="G186" i="4"/>
  <c r="G187" i="4"/>
  <c r="N11" i="3" s="1"/>
  <c r="G188" i="4"/>
  <c r="G189" i="4"/>
  <c r="G190" i="4"/>
  <c r="G191" i="4"/>
  <c r="N37" i="3" s="1"/>
  <c r="G192" i="4"/>
  <c r="G193" i="4"/>
  <c r="G194" i="4"/>
  <c r="G195" i="4"/>
  <c r="N38" i="3" s="1"/>
  <c r="G196" i="4"/>
  <c r="G197" i="4"/>
  <c r="G198" i="4"/>
  <c r="G199" i="4"/>
  <c r="G200" i="4"/>
  <c r="G201" i="4"/>
  <c r="G202" i="4"/>
  <c r="N18" i="3" s="1"/>
  <c r="G203" i="4"/>
  <c r="G204" i="4"/>
  <c r="G205" i="4"/>
  <c r="G206" i="4"/>
  <c r="G207" i="4"/>
  <c r="G208" i="4"/>
  <c r="N10" i="3" s="1"/>
  <c r="G209" i="4"/>
  <c r="G210" i="4"/>
  <c r="G211" i="4"/>
  <c r="G212" i="4"/>
  <c r="G213" i="4"/>
  <c r="G214" i="4"/>
  <c r="N8" i="3" s="1"/>
  <c r="G215" i="4"/>
  <c r="N19" i="3" s="1"/>
  <c r="G216" i="4"/>
  <c r="G217" i="4"/>
  <c r="G218" i="4"/>
  <c r="G219" i="4"/>
  <c r="N7" i="3" s="1"/>
  <c r="G220" i="4"/>
  <c r="G221" i="4"/>
  <c r="G222" i="4"/>
  <c r="N16" i="3" s="1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H4" i="6" l="1"/>
  <c r="H6" i="6"/>
  <c r="H5" i="6"/>
  <c r="H3" i="6"/>
  <c r="F8" i="6"/>
  <c r="I8" i="6"/>
  <c r="G8" i="6"/>
  <c r="H8" i="6"/>
  <c r="J8" i="6"/>
  <c r="B9" i="6"/>
  <c r="G9" i="6" l="1"/>
  <c r="I9" i="6"/>
  <c r="J9" i="6"/>
  <c r="F9" i="6"/>
  <c r="H9" i="6"/>
  <c r="B10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0" i="6" l="1"/>
  <c r="G10" i="6"/>
  <c r="I10" i="6"/>
  <c r="J10" i="6"/>
  <c r="H10" i="6"/>
  <c r="B11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1" i="6" l="1"/>
  <c r="H11" i="6"/>
  <c r="J11" i="6"/>
  <c r="I11" i="6"/>
  <c r="F11" i="6"/>
  <c r="B12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3" i="6" l="1"/>
  <c r="F12" i="6"/>
  <c r="G12" i="6"/>
  <c r="I12" i="6"/>
  <c r="H12" i="6"/>
  <c r="J12" i="6"/>
  <c r="M30" i="5"/>
  <c r="M29" i="5"/>
  <c r="M27" i="5"/>
  <c r="G13" i="6" l="1"/>
  <c r="I13" i="6"/>
  <c r="J13" i="6"/>
  <c r="H13" i="6"/>
  <c r="F13" i="6"/>
  <c r="B14" i="6"/>
  <c r="M26" i="5"/>
  <c r="AH13" i="1" l="1"/>
  <c r="B15" i="6"/>
  <c r="F14" i="6"/>
  <c r="G14" i="6"/>
  <c r="H14" i="6"/>
  <c r="J14" i="6"/>
  <c r="I14" i="6"/>
  <c r="J7" i="1"/>
  <c r="G15" i="6" l="1"/>
  <c r="F15" i="6"/>
  <c r="H15" i="6"/>
  <c r="J15" i="6"/>
  <c r="I15" i="6"/>
  <c r="B16" i="6"/>
  <c r="X6" i="1"/>
  <c r="W6" i="1"/>
  <c r="V6" i="1"/>
  <c r="S6" i="1"/>
  <c r="R2" i="1"/>
  <c r="I2" i="1"/>
  <c r="O6" i="1"/>
  <c r="N6" i="1"/>
  <c r="M6" i="1"/>
  <c r="J6" i="1"/>
  <c r="B17" i="6" l="1"/>
  <c r="I16" i="6"/>
  <c r="G16" i="6"/>
  <c r="H16" i="6"/>
  <c r="J16" i="6"/>
  <c r="F16" i="6"/>
  <c r="P3" i="5"/>
  <c r="G17" i="6" l="1"/>
  <c r="I17" i="6"/>
  <c r="J17" i="6"/>
  <c r="F17" i="6"/>
  <c r="H17" i="6"/>
  <c r="B18" i="6"/>
  <c r="M18" i="5"/>
  <c r="B19" i="6" l="1"/>
  <c r="F18" i="6"/>
  <c r="G18" i="6"/>
  <c r="I18" i="6"/>
  <c r="J18" i="6"/>
  <c r="H18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19" i="6" l="1"/>
  <c r="I19" i="6"/>
  <c r="J19" i="6"/>
  <c r="F19" i="6"/>
  <c r="H19" i="6"/>
  <c r="B20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1" i="6" l="1"/>
  <c r="F20" i="6"/>
  <c r="G20" i="6"/>
  <c r="I20" i="6"/>
  <c r="H20" i="6"/>
  <c r="J20" i="6"/>
  <c r="G259" i="4"/>
  <c r="G260" i="4"/>
  <c r="G261" i="4"/>
  <c r="G262" i="4"/>
  <c r="G263" i="4"/>
  <c r="G264" i="4"/>
  <c r="G265" i="4"/>
  <c r="B22" i="6" l="1"/>
  <c r="G21" i="6"/>
  <c r="I21" i="6"/>
  <c r="H21" i="6"/>
  <c r="J21" i="6"/>
  <c r="F21" i="6"/>
  <c r="M14" i="5"/>
  <c r="M13" i="5"/>
  <c r="M12" i="5"/>
  <c r="M11" i="5"/>
  <c r="M10" i="5"/>
  <c r="M9" i="5"/>
  <c r="M8" i="5"/>
  <c r="M7" i="5"/>
  <c r="M6" i="5"/>
  <c r="M5" i="5"/>
  <c r="M4" i="5"/>
  <c r="M3" i="5"/>
  <c r="F22" i="6" l="1"/>
  <c r="G22" i="6"/>
  <c r="I22" i="6"/>
  <c r="J22" i="6"/>
  <c r="H22" i="6"/>
  <c r="B23" i="6"/>
  <c r="O3" i="3"/>
  <c r="H23" i="6" l="1"/>
  <c r="I23" i="6"/>
  <c r="F23" i="6"/>
  <c r="G23" i="6"/>
  <c r="J23" i="6"/>
  <c r="B24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5" i="6" l="1"/>
  <c r="F25" i="6" s="1"/>
  <c r="F24" i="6"/>
  <c r="G24" i="6"/>
  <c r="I24" i="6"/>
  <c r="H24" i="6"/>
  <c r="J24" i="6"/>
  <c r="J8" i="1"/>
  <c r="J4" i="1"/>
  <c r="S8" i="1"/>
  <c r="S4" i="1"/>
  <c r="J25" i="6" l="1"/>
  <c r="I25" i="6"/>
  <c r="G25" i="6"/>
  <c r="H25" i="6"/>
  <c r="B26" i="6"/>
  <c r="S9" i="1"/>
  <c r="J9" i="1"/>
  <c r="B27" i="6" l="1"/>
  <c r="H26" i="6"/>
  <c r="J26" i="6"/>
  <c r="F26" i="6"/>
  <c r="G26" i="6"/>
  <c r="I26" i="6"/>
  <c r="S11" i="1"/>
  <c r="A11" i="1"/>
  <c r="B28" i="6" l="1"/>
  <c r="F27" i="6"/>
  <c r="I27" i="6"/>
  <c r="J27" i="6"/>
  <c r="G27" i="6"/>
  <c r="H27" i="6"/>
  <c r="B1" i="6"/>
  <c r="A5" i="3"/>
  <c r="B29" i="6" l="1"/>
  <c r="G28" i="6"/>
  <c r="H28" i="6"/>
  <c r="F28" i="6"/>
  <c r="I28" i="6"/>
  <c r="J28" i="6"/>
  <c r="G29" i="6" l="1"/>
  <c r="H29" i="6"/>
  <c r="I29" i="6"/>
  <c r="J29" i="6"/>
  <c r="F29" i="6"/>
  <c r="B30" i="6"/>
  <c r="H30" i="6" l="1"/>
  <c r="F30" i="6"/>
  <c r="G30" i="6"/>
  <c r="I30" i="6"/>
  <c r="J30" i="6"/>
  <c r="B31" i="6"/>
  <c r="B32" i="6" l="1"/>
  <c r="G31" i="6"/>
  <c r="H31" i="6"/>
  <c r="I31" i="6"/>
  <c r="J31" i="6"/>
  <c r="F31" i="6"/>
  <c r="B33" i="6" l="1"/>
  <c r="I32" i="6"/>
  <c r="G32" i="6"/>
  <c r="F32" i="6"/>
  <c r="H32" i="6"/>
  <c r="J32" i="6"/>
  <c r="G33" i="6" l="1"/>
  <c r="F33" i="6"/>
  <c r="H33" i="6"/>
  <c r="I33" i="6"/>
  <c r="J33" i="6"/>
  <c r="B34" i="6"/>
  <c r="H34" i="6" l="1"/>
  <c r="J34" i="6"/>
  <c r="F34" i="6"/>
  <c r="G34" i="6"/>
  <c r="I34" i="6"/>
  <c r="B35" i="6"/>
  <c r="B36" i="6" l="1"/>
  <c r="F35" i="6"/>
  <c r="G35" i="6"/>
  <c r="I35" i="6"/>
  <c r="H35" i="6"/>
  <c r="J35" i="6"/>
  <c r="F36" i="6" l="1"/>
  <c r="G36" i="6"/>
  <c r="J36" i="6"/>
  <c r="H36" i="6"/>
  <c r="I36" i="6"/>
  <c r="B37" i="6"/>
  <c r="G37" i="6" l="1"/>
  <c r="J37" i="6"/>
  <c r="F37" i="6"/>
  <c r="H37" i="6"/>
  <c r="I37" i="6"/>
  <c r="B38" i="6"/>
  <c r="B39" i="6" l="1"/>
  <c r="F38" i="6"/>
  <c r="G38" i="6"/>
  <c r="H38" i="6"/>
  <c r="I38" i="6"/>
  <c r="J38" i="6"/>
  <c r="B40" i="6" l="1"/>
  <c r="J39" i="6"/>
  <c r="F39" i="6"/>
  <c r="I39" i="6"/>
  <c r="G39" i="6"/>
  <c r="H39" i="6"/>
  <c r="B41" i="6" l="1"/>
  <c r="G40" i="6"/>
  <c r="H40" i="6"/>
  <c r="F40" i="6"/>
  <c r="I40" i="6"/>
  <c r="J40" i="6"/>
  <c r="G41" i="6" l="1"/>
  <c r="I41" i="6"/>
  <c r="J41" i="6"/>
  <c r="F41" i="6"/>
  <c r="H41" i="6"/>
  <c r="B42" i="6"/>
  <c r="B43" i="6" l="1"/>
  <c r="J42" i="6"/>
  <c r="F42" i="6"/>
  <c r="H42" i="6"/>
  <c r="G42" i="6"/>
  <c r="I42" i="6"/>
  <c r="B44" i="6" l="1"/>
  <c r="H43" i="6"/>
  <c r="F43" i="6"/>
  <c r="I43" i="6"/>
  <c r="J43" i="6"/>
  <c r="G43" i="6"/>
  <c r="B46" i="6" l="1"/>
  <c r="B45" i="6"/>
  <c r="G44" i="6"/>
  <c r="H44" i="6"/>
  <c r="F44" i="6"/>
  <c r="I44" i="6"/>
  <c r="J44" i="6"/>
  <c r="G45" i="6" l="1"/>
  <c r="H45" i="6"/>
  <c r="I45" i="6"/>
  <c r="J45" i="6"/>
  <c r="F45" i="6"/>
  <c r="H46" i="6"/>
  <c r="J46" i="6"/>
  <c r="G46" i="6"/>
  <c r="I46" i="6"/>
  <c r="F46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<sst xmlns="http://schemas.openxmlformats.org/spreadsheetml/2006/main" count="2773" uniqueCount="1002">
  <si>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</si>
  <si>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</si>
  <si>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</si>
  <si>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</si>
  <si>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</si>
  <si>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</si>
  <si>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</si>
  <si>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</si>
  <si>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</si>
  <si>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</si>
  <si>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</si>
  <si>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</si>
  <si>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</si>
  <si>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</si>
  <si>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</si>
  <si>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</si>
  <si>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</si>
  <si>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</si>
  <si>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</si>
  <si>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</si>
  <si>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</si>
  <si>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</si>
  <si>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</si>
  <si>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</si>
  <si>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</si>
  <si>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</si>
  <si>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</si>
  <si>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</si>
  <si>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</si>
  <si>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</si>
  <si>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</si>
  <si>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</si>
  <si>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</si>
  <si>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</si>
  <si>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</si>
  <si>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</si>
  <si>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</si>
  <si>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</si>
  <si>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</si>
  <si>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</si>
  <si>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</si>
  <si>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</si>
  <si>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</si>
  <si>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</si>
  <si>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</si>
  <si>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</si>
  <si>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</si>
  <si>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</si>
  <si>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</si>
  <si>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</si>
  <si>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</si>
  <si>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</si>
  <si>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</si>
  <si>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</si>
  <si>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</si>
  <si>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</si>
  <si>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</si>
  <si>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</si>
  <si>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</si>
  <si>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</si>
  <si>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</si>
  <si>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</si>
  <si>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</si>
  <si>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</si>
  <si>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</si>
  <si>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</si>
  <si>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</si>
  <si>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</si>
  <si>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</si>
  <si>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</si>
  <si>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</si>
  <si>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</si>
  <si>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</si>
  <si>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</si>
  <si>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</si>
  <si>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</si>
  <si>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</si>
  <si>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</si>
  <si>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</si>
  <si>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</si>
  <si>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</si>
  <si>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</si>
  <si>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</si>
  <si>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</si>
  <si>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</si>
  <si>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</si>
  <si>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</si>
  <si>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</si>
  <si>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</si>
  <si>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</si>
  <si>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</si>
  <si>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</si>
  <si>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</si>
  <si>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</si>
  <si>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</si>
  <si>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</si>
  <si>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</si>
  <si>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</si>
  <si>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</si>
  <si>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</si>
  <si>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</si>
  <si>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</si>
  <si>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</si>
  <si>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</si>
  <si>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</si>
  <si>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</si>
  <si>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</si>
  <si>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</si>
  <si>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</si>
  <si>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</si>
  <si>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</si>
  <si>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</si>
  <si>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</si>
  <si>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</si>
  <si>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</si>
  <si>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</si>
  <si>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</si>
  <si>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</si>
  <si>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</si>
  <si>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</si>
  <si>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</si>
  <si>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</si>
  <si>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</si>
  <si>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</si>
  <si>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</si>
  <si>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</si>
  <si>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</si>
  <si>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</si>
  <si>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</si>
  <si>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</si>
  <si>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</si>
  <si>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</si>
  <si>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</si>
  <si>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</si>
  <si>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</si>
  <si>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</si>
  <si>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</si>
  <si>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</si>
  <si>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</si>
  <si>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</si>
  <si>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</si>
  <si>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</si>
  <si>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</si>
  <si>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</si>
  <si>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</si>
  <si>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</si>
  <si>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</si>
  <si>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</si>
  <si>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</si>
  <si>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</si>
  <si>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</si>
  <si>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</si>
  <si>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</si>
  <si>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</si>
  <si>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</si>
  <si>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</si>
  <si>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</si>
  <si>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</si>
  <si>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</si>
  <si>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</si>
  <si>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</si>
  <si>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</si>
  <si>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</si>
  <si>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</si>
  <si>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</si>
  <si>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</si>
  <si>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</si>
  <si>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</si>
  <si>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</si>
  <si>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</si>
  <si>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</si>
  <si>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</si>
  <si>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</si>
  <si>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</si>
  <si>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</si>
  <si>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</si>
  <si>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</si>
  <si>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</si>
  <si>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</si>
  <si>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</si>
  <si>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</si>
  <si>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</si>
  <si>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</si>
  <si>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</si>
  <si>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</si>
  <si>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</si>
  <si>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</si>
  <si>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</si>
  <si>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</si>
  <si>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</si>
  <si>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</si>
  <si>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</si>
  <si>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</si>
  <si>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</si>
  <si>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</si>
  <si>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</si>
  <si>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</si>
  <si>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</si>
  <si>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</si>
  <si>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</si>
  <si>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</si>
  <si>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</si>
  <si>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</si>
  <si>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</si>
  <si>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</si>
  <si>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</si>
  <si>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</si>
  <si>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</si>
  <si>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</si>
  <si>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</si>
  <si>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</si>
  <si>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</si>
  <si>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</si>
  <si>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</si>
  <si>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</si>
  <si>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</si>
  <si>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</si>
  <si>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</si>
  <si>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</si>
  <si>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</si>
  <si>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</si>
  <si>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</si>
  <si>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</si>
  <si>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</si>
  <si>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</si>
  <si>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</si>
  <si>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</si>
  <si>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</si>
  <si>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</si>
  <si>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</si>
  <si>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</si>
  <si>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</si>
  <si>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</si>
  <si>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</si>
  <si>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</si>
  <si>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</si>
  <si>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</si>
  <si>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</si>
  <si>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</si>
  <si>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</si>
  <si>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</si>
  <si>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</si>
  <si>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</si>
  <si>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</si>
  <si>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</si>
  <si>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</si>
  <si>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</si>
  <si>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</si>
  <si>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</si>
  <si>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</si>
  <si>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</si>
  <si>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</si>
  <si>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</si>
  <si>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</si>
  <si>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</si>
  <si>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</si>
  <si>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</si>
  <si>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</si>
  <si>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</si>
  <si>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</si>
  <si>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</si>
  <si>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</si>
  <si>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</si>
  <si>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</si>
  <si>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</si>
  <si>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</si>
  <si>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</si>
  <si>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</si>
  <si>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</si>
  <si>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</si>
  <si>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</si>
  <si>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</si>
  <si>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</si>
  <si>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</si>
  <si>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</si>
  <si>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</si>
  <si>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</si>
  <si>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</si>
  <si>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</si>
  <si>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</si>
  <si>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</si>
  <si>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</si>
  <si>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</si>
  <si>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</si>
  <si>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</si>
  <si>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</si>
  <si>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</si>
  <si>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</si>
  <si>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</si>
  <si>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</si>
  <si>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</si>
  <si>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</si>
  <si>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</si>
  <si>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</si>
  <si>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</si>
  <si>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</si>
  <si>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</si>
  <si>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</si>
  <si>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</si>
  <si>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</si>
  <si>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</si>
  <si>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</si>
  <si>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</si>
  <si>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</si>
  <si>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</si>
  <si>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</si>
  <si>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</si>
  <si>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</si>
  <si>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</si>
  <si>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</si>
  <si>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</si>
  <si>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</si>
  <si>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</si>
  <si>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</si>
  <si>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</si>
  <si>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</si>
  <si>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</si>
  <si>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</si>
  <si>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</si>
  <si>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</si>
  <si>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</si>
  <si>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</si>
  <si>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</si>
  <si>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</si>
  <si>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</si>
  <si>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</si>
  <si>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</si>
  <si>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</si>
  <si>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</si>
  <si>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</si>
  <si>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</si>
  <si>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</si>
  <si>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</si>
  <si>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</si>
  <si>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</si>
  <si>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</si>
  <si>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</si>
  <si>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</si>
  <si>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</si>
  <si>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</si>
  <si>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</si>
  <si>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</si>
  <si>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</si>
  <si>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</si>
  <si>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</si>
  <si>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</si>
  <si>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</si>
  <si>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</si>
  <si>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</si>
  <si>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</si>
  <si>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</si>
  <si>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</si>
  <si>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</si>
  <si>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</si>
  <si>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</si>
  <si>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</si>
  <si>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</si>
  <si>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</si>
  <si>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</si>
  <si>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</si>
  <si>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</si>
  <si>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</si>
  <si>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</si>
  <si>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</si>
  <si>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</si>
  <si>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</si>
  <si>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</si>
  <si>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</si>
  <si>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</si>
  <si>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</si>
  <si>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</si>
  <si>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</si>
  <si>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</si>
  <si>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</si>
  <si>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</si>
  <si>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</si>
  <si>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</si>
  <si>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</si>
  <si>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</si>
  <si>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</si>
  <si>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</si>
  <si>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</si>
  <si>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</si>
  <si>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</si>
  <si>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</si>
  <si>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</si>
  <si>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</si>
  <si>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</si>
  <si>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</si>
  <si>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</si>
  <si>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</si>
  <si>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</si>
  <si>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</si>
  <si>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</si>
  <si>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</si>
  <si>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</si>
  <si>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</si>
  <si>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</si>
  <si>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</si>
  <si>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</si>
  <si>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</si>
  <si>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</si>
  <si>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</si>
  <si>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</si>
  <si>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</si>
  <si>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</si>
  <si>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</si>
  <si>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</si>
  <si>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</si>
  <si>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</si>
  <si>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</si>
  <si>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</si>
  <si>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</si>
  <si>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</si>
  <si>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</si>
  <si>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</si>
  <si>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</si>
  <si>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</si>
  <si>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</si>
  <si>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</si>
  <si>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</si>
  <si>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</si>
  <si>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</si>
  <si>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</si>
  <si>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</si>
  <si>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</si>
  <si>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</si>
  <si>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</si>
  <si>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</si>
  <si>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</si>
  <si>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</si>
  <si>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</si>
  <si>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</si>
  <si>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</si>
  <si>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</si>
  <si>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</si>
  <si>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</si>
  <si>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</si>
  <si>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</si>
  <si>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</si>
  <si>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</si>
  <si>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204:136</t>
  </si>
  <si>
    <t>204:232996</t>
  </si>
  <si>
    <t>204:232994</t>
  </si>
  <si>
    <t>204:233291</t>
  </si>
  <si>
    <t>204:233295</t>
  </si>
  <si>
    <t>204:232993</t>
  </si>
  <si>
    <t>204:469</t>
  </si>
  <si>
    <t>HAITHCOX</t>
  </si>
  <si>
    <t>204:442</t>
  </si>
  <si>
    <t>rtdc.l.rtdc.4006:itc</t>
  </si>
  <si>
    <t>rtdc.l.rtdc.4005:itc</t>
  </si>
  <si>
    <t>clear-night</t>
  </si>
  <si>
    <t>Clear</t>
  </si>
  <si>
    <t>clear-day</t>
  </si>
  <si>
    <t>204:232982</t>
  </si>
  <si>
    <t>204:232981</t>
  </si>
  <si>
    <t>204:233310</t>
  </si>
  <si>
    <t>204:138</t>
  </si>
  <si>
    <t>204:160</t>
  </si>
  <si>
    <t>rtdc.l.rtdc.4032:itc</t>
  </si>
  <si>
    <t>240-13</t>
  </si>
  <si>
    <t>243-13</t>
  </si>
  <si>
    <t>307-13</t>
  </si>
  <si>
    <t>242-13</t>
  </si>
  <si>
    <t>244-13</t>
  </si>
  <si>
    <t>309-13</t>
  </si>
  <si>
    <t>311-13</t>
  </si>
  <si>
    <t>313-13</t>
  </si>
  <si>
    <t>rtdc.l.rtdc.4003:itc</t>
  </si>
  <si>
    <t>rtdc.l.rtdc.4004:itc</t>
  </si>
  <si>
    <t>uvIndex</t>
  </si>
  <si>
    <t>windGust</t>
  </si>
  <si>
    <t>204:232998</t>
  </si>
  <si>
    <t>204:455</t>
  </si>
  <si>
    <t>204:464</t>
  </si>
  <si>
    <t>204:471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</si>
  <si>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</si>
  <si>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</si>
  <si>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</si>
  <si>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</si>
  <si>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</si>
  <si>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</si>
  <si>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</si>
  <si>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</si>
  <si>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</si>
  <si>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</si>
  <si>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204:233306</t>
  </si>
  <si>
    <t>300:58613</t>
  </si>
  <si>
    <t>204:232986</t>
  </si>
  <si>
    <t>204:161</t>
  </si>
  <si>
    <t>204:233013</t>
  </si>
  <si>
    <t>204:233305</t>
  </si>
  <si>
    <t>204:232977</t>
  </si>
  <si>
    <t>204:233004</t>
  </si>
  <si>
    <t>204:233309</t>
  </si>
  <si>
    <t>204:435</t>
  </si>
  <si>
    <t>rtdc.l.rtdc.4018:itc</t>
  </si>
  <si>
    <t>HELVIE</t>
  </si>
  <si>
    <t>ADAM</t>
  </si>
  <si>
    <t>HART</t>
  </si>
  <si>
    <t>KEVIN</t>
  </si>
  <si>
    <t>rtdc.l.rtdc.4025:itc</t>
  </si>
  <si>
    <t>204:232969</t>
  </si>
  <si>
    <t>204:232991</t>
  </si>
  <si>
    <t>204:233314</t>
  </si>
  <si>
    <t>204:232978</t>
  </si>
  <si>
    <t>204:458</t>
  </si>
  <si>
    <t>204:473</t>
  </si>
  <si>
    <t>204:233000</t>
  </si>
  <si>
    <t>rtdc.l.rtdc.4026:itc</t>
  </si>
  <si>
    <t>YANG</t>
  </si>
  <si>
    <t>JAN</t>
  </si>
  <si>
    <t>rtdc.l.rtdc.4010:itc</t>
  </si>
  <si>
    <t>partly-cloudy-night</t>
  </si>
  <si>
    <t>204:233308</t>
  </si>
  <si>
    <t>204:233303</t>
  </si>
  <si>
    <t>204:232980</t>
  </si>
  <si>
    <t>204:233364</t>
  </si>
  <si>
    <t>204:433</t>
  </si>
  <si>
    <t>204:232992</t>
  </si>
  <si>
    <t>204:673</t>
  </si>
  <si>
    <t>300:58615</t>
  </si>
  <si>
    <t>rtdc.l.rtdc.4017:itc</t>
  </si>
  <si>
    <t>SWITCH UNKNOWN</t>
  </si>
  <si>
    <t>Track device (7)</t>
  </si>
  <si>
    <t>rtdc.l.rtdc.4009:itc</t>
  </si>
  <si>
    <t>WENDY</t>
  </si>
  <si>
    <t>GEBRETEKLE</t>
  </si>
  <si>
    <t>DAGNEW</t>
  </si>
  <si>
    <t>DELGADO</t>
  </si>
  <si>
    <t>DIANAH</t>
  </si>
  <si>
    <t>204:233312</t>
  </si>
  <si>
    <t>204:444</t>
  </si>
  <si>
    <t>204:232983</t>
  </si>
  <si>
    <t>204:232984</t>
  </si>
  <si>
    <t>204:233300</t>
  </si>
  <si>
    <t>204:232967</t>
  </si>
  <si>
    <t>204:233059</t>
  </si>
  <si>
    <t>204:440</t>
  </si>
  <si>
    <t>204:233327</t>
  </si>
  <si>
    <t>204:165</t>
  </si>
  <si>
    <t>204:233299</t>
  </si>
  <si>
    <t>300:58928</t>
  </si>
  <si>
    <t>204:685</t>
  </si>
  <si>
    <t>300:58935</t>
  </si>
  <si>
    <t>300:58634</t>
  </si>
  <si>
    <t>300:58948</t>
  </si>
  <si>
    <t>Early arrival</t>
  </si>
  <si>
    <t>rtdc.l.rtdc.4041:itc</t>
  </si>
  <si>
    <t>235-22</t>
  </si>
  <si>
    <t>236-22</t>
  </si>
  <si>
    <t>241-22</t>
  </si>
  <si>
    <t>244-22</t>
  </si>
  <si>
    <t>GRASTON</t>
  </si>
  <si>
    <t>MATHEU</t>
  </si>
  <si>
    <t>BERLING</t>
  </si>
  <si>
    <t>GARY</t>
  </si>
  <si>
    <t>SAFIEF</t>
  </si>
  <si>
    <t>AEIMEN</t>
  </si>
  <si>
    <t>PERKINS</t>
  </si>
  <si>
    <t>DARREN</t>
  </si>
  <si>
    <t>231-22</t>
  </si>
  <si>
    <t>844-22</t>
  </si>
  <si>
    <t>233-22</t>
  </si>
  <si>
    <t>230-22</t>
  </si>
  <si>
    <t>847-22</t>
  </si>
  <si>
    <t>232-22</t>
  </si>
  <si>
    <t>908-22</t>
  </si>
  <si>
    <t>234-22</t>
  </si>
  <si>
    <t>237-22</t>
  </si>
  <si>
    <t>239-22</t>
  </si>
  <si>
    <t>238-22</t>
  </si>
  <si>
    <t>243-22</t>
  </si>
  <si>
    <t>rtdc.l.rtdc.4063:itc</t>
  </si>
  <si>
    <t>SOUTH TEST-22</t>
  </si>
  <si>
    <t>240-22</t>
  </si>
  <si>
    <t>rtdc.l.rtdc.4064:itc</t>
  </si>
  <si>
    <t>NORTH TEST-22</t>
  </si>
  <si>
    <t>307-22</t>
  </si>
  <si>
    <t>242-22</t>
  </si>
  <si>
    <t>309-22</t>
  </si>
  <si>
    <t>311-22</t>
  </si>
  <si>
    <t>313-22</t>
  </si>
  <si>
    <t>204:233319</t>
  </si>
  <si>
    <t>204:233006</t>
  </si>
  <si>
    <t>204:232988</t>
  </si>
  <si>
    <t>204:233347</t>
  </si>
  <si>
    <t>204:172</t>
  </si>
  <si>
    <t>204:233341</t>
  </si>
  <si>
    <t>204:233276</t>
  </si>
  <si>
    <t>204:233321</t>
  </si>
  <si>
    <t>204:233015</t>
  </si>
  <si>
    <t>204:163</t>
  </si>
  <si>
    <t>204:233368</t>
  </si>
  <si>
    <t>204:233288</t>
  </si>
  <si>
    <t>204:233028</t>
  </si>
  <si>
    <t>204:484</t>
  </si>
  <si>
    <t>204:233019</t>
  </si>
  <si>
    <t>204:233053</t>
  </si>
  <si>
    <t>204:233366</t>
  </si>
  <si>
    <t>204:233329</t>
  </si>
  <si>
    <t>204:233351</t>
  </si>
  <si>
    <t>204:232973</t>
  </si>
  <si>
    <t>204:233344</t>
  </si>
  <si>
    <t>204:233017</t>
  </si>
  <si>
    <t>204:233025</t>
  </si>
  <si>
    <t>204:437</t>
  </si>
  <si>
    <t>204:480</t>
  </si>
  <si>
    <t>204:127</t>
  </si>
  <si>
    <t>204:475</t>
  </si>
  <si>
    <t>300:23310</t>
  </si>
  <si>
    <t>300:23304</t>
  </si>
  <si>
    <t>300:23306</t>
  </si>
  <si>
    <t>204:488</t>
  </si>
  <si>
    <t>300:58924</t>
  </si>
  <si>
    <t>300:58931</t>
  </si>
  <si>
    <t>204:972</t>
  </si>
  <si>
    <t>300:58608</t>
  </si>
  <si>
    <t>204:759</t>
  </si>
  <si>
    <t>300:58606</t>
  </si>
  <si>
    <t>204:687</t>
  </si>
  <si>
    <t>300:58918</t>
  </si>
  <si>
    <t>204:964</t>
  </si>
  <si>
    <t>300:58950</t>
  </si>
  <si>
    <t>204:976</t>
  </si>
  <si>
    <t>300:58632</t>
  </si>
  <si>
    <t>204:960</t>
  </si>
  <si>
    <t>204:670</t>
  </si>
  <si>
    <t>300:23301</t>
  </si>
  <si>
    <t>Wi-MAX data drop</t>
  </si>
  <si>
    <t>310-24</t>
  </si>
  <si>
    <t>121-24</t>
  </si>
  <si>
    <t>1804-24</t>
  </si>
  <si>
    <t>1805-24</t>
  </si>
  <si>
    <t>128-24</t>
  </si>
  <si>
    <t>134-24</t>
  </si>
  <si>
    <t>1806-24</t>
  </si>
  <si>
    <t>136-24</t>
  </si>
  <si>
    <t>1808-24</t>
  </si>
  <si>
    <t>148-24</t>
  </si>
  <si>
    <t>1811-24</t>
  </si>
  <si>
    <t>158-24</t>
  </si>
  <si>
    <t>171-24</t>
  </si>
  <si>
    <t>170-24</t>
  </si>
  <si>
    <t>179-24</t>
  </si>
  <si>
    <t>rtdc.l.rtdc.4015:itc</t>
  </si>
  <si>
    <t>174-24</t>
  </si>
  <si>
    <t>1817-24</t>
  </si>
  <si>
    <t>186-24</t>
  </si>
  <si>
    <t>196-24</t>
  </si>
  <si>
    <t>TEMPORARY SPEED RESTRICTION</t>
  </si>
  <si>
    <t>202-24</t>
  </si>
  <si>
    <t>211-24</t>
  </si>
  <si>
    <t>213-24</t>
  </si>
  <si>
    <t>210-24</t>
  </si>
  <si>
    <t>1825-24</t>
  </si>
  <si>
    <t>218-24</t>
  </si>
  <si>
    <t>rtdc.l.rtdc.4016:itc</t>
  </si>
  <si>
    <t>305-24</t>
  </si>
  <si>
    <t>228-24</t>
  </si>
  <si>
    <t>235-24</t>
  </si>
  <si>
    <t>236-24</t>
  </si>
  <si>
    <t>241-24</t>
  </si>
  <si>
    <t>242-24</t>
  </si>
  <si>
    <t>244-24</t>
  </si>
  <si>
    <t>245-23</t>
  </si>
  <si>
    <t>89-23</t>
  </si>
  <si>
    <t>rtdc.l.rtdc.4029:itc</t>
  </si>
  <si>
    <t>rtdc.l.rtdc.4030:itc</t>
  </si>
  <si>
    <t>246-23</t>
  </si>
  <si>
    <t>300-24</t>
  </si>
  <si>
    <t>MAELZER</t>
  </si>
  <si>
    <t>KURT</t>
  </si>
  <si>
    <t>101-24</t>
  </si>
  <si>
    <t>67-24</t>
  </si>
  <si>
    <t>302-24</t>
  </si>
  <si>
    <t>68-24</t>
  </si>
  <si>
    <t>103-24</t>
  </si>
  <si>
    <t>rtdc.l.rtdc.4051:itc</t>
  </si>
  <si>
    <t>304-24</t>
  </si>
  <si>
    <t>102-24</t>
  </si>
  <si>
    <t>rtdc.l.rtdc.4052:itc</t>
  </si>
  <si>
    <t>105-24</t>
  </si>
  <si>
    <t>306-24</t>
  </si>
  <si>
    <t>308-24</t>
  </si>
  <si>
    <t>LALONDE</t>
  </si>
  <si>
    <t>GREGORY</t>
  </si>
  <si>
    <t>107-24</t>
  </si>
  <si>
    <t>104-24</t>
  </si>
  <si>
    <t>109-24</t>
  </si>
  <si>
    <t>DAVIDSON</t>
  </si>
  <si>
    <t>DAVID</t>
  </si>
  <si>
    <t>111-24</t>
  </si>
  <si>
    <t>113-24</t>
  </si>
  <si>
    <t>106-24</t>
  </si>
  <si>
    <t>312-24</t>
  </si>
  <si>
    <t>119-24</t>
  </si>
  <si>
    <t>108-24</t>
  </si>
  <si>
    <t>1901-24</t>
  </si>
  <si>
    <t>MACDONALD</t>
  </si>
  <si>
    <t>115-24</t>
  </si>
  <si>
    <t>117-24</t>
  </si>
  <si>
    <t>110-24</t>
  </si>
  <si>
    <t>1800-24</t>
  </si>
  <si>
    <t>112-24</t>
  </si>
  <si>
    <t>114-24</t>
  </si>
  <si>
    <t>1801-24</t>
  </si>
  <si>
    <t>116-24</t>
  </si>
  <si>
    <t>123-24</t>
  </si>
  <si>
    <t>51-24</t>
  </si>
  <si>
    <t>118-24</t>
  </si>
  <si>
    <t>1802-24</t>
  </si>
  <si>
    <t>120-24</t>
  </si>
  <si>
    <t>125-24</t>
  </si>
  <si>
    <t>127-24</t>
  </si>
  <si>
    <t>122-24</t>
  </si>
  <si>
    <t>1803-24</t>
  </si>
  <si>
    <t>129-24</t>
  </si>
  <si>
    <t>124-24</t>
  </si>
  <si>
    <t>131-24</t>
  </si>
  <si>
    <t>126-24</t>
  </si>
  <si>
    <t>133-24</t>
  </si>
  <si>
    <t>130-24</t>
  </si>
  <si>
    <t>135-24</t>
  </si>
  <si>
    <t>137-24</t>
  </si>
  <si>
    <t>132-24</t>
  </si>
  <si>
    <t>139-24</t>
  </si>
  <si>
    <t>141-24</t>
  </si>
  <si>
    <t>138-24</t>
  </si>
  <si>
    <t>143-24</t>
  </si>
  <si>
    <t>1807-24</t>
  </si>
  <si>
    <t>145-24</t>
  </si>
  <si>
    <t>140-24</t>
  </si>
  <si>
    <t>147-24</t>
  </si>
  <si>
    <t>142-24</t>
  </si>
  <si>
    <t>149-24</t>
  </si>
  <si>
    <t>144-24</t>
  </si>
  <si>
    <t>146-24</t>
  </si>
  <si>
    <t>151-24</t>
  </si>
  <si>
    <t>1809-24</t>
  </si>
  <si>
    <t>153-24</t>
  </si>
  <si>
    <t>150-24</t>
  </si>
  <si>
    <t>155-24</t>
  </si>
  <si>
    <t>1810-24</t>
  </si>
  <si>
    <t>152-24</t>
  </si>
  <si>
    <t>157-24</t>
  </si>
  <si>
    <t>BROWN</t>
  </si>
  <si>
    <t>JACOB</t>
  </si>
  <si>
    <t>159-24</t>
  </si>
  <si>
    <t>154-24</t>
  </si>
  <si>
    <t>161-24</t>
  </si>
  <si>
    <t>156-24</t>
  </si>
  <si>
    <t>163-24</t>
  </si>
  <si>
    <t>BRANDNER</t>
  </si>
  <si>
    <t>MELINDA</t>
  </si>
  <si>
    <t>1812-24</t>
  </si>
  <si>
    <t>160-24</t>
  </si>
  <si>
    <t>165-24</t>
  </si>
  <si>
    <t>BRUDER</t>
  </si>
  <si>
    <t>RICHARD</t>
  </si>
  <si>
    <t>167-24</t>
  </si>
  <si>
    <t>1813-24</t>
  </si>
  <si>
    <t>169-24</t>
  </si>
  <si>
    <t>162-24</t>
  </si>
  <si>
    <t>164-24</t>
  </si>
  <si>
    <t>1814-24</t>
  </si>
  <si>
    <t>166-24</t>
  </si>
  <si>
    <t>173-24</t>
  </si>
  <si>
    <t>168-24</t>
  </si>
  <si>
    <t>53-24</t>
  </si>
  <si>
    <t>LOPES</t>
  </si>
  <si>
    <t>KIMBERLY</t>
  </si>
  <si>
    <t>175-24</t>
  </si>
  <si>
    <t>177-24</t>
  </si>
  <si>
    <t>1815-24</t>
  </si>
  <si>
    <t>172-24</t>
  </si>
  <si>
    <t>181-24</t>
  </si>
  <si>
    <t>1816-24</t>
  </si>
  <si>
    <t>176-24</t>
  </si>
  <si>
    <t>183-24</t>
  </si>
  <si>
    <t>178-24</t>
  </si>
  <si>
    <t>MCREYNOLDS</t>
  </si>
  <si>
    <t>KYLE</t>
  </si>
  <si>
    <t>185-24</t>
  </si>
  <si>
    <t>180-24</t>
  </si>
  <si>
    <t>187-24</t>
  </si>
  <si>
    <t>182-24</t>
  </si>
  <si>
    <t>1818-24</t>
  </si>
  <si>
    <t>189-24</t>
  </si>
  <si>
    <t>184-24</t>
  </si>
  <si>
    <t>1819-24</t>
  </si>
  <si>
    <t>191-24</t>
  </si>
  <si>
    <t>193-24</t>
  </si>
  <si>
    <t>188-24</t>
  </si>
  <si>
    <t>195-24</t>
  </si>
  <si>
    <t>1820-24</t>
  </si>
  <si>
    <t>190-24</t>
  </si>
  <si>
    <t>197-24</t>
  </si>
  <si>
    <t>192-24</t>
  </si>
  <si>
    <t>199-24</t>
  </si>
  <si>
    <t>1821-24</t>
  </si>
  <si>
    <t>194-24</t>
  </si>
  <si>
    <t>201-24</t>
  </si>
  <si>
    <t>203-24</t>
  </si>
  <si>
    <t>198-24</t>
  </si>
  <si>
    <t>1822-24</t>
  </si>
  <si>
    <t>205-24</t>
  </si>
  <si>
    <t>200-24</t>
  </si>
  <si>
    <t>207-24</t>
  </si>
  <si>
    <t>68-23</t>
  </si>
  <si>
    <t>ARVIDSON</t>
  </si>
  <si>
    <t>DANIEL</t>
  </si>
  <si>
    <t>69-24</t>
  </si>
  <si>
    <t>55-24</t>
  </si>
  <si>
    <t>209-24</t>
  </si>
  <si>
    <t>1823-24</t>
  </si>
  <si>
    <t>204-24</t>
  </si>
  <si>
    <t>206-24</t>
  </si>
  <si>
    <t>1824-24</t>
  </si>
  <si>
    <t>208-24</t>
  </si>
  <si>
    <t>rtdc.l.rtdc.4053:itc</t>
  </si>
  <si>
    <t>72-24</t>
  </si>
  <si>
    <t>215-24</t>
  </si>
  <si>
    <t>217-24</t>
  </si>
  <si>
    <t>212-24</t>
  </si>
  <si>
    <t>219-24</t>
  </si>
  <si>
    <t>214-24</t>
  </si>
  <si>
    <t>1826-24</t>
  </si>
  <si>
    <t>301-24</t>
  </si>
  <si>
    <t>216-24</t>
  </si>
  <si>
    <t>1827-24</t>
  </si>
  <si>
    <t>221-24</t>
  </si>
  <si>
    <t>303-24</t>
  </si>
  <si>
    <t>220-24</t>
  </si>
  <si>
    <t>223-24</t>
  </si>
  <si>
    <t>1828-24</t>
  </si>
  <si>
    <t>222-24</t>
  </si>
  <si>
    <t>225-24</t>
  </si>
  <si>
    <t>1829-24</t>
  </si>
  <si>
    <t>227-24</t>
  </si>
  <si>
    <t>224-24</t>
  </si>
  <si>
    <t>1830-24</t>
  </si>
  <si>
    <t>226-24</t>
  </si>
  <si>
    <t>229-24</t>
  </si>
  <si>
    <t>231-24</t>
  </si>
  <si>
    <t>1831-24</t>
  </si>
  <si>
    <t>1832-24</t>
  </si>
  <si>
    <t>233-24</t>
  </si>
  <si>
    <t>230-24</t>
  </si>
  <si>
    <t>1833-24</t>
  </si>
  <si>
    <t>232-24</t>
  </si>
  <si>
    <t>1902-24</t>
  </si>
  <si>
    <t>234-24</t>
  </si>
  <si>
    <t>237-24</t>
  </si>
  <si>
    <t>239-24</t>
  </si>
  <si>
    <t>238-24</t>
  </si>
  <si>
    <t>243-24</t>
  </si>
  <si>
    <t>240-24</t>
  </si>
  <si>
    <t>245-24</t>
  </si>
  <si>
    <t>307-24</t>
  </si>
  <si>
    <t>309-24</t>
  </si>
  <si>
    <t>246-24</t>
  </si>
  <si>
    <t>311-24</t>
  </si>
  <si>
    <t>313-24</t>
  </si>
  <si>
    <t>204:765</t>
  </si>
  <si>
    <t>204:232975</t>
  </si>
  <si>
    <t>204:232953</t>
  </si>
  <si>
    <t>204:232987</t>
  </si>
  <si>
    <t>204:148</t>
  </si>
  <si>
    <t>204:233011</t>
  </si>
  <si>
    <t>204:426</t>
  </si>
  <si>
    <t>204:233326</t>
  </si>
  <si>
    <t>204:233325</t>
  </si>
  <si>
    <t>204:86366</t>
  </si>
  <si>
    <t>204:233263</t>
  </si>
  <si>
    <t>204:478</t>
  </si>
  <si>
    <t>204:233030</t>
  </si>
  <si>
    <t>204:233322</t>
  </si>
  <si>
    <t>204:233283</t>
  </si>
  <si>
    <t>204:233323</t>
  </si>
  <si>
    <t>204:233021</t>
  </si>
  <si>
    <t>204:233343</t>
  </si>
  <si>
    <t>204:233320</t>
  </si>
  <si>
    <t>204:233330</t>
  </si>
  <si>
    <t>204:232990</t>
  </si>
  <si>
    <t>204:233414</t>
  </si>
  <si>
    <t>204:493</t>
  </si>
  <si>
    <t>204:233298</t>
  </si>
  <si>
    <t>204:233270</t>
  </si>
  <si>
    <t>204:233009</t>
  </si>
  <si>
    <t>204:233049</t>
  </si>
  <si>
    <t>204:174</t>
  </si>
  <si>
    <t>204:233410</t>
  </si>
  <si>
    <t>204:233001</t>
  </si>
  <si>
    <t>204:233302</t>
  </si>
  <si>
    <t>204:233342</t>
  </si>
  <si>
    <t>204:233331</t>
  </si>
  <si>
    <t>300:58628</t>
  </si>
  <si>
    <t>204:764</t>
  </si>
  <si>
    <t>204:1053</t>
  </si>
  <si>
    <t>204:741</t>
  </si>
  <si>
    <t>204:1009</t>
  </si>
  <si>
    <t>300:58075</t>
  </si>
  <si>
    <t>204:1051</t>
  </si>
  <si>
    <t>204:766</t>
  </si>
  <si>
    <t>204:1037</t>
  </si>
  <si>
    <t>204:755</t>
  </si>
  <si>
    <t>204:1042</t>
  </si>
  <si>
    <t>300:58600</t>
  </si>
  <si>
    <t>204:750</t>
  </si>
  <si>
    <t>204:1035</t>
  </si>
  <si>
    <t>204:703</t>
  </si>
  <si>
    <t>204:992</t>
  </si>
  <si>
    <t>300:58920</t>
  </si>
  <si>
    <t>300:18041</t>
  </si>
  <si>
    <t>204:1011</t>
  </si>
  <si>
    <t>300:58617</t>
  </si>
  <si>
    <t>300:58943</t>
  </si>
  <si>
    <t>300:58624</t>
  </si>
  <si>
    <t>204:978</t>
  </si>
  <si>
    <t>300:58976</t>
  </si>
  <si>
    <t>204:233040</t>
  </si>
  <si>
    <t>300:58660</t>
  </si>
  <si>
    <t>300:17691</t>
  </si>
  <si>
    <t>204:671</t>
  </si>
  <si>
    <t>204:953</t>
  </si>
  <si>
    <t>204:659</t>
  </si>
  <si>
    <t>204:946</t>
  </si>
  <si>
    <t>300:58937</t>
  </si>
  <si>
    <t>300:58623</t>
  </si>
  <si>
    <t>204:668</t>
  </si>
  <si>
    <t>300:58939</t>
  </si>
  <si>
    <t>204:233359</t>
  </si>
  <si>
    <t>204:233064</t>
  </si>
  <si>
    <t>204:130</t>
  </si>
  <si>
    <t>204:422</t>
  </si>
  <si>
    <t>204:233336</t>
  </si>
  <si>
    <t>204:118</t>
  </si>
  <si>
    <t>300:29739</t>
  </si>
  <si>
    <t>300:58929</t>
  </si>
  <si>
    <t>204:233346</t>
  </si>
  <si>
    <t>204:233324</t>
  </si>
  <si>
    <t>204:233357</t>
  </si>
  <si>
    <t>204:233036</t>
  </si>
  <si>
    <t>204:233416</t>
  </si>
  <si>
    <t>204:232974</t>
  </si>
  <si>
    <t>204:128278</t>
  </si>
  <si>
    <t>204:88417</t>
  </si>
  <si>
    <t>204:233338</t>
  </si>
  <si>
    <t>204:233042</t>
  </si>
  <si>
    <t>204:129</t>
  </si>
  <si>
    <t>204:233311</t>
  </si>
  <si>
    <t>204:233317</t>
  </si>
  <si>
    <t>300:23133</t>
  </si>
  <si>
    <t>300:23355</t>
  </si>
  <si>
    <t>300:23597</t>
  </si>
  <si>
    <t>300:23578</t>
  </si>
  <si>
    <t>300:23447</t>
  </si>
  <si>
    <t>300:22575</t>
  </si>
  <si>
    <t>204:123</t>
  </si>
  <si>
    <t>300:23552</t>
  </si>
  <si>
    <t>300:23506</t>
  </si>
  <si>
    <t>204:1198</t>
  </si>
  <si>
    <t>300:23299</t>
  </si>
  <si>
    <t>300:5080</t>
  </si>
  <si>
    <t>204:729</t>
  </si>
  <si>
    <t>204:1518</t>
  </si>
  <si>
    <t>300:5360</t>
  </si>
  <si>
    <t>204:1196</t>
  </si>
  <si>
    <t>300:23117</t>
  </si>
  <si>
    <t>204:1533</t>
  </si>
  <si>
    <t>204:3512</t>
  </si>
  <si>
    <t>204:3540</t>
  </si>
  <si>
    <t>204:3197</t>
  </si>
  <si>
    <t>204:3215</t>
  </si>
  <si>
    <t>204:1201</t>
  </si>
  <si>
    <t>300:23190</t>
  </si>
  <si>
    <t>300:4987</t>
  </si>
  <si>
    <t>start /low /b %USERPROFILE%\Documents\GitHub\eaglep3\Utilities\DownloadLogsFromS3.py --loco 4016 --day 2017-06-24</t>
  </si>
  <si>
    <t>start /low /b %USERPROFILE%\Documents\GitHub\eaglep3\Utilities\DownloadLogsFromS3.py --loco 4042 --day 2017-06-24</t>
  </si>
  <si>
    <t>start /low /b %USERPROFILE%\Documents\GitHub\eaglep3\Utilities\DownloadLogsFromS3.py --loco 4025 --day 2017-06-24</t>
  </si>
  <si>
    <t>start /low /b %USERPROFILE%\Documents\GitHub\eaglep3\Utilities\DownloadLogsFromS3.py --loco 4018 --day 2017-06-24</t>
  </si>
  <si>
    <t>start /low /b %USERPROFILE%\Documents\GitHub\eaglep3\Utilities\DownloadLogsFromS3.py --loco 4021 --day 2017-06-25</t>
  </si>
  <si>
    <t>start /low /b %USERPROFILE%\Documents\GitHub\eaglep3\Utilities\DownloadLogsFromS3.py --loco 4043 --day 2017-06-25</t>
  </si>
  <si>
    <t>start /low /b %USERPROFILE%\Documents\GitHub\eaglep3\Utilities\DownloadLogsFromS3.py --loco 4044 --day 2017-06-24</t>
  </si>
  <si>
    <t>start /low /b %USERPROFILE%\Documents\GitHub\eaglep3\Utilities\DownloadLogsFromS3.py --loco 4044 --day 2017-06-25</t>
  </si>
  <si>
    <t>start /low /b %USERPROFILE%\Documents\GitHub\eaglep3\Utilities\DownloadLogsFromS3.py --loco 4041 --day 2017-06-24</t>
  </si>
  <si>
    <t>start /low /b %USERPROFILE%\Documents\GitHub\eaglep3\Utilities\DownloadLogsFromS3.py --loco 4013 --day 2017-06-24</t>
  </si>
  <si>
    <t>start /low /b %USERPROFILE%\Documents\GitHub\eaglep3\Utilities\DownloadLogsFromS3.py --loco 4014 --day 2017-06-24</t>
  </si>
  <si>
    <t>start /low /b %USERPROFILE%\Documents\GitHub\eaglep3\Utilities\DownloadLogsFromS3.py --loco 4021 --day 2017-06-24</t>
  </si>
  <si>
    <t>start /low /b %USERPROFILE%\Documents\GitHub\eaglep3\Utilities\DownloadLogsFromS3.py --loco 4020 --day 2017-06-24</t>
  </si>
  <si>
    <t>start /low /b %USERPROFILE%\Documents\GitHub\eaglep3\Utilities\DownloadLogsFromS3.py --loco 4022 --day 2017-06-25</t>
  </si>
  <si>
    <t>start /low /b %USERPROFILE%\Documents\GitHub\eaglep3\Utilities\DownloadLogsFromS3.py --loco 4042 --day 2017-06-25</t>
  </si>
  <si>
    <t>start /low /b %USERPROFILE%\Documents\GitHub\eaglep3\Utilities\DownloadLogsFromS3.py --loco 4003 --day 2017-06-25</t>
  </si>
  <si>
    <t>start /low /b %USERPROFILE%\Documents\GitHub\eaglep3\Utilities\DownloadLogsFromS3.py --loco 4003 --day 2017-06-24</t>
  </si>
  <si>
    <t>start /low /b %USERPROFILE%\Documents\GitHub\eaglep3\Utilities\DownloadLogsFromS3.py --loco 4043 --day 2017-06-24</t>
  </si>
  <si>
    <t>start /low /b %USERPROFILE%\Documents\GitHub\eaglep3\Utilities\DownloadLogsFromS3.py --loco 4015 --day 2017-06-24</t>
  </si>
  <si>
    <t>start /low /b %USERPROFILE%\Documents\GitHub\eaglep3\Utilities\DownloadLogsFromS3.py --loco 4026 --day 2017-06-24</t>
  </si>
  <si>
    <t>start /low /b %USERPROFILE%\Documents\GitHub\eaglep3\Utilities\DownloadLogsFromS3.py --loco 4018 --day 2017-06-25</t>
  </si>
  <si>
    <t xml:space="preserve">Slip/slide at 2017-06-24 06:01:56 </t>
  </si>
  <si>
    <t>Banner without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</si>
</sst>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8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42910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42910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COUNTIFS($N$13:$N$9323,"&gt;0",$AG$13:$AG$9323,I1)</f>
        <v>144</v>
      </c>
      <c r="K5" s="39"/>
      <c r="L5" s="39"/>
      <c r="M5" s="40">
        <f>AVERAGEIFS($N$13:$N$9323,$AG$13:$AG$9323,I1)</f>
        <v>37.956481481451192</v>
      </c>
      <c r="N5" s="38">
        <f t="array" ref="N5">MIN(IF($AG$13:$AG$9323=I1,IF(ISNUMBER($N$13:$N$9323),IF($N$13:$N$9323&gt;0,$N$13:$N$9323))))</f>
        <v>34.483333337120712</v>
      </c>
      <c r="O5" s="3">
        <f t="array" ref="O5">MAX(IF($AG$13:$AG$9323=I1,IF(ISNUMBER($N$13:$N$9323),IF($N$13:$N$9323&gt;0,$N$13:$N$9323))))</f>
        <v>47.83333333558403</v>
      </c>
      <c r="P5" s="2"/>
      <c r="R5" s="166" t="s">
        <v>17</v>
      </c>
      <c r="S5" s="186">
        <f>COUNTIFS($N$13:$N$9323,"&gt;0",$AG$13:$AG$9323,R1)</f>
        <v>32</v>
      </c>
      <c r="T5" s="187"/>
      <c r="U5" s="187"/>
      <c r="V5" s="183">
        <f>AVERAGEIFS($N$13:$N$9323,$AG$13:$AG$9323,R1)</f>
        <v>15.036979167562095</v>
      </c>
      <c r="W5" s="184">
        <f t="array" ref="W5">MIN(IF($AG$13:$AG$9323=R1,IF(ISNUMBER($N$13:$N$9323),IF($N$13:$N$9323&gt;0,$N$13:$N$9323))))</f>
        <v>13.266666666604578</v>
      </c>
      <c r="X5" s="185">
        <f t="array" ref="X5">MAX(IF($AG$13:$AG$9323=R1,IF(ISNUMBER($N$13:$N$9323),IF($N$13:$N$9323&gt;0,$N$13:$N$9323))))</f>
        <v>18.300000003073364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COUNT($O$13:$O$123)</f>
        <v>0</v>
      </c>
      <c r="K6" s="39"/>
      <c r="L6" s="39"/>
      <c r="M6" s="40">
        <f>IFERROR(AVERAGE($O$13:$O$123),0)</f>
        <v>0</v>
      </c>
      <c r="N6" s="38">
        <f>MIN($O$13:$O$123)</f>
        <v>0</v>
      </c>
      <c r="O6" s="3">
        <f>MAX($O$13:$O$123)</f>
        <v>0</v>
      </c>
      <c r="P6" s="2"/>
      <c r="R6" s="167" t="s">
        <v>43</v>
      </c>
      <c r="S6" s="186">
        <f>COUNT($O$13:$O$123)</f>
        <v>0</v>
      </c>
      <c r="T6" s="187"/>
      <c r="U6" s="187"/>
      <c r="V6" s="183">
        <f>IFERROR(AVERAGE($O$13:$O$123),0)</f>
        <v>0</v>
      </c>
      <c r="W6" s="184">
        <f>MIN($O$13:$O$123)</f>
        <v>0</v>
      </c>
      <c r="X6" s="185">
        <f>MAX($O$13:$O$123)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COUNTIFS($P$13:$P$9323,"&gt;0",$AG$13:$AG$9323,I1)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COUNTIFS($P$13:$P$9323,"&gt;0",$AG$13:$AG$9323,R1)</f>
        <v>2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144</v>
      </c>
      <c r="K8" s="39"/>
      <c r="L8" s="39"/>
      <c r="M8" s="40">
        <f>M5</f>
        <v>37.956481481451192</v>
      </c>
      <c r="N8" s="38">
        <f>N5</f>
        <v>34.483333337120712</v>
      </c>
      <c r="O8" s="3">
        <f>O5</f>
        <v>47.83333333558403</v>
      </c>
      <c r="P8" s="2"/>
      <c r="R8" s="166" t="s">
        <v>16</v>
      </c>
      <c r="S8" s="186">
        <f>S5</f>
        <v>32</v>
      </c>
      <c r="T8" s="187"/>
      <c r="U8" s="187"/>
      <c r="V8" s="183">
        <f>V5</f>
        <v>15.036979167562095</v>
      </c>
      <c r="W8" s="184">
        <f>W5</f>
        <v>13.266666666604578</v>
      </c>
      <c r="X8" s="185">
        <f>X5</f>
        <v>18.300000003073364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0.98630136986301364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0.94117647058823528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- 2017-06-24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AVERAGE(S13:S96)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674</v>
      </c>
      <c r="B13" s="7">
        <v>4004</v>
      </c>
      <c r="C13" s="21" t="s">
        <v>202</v>
      </c>
      <c r="D13" s="21" t="s">
        <v>865</v>
      </c>
      <c r="E13" s="13">
        <v>42910.130694444444</v>
      </c>
      <c r="F13" s="13">
        <v>42910.135578703703</v>
      </c>
      <c r="G13" s="7">
        <v>1</v>
      </c>
      <c r="H13" s="21" t="s">
        <v>515</v>
      </c>
      <c r="I13" s="13">
        <v>42910.160902777781</v>
      </c>
      <c r="J13" s="7">
        <v>0</v>
      </c>
      <c r="K13" s="89" t="str">
        <f t="shared" ref="K13:K76" si="0">IF(ISEVEN(B13),(B13-1)&amp;"/"&amp;B13,B13&amp;"/"&amp;(B13+1))</f>
        <v>4003/4004</v>
      </c>
      <c r="L13" s="21" t="str">
        <f>VLOOKUP(A13,'Trips&amp;Operators'!$C$1:$G$99999,5,FALSE)</f>
        <v>MAELZER KURT</v>
      </c>
      <c r="M13" s="6">
        <f t="shared" ref="M13:M76" si="1">I13-F13</f>
        <v>2.5324074078525882E-2</v>
      </c>
      <c r="N13" s="7">
        <f t="shared" ref="N13:N28" si="2">24*60*SUM($M13:$M13)</f>
        <v>36.46666667307727</v>
      </c>
      <c r="O13" s="7"/>
      <c r="P13" s="7"/>
      <c r="Q13" s="22"/>
      <c r="R13" s="170"/>
      <c r="S13" s="213">
        <f t="shared" ref="S13:S28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-24T02:08:12-0600',mode:absolute,to:'2017-06-24T04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44" si="7">RIGHT(D13,LEN(D13)-4)/10000</f>
        <v>7.6499999999999999E-2</v>
      </c>
      <c r="Z13" s="197">
        <f t="shared" ref="Z13:Z28" si="8">RIGHT(H13,LEN(H13)-4)/10000</f>
        <v>23.3308</v>
      </c>
      <c r="AA13" s="197">
        <f t="shared" ref="AA13:AA76" si="9">ABS(Z13-Y13)</f>
        <v>23.254300000000001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s3://rtdc.mdm.uploadarchive.raw/RTDC4004/ "%USERPROFILE%\AppData\Local\Temp\OnboardLogs"\RTDC4004\2017-06-24 --exclude "*" --recursive --include "*20170624*" &amp; "%USERPROFILE%\Documents\GitHub\mrs-test-scripts\Headless Mode &amp; Sideloading\WalkAndUnGZ.bat" "%USERPROFILE%\AppData\Local\Temp\OnboardLogs"\RTDC4004\2017-06-24 &amp; aws s3 cp s3://rtdc.mdm.uploadarchive.raw/RTDC4004/ "%USERPROFILE%\AppData\Local\Temp\OnboardLogs"\RTDC4004\2017-06-25 --exclude "*" --recursive --include "*20170625*" &amp; "%USERPROFILE%\Documents\GitHub\mrs-test-scripts\Headless Mode &amp; Sideloading\WalkAndUnGZ.bat" "%USERPROFILE%\AppData\Local\Temp\OnboardLogs"\RTDC4004\2017-06-25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/stypes="app*4004*20170624*"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4004 --swversion DE.1.0.9.0 --startMP 204:765 --initTime 2017-06-24T03:08:12 --startdatetime 2017-06-24T03:15:14 --delay 1 --endMP 204:233308 --enddatetime 2017-06-24T03:51:42 --enforcementcount 0 &gt;&gt;C:\Users\stu\Documents\GitHub\eaglep3-reporting\EC\2017-06-24-refined-times.txt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{"issue":{"subject":"","project_id":79,"tracker_id":40,"status_id":1,"priority_id":2,"assigned_to_id":23,"start_date":"2017-06-24","description":"","custom_fields":[{"id":1,"name":"Subdivision","value":"EC"},{"id":4,"name":"Milepost","value":"23.3308"},{"id":17,"name":"Train ID","value":"101-24"},{"id":16,"name":"Locomotive ID","value":"4004"},{"id":130,"name":"Impact","value":""},{"id":150,"name":"Time of Event (Mountain Time)","value":"03:51:42"},{"id":151,"name":"Denver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4004 --day 2017-06-24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09:51:42"},{"id":29,"name":"Sharepoint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681</v>
      </c>
      <c r="B14" s="7">
        <v>4003</v>
      </c>
      <c r="C14" s="21" t="s">
        <v>202</v>
      </c>
      <c r="D14" s="21" t="s">
        <v>504</v>
      </c>
      <c r="E14" s="13">
        <v>42910.166006944448</v>
      </c>
      <c r="F14" s="13">
        <v>42910.175150462965</v>
      </c>
      <c r="G14" s="7">
        <v>1</v>
      </c>
      <c r="H14" s="21" t="s">
        <v>441</v>
      </c>
      <c r="I14" s="13">
        <v>42910.202407407407</v>
      </c>
      <c r="J14" s="7">
        <v>0</v>
      </c>
      <c r="K14" s="89" t="str">
        <f t="shared" si="0"/>
        <v>4003/4004</v>
      </c>
      <c r="L14" s="21" t="str">
        <f>VLOOKUP(A14,'Trips&amp;Operators'!$C$1:$G$99999,5,FALSE)</f>
        <v>MAELZER KURT</v>
      </c>
      <c r="M14" s="6">
        <f t="shared" si="1"/>
        <v>2.7256944442342501E-2</v>
      </c>
      <c r="N14" s="7">
        <f t="shared" si="2"/>
        <v>39.249999996973202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-24T02:59:03-0600',mode:absolute,to:'2017-06-24T05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23.299099999999999</v>
      </c>
      <c r="Z14" s="197">
        <f t="shared" si="8"/>
        <v>1.3599999999999999E-2</v>
      </c>
      <c r="AA14" s="197">
        <f t="shared" si="9"/>
        <v>23.285499999999999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 &amp; aws s3 cp s3://rtdc.mdm.uploadarchive.raw/RTDC4003/ "%USERPROFILE%\AppData\Local\Temp\OnboardLogs"\RTDC4003\2017-06-25 --exclude "*" --recursive --include "*20170625*" &amp; "%USERPROFILE%\Documents\GitHub\mrs-test-scripts\Headless Mode &amp; Sideloading\WalkAndUnGZ.bat" "%USERPROFILE%\AppData\Local\Temp\OnboardLogs"\RTDC4003\2017-06-25</v>
      </c>
      <c r="AF14" s="74" t="str">
        <f t="shared" si="12"/>
        <v>"C:\Program Files (x86)\AstroGrep\AstroGrep.exe" /e /r /s /spath="%USERPROFILE%\AppData\Local\Temp\OnboardLogs" /stypes="app*4003*20170624*"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8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4003 --swversion DE.1.0.9.0 --startMP 204:232991 --initTime 2017-06-24T03:59:03 --startdatetime 2017-06-24T04:12:13 --delay 1 --endMP 204:136 --enddatetime 2017-06-24T04:51:28 --enforcementcount 0 &gt;&gt;C:\Users\stu\Documents\GitHub\eaglep3-reporting\EC\2017-06-24-refined-times.txt</v>
      </c>
      <c r="AI14" s="96" t="str">
        <f t="shared" ref="AI14:AI78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{"issue":{"subject":"","project_id":79,"tracker_id":40,"status_id":1,"priority_id":2,"assigned_to_id":23,"start_date":"2017-06-24","description":"","custom_fields":[{"id":1,"name":"Subdivision","value":"EC"},{"id":4,"name":"Milepost","value":"0.0136"},{"id":17,"name":"Train ID","value":"102-24"},{"id":16,"name":"Locomotive ID","value":"4003"},{"id":130,"name":"Impact","value":""},{"id":150,"name":"Time of Event (Mountain Time)","value":"04:51:28"},{"id":151,"name":"Denver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8" si="20">"start /low /b "&amp;dls3logs&amp;" --loco "&amp;B14&amp;" --day "&amp;TEXT(F14,"YYYY-MM-DD")</f>
        <v>start /low /b %USERPROFILE%\Documents\GitHub\eaglep3\Utilities\DownloadLogsFromS3.py --loco 4003 --day 2017-06-24</v>
      </c>
      <c r="AN14" s="151" t="str">
        <f t="shared" ref="AN14:AN78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10:51:28"},{"id":29,"name":"Sharepoint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678</v>
      </c>
      <c r="B15" s="7">
        <v>4042</v>
      </c>
      <c r="C15" s="21" t="s">
        <v>202</v>
      </c>
      <c r="D15" s="21" t="s">
        <v>474</v>
      </c>
      <c r="E15" s="13">
        <v>42910.14880787037</v>
      </c>
      <c r="F15" s="13">
        <v>42910.156458333331</v>
      </c>
      <c r="G15" s="7">
        <v>1</v>
      </c>
      <c r="H15" s="21" t="s">
        <v>542</v>
      </c>
      <c r="I15" s="13">
        <v>42910.182847222219</v>
      </c>
      <c r="J15" s="7">
        <v>0</v>
      </c>
      <c r="K15" s="89" t="str">
        <f t="shared" si="0"/>
        <v>4041/4042</v>
      </c>
      <c r="L15" s="21" t="str">
        <f>VLOOKUP(A15,'Trips&amp;Operators'!$C$1:$G$99999,5,FALSE)</f>
        <v>WILLIAMS DONTE</v>
      </c>
      <c r="M15" s="6">
        <f t="shared" si="1"/>
        <v>2.6388888887595385E-2</v>
      </c>
      <c r="N15" s="7">
        <f t="shared" si="2"/>
        <v>37.999999998137355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-24T02:34:17-0600',mode:absolute,to:'2017-06-24T05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4.5499999999999999E-2</v>
      </c>
      <c r="Z15" s="197">
        <f t="shared" si="8"/>
        <v>23.329899999999999</v>
      </c>
      <c r="AA15" s="197">
        <f t="shared" si="9"/>
        <v>23.284399999999998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 &amp; 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</v>
      </c>
      <c r="AF15" s="74" t="str">
        <f t="shared" si="12"/>
        <v>"C:\Program Files (x86)\AstroGrep\AstroGrep.exe" /e /r /s /spath="%USERPROFILE%\AppData\Local\Temp\OnboardLogs" /stypes="app*4042*20170624*"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103-24 --locoid 4042 --swversion DE.1.0.9.0 --startMP 204:455 --initTime 2017-06-24T03:34:17 --startdatetime 2017-06-24T03:45:18 --delay 1 --endMP 204:233299 --enddatetime 2017-06-24T04:23:18 --enforcementcount 0 &gt;&gt;C:\Users\stu\Documents\GitHub\eaglep3-reporting\EC\2017-06-24-refined-times.txt</v>
      </c>
      <c r="AI15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{"issue":{"subject":"","project_id":79,"tracker_id":40,"status_id":1,"priority_id":2,"assigned_to_id":23,"start_date":"2017-06-24","description":"","custom_fields":[{"id":1,"name":"Subdivision","value":"EC"},{"id":4,"name":"Milepost","value":"23.3299"},{"id":17,"name":"Train ID","value":"103-24"},{"id":16,"name":"Locomotive ID","value":"4042"},{"id":130,"name":"Impact","value":""},{"id":150,"name":"Time of Event (Mountain Time)","value":"04:23:18"},{"id":151,"name":"Denver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4042 --day 2017-06-24</v>
      </c>
      <c r="AN15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10:23:18"},{"id":29,"name":"Sharepoint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689</v>
      </c>
      <c r="B16" s="7">
        <v>4041</v>
      </c>
      <c r="C16" s="21" t="s">
        <v>202</v>
      </c>
      <c r="D16" s="21" t="s">
        <v>866</v>
      </c>
      <c r="E16" s="13">
        <v>42910.185567129629</v>
      </c>
      <c r="F16" s="13">
        <v>42910.196006944447</v>
      </c>
      <c r="G16" s="7">
        <v>1</v>
      </c>
      <c r="H16" s="21" t="s">
        <v>436</v>
      </c>
      <c r="I16" s="13">
        <v>42910.225011574075</v>
      </c>
      <c r="J16" s="7">
        <v>0</v>
      </c>
      <c r="K16" s="89" t="str">
        <f t="shared" si="0"/>
        <v>4041/4042</v>
      </c>
      <c r="L16" s="21" t="str">
        <f>VLOOKUP(A16,'Trips&amp;Operators'!$C$1:$G$99999,5,FALSE)</f>
        <v>WILLIAMS DONTE</v>
      </c>
      <c r="M16" s="6">
        <f t="shared" si="1"/>
        <v>2.9004629628616385E-2</v>
      </c>
      <c r="N16" s="7">
        <f t="shared" si="2"/>
        <v>41.766666665207595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-24T03:27:13-0600',mode:absolute,to:'2017-06-24T06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23.297499999999999</v>
      </c>
      <c r="Z16" s="197">
        <f t="shared" si="8"/>
        <v>1.5599999999999999E-2</v>
      </c>
      <c r="AA16" s="197">
        <f t="shared" si="9"/>
        <v>23.2819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s3://rtdc.mdm.uploadarchive.raw/RTDC4041/ "%USERPROFILE%\AppData\Local\Temp\OnboardLogs"\RTDC4041\2017-06-24 --exclude "*" --recursive --include "*20170624*" &amp; "%USERPROFILE%\Documents\GitHub\mrs-test-scripts\Headless Mode &amp; Sideloading\WalkAndUnGZ.bat" "%USERPROFILE%\AppData\Local\Temp\OnboardLogs"\RTDC4041\2017-06-24 &amp; aws s3 cp s3://rtdc.mdm.uploadarchive.raw/RTDC4041/ "%USERPROFILE%\AppData\Local\Temp\OnboardLogs"\RTDC4041\2017-06-25 --exclude "*" --recursive --include "*20170625*" &amp; "%USERPROFILE%\Documents\GitHub\mrs-test-scripts\Headless Mode &amp; Sideloading\WalkAndUnGZ.bat" "%USERPROFILE%\AppData\Local\Temp\OnboardLogs"\RTDC4041\2017-06-25</v>
      </c>
      <c r="AF16" s="74" t="str">
        <f t="shared" si="12"/>
        <v>"C:\Program Files (x86)\AstroGrep\AstroGrep.exe" /e /r /s /spath="%USERPROFILE%\AppData\Local\Temp\OnboardLogs" /stypes="app*4041*20170624*"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104-24 --locoid 4041 --swversion DE.1.0.9.0 --startMP 204:232975 --initTime 2017-06-24T04:27:13 --startdatetime 2017-06-24T04:42:15 --delay 1 --endMP 204:156 --enddatetime 2017-06-24T05:24:01 --enforcementcount 0 &gt;&gt;C:\Users\stu\Documents\GitHub\eaglep3-reporting\EC\2017-06-24-refined-times.txt</v>
      </c>
      <c r="AI16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{"issue":{"subject":"","project_id":79,"tracker_id":40,"status_id":1,"priority_id":2,"assigned_to_id":23,"start_date":"2017-06-24","description":"","custom_fields":[{"id":1,"name":"Subdivision","value":"EC"},{"id":4,"name":"Milepost","value":"0.0156"},{"id":17,"name":"Train ID","value":"104-24"},{"id":16,"name":"Locomotive ID","value":"4041"},{"id":130,"name":"Impact","value":""},{"id":150,"name":"Time of Event (Mountain Time)","value":"05:24:01"},{"id":151,"name":"Denver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4041 --day 2017-06-24</v>
      </c>
      <c r="AN16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11:24:01"},{"id":29,"name":"Sharepoint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683</v>
      </c>
      <c r="B17" s="7">
        <v>4052</v>
      </c>
      <c r="C17" s="21" t="s">
        <v>202</v>
      </c>
      <c r="D17" s="21" t="s">
        <v>198</v>
      </c>
      <c r="E17" s="13">
        <v>42910.171307870369</v>
      </c>
      <c r="F17" s="13">
        <v>42910.177256944444</v>
      </c>
      <c r="G17" s="7">
        <v>1</v>
      </c>
      <c r="H17" s="21" t="s">
        <v>505</v>
      </c>
      <c r="I17" s="13">
        <v>42910.204884259256</v>
      </c>
      <c r="J17" s="7">
        <v>0</v>
      </c>
      <c r="K17" s="89" t="str">
        <f t="shared" si="0"/>
        <v>4051/4052</v>
      </c>
      <c r="L17" s="21" t="str">
        <f>VLOOKUP(A17,'Trips&amp;Operators'!$C$1:$G$99999,5,FALSE)</f>
        <v>DAVIS WENDY</v>
      </c>
      <c r="M17" s="6">
        <f t="shared" si="1"/>
        <v>2.7627314811979886E-2</v>
      </c>
      <c r="N17" s="7">
        <f t="shared" si="2"/>
        <v>39.783333329251036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-24T03:06:41-0600',mode:absolute,to:'2017-06-24T05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4.5699999999999998E-2</v>
      </c>
      <c r="Z17" s="197">
        <f t="shared" si="8"/>
        <v>23.331399999999999</v>
      </c>
      <c r="AA17" s="197">
        <f t="shared" si="9"/>
        <v>23.285699999999999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s3://rtdc.mdm.uploadarchive.raw/RTDC4052/ "%USERPROFILE%\AppData\Local\Temp\OnboardLogs"\RTDC4052\2017-06-24 --exclude "*" --recursive --include "*20170624*" &amp; "%USERPROFILE%\Documents\GitHub\mrs-test-scripts\Headless Mode &amp; Sideloading\WalkAndUnGZ.bat" "%USERPROFILE%\AppData\Local\Temp\OnboardLogs"\RTDC4052\2017-06-24 &amp; aws s3 cp s3://rtdc.mdm.uploadarchive.raw/RTDC4052/ "%USERPROFILE%\AppData\Local\Temp\OnboardLogs"\RTDC4052\2017-06-25 --exclude "*" --recursive --include "*20170625*" &amp; "%USERPROFILE%\Documents\GitHub\mrs-test-scripts\Headless Mode &amp; Sideloading\WalkAndUnGZ.bat" "%USERPROFILE%\AppData\Local\Temp\OnboardLogs"\RTDC4052\2017-06-25</v>
      </c>
      <c r="AF17" s="74" t="str">
        <f t="shared" si="12"/>
        <v>"C:\Program Files (x86)\AstroGrep\AstroGrep.exe" /e /r /s /spath="%USERPROFILE%\AppData\Local\Temp\OnboardLogs" /stypes="app*4052*20170624*"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105-24 --locoid 4052 --swversion DE.1.0.9.0 --startMP 204:457 --initTime 2017-06-24T04:06:41 --startdatetime 2017-06-24T04:15:15 --delay 1 --endMP 204:233314 --enddatetime 2017-06-24T04:55:02 --enforcementcount 0 &gt;&gt;C:\Users\stu\Documents\GitHub\eaglep3-reporting\EC\2017-06-24-refined-times.txt</v>
      </c>
      <c r="AI17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{"issue":{"subject":"","project_id":79,"tracker_id":40,"status_id":1,"priority_id":2,"assigned_to_id":23,"start_date":"2017-06-24","description":"","custom_fields":[{"id":1,"name":"Subdivision","value":"EC"},{"id":4,"name":"Milepost","value":"23.3314"},{"id":17,"name":"Train ID","value":"105-24"},{"id":16,"name":"Locomotive ID","value":"4052"},{"id":130,"name":"Impact","value":""},{"id":150,"name":"Time of Event (Mountain Time)","value":"04:55:02"},{"id":151,"name":"Denver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4052 --day 2017-06-24</v>
      </c>
      <c r="AN17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10:55:02"},{"id":29,"name":"Sharepoint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695</v>
      </c>
      <c r="B18" s="7">
        <v>4043</v>
      </c>
      <c r="C18" s="21" t="s">
        <v>202</v>
      </c>
      <c r="D18" s="21" t="s">
        <v>867</v>
      </c>
      <c r="E18" s="13">
        <v>42910.21471064815</v>
      </c>
      <c r="F18" s="13">
        <v>42910.216840277775</v>
      </c>
      <c r="G18" s="7">
        <v>1</v>
      </c>
      <c r="H18" s="21" t="s">
        <v>193</v>
      </c>
      <c r="I18" s="13">
        <v>42910.243518518517</v>
      </c>
      <c r="J18" s="7">
        <v>0</v>
      </c>
      <c r="K18" s="89" t="str">
        <f t="shared" si="0"/>
        <v>4043/4044</v>
      </c>
      <c r="L18" s="21" t="str">
        <f>VLOOKUP(A18,'Trips&amp;Operators'!$C$1:$G$99999,5,FALSE)</f>
        <v>GEBRETEKLE DAGNEW</v>
      </c>
      <c r="M18" s="6">
        <f t="shared" si="1"/>
        <v>2.6678240741603076E-2</v>
      </c>
      <c r="N18" s="7">
        <f t="shared" si="2"/>
        <v>38.41666666790843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-24T04:09:11-0600',mode:absolute,to:'2017-06-24T06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23.295300000000001</v>
      </c>
      <c r="Z18" s="197">
        <f t="shared" si="8"/>
        <v>1.52E-2</v>
      </c>
      <c r="AA18" s="197">
        <f t="shared" si="9"/>
        <v>23.280100000000001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 &amp; 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</v>
      </c>
      <c r="AF18" s="74" t="str">
        <f t="shared" si="12"/>
        <v>"C:\Program Files (x86)\AstroGrep\AstroGrep.exe" /e /r /s /spath="%USERPROFILE%\AppData\Local\Temp\OnboardLogs" /stypes="app*4043*20170624*"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106-24 --locoid 4043 --swversion DE.1.0.9.0 --startMP 204:232953 --initTime 2017-06-24T05:09:11 --startdatetime 2017-06-24T05:12:15 --delay 1 --endMP 204:152 --enddatetime 2017-06-24T05:50:40 --enforcementcount 0 &gt;&gt;C:\Users\stu\Documents\GitHub\eaglep3-reporting\EC\2017-06-24-refined-times.txt</v>
      </c>
      <c r="AI18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{"issue":{"subject":"","project_id":79,"tracker_id":40,"status_id":1,"priority_id":2,"assigned_to_id":23,"start_date":"2017-06-24","description":"","custom_fields":[{"id":1,"name":"Subdivision","value":"EC"},{"id":4,"name":"Milepost","value":"0.0152"},{"id":17,"name":"Train ID","value":"106-24"},{"id":16,"name":"Locomotive ID","value":"4043"},{"id":130,"name":"Impact","value":""},{"id":150,"name":"Time of Event (Mountain Time)","value":"05:50:40"},{"id":151,"name":"Denver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4043 --day 2017-06-24</v>
      </c>
      <c r="AN18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11:50:40"},{"id":29,"name":"Sharepoint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688</v>
      </c>
      <c r="B19" s="7">
        <v>4044</v>
      </c>
      <c r="C19" s="21" t="s">
        <v>202</v>
      </c>
      <c r="D19" s="21" t="s">
        <v>447</v>
      </c>
      <c r="E19" s="13">
        <v>42910.185069444444</v>
      </c>
      <c r="F19" s="13">
        <v>42910.187685185185</v>
      </c>
      <c r="G19" s="7">
        <v>1</v>
      </c>
      <c r="H19" s="21" t="s">
        <v>590</v>
      </c>
      <c r="I19" s="13">
        <v>42910.213692129626</v>
      </c>
      <c r="J19" s="7">
        <v>0</v>
      </c>
      <c r="K19" s="89" t="str">
        <f t="shared" si="0"/>
        <v>4043/4044</v>
      </c>
      <c r="L19" s="21" t="str">
        <f>VLOOKUP(A19,'Trips&amp;Operators'!$C$1:$G$99999,5,FALSE)</f>
        <v>GEBRETEKLE DAGNEW</v>
      </c>
      <c r="M19" s="6">
        <f t="shared" si="1"/>
        <v>2.6006944441178348E-2</v>
      </c>
      <c r="N19" s="7">
        <f t="shared" si="2"/>
        <v>37.449999995296821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-24T03:26:30-0600',mode:absolute,to:'2017-06-24T06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4.6899999999999997E-2</v>
      </c>
      <c r="Z19" s="197">
        <f t="shared" si="8"/>
        <v>23.3276</v>
      </c>
      <c r="AA19" s="197">
        <f t="shared" si="9"/>
        <v>23.2807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 &amp; 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</v>
      </c>
      <c r="AF19" s="74" t="str">
        <f t="shared" si="12"/>
        <v>"C:\Program Files (x86)\AstroGrep\AstroGrep.exe" /e /r /s /spath="%USERPROFILE%\AppData\Local\Temp\OnboardLogs" /stypes="app*4044*20170624*"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107-24 --locoid 4044 --swversion DE.1.0.9.0 --startMP 204:469 --initTime 2017-06-24T04:26:30 --startdatetime 2017-06-24T04:30:16 --delay 1 --endMP 204:233276 --enddatetime 2017-06-24T05:07:43 --enforcementcount 0 &gt;&gt;C:\Users\stu\Documents\GitHub\eaglep3-reporting\EC\2017-06-24-refined-times.txt</v>
      </c>
      <c r="AI19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{"issue":{"subject":"","project_id":79,"tracker_id":40,"status_id":1,"priority_id":2,"assigned_to_id":23,"start_date":"2017-06-24","description":"","custom_fields":[{"id":1,"name":"Subdivision","value":"EC"},{"id":4,"name":"Milepost","value":"23.3276"},{"id":17,"name":"Train ID","value":"107-24"},{"id":16,"name":"Locomotive ID","value":"4044"},{"id":130,"name":"Impact","value":""},{"id":150,"name":"Time of Event (Mountain Time)","value":"05:07:43"},{"id":151,"name":"Denver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4044 --day 2017-06-24</v>
      </c>
      <c r="AN19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11:07:43"},{"id":29,"name":"Sharepoint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698</v>
      </c>
      <c r="B20" s="7">
        <v>4051</v>
      </c>
      <c r="C20" s="21" t="s">
        <v>202</v>
      </c>
      <c r="D20" s="21" t="s">
        <v>868</v>
      </c>
      <c r="E20" s="13">
        <v>42910.220995370371</v>
      </c>
      <c r="F20" s="13">
        <v>42910.227233796293</v>
      </c>
      <c r="G20" s="7">
        <v>1</v>
      </c>
      <c r="H20" s="21" t="s">
        <v>869</v>
      </c>
      <c r="I20" s="13">
        <v>42910.256481481483</v>
      </c>
      <c r="J20" s="7">
        <v>0</v>
      </c>
      <c r="K20" s="89" t="str">
        <f t="shared" si="0"/>
        <v>4051/4052</v>
      </c>
      <c r="L20" s="21" t="str">
        <f>VLOOKUP(A20,'Trips&amp;Operators'!$C$1:$G$99999,5,FALSE)</f>
        <v>DAVIS WENDY</v>
      </c>
      <c r="M20" s="6">
        <f t="shared" si="1"/>
        <v>2.9247685190057382E-2</v>
      </c>
      <c r="N20" s="7">
        <f t="shared" si="2"/>
        <v>42.11666667368263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-24T04:18:14-0600',mode:absolute,to:'2017-06-24T07:09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23.2987</v>
      </c>
      <c r="Z20" s="197">
        <f t="shared" si="8"/>
        <v>1.4800000000000001E-2</v>
      </c>
      <c r="AA20" s="197">
        <f t="shared" si="9"/>
        <v>23.283899999999999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s3://rtdc.mdm.uploadarchive.raw/RTDC4051/ "%USERPROFILE%\AppData\Local\Temp\OnboardLogs"\RTDC4051\2017-06-24 --exclude "*" --recursive --include "*20170624*" &amp; "%USERPROFILE%\Documents\GitHub\mrs-test-scripts\Headless Mode &amp; Sideloading\WalkAndUnGZ.bat" "%USERPROFILE%\AppData\Local\Temp\OnboardLogs"\RTDC4051\2017-06-24 &amp; aws s3 cp s3://rtdc.mdm.uploadarchive.raw/RTDC4051/ "%USERPROFILE%\AppData\Local\Temp\OnboardLogs"\RTDC4051\2017-06-25 --exclude "*" --recursive --include "*20170625*" &amp; "%USERPROFILE%\Documents\GitHub\mrs-test-scripts\Headless Mode &amp; Sideloading\WalkAndUnGZ.bat" "%USERPROFILE%\AppData\Local\Temp\OnboardLogs"\RTDC4051\2017-06-25</v>
      </c>
      <c r="AF20" s="74" t="str">
        <f t="shared" si="12"/>
        <v>"C:\Program Files (x86)\AstroGrep\AstroGrep.exe" /e /r /s /spath="%USERPROFILE%\AppData\Local\Temp\OnboardLogs" /stypes="app*4051*20170624*"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108-24 --locoid 4051 --swversion DE.1.0.9.0 --startMP 204:232987 --initTime 2017-06-24T05:18:14 --startdatetime 2017-06-24T05:27:13 --delay 1 --endMP 204:148 --enddatetime 2017-06-24T06:09:20 --enforcementcount 0 &gt;&gt;C:\Users\stu\Documents\GitHub\eaglep3-reporting\EC\2017-06-24-refined-times.txt</v>
      </c>
      <c r="AI20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{"issue":{"subject":"","project_id":79,"tracker_id":40,"status_id":1,"priority_id":2,"assigned_to_id":23,"start_date":"2017-06-24","description":"","custom_fields":[{"id":1,"name":"Subdivision","value":"EC"},{"id":4,"name":"Milepost","value":"0.0148"},{"id":17,"name":"Train ID","value":"108-24"},{"id":16,"name":"Locomotive ID","value":"4051"},{"id":130,"name":"Impact","value":""},{"id":150,"name":"Time of Event (Mountain Time)","value":"06:09:20"},{"id":151,"name":"Denver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4051 --day 2017-06-24</v>
      </c>
      <c r="AN20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12:09:20"},{"id":29,"name":"Sharepoint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690</v>
      </c>
      <c r="B21" s="7">
        <v>4020</v>
      </c>
      <c r="C21" s="21" t="s">
        <v>202</v>
      </c>
      <c r="D21" s="21" t="s">
        <v>475</v>
      </c>
      <c r="E21" s="13">
        <v>42910.193692129629</v>
      </c>
      <c r="F21" s="13">
        <v>42910.198078703703</v>
      </c>
      <c r="G21" s="7">
        <v>1</v>
      </c>
      <c r="H21" s="21" t="s">
        <v>589</v>
      </c>
      <c r="I21" s="13">
        <v>42910.223090277781</v>
      </c>
      <c r="J21" s="7">
        <v>0</v>
      </c>
      <c r="K21" s="89" t="str">
        <f t="shared" si="0"/>
        <v>4019/4020</v>
      </c>
      <c r="L21" s="21" t="str">
        <f>VLOOKUP(A21,'Trips&amp;Operators'!$C$1:$G$99999,5,FALSE)</f>
        <v>LALONDE GREGORY</v>
      </c>
      <c r="M21" s="6">
        <f t="shared" si="1"/>
        <v>2.5011574078234844E-2</v>
      </c>
      <c r="N21" s="7">
        <f t="shared" si="2"/>
        <v>36.016666672658175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-24T03:38:55-0600',mode:absolute,to:'2017-06-24T06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4.6399999999999997E-2</v>
      </c>
      <c r="Z21" s="197">
        <f t="shared" si="8"/>
        <v>23.334099999999999</v>
      </c>
      <c r="AA21" s="197">
        <f t="shared" si="9"/>
        <v>23.287700000000001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s3://rtdc.mdm.uploadarchive.raw/RTDC4020/ "%USERPROFILE%\AppData\Local\Temp\OnboardLogs"\RTDC4020\2017-06-24 --exclude "*" --recursive --include "*20170624*" &amp; "%USERPROFILE%\Documents\GitHub\mrs-test-scripts\Headless Mode &amp; Sideloading\WalkAndUnGZ.bat" "%USERPROFILE%\AppData\Local\Temp\OnboardLogs"\RTDC4020\2017-06-24 &amp; aws s3 cp s3://rtdc.mdm.uploadarchive.raw/RTDC4020/ "%USERPROFILE%\AppData\Local\Temp\OnboardLogs"\RTDC4020\2017-06-25 --exclude "*" --recursive --include "*20170625*" &amp; "%USERPROFILE%\Documents\GitHub\mrs-test-scripts\Headless Mode &amp; Sideloading\WalkAndUnGZ.bat" "%USERPROFILE%\AppData\Local\Temp\OnboardLogs"\RTDC4020\2017-06-25</v>
      </c>
      <c r="AF21" s="74" t="str">
        <f t="shared" si="12"/>
        <v>"C:\Program Files (x86)\AstroGrep\AstroGrep.exe" /e /r /s /spath="%USERPROFILE%\AppData\Local\Temp\OnboardLogs" /stypes="app*4020*20170624*"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109-24 --locoid 4020 --swversion DE.1.0.9.0 --startMP 204:464 --initTime 2017-06-24T04:38:55 --startdatetime 2017-06-24T04:45:14 --delay 1 --endMP 204:233341 --enddatetime 2017-06-24T05:21:15 --enforcementcount 0 &gt;&gt;C:\Users\stu\Documents\GitHub\eaglep3-reporting\EC\2017-06-24-refined-times.txt</v>
      </c>
      <c r="AI21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{"issue":{"subject":"","project_id":79,"tracker_id":40,"status_id":1,"priority_id":2,"assigned_to_id":23,"start_date":"2017-06-24","description":"","custom_fields":[{"id":1,"name":"Subdivision","value":"EC"},{"id":4,"name":"Milepost","value":"23.3341"},{"id":17,"name":"Train ID","value":"109-24"},{"id":16,"name":"Locomotive ID","value":"4020"},{"id":130,"name":"Impact","value":""},{"id":150,"name":"Time of Event (Mountain Time)","value":"05:21:15"},{"id":151,"name":"Denver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4020 --day 2017-06-24</v>
      </c>
      <c r="AN21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11:21:15"},{"id":29,"name":"Sharepoint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703</v>
      </c>
      <c r="B22" s="7">
        <v>4019</v>
      </c>
      <c r="C22" s="21" t="s">
        <v>202</v>
      </c>
      <c r="D22" s="21" t="s">
        <v>870</v>
      </c>
      <c r="E22" s="13">
        <v>42910.233622685184</v>
      </c>
      <c r="F22" s="13">
        <v>42910.238599537035</v>
      </c>
      <c r="G22" s="7">
        <v>1</v>
      </c>
      <c r="H22" s="21" t="s">
        <v>348</v>
      </c>
      <c r="I22" s="13">
        <v>42910.263981481483</v>
      </c>
      <c r="J22" s="7">
        <v>0</v>
      </c>
      <c r="K22" s="89" t="str">
        <f t="shared" si="0"/>
        <v>4019/4020</v>
      </c>
      <c r="L22" s="21" t="str">
        <f>VLOOKUP(A22,'Trips&amp;Operators'!$C$1:$G$99999,5,FALSE)</f>
        <v>LALONDE GREGORY</v>
      </c>
      <c r="M22" s="6">
        <f t="shared" si="1"/>
        <v>2.5381944447872229E-2</v>
      </c>
      <c r="N22" s="7">
        <f t="shared" si="2"/>
        <v>36.55000000493601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-24T04:36:25-0600',mode:absolute,to:'2017-06-24T07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23.301100000000002</v>
      </c>
      <c r="Z22" s="197">
        <f t="shared" si="8"/>
        <v>1.4999999999999999E-2</v>
      </c>
      <c r="AA22" s="197">
        <f t="shared" si="9"/>
        <v>23.286100000000001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s3://rtdc.mdm.uploadarchive.raw/RTDC4019/ "%USERPROFILE%\AppData\Local\Temp\OnboardLogs"\RTDC4019\2017-06-24 --exclude "*" --recursive --include "*20170624*" &amp; "%USERPROFILE%\Documents\GitHub\mrs-test-scripts\Headless Mode &amp; Sideloading\WalkAndUnGZ.bat" "%USERPROFILE%\AppData\Local\Temp\OnboardLogs"\RTDC4019\2017-06-24 &amp; aws s3 cp s3://rtdc.mdm.uploadarchive.raw/RTDC4019/ "%USERPROFILE%\AppData\Local\Temp\OnboardLogs"\RTDC4019\2017-06-25 --exclude "*" --recursive --include "*20170625*" &amp; "%USERPROFILE%\Documents\GitHub\mrs-test-scripts\Headless Mode &amp; Sideloading\WalkAndUnGZ.bat" "%USERPROFILE%\AppData\Local\Temp\OnboardLogs"\RTDC4019\2017-06-25</v>
      </c>
      <c r="AF22" s="74" t="str">
        <f t="shared" si="12"/>
        <v>"C:\Program Files (x86)\AstroGrep\AstroGrep.exe" /e /r /s /spath="%USERPROFILE%\AppData\Local\Temp\OnboardLogs" /stypes="app*4019*20170624*"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110-24 --locoid 4019 --swversion DE.1.0.9.0 --startMP 204:233011 --initTime 2017-06-24T05:36:25 --startdatetime 2017-06-24T05:43:35 --delay 1 --endMP 204:150 --enddatetime 2017-06-24T06:20:08 --enforcementcount 0 &gt;&gt;C:\Users\stu\Documents\GitHub\eaglep3-reporting\EC\2017-06-24-refined-times.txt</v>
      </c>
      <c r="AI22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{"issue":{"subject":"","project_id":79,"tracker_id":40,"status_id":1,"priority_id":2,"assigned_to_id":23,"start_date":"2017-06-24","description":"","custom_fields":[{"id":1,"name":"Subdivision","value":"EC"},{"id":4,"name":"Milepost","value":"0.015"},{"id":17,"name":"Train ID","value":"110-24"},{"id":16,"name":"Locomotive ID","value":"4019"},{"id":130,"name":"Impact","value":""},{"id":150,"name":"Time of Event (Mountain Time)","value":"06:20:08"},{"id":151,"name":"Denver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4019 --day 2017-06-24</v>
      </c>
      <c r="AN22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12:20:08"},{"id":29,"name":"Sharepoint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693</v>
      </c>
      <c r="B23" s="7">
        <v>4004</v>
      </c>
      <c r="C23" s="21" t="s">
        <v>202</v>
      </c>
      <c r="D23" s="21" t="s">
        <v>352</v>
      </c>
      <c r="E23" s="13">
        <v>42910.204398148147</v>
      </c>
      <c r="F23" s="13">
        <v>42910.208553240744</v>
      </c>
      <c r="G23" s="7">
        <v>1</v>
      </c>
      <c r="H23" s="21" t="s">
        <v>540</v>
      </c>
      <c r="I23" s="13">
        <v>42910.234386574077</v>
      </c>
      <c r="J23" s="7">
        <v>0</v>
      </c>
      <c r="K23" s="89" t="str">
        <f t="shared" si="0"/>
        <v>4003/4004</v>
      </c>
      <c r="L23" s="21" t="str">
        <f>VLOOKUP(A23,'Trips&amp;Operators'!$C$1:$G$99999,5,FALSE)</f>
        <v>MAELZER KURT</v>
      </c>
      <c r="M23" s="6">
        <f t="shared" si="1"/>
        <v>2.5833333333139308E-2</v>
      </c>
      <c r="N23" s="7">
        <f t="shared" si="2"/>
        <v>37.199999999720603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-24T03:54:20-0600',mode:absolute,to:'2017-06-24T06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4.5100000000000001E-2</v>
      </c>
      <c r="Z23" s="197">
        <f t="shared" si="8"/>
        <v>23.332699999999999</v>
      </c>
      <c r="AA23" s="197">
        <f t="shared" si="9"/>
        <v>23.287599999999998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s3://rtdc.mdm.uploadarchive.raw/RTDC4004/ "%USERPROFILE%\AppData\Local\Temp\OnboardLogs"\RTDC4004\2017-06-24 --exclude "*" --recursive --include "*20170624*" &amp; "%USERPROFILE%\Documents\GitHub\mrs-test-scripts\Headless Mode &amp; Sideloading\WalkAndUnGZ.bat" "%USERPROFILE%\AppData\Local\Temp\OnboardLogs"\RTDC4004\2017-06-24 &amp; aws s3 cp s3://rtdc.mdm.uploadarchive.raw/RTDC4004/ "%USERPROFILE%\AppData\Local\Temp\OnboardLogs"\RTDC4004\2017-06-25 --exclude "*" --recursive --include "*20170625*" &amp; "%USERPROFILE%\Documents\GitHub\mrs-test-scripts\Headless Mode &amp; Sideloading\WalkAndUnGZ.bat" "%USERPROFILE%\AppData\Local\Temp\OnboardLogs"\RTDC4004\2017-06-25</v>
      </c>
      <c r="AF23" s="74" t="str">
        <f t="shared" si="12"/>
        <v>"C:\Program Files (x86)\AstroGrep\AstroGrep.exe" /e /r /s /spath="%USERPROFILE%\AppData\Local\Temp\OnboardLogs" /stypes="app*4004*20170624*"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111-24 --locoid 4004 --swversion DE.1.0.9.0 --startMP 204:451 --initTime 2017-06-24T04:54:20 --startdatetime 2017-06-24T05:00:19 --delay 1 --endMP 204:233327 --enddatetime 2017-06-24T05:37:31 --enforcementcount 0 &gt;&gt;C:\Users\stu\Documents\GitHub\eaglep3-reporting\EC\2017-06-24-refined-times.txt</v>
      </c>
      <c r="AI23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{"issue":{"subject":"","project_id":79,"tracker_id":40,"status_id":1,"priority_id":2,"assigned_to_id":23,"start_date":"2017-06-24","description":"","custom_fields":[{"id":1,"name":"Subdivision","value":"EC"},{"id":4,"name":"Milepost","value":"23.3327"},{"id":17,"name":"Train ID","value":"111-24"},{"id":16,"name":"Locomotive ID","value":"4004"},{"id":130,"name":"Impact","value":""},{"id":150,"name":"Time of Event (Mountain Time)","value":"05:37:31"},{"id":151,"name":"Denver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4004 --day 2017-06-24</v>
      </c>
      <c r="AN23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11:37:31"},{"id":29,"name":"Sharepoint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705</v>
      </c>
      <c r="B24" s="7">
        <v>4003</v>
      </c>
      <c r="C24" s="21" t="s">
        <v>202</v>
      </c>
      <c r="D24" s="21" t="s">
        <v>598</v>
      </c>
      <c r="E24" s="13">
        <v>42910.242488425924</v>
      </c>
      <c r="F24" s="13">
        <v>42910.248252314814</v>
      </c>
      <c r="G24" s="7">
        <v>0</v>
      </c>
      <c r="H24" s="21" t="s">
        <v>394</v>
      </c>
      <c r="I24" s="13">
        <v>42910.275057870371</v>
      </c>
      <c r="J24" s="7">
        <v>0</v>
      </c>
      <c r="K24" s="89" t="str">
        <f t="shared" si="0"/>
        <v>4003/4004</v>
      </c>
      <c r="L24" s="21" t="str">
        <f>VLOOKUP(A24,'Trips&amp;Operators'!$C$1:$G$99999,5,FALSE)</f>
        <v>MAELZER KURT</v>
      </c>
      <c r="M24" s="6">
        <f t="shared" si="1"/>
        <v>2.6805555557075422E-2</v>
      </c>
      <c r="N24" s="7">
        <f t="shared" si="2"/>
        <v>38.600000002188608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-24T04:49:11-0600',mode:absolute,to:'2017-06-24T07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23.3019</v>
      </c>
      <c r="Z24" s="197">
        <f t="shared" si="8"/>
        <v>1.54E-2</v>
      </c>
      <c r="AA24" s="197">
        <f t="shared" si="9"/>
        <v>23.2865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 &amp; aws s3 cp s3://rtdc.mdm.uploadarchive.raw/RTDC4003/ "%USERPROFILE%\AppData\Local\Temp\OnboardLogs"\RTDC4003\2017-06-25 --exclude "*" --recursive --include "*20170625*" &amp; "%USERPROFILE%\Documents\GitHub\mrs-test-scripts\Headless Mode &amp; Sideloading\WalkAndUnGZ.bat" "%USERPROFILE%\AppData\Local\Temp\OnboardLogs"\RTDC4003\2017-06-25</v>
      </c>
      <c r="AF24" s="74" t="str">
        <f t="shared" si="12"/>
        <v>"C:\Program Files (x86)\AstroGrep\AstroGrep.exe" /e /r /s /spath="%USERPROFILE%\AppData\Local\Temp\OnboardLogs" /stypes="app*4003*20170624*"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112-24 --locoid 4003 --swversion DE.1.0.9.0 --startMP 204:233019 --initTime 2017-06-24T05:49:11 --startdatetime 2017-06-24T05:57:29 --delay 0 --endMP 204:154 --enddatetime 2017-06-24T06:36:05 --enforcementcount 0 &gt;&gt;C:\Users\stu\Documents\GitHub\eaglep3-reporting\EC\2017-06-24-refined-times.txt</v>
      </c>
      <c r="AI24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{"issue":{"subject":"","project_id":79,"tracker_id":40,"status_id":1,"priority_id":2,"assigned_to_id":23,"start_date":"2017-06-24","description":"","custom_fields":[{"id":1,"name":"Subdivision","value":"EC"},{"id":4,"name":"Milepost","value":"0.0154"},{"id":17,"name":"Train ID","value":"112-24"},{"id":16,"name":"Locomotive ID","value":"4003"},{"id":130,"name":"Impact","value":""},{"id":150,"name":"Time of Event (Mountain Time)","value":"06:36:05"},{"id":151,"name":"Denver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4003 --day 2017-06-24</v>
      </c>
      <c r="AN24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12:36:05"},{"id":29,"name":"Sharepoint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694</v>
      </c>
      <c r="B25" s="7">
        <v>4014</v>
      </c>
      <c r="C25" s="21" t="s">
        <v>202</v>
      </c>
      <c r="D25" s="21" t="s">
        <v>871</v>
      </c>
      <c r="E25" s="13">
        <v>42910.214166666665</v>
      </c>
      <c r="F25" s="13">
        <v>42910.218935185185</v>
      </c>
      <c r="G25" s="7">
        <v>1</v>
      </c>
      <c r="H25" s="21" t="s">
        <v>872</v>
      </c>
      <c r="I25" s="13">
        <v>42910.24486111111</v>
      </c>
      <c r="J25" s="7">
        <v>0</v>
      </c>
      <c r="K25" s="89" t="str">
        <f t="shared" si="0"/>
        <v>4013/4014</v>
      </c>
      <c r="L25" s="21" t="str">
        <f>VLOOKUP(A25,'Trips&amp;Operators'!$C$1:$G$99999,5,FALSE)</f>
        <v>DAVIDSON DAVID</v>
      </c>
      <c r="M25" s="6">
        <f t="shared" si="1"/>
        <v>2.5925925925548654E-2</v>
      </c>
      <c r="N25" s="7">
        <f t="shared" si="2"/>
        <v>37.333333332790062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-24T04:08:24-0600',mode:absolute,to:'2017-06-24T06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4.2599999999999999E-2</v>
      </c>
      <c r="Z25" s="197">
        <f t="shared" si="8"/>
        <v>23.332599999999999</v>
      </c>
      <c r="AA25" s="197">
        <f t="shared" si="9"/>
        <v>23.29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s3://rtdc.mdm.uploadarchive.raw/RTDC4014/ "%USERPROFILE%\AppData\Local\Temp\OnboardLogs"\RTDC4014\2017-06-24 --exclude "*" --recursive --include "*20170624*" &amp; "%USERPROFILE%\Documents\GitHub\mrs-test-scripts\Headless Mode &amp; Sideloading\WalkAndUnGZ.bat" "%USERPROFILE%\AppData\Local\Temp\OnboardLogs"\RTDC4014\2017-06-24 &amp; aws s3 cp s3://rtdc.mdm.uploadarchive.raw/RTDC4014/ "%USERPROFILE%\AppData\Local\Temp\OnboardLogs"\RTDC4014\2017-06-25 --exclude "*" --recursive --include "*20170625*" &amp; "%USERPROFILE%\Documents\GitHub\mrs-test-scripts\Headless Mode &amp; Sideloading\WalkAndUnGZ.bat" "%USERPROFILE%\AppData\Local\Temp\OnboardLogs"\RTDC4014\2017-06-25</v>
      </c>
      <c r="AF25" s="74" t="str">
        <f t="shared" si="12"/>
        <v>"C:\Program Files (x86)\AstroGrep\AstroGrep.exe" /e /r /s /spath="%USERPROFILE%\AppData\Local\Temp\OnboardLogs" /stypes="app*4014*20170624*"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113-24 --locoid 4014 --swversion DE.1.0.9.0 --startMP 204:426 --initTime 2017-06-24T05:08:24 --startdatetime 2017-06-24T05:15:16 --delay 1 --endMP 204:233326 --enddatetime 2017-06-24T05:52:36 --enforcementcount 0 &gt;&gt;C:\Users\stu\Documents\GitHub\eaglep3-reporting\EC\2017-06-24-refined-times.txt</v>
      </c>
      <c r="AI25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{"issue":{"subject":"","project_id":79,"tracker_id":40,"status_id":1,"priority_id":2,"assigned_to_id":23,"start_date":"2017-06-24","description":"","custom_fields":[{"id":1,"name":"Subdivision","value":"EC"},{"id":4,"name":"Milepost","value":"23.3326"},{"id":17,"name":"Train ID","value":"113-24"},{"id":16,"name":"Locomotive ID","value":"4014"},{"id":130,"name":"Impact","value":""},{"id":150,"name":"Time of Event (Mountain Time)","value":"05:52:36"},{"id":151,"name":"Denver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4014 --day 2017-06-24</v>
      </c>
      <c r="AN25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11:52:36"},{"id":29,"name":"Sharepoint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706</v>
      </c>
      <c r="B26" s="7">
        <v>4013</v>
      </c>
      <c r="C26" s="21" t="s">
        <v>202</v>
      </c>
      <c r="D26" s="21" t="s">
        <v>473</v>
      </c>
      <c r="E26" s="13">
        <v>42910.246365740742</v>
      </c>
      <c r="F26" s="13">
        <v>42910.258611111109</v>
      </c>
      <c r="G26" s="7">
        <v>1</v>
      </c>
      <c r="H26" s="21" t="s">
        <v>350</v>
      </c>
      <c r="I26" s="13">
        <v>42910.286956018521</v>
      </c>
      <c r="J26" s="7">
        <v>0</v>
      </c>
      <c r="K26" s="89" t="str">
        <f t="shared" si="0"/>
        <v>4013/4014</v>
      </c>
      <c r="L26" s="21" t="str">
        <f>VLOOKUP(A26,'Trips&amp;Operators'!$C$1:$G$99999,5,FALSE)</f>
        <v>DAVIDSON DAVID</v>
      </c>
      <c r="M26" s="6">
        <f t="shared" si="1"/>
        <v>2.8344907412247267E-2</v>
      </c>
      <c r="N26" s="7">
        <f t="shared" si="2"/>
        <v>40.816666673636064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-24T04:54:46-0600',mode:absolute,to:'2017-06-24T07:53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23.299800000000001</v>
      </c>
      <c r="Z26" s="197">
        <f t="shared" si="8"/>
        <v>1.43E-2</v>
      </c>
      <c r="AA26" s="197">
        <f t="shared" si="9"/>
        <v>23.285500000000003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s3://rtdc.mdm.uploadarchive.raw/RTDC4013/ "%USERPROFILE%\AppData\Local\Temp\OnboardLogs"\RTDC4013\2017-06-24 --exclude "*" --recursive --include "*20170624*" &amp; "%USERPROFILE%\Documents\GitHub\mrs-test-scripts\Headless Mode &amp; Sideloading\WalkAndUnGZ.bat" "%USERPROFILE%\AppData\Local\Temp\OnboardLogs"\RTDC4013\2017-06-24 &amp; aws s3 cp s3://rtdc.mdm.uploadarchive.raw/RTDC4013/ "%USERPROFILE%\AppData\Local\Temp\OnboardLogs"\RTDC4013\2017-06-25 --exclude "*" --recursive --include "*20170625*" &amp; "%USERPROFILE%\Documents\GitHub\mrs-test-scripts\Headless Mode &amp; Sideloading\WalkAndUnGZ.bat" "%USERPROFILE%\AppData\Local\Temp\OnboardLogs"\RTDC4013\2017-06-25</v>
      </c>
      <c r="AF26" s="74" t="str">
        <f t="shared" si="12"/>
        <v>"C:\Program Files (x86)\AstroGrep\AstroGrep.exe" /e /r /s /spath="%USERPROFILE%\AppData\Local\Temp\OnboardLogs" /stypes="app*4013*20170624*"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114-24 --locoid 4013 --swversion DE.1.0.9.0 --startMP 204:232998 --initTime 2017-06-24T05:54:46 --startdatetime 2017-06-24T06:12:24 --delay 1 --endMP 204:143 --enddatetime 2017-06-24T06:53:13 --enforcementcount 0 &gt;&gt;C:\Users\stu\Documents\GitHub\eaglep3-reporting\EC\2017-06-24-refined-times.txt</v>
      </c>
      <c r="AI26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{"issue":{"subject":"","project_id":79,"tracker_id":40,"status_id":1,"priority_id":2,"assigned_to_id":23,"start_date":"2017-06-24","description":"","custom_fields":[{"id":1,"name":"Subdivision","value":"EC"},{"id":4,"name":"Milepost","value":"0.0143"},{"id":17,"name":"Train ID","value":"114-24"},{"id":16,"name":"Locomotive ID","value":"4013"},{"id":130,"name":"Impact","value":""},{"id":150,"name":"Time of Event (Mountain Time)","value":"06:53:13"},{"id":151,"name":"Denver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4013 --day 2017-06-24</v>
      </c>
      <c r="AN26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12:53:13"},{"id":29,"name":"Sharepoint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701</v>
      </c>
      <c r="B27" s="7">
        <v>4042</v>
      </c>
      <c r="C27" s="21" t="s">
        <v>202</v>
      </c>
      <c r="D27" s="21" t="s">
        <v>507</v>
      </c>
      <c r="E27" s="13">
        <v>42910.227407407408</v>
      </c>
      <c r="F27" s="13">
        <v>42910.229375000003</v>
      </c>
      <c r="G27" s="7">
        <v>1</v>
      </c>
      <c r="H27" s="21" t="s">
        <v>873</v>
      </c>
      <c r="I27" s="13">
        <v>42910.25503472222</v>
      </c>
      <c r="J27" s="7">
        <v>0</v>
      </c>
      <c r="K27" s="89" t="str">
        <f t="shared" si="0"/>
        <v>4041/4042</v>
      </c>
      <c r="L27" s="21" t="str">
        <f>VLOOKUP(A27,'Trips&amp;Operators'!$C$1:$G$99999,5,FALSE)</f>
        <v>WILLIAMS DONTE</v>
      </c>
      <c r="M27" s="6">
        <f t="shared" si="1"/>
        <v>2.565972221782431E-2</v>
      </c>
      <c r="N27" s="7">
        <f t="shared" si="2"/>
        <v>36.949999993667006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-24T04:27:28-0600',mode:absolute,to:'2017-06-24T07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4.58E-2</v>
      </c>
      <c r="Z27" s="197">
        <f t="shared" si="8"/>
        <v>23.3325</v>
      </c>
      <c r="AA27" s="197">
        <f t="shared" si="9"/>
        <v>23.2867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 &amp; 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</v>
      </c>
      <c r="AF27" s="74" t="str">
        <f t="shared" si="12"/>
        <v>"C:\Program Files (x86)\AstroGrep\AstroGrep.exe" /e /r /s /spath="%USERPROFILE%\AppData\Local\Temp\OnboardLogs" /stypes="app*4042*20170624*"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115-24 --locoid 4042 --swversion DE.1.0.9.0 --startMP 204:458 --initTime 2017-06-24T05:27:28 --startdatetime 2017-06-24T05:30:18 --delay 1 --endMP 204:233325 --enddatetime 2017-06-24T06:07:15 --enforcementcount 0 &gt;&gt;C:\Users\stu\Documents\GitHub\eaglep3-reporting\EC\2017-06-24-refined-times.txt</v>
      </c>
      <c r="AI27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{"issue":{"subject":"","project_id":79,"tracker_id":40,"status_id":1,"priority_id":2,"assigned_to_id":23,"start_date":"2017-06-24","description":"","custom_fields":[{"id":1,"name":"Subdivision","value":"EC"},{"id":4,"name":"Milepost","value":"23.3325"},{"id":17,"name":"Train ID","value":"115-24"},{"id":16,"name":"Locomotive ID","value":"4042"},{"id":130,"name":"Impact","value":""},{"id":150,"name":"Time of Event (Mountain Time)","value":"06:07:15"},{"id":151,"name":"Denver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4042 --day 2017-06-24</v>
      </c>
      <c r="AN27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12:07:15"},{"id":29,"name":"Sharepoint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708</v>
      </c>
      <c r="B28" s="7">
        <v>4041</v>
      </c>
      <c r="C28" s="21" t="s">
        <v>202</v>
      </c>
      <c r="D28" s="21" t="s">
        <v>473</v>
      </c>
      <c r="E28" s="13">
        <v>42910.257638888892</v>
      </c>
      <c r="F28" s="13">
        <v>42910.26903935185</v>
      </c>
      <c r="G28" s="7">
        <v>1</v>
      </c>
      <c r="H28" s="21" t="s">
        <v>194</v>
      </c>
      <c r="I28" s="13">
        <v>42910.295659722222</v>
      </c>
      <c r="J28" s="7">
        <v>0</v>
      </c>
      <c r="K28" s="89" t="str">
        <f t="shared" si="0"/>
        <v>4041/4042</v>
      </c>
      <c r="L28" s="21" t="str">
        <f>VLOOKUP(A28,'Trips&amp;Operators'!$C$1:$G$99999,5,FALSE)</f>
        <v>WILLIAMS DONTE</v>
      </c>
      <c r="M28" s="6">
        <f t="shared" si="1"/>
        <v>2.662037037225673E-2</v>
      </c>
      <c r="N28" s="7">
        <f t="shared" si="2"/>
        <v>38.333333336049691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-24T05:11:00-0600',mode:absolute,to:'2017-06-24T08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23.299800000000001</v>
      </c>
      <c r="Z28" s="197">
        <f t="shared" si="8"/>
        <v>1.5800000000000002E-2</v>
      </c>
      <c r="AA28" s="197">
        <f t="shared" si="9"/>
        <v>23.284000000000002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s3://rtdc.mdm.uploadarchive.raw/RTDC4041/ "%USERPROFILE%\AppData\Local\Temp\OnboardLogs"\RTDC4041\2017-06-24 --exclude "*" --recursive --include "*20170624*" &amp; "%USERPROFILE%\Documents\GitHub\mrs-test-scripts\Headless Mode &amp; Sideloading\WalkAndUnGZ.bat" "%USERPROFILE%\AppData\Local\Temp\OnboardLogs"\RTDC4041\2017-06-24 &amp; aws s3 cp s3://rtdc.mdm.uploadarchive.raw/RTDC4041/ "%USERPROFILE%\AppData\Local\Temp\OnboardLogs"\RTDC4041\2017-06-25 --exclude "*" --recursive --include "*20170625*" &amp; "%USERPROFILE%\Documents\GitHub\mrs-test-scripts\Headless Mode &amp; Sideloading\WalkAndUnGZ.bat" "%USERPROFILE%\AppData\Local\Temp\OnboardLogs"\RTDC4041\2017-06-25</v>
      </c>
      <c r="AF28" s="74" t="str">
        <f t="shared" si="12"/>
        <v>"C:\Program Files (x86)\AstroGrep\AstroGrep.exe" /e /r /s /spath="%USERPROFILE%\AppData\Local\Temp\OnboardLogs" /stypes="app*4041*20170624*"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116-24 --locoid 4041 --swversion DE.1.0.9.0 --startMP 204:232998 --initTime 2017-06-24T06:11:00 --startdatetime 2017-06-24T06:27:25 --delay 1 --endMP 204:158 --enddatetime 2017-06-24T07:05:45 --enforcementcount 0 &gt;&gt;C:\Users\stu\Documents\GitHub\eaglep3-reporting\EC\2017-06-24-refined-times.txt</v>
      </c>
      <c r="AI28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{"issue":{"subject":"","project_id":79,"tracker_id":40,"status_id":1,"priority_id":2,"assigned_to_id":23,"start_date":"2017-06-24","description":"","custom_fields":[{"id":1,"name":"Subdivision","value":"EC"},{"id":4,"name":"Milepost","value":"0.0158"},{"id":17,"name":"Train ID","value":"116-24"},{"id":16,"name":"Locomotive ID","value":"4041"},{"id":130,"name":"Impact","value":""},{"id":150,"name":"Time of Event (Mountain Time)","value":"07:05:45"},{"id":151,"name":"Denver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4041 --day 2017-06-24</v>
      </c>
      <c r="AN28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13:05:45"},{"id":29,"name":"Sharepoint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702</v>
      </c>
      <c r="B29" s="7">
        <v>4016</v>
      </c>
      <c r="C29" s="21" t="s">
        <v>202</v>
      </c>
      <c r="D29" s="21" t="s">
        <v>347</v>
      </c>
      <c r="E29" s="13">
        <v>42910.230868055558</v>
      </c>
      <c r="F29" s="13">
        <v>42910.231921296298</v>
      </c>
      <c r="G29" s="7">
        <v>1</v>
      </c>
      <c r="H29" s="21" t="s">
        <v>542</v>
      </c>
      <c r="I29" s="13">
        <v>42910.267152777778</v>
      </c>
      <c r="J29" s="7">
        <v>0</v>
      </c>
      <c r="K29" s="89" t="str">
        <f t="shared" si="0"/>
        <v>4015/4016</v>
      </c>
      <c r="L29" s="21" t="str">
        <f>VLOOKUP(A29,'Trips&amp;Operators'!$C$1:$G$99999,5,FALSE)</f>
        <v>GUZMAN DANNY</v>
      </c>
      <c r="M29" s="6">
        <f t="shared" si="1"/>
        <v>3.5231481480877846E-2</v>
      </c>
      <c r="N29" s="7"/>
      <c r="O29" s="7"/>
      <c r="P29" s="7">
        <f>24*60*SUM($M29:$M29)</f>
        <v>50.733333332464099</v>
      </c>
      <c r="Q29" s="22"/>
      <c r="R29" s="170" t="s">
        <v>1000</v>
      </c>
      <c r="S29" s="213">
        <f>SUM(U29:U30)/IF(AG29="EC",12,1)</f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10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-24T04:32:27-0600',mode:absolute,to:'2017-06-24T07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197" t="str">
        <f>IF(AA29&lt;VLOOKUP(AG29,Variables!$AC$3:$AD$8,2,FALSE),"Y","N")</f>
        <v>Y</v>
      </c>
      <c r="X29" s="197">
        <f t="shared" si="6"/>
        <v>1</v>
      </c>
      <c r="Y29" s="197">
        <f t="shared" si="7"/>
        <v>4.4600000000000001E-2</v>
      </c>
      <c r="Z29" s="197">
        <v>8.1</v>
      </c>
      <c r="AA29" s="197">
        <f t="shared" si="9"/>
        <v>8.0553999999999988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s3://rtdc.mdm.uploadarchive.raw/RTDC4016/ "%USERPROFILE%\AppData\Local\Temp\OnboardLogs"\RTDC4016\2017-06-24 --exclude "*" --recursive --include "*20170624*" &amp; "%USERPROFILE%\Documents\GitHub\mrs-test-scripts\Headless Mode &amp; Sideloading\WalkAndUnGZ.bat" "%USERPROFILE%\AppData\Local\Temp\OnboardLogs"\RTDC4016\2017-06-24 &amp; aws s3 cp s3://rtdc.mdm.uploadarchive.raw/RTDC4016/ "%USERPROFILE%\AppData\Local\Temp\OnboardLogs"\RTDC4016\2017-06-25 --exclude "*" --recursive --include "*20170625*" &amp; "%USERPROFILE%\Documents\GitHub\mrs-test-scripts\Headless Mode &amp; Sideloading\WalkAndUnGZ.bat" "%USERPROFILE%\AppData\Local\Temp\OnboardLogs"\RTDC4016\2017-06-25</v>
      </c>
      <c r="AF29" s="74" t="str">
        <f t="shared" si="12"/>
        <v>"C:\Program Files (x86)\AstroGrep\AstroGrep.exe" /e /r /s /spath="%USERPROFILE%\AppData\Local\Temp\OnboardLogs" /stypes="app*4016*20170624*"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117-24 --locoid 4016 --swversion DE.1.0.9.0 --startMP 204:446 --initTime 2017-06-24T05:32:27 --startdatetime 2017-06-24T05:33:58 --delay 1 --endMP 204:233299 --enddatetime 2017-06-24T06:24:42 --enforcementcount 0 &gt;&gt;C:\Users\stu\Documents\GitHub\eaglep3-reporting\EC\2017-06-24-refined-times.txt</v>
      </c>
      <c r="AI29" s="96" t="str">
        <f t="shared" si="19"/>
        <v>echo {"issue":{"subject":"Slip/slide at 2017-06-24 06:01:56 ","project_id":79,"tracker_id":40,"status_id":1,"priority_id":2,"assigned_to_id":23,"start_date":"2017-06-24","description":"","custom_fields":[{"id":1,"name":"Subdivision","value":"EC"},{"id":4,"name":"Milepost","value":"8.1"},{"id":17,"name":"Train ID","value":"117-24"},{"id":16,"name":"Locomotive ID","value":"4016"},{"id":130,"name":"Impact","value":""},{"id":150,"name":"Time of Event (Mountain Time)","value":"06:24:42"},{"id":151,"name":"Denver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4016 --day 2017-06-24</v>
      </c>
      <c r="AN29" s="151" t="str">
        <f t="shared" si="21"/>
        <v>echo {"issue":{"subject":"Slip/slide at 2017-06-24 06:01:56 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12:24:42"},{"id":29,"name":"Sharepoint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702</v>
      </c>
      <c r="B30" s="7">
        <v>4016</v>
      </c>
      <c r="C30" s="21" t="s">
        <v>202</v>
      </c>
      <c r="D30" s="21" t="s">
        <v>874</v>
      </c>
      <c r="E30" s="13">
        <v>42910.252893518518</v>
      </c>
      <c r="F30" s="13">
        <v>42910.253761574073</v>
      </c>
      <c r="G30" s="7">
        <v>1</v>
      </c>
      <c r="H30" s="21" t="s">
        <v>542</v>
      </c>
      <c r="I30" s="13">
        <v>42910.267152777778</v>
      </c>
      <c r="J30" s="7">
        <v>0</v>
      </c>
      <c r="K30" s="89" t="str">
        <f t="shared" si="0"/>
        <v>4015/4016</v>
      </c>
      <c r="L30" s="21" t="str">
        <f>VLOOKUP(A30,'Trips&amp;Operators'!$C$1:$G$99999,5,FALSE)</f>
        <v>GUZMAN DANNY</v>
      </c>
      <c r="M30" s="6">
        <f t="shared" si="1"/>
        <v>1.3391203705396038E-2</v>
      </c>
      <c r="N30" s="7"/>
      <c r="O30" s="7"/>
      <c r="P30" s="7"/>
      <c r="Q30" s="22"/>
      <c r="R30" s="170"/>
      <c r="S30" s="213"/>
      <c r="T30" s="195" t="str">
        <f t="shared" si="4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-24T05:04:10-0600',mode:absolute,to:'2017-06-24T07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0" s="197" t="str">
        <f>IF(AA30&lt;VLOOKUP(AG30,Variables!$AC$3:$AD$8,2,FALSE),"Y","N")</f>
        <v>Y</v>
      </c>
      <c r="X30" s="197">
        <f t="shared" si="6"/>
        <v>0</v>
      </c>
      <c r="Y30" s="197">
        <f t="shared" si="7"/>
        <v>8.6365999999999996</v>
      </c>
      <c r="Z30" s="197">
        <f t="shared" ref="Z30:Z67" si="22">RIGHT(H30,LEN(H30)-4)/10000</f>
        <v>23.329899999999999</v>
      </c>
      <c r="AA30" s="197">
        <f t="shared" si="9"/>
        <v>14.693299999999999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117</v>
      </c>
      <c r="AE30" s="77" t="str">
        <f t="shared" si="11"/>
        <v>aws s3 cp s3://rtdc.mdm.uploadarchive.raw/RTDC4016/ "%USERPROFILE%\AppData\Local\Temp\OnboardLogs"\RTDC4016\2017-06-24 --exclude "*" --recursive --include "*20170624*" &amp; "%USERPROFILE%\Documents\GitHub\mrs-test-scripts\Headless Mode &amp; Sideloading\WalkAndUnGZ.bat" "%USERPROFILE%\AppData\Local\Temp\OnboardLogs"\RTDC4016\2017-06-24 &amp; aws s3 cp s3://rtdc.mdm.uploadarchive.raw/RTDC4016/ "%USERPROFILE%\AppData\Local\Temp\OnboardLogs"\RTDC4016\2017-06-25 --exclude "*" --recursive --include "*20170625*" &amp; "%USERPROFILE%\Documents\GitHub\mrs-test-scripts\Headless Mode &amp; Sideloading\WalkAndUnGZ.bat" "%USERPROFILE%\AppData\Local\Temp\OnboardLogs"\RTDC4016\2017-06-25</v>
      </c>
      <c r="AF30" s="74" t="str">
        <f t="shared" si="12"/>
        <v>"C:\Program Files (x86)\AstroGrep\AstroGrep.exe" /e /r /s /spath="%USERPROFILE%\AppData\Local\Temp\OnboardLogs" /stypes="app*4016*20170624*" /stext=" 12:.+((SYSTEM_STATE.+slice.+state.+changed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117-24 --locoid 4016 --swversion DE.1.0.9.0 --startMP 204:86366 --initTime 2017-06-24T06:04:10 --startdatetime 2017-06-24T06:05:25 --delay 1 --endMP 204:233299 --enddatetime 2017-06-24T06:24:42 --enforcementcount 0 &gt;&gt;C:\Users\stu\Documents\GitHub\eaglep3-reporting\EC\2017-06-24-refined-times.txt</v>
      </c>
      <c r="AI30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{"issue":{"subject":"","project_id":79,"tracker_id":40,"status_id":1,"priority_id":2,"assigned_to_id":23,"start_date":"2017-06-24","description":"","custom_fields":[{"id":1,"name":"Subdivision","value":"EC"},{"id":4,"name":"Milepost","value":"23.3299"},{"id":17,"name":"Train ID","value":"117-24"},{"id":16,"name":"Locomotive ID","value":"4016"},{"id":130,"name":"Impact","value":""},{"id":150,"name":"Time of Event (Mountain Time)","value":"06:24:42"},{"id":151,"name":"Denver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4016 --day 2017-06-24</v>
      </c>
      <c r="AN30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12:24:42"},{"id":29,"name":"Sharepoint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711</v>
      </c>
      <c r="B31" s="7">
        <v>4015</v>
      </c>
      <c r="C31" s="21" t="s">
        <v>202</v>
      </c>
      <c r="D31" s="21" t="s">
        <v>443</v>
      </c>
      <c r="E31" s="13">
        <v>42910.269189814811</v>
      </c>
      <c r="F31" s="13">
        <v>42910.279398148145</v>
      </c>
      <c r="G31" s="7">
        <v>1</v>
      </c>
      <c r="H31" s="21" t="s">
        <v>358</v>
      </c>
      <c r="I31" s="13">
        <v>42910.306226851855</v>
      </c>
      <c r="J31" s="7">
        <v>0</v>
      </c>
      <c r="K31" s="89" t="str">
        <f t="shared" si="0"/>
        <v>4015/4016</v>
      </c>
      <c r="L31" s="21" t="str">
        <f>VLOOKUP(A31,'Trips&amp;Operators'!$C$1:$G$99999,5,FALSE)</f>
        <v>GUZMAN DANNY</v>
      </c>
      <c r="M31" s="6">
        <f t="shared" si="1"/>
        <v>2.6828703710634727E-2</v>
      </c>
      <c r="N31" s="7">
        <f t="shared" ref="N31:N62" si="23">24*60*SUM($M31:$M31)</f>
        <v>38.633333343314007</v>
      </c>
      <c r="O31" s="7"/>
      <c r="P31" s="7"/>
      <c r="Q31" s="22"/>
      <c r="R31" s="170"/>
      <c r="S31" s="213">
        <f t="shared" ref="S31:S62" si="24">SUM(U31:U31)/IF(AG31="EC",12,1)</f>
        <v>1</v>
      </c>
      <c r="T31" s="195" t="str">
        <f t="shared" si="4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-24T05:27:38-0600',mode:absolute,to:'2017-06-24T08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23.299399999999999</v>
      </c>
      <c r="Z31" s="197">
        <f t="shared" si="22"/>
        <v>1.41E-2</v>
      </c>
      <c r="AA31" s="197">
        <f t="shared" si="9"/>
        <v>23.285299999999999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118</v>
      </c>
      <c r="AE31" s="77" t="str">
        <f t="shared" si="11"/>
        <v>aws s3 cp s3://rtdc.mdm.uploadarchive.raw/RTDC4015/ "%USERPROFILE%\AppData\Local\Temp\OnboardLogs"\RTDC4015\2017-06-24 --exclude "*" --recursive --include "*20170624*" &amp; "%USERPROFILE%\Documents\GitHub\mrs-test-scripts\Headless Mode &amp; Sideloading\WalkAndUnGZ.bat" "%USERPROFILE%\AppData\Local\Temp\OnboardLogs"\RTDC4015\2017-06-24 &amp; aws s3 cp s3://rtdc.mdm.uploadarchive.raw/RTDC4015/ "%USERPROFILE%\AppData\Local\Temp\OnboardLogs"\RTDC4015\2017-06-25 --exclude "*" --recursive --include "*20170625*" &amp; "%USERPROFILE%\Documents\GitHub\mrs-test-scripts\Headless Mode &amp; Sideloading\WalkAndUnGZ.bat" "%USERPROFILE%\AppData\Local\Temp\OnboardLogs"\RTDC4015\2017-06-25</v>
      </c>
      <c r="AF31" s="74" t="str">
        <f t="shared" si="12"/>
        <v>"C:\Program Files (x86)\AstroGrep\AstroGrep.exe" /e /r /s /spath="%USERPROFILE%\AppData\Local\Temp\OnboardLogs" /stypes="app*4015*20170624*" /stext=" 13:.+((SYSTEM_STATE.+slice.+state.+changed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118-24 --locoid 4015 --swversion DE.1.0.9.0 --startMP 204:232994 --initTime 2017-06-24T06:27:38 --startdatetime 2017-06-24T06:42:20 --delay 1 --endMP 204:141 --enddatetime 2017-06-24T07:20:58 --enforcementcount 0 &gt;&gt;C:\Users\stu\Documents\GitHub\eaglep3-reporting\EC\2017-06-24-refined-times.txt</v>
      </c>
      <c r="AI31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{"issue":{"subject":"","project_id":79,"tracker_id":40,"status_id":1,"priority_id":2,"assigned_to_id":23,"start_date":"2017-06-24","description":"","custom_fields":[{"id":1,"name":"Subdivision","value":"EC"},{"id":4,"name":"Milepost","value":"0.0141"},{"id":17,"name":"Train ID","value":"118-24"},{"id":16,"name":"Locomotive ID","value":"4015"},{"id":130,"name":"Impact","value":""},{"id":150,"name":"Time of Event (Mountain Time)","value":"07:20:58"},{"id":151,"name":"Denver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4015 --day 2017-06-24</v>
      </c>
      <c r="AN31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13:20:58"},{"id":29,"name":"Sharepoint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697</v>
      </c>
      <c r="B32" s="7">
        <v>4022</v>
      </c>
      <c r="C32" s="21" t="s">
        <v>202</v>
      </c>
      <c r="D32" s="21" t="s">
        <v>435</v>
      </c>
      <c r="E32" s="13">
        <v>42910.248541666668</v>
      </c>
      <c r="F32" s="13">
        <v>42910.250254629631</v>
      </c>
      <c r="G32" s="7">
        <v>1</v>
      </c>
      <c r="H32" s="21" t="s">
        <v>536</v>
      </c>
      <c r="I32" s="13">
        <v>42910.275729166664</v>
      </c>
      <c r="J32" s="7">
        <v>0</v>
      </c>
      <c r="K32" s="89" t="str">
        <f t="shared" si="0"/>
        <v>4021/4022</v>
      </c>
      <c r="L32" s="21" t="str">
        <f>VLOOKUP(A32,'Trips&amp;Operators'!$C$1:$G$99999,5,FALSE)</f>
        <v>DAVIS WENDY</v>
      </c>
      <c r="M32" s="6">
        <f t="shared" si="1"/>
        <v>2.5474537033005618E-2</v>
      </c>
      <c r="N32" s="7">
        <f t="shared" si="23"/>
        <v>36.683333327528089</v>
      </c>
      <c r="O32" s="7"/>
      <c r="P32" s="7"/>
      <c r="Q32" s="22"/>
      <c r="R32" s="170"/>
      <c r="S32" s="213">
        <f t="shared" si="24"/>
        <v>1</v>
      </c>
      <c r="T32" s="195" t="str">
        <f t="shared" si="4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-24T04:57:54-0600',mode:absolute,to:'2017-06-24T07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4.6699999999999998E-2</v>
      </c>
      <c r="Z32" s="197">
        <f t="shared" si="22"/>
        <v>23.33</v>
      </c>
      <c r="AA32" s="197">
        <f t="shared" si="9"/>
        <v>23.283299999999997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119</v>
      </c>
      <c r="AE32" s="77" t="str">
        <f t="shared" si="11"/>
        <v>aws s3 cp s3://rtdc.mdm.uploadarchive.raw/RTDC4022/ "%USERPROFILE%\AppData\Local\Temp\OnboardLogs"\RTDC4022\2017-06-24 --exclude "*" --recursive --include "*20170624*" &amp; "%USERPROFILE%\Documents\GitHub\mrs-test-scripts\Headless Mode &amp; Sideloading\WalkAndUnGZ.bat" "%USERPROFILE%\AppData\Local\Temp\OnboardLogs"\RTDC4022\2017-06-24 &amp; aws s3 cp s3://rtdc.mdm.uploadarchive.raw/RTDC4022/ "%USERPROFILE%\AppData\Local\Temp\OnboardLogs"\RTDC4022\2017-06-25 --exclude "*" --recursive --include "*20170625*" &amp; "%USERPROFILE%\Documents\GitHub\mrs-test-scripts\Headless Mode &amp; Sideloading\WalkAndUnGZ.bat" "%USERPROFILE%\AppData\Local\Temp\OnboardLogs"\RTDC4022\2017-06-25</v>
      </c>
      <c r="AF32" s="74" t="str">
        <f t="shared" si="12"/>
        <v>"C:\Program Files (x86)\AstroGrep\AstroGrep.exe" /e /r /s /spath="%USERPROFILE%\AppData\Local\Temp\OnboardLogs" /stypes="app*4022*20170624*" /stext=" 12:.+((SYSTEM_STATE.+slice.+state.+changed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119-24 --locoid 4022 --swversion DE.1.0.9.0 --startMP 204:467 --initTime 2017-06-24T05:57:54 --startdatetime 2017-06-24T06:00:22 --delay 1 --endMP 204:233300 --enddatetime 2017-06-24T06:37:03 --enforcementcount 0 &gt;&gt;C:\Users\stu\Documents\GitHub\eaglep3-reporting\EC\2017-06-24-refined-times.txt</v>
      </c>
      <c r="AI32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{"issue":{"subject":"","project_id":79,"tracker_id":40,"status_id":1,"priority_id":2,"assigned_to_id":23,"start_date":"2017-06-24","description":"","custom_fields":[{"id":1,"name":"Subdivision","value":"EC"},{"id":4,"name":"Milepost","value":"23.33"},{"id":17,"name":"Train ID","value":"119-24"},{"id":16,"name":"Locomotive ID","value":"4022"},{"id":130,"name":"Impact","value":""},{"id":150,"name":"Time of Event (Mountain Time)","value":"06:37:03"},{"id":151,"name":"Denver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4022 --day 2017-06-24</v>
      </c>
      <c r="AN32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12:37:03"},{"id":29,"name":"Sharepoint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713</v>
      </c>
      <c r="B33" s="7">
        <v>4021</v>
      </c>
      <c r="C33" s="21" t="s">
        <v>202</v>
      </c>
      <c r="D33" s="21" t="s">
        <v>443</v>
      </c>
      <c r="E33" s="13">
        <v>42910.27716435185</v>
      </c>
      <c r="F33" s="13">
        <v>42910.289988425924</v>
      </c>
      <c r="G33" s="7">
        <v>1</v>
      </c>
      <c r="H33" s="21" t="s">
        <v>436</v>
      </c>
      <c r="I33" s="13">
        <v>42910.315821759257</v>
      </c>
      <c r="J33" s="7">
        <v>0</v>
      </c>
      <c r="K33" s="89" t="str">
        <f t="shared" si="0"/>
        <v>4021/4022</v>
      </c>
      <c r="L33" s="21" t="str">
        <f>VLOOKUP(A33,'Trips&amp;Operators'!$C$1:$G$99999,5,FALSE)</f>
        <v>GRASTON MATHEU</v>
      </c>
      <c r="M33" s="6">
        <f t="shared" si="1"/>
        <v>2.5833333333139308E-2</v>
      </c>
      <c r="N33" s="7">
        <f t="shared" si="23"/>
        <v>37.199999999720603</v>
      </c>
      <c r="O33" s="7"/>
      <c r="P33" s="7"/>
      <c r="Q33" s="22"/>
      <c r="R33" s="170"/>
      <c r="S33" s="213">
        <f t="shared" si="24"/>
        <v>1</v>
      </c>
      <c r="T33" s="195" t="str">
        <f t="shared" si="4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-24T05:39:07-0600',mode:absolute,to:'2017-06-24T08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23.299399999999999</v>
      </c>
      <c r="Z33" s="197">
        <f t="shared" si="22"/>
        <v>1.5599999999999999E-2</v>
      </c>
      <c r="AA33" s="197">
        <f t="shared" si="9"/>
        <v>23.283799999999999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120</v>
      </c>
      <c r="AE33" s="77" t="str">
        <f t="shared" si="11"/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AF33" s="74" t="str">
        <f t="shared" si="12"/>
        <v>"C:\Program Files (x86)\AstroGrep\AstroGrep.exe" /e /r /s /spath="%USERPROFILE%\AppData\Local\Temp\OnboardLogs" /stypes="app*4021*20170624*" /stext=" 13:.+((SYSTEM_STATE.+slice.+state.+changed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120-24 --locoid 4021 --swversion DE.1.0.9.0 --startMP 204:232994 --initTime 2017-06-24T06:39:07 --startdatetime 2017-06-24T06:57:35 --delay 1 --endMP 204:156 --enddatetime 2017-06-24T07:34:47 --enforcementcount 0 &gt;&gt;C:\Users\stu\Documents\GitHub\eaglep3-reporting\EC\2017-06-24-refined-times.txt</v>
      </c>
      <c r="AI33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{"issue":{"subject":"","project_id":79,"tracker_id":40,"status_id":1,"priority_id":2,"assigned_to_id":23,"start_date":"2017-06-24","description":"","custom_fields":[{"id":1,"name":"Subdivision","value":"EC"},{"id":4,"name":"Milepost","value":"0.0156"},{"id":17,"name":"Train ID","value":"120-24"},{"id":16,"name":"Locomotive ID","value":"4021"},{"id":130,"name":"Impact","value":""},{"id":150,"name":"Time of Event (Mountain Time)","value":"07:34:47"},{"id":151,"name":"Denver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4021 --day 2017-06-24</v>
      </c>
      <c r="AN33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13:34:47"},{"id":29,"name":"Sharepoint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632</v>
      </c>
      <c r="B34" s="7">
        <v>4044</v>
      </c>
      <c r="C34" s="21" t="s">
        <v>202</v>
      </c>
      <c r="D34" s="21" t="s">
        <v>351</v>
      </c>
      <c r="E34" s="13">
        <v>42910.252268518518</v>
      </c>
      <c r="F34" s="13">
        <v>42910.260625000003</v>
      </c>
      <c r="G34" s="7">
        <v>1</v>
      </c>
      <c r="H34" s="21" t="s">
        <v>875</v>
      </c>
      <c r="I34" s="13">
        <v>42910.286874999998</v>
      </c>
      <c r="J34" s="7">
        <v>0</v>
      </c>
      <c r="K34" s="89" t="str">
        <f t="shared" si="0"/>
        <v>4043/4044</v>
      </c>
      <c r="L34" s="21" t="str">
        <f>VLOOKUP(A34,'Trips&amp;Operators'!$C$1:$G$99999,5,FALSE)</f>
        <v>GEBRETEKLE DAGNEW</v>
      </c>
      <c r="M34" s="6">
        <f t="shared" si="1"/>
        <v>2.6249999995343387E-2</v>
      </c>
      <c r="N34" s="7">
        <f t="shared" si="23"/>
        <v>37.799999993294477</v>
      </c>
      <c r="O34" s="7"/>
      <c r="P34" s="7"/>
      <c r="Q34" s="22"/>
      <c r="R34" s="170"/>
      <c r="S34" s="213">
        <f t="shared" si="24"/>
        <v>1</v>
      </c>
      <c r="T34" s="195" t="str">
        <f t="shared" si="4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-24T05:03:16-0600',mode:absolute,to:'2017-06-24T07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4.6600000000000003E-2</v>
      </c>
      <c r="Z34" s="197">
        <f t="shared" si="22"/>
        <v>23.3263</v>
      </c>
      <c r="AA34" s="197">
        <f t="shared" si="9"/>
        <v>23.279699999999998</v>
      </c>
      <c r="AB34" s="54" t="str">
        <f>VLOOKUP(A34,Enforcements!$C$7:$K$13,8,0)</f>
        <v>Bulletin (2)</v>
      </c>
      <c r="AC34" s="51" t="str">
        <f>VLOOKUP(A34,Enforcements!$C$7:$E$13,3,0)</f>
        <v>GRADE CROSSING</v>
      </c>
      <c r="AD34" s="206">
        <f t="shared" si="10"/>
        <v>121</v>
      </c>
      <c r="AE34" s="77" t="str">
        <f t="shared" si="11"/>
        <v>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 &amp; 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</v>
      </c>
      <c r="AF34" s="74" t="str">
        <f t="shared" si="12"/>
        <v>"C:\Program Files (x86)\AstroGrep\AstroGrep.exe" /e /r /s /spath="%USERPROFILE%\AppData\Local\Temp\OnboardLogs" /stypes="app*4044*20170624*" /stext=" 12:.+((SYSTEM_STATE.+slice.+state.+changed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121-24 --locoid 4044 --swversion DE.1.0.9.0 --startMP 204:466 --initTime 2017-06-24T06:03:16 --startdatetime 2017-06-24T06:15:18 --delay 1 --endMP 204:233263 --enddatetime 2017-06-24T06:53:06 --enforcementcount 0 &gt;&gt;C:\Users\stu\Documents\GitHub\eaglep3-reporting\EC\2017-06-24-refined-times.txt</v>
      </c>
      <c r="AI34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{"issue":{"subject":"","project_id":79,"tracker_id":40,"status_id":1,"priority_id":2,"assigned_to_id":23,"start_date":"2017-06-24","description":"","custom_fields":[{"id":1,"name":"Subdivision","value":"EC"},{"id":4,"name":"Milepost","value":"23.3263"},{"id":17,"name":"Train ID","value":"121-24"},{"id":16,"name":"Locomotive ID","value":"4044"},{"id":130,"name":"Impact","value":""},{"id":150,"name":"Time of Event (Mountain Time)","value":"06:53:06"},{"id":151,"name":"Denver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4044 --day 2017-06-24</v>
      </c>
      <c r="AN34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12:53:06"},{"id":29,"name":"Sharepoint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716</v>
      </c>
      <c r="B35" s="7">
        <v>4043</v>
      </c>
      <c r="C35" s="21" t="s">
        <v>202</v>
      </c>
      <c r="D35" s="21" t="s">
        <v>503</v>
      </c>
      <c r="E35" s="13">
        <v>42910.288912037038</v>
      </c>
      <c r="F35" s="13">
        <v>42910.300185185188</v>
      </c>
      <c r="G35" s="7">
        <v>1</v>
      </c>
      <c r="H35" s="21" t="s">
        <v>416</v>
      </c>
      <c r="I35" s="13">
        <v>42910.32644675926</v>
      </c>
      <c r="J35" s="7">
        <v>0</v>
      </c>
      <c r="K35" s="89" t="str">
        <f t="shared" si="0"/>
        <v>4043/4044</v>
      </c>
      <c r="L35" s="21" t="str">
        <f>VLOOKUP(A35,'Trips&amp;Operators'!$C$1:$G$99999,5,FALSE)</f>
        <v>GEBRETEKLE DAGNEW</v>
      </c>
      <c r="M35" s="6">
        <f t="shared" si="1"/>
        <v>2.626157407212304E-2</v>
      </c>
      <c r="N35" s="7">
        <f t="shared" si="23"/>
        <v>37.816666663857177</v>
      </c>
      <c r="O35" s="7"/>
      <c r="P35" s="7"/>
      <c r="Q35" s="22"/>
      <c r="R35" s="170"/>
      <c r="S35" s="213">
        <f t="shared" si="24"/>
        <v>1</v>
      </c>
      <c r="T35" s="195" t="str">
        <f t="shared" si="4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-24T05:56:02-0600',mode:absolute,to:'2017-06-24T08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23.296900000000001</v>
      </c>
      <c r="Z35" s="197">
        <f t="shared" si="22"/>
        <v>1.4500000000000001E-2</v>
      </c>
      <c r="AA35" s="197">
        <f t="shared" si="9"/>
        <v>23.282399999999999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122</v>
      </c>
      <c r="AE35" s="77" t="str">
        <f t="shared" si="11"/>
        <v>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 &amp; 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</v>
      </c>
      <c r="AF35" s="74" t="str">
        <f t="shared" si="12"/>
        <v>"C:\Program Files (x86)\AstroGrep\AstroGrep.exe" /e /r /s /spath="%USERPROFILE%\AppData\Local\Temp\OnboardLogs" /stypes="app*4043*20170624*"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122-24 --locoid 4043 --swversion DE.1.0.9.0 --startMP 204:232969 --initTime 2017-06-24T06:56:02 --startdatetime 2017-06-24T07:12:16 --delay 1 --endMP 204:145 --enddatetime 2017-06-24T07:50:05 --enforcementcount 0 &gt;&gt;C:\Users\stu\Documents\GitHub\eaglep3-reporting\EC\2017-06-24-refined-times.txt</v>
      </c>
      <c r="AI35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{"issue":{"subject":"","project_id":79,"tracker_id":40,"status_id":1,"priority_id":2,"assigned_to_id":23,"start_date":"2017-06-24","description":"","custom_fields":[{"id":1,"name":"Subdivision","value":"EC"},{"id":4,"name":"Milepost","value":"0.0145"},{"id":17,"name":"Train ID","value":"122-24"},{"id":16,"name":"Locomotive ID","value":"4043"},{"id":130,"name":"Impact","value":""},{"id":150,"name":"Time of Event (Mountain Time)","value":"07:50:05"},{"id":151,"name":"Denver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4043 --day 2017-06-24</v>
      </c>
      <c r="AN35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13:50:05"},{"id":29,"name":"Sharepoint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709</v>
      </c>
      <c r="B36" s="7">
        <v>4020</v>
      </c>
      <c r="C36" s="21" t="s">
        <v>202</v>
      </c>
      <c r="D36" s="21" t="s">
        <v>876</v>
      </c>
      <c r="E36" s="13">
        <v>42910.265694444446</v>
      </c>
      <c r="F36" s="13">
        <v>42910.27107638889</v>
      </c>
      <c r="G36" s="7">
        <v>1</v>
      </c>
      <c r="H36" s="21" t="s">
        <v>518</v>
      </c>
      <c r="I36" s="13">
        <v>42910.295590277776</v>
      </c>
      <c r="J36" s="7">
        <v>0</v>
      </c>
      <c r="K36" s="89" t="str">
        <f t="shared" si="0"/>
        <v>4019/4020</v>
      </c>
      <c r="L36" s="21" t="str">
        <f>VLOOKUP(A36,'Trips&amp;Operators'!$C$1:$G$99999,5,FALSE)</f>
        <v>LALONDE GREGORY</v>
      </c>
      <c r="M36" s="6">
        <f t="shared" si="1"/>
        <v>2.4513888885849155E-2</v>
      </c>
      <c r="N36" s="7">
        <f t="shared" si="23"/>
        <v>35.299999995622784</v>
      </c>
      <c r="O36" s="7"/>
      <c r="P36" s="7"/>
      <c r="Q36" s="22"/>
      <c r="R36" s="170"/>
      <c r="S36" s="213">
        <f t="shared" si="24"/>
        <v>1</v>
      </c>
      <c r="T36" s="195" t="str">
        <f t="shared" si="4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-24T05:22:36-0600',mode:absolute,to:'2017-06-24T08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4.7800000000000002E-2</v>
      </c>
      <c r="Z36" s="197">
        <f t="shared" si="22"/>
        <v>23.336400000000001</v>
      </c>
      <c r="AA36" s="197">
        <f t="shared" si="9"/>
        <v>23.288600000000002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123</v>
      </c>
      <c r="AE36" s="77" t="str">
        <f t="shared" si="11"/>
        <v>aws s3 cp s3://rtdc.mdm.uploadarchive.raw/RTDC4020/ "%USERPROFILE%\AppData\Local\Temp\OnboardLogs"\RTDC4020\2017-06-24 --exclude "*" --recursive --include "*20170624*" &amp; "%USERPROFILE%\Documents\GitHub\mrs-test-scripts\Headless Mode &amp; Sideloading\WalkAndUnGZ.bat" "%USERPROFILE%\AppData\Local\Temp\OnboardLogs"\RTDC4020\2017-06-24 &amp; aws s3 cp s3://rtdc.mdm.uploadarchive.raw/RTDC4020/ "%USERPROFILE%\AppData\Local\Temp\OnboardLogs"\RTDC4020\2017-06-25 --exclude "*" --recursive --include "*20170625*" &amp; "%USERPROFILE%\Documents\GitHub\mrs-test-scripts\Headless Mode &amp; Sideloading\WalkAndUnGZ.bat" "%USERPROFILE%\AppData\Local\Temp\OnboardLogs"\RTDC4020\2017-06-25</v>
      </c>
      <c r="AF36" s="74" t="str">
        <f t="shared" si="12"/>
        <v>"C:\Program Files (x86)\AstroGrep\AstroGrep.exe" /e /r /s /spath="%USERPROFILE%\AppData\Local\Temp\OnboardLogs" /stypes="app*4020*20170624*" /stext=" 13:.+((SYSTEM_STATE.+slice.+state.+changed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123-24 --locoid 4020 --swversion DE.1.0.9.0 --startMP 204:478 --initTime 2017-06-24T06:22:36 --startdatetime 2017-06-24T06:30:21 --delay 1 --endMP 204:233364 --enddatetime 2017-06-24T07:05:39 --enforcementcount 0 &gt;&gt;C:\Users\stu\Documents\GitHub\eaglep3-reporting\EC\2017-06-24-refined-times.txt</v>
      </c>
      <c r="AI36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{"issue":{"subject":"","project_id":79,"tracker_id":40,"status_id":1,"priority_id":2,"assigned_to_id":23,"start_date":"2017-06-24","description":"","custom_fields":[{"id":1,"name":"Subdivision","value":"EC"},{"id":4,"name":"Milepost","value":"23.3364"},{"id":17,"name":"Train ID","value":"123-24"},{"id":16,"name":"Locomotive ID","value":"4020"},{"id":130,"name":"Impact","value":""},{"id":150,"name":"Time of Event (Mountain Time)","value":"07:05:39"},{"id":151,"name":"Denver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4020 --day 2017-06-24</v>
      </c>
      <c r="AN36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13:05:39"},{"id":29,"name":"Sharepoint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719</v>
      </c>
      <c r="B37" s="7">
        <v>4019</v>
      </c>
      <c r="C37" s="21" t="s">
        <v>202</v>
      </c>
      <c r="D37" s="21" t="s">
        <v>877</v>
      </c>
      <c r="E37" s="13">
        <v>42910.299351851849</v>
      </c>
      <c r="F37" s="13">
        <v>42910.310601851852</v>
      </c>
      <c r="G37" s="7">
        <v>1</v>
      </c>
      <c r="H37" s="21" t="s">
        <v>436</v>
      </c>
      <c r="I37" s="13">
        <v>42910.336041666669</v>
      </c>
      <c r="J37" s="7">
        <v>0</v>
      </c>
      <c r="K37" s="89" t="str">
        <f t="shared" si="0"/>
        <v>4019/4020</v>
      </c>
      <c r="L37" s="21" t="str">
        <f>VLOOKUP(A37,'Trips&amp;Operators'!$C$1:$G$99999,5,FALSE)</f>
        <v>LALONDE GREGORY</v>
      </c>
      <c r="M37" s="6">
        <f t="shared" si="1"/>
        <v>2.5439814817218576E-2</v>
      </c>
      <c r="N37" s="7">
        <f t="shared" si="23"/>
        <v>36.633333336794749</v>
      </c>
      <c r="O37" s="7"/>
      <c r="P37" s="7"/>
      <c r="Q37" s="22"/>
      <c r="R37" s="170"/>
      <c r="S37" s="213">
        <f t="shared" si="24"/>
        <v>1</v>
      </c>
      <c r="T37" s="195" t="str">
        <f t="shared" si="4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-24T06:11:04-0600',mode:absolute,to:'2017-06-24T09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23.303000000000001</v>
      </c>
      <c r="Z37" s="197">
        <f t="shared" si="22"/>
        <v>1.5599999999999999E-2</v>
      </c>
      <c r="AA37" s="197">
        <f t="shared" si="9"/>
        <v>23.287400000000002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124</v>
      </c>
      <c r="AE37" s="77" t="str">
        <f t="shared" si="11"/>
        <v>aws s3 cp s3://rtdc.mdm.uploadarchive.raw/RTDC4019/ "%USERPROFILE%\AppData\Local\Temp\OnboardLogs"\RTDC4019\2017-06-24 --exclude "*" --recursive --include "*20170624*" &amp; "%USERPROFILE%\Documents\GitHub\mrs-test-scripts\Headless Mode &amp; Sideloading\WalkAndUnGZ.bat" "%USERPROFILE%\AppData\Local\Temp\OnboardLogs"\RTDC4019\2017-06-24 &amp; aws s3 cp s3://rtdc.mdm.uploadarchive.raw/RTDC4019/ "%USERPROFILE%\AppData\Local\Temp\OnboardLogs"\RTDC4019\2017-06-25 --exclude "*" --recursive --include "*20170625*" &amp; "%USERPROFILE%\Documents\GitHub\mrs-test-scripts\Headless Mode &amp; Sideloading\WalkAndUnGZ.bat" "%USERPROFILE%\AppData\Local\Temp\OnboardLogs"\RTDC4019\2017-06-25</v>
      </c>
      <c r="AF37" s="74" t="str">
        <f t="shared" si="12"/>
        <v>"C:\Program Files (x86)\AstroGrep\AstroGrep.exe" /e /r /s /spath="%USERPROFILE%\AppData\Local\Temp\OnboardLogs" /stypes="app*4019*20170624*" /stext=" 14:.+((SYSTEM_STATE.+slice.+state.+changed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124-24 --locoid 4019 --swversion DE.1.0.9.0 --startMP 204:233030 --initTime 2017-06-24T07:11:04 --startdatetime 2017-06-24T07:27:16 --delay 1 --endMP 204:156 --enddatetime 2017-06-24T08:03:54 --enforcementcount 0 &gt;&gt;C:\Users\stu\Documents\GitHub\eaglep3-reporting\EC\2017-06-24-refined-times.txt</v>
      </c>
      <c r="AI37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{"issue":{"subject":"","project_id":79,"tracker_id":40,"status_id":1,"priority_id":2,"assigned_to_id":23,"start_date":"2017-06-24","description":"","custom_fields":[{"id":1,"name":"Subdivision","value":"EC"},{"id":4,"name":"Milepost","value":"0.0156"},{"id":17,"name":"Train ID","value":"124-24"},{"id":16,"name":"Locomotive ID","value":"4019"},{"id":130,"name":"Impact","value":""},{"id":150,"name":"Time of Event (Mountain Time)","value":"08:03:54"},{"id":151,"name":"Denver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4019 --day 2017-06-24</v>
      </c>
      <c r="AN37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14:03:54"},{"id":29,"name":"Sharepoint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714</v>
      </c>
      <c r="B38" s="7">
        <v>4004</v>
      </c>
      <c r="C38" s="21" t="s">
        <v>202</v>
      </c>
      <c r="D38" s="21" t="s">
        <v>610</v>
      </c>
      <c r="E38" s="13">
        <v>42910.278356481482</v>
      </c>
      <c r="F38" s="13">
        <v>42910.281446759262</v>
      </c>
      <c r="G38" s="7">
        <v>1</v>
      </c>
      <c r="H38" s="21" t="s">
        <v>878</v>
      </c>
      <c r="I38" s="13">
        <v>42910.306307870371</v>
      </c>
      <c r="J38" s="7">
        <v>0</v>
      </c>
      <c r="K38" s="89" t="str">
        <f t="shared" si="0"/>
        <v>4003/4004</v>
      </c>
      <c r="L38" s="21" t="str">
        <f>VLOOKUP(A38,'Trips&amp;Operators'!$C$1:$G$99999,5,FALSE)</f>
        <v>MAELZER KURT</v>
      </c>
      <c r="M38" s="6">
        <f t="shared" si="1"/>
        <v>2.4861111109203193E-2</v>
      </c>
      <c r="N38" s="7">
        <f t="shared" si="23"/>
        <v>35.799999997252598</v>
      </c>
      <c r="O38" s="7"/>
      <c r="P38" s="7"/>
      <c r="Q38" s="22"/>
      <c r="R38" s="170"/>
      <c r="S38" s="213">
        <f t="shared" si="24"/>
        <v>1</v>
      </c>
      <c r="T38" s="195" t="str">
        <f t="shared" si="4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-24T05:40:50-0600',mode:absolute,to:'2017-06-24T08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4.7500000000000001E-2</v>
      </c>
      <c r="Z38" s="197">
        <f t="shared" si="22"/>
        <v>23.3322</v>
      </c>
      <c r="AA38" s="197">
        <f t="shared" si="9"/>
        <v>23.284700000000001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125</v>
      </c>
      <c r="AE38" s="77" t="str">
        <f t="shared" si="11"/>
        <v>aws s3 cp s3://rtdc.mdm.uploadarchive.raw/RTDC4004/ "%USERPROFILE%\AppData\Local\Temp\OnboardLogs"\RTDC4004\2017-06-24 --exclude "*" --recursive --include "*20170624*" &amp; "%USERPROFILE%\Documents\GitHub\mrs-test-scripts\Headless Mode &amp; Sideloading\WalkAndUnGZ.bat" "%USERPROFILE%\AppData\Local\Temp\OnboardLogs"\RTDC4004\2017-06-24 &amp; aws s3 cp s3://rtdc.mdm.uploadarchive.raw/RTDC4004/ "%USERPROFILE%\AppData\Local\Temp\OnboardLogs"\RTDC4004\2017-06-25 --exclude "*" --recursive --include "*20170625*" &amp; "%USERPROFILE%\Documents\GitHub\mrs-test-scripts\Headless Mode &amp; Sideloading\WalkAndUnGZ.bat" "%USERPROFILE%\AppData\Local\Temp\OnboardLogs"\RTDC4004\2017-06-25</v>
      </c>
      <c r="AF38" s="74" t="str">
        <f t="shared" si="12"/>
        <v>"C:\Program Files (x86)\AstroGrep\AstroGrep.exe" /e /r /s /spath="%USERPROFILE%\AppData\Local\Temp\OnboardLogs" /stypes="app*4004*20170624*" /stext=" 13:.+((SYSTEM_STATE.+slice.+state.+changed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125-24 --locoid 4004 --swversion DE.1.0.9.0 --startMP 204:475 --initTime 2017-06-24T06:40:50 --startdatetime 2017-06-24T06:45:17 --delay 1 --endMP 204:233322 --enddatetime 2017-06-24T07:21:05 --enforcementcount 0 &gt;&gt;C:\Users\stu\Documents\GitHub\eaglep3-reporting\EC\2017-06-24-refined-times.txt</v>
      </c>
      <c r="AI38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{"issue":{"subject":"","project_id":79,"tracker_id":40,"status_id":1,"priority_id":2,"assigned_to_id":23,"start_date":"2017-06-24","description":"","custom_fields":[{"id":1,"name":"Subdivision","value":"EC"},{"id":4,"name":"Milepost","value":"23.3322"},{"id":17,"name":"Train ID","value":"125-24"},{"id":16,"name":"Locomotive ID","value":"4004"},{"id":130,"name":"Impact","value":""},{"id":150,"name":"Time of Event (Mountain Time)","value":"07:21:05"},{"id":151,"name":"Denver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4004 --day 2017-06-24</v>
      </c>
      <c r="AN38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13:21:05"},{"id":29,"name":"Sharepoint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721</v>
      </c>
      <c r="B39" s="7">
        <v>4003</v>
      </c>
      <c r="C39" s="21" t="s">
        <v>202</v>
      </c>
      <c r="D39" s="21" t="s">
        <v>489</v>
      </c>
      <c r="E39" s="13">
        <v>42910.313414351855</v>
      </c>
      <c r="F39" s="13">
        <v>42910.321053240739</v>
      </c>
      <c r="G39" s="7">
        <v>0</v>
      </c>
      <c r="H39" s="21" t="s">
        <v>359</v>
      </c>
      <c r="I39" s="13">
        <v>42910.347974537035</v>
      </c>
      <c r="J39" s="7">
        <v>0</v>
      </c>
      <c r="K39" s="89" t="str">
        <f t="shared" si="0"/>
        <v>4003/4004</v>
      </c>
      <c r="L39" s="21" t="str">
        <f>VLOOKUP(A39,'Trips&amp;Operators'!$C$1:$G$99999,5,FALSE)</f>
        <v>MAELZER KURT</v>
      </c>
      <c r="M39" s="6">
        <f t="shared" si="1"/>
        <v>2.6921296295768116E-2</v>
      </c>
      <c r="N39" s="7">
        <f t="shared" si="23"/>
        <v>38.766666665906087</v>
      </c>
      <c r="O39" s="7"/>
      <c r="P39" s="7"/>
      <c r="Q39" s="22"/>
      <c r="R39" s="170"/>
      <c r="S39" s="213">
        <f t="shared" si="24"/>
        <v>1</v>
      </c>
      <c r="T39" s="195" t="str">
        <f t="shared" si="4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-24T06:31:19-0600',mode:absolute,to:'2017-06-24T09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23.2986</v>
      </c>
      <c r="Z39" s="197">
        <f t="shared" si="22"/>
        <v>1.47E-2</v>
      </c>
      <c r="AA39" s="197">
        <f t="shared" si="9"/>
        <v>23.283899999999999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126</v>
      </c>
      <c r="AE39" s="77" t="str">
        <f t="shared" si="11"/>
        <v>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 &amp; aws s3 cp s3://rtdc.mdm.uploadarchive.raw/RTDC4003/ "%USERPROFILE%\AppData\Local\Temp\OnboardLogs"\RTDC4003\2017-06-25 --exclude "*" --recursive --include "*20170625*" &amp; "%USERPROFILE%\Documents\GitHub\mrs-test-scripts\Headless Mode &amp; Sideloading\WalkAndUnGZ.bat" "%USERPROFILE%\AppData\Local\Temp\OnboardLogs"\RTDC4003\2017-06-25</v>
      </c>
      <c r="AF39" s="74" t="str">
        <f t="shared" si="12"/>
        <v>"C:\Program Files (x86)\AstroGrep\AstroGrep.exe" /e /r /s /spath="%USERPROFILE%\AppData\Local\Temp\OnboardLogs" /stypes="app*4003*20170624*" /stext=" 14:.+((SYSTEM_STATE.+slice.+state.+changed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126-24 --locoid 4003 --swversion DE.1.0.9.0 --startMP 204:232986 --initTime 2017-06-24T07:31:19 --startdatetime 2017-06-24T07:42:19 --delay 0 --endMP 204:147 --enddatetime 2017-06-24T08:21:05 --enforcementcount 0 &gt;&gt;C:\Users\stu\Documents\GitHub\eaglep3-reporting\EC\2017-06-24-refined-times.txt</v>
      </c>
      <c r="AI39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{"issue":{"subject":"","project_id":79,"tracker_id":40,"status_id":1,"priority_id":2,"assigned_to_id":23,"start_date":"2017-06-24","description":"","custom_fields":[{"id":1,"name":"Subdivision","value":"EC"},{"id":4,"name":"Milepost","value":"0.0147"},{"id":17,"name":"Train ID","value":"126-24"},{"id":16,"name":"Locomotive ID","value":"4003"},{"id":130,"name":"Impact","value":""},{"id":150,"name":"Time of Event (Mountain Time)","value":"08:21:05"},{"id":151,"name":"Denver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4003 --day 2017-06-24</v>
      </c>
      <c r="AN39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14:21:05"},{"id":29,"name":"Sharepoint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715</v>
      </c>
      <c r="B40" s="7">
        <v>4014</v>
      </c>
      <c r="C40" s="21" t="s">
        <v>202</v>
      </c>
      <c r="D40" s="21" t="s">
        <v>508</v>
      </c>
      <c r="E40" s="13">
        <v>42910.288101851853</v>
      </c>
      <c r="F40" s="13">
        <v>42910.291909722226</v>
      </c>
      <c r="G40" s="7">
        <v>1</v>
      </c>
      <c r="H40" s="21" t="s">
        <v>879</v>
      </c>
      <c r="I40" s="13">
        <v>42910.317696759259</v>
      </c>
      <c r="J40" s="7">
        <v>0</v>
      </c>
      <c r="K40" s="89" t="str">
        <f t="shared" si="0"/>
        <v>4013/4014</v>
      </c>
      <c r="L40" s="21" t="str">
        <f>VLOOKUP(A40,'Trips&amp;Operators'!$C$1:$G$99999,5,FALSE)</f>
        <v>DAVIDSON DAVID</v>
      </c>
      <c r="M40" s="6">
        <f t="shared" si="1"/>
        <v>2.5787037033296656E-2</v>
      </c>
      <c r="N40" s="7">
        <f t="shared" si="23"/>
        <v>37.133333327947184</v>
      </c>
      <c r="O40" s="7"/>
      <c r="P40" s="7"/>
      <c r="Q40" s="22"/>
      <c r="R40" s="170"/>
      <c r="S40" s="213">
        <f t="shared" si="24"/>
        <v>1</v>
      </c>
      <c r="T40" s="195" t="str">
        <f t="shared" si="4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-24T05:54:52-0600',mode:absolute,to:'2017-06-24T08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4.7300000000000002E-2</v>
      </c>
      <c r="Z40" s="197">
        <f t="shared" si="22"/>
        <v>23.328299999999999</v>
      </c>
      <c r="AA40" s="197">
        <f t="shared" si="9"/>
        <v>23.280999999999999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127</v>
      </c>
      <c r="AE40" s="77" t="str">
        <f t="shared" si="11"/>
        <v>aws s3 cp s3://rtdc.mdm.uploadarchive.raw/RTDC4014/ "%USERPROFILE%\AppData\Local\Temp\OnboardLogs"\RTDC4014\2017-06-24 --exclude "*" --recursive --include "*20170624*" &amp; "%USERPROFILE%\Documents\GitHub\mrs-test-scripts\Headless Mode &amp; Sideloading\WalkAndUnGZ.bat" "%USERPROFILE%\AppData\Local\Temp\OnboardLogs"\RTDC4014\2017-06-24 &amp; aws s3 cp s3://rtdc.mdm.uploadarchive.raw/RTDC4014/ "%USERPROFILE%\AppData\Local\Temp\OnboardLogs"\RTDC4014\2017-06-25 --exclude "*" --recursive --include "*20170625*" &amp; "%USERPROFILE%\Documents\GitHub\mrs-test-scripts\Headless Mode &amp; Sideloading\WalkAndUnGZ.bat" "%USERPROFILE%\AppData\Local\Temp\OnboardLogs"\RTDC4014\2017-06-25</v>
      </c>
      <c r="AF40" s="74" t="str">
        <f t="shared" si="12"/>
        <v>"C:\Program Files (x86)\AstroGrep\AstroGrep.exe" /e /r /s /spath="%USERPROFILE%\AppData\Local\Temp\OnboardLogs" /stypes="app*4014*20170624*" /stext=" 13:.+((SYSTEM_STATE.+slice.+state.+changed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127-24 --locoid 4014 --swversion DE.1.0.9.0 --startMP 204:473 --initTime 2017-06-24T06:54:52 --startdatetime 2017-06-24T07:00:21 --delay 1 --endMP 204:233283 --enddatetime 2017-06-24T07:37:29 --enforcementcount 0 &gt;&gt;C:\Users\stu\Documents\GitHub\eaglep3-reporting\EC\2017-06-24-refined-times.txt</v>
      </c>
      <c r="AI40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{"issue":{"subject":"","project_id":79,"tracker_id":40,"status_id":1,"priority_id":2,"assigned_to_id":23,"start_date":"2017-06-24","description":"","custom_fields":[{"id":1,"name":"Subdivision","value":"EC"},{"id":4,"name":"Milepost","value":"23.3283"},{"id":17,"name":"Train ID","value":"127-24"},{"id":16,"name":"Locomotive ID","value":"4014"},{"id":130,"name":"Impact","value":""},{"id":150,"name":"Time of Event (Mountain Time)","value":"07:37:29"},{"id":151,"name":"Denver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4014 --day 2017-06-24</v>
      </c>
      <c r="AN40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13:37:29"},{"id":29,"name":"Sharepoint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635</v>
      </c>
      <c r="B41" s="7">
        <v>4013</v>
      </c>
      <c r="C41" s="21" t="s">
        <v>202</v>
      </c>
      <c r="D41" s="21" t="s">
        <v>504</v>
      </c>
      <c r="E41" s="13">
        <v>42910.319467592592</v>
      </c>
      <c r="F41" s="13">
        <v>42910.33148148148</v>
      </c>
      <c r="G41" s="7">
        <v>1</v>
      </c>
      <c r="H41" s="21" t="s">
        <v>458</v>
      </c>
      <c r="I41" s="13">
        <v>42910.358564814815</v>
      </c>
      <c r="J41" s="7">
        <v>0</v>
      </c>
      <c r="K41" s="89" t="str">
        <f t="shared" si="0"/>
        <v>4013/4014</v>
      </c>
      <c r="L41" s="21" t="str">
        <f>VLOOKUP(A41,'Trips&amp;Operators'!$C$1:$G$99999,5,FALSE)</f>
        <v>DAVIDSON DAVID</v>
      </c>
      <c r="M41" s="6">
        <f t="shared" si="1"/>
        <v>2.7083333334303461E-2</v>
      </c>
      <c r="N41" s="7">
        <f t="shared" si="23"/>
        <v>39.000000001396984</v>
      </c>
      <c r="O41" s="7"/>
      <c r="P41" s="7"/>
      <c r="Q41" s="22"/>
      <c r="R41" s="170"/>
      <c r="S41" s="213">
        <f t="shared" si="24"/>
        <v>1</v>
      </c>
      <c r="T41" s="195" t="str">
        <f t="shared" si="4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-24T06:40:02-0600',mode:absolute,to:'2017-06-24T09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23.299099999999999</v>
      </c>
      <c r="Z41" s="197">
        <f t="shared" si="22"/>
        <v>1.38E-2</v>
      </c>
      <c r="AA41" s="197">
        <f t="shared" si="9"/>
        <v>23.285299999999999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128</v>
      </c>
      <c r="AE41" s="77" t="str">
        <f t="shared" si="11"/>
        <v>aws s3 cp s3://rtdc.mdm.uploadarchive.raw/RTDC4013/ "%USERPROFILE%\AppData\Local\Temp\OnboardLogs"\RTDC4013\2017-06-24 --exclude "*" --recursive --include "*20170624*" &amp; "%USERPROFILE%\Documents\GitHub\mrs-test-scripts\Headless Mode &amp; Sideloading\WalkAndUnGZ.bat" "%USERPROFILE%\AppData\Local\Temp\OnboardLogs"\RTDC4013\2017-06-24 &amp; aws s3 cp s3://rtdc.mdm.uploadarchive.raw/RTDC4013/ "%USERPROFILE%\AppData\Local\Temp\OnboardLogs"\RTDC4013\2017-06-25 --exclude "*" --recursive --include "*20170625*" &amp; "%USERPROFILE%\Documents\GitHub\mrs-test-scripts\Headless Mode &amp; Sideloading\WalkAndUnGZ.bat" "%USERPROFILE%\AppData\Local\Temp\OnboardLogs"\RTDC4013\2017-06-25</v>
      </c>
      <c r="AF41" s="74" t="str">
        <f t="shared" si="12"/>
        <v>"C:\Program Files (x86)\AstroGrep\AstroGrep.exe" /e /r /s /spath="%USERPROFILE%\AppData\Local\Temp\OnboardLogs" /stypes="app*4013*20170624*" /stext=" 14:.+((SYSTEM_STATE.+slice.+state.+changed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128-24 --locoid 4013 --swversion DE.1.0.9.0 --startMP 204:232991 --initTime 2017-06-24T07:40:02 --startdatetime 2017-06-24T07:57:20 --delay 1 --endMP 204:138 --enddatetime 2017-06-24T08:36:20 --enforcementcount 0 &gt;&gt;C:\Users\stu\Documents\GitHub\eaglep3-reporting\EC\2017-06-24-refined-times.txt</v>
      </c>
      <c r="AI41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{"issue":{"subject":"","project_id":79,"tracker_id":40,"status_id":1,"priority_id":2,"assigned_to_id":23,"start_date":"2017-06-24","description":"","custom_fields":[{"id":1,"name":"Subdivision","value":"EC"},{"id":4,"name":"Milepost","value":"0.0138"},{"id":17,"name":"Train ID","value":"128-24"},{"id":16,"name":"Locomotive ID","value":"4013"},{"id":130,"name":"Impact","value":""},{"id":150,"name":"Time of Event (Mountain Time)","value":"08:36:20"},{"id":151,"name":"Denver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4013 --day 2017-06-24</v>
      </c>
      <c r="AN41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14:36:20"},{"id":29,"name":"Sharepoint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718</v>
      </c>
      <c r="B42" s="7">
        <v>4042</v>
      </c>
      <c r="C42" s="21" t="s">
        <v>202</v>
      </c>
      <c r="D42" s="21" t="s">
        <v>507</v>
      </c>
      <c r="E42" s="13">
        <v>42910.29792824074</v>
      </c>
      <c r="F42" s="13">
        <v>42910.30228009259</v>
      </c>
      <c r="G42" s="7">
        <v>1</v>
      </c>
      <c r="H42" s="21" t="s">
        <v>444</v>
      </c>
      <c r="I42" s="13">
        <v>42910.3283912037</v>
      </c>
      <c r="J42" s="7">
        <v>0</v>
      </c>
      <c r="K42" s="89" t="str">
        <f t="shared" si="0"/>
        <v>4041/4042</v>
      </c>
      <c r="L42" s="21" t="str">
        <f>VLOOKUP(A42,'Trips&amp;Operators'!$C$1:$G$99999,5,FALSE)</f>
        <v>WILLIAMS DONTE</v>
      </c>
      <c r="M42" s="6">
        <f t="shared" si="1"/>
        <v>2.6111111110367347E-2</v>
      </c>
      <c r="N42" s="7">
        <f t="shared" si="23"/>
        <v>37.599999998928979</v>
      </c>
      <c r="O42" s="7"/>
      <c r="P42" s="7"/>
      <c r="Q42" s="22"/>
      <c r="R42" s="170"/>
      <c r="S42" s="213">
        <f t="shared" si="24"/>
        <v>1</v>
      </c>
      <c r="T42" s="195" t="str">
        <f t="shared" si="4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-24T06:09:01-0600',mode:absolute,to:'2017-06-24T08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4.58E-2</v>
      </c>
      <c r="Z42" s="197">
        <f t="shared" si="22"/>
        <v>23.3291</v>
      </c>
      <c r="AA42" s="197">
        <f t="shared" si="9"/>
        <v>23.283300000000001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129</v>
      </c>
      <c r="AE42" s="77" t="str">
        <f t="shared" si="11"/>
        <v>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 &amp; 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</v>
      </c>
      <c r="AF42" s="74" t="str">
        <f t="shared" si="12"/>
        <v>"C:\Program Files (x86)\AstroGrep\AstroGrep.exe" /e /r /s /spath="%USERPROFILE%\AppData\Local\Temp\OnboardLogs" /stypes="app*4042*20170624*" /stext=" 13:.+((SYSTEM_STATE.+slice.+state.+changed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129-24 --locoid 4042 --swversion DE.1.0.9.0 --startMP 204:458 --initTime 2017-06-24T07:09:01 --startdatetime 2017-06-24T07:15:17 --delay 1 --endMP 204:233291 --enddatetime 2017-06-24T07:52:53 --enforcementcount 0 &gt;&gt;C:\Users\stu\Documents\GitHub\eaglep3-reporting\EC\2017-06-24-refined-times.txt</v>
      </c>
      <c r="AI42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{"issue":{"subject":"","project_id":79,"tracker_id":40,"status_id":1,"priority_id":2,"assigned_to_id":23,"start_date":"2017-06-24","description":"","custom_fields":[{"id":1,"name":"Subdivision","value":"EC"},{"id":4,"name":"Milepost","value":"23.3291"},{"id":17,"name":"Train ID","value":"129-24"},{"id":16,"name":"Locomotive ID","value":"4042"},{"id":130,"name":"Impact","value":""},{"id":150,"name":"Time of Event (Mountain Time)","value":"07:52:53"},{"id":151,"name":"Denver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4042 --day 2017-06-24</v>
      </c>
      <c r="AN42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13:52:53"},{"id":29,"name":"Sharepoint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723</v>
      </c>
      <c r="B43" s="7">
        <v>4041</v>
      </c>
      <c r="C43" s="21" t="s">
        <v>202</v>
      </c>
      <c r="D43" s="21" t="s">
        <v>493</v>
      </c>
      <c r="E43" s="13">
        <v>42910.331365740742</v>
      </c>
      <c r="F43" s="13">
        <v>42910.341967592591</v>
      </c>
      <c r="G43" s="7">
        <v>1</v>
      </c>
      <c r="H43" s="21" t="s">
        <v>349</v>
      </c>
      <c r="I43" s="13">
        <v>42910.36891203704</v>
      </c>
      <c r="J43" s="7">
        <v>0</v>
      </c>
      <c r="K43" s="89" t="str">
        <f t="shared" si="0"/>
        <v>4041/4042</v>
      </c>
      <c r="L43" s="21" t="str">
        <f>VLOOKUP(A43,'Trips&amp;Operators'!$C$1:$G$99999,5,FALSE)</f>
        <v>WILLIAMS DONTE</v>
      </c>
      <c r="M43" s="6">
        <f t="shared" si="1"/>
        <v>2.694444444932742E-2</v>
      </c>
      <c r="N43" s="7">
        <f t="shared" si="23"/>
        <v>38.800000007031485</v>
      </c>
      <c r="O43" s="7"/>
      <c r="P43" s="7"/>
      <c r="Q43" s="22"/>
      <c r="R43" s="170"/>
      <c r="S43" s="213">
        <f t="shared" si="24"/>
        <v>1</v>
      </c>
      <c r="T43" s="195" t="str">
        <f t="shared" si="4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-24T06:57:10-0600',mode:absolute,to:'2017-06-24T09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23.297699999999999</v>
      </c>
      <c r="Z43" s="197">
        <f t="shared" si="22"/>
        <v>1.49E-2</v>
      </c>
      <c r="AA43" s="197">
        <f t="shared" si="9"/>
        <v>23.282799999999998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130</v>
      </c>
      <c r="AE43" s="77" t="str">
        <f t="shared" si="11"/>
        <v>aws s3 cp s3://rtdc.mdm.uploadarchive.raw/RTDC4041/ "%USERPROFILE%\AppData\Local\Temp\OnboardLogs"\RTDC4041\2017-06-24 --exclude "*" --recursive --include "*20170624*" &amp; "%USERPROFILE%\Documents\GitHub\mrs-test-scripts\Headless Mode &amp; Sideloading\WalkAndUnGZ.bat" "%USERPROFILE%\AppData\Local\Temp\OnboardLogs"\RTDC4041\2017-06-24 &amp; aws s3 cp s3://rtdc.mdm.uploadarchive.raw/RTDC4041/ "%USERPROFILE%\AppData\Local\Temp\OnboardLogs"\RTDC4041\2017-06-25 --exclude "*" --recursive --include "*20170625*" &amp; "%USERPROFILE%\Documents\GitHub\mrs-test-scripts\Headless Mode &amp; Sideloading\WalkAndUnGZ.bat" "%USERPROFILE%\AppData\Local\Temp\OnboardLogs"\RTDC4041\2017-06-25</v>
      </c>
      <c r="AF43" s="74" t="str">
        <f t="shared" si="12"/>
        <v>"C:\Program Files (x86)\AstroGrep\AstroGrep.exe" /e /r /s /spath="%USERPROFILE%\AppData\Local\Temp\OnboardLogs" /stypes="app*4041*20170624*"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130-24 --locoid 4041 --swversion DE.1.0.9.0 --startMP 204:232977 --initTime 2017-06-24T07:57:10 --startdatetime 2017-06-24T08:12:26 --delay 1 --endMP 204:149 --enddatetime 2017-06-24T08:51:14 --enforcementcount 0 &gt;&gt;C:\Users\stu\Documents\GitHub\eaglep3-reporting\EC\2017-06-24-refined-times.txt</v>
      </c>
      <c r="AI43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{"issue":{"subject":"","project_id":79,"tracker_id":40,"status_id":1,"priority_id":2,"assigned_to_id":23,"start_date":"2017-06-24","description":"","custom_fields":[{"id":1,"name":"Subdivision","value":"EC"},{"id":4,"name":"Milepost","value":"0.0149"},{"id":17,"name":"Train ID","value":"130-24"},{"id":16,"name":"Locomotive ID","value":"4041"},{"id":130,"name":"Impact","value":""},{"id":150,"name":"Time of Event (Mountain Time)","value":"08:51:14"},{"id":151,"name":"Denver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4041 --day 2017-06-24</v>
      </c>
      <c r="AN43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14:51:14"},{"id":29,"name":"Sharepoint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720</v>
      </c>
      <c r="B44" s="7">
        <v>4016</v>
      </c>
      <c r="C44" s="21" t="s">
        <v>202</v>
      </c>
      <c r="D44" s="21" t="s">
        <v>355</v>
      </c>
      <c r="E44" s="13">
        <v>42910.307951388888</v>
      </c>
      <c r="F44" s="13">
        <v>42910.312789351854</v>
      </c>
      <c r="G44" s="7">
        <v>1</v>
      </c>
      <c r="H44" s="21" t="s">
        <v>880</v>
      </c>
      <c r="I44" s="13">
        <v>42910.338055555556</v>
      </c>
      <c r="J44" s="7">
        <v>0</v>
      </c>
      <c r="K44" s="89" t="str">
        <f t="shared" si="0"/>
        <v>4015/4016</v>
      </c>
      <c r="L44" s="21" t="str">
        <f>VLOOKUP(A44,'Trips&amp;Operators'!$C$1:$G$99999,5,FALSE)</f>
        <v>GUZMAN DANNY</v>
      </c>
      <c r="M44" s="6">
        <f t="shared" si="1"/>
        <v>2.5266203701903578E-2</v>
      </c>
      <c r="N44" s="7">
        <f t="shared" si="23"/>
        <v>36.383333330741152</v>
      </c>
      <c r="O44" s="7"/>
      <c r="P44" s="7"/>
      <c r="Q44" s="22"/>
      <c r="R44" s="170"/>
      <c r="S44" s="213">
        <f t="shared" si="24"/>
        <v>1</v>
      </c>
      <c r="T44" s="195" t="str">
        <f t="shared" si="4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-24T06:23:27-0600',mode:absolute,to:'2017-06-24T09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4.4699999999999997E-2</v>
      </c>
      <c r="Z44" s="197">
        <f t="shared" si="22"/>
        <v>23.3323</v>
      </c>
      <c r="AA44" s="197">
        <f t="shared" si="9"/>
        <v>23.287600000000001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131</v>
      </c>
      <c r="AE44" s="77" t="str">
        <f t="shared" si="11"/>
        <v>aws s3 cp s3://rtdc.mdm.uploadarchive.raw/RTDC4016/ "%USERPROFILE%\AppData\Local\Temp\OnboardLogs"\RTDC4016\2017-06-24 --exclude "*" --recursive --include "*20170624*" &amp; "%USERPROFILE%\Documents\GitHub\mrs-test-scripts\Headless Mode &amp; Sideloading\WalkAndUnGZ.bat" "%USERPROFILE%\AppData\Local\Temp\OnboardLogs"\RTDC4016\2017-06-24 &amp; aws s3 cp s3://rtdc.mdm.uploadarchive.raw/RTDC4016/ "%USERPROFILE%\AppData\Local\Temp\OnboardLogs"\RTDC4016\2017-06-25 --exclude "*" --recursive --include "*20170625*" &amp; "%USERPROFILE%\Documents\GitHub\mrs-test-scripts\Headless Mode &amp; Sideloading\WalkAndUnGZ.bat" "%USERPROFILE%\AppData\Local\Temp\OnboardLogs"\RTDC4016\2017-06-25</v>
      </c>
      <c r="AF44" s="74" t="str">
        <f t="shared" si="12"/>
        <v>"C:\Program Files (x86)\AstroGrep\AstroGrep.exe" /e /r /s /spath="%USERPROFILE%\AppData\Local\Temp\OnboardLogs" /stypes="app*4016*20170624*" /stext=" 14:.+((SYSTEM_STATE.+slice.+state.+changed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131-24 --locoid 4016 --swversion DE.1.0.9.0 --startMP 204:447 --initTime 2017-06-24T07:23:27 --startdatetime 2017-06-24T07:30:25 --delay 1 --endMP 204:233323 --enddatetime 2017-06-24T08:06:48 --enforcementcount 0 &gt;&gt;C:\Users\stu\Documents\GitHub\eaglep3-reporting\EC\2017-06-24-refined-times.txt</v>
      </c>
      <c r="AI44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{"issue":{"subject":"","project_id":79,"tracker_id":40,"status_id":1,"priority_id":2,"assigned_to_id":23,"start_date":"2017-06-24","description":"","custom_fields":[{"id":1,"name":"Subdivision","value":"EC"},{"id":4,"name":"Milepost","value":"23.3323"},{"id":17,"name":"Train ID","value":"131-24"},{"id":16,"name":"Locomotive ID","value":"4016"},{"id":130,"name":"Impact","value":""},{"id":150,"name":"Time of Event (Mountain Time)","value":"08:06:48"},{"id":151,"name":"Denver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4016 --day 2017-06-24</v>
      </c>
      <c r="AN44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14:06:48"},{"id":29,"name":"Sharepoint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726</v>
      </c>
      <c r="B45" s="7">
        <v>4015</v>
      </c>
      <c r="C45" s="21" t="s">
        <v>202</v>
      </c>
      <c r="D45" s="21" t="s">
        <v>881</v>
      </c>
      <c r="E45" s="13">
        <v>42910.340648148151</v>
      </c>
      <c r="F45" s="13">
        <v>42910.352442129632</v>
      </c>
      <c r="G45" s="7">
        <v>0</v>
      </c>
      <c r="H45" s="21" t="s">
        <v>394</v>
      </c>
      <c r="I45" s="13">
        <v>42910.378900462965</v>
      </c>
      <c r="J45" s="7">
        <v>0</v>
      </c>
      <c r="K45" s="89" t="str">
        <f t="shared" si="0"/>
        <v>4015/4016</v>
      </c>
      <c r="L45" s="21" t="str">
        <f>VLOOKUP(A45,'Trips&amp;Operators'!$C$1:$G$99999,5,FALSE)</f>
        <v>GUZMAN DANNY</v>
      </c>
      <c r="M45" s="6">
        <f t="shared" si="1"/>
        <v>2.6458333333721384E-2</v>
      </c>
      <c r="N45" s="7">
        <f t="shared" si="23"/>
        <v>38.100000000558794</v>
      </c>
      <c r="O45" s="7"/>
      <c r="P45" s="7"/>
      <c r="Q45" s="22"/>
      <c r="R45" s="170"/>
      <c r="S45" s="213">
        <f t="shared" si="24"/>
        <v>1</v>
      </c>
      <c r="T45" s="195" t="str">
        <f t="shared" si="4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-24T07:10:32-0600',mode:absolute,to:'2017-06-24T10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5" s="197" t="str">
        <f>IF(AA45&lt;VLOOKUP(AG45,Variables!$AC$3:$AD$8,2,FALSE),"Y","N")</f>
        <v>N</v>
      </c>
      <c r="X45" s="197">
        <f t="shared" ref="X45:X76" si="25">VALUE(LEFT(AD45,4))-VALUE(LEFT(AD44,4))</f>
        <v>1</v>
      </c>
      <c r="Y45" s="197">
        <f t="shared" ref="Y45:Y67" si="26">RIGHT(D45,LEN(D45)-4)/10000</f>
        <v>23.302099999999999</v>
      </c>
      <c r="Z45" s="197">
        <f t="shared" si="22"/>
        <v>1.54E-2</v>
      </c>
      <c r="AA45" s="197">
        <f t="shared" si="9"/>
        <v>23.2867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132</v>
      </c>
      <c r="AE45" s="77" t="str">
        <f t="shared" si="11"/>
        <v>aws s3 cp s3://rtdc.mdm.uploadarchive.raw/RTDC4015/ "%USERPROFILE%\AppData\Local\Temp\OnboardLogs"\RTDC4015\2017-06-24 --exclude "*" --recursive --include "*20170624*" &amp; "%USERPROFILE%\Documents\GitHub\mrs-test-scripts\Headless Mode &amp; Sideloading\WalkAndUnGZ.bat" "%USERPROFILE%\AppData\Local\Temp\OnboardLogs"\RTDC4015\2017-06-24 &amp; aws s3 cp s3://rtdc.mdm.uploadarchive.raw/RTDC4015/ "%USERPROFILE%\AppData\Local\Temp\OnboardLogs"\RTDC4015\2017-06-25 --exclude "*" --recursive --include "*20170625*" &amp; "%USERPROFILE%\Documents\GitHub\mrs-test-scripts\Headless Mode &amp; Sideloading\WalkAndUnGZ.bat" "%USERPROFILE%\AppData\Local\Temp\OnboardLogs"\RTDC4015\2017-06-25</v>
      </c>
      <c r="AF45" s="74" t="str">
        <f t="shared" si="12"/>
        <v>"C:\Program Files (x86)\AstroGrep\AstroGrep.exe" /e /r /s /spath="%USERPROFILE%\AppData\Local\Temp\OnboardLogs" /stypes="app*4015*20170624*" /stext=" 15:.+((SYSTEM_STATE.+slice.+state.+changed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132-24 --locoid 4015 --swversion DE.1.0.9.0 --startMP 204:233021 --initTime 2017-06-24T08:10:32 --startdatetime 2017-06-24T08:27:31 --delay 0 --endMP 204:154 --enddatetime 2017-06-24T09:05:37 --enforcementcount 0 &gt;&gt;C:\Users\stu\Documents\GitHub\eaglep3-reporting\EC\2017-06-24-refined-times.txt</v>
      </c>
      <c r="AI45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{"issue":{"subject":"","project_id":79,"tracker_id":40,"status_id":1,"priority_id":2,"assigned_to_id":23,"start_date":"2017-06-24","description":"","custom_fields":[{"id":1,"name":"Subdivision","value":"EC"},{"id":4,"name":"Milepost","value":"0.0154"},{"id":17,"name":"Train ID","value":"132-24"},{"id":16,"name":"Locomotive ID","value":"4015"},{"id":130,"name":"Impact","value":""},{"id":150,"name":"Time of Event (Mountain Time)","value":"09:05:37"},{"id":151,"name":"Denver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4015 --day 2017-06-24</v>
      </c>
      <c r="AN45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15:05:37"},{"id":29,"name":"Sharepoint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722</v>
      </c>
      <c r="B46" s="7">
        <v>4022</v>
      </c>
      <c r="C46" s="21" t="s">
        <v>202</v>
      </c>
      <c r="D46" s="21" t="s">
        <v>435</v>
      </c>
      <c r="E46" s="13">
        <v>42910.31832175926</v>
      </c>
      <c r="F46" s="13">
        <v>42910.323078703703</v>
      </c>
      <c r="G46" s="7">
        <v>1</v>
      </c>
      <c r="H46" s="21" t="s">
        <v>882</v>
      </c>
      <c r="I46" s="13">
        <v>42910.34851851852</v>
      </c>
      <c r="J46" s="7">
        <v>0</v>
      </c>
      <c r="K46" s="89" t="str">
        <f t="shared" si="0"/>
        <v>4021/4022</v>
      </c>
      <c r="L46" s="21" t="str">
        <f>VLOOKUP(A46,'Trips&amp;Operators'!$C$1:$G$99999,5,FALSE)</f>
        <v>DAVIS WENDY</v>
      </c>
      <c r="M46" s="6">
        <f t="shared" si="1"/>
        <v>2.5439814817218576E-2</v>
      </c>
      <c r="N46" s="7">
        <f t="shared" si="23"/>
        <v>36.633333336794749</v>
      </c>
      <c r="O46" s="7"/>
      <c r="P46" s="7"/>
      <c r="Q46" s="22"/>
      <c r="R46" s="170"/>
      <c r="S46" s="213">
        <f t="shared" si="24"/>
        <v>1</v>
      </c>
      <c r="T46" s="195" t="str">
        <f t="shared" si="4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-24T06:38:23-0600',mode:absolute,to:'2017-06-24T09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6" s="197" t="str">
        <f>IF(AA46&lt;VLOOKUP(AG46,Variables!$AC$3:$AD$8,2,FALSE),"Y","N")</f>
        <v>N</v>
      </c>
      <c r="X46" s="197">
        <f t="shared" si="25"/>
        <v>1</v>
      </c>
      <c r="Y46" s="197">
        <f t="shared" si="26"/>
        <v>4.6699999999999998E-2</v>
      </c>
      <c r="Z46" s="197">
        <f t="shared" si="22"/>
        <v>23.334299999999999</v>
      </c>
      <c r="AA46" s="197">
        <f t="shared" si="9"/>
        <v>23.287599999999998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133</v>
      </c>
      <c r="AE46" s="77" t="str">
        <f t="shared" si="11"/>
        <v>aws s3 cp s3://rtdc.mdm.uploadarchive.raw/RTDC4022/ "%USERPROFILE%\AppData\Local\Temp\OnboardLogs"\RTDC4022\2017-06-24 --exclude "*" --recursive --include "*20170624*" &amp; "%USERPROFILE%\Documents\GitHub\mrs-test-scripts\Headless Mode &amp; Sideloading\WalkAndUnGZ.bat" "%USERPROFILE%\AppData\Local\Temp\OnboardLogs"\RTDC4022\2017-06-24 &amp; aws s3 cp s3://rtdc.mdm.uploadarchive.raw/RTDC4022/ "%USERPROFILE%\AppData\Local\Temp\OnboardLogs"\RTDC4022\2017-06-25 --exclude "*" --recursive --include "*20170625*" &amp; "%USERPROFILE%\Documents\GitHub\mrs-test-scripts\Headless Mode &amp; Sideloading\WalkAndUnGZ.bat" "%USERPROFILE%\AppData\Local\Temp\OnboardLogs"\RTDC4022\2017-06-25</v>
      </c>
      <c r="AF46" s="74" t="str">
        <f t="shared" si="12"/>
        <v>"C:\Program Files (x86)\AstroGrep\AstroGrep.exe" /e /r /s /spath="%USERPROFILE%\AppData\Local\Temp\OnboardLogs" /stypes="app*4022*20170624*" /stext=" 14:.+((SYSTEM_STATE.+slice.+state.+changed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133-24 --locoid 4022 --swversion DE.1.0.9.0 --startMP 204:467 --initTime 2017-06-24T07:38:23 --startdatetime 2017-06-24T07:45:14 --delay 1 --endMP 204:233343 --enddatetime 2017-06-24T08:21:52 --enforcementcount 0 &gt;&gt;C:\Users\stu\Documents\GitHub\eaglep3-reporting\EC\2017-06-24-refined-times.txt</v>
      </c>
      <c r="AI46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{"issue":{"subject":"","project_id":79,"tracker_id":40,"status_id":1,"priority_id":2,"assigned_to_id":23,"start_date":"2017-06-24","description":"","custom_fields":[{"id":1,"name":"Subdivision","value":"EC"},{"id":4,"name":"Milepost","value":"23.3343"},{"id":17,"name":"Train ID","value":"133-24"},{"id":16,"name":"Locomotive ID","value":"4022"},{"id":130,"name":"Impact","value":""},{"id":150,"name":"Time of Event (Mountain Time)","value":"08:21:52"},{"id":151,"name":"Denver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4022 --day 2017-06-24</v>
      </c>
      <c r="AN46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14:21:52"},{"id":29,"name":"Sharepoint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636</v>
      </c>
      <c r="B47" s="7">
        <v>4021</v>
      </c>
      <c r="C47" s="21" t="s">
        <v>202</v>
      </c>
      <c r="D47" s="21" t="s">
        <v>586</v>
      </c>
      <c r="E47" s="13">
        <v>42910.360451388886</v>
      </c>
      <c r="F47" s="13">
        <v>42910.362662037034</v>
      </c>
      <c r="G47" s="7">
        <v>1</v>
      </c>
      <c r="H47" s="21" t="s">
        <v>349</v>
      </c>
      <c r="I47" s="13">
        <v>42910.390023148146</v>
      </c>
      <c r="J47" s="7">
        <v>0</v>
      </c>
      <c r="K47" s="89" t="str">
        <f t="shared" si="0"/>
        <v>4021/4022</v>
      </c>
      <c r="L47" s="21" t="str">
        <f>VLOOKUP(A47,'Trips&amp;Operators'!$C$1:$G$99999,5,FALSE)</f>
        <v>DAVIS WENDY</v>
      </c>
      <c r="M47" s="6">
        <f t="shared" si="1"/>
        <v>2.73611111115315E-2</v>
      </c>
      <c r="N47" s="7">
        <f t="shared" si="23"/>
        <v>39.40000000060536</v>
      </c>
      <c r="O47" s="7"/>
      <c r="P47" s="7"/>
      <c r="Q47" s="22"/>
      <c r="R47" s="170"/>
      <c r="S47" s="213">
        <f t="shared" si="24"/>
        <v>1</v>
      </c>
      <c r="T47" s="195" t="str">
        <f t="shared" si="4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-24T07:39:03-0600',mode:absolute,to:'2017-06-24T10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7" s="197" t="str">
        <f>IF(AA47&lt;VLOOKUP(AG47,Variables!$AC$3:$AD$8,2,FALSE),"Y","N")</f>
        <v>N</v>
      </c>
      <c r="X47" s="197">
        <f t="shared" si="25"/>
        <v>1</v>
      </c>
      <c r="Y47" s="197">
        <f t="shared" si="26"/>
        <v>23.2988</v>
      </c>
      <c r="Z47" s="197">
        <f t="shared" si="22"/>
        <v>1.49E-2</v>
      </c>
      <c r="AA47" s="197">
        <f t="shared" si="9"/>
        <v>23.283899999999999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134</v>
      </c>
      <c r="AE47" s="77" t="str">
        <f t="shared" si="11"/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AF47" s="74" t="str">
        <f t="shared" si="12"/>
        <v>"C:\Program Files (x86)\AstroGrep\AstroGrep.exe" /e /r /s /spath="%USERPROFILE%\AppData\Local\Temp\OnboardLogs" /stypes="app*4021*20170624*" /stext=" 15:.+((SYSTEM_STATE.+slice.+state.+changed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134-24 --locoid 4021 --swversion DE.1.0.9.0 --startMP 204:232988 --initTime 2017-06-24T08:39:03 --startdatetime 2017-06-24T08:42:14 --delay 1 --endMP 204:149 --enddatetime 2017-06-24T09:21:38 --enforcementcount 0 &gt;&gt;C:\Users\stu\Documents\GitHub\eaglep3-reporting\EC\2017-06-24-refined-times.txt</v>
      </c>
      <c r="AI47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{"issue":{"subject":"","project_id":79,"tracker_id":40,"status_id":1,"priority_id":2,"assigned_to_id":23,"start_date":"2017-06-24","description":"","custom_fields":[{"id":1,"name":"Subdivision","value":"EC"},{"id":4,"name":"Milepost","value":"0.0149"},{"id":17,"name":"Train ID","value":"134-24"},{"id":16,"name":"Locomotive ID","value":"4021"},{"id":130,"name":"Impact","value":""},{"id":150,"name":"Time of Event (Mountain Time)","value":"09:21:38"},{"id":151,"name":"Denver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4021 --day 2017-06-24</v>
      </c>
      <c r="AN47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15:21:38"},{"id":29,"name":"Sharepoint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724</v>
      </c>
      <c r="B48" s="7">
        <v>4044</v>
      </c>
      <c r="C48" s="21" t="s">
        <v>202</v>
      </c>
      <c r="D48" s="21" t="s">
        <v>474</v>
      </c>
      <c r="E48" s="13">
        <v>42910.331296296295</v>
      </c>
      <c r="F48" s="13">
        <v>42910.333645833336</v>
      </c>
      <c r="G48" s="7">
        <v>1</v>
      </c>
      <c r="H48" s="21" t="s">
        <v>591</v>
      </c>
      <c r="I48" s="13">
        <v>42910.359965277778</v>
      </c>
      <c r="J48" s="7">
        <v>0</v>
      </c>
      <c r="K48" s="89" t="str">
        <f t="shared" si="0"/>
        <v>4043/4044</v>
      </c>
      <c r="L48" s="21" t="str">
        <f>VLOOKUP(A48,'Trips&amp;Operators'!$C$1:$G$99999,5,FALSE)</f>
        <v>CHANDLER KELVIN</v>
      </c>
      <c r="M48" s="6">
        <f t="shared" si="1"/>
        <v>2.6319444441469386E-2</v>
      </c>
      <c r="N48" s="7">
        <f t="shared" si="23"/>
        <v>37.899999995715916</v>
      </c>
      <c r="O48" s="7"/>
      <c r="P48" s="7"/>
      <c r="Q48" s="22"/>
      <c r="R48" s="170"/>
      <c r="S48" s="213">
        <f t="shared" si="24"/>
        <v>1</v>
      </c>
      <c r="T48" s="195" t="str">
        <f t="shared" si="4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-24T06:57:04-0600',mode:absolute,to:'2017-06-24T09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8" s="197" t="str">
        <f>IF(AA48&lt;VLOOKUP(AG48,Variables!$AC$3:$AD$8,2,FALSE),"Y","N")</f>
        <v>N</v>
      </c>
      <c r="X48" s="197">
        <f t="shared" si="25"/>
        <v>1</v>
      </c>
      <c r="Y48" s="197">
        <f t="shared" si="26"/>
        <v>4.5499999999999999E-2</v>
      </c>
      <c r="Z48" s="197">
        <f t="shared" si="22"/>
        <v>23.332100000000001</v>
      </c>
      <c r="AA48" s="197">
        <f t="shared" si="9"/>
        <v>23.2866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135</v>
      </c>
      <c r="AE48" s="77" t="str">
        <f t="shared" si="11"/>
        <v>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 &amp; 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</v>
      </c>
      <c r="AF48" s="74" t="str">
        <f t="shared" si="12"/>
        <v>"C:\Program Files (x86)\AstroGrep\AstroGrep.exe" /e /r /s /spath="%USERPROFILE%\AppData\Local\Temp\OnboardLogs" /stypes="app*4044*20170624*" /stext=" 14:.+((SYSTEM_STATE.+slice.+state.+changed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135-24 --locoid 4044 --swversion DE.1.0.9.0 --startMP 204:455 --initTime 2017-06-24T07:57:04 --startdatetime 2017-06-24T08:00:27 --delay 1 --endMP 204:233321 --enddatetime 2017-06-24T08:38:21 --enforcementcount 0 &gt;&gt;C:\Users\stu\Documents\GitHub\eaglep3-reporting\EC\2017-06-24-refined-times.txt</v>
      </c>
      <c r="AI48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{"issue":{"subject":"","project_id":79,"tracker_id":40,"status_id":1,"priority_id":2,"assigned_to_id":23,"start_date":"2017-06-24","description":"","custom_fields":[{"id":1,"name":"Subdivision","value":"EC"},{"id":4,"name":"Milepost","value":"23.3321"},{"id":17,"name":"Train ID","value":"135-24"},{"id":16,"name":"Locomotive ID","value":"4044"},{"id":130,"name":"Impact","value":""},{"id":150,"name":"Time of Event (Mountain Time)","value":"08:38:21"},{"id":151,"name":"Denver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4044 --day 2017-06-24</v>
      </c>
      <c r="AN48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14:38:21"},{"id":29,"name":"Sharepoint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638</v>
      </c>
      <c r="B49" s="7">
        <v>4043</v>
      </c>
      <c r="C49" s="21" t="s">
        <v>202</v>
      </c>
      <c r="D49" s="21" t="s">
        <v>509</v>
      </c>
      <c r="E49" s="13">
        <v>42910.370810185188</v>
      </c>
      <c r="F49" s="13">
        <v>42910.373136574075</v>
      </c>
      <c r="G49" s="7">
        <v>1</v>
      </c>
      <c r="H49" s="21" t="s">
        <v>541</v>
      </c>
      <c r="I49" s="13">
        <v>42910.400671296295</v>
      </c>
      <c r="J49" s="7">
        <v>0</v>
      </c>
      <c r="K49" s="89" t="str">
        <f t="shared" si="0"/>
        <v>4043/4044</v>
      </c>
      <c r="L49" s="21" t="str">
        <f>VLOOKUP(A49,'Trips&amp;Operators'!$C$1:$G$99999,5,FALSE)</f>
        <v>CHANDLER KELVIN</v>
      </c>
      <c r="M49" s="6">
        <f t="shared" si="1"/>
        <v>2.753472221957054E-2</v>
      </c>
      <c r="N49" s="7">
        <f t="shared" si="23"/>
        <v>39.649999996181577</v>
      </c>
      <c r="O49" s="7"/>
      <c r="P49" s="7"/>
      <c r="Q49" s="22"/>
      <c r="R49" s="170"/>
      <c r="S49" s="213">
        <f t="shared" si="24"/>
        <v>1</v>
      </c>
      <c r="T49" s="195" t="str">
        <f t="shared" si="4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-24T07:53:58-0600',mode:absolute,to:'2017-06-24T10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9" s="197" t="str">
        <f>IF(AA49&lt;VLOOKUP(AG49,Variables!$AC$3:$AD$8,2,FALSE),"Y","N")</f>
        <v>N</v>
      </c>
      <c r="X49" s="197">
        <f t="shared" si="25"/>
        <v>1</v>
      </c>
      <c r="Y49" s="197">
        <f t="shared" si="26"/>
        <v>23.3</v>
      </c>
      <c r="Z49" s="197">
        <f t="shared" si="22"/>
        <v>1.6500000000000001E-2</v>
      </c>
      <c r="AA49" s="197">
        <f t="shared" si="9"/>
        <v>23.2835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136</v>
      </c>
      <c r="AE49" s="77" t="str">
        <f t="shared" si="11"/>
        <v>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 &amp; 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</v>
      </c>
      <c r="AF49" s="74" t="str">
        <f t="shared" si="12"/>
        <v>"C:\Program Files (x86)\AstroGrep\AstroGrep.exe" /e /r /s /spath="%USERPROFILE%\AppData\Local\Temp\OnboardLogs" /stypes="app*4043*20170624*" /stext=" 15:.+((SYSTEM_STATE.+slice.+state.+changed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136-24 --locoid 4043 --swversion DE.1.0.9.0 --startMP 204:233000 --initTime 2017-06-24T08:53:58 --startdatetime 2017-06-24T08:57:19 --delay 1 --endMP 204:165 --enddatetime 2017-06-24T09:36:58 --enforcementcount 0 &gt;&gt;C:\Users\stu\Documents\GitHub\eaglep3-reporting\EC\2017-06-24-refined-times.txt</v>
      </c>
      <c r="AI49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{"issue":{"subject":"","project_id":79,"tracker_id":40,"status_id":1,"priority_id":2,"assigned_to_id":23,"start_date":"2017-06-24","description":"","custom_fields":[{"id":1,"name":"Subdivision","value":"EC"},{"id":4,"name":"Milepost","value":"0.0165"},{"id":17,"name":"Train ID","value":"136-24"},{"id":16,"name":"Locomotive ID","value":"4043"},{"id":130,"name":"Impact","value":""},{"id":150,"name":"Time of Event (Mountain Time)","value":"09:36:58"},{"id":151,"name":"Denver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4043 --day 2017-06-24</v>
      </c>
      <c r="AN49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15:36:58"},{"id":29,"name":"Sharepoint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725</v>
      </c>
      <c r="B50" s="7">
        <v>4020</v>
      </c>
      <c r="C50" s="21" t="s">
        <v>202</v>
      </c>
      <c r="D50" s="21" t="s">
        <v>351</v>
      </c>
      <c r="E50" s="13">
        <v>42910.337465277778</v>
      </c>
      <c r="F50" s="13">
        <v>42910.343912037039</v>
      </c>
      <c r="G50" s="7">
        <v>1</v>
      </c>
      <c r="H50" s="21" t="s">
        <v>883</v>
      </c>
      <c r="I50" s="13">
        <v>42910.36818287037</v>
      </c>
      <c r="J50" s="7">
        <v>0</v>
      </c>
      <c r="K50" s="89" t="str">
        <f t="shared" si="0"/>
        <v>4019/4020</v>
      </c>
      <c r="L50" s="21" t="str">
        <f>VLOOKUP(A50,'Trips&amp;Operators'!$C$1:$G$99999,5,FALSE)</f>
        <v>LALONDE GREGORY</v>
      </c>
      <c r="M50" s="6">
        <f t="shared" si="1"/>
        <v>2.4270833331684116E-2</v>
      </c>
      <c r="N50" s="7">
        <f t="shared" si="23"/>
        <v>34.949999997625127</v>
      </c>
      <c r="O50" s="7"/>
      <c r="P50" s="7"/>
      <c r="Q50" s="22"/>
      <c r="R50" s="170"/>
      <c r="S50" s="213">
        <f t="shared" si="24"/>
        <v>1</v>
      </c>
      <c r="T50" s="195" t="str">
        <f t="shared" si="4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-24T07:05:57-0600',mode:absolute,to:'2017-06-24T09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0" s="197" t="str">
        <f>IF(AA50&lt;VLOOKUP(AG50,Variables!$AC$3:$AD$8,2,FALSE),"Y","N")</f>
        <v>N</v>
      </c>
      <c r="X50" s="197">
        <f t="shared" si="25"/>
        <v>1</v>
      </c>
      <c r="Y50" s="197">
        <f t="shared" si="26"/>
        <v>4.6600000000000003E-2</v>
      </c>
      <c r="Z50" s="197">
        <f t="shared" si="22"/>
        <v>23.332000000000001</v>
      </c>
      <c r="AA50" s="197">
        <f t="shared" si="9"/>
        <v>23.285399999999999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137</v>
      </c>
      <c r="AE50" s="77" t="str">
        <f t="shared" si="11"/>
        <v>aws s3 cp s3://rtdc.mdm.uploadarchive.raw/RTDC4020/ "%USERPROFILE%\AppData\Local\Temp\OnboardLogs"\RTDC4020\2017-06-24 --exclude "*" --recursive --include "*20170624*" &amp; "%USERPROFILE%\Documents\GitHub\mrs-test-scripts\Headless Mode &amp; Sideloading\WalkAndUnGZ.bat" "%USERPROFILE%\AppData\Local\Temp\OnboardLogs"\RTDC4020\2017-06-24 &amp; aws s3 cp s3://rtdc.mdm.uploadarchive.raw/RTDC4020/ "%USERPROFILE%\AppData\Local\Temp\OnboardLogs"\RTDC4020\2017-06-25 --exclude "*" --recursive --include "*20170625*" &amp; "%USERPROFILE%\Documents\GitHub\mrs-test-scripts\Headless Mode &amp; Sideloading\WalkAndUnGZ.bat" "%USERPROFILE%\AppData\Local\Temp\OnboardLogs"\RTDC4020\2017-06-25</v>
      </c>
      <c r="AF50" s="74" t="str">
        <f t="shared" si="12"/>
        <v>"C:\Program Files (x86)\AstroGrep\AstroGrep.exe" /e /r /s /spath="%USERPROFILE%\AppData\Local\Temp\OnboardLogs" /stypes="app*4020*20170624*" /stext=" 14:.+((SYSTEM_STATE.+slice.+state.+changed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137-24 --locoid 4020 --swversion DE.1.0.9.0 --startMP 204:466 --initTime 2017-06-24T08:05:57 --startdatetime 2017-06-24T08:15:14 --delay 1 --endMP 204:233320 --enddatetime 2017-06-24T08:50:11 --enforcementcount 0 &gt;&gt;C:\Users\stu\Documents\GitHub\eaglep3-reporting\EC\2017-06-24-refined-times.txt</v>
      </c>
      <c r="AI50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{"issue":{"subject":"","project_id":79,"tracker_id":40,"status_id":1,"priority_id":2,"assigned_to_id":23,"start_date":"2017-06-24","description":"","custom_fields":[{"id":1,"name":"Subdivision","value":"EC"},{"id":4,"name":"Milepost","value":"23.332"},{"id":17,"name":"Train ID","value":"137-24"},{"id":16,"name":"Locomotive ID","value":"4020"},{"id":130,"name":"Impact","value":""},{"id":150,"name":"Time of Event (Mountain Time)","value":"08:50:11"},{"id":151,"name":"Denver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4020 --day 2017-06-24</v>
      </c>
      <c r="AN50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14:50:11"},{"id":29,"name":"Sharepoint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729</v>
      </c>
      <c r="B51" s="7">
        <v>4019</v>
      </c>
      <c r="C51" s="21" t="s">
        <v>202</v>
      </c>
      <c r="D51" s="21" t="s">
        <v>509</v>
      </c>
      <c r="E51" s="13">
        <v>42910.369733796295</v>
      </c>
      <c r="F51" s="13">
        <v>42910.38349537037</v>
      </c>
      <c r="G51" s="7">
        <v>0</v>
      </c>
      <c r="H51" s="21" t="s">
        <v>350</v>
      </c>
      <c r="I51" s="13">
        <v>42910.409016203703</v>
      </c>
      <c r="J51" s="7">
        <v>0</v>
      </c>
      <c r="K51" s="89" t="str">
        <f t="shared" si="0"/>
        <v>4019/4020</v>
      </c>
      <c r="L51" s="21" t="str">
        <f>VLOOKUP(A51,'Trips&amp;Operators'!$C$1:$G$99999,5,FALSE)</f>
        <v>LALONDE GREGORY</v>
      </c>
      <c r="M51" s="6">
        <f t="shared" si="1"/>
        <v>2.5520833332848269E-2</v>
      </c>
      <c r="N51" s="7">
        <f t="shared" si="23"/>
        <v>36.749999999301508</v>
      </c>
      <c r="O51" s="7"/>
      <c r="P51" s="7"/>
      <c r="Q51" s="22"/>
      <c r="R51" s="170"/>
      <c r="S51" s="213">
        <f t="shared" si="24"/>
        <v>1</v>
      </c>
      <c r="T51" s="195" t="str">
        <f t="shared" si="4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-24T07:52:25-0600',mode:absolute,to:'2017-06-24T10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1" s="197" t="str">
        <f>IF(AA51&lt;VLOOKUP(AG51,Variables!$AC$3:$AD$8,2,FALSE),"Y","N")</f>
        <v>N</v>
      </c>
      <c r="X51" s="197">
        <f t="shared" si="25"/>
        <v>1</v>
      </c>
      <c r="Y51" s="197">
        <f t="shared" si="26"/>
        <v>23.3</v>
      </c>
      <c r="Z51" s="197">
        <f t="shared" si="22"/>
        <v>1.43E-2</v>
      </c>
      <c r="AA51" s="197">
        <f t="shared" si="9"/>
        <v>23.285700000000002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138</v>
      </c>
      <c r="AE51" s="77" t="str">
        <f t="shared" si="11"/>
        <v>aws s3 cp s3://rtdc.mdm.uploadarchive.raw/RTDC4019/ "%USERPROFILE%\AppData\Local\Temp\OnboardLogs"\RTDC4019\2017-06-24 --exclude "*" --recursive --include "*20170624*" &amp; "%USERPROFILE%\Documents\GitHub\mrs-test-scripts\Headless Mode &amp; Sideloading\WalkAndUnGZ.bat" "%USERPROFILE%\AppData\Local\Temp\OnboardLogs"\RTDC4019\2017-06-24 &amp; aws s3 cp s3://rtdc.mdm.uploadarchive.raw/RTDC4019/ "%USERPROFILE%\AppData\Local\Temp\OnboardLogs"\RTDC4019\2017-06-25 --exclude "*" --recursive --include "*20170625*" &amp; "%USERPROFILE%\Documents\GitHub\mrs-test-scripts\Headless Mode &amp; Sideloading\WalkAndUnGZ.bat" "%USERPROFILE%\AppData\Local\Temp\OnboardLogs"\RTDC4019\2017-06-25</v>
      </c>
      <c r="AF51" s="74" t="str">
        <f t="shared" si="12"/>
        <v>"C:\Program Files (x86)\AstroGrep\AstroGrep.exe" /e /r /s /spath="%USERPROFILE%\AppData\Local\Temp\OnboardLogs" /stypes="app*4019*20170624*"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138-24 --locoid 4019 --swversion DE.1.0.9.0 --startMP 204:233000 --initTime 2017-06-24T08:52:25 --startdatetime 2017-06-24T09:12:14 --delay 0 --endMP 204:143 --enddatetime 2017-06-24T09:48:59 --enforcementcount 0 &gt;&gt;C:\Users\stu\Documents\GitHub\eaglep3-reporting\EC\2017-06-24-refined-times.txt</v>
      </c>
      <c r="AI51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{"issue":{"subject":"","project_id":79,"tracker_id":40,"status_id":1,"priority_id":2,"assigned_to_id":23,"start_date":"2017-06-24","description":"","custom_fields":[{"id":1,"name":"Subdivision","value":"EC"},{"id":4,"name":"Milepost","value":"0.0143"},{"id":17,"name":"Train ID","value":"138-24"},{"id":16,"name":"Locomotive ID","value":"4019"},{"id":130,"name":"Impact","value":""},{"id":150,"name":"Time of Event (Mountain Time)","value":"09:48:59"},{"id":151,"name":"Denver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4019 --day 2017-06-24</v>
      </c>
      <c r="AN51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15:48:59"},{"id":29,"name":"Sharepoint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727</v>
      </c>
      <c r="B52" s="7">
        <v>4004</v>
      </c>
      <c r="C52" s="21" t="s">
        <v>202</v>
      </c>
      <c r="D52" s="21" t="s">
        <v>352</v>
      </c>
      <c r="E52" s="13">
        <v>42910.349965277775</v>
      </c>
      <c r="F52" s="13">
        <v>42910.354421296295</v>
      </c>
      <c r="G52" s="7">
        <v>1</v>
      </c>
      <c r="H52" s="21" t="s">
        <v>505</v>
      </c>
      <c r="I52" s="13">
        <v>42910.379814814813</v>
      </c>
      <c r="J52" s="7">
        <v>0</v>
      </c>
      <c r="K52" s="89" t="str">
        <f t="shared" si="0"/>
        <v>4003/4004</v>
      </c>
      <c r="L52" s="21" t="str">
        <f>VLOOKUP(A52,'Trips&amp;Operators'!$C$1:$G$99999,5,FALSE)</f>
        <v>MAELZER KURT</v>
      </c>
      <c r="M52" s="6">
        <f t="shared" si="1"/>
        <v>2.5393518517375924E-2</v>
      </c>
      <c r="N52" s="7">
        <f t="shared" si="23"/>
        <v>36.56666666502133</v>
      </c>
      <c r="O52" s="7"/>
      <c r="P52" s="7"/>
      <c r="Q52" s="22"/>
      <c r="R52" s="170"/>
      <c r="S52" s="213">
        <f t="shared" si="24"/>
        <v>1</v>
      </c>
      <c r="T52" s="195" t="str">
        <f t="shared" si="4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-24T07:23:57-0600',mode:absolute,to:'2017-06-24T10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2" s="197" t="str">
        <f>IF(AA52&lt;VLOOKUP(AG52,Variables!$AC$3:$AD$8,2,FALSE),"Y","N")</f>
        <v>N</v>
      </c>
      <c r="X52" s="197">
        <f t="shared" si="25"/>
        <v>1</v>
      </c>
      <c r="Y52" s="197">
        <f t="shared" si="26"/>
        <v>4.5100000000000001E-2</v>
      </c>
      <c r="Z52" s="197">
        <f t="shared" si="22"/>
        <v>23.331399999999999</v>
      </c>
      <c r="AA52" s="197">
        <f t="shared" si="9"/>
        <v>23.286299999999997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139</v>
      </c>
      <c r="AE52" s="77" t="str">
        <f t="shared" si="11"/>
        <v>aws s3 cp s3://rtdc.mdm.uploadarchive.raw/RTDC4004/ "%USERPROFILE%\AppData\Local\Temp\OnboardLogs"\RTDC4004\2017-06-24 --exclude "*" --recursive --include "*20170624*" &amp; "%USERPROFILE%\Documents\GitHub\mrs-test-scripts\Headless Mode &amp; Sideloading\WalkAndUnGZ.bat" "%USERPROFILE%\AppData\Local\Temp\OnboardLogs"\RTDC4004\2017-06-24 &amp; aws s3 cp s3://rtdc.mdm.uploadarchive.raw/RTDC4004/ "%USERPROFILE%\AppData\Local\Temp\OnboardLogs"\RTDC4004\2017-06-25 --exclude "*" --recursive --include "*20170625*" &amp; "%USERPROFILE%\Documents\GitHub\mrs-test-scripts\Headless Mode &amp; Sideloading\WalkAndUnGZ.bat" "%USERPROFILE%\AppData\Local\Temp\OnboardLogs"\RTDC4004\2017-06-25</v>
      </c>
      <c r="AF52" s="74" t="str">
        <f t="shared" si="12"/>
        <v>"C:\Program Files (x86)\AstroGrep\AstroGrep.exe" /e /r /s /spath="%USERPROFILE%\AppData\Local\Temp\OnboardLogs" /stypes="app*4004*20170624*" /stext=" 15:.+((SYSTEM_STATE.+slice.+state.+changed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139-24 --locoid 4004 --swversion DE.1.0.9.0 --startMP 204:451 --initTime 2017-06-24T08:23:57 --startdatetime 2017-06-24T08:30:22 --delay 1 --endMP 204:233314 --enddatetime 2017-06-24T09:06:56 --enforcementcount 0 &gt;&gt;C:\Users\stu\Documents\GitHub\eaglep3-reporting\EC\2017-06-24-refined-times.txt</v>
      </c>
      <c r="AI52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{"issue":{"subject":"","project_id":79,"tracker_id":40,"status_id":1,"priority_id":2,"assigned_to_id":23,"start_date":"2017-06-24","description":"","custom_fields":[{"id":1,"name":"Subdivision","value":"EC"},{"id":4,"name":"Milepost","value":"23.3314"},{"id":17,"name":"Train ID","value":"139-24"},{"id":16,"name":"Locomotive ID","value":"4004"},{"id":130,"name":"Impact","value":""},{"id":150,"name":"Time of Event (Mountain Time)","value":"09:06:56"},{"id":151,"name":"Denver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4004 --day 2017-06-24</v>
      </c>
      <c r="AN52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15:06:56"},{"id":29,"name":"Sharepoint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733</v>
      </c>
      <c r="B53" s="7">
        <v>4003</v>
      </c>
      <c r="C53" s="21" t="s">
        <v>202</v>
      </c>
      <c r="D53" s="21" t="s">
        <v>473</v>
      </c>
      <c r="E53" s="13">
        <v>42910.385243055556</v>
      </c>
      <c r="F53" s="13">
        <v>42910.394004629627</v>
      </c>
      <c r="G53" s="7">
        <v>1</v>
      </c>
      <c r="H53" s="21" t="s">
        <v>350</v>
      </c>
      <c r="I53" s="13">
        <v>42910.422418981485</v>
      </c>
      <c r="J53" s="7">
        <v>0</v>
      </c>
      <c r="K53" s="89" t="str">
        <f t="shared" si="0"/>
        <v>4003/4004</v>
      </c>
      <c r="L53" s="21" t="str">
        <f>VLOOKUP(A53,'Trips&amp;Operators'!$C$1:$G$99999,5,FALSE)</f>
        <v>MAELZER KURT</v>
      </c>
      <c r="M53" s="6">
        <f t="shared" si="1"/>
        <v>2.8414351858373266E-2</v>
      </c>
      <c r="N53" s="7">
        <f t="shared" si="23"/>
        <v>40.916666676057503</v>
      </c>
      <c r="O53" s="7"/>
      <c r="P53" s="7"/>
      <c r="Q53" s="22"/>
      <c r="R53" s="170"/>
      <c r="S53" s="213">
        <f t="shared" si="24"/>
        <v>1</v>
      </c>
      <c r="T53" s="195" t="str">
        <f t="shared" si="4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-24T08:14:45-0600',mode:absolute,to:'2017-06-24T11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3" s="197" t="str">
        <f>IF(AA53&lt;VLOOKUP(AG53,Variables!$AC$3:$AD$8,2,FALSE),"Y","N")</f>
        <v>N</v>
      </c>
      <c r="X53" s="197">
        <f t="shared" si="25"/>
        <v>1</v>
      </c>
      <c r="Y53" s="197">
        <f t="shared" si="26"/>
        <v>23.299800000000001</v>
      </c>
      <c r="Z53" s="197">
        <f t="shared" si="22"/>
        <v>1.43E-2</v>
      </c>
      <c r="AA53" s="197">
        <f t="shared" si="9"/>
        <v>23.285500000000003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140</v>
      </c>
      <c r="AE53" s="77" t="str">
        <f t="shared" si="11"/>
        <v>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 &amp; aws s3 cp s3://rtdc.mdm.uploadarchive.raw/RTDC4003/ "%USERPROFILE%\AppData\Local\Temp\OnboardLogs"\RTDC4003\2017-06-25 --exclude "*" --recursive --include "*20170625*" &amp; "%USERPROFILE%\Documents\GitHub\mrs-test-scripts\Headless Mode &amp; Sideloading\WalkAndUnGZ.bat" "%USERPROFILE%\AppData\Local\Temp\OnboardLogs"\RTDC4003\2017-06-25</v>
      </c>
      <c r="AF53" s="74" t="str">
        <f t="shared" si="12"/>
        <v>"C:\Program Files (x86)\AstroGrep\AstroGrep.exe" /e /r /s /spath="%USERPROFILE%\AppData\Local\Temp\OnboardLogs" /stypes="app*4003*20170624*" /stext=" 16:.+((SYSTEM_STATE.+slice.+state.+changed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140-24 --locoid 4003 --swversion DE.1.0.9.0 --startMP 204:232998 --initTime 2017-06-24T09:14:45 --startdatetime 2017-06-24T09:27:22 --delay 1 --endMP 204:143 --enddatetime 2017-06-24T10:08:17 --enforcementcount 0 &gt;&gt;C:\Users\stu\Documents\GitHub\eaglep3-reporting\EC\2017-06-24-refined-times.txt</v>
      </c>
      <c r="AI53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{"issue":{"subject":"","project_id":79,"tracker_id":40,"status_id":1,"priority_id":2,"assigned_to_id":23,"start_date":"2017-06-24","description":"","custom_fields":[{"id":1,"name":"Subdivision","value":"EC"},{"id":4,"name":"Milepost","value":"0.0143"},{"id":17,"name":"Train ID","value":"140-24"},{"id":16,"name":"Locomotive ID","value":"4003"},{"id":130,"name":"Impact","value":""},{"id":150,"name":"Time of Event (Mountain Time)","value":"10:08:17"},{"id":151,"name":"Denver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4003 --day 2017-06-24</v>
      </c>
      <c r="AN53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16:08:17"},{"id":29,"name":"Sharepoint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728</v>
      </c>
      <c r="B54" s="7">
        <v>4014</v>
      </c>
      <c r="C54" s="21" t="s">
        <v>202</v>
      </c>
      <c r="D54" s="21" t="s">
        <v>198</v>
      </c>
      <c r="E54" s="13">
        <v>42910.360196759262</v>
      </c>
      <c r="F54" s="13">
        <v>42910.36478009259</v>
      </c>
      <c r="G54" s="7">
        <v>1</v>
      </c>
      <c r="H54" s="21" t="s">
        <v>884</v>
      </c>
      <c r="I54" s="13">
        <v>42910.390208333331</v>
      </c>
      <c r="J54" s="7">
        <v>0</v>
      </c>
      <c r="K54" s="89" t="str">
        <f t="shared" si="0"/>
        <v>4013/4014</v>
      </c>
      <c r="L54" s="21" t="str">
        <f>VLOOKUP(A54,'Trips&amp;Operators'!$C$1:$G$99999,5,FALSE)</f>
        <v>DAVIDSON DAVID</v>
      </c>
      <c r="M54" s="6">
        <f t="shared" si="1"/>
        <v>2.5428240740438923E-2</v>
      </c>
      <c r="N54" s="7">
        <f t="shared" si="23"/>
        <v>36.616666666232049</v>
      </c>
      <c r="O54" s="7"/>
      <c r="P54" s="7"/>
      <c r="Q54" s="22"/>
      <c r="R54" s="170"/>
      <c r="S54" s="213">
        <f t="shared" si="24"/>
        <v>1</v>
      </c>
      <c r="T54" s="195" t="str">
        <f t="shared" si="4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-24T07:38:41-0600',mode:absolute,to:'2017-06-24T10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4" s="197" t="str">
        <f>IF(AA54&lt;VLOOKUP(AG54,Variables!$AC$3:$AD$8,2,FALSE),"Y","N")</f>
        <v>N</v>
      </c>
      <c r="X54" s="197">
        <f t="shared" si="25"/>
        <v>1</v>
      </c>
      <c r="Y54" s="197">
        <f t="shared" si="26"/>
        <v>4.5699999999999998E-2</v>
      </c>
      <c r="Z54" s="197">
        <f t="shared" si="22"/>
        <v>23.332999999999998</v>
      </c>
      <c r="AA54" s="197">
        <f t="shared" si="9"/>
        <v>23.287299999999998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141</v>
      </c>
      <c r="AE54" s="77" t="str">
        <f t="shared" si="11"/>
        <v>aws s3 cp s3://rtdc.mdm.uploadarchive.raw/RTDC4014/ "%USERPROFILE%\AppData\Local\Temp\OnboardLogs"\RTDC4014\2017-06-24 --exclude "*" --recursive --include "*20170624*" &amp; "%USERPROFILE%\Documents\GitHub\mrs-test-scripts\Headless Mode &amp; Sideloading\WalkAndUnGZ.bat" "%USERPROFILE%\AppData\Local\Temp\OnboardLogs"\RTDC4014\2017-06-24 &amp; aws s3 cp s3://rtdc.mdm.uploadarchive.raw/RTDC4014/ "%USERPROFILE%\AppData\Local\Temp\OnboardLogs"\RTDC4014\2017-06-25 --exclude "*" --recursive --include "*20170625*" &amp; "%USERPROFILE%\Documents\GitHub\mrs-test-scripts\Headless Mode &amp; Sideloading\WalkAndUnGZ.bat" "%USERPROFILE%\AppData\Local\Temp\OnboardLogs"\RTDC4014\2017-06-25</v>
      </c>
      <c r="AF54" s="74" t="str">
        <f t="shared" si="12"/>
        <v>"C:\Program Files (x86)\AstroGrep\AstroGrep.exe" /e /r /s /spath="%USERPROFILE%\AppData\Local\Temp\OnboardLogs" /stypes="app*4014*20170624*" /stext=" 15:.+((SYSTEM_STATE.+slice.+state.+changed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141-24 --locoid 4014 --swversion DE.1.0.9.0 --startMP 204:457 --initTime 2017-06-24T08:38:41 --startdatetime 2017-06-24T08:45:17 --delay 1 --endMP 204:233330 --enddatetime 2017-06-24T09:21:54 --enforcementcount 0 &gt;&gt;C:\Users\stu\Documents\GitHub\eaglep3-reporting\EC\2017-06-24-refined-times.txt</v>
      </c>
      <c r="AI54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{"issue":{"subject":"","project_id":79,"tracker_id":40,"status_id":1,"priority_id":2,"assigned_to_id":23,"start_date":"2017-06-24","description":"","custom_fields":[{"id":1,"name":"Subdivision","value":"EC"},{"id":4,"name":"Milepost","value":"23.333"},{"id":17,"name":"Train ID","value":"141-24"},{"id":16,"name":"Locomotive ID","value":"4014"},{"id":130,"name":"Impact","value":""},{"id":150,"name":"Time of Event (Mountain Time)","value":"09:21:54"},{"id":151,"name":"Denver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4014 --day 2017-06-24</v>
      </c>
      <c r="AN54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15:21:54"},{"id":29,"name":"Sharepoint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735</v>
      </c>
      <c r="B55" s="7">
        <v>4013</v>
      </c>
      <c r="C55" s="21" t="s">
        <v>202</v>
      </c>
      <c r="D55" s="21" t="s">
        <v>506</v>
      </c>
      <c r="E55" s="13">
        <v>42910.392511574071</v>
      </c>
      <c r="F55" s="13">
        <v>42910.404374999998</v>
      </c>
      <c r="G55" s="7">
        <v>1</v>
      </c>
      <c r="H55" s="21" t="s">
        <v>349</v>
      </c>
      <c r="I55" s="13">
        <v>42910.431956018518</v>
      </c>
      <c r="J55" s="7">
        <v>0</v>
      </c>
      <c r="K55" s="89" t="str">
        <f t="shared" si="0"/>
        <v>4013/4014</v>
      </c>
      <c r="L55" s="21" t="str">
        <f>VLOOKUP(A55,'Trips&amp;Operators'!$C$1:$G$99999,5,FALSE)</f>
        <v>DAVIDSON DAVID</v>
      </c>
      <c r="M55" s="6">
        <f t="shared" si="1"/>
        <v>2.7581018519413192E-2</v>
      </c>
      <c r="N55" s="7">
        <f t="shared" si="23"/>
        <v>39.716666667954996</v>
      </c>
      <c r="O55" s="7"/>
      <c r="P55" s="7"/>
      <c r="Q55" s="22"/>
      <c r="R55" s="170"/>
      <c r="S55" s="213">
        <f t="shared" si="24"/>
        <v>1</v>
      </c>
      <c r="T55" s="195" t="str">
        <f t="shared" si="4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-24T08:25:13-0600',mode:absolute,to:'2017-06-24T11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5" s="197" t="str">
        <f>IF(AA55&lt;VLOOKUP(AG55,Variables!$AC$3:$AD$8,2,FALSE),"Y","N")</f>
        <v>N</v>
      </c>
      <c r="X55" s="197">
        <f t="shared" si="25"/>
        <v>1</v>
      </c>
      <c r="Y55" s="197">
        <f t="shared" si="26"/>
        <v>23.297799999999999</v>
      </c>
      <c r="Z55" s="197">
        <f t="shared" si="22"/>
        <v>1.49E-2</v>
      </c>
      <c r="AA55" s="197">
        <f t="shared" si="9"/>
        <v>23.282899999999998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142</v>
      </c>
      <c r="AE55" s="77" t="str">
        <f t="shared" si="11"/>
        <v>aws s3 cp s3://rtdc.mdm.uploadarchive.raw/RTDC4013/ "%USERPROFILE%\AppData\Local\Temp\OnboardLogs"\RTDC4013\2017-06-24 --exclude "*" --recursive --include "*20170624*" &amp; "%USERPROFILE%\Documents\GitHub\mrs-test-scripts\Headless Mode &amp; Sideloading\WalkAndUnGZ.bat" "%USERPROFILE%\AppData\Local\Temp\OnboardLogs"\RTDC4013\2017-06-24 &amp; aws s3 cp s3://rtdc.mdm.uploadarchive.raw/RTDC4013/ "%USERPROFILE%\AppData\Local\Temp\OnboardLogs"\RTDC4013\2017-06-25 --exclude "*" --recursive --include "*20170625*" &amp; "%USERPROFILE%\Documents\GitHub\mrs-test-scripts\Headless Mode &amp; Sideloading\WalkAndUnGZ.bat" "%USERPROFILE%\AppData\Local\Temp\OnboardLogs"\RTDC4013\2017-06-25</v>
      </c>
      <c r="AF55" s="74" t="str">
        <f t="shared" si="12"/>
        <v>"C:\Program Files (x86)\AstroGrep\AstroGrep.exe" /e /r /s /spath="%USERPROFILE%\AppData\Local\Temp\OnboardLogs" /stypes="app*4013*20170624*" /stext=" 16:.+((SYSTEM_STATE.+slice.+state.+changed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142-24 --locoid 4013 --swversion DE.1.0.9.0 --startMP 204:232978 --initTime 2017-06-24T09:25:13 --startdatetime 2017-06-24T09:42:18 --delay 1 --endMP 204:149 --enddatetime 2017-06-24T10:22:01 --enforcementcount 0 &gt;&gt;C:\Users\stu\Documents\GitHub\eaglep3-reporting\EC\2017-06-24-refined-times.txt</v>
      </c>
      <c r="AI55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{"issue":{"subject":"","project_id":79,"tracker_id":40,"status_id":1,"priority_id":2,"assigned_to_id":23,"start_date":"2017-06-24","description":"","custom_fields":[{"id":1,"name":"Subdivision","value":"EC"},{"id":4,"name":"Milepost","value":"0.0149"},{"id":17,"name":"Train ID","value":"142-24"},{"id":16,"name":"Locomotive ID","value":"4013"},{"id":130,"name":"Impact","value":""},{"id":150,"name":"Time of Event (Mountain Time)","value":"10:22:01"},{"id":151,"name":"Denver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4013 --day 2017-06-24</v>
      </c>
      <c r="AN55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16:22:01"},{"id":29,"name":"Sharepoint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730</v>
      </c>
      <c r="B56" s="7">
        <v>4042</v>
      </c>
      <c r="C56" s="21" t="s">
        <v>202</v>
      </c>
      <c r="D56" s="21" t="s">
        <v>391</v>
      </c>
      <c r="E56" s="13">
        <v>42910.372407407405</v>
      </c>
      <c r="F56" s="13">
        <v>42910.3752662037</v>
      </c>
      <c r="G56" s="7">
        <v>1</v>
      </c>
      <c r="H56" s="21" t="s">
        <v>487</v>
      </c>
      <c r="I56" s="13">
        <v>42910.40148148148</v>
      </c>
      <c r="J56" s="7">
        <v>0</v>
      </c>
      <c r="K56" s="89" t="str">
        <f t="shared" si="0"/>
        <v>4041/4042</v>
      </c>
      <c r="L56" s="21" t="str">
        <f>VLOOKUP(A56,'Trips&amp;Operators'!$C$1:$G$99999,5,FALSE)</f>
        <v>WILLIAMS DONTE</v>
      </c>
      <c r="M56" s="6">
        <f t="shared" si="1"/>
        <v>2.6215277779556345E-2</v>
      </c>
      <c r="N56" s="7">
        <f t="shared" si="23"/>
        <v>37.750000002561137</v>
      </c>
      <c r="O56" s="7"/>
      <c r="P56" s="7"/>
      <c r="Q56" s="22"/>
      <c r="R56" s="170"/>
      <c r="S56" s="213">
        <f t="shared" si="24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-24T07:56:16-0600',mode:absolute,to:'2017-06-24T10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6" s="197" t="str">
        <f>IF(AA56&lt;VLOOKUP(AG56,Variables!$AC$3:$AD$8,2,FALSE),"Y","N")</f>
        <v>N</v>
      </c>
      <c r="X56" s="197">
        <f t="shared" si="25"/>
        <v>1</v>
      </c>
      <c r="Y56" s="197">
        <f t="shared" si="26"/>
        <v>4.6199999999999998E-2</v>
      </c>
      <c r="Z56" s="197">
        <f t="shared" si="22"/>
        <v>23.3306</v>
      </c>
      <c r="AA56" s="197">
        <f t="shared" si="9"/>
        <v>23.284400000000002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143</v>
      </c>
      <c r="AE56" s="77" t="str">
        <f t="shared" si="11"/>
        <v>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 &amp; 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</v>
      </c>
      <c r="AF56" s="74" t="str">
        <f t="shared" si="12"/>
        <v>"C:\Program Files (x86)\AstroGrep\AstroGrep.exe" /e /r /s /spath="%USERPROFILE%\AppData\Local\Temp\OnboardLogs" /stypes="app*4042*20170624*" /stext=" 15:.+((SYSTEM_STATE.+slice.+state.+changed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143-24 --locoid 4042 --swversion DE.1.0.9.0 --startMP 204:462 --initTime 2017-06-24T08:56:16 --startdatetime 2017-06-24T09:00:23 --delay 1 --endMP 204:233306 --enddatetime 2017-06-24T09:38:08 --enforcementcount 0 &gt;&gt;C:\Users\stu\Documents\GitHub\eaglep3-reporting\EC\2017-06-24-refined-times.txt</v>
      </c>
      <c r="AI56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{"issue":{"subject":"","project_id":79,"tracker_id":40,"status_id":1,"priority_id":2,"assigned_to_id":23,"start_date":"2017-06-24","description":"","custom_fields":[{"id":1,"name":"Subdivision","value":"EC"},{"id":4,"name":"Milepost","value":"23.3306"},{"id":17,"name":"Train ID","value":"143-24"},{"id":16,"name":"Locomotive ID","value":"4042"},{"id":130,"name":"Impact","value":""},{"id":150,"name":"Time of Event (Mountain Time)","value":"09:38:08"},{"id":151,"name":"Denver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4042 --day 2017-06-24</v>
      </c>
      <c r="AN56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15:38:08"},{"id":29,"name":"Sharepoint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737</v>
      </c>
      <c r="B57" s="7">
        <v>4041</v>
      </c>
      <c r="C57" s="21" t="s">
        <v>202</v>
      </c>
      <c r="D57" s="21" t="s">
        <v>442</v>
      </c>
      <c r="E57" s="13">
        <v>42910.40488425926</v>
      </c>
      <c r="F57" s="13">
        <v>42910.41479166667</v>
      </c>
      <c r="G57" s="7">
        <v>1</v>
      </c>
      <c r="H57" s="21" t="s">
        <v>394</v>
      </c>
      <c r="I57" s="13">
        <v>42910.441666666666</v>
      </c>
      <c r="J57" s="7">
        <v>0</v>
      </c>
      <c r="K57" s="89" t="str">
        <f t="shared" si="0"/>
        <v>4041/4042</v>
      </c>
      <c r="L57" s="21" t="str">
        <f>VLOOKUP(A57,'Trips&amp;Operators'!$C$1:$G$99999,5,FALSE)</f>
        <v>WILLIAMS DONTE</v>
      </c>
      <c r="M57" s="6">
        <f t="shared" si="1"/>
        <v>2.6874999995925464E-2</v>
      </c>
      <c r="N57" s="7">
        <f t="shared" si="23"/>
        <v>38.699999994132668</v>
      </c>
      <c r="O57" s="7"/>
      <c r="P57" s="7"/>
      <c r="Q57" s="22"/>
      <c r="R57" s="170"/>
      <c r="S57" s="213">
        <f t="shared" si="24"/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-24T08:43:02-0600',mode:absolute,to:'2017-06-24T11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7" s="197" t="str">
        <f>IF(AA57&lt;VLOOKUP(AG57,Variables!$AC$3:$AD$8,2,FALSE),"Y","N")</f>
        <v>N</v>
      </c>
      <c r="X57" s="197">
        <f t="shared" si="25"/>
        <v>1</v>
      </c>
      <c r="Y57" s="197">
        <f t="shared" si="26"/>
        <v>23.299600000000002</v>
      </c>
      <c r="Z57" s="197">
        <f t="shared" si="22"/>
        <v>1.54E-2</v>
      </c>
      <c r="AA57" s="197">
        <f t="shared" si="9"/>
        <v>23.284200000000002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144</v>
      </c>
      <c r="AE57" s="77" t="str">
        <f t="shared" si="11"/>
        <v>aws s3 cp s3://rtdc.mdm.uploadarchive.raw/RTDC4041/ "%USERPROFILE%\AppData\Local\Temp\OnboardLogs"\RTDC4041\2017-06-24 --exclude "*" --recursive --include "*20170624*" &amp; "%USERPROFILE%\Documents\GitHub\mrs-test-scripts\Headless Mode &amp; Sideloading\WalkAndUnGZ.bat" "%USERPROFILE%\AppData\Local\Temp\OnboardLogs"\RTDC4041\2017-06-24 &amp; aws s3 cp s3://rtdc.mdm.uploadarchive.raw/RTDC4041/ "%USERPROFILE%\AppData\Local\Temp\OnboardLogs"\RTDC4041\2017-06-25 --exclude "*" --recursive --include "*20170625*" &amp; "%USERPROFILE%\Documents\GitHub\mrs-test-scripts\Headless Mode &amp; Sideloading\WalkAndUnGZ.bat" "%USERPROFILE%\AppData\Local\Temp\OnboardLogs"\RTDC4041\2017-06-25</v>
      </c>
      <c r="AF57" s="74" t="str">
        <f t="shared" si="12"/>
        <v>"C:\Program Files (x86)\AstroGrep\AstroGrep.exe" /e /r /s /spath="%USERPROFILE%\AppData\Local\Temp\OnboardLogs" /stypes="app*4041*20170624*" /stext=" 16:.+((SYSTEM_STATE.+slice.+state.+changed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144-24 --locoid 4041 --swversion DE.1.0.9.0 --startMP 204:232996 --initTime 2017-06-24T09:43:02 --startdatetime 2017-06-24T09:57:18 --delay 1 --endMP 204:154 --enddatetime 2017-06-24T10:36:00 --enforcementcount 0 &gt;&gt;C:\Users\stu\Documents\GitHub\eaglep3-reporting\EC\2017-06-24-refined-times.txt</v>
      </c>
      <c r="AI57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{"issue":{"subject":"","project_id":79,"tracker_id":40,"status_id":1,"priority_id":2,"assigned_to_id":23,"start_date":"2017-06-24","description":"","custom_fields":[{"id":1,"name":"Subdivision","value":"EC"},{"id":4,"name":"Milepost","value":"0.0154"},{"id":17,"name":"Train ID","value":"144-24"},{"id":16,"name":"Locomotive ID","value":"4041"},{"id":130,"name":"Impact","value":""},{"id":150,"name":"Time of Event (Mountain Time)","value":"10:36:00"},{"id":151,"name":"Denver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4041 --day 2017-06-24</v>
      </c>
      <c r="AN57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16:36:00"},{"id":29,"name":"Sharepoint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732</v>
      </c>
      <c r="B58" s="7">
        <v>4016</v>
      </c>
      <c r="C58" s="21" t="s">
        <v>202</v>
      </c>
      <c r="D58" s="21" t="s">
        <v>476</v>
      </c>
      <c r="E58" s="13">
        <v>42910.380381944444</v>
      </c>
      <c r="F58" s="13">
        <v>42910.385601851849</v>
      </c>
      <c r="G58" s="7">
        <v>2</v>
      </c>
      <c r="H58" s="21" t="s">
        <v>872</v>
      </c>
      <c r="I58" s="13">
        <v>42910.41064814815</v>
      </c>
      <c r="J58" s="7">
        <v>0</v>
      </c>
      <c r="K58" s="89" t="str">
        <f t="shared" si="0"/>
        <v>4015/4016</v>
      </c>
      <c r="L58" s="21" t="str">
        <f>VLOOKUP(A58,'Trips&amp;Operators'!$C$1:$G$99999,5,FALSE)</f>
        <v>GUZMAN DANNY</v>
      </c>
      <c r="M58" s="6">
        <f t="shared" si="1"/>
        <v>2.5046296301297843E-2</v>
      </c>
      <c r="N58" s="7">
        <f t="shared" si="23"/>
        <v>36.066666673868895</v>
      </c>
      <c r="O58" s="7"/>
      <c r="P58" s="7"/>
      <c r="Q58" s="22"/>
      <c r="R58" s="170"/>
      <c r="S58" s="213">
        <f t="shared" si="24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-24T08:07:45-0600',mode:absolute,to:'2017-06-24T10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8" s="197" t="str">
        <f>IF(AA58&lt;VLOOKUP(AG58,Variables!$AC$3:$AD$8,2,FALSE),"Y","N")</f>
        <v>N</v>
      </c>
      <c r="X58" s="197">
        <f t="shared" si="25"/>
        <v>1</v>
      </c>
      <c r="Y58" s="197">
        <f t="shared" si="26"/>
        <v>4.7100000000000003E-2</v>
      </c>
      <c r="Z58" s="197">
        <f t="shared" si="22"/>
        <v>23.332599999999999</v>
      </c>
      <c r="AA58" s="197">
        <f t="shared" si="9"/>
        <v>23.285499999999999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145</v>
      </c>
      <c r="AE58" s="77" t="str">
        <f t="shared" si="11"/>
        <v>aws s3 cp s3://rtdc.mdm.uploadarchive.raw/RTDC4016/ "%USERPROFILE%\AppData\Local\Temp\OnboardLogs"\RTDC4016\2017-06-24 --exclude "*" --recursive --include "*20170624*" &amp; "%USERPROFILE%\Documents\GitHub\mrs-test-scripts\Headless Mode &amp; Sideloading\WalkAndUnGZ.bat" "%USERPROFILE%\AppData\Local\Temp\OnboardLogs"\RTDC4016\2017-06-24 &amp; aws s3 cp s3://rtdc.mdm.uploadarchive.raw/RTDC4016/ "%USERPROFILE%\AppData\Local\Temp\OnboardLogs"\RTDC4016\2017-06-25 --exclude "*" --recursive --include "*20170625*" &amp; "%USERPROFILE%\Documents\GitHub\mrs-test-scripts\Headless Mode &amp; Sideloading\WalkAndUnGZ.bat" "%USERPROFILE%\AppData\Local\Temp\OnboardLogs"\RTDC4016\2017-06-25</v>
      </c>
      <c r="AF58" s="74" t="str">
        <f t="shared" si="12"/>
        <v>"C:\Program Files (x86)\AstroGrep\AstroGrep.exe" /e /r /s /spath="%USERPROFILE%\AppData\Local\Temp\OnboardLogs" /stypes="app*4016*20170624*" /stext=" 15:.+((SYSTEM_STATE.+slice.+state.+changed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145-24 --locoid 4016 --swversion DE.1.0.9.0 --startMP 204:471 --initTime 2017-06-24T09:07:45 --startdatetime 2017-06-24T09:15:16 --delay 2 --endMP 204:233326 --enddatetime 2017-06-24T09:51:20 --enforcementcount 0 &gt;&gt;C:\Users\stu\Documents\GitHub\eaglep3-reporting\EC\2017-06-24-refined-times.txt</v>
      </c>
      <c r="AI58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{"issue":{"subject":"","project_id":79,"tracker_id":40,"status_id":1,"priority_id":2,"assigned_to_id":23,"start_date":"2017-06-24","description":"","custom_fields":[{"id":1,"name":"Subdivision","value":"EC"},{"id":4,"name":"Milepost","value":"23.3326"},{"id":17,"name":"Train ID","value":"145-24"},{"id":16,"name":"Locomotive ID","value":"4016"},{"id":130,"name":"Impact","value":""},{"id":150,"name":"Time of Event (Mountain Time)","value":"09:51:20"},{"id":151,"name":"Denver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4016 --day 2017-06-24</v>
      </c>
      <c r="AN58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15:51:20"},{"id":29,"name":"Sharepoint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738</v>
      </c>
      <c r="B59" s="7">
        <v>4015</v>
      </c>
      <c r="C59" s="21" t="s">
        <v>202</v>
      </c>
      <c r="D59" s="21" t="s">
        <v>885</v>
      </c>
      <c r="E59" s="13">
        <v>42910.412731481483</v>
      </c>
      <c r="F59" s="13">
        <v>42910.425185185188</v>
      </c>
      <c r="G59" s="7">
        <v>1</v>
      </c>
      <c r="H59" s="21" t="s">
        <v>358</v>
      </c>
      <c r="I59" s="13">
        <v>42910.451863425929</v>
      </c>
      <c r="J59" s="7">
        <v>0</v>
      </c>
      <c r="K59" s="89" t="str">
        <f t="shared" si="0"/>
        <v>4015/4016</v>
      </c>
      <c r="L59" s="21" t="str">
        <f>VLOOKUP(A59,'Trips&amp;Operators'!$C$1:$G$99999,5,FALSE)</f>
        <v>GUZMAN DANNY</v>
      </c>
      <c r="M59" s="6">
        <f t="shared" si="1"/>
        <v>2.6678240741603076E-2</v>
      </c>
      <c r="N59" s="7">
        <f t="shared" si="23"/>
        <v>38.41666666790843</v>
      </c>
      <c r="O59" s="7"/>
      <c r="P59" s="7"/>
      <c r="Q59" s="22"/>
      <c r="R59" s="170"/>
      <c r="S59" s="213">
        <f t="shared" si="24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-24T08:54:20-0600',mode:absolute,to:'2017-06-24T11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9" s="197" t="str">
        <f>IF(AA59&lt;VLOOKUP(AG59,Variables!$AC$3:$AD$8,2,FALSE),"Y","N")</f>
        <v>N</v>
      </c>
      <c r="X59" s="197">
        <f t="shared" si="25"/>
        <v>1</v>
      </c>
      <c r="Y59" s="197">
        <f t="shared" si="26"/>
        <v>23.298999999999999</v>
      </c>
      <c r="Z59" s="197">
        <f t="shared" si="22"/>
        <v>1.41E-2</v>
      </c>
      <c r="AA59" s="197">
        <f t="shared" si="9"/>
        <v>23.2849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146</v>
      </c>
      <c r="AE59" s="77" t="str">
        <f t="shared" si="11"/>
        <v>aws s3 cp s3://rtdc.mdm.uploadarchive.raw/RTDC4015/ "%USERPROFILE%\AppData\Local\Temp\OnboardLogs"\RTDC4015\2017-06-24 --exclude "*" --recursive --include "*20170624*" &amp; "%USERPROFILE%\Documents\GitHub\mrs-test-scripts\Headless Mode &amp; Sideloading\WalkAndUnGZ.bat" "%USERPROFILE%\AppData\Local\Temp\OnboardLogs"\RTDC4015\2017-06-24 &amp; aws s3 cp s3://rtdc.mdm.uploadarchive.raw/RTDC4015/ "%USERPROFILE%\AppData\Local\Temp\OnboardLogs"\RTDC4015\2017-06-25 --exclude "*" --recursive --include "*20170625*" &amp; "%USERPROFILE%\Documents\GitHub\mrs-test-scripts\Headless Mode &amp; Sideloading\WalkAndUnGZ.bat" "%USERPROFILE%\AppData\Local\Temp\OnboardLogs"\RTDC4015\2017-06-25</v>
      </c>
      <c r="AF59" s="74" t="str">
        <f t="shared" si="12"/>
        <v>"C:\Program Files (x86)\AstroGrep\AstroGrep.exe" /e /r /s /spath="%USERPROFILE%\AppData\Local\Temp\OnboardLogs" /stypes="app*4015*20170624*"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146-24 --locoid 4015 --swversion DE.1.0.9.0 --startMP 204:232990 --initTime 2017-06-24T09:54:20 --startdatetime 2017-06-24T10:12:16 --delay 1 --endMP 204:141 --enddatetime 2017-06-24T10:50:41 --enforcementcount 0 &gt;&gt;C:\Users\stu\Documents\GitHub\eaglep3-reporting\EC\2017-06-24-refined-times.txt</v>
      </c>
      <c r="AI59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{"issue":{"subject":"","project_id":79,"tracker_id":40,"status_id":1,"priority_id":2,"assigned_to_id":23,"start_date":"2017-06-24","description":"","custom_fields":[{"id":1,"name":"Subdivision","value":"EC"},{"id":4,"name":"Milepost","value":"0.0141"},{"id":17,"name":"Train ID","value":"146-24"},{"id":16,"name":"Locomotive ID","value":"4015"},{"id":130,"name":"Impact","value":""},{"id":150,"name":"Time of Event (Mountain Time)","value":"10:50:41"},{"id":151,"name":"Denver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4015 --day 2017-06-24</v>
      </c>
      <c r="AN59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16:50:41"},{"id":29,"name":"Sharepoint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734</v>
      </c>
      <c r="B60" s="7">
        <v>4022</v>
      </c>
      <c r="C60" s="21" t="s">
        <v>202</v>
      </c>
      <c r="D60" s="21" t="s">
        <v>354</v>
      </c>
      <c r="E60" s="13">
        <v>42910.391550925924</v>
      </c>
      <c r="F60" s="13">
        <v>42910.395995370367</v>
      </c>
      <c r="G60" s="7">
        <v>1</v>
      </c>
      <c r="H60" s="21" t="s">
        <v>584</v>
      </c>
      <c r="I60" s="13">
        <v>42910.422268518516</v>
      </c>
      <c r="J60" s="7">
        <v>0</v>
      </c>
      <c r="K60" s="89" t="str">
        <f t="shared" si="0"/>
        <v>4021/4022</v>
      </c>
      <c r="L60" s="21" t="str">
        <f>VLOOKUP(A60,'Trips&amp;Operators'!$C$1:$G$99999,5,FALSE)</f>
        <v>DAVIS WENDY</v>
      </c>
      <c r="M60" s="6">
        <f t="shared" si="1"/>
        <v>2.6273148148902692E-2</v>
      </c>
      <c r="N60" s="7">
        <f t="shared" si="23"/>
        <v>37.833333334419876</v>
      </c>
      <c r="O60" s="7"/>
      <c r="P60" s="7"/>
      <c r="Q60" s="22"/>
      <c r="R60" s="170"/>
      <c r="S60" s="213">
        <f t="shared" si="24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-24T08:23:50-0600',mode:absolute,to:'2017-06-24T11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0" s="197" t="str">
        <f>IF(AA60&lt;VLOOKUP(AG60,Variables!$AC$3:$AD$8,2,FALSE),"Y","N")</f>
        <v>N</v>
      </c>
      <c r="X60" s="197">
        <f t="shared" si="25"/>
        <v>1</v>
      </c>
      <c r="Y60" s="197">
        <f t="shared" si="26"/>
        <v>4.53E-2</v>
      </c>
      <c r="Z60" s="197">
        <f t="shared" si="22"/>
        <v>23.331900000000001</v>
      </c>
      <c r="AA60" s="197">
        <f t="shared" si="9"/>
        <v>23.2866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147</v>
      </c>
      <c r="AE60" s="77" t="str">
        <f t="shared" si="11"/>
        <v>aws s3 cp s3://rtdc.mdm.uploadarchive.raw/RTDC4022/ "%USERPROFILE%\AppData\Local\Temp\OnboardLogs"\RTDC4022\2017-06-24 --exclude "*" --recursive --include "*20170624*" &amp; "%USERPROFILE%\Documents\GitHub\mrs-test-scripts\Headless Mode &amp; Sideloading\WalkAndUnGZ.bat" "%USERPROFILE%\AppData\Local\Temp\OnboardLogs"\RTDC4022\2017-06-24 &amp; aws s3 cp s3://rtdc.mdm.uploadarchive.raw/RTDC4022/ "%USERPROFILE%\AppData\Local\Temp\OnboardLogs"\RTDC4022\2017-06-25 --exclude "*" --recursive --include "*20170625*" &amp; "%USERPROFILE%\Documents\GitHub\mrs-test-scripts\Headless Mode &amp; Sideloading\WalkAndUnGZ.bat" "%USERPROFILE%\AppData\Local\Temp\OnboardLogs"\RTDC4022\2017-06-25</v>
      </c>
      <c r="AF60" s="74" t="str">
        <f t="shared" si="12"/>
        <v>"C:\Program Files (x86)\AstroGrep\AstroGrep.exe" /e /r /s /spath="%USERPROFILE%\AppData\Local\Temp\OnboardLogs" /stypes="app*4022*20170624*"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147-24 --locoid 4022 --swversion DE.1.0.9.0 --startMP 204:453 --initTime 2017-06-24T09:23:50 --startdatetime 2017-06-24T09:30:14 --delay 1 --endMP 204:233319 --enddatetime 2017-06-24T10:08:04 --enforcementcount 0 &gt;&gt;C:\Users\stu\Documents\GitHub\eaglep3-reporting\EC\2017-06-24-refined-times.txt</v>
      </c>
      <c r="AI60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{"issue":{"subject":"","project_id":79,"tracker_id":40,"status_id":1,"priority_id":2,"assigned_to_id":23,"start_date":"2017-06-24","description":"","custom_fields":[{"id":1,"name":"Subdivision","value":"EC"},{"id":4,"name":"Milepost","value":"23.3319"},{"id":17,"name":"Train ID","value":"147-24"},{"id":16,"name":"Locomotive ID","value":"4022"},{"id":130,"name":"Impact","value":""},{"id":150,"name":"Time of Event (Mountain Time)","value":"10:08:04"},{"id":151,"name":"Denver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4022 --day 2017-06-24</v>
      </c>
      <c r="AN60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16:08:04"},{"id":29,"name":"Sharepoint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640</v>
      </c>
      <c r="B61" s="7">
        <v>4021</v>
      </c>
      <c r="C61" s="21" t="s">
        <v>202</v>
      </c>
      <c r="D61" s="21" t="s">
        <v>494</v>
      </c>
      <c r="E61" s="13">
        <v>42910.432164351849</v>
      </c>
      <c r="F61" s="13">
        <v>42910.435590277775</v>
      </c>
      <c r="G61" s="7">
        <v>1</v>
      </c>
      <c r="H61" s="21" t="s">
        <v>459</v>
      </c>
      <c r="I61" s="13">
        <v>42910.462442129632</v>
      </c>
      <c r="J61" s="7">
        <v>0</v>
      </c>
      <c r="K61" s="89" t="str">
        <f t="shared" si="0"/>
        <v>4021/4022</v>
      </c>
      <c r="L61" s="21" t="str">
        <f>VLOOKUP(A61,'Trips&amp;Operators'!$C$1:$G$99999,5,FALSE)</f>
        <v>DAVIS WENDY</v>
      </c>
      <c r="M61" s="6">
        <f t="shared" si="1"/>
        <v>2.6851851856918074E-2</v>
      </c>
      <c r="N61" s="7">
        <f t="shared" si="23"/>
        <v>38.666666673962027</v>
      </c>
      <c r="O61" s="7"/>
      <c r="P61" s="7"/>
      <c r="Q61" s="22"/>
      <c r="R61" s="170"/>
      <c r="S61" s="213">
        <f t="shared" si="24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-24T09:22:19-0600',mode:absolute,to:'2017-06-24T12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1" s="197" t="str">
        <f>IF(AA61&lt;VLOOKUP(AG61,Variables!$AC$3:$AD$8,2,FALSE),"Y","N")</f>
        <v>N</v>
      </c>
      <c r="X61" s="197">
        <f t="shared" si="25"/>
        <v>1</v>
      </c>
      <c r="Y61" s="197">
        <f t="shared" si="26"/>
        <v>23.3004</v>
      </c>
      <c r="Z61" s="197">
        <f t="shared" si="22"/>
        <v>1.6E-2</v>
      </c>
      <c r="AA61" s="197">
        <f t="shared" si="9"/>
        <v>23.284400000000002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148</v>
      </c>
      <c r="AE61" s="77" t="str">
        <f t="shared" si="11"/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AF61" s="74" t="str">
        <f t="shared" si="12"/>
        <v>"C:\Program Files (x86)\AstroGrep\AstroGrep.exe" /e /r /s /spath="%USERPROFILE%\AppData\Local\Temp\OnboardLogs" /stypes="app*4021*20170624*" /stext=" 17:.+((SYSTEM_STATE.+slice.+state.+changed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148-24 --locoid 4021 --swversion DE.1.0.9.0 --startMP 204:233004 --initTime 2017-06-24T10:22:19 --startdatetime 2017-06-24T10:27:15 --delay 1 --endMP 204:160 --enddatetime 2017-06-24T11:05:55 --enforcementcount 0 &gt;&gt;C:\Users\stu\Documents\GitHub\eaglep3-reporting\EC\2017-06-24-refined-times.txt</v>
      </c>
      <c r="AI61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{"issue":{"subject":"","project_id":79,"tracker_id":40,"status_id":1,"priority_id":2,"assigned_to_id":23,"start_date":"2017-06-24","description":"","custom_fields":[{"id":1,"name":"Subdivision","value":"EC"},{"id":4,"name":"Milepost","value":"0.016"},{"id":17,"name":"Train ID","value":"148-24"},{"id":16,"name":"Locomotive ID","value":"4021"},{"id":130,"name":"Impact","value":""},{"id":150,"name":"Time of Event (Mountain Time)","value":"11:05:55"},{"id":151,"name":"Denver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4021 --day 2017-06-24</v>
      </c>
      <c r="AN61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17:05:55"},{"id":29,"name":"Sharepoint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736</v>
      </c>
      <c r="B62" s="7">
        <v>4044</v>
      </c>
      <c r="C62" s="21" t="s">
        <v>202</v>
      </c>
      <c r="D62" s="21" t="s">
        <v>610</v>
      </c>
      <c r="E62" s="13">
        <v>42910.403171296297</v>
      </c>
      <c r="F62" s="13">
        <v>42910.406446759262</v>
      </c>
      <c r="G62" s="7">
        <v>2</v>
      </c>
      <c r="H62" s="21" t="s">
        <v>542</v>
      </c>
      <c r="I62" s="13">
        <v>42910.430775462963</v>
      </c>
      <c r="J62" s="7">
        <v>0</v>
      </c>
      <c r="K62" s="89" t="str">
        <f t="shared" si="0"/>
        <v>4043/4044</v>
      </c>
      <c r="L62" s="21" t="str">
        <f>VLOOKUP(A62,'Trips&amp;Operators'!$C$1:$G$99999,5,FALSE)</f>
        <v>GEBRETEKLE DAGNEW</v>
      </c>
      <c r="M62" s="6">
        <f t="shared" si="1"/>
        <v>2.4328703701030463E-2</v>
      </c>
      <c r="N62" s="7">
        <f t="shared" si="23"/>
        <v>35.033333329483867</v>
      </c>
      <c r="O62" s="7"/>
      <c r="P62" s="7"/>
      <c r="Q62" s="22"/>
      <c r="R62" s="170"/>
      <c r="S62" s="213">
        <f t="shared" si="24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-24T08:40:34-0600',mode:absolute,to:'2017-06-24T11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2" s="197" t="str">
        <f>IF(AA62&lt;VLOOKUP(AG62,Variables!$AC$3:$AD$8,2,FALSE),"Y","N")</f>
        <v>N</v>
      </c>
      <c r="X62" s="197">
        <f t="shared" si="25"/>
        <v>1</v>
      </c>
      <c r="Y62" s="197">
        <f t="shared" si="26"/>
        <v>4.7500000000000001E-2</v>
      </c>
      <c r="Z62" s="197">
        <f t="shared" si="22"/>
        <v>23.329899999999999</v>
      </c>
      <c r="AA62" s="197">
        <f t="shared" si="9"/>
        <v>23.282399999999999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149</v>
      </c>
      <c r="AE62" s="77" t="str">
        <f t="shared" si="11"/>
        <v>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 &amp; 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</v>
      </c>
      <c r="AF62" s="74" t="str">
        <f t="shared" si="12"/>
        <v>"C:\Program Files (x86)\AstroGrep\AstroGrep.exe" /e /r /s /spath="%USERPROFILE%\AppData\Local\Temp\OnboardLogs" /stypes="app*4044*20170624*"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149-24 --locoid 4044 --swversion DE.1.0.9.0 --startMP 204:475 --initTime 2017-06-24T09:40:34 --startdatetime 2017-06-24T09:45:17 --delay 2 --endMP 204:233299 --enddatetime 2017-06-24T10:20:19 --enforcementcount 0 &gt;&gt;C:\Users\stu\Documents\GitHub\eaglep3-reporting\EC\2017-06-24-refined-times.txt</v>
      </c>
      <c r="AI62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{"issue":{"subject":"","project_id":79,"tracker_id":40,"status_id":1,"priority_id":2,"assigned_to_id":23,"start_date":"2017-06-24","description":"","custom_fields":[{"id":1,"name":"Subdivision","value":"EC"},{"id":4,"name":"Milepost","value":"23.3299"},{"id":17,"name":"Train ID","value":"149-24"},{"id":16,"name":"Locomotive ID","value":"4044"},{"id":130,"name":"Impact","value":""},{"id":150,"name":"Time of Event (Mountain Time)","value":"10:20:19"},{"id":151,"name":"Denver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4044 --day 2017-06-24</v>
      </c>
      <c r="AN62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16:20:19"},{"id":29,"name":"Sharepoint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742</v>
      </c>
      <c r="B63" s="7">
        <v>4043</v>
      </c>
      <c r="C63" s="21" t="s">
        <v>202</v>
      </c>
      <c r="D63" s="21" t="s">
        <v>885</v>
      </c>
      <c r="E63" s="13">
        <v>42910.431967592594</v>
      </c>
      <c r="F63" s="13">
        <v>42910.446134259262</v>
      </c>
      <c r="G63" s="7">
        <v>1</v>
      </c>
      <c r="H63" s="21" t="s">
        <v>436</v>
      </c>
      <c r="I63" s="13">
        <v>42910.47216435185</v>
      </c>
      <c r="J63" s="7">
        <v>0</v>
      </c>
      <c r="K63" s="89" t="str">
        <f t="shared" si="0"/>
        <v>4043/4044</v>
      </c>
      <c r="L63" s="21" t="str">
        <f>VLOOKUP(A63,'Trips&amp;Operators'!$C$1:$G$99999,5,FALSE)</f>
        <v>GEBRETEKLE DAGNEW</v>
      </c>
      <c r="M63" s="6">
        <f t="shared" si="1"/>
        <v>2.6030092587461695E-2</v>
      </c>
      <c r="N63" s="7">
        <f t="shared" ref="N63:N94" si="27">24*60*SUM($M63:$M63)</f>
        <v>37.483333325944841</v>
      </c>
      <c r="O63" s="7"/>
      <c r="P63" s="7"/>
      <c r="Q63" s="22"/>
      <c r="R63" s="170"/>
      <c r="S63" s="213">
        <f t="shared" ref="S63:S94" si="28">SUM(U63:U63)/IF(AG63="EC",12,1)</f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-24T09:22:02-0600',mode:absolute,to:'2017-06-24T12:19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3" s="197" t="str">
        <f>IF(AA63&lt;VLOOKUP(AG63,Variables!$AC$3:$AD$8,2,FALSE),"Y","N")</f>
        <v>N</v>
      </c>
      <c r="X63" s="197">
        <f t="shared" si="25"/>
        <v>1</v>
      </c>
      <c r="Y63" s="197">
        <f t="shared" si="26"/>
        <v>23.298999999999999</v>
      </c>
      <c r="Z63" s="197">
        <f t="shared" si="22"/>
        <v>1.5599999999999999E-2</v>
      </c>
      <c r="AA63" s="197">
        <f t="shared" si="9"/>
        <v>23.2834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150</v>
      </c>
      <c r="AE63" s="77" t="str">
        <f t="shared" si="11"/>
        <v>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 &amp; 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</v>
      </c>
      <c r="AF63" s="74" t="str">
        <f t="shared" si="12"/>
        <v>"C:\Program Files (x86)\AstroGrep\AstroGrep.exe" /e /r /s /spath="%USERPROFILE%\AppData\Local\Temp\OnboardLogs" /stypes="app*4043*20170624*"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150-24 --locoid 4043 --swversion DE.1.0.9.0 --startMP 204:232990 --initTime 2017-06-24T10:22:02 --startdatetime 2017-06-24T10:42:26 --delay 1 --endMP 204:156 --enddatetime 2017-06-24T11:19:55 --enforcementcount 0 &gt;&gt;C:\Users\stu\Documents\GitHub\eaglep3-reporting\EC\2017-06-24-refined-times.txt</v>
      </c>
      <c r="AI63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{"issue":{"subject":"","project_id":79,"tracker_id":40,"status_id":1,"priority_id":2,"assigned_to_id":23,"start_date":"2017-06-24","description":"","custom_fields":[{"id":1,"name":"Subdivision","value":"EC"},{"id":4,"name":"Milepost","value":"0.0156"},{"id":17,"name":"Train ID","value":"150-24"},{"id":16,"name":"Locomotive ID","value":"4043"},{"id":130,"name":"Impact","value":""},{"id":150,"name":"Time of Event (Mountain Time)","value":"11:19:55"},{"id":151,"name":"Denver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4043 --day 2017-06-24</v>
      </c>
      <c r="AN63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17:19:55"},{"id":29,"name":"Sharepoint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739</v>
      </c>
      <c r="B64" s="7">
        <v>4020</v>
      </c>
      <c r="C64" s="21" t="s">
        <v>202</v>
      </c>
      <c r="D64" s="21" t="s">
        <v>199</v>
      </c>
      <c r="E64" s="13">
        <v>42910.412962962961</v>
      </c>
      <c r="F64" s="13">
        <v>42910.416817129626</v>
      </c>
      <c r="G64" s="7">
        <v>1</v>
      </c>
      <c r="H64" s="21" t="s">
        <v>604</v>
      </c>
      <c r="I64" s="13">
        <v>42910.441516203704</v>
      </c>
      <c r="J64" s="7">
        <v>0</v>
      </c>
      <c r="K64" s="89" t="str">
        <f t="shared" si="0"/>
        <v>4019/4020</v>
      </c>
      <c r="L64" s="21" t="str">
        <f>VLOOKUP(A64,'Trips&amp;Operators'!$C$1:$G$99999,5,FALSE)</f>
        <v>LALONDE GREGORY</v>
      </c>
      <c r="M64" s="6">
        <f t="shared" si="1"/>
        <v>2.4699074077943806E-2</v>
      </c>
      <c r="N64" s="7">
        <f t="shared" si="27"/>
        <v>35.56666667223908</v>
      </c>
      <c r="O64" s="7"/>
      <c r="P64" s="7"/>
      <c r="Q64" s="22"/>
      <c r="R64" s="170"/>
      <c r="S64" s="213">
        <f t="shared" si="28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-24T08:54:40-0600',mode:absolute,to:'2017-06-24T11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4" s="197" t="str">
        <f>IF(AA64&lt;VLOOKUP(AG64,Variables!$AC$3:$AD$8,2,FALSE),"Y","N")</f>
        <v>N</v>
      </c>
      <c r="X64" s="197">
        <f t="shared" si="25"/>
        <v>1</v>
      </c>
      <c r="Y64" s="197">
        <f t="shared" si="26"/>
        <v>4.5999999999999999E-2</v>
      </c>
      <c r="Z64" s="197">
        <f t="shared" si="22"/>
        <v>23.334399999999999</v>
      </c>
      <c r="AA64" s="197">
        <f t="shared" si="9"/>
        <v>23.288399999999999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151</v>
      </c>
      <c r="AE64" s="77" t="str">
        <f t="shared" si="11"/>
        <v>aws s3 cp s3://rtdc.mdm.uploadarchive.raw/RTDC4020/ "%USERPROFILE%\AppData\Local\Temp\OnboardLogs"\RTDC4020\2017-06-24 --exclude "*" --recursive --include "*20170624*" &amp; "%USERPROFILE%\Documents\GitHub\mrs-test-scripts\Headless Mode &amp; Sideloading\WalkAndUnGZ.bat" "%USERPROFILE%\AppData\Local\Temp\OnboardLogs"\RTDC4020\2017-06-24 &amp; aws s3 cp s3://rtdc.mdm.uploadarchive.raw/RTDC4020/ "%USERPROFILE%\AppData\Local\Temp\OnboardLogs"\RTDC4020\2017-06-25 --exclude "*" --recursive --include "*20170625*" &amp; "%USERPROFILE%\Documents\GitHub\mrs-test-scripts\Headless Mode &amp; Sideloading\WalkAndUnGZ.bat" "%USERPROFILE%\AppData\Local\Temp\OnboardLogs"\RTDC4020\2017-06-25</v>
      </c>
      <c r="AF64" s="74" t="str">
        <f t="shared" si="12"/>
        <v>"C:\Program Files (x86)\AstroGrep\AstroGrep.exe" /e /r /s /spath="%USERPROFILE%\AppData\Local\Temp\OnboardLogs" /stypes="app*4020*20170624*"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151-24 --locoid 4020 --swversion DE.1.0.9.0 --startMP 204:460 --initTime 2017-06-24T09:54:40 --startdatetime 2017-06-24T10:00:13 --delay 1 --endMP 204:233344 --enddatetime 2017-06-24T10:35:47 --enforcementcount 0 &gt;&gt;C:\Users\stu\Documents\GitHub\eaglep3-reporting\EC\2017-06-24-refined-times.txt</v>
      </c>
      <c r="AI64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{"issue":{"subject":"","project_id":79,"tracker_id":40,"status_id":1,"priority_id":2,"assigned_to_id":23,"start_date":"2017-06-24","description":"","custom_fields":[{"id":1,"name":"Subdivision","value":"EC"},{"id":4,"name":"Milepost","value":"23.3344"},{"id":17,"name":"Train ID","value":"151-24"},{"id":16,"name":"Locomotive ID","value":"4020"},{"id":130,"name":"Impact","value":""},{"id":150,"name":"Time of Event (Mountain Time)","value":"10:35:47"},{"id":151,"name":"Denver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4020 --day 2017-06-24</v>
      </c>
      <c r="AN64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16:35:47"},{"id":29,"name":"Sharepoint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745</v>
      </c>
      <c r="B65" s="7">
        <v>4019</v>
      </c>
      <c r="C65" s="21" t="s">
        <v>202</v>
      </c>
      <c r="D65" s="21" t="s">
        <v>596</v>
      </c>
      <c r="E65" s="13">
        <v>42910.444687499999</v>
      </c>
      <c r="F65" s="13">
        <v>42910.456412037034</v>
      </c>
      <c r="G65" s="7">
        <v>1</v>
      </c>
      <c r="H65" s="21" t="s">
        <v>436</v>
      </c>
      <c r="I65" s="13">
        <v>42910.482071759259</v>
      </c>
      <c r="J65" s="7">
        <v>0</v>
      </c>
      <c r="K65" s="89" t="str">
        <f t="shared" si="0"/>
        <v>4019/4020</v>
      </c>
      <c r="L65" s="21" t="str">
        <f>VLOOKUP(A65,'Trips&amp;Operators'!$C$1:$G$99999,5,FALSE)</f>
        <v>LALONDE GREGORY</v>
      </c>
      <c r="M65" s="6">
        <f t="shared" si="1"/>
        <v>2.5659722225100268E-2</v>
      </c>
      <c r="N65" s="7">
        <f t="shared" si="27"/>
        <v>36.950000004144385</v>
      </c>
      <c r="O65" s="7"/>
      <c r="P65" s="7"/>
      <c r="Q65" s="22"/>
      <c r="R65" s="170"/>
      <c r="S65" s="213">
        <f t="shared" si="28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-24T09:40:21-0600',mode:absolute,to:'2017-06-24T12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5" s="197" t="str">
        <f>IF(AA65&lt;VLOOKUP(AG65,Variables!$AC$3:$AD$8,2,FALSE),"Y","N")</f>
        <v>N</v>
      </c>
      <c r="X65" s="197">
        <f t="shared" si="25"/>
        <v>1</v>
      </c>
      <c r="Y65" s="197">
        <f t="shared" si="26"/>
        <v>23.302800000000001</v>
      </c>
      <c r="Z65" s="197">
        <f t="shared" si="22"/>
        <v>1.5599999999999999E-2</v>
      </c>
      <c r="AA65" s="197">
        <f t="shared" si="9"/>
        <v>23.287200000000002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152</v>
      </c>
      <c r="AE65" s="77" t="str">
        <f t="shared" si="11"/>
        <v>aws s3 cp s3://rtdc.mdm.uploadarchive.raw/RTDC4019/ "%USERPROFILE%\AppData\Local\Temp\OnboardLogs"\RTDC4019\2017-06-24 --exclude "*" --recursive --include "*20170624*" &amp; "%USERPROFILE%\Documents\GitHub\mrs-test-scripts\Headless Mode &amp; Sideloading\WalkAndUnGZ.bat" "%USERPROFILE%\AppData\Local\Temp\OnboardLogs"\RTDC4019\2017-06-24 &amp; aws s3 cp s3://rtdc.mdm.uploadarchive.raw/RTDC4019/ "%USERPROFILE%\AppData\Local\Temp\OnboardLogs"\RTDC4019\2017-06-25 --exclude "*" --recursive --include "*20170625*" &amp; "%USERPROFILE%\Documents\GitHub\mrs-test-scripts\Headless Mode &amp; Sideloading\WalkAndUnGZ.bat" "%USERPROFILE%\AppData\Local\Temp\OnboardLogs"\RTDC4019\2017-06-25</v>
      </c>
      <c r="AF65" s="74" t="str">
        <f t="shared" si="12"/>
        <v>"C:\Program Files (x86)\AstroGrep\AstroGrep.exe" /e /r /s /spath="%USERPROFILE%\AppData\Local\Temp\OnboardLogs" /stypes="app*4019*20170624*"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152-24 --locoid 4019 --swversion DE.1.0.9.0 --startMP 204:233028 --initTime 2017-06-24T10:40:21 --startdatetime 2017-06-24T10:57:14 --delay 1 --endMP 204:156 --enddatetime 2017-06-24T11:34:11 --enforcementcount 0 &gt;&gt;C:\Users\stu\Documents\GitHub\eaglep3-reporting\EC\2017-06-24-refined-times.txt</v>
      </c>
      <c r="AI65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{"issue":{"subject":"","project_id":79,"tracker_id":40,"status_id":1,"priority_id":2,"assigned_to_id":23,"start_date":"2017-06-24","description":"","custom_fields":[{"id":1,"name":"Subdivision","value":"EC"},{"id":4,"name":"Milepost","value":"0.0156"},{"id":17,"name":"Train ID","value":"152-24"},{"id":16,"name":"Locomotive ID","value":"4019"},{"id":130,"name":"Impact","value":""},{"id":150,"name":"Time of Event (Mountain Time)","value":"11:34:11"},{"id":151,"name":"Denver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4019 --day 2017-06-24</v>
      </c>
      <c r="AN65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17:34:11"},{"id":29,"name":"Sharepoint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741</v>
      </c>
      <c r="B66" s="7">
        <v>4004</v>
      </c>
      <c r="C66" s="21" t="s">
        <v>202</v>
      </c>
      <c r="D66" s="21" t="s">
        <v>198</v>
      </c>
      <c r="E66" s="13">
        <v>42910.424513888887</v>
      </c>
      <c r="F66" s="13">
        <v>42910.427256944444</v>
      </c>
      <c r="G66" s="7">
        <v>1</v>
      </c>
      <c r="H66" s="21" t="s">
        <v>886</v>
      </c>
      <c r="I66" s="13">
        <v>42910.452430555553</v>
      </c>
      <c r="J66" s="7">
        <v>0</v>
      </c>
      <c r="K66" s="89" t="str">
        <f t="shared" si="0"/>
        <v>4003/4004</v>
      </c>
      <c r="L66" s="21" t="str">
        <f>VLOOKUP(A66,'Trips&amp;Operators'!$C$1:$G$99999,5,FALSE)</f>
        <v>SULLIVAN BRANDON</v>
      </c>
      <c r="M66" s="6">
        <f t="shared" si="1"/>
        <v>2.5173611109494232E-2</v>
      </c>
      <c r="N66" s="7">
        <f t="shared" si="27"/>
        <v>36.249999997671694</v>
      </c>
      <c r="O66" s="7"/>
      <c r="P66" s="7"/>
      <c r="Q66" s="22"/>
      <c r="R66" s="170"/>
      <c r="S66" s="213">
        <f t="shared" si="28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-24T09:11:18-0600',mode:absolute,to:'2017-06-24T11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6" s="197" t="str">
        <f>IF(AA66&lt;VLOOKUP(AG66,Variables!$AC$3:$AD$8,2,FALSE),"Y","N")</f>
        <v>N</v>
      </c>
      <c r="X66" s="197">
        <f t="shared" si="25"/>
        <v>1</v>
      </c>
      <c r="Y66" s="197">
        <f t="shared" si="26"/>
        <v>4.5699999999999998E-2</v>
      </c>
      <c r="Z66" s="197">
        <f t="shared" si="22"/>
        <v>23.3414</v>
      </c>
      <c r="AA66" s="197">
        <f t="shared" si="9"/>
        <v>23.2957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153</v>
      </c>
      <c r="AE66" s="77" t="str">
        <f t="shared" si="11"/>
        <v>aws s3 cp s3://rtdc.mdm.uploadarchive.raw/RTDC4004/ "%USERPROFILE%\AppData\Local\Temp\OnboardLogs"\RTDC4004\2017-06-24 --exclude "*" --recursive --include "*20170624*" &amp; "%USERPROFILE%\Documents\GitHub\mrs-test-scripts\Headless Mode &amp; Sideloading\WalkAndUnGZ.bat" "%USERPROFILE%\AppData\Local\Temp\OnboardLogs"\RTDC4004\2017-06-24 &amp; aws s3 cp s3://rtdc.mdm.uploadarchive.raw/RTDC4004/ "%USERPROFILE%\AppData\Local\Temp\OnboardLogs"\RTDC4004\2017-06-25 --exclude "*" --recursive --include "*20170625*" &amp; "%USERPROFILE%\Documents\GitHub\mrs-test-scripts\Headless Mode &amp; Sideloading\WalkAndUnGZ.bat" "%USERPROFILE%\AppData\Local\Temp\OnboardLogs"\RTDC4004\2017-06-25</v>
      </c>
      <c r="AF66" s="74" t="str">
        <f t="shared" si="12"/>
        <v>"C:\Program Files (x86)\AstroGrep\AstroGrep.exe" /e /r /s /spath="%USERPROFILE%\AppData\Local\Temp\OnboardLogs" /stypes="app*4004*20170624*" /stext=" 16:.+((SYSTEM_STATE.+slice.+state.+changed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153-24 --locoid 4004 --swversion DE.1.0.9.0 --startMP 204:457 --initTime 2017-06-24T10:11:18 --startdatetime 2017-06-24T10:15:15 --delay 1 --endMP 204:233414 --enddatetime 2017-06-24T10:51:30 --enforcementcount 0 &gt;&gt;C:\Users\stu\Documents\GitHub\eaglep3-reporting\EC\2017-06-24-refined-times.txt</v>
      </c>
      <c r="AI66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{"issue":{"subject":"","project_id":79,"tracker_id":40,"status_id":1,"priority_id":2,"assigned_to_id":23,"start_date":"2017-06-24","description":"","custom_fields":[{"id":1,"name":"Subdivision","value":"EC"},{"id":4,"name":"Milepost","value":"23.3414"},{"id":17,"name":"Train ID","value":"153-24"},{"id":16,"name":"Locomotive ID","value":"4004"},{"id":130,"name":"Impact","value":""},{"id":150,"name":"Time of Event (Mountain Time)","value":"10:51:30"},{"id":151,"name":"Denver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4004 --day 2017-06-24</v>
      </c>
      <c r="AN66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16:51:30"},{"id":29,"name":"Sharepoint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750</v>
      </c>
      <c r="B67" s="7">
        <v>4003</v>
      </c>
      <c r="C67" s="21" t="s">
        <v>202</v>
      </c>
      <c r="D67" s="21" t="s">
        <v>599</v>
      </c>
      <c r="E67" s="13">
        <v>42910.459502314814</v>
      </c>
      <c r="F67" s="13">
        <v>42910.466828703706</v>
      </c>
      <c r="G67" s="7">
        <v>2</v>
      </c>
      <c r="H67" s="21" t="s">
        <v>359</v>
      </c>
      <c r="I67" s="13">
        <v>42910.493900462963</v>
      </c>
      <c r="J67" s="7">
        <v>0</v>
      </c>
      <c r="K67" s="89" t="str">
        <f t="shared" si="0"/>
        <v>4003/4004</v>
      </c>
      <c r="L67" s="21" t="str">
        <f>VLOOKUP(A67,'Trips&amp;Operators'!$C$1:$G$99999,5,FALSE)</f>
        <v>SULLIVAN BRANDON</v>
      </c>
      <c r="M67" s="6">
        <f t="shared" si="1"/>
        <v>2.7071759257523809E-2</v>
      </c>
      <c r="N67" s="7">
        <f t="shared" si="27"/>
        <v>38.983333330834284</v>
      </c>
      <c r="O67" s="7"/>
      <c r="P67" s="7"/>
      <c r="Q67" s="22"/>
      <c r="R67" s="170"/>
      <c r="S67" s="213">
        <f t="shared" si="28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-24T10:01:41-0600',mode:absolute,to:'2017-06-24T12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7" s="197" t="str">
        <f>IF(AA67&lt;VLOOKUP(AG67,Variables!$AC$3:$AD$8,2,FALSE),"Y","N")</f>
        <v>N</v>
      </c>
      <c r="X67" s="197">
        <f t="shared" si="25"/>
        <v>1</v>
      </c>
      <c r="Y67" s="197">
        <f t="shared" si="26"/>
        <v>23.305299999999999</v>
      </c>
      <c r="Z67" s="197">
        <f t="shared" si="22"/>
        <v>1.47E-2</v>
      </c>
      <c r="AA67" s="197">
        <f t="shared" si="9"/>
        <v>23.290599999999998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154</v>
      </c>
      <c r="AE67" s="77" t="str">
        <f t="shared" si="11"/>
        <v>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 &amp; aws s3 cp s3://rtdc.mdm.uploadarchive.raw/RTDC4003/ "%USERPROFILE%\AppData\Local\Temp\OnboardLogs"\RTDC4003\2017-06-25 --exclude "*" --recursive --include "*20170625*" &amp; "%USERPROFILE%\Documents\GitHub\mrs-test-scripts\Headless Mode &amp; Sideloading\WalkAndUnGZ.bat" "%USERPROFILE%\AppData\Local\Temp\OnboardLogs"\RTDC4003\2017-06-25</v>
      </c>
      <c r="AF67" s="74" t="str">
        <f t="shared" si="12"/>
        <v>"C:\Program Files (x86)\AstroGrep\AstroGrep.exe" /e /r /s /spath="%USERPROFILE%\AppData\Local\Temp\OnboardLogs" /stypes="app*4003*20170624*"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154-24 --locoid 4003 --swversion DE.1.0.9.0 --startMP 204:233053 --initTime 2017-06-24T11:01:41 --startdatetime 2017-06-24T11:12:14 --delay 2 --endMP 204:147 --enddatetime 2017-06-24T11:51:13 --enforcementcount 0 &gt;&gt;C:\Users\stu\Documents\GitHub\eaglep3-reporting\EC\2017-06-24-refined-times.txt</v>
      </c>
      <c r="AI67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{"issue":{"subject":"","project_id":79,"tracker_id":40,"status_id":1,"priority_id":2,"assigned_to_id":23,"start_date":"2017-06-24","description":"","custom_fields":[{"id":1,"name":"Subdivision","value":"EC"},{"id":4,"name":"Milepost","value":"0.0147"},{"id":17,"name":"Train ID","value":"154-24"},{"id":16,"name":"Locomotive ID","value":"4003"},{"id":130,"name":"Impact","value":""},{"id":150,"name":"Time of Event (Mountain Time)","value":"11:51:13"},{"id":151,"name":"Denver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4003 --day 2017-06-24</v>
      </c>
      <c r="AN67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17:51:13"},{"id":29,"name":"Sharepoint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743</v>
      </c>
      <c r="B68" s="7">
        <v>4014</v>
      </c>
      <c r="C68" s="21" t="s">
        <v>202</v>
      </c>
      <c r="D68" s="21" t="s">
        <v>599</v>
      </c>
      <c r="E68" s="13">
        <v>42910.459502314814</v>
      </c>
      <c r="F68" s="13">
        <v>42910.437719907408</v>
      </c>
      <c r="G68" s="7">
        <v>2</v>
      </c>
      <c r="H68" s="21" t="s">
        <v>359</v>
      </c>
      <c r="I68" s="13">
        <v>42910.463645833333</v>
      </c>
      <c r="J68" s="7">
        <v>0</v>
      </c>
      <c r="K68" s="89" t="str">
        <f t="shared" si="0"/>
        <v>4013/4014</v>
      </c>
      <c r="L68" s="21" t="str">
        <f>VLOOKUP(A68,'Trips&amp;Operators'!$C$1:$G$99999,5,FALSE)</f>
        <v>DAVIDSON DAVID</v>
      </c>
      <c r="M68" s="6">
        <f t="shared" si="1"/>
        <v>2.5925925925548654E-2</v>
      </c>
      <c r="N68" s="7">
        <f t="shared" si="27"/>
        <v>37.333333332790062</v>
      </c>
      <c r="O68" s="7"/>
      <c r="P68" s="7"/>
      <c r="Q68" s="22"/>
      <c r="R68" s="170"/>
      <c r="S68" s="213">
        <f t="shared" si="28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-24T10:01:41-0600',mode:absolute,to:'2017-06-24T12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8" s="197" t="str">
        <f>IF(AA68&lt;VLOOKUP(AG68,Variables!$AC$3:$AD$8,2,FALSE),"Y","N")</f>
        <v>N</v>
      </c>
      <c r="X68" s="197">
        <f t="shared" si="25"/>
        <v>1</v>
      </c>
      <c r="Y68" s="197">
        <v>4.5699999999999998E-2</v>
      </c>
      <c r="Z68" s="197">
        <v>23.3414</v>
      </c>
      <c r="AA68" s="197">
        <f t="shared" si="9"/>
        <v>23.2957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155</v>
      </c>
      <c r="AE68" s="77" t="str">
        <f t="shared" si="11"/>
        <v>aws s3 cp s3://rtdc.mdm.uploadarchive.raw/RTDC4014/ "%USERPROFILE%\AppData\Local\Temp\OnboardLogs"\RTDC4014\2017-06-24 --exclude "*" --recursive --include "*20170624*" &amp; "%USERPROFILE%\Documents\GitHub\mrs-test-scripts\Headless Mode &amp; Sideloading\WalkAndUnGZ.bat" "%USERPROFILE%\AppData\Local\Temp\OnboardLogs"\RTDC4014\2017-06-24 &amp; aws s3 cp s3://rtdc.mdm.uploadarchive.raw/RTDC4014/ "%USERPROFILE%\AppData\Local\Temp\OnboardLogs"\RTDC4014\2017-06-25 --exclude "*" --recursive --include "*20170625*" &amp; "%USERPROFILE%\Documents\GitHub\mrs-test-scripts\Headless Mode &amp; Sideloading\WalkAndUnGZ.bat" "%USERPROFILE%\AppData\Local\Temp\OnboardLogs"\RTDC4014\2017-06-25</v>
      </c>
      <c r="AF68" s="74" t="str">
        <f t="shared" si="12"/>
        <v>"C:\Program Files (x86)\AstroGrep\AstroGrep.exe" /e /r /s /spath="%USERPROFILE%\AppData\Local\Temp\OnboardLogs" /stypes="app*4014*20170624*"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ref="AH68" si="29">refinertdcruntimes&amp;" --tripid "&amp;A68&amp;" --locoid "&amp;B68&amp;" --swversion "&amp;C68&amp;" --startMP "&amp;D68&amp;" --initTime "&amp;TEXT(E68,"yyyy-mm-ddTHH:MM:SS")&amp;" --startdatetime "&amp;TEXT(F68,"yyyy-mm-ddTHH:MM:SS")&amp;" --delay "&amp;G68&amp;" --endMP "&amp;H68&amp;" --enddatetime "&amp;TEXT(I68,"yyyy-mm-ddTHH:MM:SS")&amp;" --enforcementcount "&amp;J68&amp;IF(outputrefinedruntimes," &gt;&gt;"&amp;RefinedRTDCRunTimesOutputFile,"")</f>
        <v>"%USERPROFILE%\Documents\GitHub\eaglep3\Utilities\RefineRTDCRunTimes.py" --tripid 155-24 --locoid 4014 --swversion DE.1.0.9.0 --startMP 204:233053 --initTime 2017-06-24T11:01:41 --startdatetime 2017-06-24T10:30:19 --delay 2 --endMP 204:147 --enddatetime 2017-06-24T11:07:39 --enforcementcount 0 &gt;&gt;C:\Users\stu\Documents\GitHub\eaglep3-reporting\EC\2017-06-24-refined-times.txt</v>
      </c>
      <c r="AI68" s="96" t="str">
        <f t="shared" ref="AI68" si="30">"echo {""issue"":{""subject"":"""&amp;R68&amp;""",""project_id"":79,""tracker_id"":40,""status_id"":"&amp;redmine_status&amp;",""priority_id"":"&amp;redmine_priority&amp;",""assigned_to_id"":"&amp;redmine_assignee&amp;",""start_date"":"""&amp;TEXT(I68,"YYYY-mm-dd")&amp;""",""description"":"""&amp;AJ68&amp;""",""custom_fields"":[{""id"":1,""name"":""Subdivision"",""value"":"""&amp;AG68&amp;"""},{""id"":4,""name"":""Milepost"",""value"":"""&amp;Z68&amp;"""},{""id"":17,""name"":""Train ID"",""value"":"""&amp;A68&amp;"""},{""id"":16,""name"":""Locomotive ID"",""value"":"""&amp;B68&amp;"""},{""id"":130,""name"":""Impact"",""value"":"""&amp;AK68&amp;"""},{""id"":150,""name"":""Time of Event (Mountain Time)"",""value"":"""&amp;TEXT(I68,"hh:mm:ss")&amp;"""},{""id"":151,""name"":""Denver Issue ID"",""value"":"""&amp;"""},{""id"":178,""name"":""Operational Impact"",""value"":"""&amp;redmine_op_impact&amp;"""},{""id"":179,""name"":""Denver Segment Assigned"",""value"":"""&amp;AL68&amp;"""}]}}"&amp;"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{"issue":{"subject":"","project_id":79,"tracker_id":40,"status_id":1,"priority_id":2,"assigned_to_id":23,"start_date":"2017-06-24","description":"","custom_fields":[{"id":1,"name":"Subdivision","value":"EC"},{"id":4,"name":"Milepost","value":"23.3414"},{"id":17,"name":"Train ID","value":"155-24"},{"id":16,"name":"Locomotive ID","value":"4014"},{"id":130,"name":"Impact","value":""},{"id":150,"name":"Time of Event (Mountain Time)","value":"11:07:39"},{"id":151,"name":"Denver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ref="AM68" si="31">"start /low /b "&amp;dls3logs&amp;" --loco "&amp;B68&amp;" --day "&amp;TEXT(F68,"YYYY-MM-DD")</f>
        <v>start /low /b %USERPROFILE%\Documents\GitHub\eaglep3\Utilities\DownloadLogsFromS3.py --loco 4014 --day 2017-06-24</v>
      </c>
      <c r="AN68" s="151" t="str">
        <f t="shared" ref="AN68" si="32">"echo {""issue"":{""subject"":"""&amp;R68&amp;""",""project_id"":30,""tracker_id"":4,""status_id"":"&amp;redmine_status_wcr&amp;",""priority_id"":"&amp;redmine_priority_wcr&amp;",""assigned_to_id"":"&amp;redmine_assignee_wcr&amp;",""start_date"":"""&amp;TEXT(I68-utc_offset/24,"YYYY-mm-dd")&amp;""",""description"":"""&amp;AJ68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17:07:39"},{"id":29,"name":"Sharepoint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</row>
    <row r="69" spans="1:91" s="1" customFormat="1" x14ac:dyDescent="0.25">
      <c r="A69" s="32" t="s">
        <v>752</v>
      </c>
      <c r="B69" s="7">
        <v>4013</v>
      </c>
      <c r="C69" s="21" t="s">
        <v>202</v>
      </c>
      <c r="D69" s="21" t="s">
        <v>596</v>
      </c>
      <c r="E69" s="13">
        <v>42910.466203703705</v>
      </c>
      <c r="F69" s="13">
        <v>42910.477268518516</v>
      </c>
      <c r="G69" s="7">
        <v>1</v>
      </c>
      <c r="H69" s="21" t="s">
        <v>459</v>
      </c>
      <c r="I69" s="13">
        <v>42910.504293981481</v>
      </c>
      <c r="J69" s="7">
        <v>0</v>
      </c>
      <c r="K69" s="89" t="str">
        <f t="shared" si="0"/>
        <v>4013/4014</v>
      </c>
      <c r="L69" s="21" t="str">
        <f>VLOOKUP(A69,'Trips&amp;Operators'!$C$1:$G$99999,5,FALSE)</f>
        <v>DAVIDSON DAVID</v>
      </c>
      <c r="M69" s="6">
        <f t="shared" si="1"/>
        <v>2.7025462964957114E-2</v>
      </c>
      <c r="N69" s="7">
        <f t="shared" si="27"/>
        <v>38.916666669538245</v>
      </c>
      <c r="O69" s="7"/>
      <c r="P69" s="7"/>
      <c r="Q69" s="22"/>
      <c r="R69" s="170"/>
      <c r="S69" s="213">
        <f t="shared" si="28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-24T10:11:20-0600',mode:absolute,to:'2017-06-24T13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9" s="197" t="str">
        <f>IF(AA69&lt;VLOOKUP(AG69,Variables!$AC$3:$AD$8,2,FALSE),"Y","N")</f>
        <v>N</v>
      </c>
      <c r="X69" s="197">
        <f t="shared" si="25"/>
        <v>1</v>
      </c>
      <c r="Y69" s="197">
        <f t="shared" ref="Y69:Y100" si="33">RIGHT(D69,LEN(D69)-4)/10000</f>
        <v>23.302800000000001</v>
      </c>
      <c r="Z69" s="197">
        <f t="shared" ref="Z69:Z100" si="34">RIGHT(H69,LEN(H69)-4)/10000</f>
        <v>1.6E-2</v>
      </c>
      <c r="AA69" s="197">
        <f t="shared" si="9"/>
        <v>23.286800000000003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156</v>
      </c>
      <c r="AE69" s="77" t="str">
        <f t="shared" si="11"/>
        <v>aws s3 cp s3://rtdc.mdm.uploadarchive.raw/RTDC4013/ "%USERPROFILE%\AppData\Local\Temp\OnboardLogs"\RTDC4013\2017-06-24 --exclude "*" --recursive --include "*20170624*" &amp; "%USERPROFILE%\Documents\GitHub\mrs-test-scripts\Headless Mode &amp; Sideloading\WalkAndUnGZ.bat" "%USERPROFILE%\AppData\Local\Temp\OnboardLogs"\RTDC4013\2017-06-24 &amp; aws s3 cp s3://rtdc.mdm.uploadarchive.raw/RTDC4013/ "%USERPROFILE%\AppData\Local\Temp\OnboardLogs"\RTDC4013\2017-06-25 --exclude "*" --recursive --include "*20170625*" &amp; "%USERPROFILE%\Documents\GitHub\mrs-test-scripts\Headless Mode &amp; Sideloading\WalkAndUnGZ.bat" "%USERPROFILE%\AppData\Local\Temp\OnboardLogs"\RTDC4013\2017-06-25</v>
      </c>
      <c r="AF69" s="74" t="str">
        <f t="shared" si="12"/>
        <v>"C:\Program Files (x86)\AstroGrep\AstroGrep.exe" /e /r /s /spath="%USERPROFILE%\AppData\Local\Temp\OnboardLogs" /stypes="app*4013*20170624*"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156-24 --locoid 4013 --swversion DE.1.0.9.0 --startMP 204:233028 --initTime 2017-06-24T11:11:20 --startdatetime 2017-06-24T11:27:16 --delay 1 --endMP 204:160 --enddatetime 2017-06-24T12:06:11 --enforcementcount 0 &gt;&gt;C:\Users\stu\Documents\GitHub\eaglep3-reporting\EC\2017-06-24-refined-times.txt</v>
      </c>
      <c r="AI69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{"issue":{"subject":"","project_id":79,"tracker_id":40,"status_id":1,"priority_id":2,"assigned_to_id":23,"start_date":"2017-06-24","description":"","custom_fields":[{"id":1,"name":"Subdivision","value":"EC"},{"id":4,"name":"Milepost","value":"0.016"},{"id":17,"name":"Train ID","value":"156-24"},{"id":16,"name":"Locomotive ID","value":"4013"},{"id":130,"name":"Impact","value":""},{"id":150,"name":"Time of Event (Mountain Time)","value":"12:06:11"},{"id":151,"name":"Denver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4013 --day 2017-06-24</v>
      </c>
      <c r="AN69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18:06:11"},{"id":29,"name":"Sharepoint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746</v>
      </c>
      <c r="B70" s="7">
        <v>4042</v>
      </c>
      <c r="C70" s="21" t="s">
        <v>202</v>
      </c>
      <c r="D70" s="21" t="s">
        <v>887</v>
      </c>
      <c r="E70" s="13">
        <v>42910.444398148145</v>
      </c>
      <c r="F70" s="13">
        <v>42910.448078703703</v>
      </c>
      <c r="G70" s="7">
        <v>2</v>
      </c>
      <c r="H70" s="21" t="s">
        <v>516</v>
      </c>
      <c r="I70" s="13">
        <v>42910.473020833335</v>
      </c>
      <c r="J70" s="7">
        <v>0</v>
      </c>
      <c r="K70" s="89" t="str">
        <f t="shared" si="0"/>
        <v>4041/4042</v>
      </c>
      <c r="L70" s="21" t="str">
        <f>VLOOKUP(A70,'Trips&amp;Operators'!$C$1:$G$99999,5,FALSE)</f>
        <v>BROWN JACOB</v>
      </c>
      <c r="M70" s="6">
        <f t="shared" si="1"/>
        <v>2.4942129632108845E-2</v>
      </c>
      <c r="N70" s="7">
        <f t="shared" si="27"/>
        <v>35.916666670236737</v>
      </c>
      <c r="O70" s="7"/>
      <c r="P70" s="7"/>
      <c r="Q70" s="22"/>
      <c r="R70" s="170"/>
      <c r="S70" s="213">
        <f t="shared" si="28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-24T09:39:56-0600',mode:absolute,to:'2017-06-24T12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0" s="197" t="str">
        <f>IF(AA70&lt;VLOOKUP(AG70,Variables!$AC$3:$AD$8,2,FALSE),"Y","N")</f>
        <v>N</v>
      </c>
      <c r="X70" s="197">
        <f t="shared" si="25"/>
        <v>1</v>
      </c>
      <c r="Y70" s="197">
        <f t="shared" si="33"/>
        <v>4.9299999999999997E-2</v>
      </c>
      <c r="Z70" s="197">
        <f t="shared" si="34"/>
        <v>23.330300000000001</v>
      </c>
      <c r="AA70" s="197">
        <f t="shared" si="9"/>
        <v>23.281000000000002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157</v>
      </c>
      <c r="AE70" s="77" t="str">
        <f t="shared" si="11"/>
        <v>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 &amp; 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</v>
      </c>
      <c r="AF70" s="74" t="str">
        <f t="shared" si="12"/>
        <v>"C:\Program Files (x86)\AstroGrep\AstroGrep.exe" /e /r /s /spath="%USERPROFILE%\AppData\Local\Temp\OnboardLogs" /stypes="app*4042*20170624*"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157-24 --locoid 4042 --swversion DE.1.0.9.0 --startMP 204:493 --initTime 2017-06-24T10:39:56 --startdatetime 2017-06-24T10:45:14 --delay 2 --endMP 204:233303 --enddatetime 2017-06-24T11:21:09 --enforcementcount 0 &gt;&gt;C:\Users\stu\Documents\GitHub\eaglep3-reporting\EC\2017-06-24-refined-times.txt</v>
      </c>
      <c r="AI70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{"issue":{"subject":"","project_id":79,"tracker_id":40,"status_id":1,"priority_id":2,"assigned_to_id":23,"start_date":"2017-06-24","description":"","custom_fields":[{"id":1,"name":"Subdivision","value":"EC"},{"id":4,"name":"Milepost","value":"23.3303"},{"id":17,"name":"Train ID","value":"157-24"},{"id":16,"name":"Locomotive ID","value":"4042"},{"id":130,"name":"Impact","value":""},{"id":150,"name":"Time of Event (Mountain Time)","value":"11:21:09"},{"id":151,"name":"Denver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4042 --day 2017-06-24</v>
      </c>
      <c r="AN70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17:21:09"},{"id":29,"name":"Sharepoint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642</v>
      </c>
      <c r="B71" s="7">
        <v>4041</v>
      </c>
      <c r="C71" s="21" t="s">
        <v>202</v>
      </c>
      <c r="D71" s="21" t="s">
        <v>506</v>
      </c>
      <c r="E71" s="13">
        <v>42910.478333333333</v>
      </c>
      <c r="F71" s="13">
        <v>42910.487719907411</v>
      </c>
      <c r="G71" s="7">
        <v>2</v>
      </c>
      <c r="H71" s="21" t="s">
        <v>194</v>
      </c>
      <c r="I71" s="13">
        <v>42910.514560185184</v>
      </c>
      <c r="J71" s="7">
        <v>0</v>
      </c>
      <c r="K71" s="89" t="str">
        <f t="shared" si="0"/>
        <v>4041/4042</v>
      </c>
      <c r="L71" s="21" t="str">
        <f>VLOOKUP(A71,'Trips&amp;Operators'!$C$1:$G$99999,5,FALSE)</f>
        <v>BROWN JACOB</v>
      </c>
      <c r="M71" s="6">
        <f t="shared" si="1"/>
        <v>2.6840277772862464E-2</v>
      </c>
      <c r="N71" s="7">
        <f t="shared" si="27"/>
        <v>38.649999992921948</v>
      </c>
      <c r="O71" s="7"/>
      <c r="P71" s="7"/>
      <c r="Q71" s="22"/>
      <c r="R71" s="170"/>
      <c r="S71" s="213">
        <f t="shared" si="28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-24T10:28:48-0600',mode:absolute,to:'2017-06-24T13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1" s="197" t="str">
        <f>IF(AA71&lt;VLOOKUP(AG71,Variables!$AC$3:$AD$8,2,FALSE),"Y","N")</f>
        <v>N</v>
      </c>
      <c r="X71" s="197">
        <f t="shared" si="25"/>
        <v>1</v>
      </c>
      <c r="Y71" s="197">
        <f t="shared" si="33"/>
        <v>23.297799999999999</v>
      </c>
      <c r="Z71" s="197">
        <f t="shared" si="34"/>
        <v>1.5800000000000002E-2</v>
      </c>
      <c r="AA71" s="197">
        <f t="shared" si="9"/>
        <v>23.282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158</v>
      </c>
      <c r="AE71" s="77" t="str">
        <f t="shared" si="11"/>
        <v>aws s3 cp s3://rtdc.mdm.uploadarchive.raw/RTDC4041/ "%USERPROFILE%\AppData\Local\Temp\OnboardLogs"\RTDC4041\2017-06-24 --exclude "*" --recursive --include "*20170624*" &amp; "%USERPROFILE%\Documents\GitHub\mrs-test-scripts\Headless Mode &amp; Sideloading\WalkAndUnGZ.bat" "%USERPROFILE%\AppData\Local\Temp\OnboardLogs"\RTDC4041\2017-06-24 &amp; aws s3 cp s3://rtdc.mdm.uploadarchive.raw/RTDC4041/ "%USERPROFILE%\AppData\Local\Temp\OnboardLogs"\RTDC4041\2017-06-25 --exclude "*" --recursive --include "*20170625*" &amp; "%USERPROFILE%\Documents\GitHub\mrs-test-scripts\Headless Mode &amp; Sideloading\WalkAndUnGZ.bat" "%USERPROFILE%\AppData\Local\Temp\OnboardLogs"\RTDC4041\2017-06-25</v>
      </c>
      <c r="AF71" s="74" t="str">
        <f t="shared" si="12"/>
        <v>"C:\Program Files (x86)\AstroGrep\AstroGrep.exe" /e /r /s /spath="%USERPROFILE%\AppData\Local\Temp\OnboardLogs" /stypes="app*4041*20170624*"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158-24 --locoid 4041 --swversion DE.1.0.9.0 --startMP 204:232978 --initTime 2017-06-24T11:28:48 --startdatetime 2017-06-24T11:42:19 --delay 2 --endMP 204:158 --enddatetime 2017-06-24T12:20:58 --enforcementcount 0 &gt;&gt;C:\Users\stu\Documents\GitHub\eaglep3-reporting\EC\2017-06-24-refined-times.txt</v>
      </c>
      <c r="AI71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{"issue":{"subject":"","project_id":79,"tracker_id":40,"status_id":1,"priority_id":2,"assigned_to_id":23,"start_date":"2017-06-24","description":"","custom_fields":[{"id":1,"name":"Subdivision","value":"EC"},{"id":4,"name":"Milepost","value":"0.0158"},{"id":17,"name":"Train ID","value":"158-24"},{"id":16,"name":"Locomotive ID","value":"4041"},{"id":130,"name":"Impact","value":""},{"id":150,"name":"Time of Event (Mountain Time)","value":"12:20:58"},{"id":151,"name":"Denver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4041 --day 2017-06-24</v>
      </c>
      <c r="AN71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18:20:58"},{"id":29,"name":"Sharepoint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749</v>
      </c>
      <c r="B72" s="7">
        <v>4016</v>
      </c>
      <c r="C72" s="21" t="s">
        <v>202</v>
      </c>
      <c r="D72" s="21" t="s">
        <v>539</v>
      </c>
      <c r="E72" s="13">
        <v>42910.45349537037</v>
      </c>
      <c r="F72" s="13">
        <v>42910.45857638889</v>
      </c>
      <c r="G72" s="7">
        <v>1</v>
      </c>
      <c r="H72" s="21" t="s">
        <v>888</v>
      </c>
      <c r="I72" s="13">
        <v>42910.483900462961</v>
      </c>
      <c r="J72" s="7">
        <v>0</v>
      </c>
      <c r="K72" s="89" t="str">
        <f t="shared" si="0"/>
        <v>4015/4016</v>
      </c>
      <c r="L72" s="21" t="str">
        <f>VLOOKUP(A72,'Trips&amp;Operators'!$C$1:$G$99999,5,FALSE)</f>
        <v>GUZMAN DANNY</v>
      </c>
      <c r="M72" s="6">
        <f t="shared" si="1"/>
        <v>2.5324074071249925E-2</v>
      </c>
      <c r="N72" s="7">
        <f t="shared" si="27"/>
        <v>36.466666662599891</v>
      </c>
      <c r="O72" s="7"/>
      <c r="P72" s="7"/>
      <c r="Q72" s="22"/>
      <c r="R72" s="170"/>
      <c r="S72" s="213">
        <f t="shared" si="28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-24T09:53:02-0600',mode:absolute,to:'2017-06-24T12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2" s="197" t="str">
        <f>IF(AA72&lt;VLOOKUP(AG72,Variables!$AC$3:$AD$8,2,FALSE),"Y","N")</f>
        <v>N</v>
      </c>
      <c r="X72" s="197">
        <f t="shared" si="25"/>
        <v>1</v>
      </c>
      <c r="Y72" s="197">
        <f t="shared" si="33"/>
        <v>4.3999999999999997E-2</v>
      </c>
      <c r="Z72" s="197">
        <f t="shared" si="34"/>
        <v>23.329799999999999</v>
      </c>
      <c r="AA72" s="197">
        <f t="shared" si="9"/>
        <v>23.285799999999998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159</v>
      </c>
      <c r="AE72" s="77" t="str">
        <f t="shared" si="11"/>
        <v>aws s3 cp s3://rtdc.mdm.uploadarchive.raw/RTDC4016/ "%USERPROFILE%\AppData\Local\Temp\OnboardLogs"\RTDC4016\2017-06-24 --exclude "*" --recursive --include "*20170624*" &amp; "%USERPROFILE%\Documents\GitHub\mrs-test-scripts\Headless Mode &amp; Sideloading\WalkAndUnGZ.bat" "%USERPROFILE%\AppData\Local\Temp\OnboardLogs"\RTDC4016\2017-06-24 &amp; aws s3 cp s3://rtdc.mdm.uploadarchive.raw/RTDC4016/ "%USERPROFILE%\AppData\Local\Temp\OnboardLogs"\RTDC4016\2017-06-25 --exclude "*" --recursive --include "*20170625*" &amp; "%USERPROFILE%\Documents\GitHub\mrs-test-scripts\Headless Mode &amp; Sideloading\WalkAndUnGZ.bat" "%USERPROFILE%\AppData\Local\Temp\OnboardLogs"\RTDC4016\2017-06-25</v>
      </c>
      <c r="AF72" s="74" t="str">
        <f t="shared" si="12"/>
        <v>"C:\Program Files (x86)\AstroGrep\AstroGrep.exe" /e /r /s /spath="%USERPROFILE%\AppData\Local\Temp\OnboardLogs" /stypes="app*4016*20170624*"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159-24 --locoid 4016 --swversion DE.1.0.9.0 --startMP 204:440 --initTime 2017-06-24T10:53:02 --startdatetime 2017-06-24T11:00:21 --delay 1 --endMP 204:233298 --enddatetime 2017-06-24T11:36:49 --enforcementcount 0 &gt;&gt;C:\Users\stu\Documents\GitHub\eaglep3-reporting\EC\2017-06-24-refined-times.txt</v>
      </c>
      <c r="AI72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{"issue":{"subject":"","project_id":79,"tracker_id":40,"status_id":1,"priority_id":2,"assigned_to_id":23,"start_date":"2017-06-24","description":"","custom_fields":[{"id":1,"name":"Subdivision","value":"EC"},{"id":4,"name":"Milepost","value":"23.3298"},{"id":17,"name":"Train ID","value":"159-24"},{"id":16,"name":"Locomotive ID","value":"4016"},{"id":130,"name":"Impact","value":""},{"id":150,"name":"Time of Event (Mountain Time)","value":"11:36:49"},{"id":151,"name":"Denver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4016 --day 2017-06-24</v>
      </c>
      <c r="AN72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17:36:49"},{"id":29,"name":"Sharepoint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757</v>
      </c>
      <c r="B73" s="7">
        <v>4015</v>
      </c>
      <c r="C73" s="21" t="s">
        <v>202</v>
      </c>
      <c r="D73" s="21" t="s">
        <v>534</v>
      </c>
      <c r="E73" s="13">
        <v>42910.48578703704</v>
      </c>
      <c r="F73" s="13">
        <v>42910.498101851852</v>
      </c>
      <c r="G73" s="7">
        <v>1</v>
      </c>
      <c r="H73" s="21" t="s">
        <v>359</v>
      </c>
      <c r="I73" s="13">
        <v>42910.524710648147</v>
      </c>
      <c r="J73" s="7">
        <v>0</v>
      </c>
      <c r="K73" s="89" t="str">
        <f t="shared" si="0"/>
        <v>4015/4016</v>
      </c>
      <c r="L73" s="21" t="str">
        <f>VLOOKUP(A73,'Trips&amp;Operators'!$C$1:$G$99999,5,FALSE)</f>
        <v>GUZMAN DANNY</v>
      </c>
      <c r="M73" s="6">
        <f t="shared" si="1"/>
        <v>2.6608796295477077E-2</v>
      </c>
      <c r="N73" s="7">
        <f t="shared" si="27"/>
        <v>38.316666665486991</v>
      </c>
      <c r="O73" s="7"/>
      <c r="P73" s="7"/>
      <c r="Q73" s="22"/>
      <c r="R73" s="170"/>
      <c r="S73" s="213">
        <f t="shared" si="28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-24T10:39:32-0600',mode:absolute,to:'2017-06-24T13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3" s="197" t="str">
        <f>IF(AA73&lt;VLOOKUP(AG73,Variables!$AC$3:$AD$8,2,FALSE),"Y","N")</f>
        <v>N</v>
      </c>
      <c r="X73" s="197">
        <f t="shared" si="25"/>
        <v>1</v>
      </c>
      <c r="Y73" s="197">
        <f t="shared" si="33"/>
        <v>23.298300000000001</v>
      </c>
      <c r="Z73" s="197">
        <f t="shared" si="34"/>
        <v>1.47E-2</v>
      </c>
      <c r="AA73" s="197">
        <f t="shared" si="9"/>
        <v>23.2836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160</v>
      </c>
      <c r="AE73" s="77" t="str">
        <f t="shared" si="11"/>
        <v>aws s3 cp s3://rtdc.mdm.uploadarchive.raw/RTDC4015/ "%USERPROFILE%\AppData\Local\Temp\OnboardLogs"\RTDC4015\2017-06-24 --exclude "*" --recursive --include "*20170624*" &amp; "%USERPROFILE%\Documents\GitHub\mrs-test-scripts\Headless Mode &amp; Sideloading\WalkAndUnGZ.bat" "%USERPROFILE%\AppData\Local\Temp\OnboardLogs"\RTDC4015\2017-06-24 &amp; aws s3 cp s3://rtdc.mdm.uploadarchive.raw/RTDC4015/ "%USERPROFILE%\AppData\Local\Temp\OnboardLogs"\RTDC4015\2017-06-25 --exclude "*" --recursive --include "*20170625*" &amp; "%USERPROFILE%\Documents\GitHub\mrs-test-scripts\Headless Mode &amp; Sideloading\WalkAndUnGZ.bat" "%USERPROFILE%\AppData\Local\Temp\OnboardLogs"\RTDC4015\2017-06-25</v>
      </c>
      <c r="AF73" s="74" t="str">
        <f t="shared" si="12"/>
        <v>"C:\Program Files (x86)\AstroGrep\AstroGrep.exe" /e /r /s /spath="%USERPROFILE%\AppData\Local\Temp\OnboardLogs" /stypes="app*4015*20170624*"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160-24 --locoid 4015 --swversion DE.1.0.9.0 --startMP 204:232983 --initTime 2017-06-24T11:39:32 --startdatetime 2017-06-24T11:57:16 --delay 1 --endMP 204:147 --enddatetime 2017-06-24T12:35:35 --enforcementcount 0 &gt;&gt;C:\Users\stu\Documents\GitHub\eaglep3-reporting\EC\2017-06-24-refined-times.txt</v>
      </c>
      <c r="AI73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{"issue":{"subject":"","project_id":79,"tracker_id":40,"status_id":1,"priority_id":2,"assigned_to_id":23,"start_date":"2017-06-24","description":"","custom_fields":[{"id":1,"name":"Subdivision","value":"EC"},{"id":4,"name":"Milepost","value":"0.0147"},{"id":17,"name":"Train ID","value":"160-24"},{"id":16,"name":"Locomotive ID","value":"4015"},{"id":130,"name":"Impact","value":""},{"id":150,"name":"Time of Event (Mountain Time)","value":"12:35:35"},{"id":151,"name":"Denver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4015 --day 2017-06-24</v>
      </c>
      <c r="AN73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18:35:35"},{"id":29,"name":"Sharepoint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751</v>
      </c>
      <c r="B74" s="7">
        <v>4022</v>
      </c>
      <c r="C74" s="21" t="s">
        <v>202</v>
      </c>
      <c r="D74" s="21" t="s">
        <v>435</v>
      </c>
      <c r="E74" s="13">
        <v>42910.465266203704</v>
      </c>
      <c r="F74" s="13">
        <v>42910.469131944446</v>
      </c>
      <c r="G74" s="7">
        <v>2</v>
      </c>
      <c r="H74" s="21" t="s">
        <v>889</v>
      </c>
      <c r="I74" s="13">
        <v>42910.494652777779</v>
      </c>
      <c r="J74" s="7">
        <v>0</v>
      </c>
      <c r="K74" s="89" t="str">
        <f t="shared" si="0"/>
        <v>4021/4022</v>
      </c>
      <c r="L74" s="21" t="str">
        <f>VLOOKUP(A74,'Trips&amp;Operators'!$C$1:$G$99999,5,FALSE)</f>
        <v>DAVIS MICHAEL</v>
      </c>
      <c r="M74" s="6">
        <f t="shared" si="1"/>
        <v>2.5520833332848269E-2</v>
      </c>
      <c r="N74" s="7">
        <f t="shared" si="27"/>
        <v>36.749999999301508</v>
      </c>
      <c r="O74" s="7"/>
      <c r="P74" s="7"/>
      <c r="Q74" s="22"/>
      <c r="R74" s="170"/>
      <c r="S74" s="213">
        <f t="shared" si="28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-24T10:09:59-0600',mode:absolute,to:'2017-06-24T12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4" s="197" t="str">
        <f>IF(AA74&lt;VLOOKUP(AG74,Variables!$AC$3:$AD$8,2,FALSE),"Y","N")</f>
        <v>N</v>
      </c>
      <c r="X74" s="197">
        <f t="shared" si="25"/>
        <v>1</v>
      </c>
      <c r="Y74" s="197">
        <f t="shared" si="33"/>
        <v>4.6699999999999998E-2</v>
      </c>
      <c r="Z74" s="197">
        <f t="shared" si="34"/>
        <v>23.327000000000002</v>
      </c>
      <c r="AA74" s="197">
        <f t="shared" si="9"/>
        <v>23.2803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161</v>
      </c>
      <c r="AE74" s="77" t="str">
        <f t="shared" si="11"/>
        <v>aws s3 cp s3://rtdc.mdm.uploadarchive.raw/RTDC4022/ "%USERPROFILE%\AppData\Local\Temp\OnboardLogs"\RTDC4022\2017-06-24 --exclude "*" --recursive --include "*20170624*" &amp; "%USERPROFILE%\Documents\GitHub\mrs-test-scripts\Headless Mode &amp; Sideloading\WalkAndUnGZ.bat" "%USERPROFILE%\AppData\Local\Temp\OnboardLogs"\RTDC4022\2017-06-24 &amp; aws s3 cp s3://rtdc.mdm.uploadarchive.raw/RTDC4022/ "%USERPROFILE%\AppData\Local\Temp\OnboardLogs"\RTDC4022\2017-06-25 --exclude "*" --recursive --include "*20170625*" &amp; "%USERPROFILE%\Documents\GitHub\mrs-test-scripts\Headless Mode &amp; Sideloading\WalkAndUnGZ.bat" "%USERPROFILE%\AppData\Local\Temp\OnboardLogs"\RTDC4022\2017-06-25</v>
      </c>
      <c r="AF74" s="74" t="str">
        <f t="shared" si="12"/>
        <v>"C:\Program Files (x86)\AstroGrep\AstroGrep.exe" /e /r /s /spath="%USERPROFILE%\AppData\Local\Temp\OnboardLogs" /stypes="app*4022*20170624*" /stext=" 17:.+((SYSTEM_STATE.+slice.+state.+changed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161-24 --locoid 4022 --swversion DE.1.0.9.0 --startMP 204:467 --initTime 2017-06-24T11:09:59 --startdatetime 2017-06-24T11:15:33 --delay 2 --endMP 204:233270 --enddatetime 2017-06-24T11:52:18 --enforcementcount 0 &gt;&gt;C:\Users\stu\Documents\GitHub\eaglep3-reporting\EC\2017-06-24-refined-times.txt</v>
      </c>
      <c r="AI74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{"issue":{"subject":"","project_id":79,"tracker_id":40,"status_id":1,"priority_id":2,"assigned_to_id":23,"start_date":"2017-06-24","description":"","custom_fields":[{"id":1,"name":"Subdivision","value":"EC"},{"id":4,"name":"Milepost","value":"23.327"},{"id":17,"name":"Train ID","value":"161-24"},{"id":16,"name":"Locomotive ID","value":"4022"},{"id":130,"name":"Impact","value":""},{"id":150,"name":"Time of Event (Mountain Time)","value":"11:52:18"},{"id":151,"name":"Denver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4022 --day 2017-06-24</v>
      </c>
      <c r="AN74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17:52:18"},{"id":29,"name":"Sharepoint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764</v>
      </c>
      <c r="B75" s="7">
        <v>4021</v>
      </c>
      <c r="C75" s="21" t="s">
        <v>202</v>
      </c>
      <c r="D75" s="21" t="s">
        <v>517</v>
      </c>
      <c r="E75" s="13">
        <v>42910.506076388891</v>
      </c>
      <c r="F75" s="13">
        <v>42910.508796296293</v>
      </c>
      <c r="G75" s="7">
        <v>2</v>
      </c>
      <c r="H75" s="21" t="s">
        <v>349</v>
      </c>
      <c r="I75" s="13">
        <v>42910.536006944443</v>
      </c>
      <c r="J75" s="7">
        <v>0</v>
      </c>
      <c r="K75" s="89" t="str">
        <f t="shared" si="0"/>
        <v>4021/4022</v>
      </c>
      <c r="L75" s="21" t="str">
        <f>VLOOKUP(A75,'Trips&amp;Operators'!$C$1:$G$99999,5,FALSE)</f>
        <v>DAVIS MICHAEL</v>
      </c>
      <c r="M75" s="6">
        <f t="shared" si="1"/>
        <v>2.7210648149775807E-2</v>
      </c>
      <c r="N75" s="7">
        <f t="shared" si="27"/>
        <v>39.183333335677162</v>
      </c>
      <c r="O75" s="7"/>
      <c r="P75" s="7"/>
      <c r="Q75" s="22"/>
      <c r="R75" s="170"/>
      <c r="S75" s="213">
        <f t="shared" si="28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-24T11:08:45-0600',mode:absolute,to:'2017-06-24T13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5" s="197" t="str">
        <f>IF(AA75&lt;VLOOKUP(AG75,Variables!$AC$3:$AD$8,2,FALSE),"Y","N")</f>
        <v>N</v>
      </c>
      <c r="X75" s="197">
        <f t="shared" si="25"/>
        <v>1</v>
      </c>
      <c r="Y75" s="197">
        <f t="shared" si="33"/>
        <v>23.297999999999998</v>
      </c>
      <c r="Z75" s="197">
        <f t="shared" si="34"/>
        <v>1.49E-2</v>
      </c>
      <c r="AA75" s="197">
        <f t="shared" si="9"/>
        <v>23.283099999999997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162</v>
      </c>
      <c r="AE75" s="77" t="str">
        <f t="shared" si="11"/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AF75" s="74" t="str">
        <f t="shared" si="12"/>
        <v>"C:\Program Files (x86)\AstroGrep\AstroGrep.exe" /e /r /s /spath="%USERPROFILE%\AppData\Local\Temp\OnboardLogs" /stypes="app*4021*20170624*"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162-24 --locoid 4021 --swversion DE.1.0.9.0 --startMP 204:232980 --initTime 2017-06-24T12:08:45 --startdatetime 2017-06-24T12:12:40 --delay 2 --endMP 204:149 --enddatetime 2017-06-24T12:51:51 --enforcementcount 0 &gt;&gt;C:\Users\stu\Documents\GitHub\eaglep3-reporting\EC\2017-06-24-refined-times.txt</v>
      </c>
      <c r="AI75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{"issue":{"subject":"","project_id":79,"tracker_id":40,"status_id":1,"priority_id":2,"assigned_to_id":23,"start_date":"2017-06-24","description":"","custom_fields":[{"id":1,"name":"Subdivision","value":"EC"},{"id":4,"name":"Milepost","value":"0.0149"},{"id":17,"name":"Train ID","value":"162-24"},{"id":16,"name":"Locomotive ID","value":"4021"},{"id":130,"name":"Impact","value":""},{"id":150,"name":"Time of Event (Mountain Time)","value":"12:51:51"},{"id":151,"name":"Denver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4021 --day 2017-06-24</v>
      </c>
      <c r="AN75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18:51:51"},{"id":29,"name":"Sharepoint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753</v>
      </c>
      <c r="B76" s="7">
        <v>4044</v>
      </c>
      <c r="C76" s="21" t="s">
        <v>202</v>
      </c>
      <c r="D76" s="21" t="s">
        <v>608</v>
      </c>
      <c r="E76" s="13">
        <v>42910.474814814814</v>
      </c>
      <c r="F76" s="13">
        <v>42910.479444444441</v>
      </c>
      <c r="G76" s="7">
        <v>2</v>
      </c>
      <c r="H76" s="21" t="s">
        <v>515</v>
      </c>
      <c r="I76" s="13">
        <v>42910.505370370367</v>
      </c>
      <c r="J76" s="7">
        <v>0</v>
      </c>
      <c r="K76" s="89" t="str">
        <f t="shared" si="0"/>
        <v>4043/4044</v>
      </c>
      <c r="L76" s="21" t="str">
        <f>VLOOKUP(A76,'Trips&amp;Operators'!$C$1:$G$99999,5,FALSE)</f>
        <v>BRANDNER MELINDA</v>
      </c>
      <c r="M76" s="6">
        <f t="shared" si="1"/>
        <v>2.5925925925548654E-2</v>
      </c>
      <c r="N76" s="7">
        <f t="shared" si="27"/>
        <v>37.333333332790062</v>
      </c>
      <c r="O76" s="7"/>
      <c r="P76" s="7"/>
      <c r="Q76" s="22"/>
      <c r="R76" s="170"/>
      <c r="S76" s="213">
        <f t="shared" si="28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-24T10:23:44-0600',mode:absolute,to:'2017-06-24T13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6" s="197" t="str">
        <f>IF(AA76&lt;VLOOKUP(AG76,Variables!$AC$3:$AD$8,2,FALSE),"Y","N")</f>
        <v>N</v>
      </c>
      <c r="X76" s="197">
        <f t="shared" si="25"/>
        <v>1</v>
      </c>
      <c r="Y76" s="197">
        <f t="shared" si="33"/>
        <v>4.8000000000000001E-2</v>
      </c>
      <c r="Z76" s="197">
        <f t="shared" si="34"/>
        <v>23.3308</v>
      </c>
      <c r="AA76" s="197">
        <f t="shared" si="9"/>
        <v>23.282800000000002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163</v>
      </c>
      <c r="AE76" s="77" t="str">
        <f t="shared" si="11"/>
        <v>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 &amp; 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</v>
      </c>
      <c r="AF76" s="74" t="str">
        <f t="shared" si="12"/>
        <v>"C:\Program Files (x86)\AstroGrep\AstroGrep.exe" /e /r /s /spath="%USERPROFILE%\AppData\Local\Temp\OnboardLogs" /stypes="app*4044*20170624*"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163-24 --locoid 4044 --swversion DE.1.0.9.0 --startMP 204:480 --initTime 2017-06-24T11:23:44 --startdatetime 2017-06-24T11:30:24 --delay 2 --endMP 204:233308 --enddatetime 2017-06-24T12:07:44 --enforcementcount 0 &gt;&gt;C:\Users\stu\Documents\GitHub\eaglep3-reporting\EC\2017-06-24-refined-times.txt</v>
      </c>
      <c r="AI76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{"issue":{"subject":"","project_id":79,"tracker_id":40,"status_id":1,"priority_id":2,"assigned_to_id":23,"start_date":"2017-06-24","description":"","custom_fields":[{"id":1,"name":"Subdivision","value":"EC"},{"id":4,"name":"Milepost","value":"23.3308"},{"id":17,"name":"Train ID","value":"163-24"},{"id":16,"name":"Locomotive ID","value":"4044"},{"id":130,"name":"Impact","value":""},{"id":150,"name":"Time of Event (Mountain Time)","value":"12:07:44"},{"id":151,"name":"Denver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4044 --day 2017-06-24</v>
      </c>
      <c r="AN76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18:07:44"},{"id":29,"name":"Sharepoint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765</v>
      </c>
      <c r="B77" s="7">
        <v>4043</v>
      </c>
      <c r="C77" s="21" t="s">
        <v>202</v>
      </c>
      <c r="D77" s="21" t="s">
        <v>585</v>
      </c>
      <c r="E77" s="13">
        <v>42910.516435185185</v>
      </c>
      <c r="F77" s="13">
        <v>42910.518923611111</v>
      </c>
      <c r="G77" s="7">
        <v>1</v>
      </c>
      <c r="H77" s="21" t="s">
        <v>441</v>
      </c>
      <c r="I77" s="13">
        <v>42910.545787037037</v>
      </c>
      <c r="J77" s="7">
        <v>0</v>
      </c>
      <c r="K77" s="89" t="str">
        <f t="shared" ref="K77:K140" si="35">IF(ISEVEN(B77),(B77-1)&amp;"/"&amp;B77,B77&amp;"/"&amp;(B77+1))</f>
        <v>4043/4044</v>
      </c>
      <c r="L77" s="21" t="str">
        <f>VLOOKUP(A77,'Trips&amp;Operators'!$C$1:$G$99999,5,FALSE)</f>
        <v>BRANDNER MELINDA</v>
      </c>
      <c r="M77" s="6">
        <f t="shared" ref="M77:M140" si="36">I77-F77</f>
        <v>2.6863425926421769E-2</v>
      </c>
      <c r="N77" s="7">
        <f t="shared" si="27"/>
        <v>38.683333334047347</v>
      </c>
      <c r="O77" s="7"/>
      <c r="P77" s="7"/>
      <c r="Q77" s="22"/>
      <c r="R77" s="170"/>
      <c r="S77" s="213">
        <f t="shared" si="28"/>
        <v>1</v>
      </c>
      <c r="T77" s="195" t="str">
        <f t="shared" ref="T77:T140" si="37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-24T11:23:40-0600',mode:absolute,to:'2017-06-24T14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7" s="197" t="str">
        <f>IF(AA77&lt;VLOOKUP(AG77,Variables!$AC$3:$AD$8,2,FALSE),"Y","N")</f>
        <v>N</v>
      </c>
      <c r="X77" s="197">
        <f t="shared" ref="X77:X108" si="39">VALUE(LEFT(AD77,4))-VALUE(LEFT(AD76,4))</f>
        <v>1</v>
      </c>
      <c r="Y77" s="197">
        <f t="shared" si="33"/>
        <v>23.300599999999999</v>
      </c>
      <c r="Z77" s="197">
        <f t="shared" si="34"/>
        <v>1.3599999999999999E-2</v>
      </c>
      <c r="AA77" s="197">
        <f t="shared" ref="AA77:AA140" si="40">ABS(Z77-Y77)</f>
        <v>23.286999999999999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41">VALUE(LEFT(A77,LEN(A77)-3))</f>
        <v>164</v>
      </c>
      <c r="AE77" s="77" t="str">
        <f t="shared" ref="AE77:AE140" si="4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 &amp; 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</v>
      </c>
      <c r="AF77" s="74" t="str">
        <f t="shared" ref="AF77:AF140" si="43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/stypes="app*4043*20170624*" /stext=" 19:.+((SYSTEM_STATE.+slice.+state.+changed )|(ment ac)|(multiple cpu faults)|(system.+state.+changed )|(\[timeout)|(PRM\|1\|D)|(kpr)|(kdp)|(train st.+moving)|(\|lc)|(penalty))"</v>
      </c>
      <c r="AG77" s="209" t="str">
        <f t="shared" ref="AG77:AG140" si="44">DetSubdiv(A77)</f>
        <v>EC</v>
      </c>
      <c r="AH77" s="78" t="str">
        <f t="shared" si="18"/>
        <v>"%USERPROFILE%\Documents\GitHub\eaglep3\Utilities\RefineRTDCRunTimes.py" --tripid 164-24 --locoid 4043 --swversion DE.1.0.9.0 --startMP 204:233006 --initTime 2017-06-24T12:23:40 --startdatetime 2017-06-24T12:27:15 --delay 1 --endMP 204:136 --enddatetime 2017-06-24T13:05:56 --enforcementcount 0 &gt;&gt;C:\Users\stu\Documents\GitHub\eaglep3-reporting\EC\2017-06-24-refined-times.txt</v>
      </c>
      <c r="AI77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{"issue":{"subject":"","project_id":79,"tracker_id":40,"status_id":1,"priority_id":2,"assigned_to_id":23,"start_date":"2017-06-24","description":"","custom_fields":[{"id":1,"name":"Subdivision","value":"EC"},{"id":4,"name":"Milepost","value":"0.0136"},{"id":17,"name":"Train ID","value":"164-24"},{"id":16,"name":"Locomotive ID","value":"4043"},{"id":130,"name":"Impact","value":""},{"id":150,"name":"Time of Event (Mountain Time)","value":"13:05:56"},{"id":151,"name":"Denver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4043 --day 2017-06-24</v>
      </c>
      <c r="AN77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19:05:56"},{"id":29,"name":"Sharepoint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758</v>
      </c>
      <c r="B78" s="7">
        <v>4020</v>
      </c>
      <c r="C78" s="21" t="s">
        <v>202</v>
      </c>
      <c r="D78" s="21" t="s">
        <v>474</v>
      </c>
      <c r="E78" s="13">
        <v>42910.486030092594</v>
      </c>
      <c r="F78" s="13">
        <v>42910.489768518521</v>
      </c>
      <c r="G78" s="7">
        <v>1</v>
      </c>
      <c r="H78" s="21" t="s">
        <v>878</v>
      </c>
      <c r="I78" s="13">
        <v>42910.514178240737</v>
      </c>
      <c r="J78" s="7">
        <v>0</v>
      </c>
      <c r="K78" s="89" t="str">
        <f t="shared" si="35"/>
        <v>4019/4020</v>
      </c>
      <c r="L78" s="21" t="str">
        <f>VLOOKUP(A78,'Trips&amp;Operators'!$C$1:$G$99999,5,FALSE)</f>
        <v>BRUDER RICHARD</v>
      </c>
      <c r="M78" s="6">
        <f t="shared" si="36"/>
        <v>2.4409722216660157E-2</v>
      </c>
      <c r="N78" s="7">
        <f t="shared" si="27"/>
        <v>35.149999991990626</v>
      </c>
      <c r="O78" s="7"/>
      <c r="P78" s="7"/>
      <c r="Q78" s="22"/>
      <c r="R78" s="170"/>
      <c r="S78" s="213">
        <f t="shared" si="28"/>
        <v>1</v>
      </c>
      <c r="T78" s="195" t="str">
        <f t="shared" si="37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8"/>
        <v>https://d0f6bd738d7f1b3e5a7ca70fe4ff75f0.us-east-1.aws.found.io/app/kibana#/discover/Steve-Slow-Train-Analysis-(2080s-and-2083s)?_g=(refreshInterval:(display:Off,pause:!f,section:0,value:0),time:(from:'2017-06-24T10:39:53-0600',mode:absolute,to:'2017-06-24T13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8" s="197" t="str">
        <f>IF(AA78&lt;VLOOKUP(AG78,Variables!$AC$3:$AD$8,2,FALSE),"Y","N")</f>
        <v>N</v>
      </c>
      <c r="X78" s="197">
        <f t="shared" si="39"/>
        <v>1</v>
      </c>
      <c r="Y78" s="197">
        <f t="shared" si="33"/>
        <v>4.5499999999999999E-2</v>
      </c>
      <c r="Z78" s="197">
        <f t="shared" si="34"/>
        <v>23.3322</v>
      </c>
      <c r="AA78" s="197">
        <f t="shared" si="40"/>
        <v>23.2867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41"/>
        <v>165</v>
      </c>
      <c r="AE78" s="77" t="str">
        <f t="shared" si="42"/>
        <v>aws s3 cp s3://rtdc.mdm.uploadarchive.raw/RTDC4020/ "%USERPROFILE%\AppData\Local\Temp\OnboardLogs"\RTDC4020\2017-06-24 --exclude "*" --recursive --include "*20170624*" &amp; "%USERPROFILE%\Documents\GitHub\mrs-test-scripts\Headless Mode &amp; Sideloading\WalkAndUnGZ.bat" "%USERPROFILE%\AppData\Local\Temp\OnboardLogs"\RTDC4020\2017-06-24 &amp; aws s3 cp s3://rtdc.mdm.uploadarchive.raw/RTDC4020/ "%USERPROFILE%\AppData\Local\Temp\OnboardLogs"\RTDC4020\2017-06-25 --exclude "*" --recursive --include "*20170625*" &amp; "%USERPROFILE%\Documents\GitHub\mrs-test-scripts\Headless Mode &amp; Sideloading\WalkAndUnGZ.bat" "%USERPROFILE%\AppData\Local\Temp\OnboardLogs"\RTDC4020\2017-06-25</v>
      </c>
      <c r="AF78" s="74" t="str">
        <f t="shared" si="43"/>
        <v>"C:\Program Files (x86)\AstroGrep\AstroGrep.exe" /e /r /s /spath="%USERPROFILE%\AppData\Local\Temp\OnboardLogs" /stypes="app*4020*20170624*" /stext=" 18:.+((SYSTEM_STATE.+slice.+state.+changed )|(ment ac)|(multiple cpu faults)|(system.+state.+changed )|(\[timeout)|(PRM\|1\|D)|(kpr)|(kdp)|(train st.+moving)|(\|lc)|(penalty))"</v>
      </c>
      <c r="AG78" s="209" t="str">
        <f t="shared" si="44"/>
        <v>EC</v>
      </c>
      <c r="AH78" s="78" t="str">
        <f t="shared" si="18"/>
        <v>"%USERPROFILE%\Documents\GitHub\eaglep3\Utilities\RefineRTDCRunTimes.py" --tripid 165-24 --locoid 4020 --swversion DE.1.0.9.0 --startMP 204:455 --initTime 2017-06-24T11:39:53 --startdatetime 2017-06-24T11:45:16 --delay 1 --endMP 204:233322 --enddatetime 2017-06-24T12:20:25 --enforcementcount 0 &gt;&gt;C:\Users\stu\Documents\GitHub\eaglep3-reporting\EC\2017-06-24-refined-times.txt</v>
      </c>
      <c r="AI78" s="96" t="str">
        <f t="shared" si="19"/>
        <v>echo {"issue":{"subject":"","project_id":79,"tracker_id":40,"status_id":1,"priority_id":2,"assigned_to_id":23,"start_date":"2017-06-24","description":"","custom_fields":[{"id":1,"name":"Subdivision","value":"EC"},{"id":4,"name":"Milepost","value":"23.3322"},{"id":17,"name":"Train ID","value":"165-24"},{"id":16,"name":"Locomotive ID","value":"4020"},{"id":130,"name":"Impact","value":""},{"id":150,"name":"Time of Event (Mountain Time)","value":"12:20:25"},{"id":151,"name":"Denver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20"/>
        <v>start /low /b %USERPROFILE%\Documents\GitHub\eaglep3\Utilities\DownloadLogsFromS3.py --loco 4020 --day 2017-06-24</v>
      </c>
      <c r="AN78" s="151" t="str">
        <f t="shared" si="21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18:20:25"},{"id":29,"name":"Sharepoint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767</v>
      </c>
      <c r="B79" s="7">
        <v>4019</v>
      </c>
      <c r="C79" s="21" t="s">
        <v>202</v>
      </c>
      <c r="D79" s="21" t="s">
        <v>890</v>
      </c>
      <c r="E79" s="13">
        <v>42910.525810185187</v>
      </c>
      <c r="F79" s="13">
        <v>42910.529340277775</v>
      </c>
      <c r="G79" s="7">
        <v>2</v>
      </c>
      <c r="H79" s="21" t="s">
        <v>193</v>
      </c>
      <c r="I79" s="13">
        <v>42910.555543981478</v>
      </c>
      <c r="J79" s="7">
        <v>0</v>
      </c>
      <c r="K79" s="89" t="str">
        <f t="shared" si="35"/>
        <v>4019/4020</v>
      </c>
      <c r="L79" s="21" t="str">
        <f>VLOOKUP(A79,'Trips&amp;Operators'!$C$1:$G$99999,5,FALSE)</f>
        <v>BRUDER RICHARD</v>
      </c>
      <c r="M79" s="6">
        <f t="shared" si="36"/>
        <v>2.6203703702776693E-2</v>
      </c>
      <c r="N79" s="7">
        <f t="shared" si="27"/>
        <v>37.733333331998438</v>
      </c>
      <c r="O79" s="7"/>
      <c r="P79" s="7"/>
      <c r="Q79" s="22"/>
      <c r="R79" s="170"/>
      <c r="S79" s="213">
        <f t="shared" si="28"/>
        <v>1</v>
      </c>
      <c r="T79" s="195" t="str">
        <f t="shared" si="37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8"/>
        <v>https://d0f6bd738d7f1b3e5a7ca70fe4ff75f0.us-east-1.aws.found.io/app/kibana#/discover/Steve-Slow-Train-Analysis-(2080s-and-2083s)?_g=(refreshInterval:(display:Off,pause:!f,section:0,value:0),time:(from:'2017-06-24T11:37:10-0600',mode:absolute,to:'2017-06-24T14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9" s="197" t="str">
        <f>IF(AA79&lt;VLOOKUP(AG79,Variables!$AC$3:$AD$8,2,FALSE),"Y","N")</f>
        <v>N</v>
      </c>
      <c r="X79" s="197">
        <f t="shared" si="39"/>
        <v>1</v>
      </c>
      <c r="Y79" s="197">
        <f t="shared" si="33"/>
        <v>23.300899999999999</v>
      </c>
      <c r="Z79" s="197">
        <f t="shared" si="34"/>
        <v>1.52E-2</v>
      </c>
      <c r="AA79" s="197">
        <f t="shared" si="40"/>
        <v>23.285699999999999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41"/>
        <v>166</v>
      </c>
      <c r="AE79" s="77" t="str">
        <f t="shared" si="42"/>
        <v>aws s3 cp s3://rtdc.mdm.uploadarchive.raw/RTDC4019/ "%USERPROFILE%\AppData\Local\Temp\OnboardLogs"\RTDC4019\2017-06-24 --exclude "*" --recursive --include "*20170624*" &amp; "%USERPROFILE%\Documents\GitHub\mrs-test-scripts\Headless Mode &amp; Sideloading\WalkAndUnGZ.bat" "%USERPROFILE%\AppData\Local\Temp\OnboardLogs"\RTDC4019\2017-06-24 &amp; aws s3 cp s3://rtdc.mdm.uploadarchive.raw/RTDC4019/ "%USERPROFILE%\AppData\Local\Temp\OnboardLogs"\RTDC4019\2017-06-25 --exclude "*" --recursive --include "*20170625*" &amp; "%USERPROFILE%\Documents\GitHub\mrs-test-scripts\Headless Mode &amp; Sideloading\WalkAndUnGZ.bat" "%USERPROFILE%\AppData\Local\Temp\OnboardLogs"\RTDC4019\2017-06-25</v>
      </c>
      <c r="AF79" s="74" t="str">
        <f t="shared" si="43"/>
        <v>"C:\Program Files (x86)\AstroGrep\AstroGrep.exe" /e /r /s /spath="%USERPROFILE%\AppData\Local\Temp\OnboardLogs" /stypes="app*4019*20170624*" /stext=" 19:.+((SYSTEM_STATE.+slice.+state.+changed )|(ment ac)|(multiple cpu faults)|(system.+state.+changed )|(\[timeout)|(PRM\|1\|D)|(kpr)|(kdp)|(train st.+moving)|(\|lc)|(penalty))"</v>
      </c>
      <c r="AG79" s="209" t="str">
        <f t="shared" si="44"/>
        <v>EC</v>
      </c>
      <c r="AH79" s="78" t="str">
        <f t="shared" ref="AH79:AH141" si="45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166-24 --locoid 4019 --swversion DE.1.0.9.0 --startMP 204:233009 --initTime 2017-06-24T12:37:10 --startdatetime 2017-06-24T12:42:15 --delay 2 --endMP 204:152 --enddatetime 2017-06-24T13:19:59 --enforcementcount 0 &gt;&gt;C:\Users\stu\Documents\GitHub\eaglep3-reporting\EC\2017-06-24-refined-times.txt</v>
      </c>
      <c r="AI79" s="96" t="str">
        <f t="shared" ref="AI79:AI141" si="46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{"issue":{"subject":"","project_id":79,"tracker_id":40,"status_id":1,"priority_id":2,"assigned_to_id":23,"start_date":"2017-06-24","description":"","custom_fields":[{"id":1,"name":"Subdivision","value":"EC"},{"id":4,"name":"Milepost","value":"0.0152"},{"id":17,"name":"Train ID","value":"166-24"},{"id":16,"name":"Locomotive ID","value":"4019"},{"id":130,"name":"Impact","value":""},{"id":150,"name":"Time of Event (Mountain Time)","value":"13:19:59"},{"id":151,"name":"Denver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41" si="47">"start /low /b "&amp;dls3logs&amp;" --loco "&amp;B79&amp;" --day "&amp;TEXT(F79,"YYYY-MM-DD")</f>
        <v>start /low /b %USERPROFILE%\Documents\GitHub\eaglep3\Utilities\DownloadLogsFromS3.py --loco 4019 --day 2017-06-24</v>
      </c>
      <c r="AN79" s="151" t="str">
        <f t="shared" ref="AN79:AN141" si="48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19:19:59"},{"id":29,"name":"Sharepoint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761</v>
      </c>
      <c r="B80" s="7">
        <v>4004</v>
      </c>
      <c r="C80" s="21" t="s">
        <v>202</v>
      </c>
      <c r="D80" s="21" t="s">
        <v>354</v>
      </c>
      <c r="E80" s="13">
        <v>42910.495266203703</v>
      </c>
      <c r="F80" s="13">
        <v>42910.500196759262</v>
      </c>
      <c r="G80" s="7">
        <v>1</v>
      </c>
      <c r="H80" s="21" t="s">
        <v>602</v>
      </c>
      <c r="I80" s="13">
        <v>42910.525706018518</v>
      </c>
      <c r="J80" s="7">
        <v>0</v>
      </c>
      <c r="K80" s="89" t="str">
        <f t="shared" si="35"/>
        <v>4003/4004</v>
      </c>
      <c r="L80" s="21" t="str">
        <f>VLOOKUP(A80,'Trips&amp;Operators'!$C$1:$G$99999,5,FALSE)</f>
        <v>SULLIVAN BRANDON</v>
      </c>
      <c r="M80" s="6">
        <f t="shared" si="36"/>
        <v>2.5509259256068617E-2</v>
      </c>
      <c r="N80" s="7">
        <f t="shared" si="27"/>
        <v>36.733333328738809</v>
      </c>
      <c r="O80" s="7"/>
      <c r="P80" s="7"/>
      <c r="Q80" s="22"/>
      <c r="R80" s="170"/>
      <c r="S80" s="213">
        <f t="shared" si="28"/>
        <v>1</v>
      </c>
      <c r="T80" s="195" t="str">
        <f t="shared" si="37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8"/>
        <v>https://d0f6bd738d7f1b3e5a7ca70fe4ff75f0.us-east-1.aws.found.io/app/kibana#/discover/Steve-Slow-Train-Analysis-(2080s-and-2083s)?_g=(refreshInterval:(display:Off,pause:!f,section:0,value:0),time:(from:'2017-06-24T10:53:11-0600',mode:absolute,to:'2017-06-24T13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0" s="197" t="str">
        <f>IF(AA80&lt;VLOOKUP(AG80,Variables!$AC$3:$AD$8,2,FALSE),"Y","N")</f>
        <v>N</v>
      </c>
      <c r="X80" s="197">
        <f t="shared" si="39"/>
        <v>1</v>
      </c>
      <c r="Y80" s="197">
        <f t="shared" si="33"/>
        <v>4.53E-2</v>
      </c>
      <c r="Z80" s="197">
        <f t="shared" si="34"/>
        <v>23.335100000000001</v>
      </c>
      <c r="AA80" s="197">
        <f t="shared" si="40"/>
        <v>23.2898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41"/>
        <v>167</v>
      </c>
      <c r="AE80" s="77" t="str">
        <f t="shared" si="42"/>
        <v>aws s3 cp s3://rtdc.mdm.uploadarchive.raw/RTDC4004/ "%USERPROFILE%\AppData\Local\Temp\OnboardLogs"\RTDC4004\2017-06-24 --exclude "*" --recursive --include "*20170624*" &amp; "%USERPROFILE%\Documents\GitHub\mrs-test-scripts\Headless Mode &amp; Sideloading\WalkAndUnGZ.bat" "%USERPROFILE%\AppData\Local\Temp\OnboardLogs"\RTDC4004\2017-06-24 &amp; aws s3 cp s3://rtdc.mdm.uploadarchive.raw/RTDC4004/ "%USERPROFILE%\AppData\Local\Temp\OnboardLogs"\RTDC4004\2017-06-25 --exclude "*" --recursive --include "*20170625*" &amp; "%USERPROFILE%\Documents\GitHub\mrs-test-scripts\Headless Mode &amp; Sideloading\WalkAndUnGZ.bat" "%USERPROFILE%\AppData\Local\Temp\OnboardLogs"\RTDC4004\2017-06-25</v>
      </c>
      <c r="AF80" s="74" t="str">
        <f t="shared" si="43"/>
        <v>"C:\Program Files (x86)\AstroGrep\AstroGrep.exe" /e /r /s /spath="%USERPROFILE%\AppData\Local\Temp\OnboardLogs" /stypes="app*4004*20170624*" /stext=" 18:.+((SYSTEM_STATE.+slice.+state.+changed )|(ment ac)|(multiple cpu faults)|(system.+state.+changed )|(\[timeout)|(PRM\|1\|D)|(kpr)|(kdp)|(train st.+moving)|(\|lc)|(penalty))"</v>
      </c>
      <c r="AG80" s="209" t="str">
        <f t="shared" si="44"/>
        <v>EC</v>
      </c>
      <c r="AH80" s="78" t="str">
        <f t="shared" si="45"/>
        <v>"%USERPROFILE%\Documents\GitHub\eaglep3\Utilities\RefineRTDCRunTimes.py" --tripid 167-24 --locoid 4004 --swversion DE.1.0.9.0 --startMP 204:453 --initTime 2017-06-24T11:53:11 --startdatetime 2017-06-24T12:00:17 --delay 1 --endMP 204:233351 --enddatetime 2017-06-24T12:37:01 --enforcementcount 0 &gt;&gt;C:\Users\stu\Documents\GitHub\eaglep3-reporting\EC\2017-06-24-refined-times.txt</v>
      </c>
      <c r="AI80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{"issue":{"subject":"","project_id":79,"tracker_id":40,"status_id":1,"priority_id":2,"assigned_to_id":23,"start_date":"2017-06-24","description":"","custom_fields":[{"id":1,"name":"Subdivision","value":"EC"},{"id":4,"name":"Milepost","value":"23.3351"},{"id":17,"name":"Train ID","value":"167-24"},{"id":16,"name":"Locomotive ID","value":"4004"},{"id":130,"name":"Impact","value":""},{"id":150,"name":"Time of Event (Mountain Time)","value":"12:37:01"},{"id":151,"name":"Denver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7"/>
        <v>start /low /b %USERPROFILE%\Documents\GitHub\eaglep3\Utilities\DownloadLogsFromS3.py --loco 4004 --day 2017-06-24</v>
      </c>
      <c r="AN80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18:37:01"},{"id":29,"name":"Sharepoint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769</v>
      </c>
      <c r="B81" s="7">
        <v>4003</v>
      </c>
      <c r="C81" s="21" t="s">
        <v>202</v>
      </c>
      <c r="D81" s="21" t="s">
        <v>891</v>
      </c>
      <c r="E81" s="13">
        <v>42910.534479166665</v>
      </c>
      <c r="F81" s="13">
        <v>42910.539756944447</v>
      </c>
      <c r="G81" s="7">
        <v>1</v>
      </c>
      <c r="H81" s="21" t="s">
        <v>892</v>
      </c>
      <c r="I81" s="13">
        <v>42910.56658564815</v>
      </c>
      <c r="J81" s="7">
        <v>0</v>
      </c>
      <c r="K81" s="89" t="str">
        <f t="shared" si="35"/>
        <v>4003/4004</v>
      </c>
      <c r="L81" s="21" t="str">
        <f>VLOOKUP(A81,'Trips&amp;Operators'!$C$1:$G$99999,5,FALSE)</f>
        <v>SULLIVAN BRANDON</v>
      </c>
      <c r="M81" s="6">
        <f t="shared" si="36"/>
        <v>2.6828703703358769E-2</v>
      </c>
      <c r="N81" s="7">
        <f t="shared" si="27"/>
        <v>38.633333332836628</v>
      </c>
      <c r="O81" s="7"/>
      <c r="P81" s="7"/>
      <c r="Q81" s="22"/>
      <c r="R81" s="170"/>
      <c r="S81" s="213">
        <f t="shared" si="28"/>
        <v>1</v>
      </c>
      <c r="T81" s="195" t="str">
        <f t="shared" si="37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8"/>
        <v>https://d0f6bd738d7f1b3e5a7ca70fe4ff75f0.us-east-1.aws.found.io/app/kibana#/discover/Steve-Slow-Train-Analysis-(2080s-and-2083s)?_g=(refreshInterval:(display:Off,pause:!f,section:0,value:0),time:(from:'2017-06-24T11:49:39-0600',mode:absolute,to:'2017-06-24T14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1" s="197" t="str">
        <f>IF(AA81&lt;VLOOKUP(AG81,Variables!$AC$3:$AD$8,2,FALSE),"Y","N")</f>
        <v>N</v>
      </c>
      <c r="X81" s="197">
        <f t="shared" si="39"/>
        <v>1</v>
      </c>
      <c r="Y81" s="197">
        <f t="shared" si="33"/>
        <v>23.3049</v>
      </c>
      <c r="Z81" s="197">
        <f t="shared" si="34"/>
        <v>1.7399999999999999E-2</v>
      </c>
      <c r="AA81" s="197">
        <f t="shared" si="40"/>
        <v>23.287500000000001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41"/>
        <v>168</v>
      </c>
      <c r="AE81" s="77" t="str">
        <f t="shared" si="42"/>
        <v>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 &amp; aws s3 cp s3://rtdc.mdm.uploadarchive.raw/RTDC4003/ "%USERPROFILE%\AppData\Local\Temp\OnboardLogs"\RTDC4003\2017-06-25 --exclude "*" --recursive --include "*20170625*" &amp; "%USERPROFILE%\Documents\GitHub\mrs-test-scripts\Headless Mode &amp; Sideloading\WalkAndUnGZ.bat" "%USERPROFILE%\AppData\Local\Temp\OnboardLogs"\RTDC4003\2017-06-25</v>
      </c>
      <c r="AF81" s="74" t="str">
        <f t="shared" si="43"/>
        <v>"C:\Program Files (x86)\AstroGrep\AstroGrep.exe" /e /r /s /spath="%USERPROFILE%\AppData\Local\Temp\OnboardLogs" /stypes="app*4003*20170624*" /stext=" 19:.+((SYSTEM_STATE.+slice.+state.+changed )|(ment ac)|(multiple cpu faults)|(system.+state.+changed )|(\[timeout)|(PRM\|1\|D)|(kpr)|(kdp)|(train st.+moving)|(\|lc)|(penalty))"</v>
      </c>
      <c r="AG81" s="209" t="str">
        <f t="shared" si="44"/>
        <v>EC</v>
      </c>
      <c r="AH81" s="78" t="str">
        <f t="shared" si="45"/>
        <v>"%USERPROFILE%\Documents\GitHub\eaglep3\Utilities\RefineRTDCRunTimes.py" --tripid 168-24 --locoid 4003 --swversion DE.1.0.9.0 --startMP 204:233049 --initTime 2017-06-24T12:49:39 --startdatetime 2017-06-24T12:57:15 --delay 1 --endMP 204:174 --enddatetime 2017-06-24T13:35:53 --enforcementcount 0 &gt;&gt;C:\Users\stu\Documents\GitHub\eaglep3-reporting\EC\2017-06-24-refined-times.txt</v>
      </c>
      <c r="AI81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{"issue":{"subject":"","project_id":79,"tracker_id":40,"status_id":1,"priority_id":2,"assigned_to_id":23,"start_date":"2017-06-24","description":"","custom_fields":[{"id":1,"name":"Subdivision","value":"EC"},{"id":4,"name":"Milepost","value":"0.0174"},{"id":17,"name":"Train ID","value":"168-24"},{"id":16,"name":"Locomotive ID","value":"4003"},{"id":130,"name":"Impact","value":""},{"id":150,"name":"Time of Event (Mountain Time)","value":"13:35:53"},{"id":151,"name":"Denver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7"/>
        <v>start /low /b %USERPROFILE%\Documents\GitHub\eaglep3\Utilities\DownloadLogsFromS3.py --loco 4003 --day 2017-06-24</v>
      </c>
      <c r="AN81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19:35:53"},{"id":29,"name":"Sharepoint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763</v>
      </c>
      <c r="B82" s="7">
        <v>4014</v>
      </c>
      <c r="C82" s="21" t="s">
        <v>202</v>
      </c>
      <c r="D82" s="21" t="s">
        <v>475</v>
      </c>
      <c r="E82" s="13">
        <v>42910.505671296298</v>
      </c>
      <c r="F82" s="13">
        <v>42910.51059027778</v>
      </c>
      <c r="G82" s="7">
        <v>1</v>
      </c>
      <c r="H82" s="21" t="s">
        <v>893</v>
      </c>
      <c r="I82" s="13">
        <v>42910.535601851851</v>
      </c>
      <c r="J82" s="7">
        <v>0</v>
      </c>
      <c r="K82" s="89" t="str">
        <f t="shared" si="35"/>
        <v>4013/4014</v>
      </c>
      <c r="L82" s="21" t="str">
        <f>VLOOKUP(A82,'Trips&amp;Operators'!$C$1:$G$99999,5,FALSE)</f>
        <v>DELGADO DIANAH</v>
      </c>
      <c r="M82" s="6">
        <f t="shared" si="36"/>
        <v>2.5011574070958886E-2</v>
      </c>
      <c r="N82" s="7">
        <f t="shared" si="27"/>
        <v>36.016666662180796</v>
      </c>
      <c r="O82" s="7"/>
      <c r="P82" s="7"/>
      <c r="Q82" s="22"/>
      <c r="R82" s="170"/>
      <c r="S82" s="213">
        <f t="shared" si="28"/>
        <v>1</v>
      </c>
      <c r="T82" s="195" t="str">
        <f t="shared" si="37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8"/>
        <v>https://d0f6bd738d7f1b3e5a7ca70fe4ff75f0.us-east-1.aws.found.io/app/kibana#/discover/Steve-Slow-Train-Analysis-(2080s-and-2083s)?_g=(refreshInterval:(display:Off,pause:!f,section:0,value:0),time:(from:'2017-06-24T11:08:10-0600',mode:absolute,to:'2017-06-24T13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2" s="197" t="str">
        <f>IF(AA82&lt;VLOOKUP(AG82,Variables!$AC$3:$AD$8,2,FALSE),"Y","N")</f>
        <v>N</v>
      </c>
      <c r="X82" s="197">
        <f t="shared" si="39"/>
        <v>1</v>
      </c>
      <c r="Y82" s="197">
        <f t="shared" si="33"/>
        <v>4.6399999999999997E-2</v>
      </c>
      <c r="Z82" s="197">
        <f t="shared" si="34"/>
        <v>23.341000000000001</v>
      </c>
      <c r="AA82" s="197">
        <f t="shared" si="40"/>
        <v>23.294600000000003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41"/>
        <v>169</v>
      </c>
      <c r="AE82" s="77" t="str">
        <f t="shared" si="42"/>
        <v>aws s3 cp s3://rtdc.mdm.uploadarchive.raw/RTDC4014/ "%USERPROFILE%\AppData\Local\Temp\OnboardLogs"\RTDC4014\2017-06-24 --exclude "*" --recursive --include "*20170624*" &amp; "%USERPROFILE%\Documents\GitHub\mrs-test-scripts\Headless Mode &amp; Sideloading\WalkAndUnGZ.bat" "%USERPROFILE%\AppData\Local\Temp\OnboardLogs"\RTDC4014\2017-06-24 &amp; aws s3 cp s3://rtdc.mdm.uploadarchive.raw/RTDC4014/ "%USERPROFILE%\AppData\Local\Temp\OnboardLogs"\RTDC4014\2017-06-25 --exclude "*" --recursive --include "*20170625*" &amp; "%USERPROFILE%\Documents\GitHub\mrs-test-scripts\Headless Mode &amp; Sideloading\WalkAndUnGZ.bat" "%USERPROFILE%\AppData\Local\Temp\OnboardLogs"\RTDC4014\2017-06-25</v>
      </c>
      <c r="AF82" s="74" t="str">
        <f t="shared" si="43"/>
        <v>"C:\Program Files (x86)\AstroGrep\AstroGrep.exe" /e /r /s /spath="%USERPROFILE%\AppData\Local\Temp\OnboardLogs" /stypes="app*4014*20170624*" /stext=" 18:.+((SYSTEM_STATE.+slice.+state.+changed )|(ment ac)|(multiple cpu faults)|(system.+state.+changed )|(\[timeout)|(PRM\|1\|D)|(kpr)|(kdp)|(train st.+moving)|(\|lc)|(penalty))"</v>
      </c>
      <c r="AG82" s="209" t="str">
        <f t="shared" si="44"/>
        <v>EC</v>
      </c>
      <c r="AH82" s="78" t="str">
        <f t="shared" si="45"/>
        <v>"%USERPROFILE%\Documents\GitHub\eaglep3\Utilities\RefineRTDCRunTimes.py" --tripid 169-24 --locoid 4014 --swversion DE.1.0.9.0 --startMP 204:464 --initTime 2017-06-24T12:08:10 --startdatetime 2017-06-24T12:15:15 --delay 1 --endMP 204:233410 --enddatetime 2017-06-24T12:51:16 --enforcementcount 0 &gt;&gt;C:\Users\stu\Documents\GitHub\eaglep3-reporting\EC\2017-06-24-refined-times.txt</v>
      </c>
      <c r="AI82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{"issue":{"subject":"","project_id":79,"tracker_id":40,"status_id":1,"priority_id":2,"assigned_to_id":23,"start_date":"2017-06-24","description":"","custom_fields":[{"id":1,"name":"Subdivision","value":"EC"},{"id":4,"name":"Milepost","value":"23.341"},{"id":17,"name":"Train ID","value":"169-24"},{"id":16,"name":"Locomotive ID","value":"4014"},{"id":130,"name":"Impact","value":""},{"id":150,"name":"Time of Event (Mountain Time)","value":"12:51:16"},{"id":151,"name":"Denver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7"/>
        <v>start /low /b %USERPROFILE%\Documents\GitHub\eaglep3\Utilities\DownloadLogsFromS3.py --loco 4014 --day 2017-06-24</v>
      </c>
      <c r="AN82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18:51:16"},{"id":29,"name":"Sharepoint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644</v>
      </c>
      <c r="B83" s="7">
        <v>4013</v>
      </c>
      <c r="C83" s="21" t="s">
        <v>202</v>
      </c>
      <c r="D83" s="21" t="s">
        <v>894</v>
      </c>
      <c r="E83" s="13">
        <v>42910.546817129631</v>
      </c>
      <c r="F83" s="13">
        <v>42910.550173611111</v>
      </c>
      <c r="G83" s="7">
        <v>1</v>
      </c>
      <c r="H83" s="21" t="s">
        <v>193</v>
      </c>
      <c r="I83" s="13">
        <v>42910.576458333337</v>
      </c>
      <c r="J83" s="7">
        <v>0</v>
      </c>
      <c r="K83" s="89" t="str">
        <f t="shared" si="35"/>
        <v>4013/4014</v>
      </c>
      <c r="L83" s="21" t="str">
        <f>VLOOKUP(A83,'Trips&amp;Operators'!$C$1:$G$99999,5,FALSE)</f>
        <v>DELGADO DIANAH</v>
      </c>
      <c r="M83" s="6">
        <f t="shared" si="36"/>
        <v>2.6284722225682344E-2</v>
      </c>
      <c r="N83" s="7">
        <f t="shared" si="27"/>
        <v>37.850000004982576</v>
      </c>
      <c r="O83" s="7"/>
      <c r="P83" s="7"/>
      <c r="Q83" s="22"/>
      <c r="R83" s="170"/>
      <c r="S83" s="213">
        <f t="shared" si="28"/>
        <v>1</v>
      </c>
      <c r="T83" s="195" t="str">
        <f t="shared" si="37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8"/>
        <v>https://d0f6bd738d7f1b3e5a7ca70fe4ff75f0.us-east-1.aws.found.io/app/kibana#/discover/Steve-Slow-Train-Analysis-(2080s-and-2083s)?_g=(refreshInterval:(display:Off,pause:!f,section:0,value:0),time:(from:'2017-06-24T12:07:25-0600',mode:absolute,to:'2017-06-24T14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3" s="197" t="str">
        <f>IF(AA83&lt;VLOOKUP(AG83,Variables!$AC$3:$AD$8,2,FALSE),"Y","N")</f>
        <v>N</v>
      </c>
      <c r="X83" s="197">
        <f t="shared" si="39"/>
        <v>1</v>
      </c>
      <c r="Y83" s="197">
        <f t="shared" si="33"/>
        <v>23.3001</v>
      </c>
      <c r="Z83" s="197">
        <f t="shared" si="34"/>
        <v>1.52E-2</v>
      </c>
      <c r="AA83" s="197">
        <f t="shared" si="40"/>
        <v>23.2849</v>
      </c>
      <c r="AB83" s="54" t="str">
        <f>VLOOKUP(A83,Enforcements!$C$7:$K$13,8,0)</f>
        <v>Speed (6)</v>
      </c>
      <c r="AC83" s="51" t="str">
        <f>VLOOKUP(A83,Enforcements!$C$7:$E$13,3,0)</f>
        <v>PERMANENT SPEED RESTRICTION</v>
      </c>
      <c r="AD83" s="206">
        <f t="shared" si="41"/>
        <v>170</v>
      </c>
      <c r="AE83" s="77" t="str">
        <f t="shared" si="42"/>
        <v>aws s3 cp s3://rtdc.mdm.uploadarchive.raw/RTDC4013/ "%USERPROFILE%\AppData\Local\Temp\OnboardLogs"\RTDC4013\2017-06-24 --exclude "*" --recursive --include "*20170624*" &amp; "%USERPROFILE%\Documents\GitHub\mrs-test-scripts\Headless Mode &amp; Sideloading\WalkAndUnGZ.bat" "%USERPROFILE%\AppData\Local\Temp\OnboardLogs"\RTDC4013\2017-06-24 &amp; aws s3 cp s3://rtdc.mdm.uploadarchive.raw/RTDC4013/ "%USERPROFILE%\AppData\Local\Temp\OnboardLogs"\RTDC4013\2017-06-25 --exclude "*" --recursive --include "*20170625*" &amp; "%USERPROFILE%\Documents\GitHub\mrs-test-scripts\Headless Mode &amp; Sideloading\WalkAndUnGZ.bat" "%USERPROFILE%\AppData\Local\Temp\OnboardLogs"\RTDC4013\2017-06-25</v>
      </c>
      <c r="AF83" s="74" t="str">
        <f t="shared" si="43"/>
        <v>"C:\Program Files (x86)\AstroGrep\AstroGrep.exe" /e /r /s /spath="%USERPROFILE%\AppData\Local\Temp\OnboardLogs" /stypes="app*4013*20170624*" /stext=" 19:.+((SYSTEM_STATE.+slice.+state.+changed )|(ment ac)|(multiple cpu faults)|(system.+state.+changed )|(\[timeout)|(PRM\|1\|D)|(kpr)|(kdp)|(train st.+moving)|(\|lc)|(penalty))"</v>
      </c>
      <c r="AG83" s="209" t="str">
        <f t="shared" si="44"/>
        <v>EC</v>
      </c>
      <c r="AH83" s="78" t="str">
        <f t="shared" si="45"/>
        <v>"%USERPROFILE%\Documents\GitHub\eaglep3\Utilities\RefineRTDCRunTimes.py" --tripid 170-24 --locoid 4013 --swversion DE.1.0.9.0 --startMP 204:233001 --initTime 2017-06-24T13:07:25 --startdatetime 2017-06-24T13:12:15 --delay 1 --endMP 204:152 --enddatetime 2017-06-24T13:50:06 --enforcementcount 0 &gt;&gt;C:\Users\stu\Documents\GitHub\eaglep3-reporting\EC\2017-06-24-refined-times.txt</v>
      </c>
      <c r="AI83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{"issue":{"subject":"","project_id":79,"tracker_id":40,"status_id":1,"priority_id":2,"assigned_to_id":23,"start_date":"2017-06-24","description":"","custom_fields":[{"id":1,"name":"Subdivision","value":"EC"},{"id":4,"name":"Milepost","value":"0.0152"},{"id":17,"name":"Train ID","value":"170-24"},{"id":16,"name":"Locomotive ID","value":"4013"},{"id":130,"name":"Impact","value":""},{"id":150,"name":"Time of Event (Mountain Time)","value":"13:50:06"},{"id":151,"name":"Denver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7"/>
        <v>start /low /b %USERPROFILE%\Documents\GitHub\eaglep3\Utilities\DownloadLogsFromS3.py --loco 4013 --day 2017-06-24</v>
      </c>
      <c r="AN83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19:50:06"},{"id":29,"name":"Sharepoint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643</v>
      </c>
      <c r="B84" s="7">
        <v>4042</v>
      </c>
      <c r="C84" s="21" t="s">
        <v>202</v>
      </c>
      <c r="D84" s="21" t="s">
        <v>508</v>
      </c>
      <c r="E84" s="13">
        <v>42910.516805555555</v>
      </c>
      <c r="F84" s="13">
        <v>42910.52107638889</v>
      </c>
      <c r="G84" s="7">
        <v>1</v>
      </c>
      <c r="H84" s="21" t="s">
        <v>895</v>
      </c>
      <c r="I84" s="13">
        <v>42910.546550925923</v>
      </c>
      <c r="J84" s="7">
        <v>0</v>
      </c>
      <c r="K84" s="89" t="str">
        <f t="shared" si="35"/>
        <v>4041/4042</v>
      </c>
      <c r="L84" s="21" t="str">
        <f>VLOOKUP(A84,'Trips&amp;Operators'!$C$1:$G$99999,5,FALSE)</f>
        <v>BROWN JACOB</v>
      </c>
      <c r="M84" s="6">
        <f t="shared" si="36"/>
        <v>2.5474537033005618E-2</v>
      </c>
      <c r="N84" s="7">
        <f t="shared" si="27"/>
        <v>36.683333327528089</v>
      </c>
      <c r="O84" s="7"/>
      <c r="P84" s="7"/>
      <c r="Q84" s="22"/>
      <c r="R84" s="170"/>
      <c r="S84" s="213">
        <f t="shared" si="28"/>
        <v>1</v>
      </c>
      <c r="T84" s="195" t="str">
        <f t="shared" si="37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8"/>
        <v>https://d0f6bd738d7f1b3e5a7ca70fe4ff75f0.us-east-1.aws.found.io/app/kibana#/discover/Steve-Slow-Train-Analysis-(2080s-and-2083s)?_g=(refreshInterval:(display:Off,pause:!f,section:0,value:0),time:(from:'2017-06-24T11:24:12-0600',mode:absolute,to:'2017-06-24T14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4" s="197" t="str">
        <f>IF(AA84&lt;VLOOKUP(AG84,Variables!$AC$3:$AD$8,2,FALSE),"Y","N")</f>
        <v>N</v>
      </c>
      <c r="X84" s="197">
        <f t="shared" si="39"/>
        <v>1</v>
      </c>
      <c r="Y84" s="197">
        <f t="shared" si="33"/>
        <v>4.7300000000000002E-2</v>
      </c>
      <c r="Z84" s="197">
        <f t="shared" si="34"/>
        <v>23.330200000000001</v>
      </c>
      <c r="AA84" s="197">
        <f t="shared" si="40"/>
        <v>23.282900000000001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41"/>
        <v>171</v>
      </c>
      <c r="AE84" s="77" t="str">
        <f t="shared" si="42"/>
        <v>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 &amp; 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</v>
      </c>
      <c r="AF84" s="74" t="str">
        <f t="shared" si="43"/>
        <v>"C:\Program Files (x86)\AstroGrep\AstroGrep.exe" /e /r /s /spath="%USERPROFILE%\AppData\Local\Temp\OnboardLogs" /stypes="app*4042*20170624*" /stext=" 19:.+((SYSTEM_STATE.+slice.+state.+changed )|(ment ac)|(multiple cpu faults)|(system.+state.+changed )|(\[timeout)|(PRM\|1\|D)|(kpr)|(kdp)|(train st.+moving)|(\|lc)|(penalty))"</v>
      </c>
      <c r="AG84" s="209" t="str">
        <f t="shared" si="44"/>
        <v>EC</v>
      </c>
      <c r="AH84" s="78" t="str">
        <f t="shared" si="45"/>
        <v>"%USERPROFILE%\Documents\GitHub\eaglep3\Utilities\RefineRTDCRunTimes.py" --tripid 171-24 --locoid 4042 --swversion DE.1.0.9.0 --startMP 204:473 --initTime 2017-06-24T12:24:12 --startdatetime 2017-06-24T12:30:21 --delay 1 --endMP 204:233302 --enddatetime 2017-06-24T13:07:02 --enforcementcount 0 &gt;&gt;C:\Users\stu\Documents\GitHub\eaglep3-reporting\EC\2017-06-24-refined-times.txt</v>
      </c>
      <c r="AI84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{"issue":{"subject":"","project_id":79,"tracker_id":40,"status_id":1,"priority_id":2,"assigned_to_id":23,"start_date":"2017-06-24","description":"","custom_fields":[{"id":1,"name":"Subdivision","value":"EC"},{"id":4,"name":"Milepost","value":"23.3302"},{"id":17,"name":"Train ID","value":"171-24"},{"id":16,"name":"Locomotive ID","value":"4042"},{"id":130,"name":"Impact","value":""},{"id":150,"name":"Time of Event (Mountain Time)","value":"13:07:02"},{"id":151,"name":"Denver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7"/>
        <v>start /low /b %USERPROFILE%\Documents\GitHub\eaglep3\Utilities\DownloadLogsFromS3.py --loco 4042 --day 2017-06-24</v>
      </c>
      <c r="AN84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19:07:02"},{"id":29,"name":"Sharepoint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776</v>
      </c>
      <c r="B85" s="7">
        <v>4041</v>
      </c>
      <c r="C85" s="21" t="s">
        <v>202</v>
      </c>
      <c r="D85" s="21" t="s">
        <v>473</v>
      </c>
      <c r="E85" s="13">
        <v>42910.555532407408</v>
      </c>
      <c r="F85" s="13">
        <v>42910.560648148145</v>
      </c>
      <c r="G85" s="7">
        <v>3</v>
      </c>
      <c r="H85" s="21" t="s">
        <v>541</v>
      </c>
      <c r="I85" s="13">
        <v>42910.587650462963</v>
      </c>
      <c r="J85" s="7">
        <v>0</v>
      </c>
      <c r="K85" s="89" t="str">
        <f t="shared" si="35"/>
        <v>4041/4042</v>
      </c>
      <c r="L85" s="21" t="str">
        <f>VLOOKUP(A85,'Trips&amp;Operators'!$C$1:$G$99999,5,FALSE)</f>
        <v>BROWN JACOB</v>
      </c>
      <c r="M85" s="6">
        <f t="shared" si="36"/>
        <v>2.7002314818673767E-2</v>
      </c>
      <c r="N85" s="7">
        <f t="shared" si="27"/>
        <v>38.883333338890225</v>
      </c>
      <c r="O85" s="7"/>
      <c r="P85" s="7"/>
      <c r="Q85" s="22"/>
      <c r="R85" s="170"/>
      <c r="S85" s="213">
        <f t="shared" si="28"/>
        <v>1</v>
      </c>
      <c r="T85" s="195" t="str">
        <f t="shared" si="37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8"/>
        <v>https://d0f6bd738d7f1b3e5a7ca70fe4ff75f0.us-east-1.aws.found.io/app/kibana#/discover/Steve-Slow-Train-Analysis-(2080s-and-2083s)?_g=(refreshInterval:(display:Off,pause:!f,section:0,value:0),time:(from:'2017-06-24T12:19:58-0600',mode:absolute,to:'2017-06-24T15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5" s="197" t="str">
        <f>IF(AA85&lt;VLOOKUP(AG85,Variables!$AC$3:$AD$8,2,FALSE),"Y","N")</f>
        <v>N</v>
      </c>
      <c r="X85" s="197">
        <f t="shared" si="39"/>
        <v>1</v>
      </c>
      <c r="Y85" s="197">
        <f t="shared" si="33"/>
        <v>23.299800000000001</v>
      </c>
      <c r="Z85" s="197">
        <f t="shared" si="34"/>
        <v>1.6500000000000001E-2</v>
      </c>
      <c r="AA85" s="197">
        <f t="shared" si="40"/>
        <v>23.283300000000001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41"/>
        <v>172</v>
      </c>
      <c r="AE85" s="77" t="str">
        <f t="shared" si="42"/>
        <v>aws s3 cp s3://rtdc.mdm.uploadarchive.raw/RTDC4041/ "%USERPROFILE%\AppData\Local\Temp\OnboardLogs"\RTDC4041\2017-06-24 --exclude "*" --recursive --include "*20170624*" &amp; "%USERPROFILE%\Documents\GitHub\mrs-test-scripts\Headless Mode &amp; Sideloading\WalkAndUnGZ.bat" "%USERPROFILE%\AppData\Local\Temp\OnboardLogs"\RTDC4041\2017-06-24 &amp; aws s3 cp s3://rtdc.mdm.uploadarchive.raw/RTDC4041/ "%USERPROFILE%\AppData\Local\Temp\OnboardLogs"\RTDC4041\2017-06-25 --exclude "*" --recursive --include "*20170625*" &amp; "%USERPROFILE%\Documents\GitHub\mrs-test-scripts\Headless Mode &amp; Sideloading\WalkAndUnGZ.bat" "%USERPROFILE%\AppData\Local\Temp\OnboardLogs"\RTDC4041\2017-06-25</v>
      </c>
      <c r="AF85" s="74" t="str">
        <f t="shared" si="43"/>
        <v>"C:\Program Files (x86)\AstroGrep\AstroGrep.exe" /e /r /s /spath="%USERPROFILE%\AppData\Local\Temp\OnboardLogs" /stypes="app*4041*20170624*" /stext=" 20:.+((SYSTEM_STATE.+slice.+state.+changed )|(ment ac)|(multiple cpu faults)|(system.+state.+changed )|(\[timeout)|(PRM\|1\|D)|(kpr)|(kdp)|(train st.+moving)|(\|lc)|(penalty))"</v>
      </c>
      <c r="AG85" s="209" t="str">
        <f t="shared" si="44"/>
        <v>EC</v>
      </c>
      <c r="AH85" s="78" t="str">
        <f t="shared" si="45"/>
        <v>"%USERPROFILE%\Documents\GitHub\eaglep3\Utilities\RefineRTDCRunTimes.py" --tripid 172-24 --locoid 4041 --swversion DE.1.0.9.0 --startMP 204:232998 --initTime 2017-06-24T13:19:58 --startdatetime 2017-06-24T13:27:20 --delay 3 --endMP 204:165 --enddatetime 2017-06-24T14:06:13 --enforcementcount 0 &gt;&gt;C:\Users\stu\Documents\GitHub\eaglep3-reporting\EC\2017-06-24-refined-times.txt</v>
      </c>
      <c r="AI85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{"issue":{"subject":"","project_id":79,"tracker_id":40,"status_id":1,"priority_id":2,"assigned_to_id":23,"start_date":"2017-06-24","description":"","custom_fields":[{"id":1,"name":"Subdivision","value":"EC"},{"id":4,"name":"Milepost","value":"0.0165"},{"id":17,"name":"Train ID","value":"172-24"},{"id":16,"name":"Locomotive ID","value":"4041"},{"id":130,"name":"Impact","value":""},{"id":150,"name":"Time of Event (Mountain Time)","value":"14:06:13"},{"id":151,"name":"Denver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7"/>
        <v>start /low /b %USERPROFILE%\Documents\GitHub\eaglep3\Utilities\DownloadLogsFromS3.py --loco 4041 --day 2017-06-24</v>
      </c>
      <c r="AN85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20:06:13"},{"id":29,"name":"Sharepoint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768</v>
      </c>
      <c r="B86" s="7">
        <v>4016</v>
      </c>
      <c r="C86" s="21" t="s">
        <v>202</v>
      </c>
      <c r="D86" s="21" t="s">
        <v>354</v>
      </c>
      <c r="E86" s="13">
        <v>42910.528726851851</v>
      </c>
      <c r="F86" s="13">
        <v>42910.531458333331</v>
      </c>
      <c r="G86" s="7">
        <v>1</v>
      </c>
      <c r="H86" s="21" t="s">
        <v>444</v>
      </c>
      <c r="I86" s="13">
        <v>42910.555810185186</v>
      </c>
      <c r="J86" s="7">
        <v>0</v>
      </c>
      <c r="K86" s="89" t="str">
        <f t="shared" si="35"/>
        <v>4015/4016</v>
      </c>
      <c r="L86" s="21" t="str">
        <f>VLOOKUP(A86,'Trips&amp;Operators'!$C$1:$G$99999,5,FALSE)</f>
        <v>HART KEVIN</v>
      </c>
      <c r="M86" s="6">
        <f t="shared" si="36"/>
        <v>2.4351851854589768E-2</v>
      </c>
      <c r="N86" s="7">
        <f t="shared" si="27"/>
        <v>35.066666670609266</v>
      </c>
      <c r="O86" s="7"/>
      <c r="P86" s="7"/>
      <c r="Q86" s="22"/>
      <c r="R86" s="170"/>
      <c r="S86" s="213">
        <f t="shared" si="28"/>
        <v>1</v>
      </c>
      <c r="T86" s="195" t="str">
        <f t="shared" si="37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8"/>
        <v>https://d0f6bd738d7f1b3e5a7ca70fe4ff75f0.us-east-1.aws.found.io/app/kibana#/discover/Steve-Slow-Train-Analysis-(2080s-and-2083s)?_g=(refreshInterval:(display:Off,pause:!f,section:0,value:0),time:(from:'2017-06-24T11:41:22-0600',mode:absolute,to:'2017-06-24T14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6" s="197" t="str">
        <f>IF(AA86&lt;VLOOKUP(AG86,Variables!$AC$3:$AD$8,2,FALSE),"Y","N")</f>
        <v>N</v>
      </c>
      <c r="X86" s="197">
        <f t="shared" si="39"/>
        <v>1</v>
      </c>
      <c r="Y86" s="197">
        <f t="shared" si="33"/>
        <v>4.53E-2</v>
      </c>
      <c r="Z86" s="197">
        <f t="shared" si="34"/>
        <v>23.3291</v>
      </c>
      <c r="AA86" s="197">
        <f t="shared" si="40"/>
        <v>23.283799999999999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41"/>
        <v>173</v>
      </c>
      <c r="AE86" s="77" t="str">
        <f t="shared" si="42"/>
        <v>aws s3 cp s3://rtdc.mdm.uploadarchive.raw/RTDC4016/ "%USERPROFILE%\AppData\Local\Temp\OnboardLogs"\RTDC4016\2017-06-24 --exclude "*" --recursive --include "*20170624*" &amp; "%USERPROFILE%\Documents\GitHub\mrs-test-scripts\Headless Mode &amp; Sideloading\WalkAndUnGZ.bat" "%USERPROFILE%\AppData\Local\Temp\OnboardLogs"\RTDC4016\2017-06-24 &amp; aws s3 cp s3://rtdc.mdm.uploadarchive.raw/RTDC4016/ "%USERPROFILE%\AppData\Local\Temp\OnboardLogs"\RTDC4016\2017-06-25 --exclude "*" --recursive --include "*20170625*" &amp; "%USERPROFILE%\Documents\GitHub\mrs-test-scripts\Headless Mode &amp; Sideloading\WalkAndUnGZ.bat" "%USERPROFILE%\AppData\Local\Temp\OnboardLogs"\RTDC4016\2017-06-25</v>
      </c>
      <c r="AF86" s="74" t="str">
        <f t="shared" si="43"/>
        <v>"C:\Program Files (x86)\AstroGrep\AstroGrep.exe" /e /r /s /spath="%USERPROFILE%\AppData\Local\Temp\OnboardLogs" /stypes="app*4016*20170624*" /stext=" 19:.+((SYSTEM_STATE.+slice.+state.+changed )|(ment ac)|(multiple cpu faults)|(system.+state.+changed )|(\[timeout)|(PRM\|1\|D)|(kpr)|(kdp)|(train st.+moving)|(\|lc)|(penalty))"</v>
      </c>
      <c r="AG86" s="209" t="str">
        <f t="shared" si="44"/>
        <v>EC</v>
      </c>
      <c r="AH86" s="78" t="str">
        <f t="shared" si="45"/>
        <v>"%USERPROFILE%\Documents\GitHub\eaglep3\Utilities\RefineRTDCRunTimes.py" --tripid 173-24 --locoid 4016 --swversion DE.1.0.9.0 --startMP 204:453 --initTime 2017-06-24T12:41:22 --startdatetime 2017-06-24T12:45:18 --delay 1 --endMP 204:233291 --enddatetime 2017-06-24T13:20:22 --enforcementcount 0 &gt;&gt;C:\Users\stu\Documents\GitHub\eaglep3-reporting\EC\2017-06-24-refined-times.txt</v>
      </c>
      <c r="AI86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{"issue":{"subject":"","project_id":79,"tracker_id":40,"status_id":1,"priority_id":2,"assigned_to_id":23,"start_date":"2017-06-24","description":"","custom_fields":[{"id":1,"name":"Subdivision","value":"EC"},{"id":4,"name":"Milepost","value":"23.3291"},{"id":17,"name":"Train ID","value":"173-24"},{"id":16,"name":"Locomotive ID","value":"4016"},{"id":130,"name":"Impact","value":""},{"id":150,"name":"Time of Event (Mountain Time)","value":"13:20:22"},{"id":151,"name":"Denver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7"/>
        <v>start /low /b %USERPROFILE%\Documents\GitHub\eaglep3\Utilities\DownloadLogsFromS3.py --loco 4016 --day 2017-06-24</v>
      </c>
      <c r="AN86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19:20:22"},{"id":29,"name":"Sharepoint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647</v>
      </c>
      <c r="B87" s="7">
        <v>4015</v>
      </c>
      <c r="C87" s="21" t="s">
        <v>202</v>
      </c>
      <c r="D87" s="21" t="s">
        <v>517</v>
      </c>
      <c r="E87" s="13">
        <v>42910.568356481483</v>
      </c>
      <c r="F87" s="13">
        <v>42910.571018518516</v>
      </c>
      <c r="G87" s="7">
        <v>1</v>
      </c>
      <c r="H87" s="21" t="s">
        <v>458</v>
      </c>
      <c r="I87" s="13">
        <v>42910.599016203705</v>
      </c>
      <c r="J87" s="7">
        <v>0</v>
      </c>
      <c r="K87" s="89" t="str">
        <f t="shared" si="35"/>
        <v>4015/4016</v>
      </c>
      <c r="L87" s="21" t="str">
        <f>VLOOKUP(A87,'Trips&amp;Operators'!$C$1:$G$99999,5,FALSE)</f>
        <v>HART KEVIN</v>
      </c>
      <c r="M87" s="6">
        <f t="shared" si="36"/>
        <v>2.7997685188893229E-2</v>
      </c>
      <c r="N87" s="7">
        <f t="shared" si="27"/>
        <v>40.316666672006249</v>
      </c>
      <c r="O87" s="7"/>
      <c r="P87" s="7"/>
      <c r="Q87" s="22"/>
      <c r="R87" s="170"/>
      <c r="S87" s="213">
        <f t="shared" si="28"/>
        <v>1</v>
      </c>
      <c r="T87" s="195" t="str">
        <f t="shared" si="37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8"/>
        <v>https://d0f6bd738d7f1b3e5a7ca70fe4ff75f0.us-east-1.aws.found.io/app/kibana#/discover/Steve-Slow-Train-Analysis-(2080s-and-2083s)?_g=(refreshInterval:(display:Off,pause:!f,section:0,value:0),time:(from:'2017-06-24T12:38:26-0600',mode:absolute,to:'2017-06-24T15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7" s="197" t="str">
        <f>IF(AA87&lt;VLOOKUP(AG87,Variables!$AC$3:$AD$8,2,FALSE),"Y","N")</f>
        <v>N</v>
      </c>
      <c r="X87" s="197">
        <f t="shared" si="39"/>
        <v>1</v>
      </c>
      <c r="Y87" s="197">
        <f t="shared" si="33"/>
        <v>23.297999999999998</v>
      </c>
      <c r="Z87" s="197">
        <f t="shared" si="34"/>
        <v>1.38E-2</v>
      </c>
      <c r="AA87" s="197">
        <f t="shared" si="40"/>
        <v>23.284199999999998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41"/>
        <v>174</v>
      </c>
      <c r="AE87" s="77" t="str">
        <f t="shared" si="42"/>
        <v>aws s3 cp s3://rtdc.mdm.uploadarchive.raw/RTDC4015/ "%USERPROFILE%\AppData\Local\Temp\OnboardLogs"\RTDC4015\2017-06-24 --exclude "*" --recursive --include "*20170624*" &amp; "%USERPROFILE%\Documents\GitHub\mrs-test-scripts\Headless Mode &amp; Sideloading\WalkAndUnGZ.bat" "%USERPROFILE%\AppData\Local\Temp\OnboardLogs"\RTDC4015\2017-06-24 &amp; aws s3 cp s3://rtdc.mdm.uploadarchive.raw/RTDC4015/ "%USERPROFILE%\AppData\Local\Temp\OnboardLogs"\RTDC4015\2017-06-25 --exclude "*" --recursive --include "*20170625*" &amp; "%USERPROFILE%\Documents\GitHub\mrs-test-scripts\Headless Mode &amp; Sideloading\WalkAndUnGZ.bat" "%USERPROFILE%\AppData\Local\Temp\OnboardLogs"\RTDC4015\2017-06-25</v>
      </c>
      <c r="AF87" s="74" t="str">
        <f t="shared" si="43"/>
        <v>"C:\Program Files (x86)\AstroGrep\AstroGrep.exe" /e /r /s /spath="%USERPROFILE%\AppData\Local\Temp\OnboardLogs" /stypes="app*4015*20170624*" /stext=" 20:.+((SYSTEM_STATE.+slice.+state.+changed )|(ment ac)|(multiple cpu faults)|(system.+state.+changed )|(\[timeout)|(PRM\|1\|D)|(kpr)|(kdp)|(train st.+moving)|(\|lc)|(penalty))"</v>
      </c>
      <c r="AG87" s="209" t="str">
        <f t="shared" si="44"/>
        <v>EC</v>
      </c>
      <c r="AH87" s="78" t="str">
        <f t="shared" si="45"/>
        <v>"%USERPROFILE%\Documents\GitHub\eaglep3\Utilities\RefineRTDCRunTimes.py" --tripid 174-24 --locoid 4015 --swversion DE.1.0.9.0 --startMP 204:232980 --initTime 2017-06-24T13:38:26 --startdatetime 2017-06-24T13:42:16 --delay 1 --endMP 204:138 --enddatetime 2017-06-24T14:22:35 --enforcementcount 0 &gt;&gt;C:\Users\stu\Documents\GitHub\eaglep3-reporting\EC\2017-06-24-refined-times.txt</v>
      </c>
      <c r="AI87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{"issue":{"subject":"","project_id":79,"tracker_id":40,"status_id":1,"priority_id":2,"assigned_to_id":23,"start_date":"2017-06-24","description":"","custom_fields":[{"id":1,"name":"Subdivision","value":"EC"},{"id":4,"name":"Milepost","value":"0.0138"},{"id":17,"name":"Train ID","value":"174-24"},{"id":16,"name":"Locomotive ID","value":"4015"},{"id":130,"name":"Impact","value":""},{"id":150,"name":"Time of Event (Mountain Time)","value":"14:22:35"},{"id":151,"name":"Denver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7"/>
        <v>start /low /b %USERPROFILE%\Documents\GitHub\eaglep3\Utilities\DownloadLogsFromS3.py --loco 4015 --day 2017-06-24</v>
      </c>
      <c r="AN87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20:22:35"},{"id":29,"name":"Sharepoint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773</v>
      </c>
      <c r="B88" s="7">
        <v>4022</v>
      </c>
      <c r="C88" s="21" t="s">
        <v>202</v>
      </c>
      <c r="D88" s="21" t="s">
        <v>352</v>
      </c>
      <c r="E88" s="13">
        <v>42910.539537037039</v>
      </c>
      <c r="F88" s="13">
        <v>42910.542118055557</v>
      </c>
      <c r="G88" s="7">
        <v>1</v>
      </c>
      <c r="H88" s="21" t="s">
        <v>896</v>
      </c>
      <c r="I88" s="13">
        <v>42910.567997685182</v>
      </c>
      <c r="J88" s="7">
        <v>0</v>
      </c>
      <c r="K88" s="89" t="str">
        <f t="shared" si="35"/>
        <v>4021/4022</v>
      </c>
      <c r="L88" s="21" t="str">
        <f>VLOOKUP(A88,'Trips&amp;Operators'!$C$1:$G$99999,5,FALSE)</f>
        <v>DAVIS MICHAEL</v>
      </c>
      <c r="M88" s="6">
        <f t="shared" si="36"/>
        <v>2.5879629625706002E-2</v>
      </c>
      <c r="N88" s="7">
        <f t="shared" si="27"/>
        <v>37.266666661016643</v>
      </c>
      <c r="O88" s="7"/>
      <c r="P88" s="7"/>
      <c r="Q88" s="22"/>
      <c r="R88" s="170"/>
      <c r="S88" s="213">
        <f t="shared" si="28"/>
        <v>1</v>
      </c>
      <c r="T88" s="195" t="str">
        <f t="shared" si="37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8"/>
        <v>https://d0f6bd738d7f1b3e5a7ca70fe4ff75f0.us-east-1.aws.found.io/app/kibana#/discover/Steve-Slow-Train-Analysis-(2080s-and-2083s)?_g=(refreshInterval:(display:Off,pause:!f,section:0,value:0),time:(from:'2017-06-24T11:56:56-0600',mode:absolute,to:'2017-06-24T14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8" s="197" t="str">
        <f>IF(AA88&lt;VLOOKUP(AG88,Variables!$AC$3:$AD$8,2,FALSE),"Y","N")</f>
        <v>N</v>
      </c>
      <c r="X88" s="197">
        <f t="shared" si="39"/>
        <v>1</v>
      </c>
      <c r="Y88" s="197">
        <f t="shared" si="33"/>
        <v>4.5100000000000001E-2</v>
      </c>
      <c r="Z88" s="197">
        <f t="shared" si="34"/>
        <v>23.334199999999999</v>
      </c>
      <c r="AA88" s="197">
        <f t="shared" si="40"/>
        <v>23.289099999999998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41"/>
        <v>175</v>
      </c>
      <c r="AE88" s="77" t="str">
        <f t="shared" si="42"/>
        <v>aws s3 cp s3://rtdc.mdm.uploadarchive.raw/RTDC4022/ "%USERPROFILE%\AppData\Local\Temp\OnboardLogs"\RTDC4022\2017-06-24 --exclude "*" --recursive --include "*20170624*" &amp; "%USERPROFILE%\Documents\GitHub\mrs-test-scripts\Headless Mode &amp; Sideloading\WalkAndUnGZ.bat" "%USERPROFILE%\AppData\Local\Temp\OnboardLogs"\RTDC4022\2017-06-24 &amp; aws s3 cp s3://rtdc.mdm.uploadarchive.raw/RTDC4022/ "%USERPROFILE%\AppData\Local\Temp\OnboardLogs"\RTDC4022\2017-06-25 --exclude "*" --recursive --include "*20170625*" &amp; "%USERPROFILE%\Documents\GitHub\mrs-test-scripts\Headless Mode &amp; Sideloading\WalkAndUnGZ.bat" "%USERPROFILE%\AppData\Local\Temp\OnboardLogs"\RTDC4022\2017-06-25</v>
      </c>
      <c r="AF88" s="74" t="str">
        <f t="shared" si="43"/>
        <v>"C:\Program Files (x86)\AstroGrep\AstroGrep.exe" /e /r /s /spath="%USERPROFILE%\AppData\Local\Temp\OnboardLogs" /stypes="app*4022*20170624*" /stext=" 19:.+((SYSTEM_STATE.+slice.+state.+changed )|(ment ac)|(multiple cpu faults)|(system.+state.+changed )|(\[timeout)|(PRM\|1\|D)|(kpr)|(kdp)|(train st.+moving)|(\|lc)|(penalty))"</v>
      </c>
      <c r="AG88" s="209" t="str">
        <f t="shared" si="44"/>
        <v>EC</v>
      </c>
      <c r="AH88" s="78" t="str">
        <f t="shared" si="45"/>
        <v>"%USERPROFILE%\Documents\GitHub\eaglep3\Utilities\RefineRTDCRunTimes.py" --tripid 175-24 --locoid 4022 --swversion DE.1.0.9.0 --startMP 204:451 --initTime 2017-06-24T12:56:56 --startdatetime 2017-06-24T13:00:39 --delay 1 --endMP 204:233342 --enddatetime 2017-06-24T13:37:55 --enforcementcount 0 &gt;&gt;C:\Users\stu\Documents\GitHub\eaglep3-reporting\EC\2017-06-24-refined-times.txt</v>
      </c>
      <c r="AI88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{"issue":{"subject":"","project_id":79,"tracker_id":40,"status_id":1,"priority_id":2,"assigned_to_id":23,"start_date":"2017-06-24","description":"","custom_fields":[{"id":1,"name":"Subdivision","value":"EC"},{"id":4,"name":"Milepost","value":"23.3342"},{"id":17,"name":"Train ID","value":"175-24"},{"id":16,"name":"Locomotive ID","value":"4022"},{"id":130,"name":"Impact","value":""},{"id":150,"name":"Time of Event (Mountain Time)","value":"13:37:55"},{"id":151,"name":"Denver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7"/>
        <v>start /low /b %USERPROFILE%\Documents\GitHub\eaglep3\Utilities\DownloadLogsFromS3.py --loco 4022 --day 2017-06-24</v>
      </c>
      <c r="AN88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19:37:55"},{"id":29,"name":"Sharepoint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779</v>
      </c>
      <c r="B89" s="7">
        <v>4021</v>
      </c>
      <c r="C89" s="21" t="s">
        <v>202</v>
      </c>
      <c r="D89" s="21" t="s">
        <v>446</v>
      </c>
      <c r="E89" s="13">
        <v>42910.578541666669</v>
      </c>
      <c r="F89" s="13">
        <v>42910.581736111111</v>
      </c>
      <c r="G89" s="7">
        <v>1</v>
      </c>
      <c r="H89" s="21" t="s">
        <v>441</v>
      </c>
      <c r="I89" s="13">
        <v>42910.609664351854</v>
      </c>
      <c r="J89" s="7">
        <v>0</v>
      </c>
      <c r="K89" s="89" t="str">
        <f t="shared" si="35"/>
        <v>4021/4022</v>
      </c>
      <c r="L89" s="21" t="str">
        <f>VLOOKUP(A89,'Trips&amp;Operators'!$C$1:$G$99999,5,FALSE)</f>
        <v>DAVIS MICHAEL</v>
      </c>
      <c r="M89" s="6">
        <f t="shared" si="36"/>
        <v>2.792824074276723E-2</v>
      </c>
      <c r="N89" s="7">
        <f t="shared" si="27"/>
        <v>40.216666669584811</v>
      </c>
      <c r="O89" s="7"/>
      <c r="P89" s="7"/>
      <c r="Q89" s="22"/>
      <c r="R89" s="170"/>
      <c r="S89" s="213">
        <f t="shared" si="28"/>
        <v>1</v>
      </c>
      <c r="T89" s="195" t="str">
        <f t="shared" si="37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8"/>
        <v>https://d0f6bd738d7f1b3e5a7ca70fe4ff75f0.us-east-1.aws.found.io/app/kibana#/discover/Steve-Slow-Train-Analysis-(2080s-and-2083s)?_g=(refreshInterval:(display:Off,pause:!f,section:0,value:0),time:(from:'2017-06-24T12:53:06-0600',mode:absolute,to:'2017-06-24T15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9" s="197" t="str">
        <f>IF(AA89&lt;VLOOKUP(AG89,Variables!$AC$3:$AD$8,2,FALSE),"Y","N")</f>
        <v>N</v>
      </c>
      <c r="X89" s="197">
        <f t="shared" si="39"/>
        <v>1</v>
      </c>
      <c r="Y89" s="197">
        <f t="shared" si="33"/>
        <v>23.299299999999999</v>
      </c>
      <c r="Z89" s="197">
        <f t="shared" si="34"/>
        <v>1.3599999999999999E-2</v>
      </c>
      <c r="AA89" s="197">
        <f t="shared" si="40"/>
        <v>23.285699999999999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41"/>
        <v>176</v>
      </c>
      <c r="AE89" s="77" t="str">
        <f t="shared" si="42"/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AF89" s="74" t="str">
        <f t="shared" si="43"/>
        <v>"C:\Program Files (x86)\AstroGrep\AstroGrep.exe" /e /r /s /spath="%USERPROFILE%\AppData\Local\Temp\OnboardLogs" /stypes="app*4021*20170624*" /stext=" 20:.+((SYSTEM_STATE.+slice.+state.+changed )|(ment ac)|(multiple cpu faults)|(system.+state.+changed )|(\[timeout)|(PRM\|1\|D)|(kpr)|(kdp)|(train st.+moving)|(\|lc)|(penalty))"</v>
      </c>
      <c r="AG89" s="209" t="str">
        <f t="shared" si="44"/>
        <v>EC</v>
      </c>
      <c r="AH89" s="78" t="str">
        <f t="shared" si="45"/>
        <v>"%USERPROFILE%\Documents\GitHub\eaglep3\Utilities\RefineRTDCRunTimes.py" --tripid 176-24 --locoid 4021 --swversion DE.1.0.9.0 --startMP 204:232993 --initTime 2017-06-24T13:53:06 --startdatetime 2017-06-24T13:57:42 --delay 1 --endMP 204:136 --enddatetime 2017-06-24T14:37:55 --enforcementcount 0 &gt;&gt;C:\Users\stu\Documents\GitHub\eaglep3-reporting\EC\2017-06-24-refined-times.txt</v>
      </c>
      <c r="AI89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{"issue":{"subject":"","project_id":79,"tracker_id":40,"status_id":1,"priority_id":2,"assigned_to_id":23,"start_date":"2017-06-24","description":"","custom_fields":[{"id":1,"name":"Subdivision","value":"EC"},{"id":4,"name":"Milepost","value":"0.0136"},{"id":17,"name":"Train ID","value":"176-24"},{"id":16,"name":"Locomotive ID","value":"4021"},{"id":130,"name":"Impact","value":""},{"id":150,"name":"Time of Event (Mountain Time)","value":"14:37:55"},{"id":151,"name":"Denver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7"/>
        <v>start /low /b %USERPROFILE%\Documents\GitHub\eaglep3\Utilities\DownloadLogsFromS3.py --loco 4021 --day 2017-06-24</v>
      </c>
      <c r="AN89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20:37:55"},{"id":29,"name":"Sharepoint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774</v>
      </c>
      <c r="B90" s="7">
        <v>4044</v>
      </c>
      <c r="C90" s="21" t="s">
        <v>202</v>
      </c>
      <c r="D90" s="21" t="s">
        <v>533</v>
      </c>
      <c r="E90" s="13">
        <v>42910.548692129632</v>
      </c>
      <c r="F90" s="13">
        <v>42910.55232638889</v>
      </c>
      <c r="G90" s="7">
        <v>2</v>
      </c>
      <c r="H90" s="21" t="s">
        <v>600</v>
      </c>
      <c r="I90" s="13">
        <v>42910.576956018522</v>
      </c>
      <c r="J90" s="7">
        <v>0</v>
      </c>
      <c r="K90" s="89" t="str">
        <f t="shared" si="35"/>
        <v>4043/4044</v>
      </c>
      <c r="L90" s="21" t="str">
        <f>VLOOKUP(A90,'Trips&amp;Operators'!$C$1:$G$99999,5,FALSE)</f>
        <v>SAFIEF AEIMEN</v>
      </c>
      <c r="M90" s="6">
        <f t="shared" si="36"/>
        <v>2.4629629631817807E-2</v>
      </c>
      <c r="N90" s="7">
        <f t="shared" si="27"/>
        <v>35.466666669817641</v>
      </c>
      <c r="O90" s="7"/>
      <c r="P90" s="7"/>
      <c r="Q90" s="22"/>
      <c r="R90" s="170"/>
      <c r="S90" s="213">
        <f t="shared" si="28"/>
        <v>1</v>
      </c>
      <c r="T90" s="195" t="str">
        <f t="shared" si="37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8"/>
        <v>https://d0f6bd738d7f1b3e5a7ca70fe4ff75f0.us-east-1.aws.found.io/app/kibana#/discover/Steve-Slow-Train-Analysis-(2080s-and-2083s)?_g=(refreshInterval:(display:Off,pause:!f,section:0,value:0),time:(from:'2017-06-24T12:10:07-0600',mode:absolute,to:'2017-06-24T14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0" s="197" t="str">
        <f>IF(AA90&lt;VLOOKUP(AG90,Variables!$AC$3:$AD$8,2,FALSE),"Y","N")</f>
        <v>N</v>
      </c>
      <c r="X90" s="197">
        <f t="shared" si="39"/>
        <v>1</v>
      </c>
      <c r="Y90" s="197">
        <f t="shared" si="33"/>
        <v>4.4400000000000002E-2</v>
      </c>
      <c r="Z90" s="197">
        <f t="shared" si="34"/>
        <v>23.336600000000001</v>
      </c>
      <c r="AA90" s="197">
        <f t="shared" si="40"/>
        <v>23.292200000000001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41"/>
        <v>177</v>
      </c>
      <c r="AE90" s="77" t="str">
        <f t="shared" si="42"/>
        <v>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 &amp; 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</v>
      </c>
      <c r="AF90" s="74" t="str">
        <f t="shared" si="43"/>
        <v>"C:\Program Files (x86)\AstroGrep\AstroGrep.exe" /e /r /s /spath="%USERPROFILE%\AppData\Local\Temp\OnboardLogs" /stypes="app*4044*20170624*" /stext=" 19:.+((SYSTEM_STATE.+slice.+state.+changed )|(ment ac)|(multiple cpu faults)|(system.+state.+changed )|(\[timeout)|(PRM\|1\|D)|(kpr)|(kdp)|(train st.+moving)|(\|lc)|(penalty))"</v>
      </c>
      <c r="AG90" s="209" t="str">
        <f t="shared" si="44"/>
        <v>EC</v>
      </c>
      <c r="AH90" s="78" t="str">
        <f t="shared" si="45"/>
        <v>"%USERPROFILE%\Documents\GitHub\eaglep3\Utilities\RefineRTDCRunTimes.py" --tripid 177-24 --locoid 4044 --swversion DE.1.0.9.0 --startMP 204:444 --initTime 2017-06-24T13:10:07 --startdatetime 2017-06-24T13:15:21 --delay 2 --endMP 204:233366 --enddatetime 2017-06-24T13:50:49 --enforcementcount 0 &gt;&gt;C:\Users\stu\Documents\GitHub\eaglep3-reporting\EC\2017-06-24-refined-times.txt</v>
      </c>
      <c r="AI90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{"issue":{"subject":"","project_id":79,"tracker_id":40,"status_id":1,"priority_id":2,"assigned_to_id":23,"start_date":"2017-06-24","description":"","custom_fields":[{"id":1,"name":"Subdivision","value":"EC"},{"id":4,"name":"Milepost","value":"23.3366"},{"id":17,"name":"Train ID","value":"177-24"},{"id":16,"name":"Locomotive ID","value":"4044"},{"id":130,"name":"Impact","value":""},{"id":150,"name":"Time of Event (Mountain Time)","value":"13:50:49"},{"id":151,"name":"Denver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7"/>
        <v>start /low /b %USERPROFILE%\Documents\GitHub\eaglep3\Utilities\DownloadLogsFromS3.py --loco 4044 --day 2017-06-24</v>
      </c>
      <c r="AN90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19:50:49"},{"id":29,"name":"Sharepoint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781</v>
      </c>
      <c r="B91" s="7">
        <v>4043</v>
      </c>
      <c r="C91" s="21" t="s">
        <v>202</v>
      </c>
      <c r="D91" s="21" t="s">
        <v>605</v>
      </c>
      <c r="E91" s="13">
        <v>42910.579444444447</v>
      </c>
      <c r="F91" s="13">
        <v>42910.591909722221</v>
      </c>
      <c r="G91" s="7">
        <v>1</v>
      </c>
      <c r="H91" s="21" t="s">
        <v>350</v>
      </c>
      <c r="I91" s="13">
        <v>42910.621793981481</v>
      </c>
      <c r="J91" s="7">
        <v>0</v>
      </c>
      <c r="K91" s="89" t="str">
        <f t="shared" si="35"/>
        <v>4043/4044</v>
      </c>
      <c r="L91" s="21" t="str">
        <f>VLOOKUP(A91,'Trips&amp;Operators'!$C$1:$G$99999,5,FALSE)</f>
        <v>SAFIEF AEIMEN</v>
      </c>
      <c r="M91" s="6">
        <f t="shared" si="36"/>
        <v>2.9884259260143153E-2</v>
      </c>
      <c r="N91" s="7">
        <f t="shared" si="27"/>
        <v>43.033333334606141</v>
      </c>
      <c r="O91" s="7"/>
      <c r="P91" s="7"/>
      <c r="Q91" s="22"/>
      <c r="R91" s="170"/>
      <c r="S91" s="213">
        <f t="shared" si="28"/>
        <v>1</v>
      </c>
      <c r="T91" s="195" t="str">
        <f t="shared" si="37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8"/>
        <v>https://d0f6bd738d7f1b3e5a7ca70fe4ff75f0.us-east-1.aws.found.io/app/kibana#/discover/Steve-Slow-Train-Analysis-(2080s-and-2083s)?_g=(refreshInterval:(display:Off,pause:!f,section:0,value:0),time:(from:'2017-06-24T12:54:24-0600',mode:absolute,to:'2017-06-24T15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1" s="197" t="str">
        <f>IF(AA91&lt;VLOOKUP(AG91,Variables!$AC$3:$AD$8,2,FALSE),"Y","N")</f>
        <v>N</v>
      </c>
      <c r="X91" s="197">
        <f t="shared" si="39"/>
        <v>1</v>
      </c>
      <c r="Y91" s="197">
        <f t="shared" si="33"/>
        <v>23.3017</v>
      </c>
      <c r="Z91" s="197">
        <f t="shared" si="34"/>
        <v>1.43E-2</v>
      </c>
      <c r="AA91" s="197">
        <f t="shared" si="40"/>
        <v>23.287400000000002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41"/>
        <v>178</v>
      </c>
      <c r="AE91" s="77" t="str">
        <f t="shared" si="42"/>
        <v>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 &amp; 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</v>
      </c>
      <c r="AF91" s="74" t="str">
        <f t="shared" si="43"/>
        <v>"C:\Program Files (x86)\AstroGrep\AstroGrep.exe" /e /r /s /spath="%USERPROFILE%\AppData\Local\Temp\OnboardLogs" /stypes="app*4043*20170624*" /stext=" 20:.+((SYSTEM_STATE.+slice.+state.+changed )|(ment ac)|(multiple cpu faults)|(system.+state.+changed )|(\[timeout)|(PRM\|1\|D)|(kpr)|(kdp)|(train st.+moving)|(\|lc)|(penalty))"</v>
      </c>
      <c r="AG91" s="209" t="str">
        <f t="shared" si="44"/>
        <v>EC</v>
      </c>
      <c r="AH91" s="78" t="str">
        <f t="shared" si="45"/>
        <v>"%USERPROFILE%\Documents\GitHub\eaglep3\Utilities\RefineRTDCRunTimes.py" --tripid 178-24 --locoid 4043 --swversion DE.1.0.9.0 --startMP 204:233017 --initTime 2017-06-24T13:54:24 --startdatetime 2017-06-24T14:12:21 --delay 1 --endMP 204:143 --enddatetime 2017-06-24T14:55:23 --enforcementcount 0 &gt;&gt;C:\Users\stu\Documents\GitHub\eaglep3-reporting\EC\2017-06-24-refined-times.txt</v>
      </c>
      <c r="AI91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{"issue":{"subject":"","project_id":79,"tracker_id":40,"status_id":1,"priority_id":2,"assigned_to_id":23,"start_date":"2017-06-24","description":"","custom_fields":[{"id":1,"name":"Subdivision","value":"EC"},{"id":4,"name":"Milepost","value":"0.0143"},{"id":17,"name":"Train ID","value":"178-24"},{"id":16,"name":"Locomotive ID","value":"4043"},{"id":130,"name":"Impact","value":""},{"id":150,"name":"Time of Event (Mountain Time)","value":"14:55:23"},{"id":151,"name":"Denver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7"/>
        <v>start /low /b %USERPROFILE%\Documents\GitHub\eaglep3\Utilities\DownloadLogsFromS3.py --loco 4043 --day 2017-06-24</v>
      </c>
      <c r="AN91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20:55:23"},{"id":29,"name":"Sharepoint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645</v>
      </c>
      <c r="B92" s="7">
        <v>4020</v>
      </c>
      <c r="C92" s="21" t="s">
        <v>202</v>
      </c>
      <c r="D92" s="21" t="s">
        <v>355</v>
      </c>
      <c r="E92" s="13">
        <v>42910.557800925926</v>
      </c>
      <c r="F92" s="13">
        <v>42910.562685185185</v>
      </c>
      <c r="G92" s="7">
        <v>1</v>
      </c>
      <c r="H92" s="21" t="s">
        <v>897</v>
      </c>
      <c r="I92" s="13">
        <v>42910.588599537034</v>
      </c>
      <c r="J92" s="7">
        <v>0</v>
      </c>
      <c r="K92" s="89" t="str">
        <f t="shared" si="35"/>
        <v>4019/4020</v>
      </c>
      <c r="L92" s="21" t="str">
        <f>VLOOKUP(A92,'Trips&amp;Operators'!$C$1:$G$99999,5,FALSE)</f>
        <v>BRUDER RICHARD</v>
      </c>
      <c r="M92" s="6">
        <f t="shared" si="36"/>
        <v>2.5914351848769002E-2</v>
      </c>
      <c r="N92" s="7">
        <f t="shared" si="27"/>
        <v>37.316666662227362</v>
      </c>
      <c r="O92" s="7"/>
      <c r="P92" s="7"/>
      <c r="Q92" s="22"/>
      <c r="R92" s="170"/>
      <c r="S92" s="213">
        <f t="shared" si="28"/>
        <v>1</v>
      </c>
      <c r="T92" s="195" t="str">
        <f t="shared" si="37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8"/>
        <v>https://d0f6bd738d7f1b3e5a7ca70fe4ff75f0.us-east-1.aws.found.io/app/kibana#/discover/Steve-Slow-Train-Analysis-(2080s-and-2083s)?_g=(refreshInterval:(display:Off,pause:!f,section:0,value:0),time:(from:'2017-06-24T12:23:14-0600',mode:absolute,to:'2017-06-24T15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2" s="197" t="str">
        <f>IF(AA92&lt;VLOOKUP(AG92,Variables!$AC$3:$AD$8,2,FALSE),"Y","N")</f>
        <v>N</v>
      </c>
      <c r="X92" s="197">
        <f t="shared" si="39"/>
        <v>1</v>
      </c>
      <c r="Y92" s="197">
        <f t="shared" si="33"/>
        <v>4.4699999999999997E-2</v>
      </c>
      <c r="Z92" s="197">
        <f t="shared" si="34"/>
        <v>23.333100000000002</v>
      </c>
      <c r="AA92" s="197">
        <f t="shared" si="40"/>
        <v>23.288400000000003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41"/>
        <v>179</v>
      </c>
      <c r="AE92" s="77" t="str">
        <f t="shared" si="42"/>
        <v>aws s3 cp s3://rtdc.mdm.uploadarchive.raw/RTDC4020/ "%USERPROFILE%\AppData\Local\Temp\OnboardLogs"\RTDC4020\2017-06-24 --exclude "*" --recursive --include "*20170624*" &amp; "%USERPROFILE%\Documents\GitHub\mrs-test-scripts\Headless Mode &amp; Sideloading\WalkAndUnGZ.bat" "%USERPROFILE%\AppData\Local\Temp\OnboardLogs"\RTDC4020\2017-06-24 &amp; aws s3 cp s3://rtdc.mdm.uploadarchive.raw/RTDC4020/ "%USERPROFILE%\AppData\Local\Temp\OnboardLogs"\RTDC4020\2017-06-25 --exclude "*" --recursive --include "*20170625*" &amp; "%USERPROFILE%\Documents\GitHub\mrs-test-scripts\Headless Mode &amp; Sideloading\WalkAndUnGZ.bat" "%USERPROFILE%\AppData\Local\Temp\OnboardLogs"\RTDC4020\2017-06-25</v>
      </c>
      <c r="AF92" s="74" t="str">
        <f t="shared" si="43"/>
        <v>"C:\Program Files (x86)\AstroGrep\AstroGrep.exe" /e /r /s /spath="%USERPROFILE%\AppData\Local\Temp\OnboardLogs" /stypes="app*4020*20170624*" /stext=" 20:.+((SYSTEM_STATE.+slice.+state.+changed )|(ment ac)|(multiple cpu faults)|(system.+state.+changed )|(\[timeout)|(PRM\|1\|D)|(kpr)|(kdp)|(train st.+moving)|(\|lc)|(penalty))"</v>
      </c>
      <c r="AG92" s="209" t="str">
        <f t="shared" si="44"/>
        <v>EC</v>
      </c>
      <c r="AH92" s="78" t="str">
        <f t="shared" si="45"/>
        <v>"%USERPROFILE%\Documents\GitHub\eaglep3\Utilities\RefineRTDCRunTimes.py" --tripid 179-24 --locoid 4020 --swversion DE.1.0.9.0 --startMP 204:447 --initTime 2017-06-24T13:23:14 --startdatetime 2017-06-24T13:30:16 --delay 1 --endMP 204:233331 --enddatetime 2017-06-24T14:07:35 --enforcementcount 0 &gt;&gt;C:\Users\stu\Documents\GitHub\eaglep3-reporting\EC\2017-06-24-refined-times.txt</v>
      </c>
      <c r="AI92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{"issue":{"subject":"","project_id":79,"tracker_id":40,"status_id":1,"priority_id":2,"assigned_to_id":23,"start_date":"2017-06-24","description":"","custom_fields":[{"id":1,"name":"Subdivision","value":"EC"},{"id":4,"name":"Milepost","value":"23.3331"},{"id":17,"name":"Train ID","value":"179-24"},{"id":16,"name":"Locomotive ID","value":"4020"},{"id":130,"name":"Impact","value":""},{"id":150,"name":"Time of Event (Mountain Time)","value":"14:07:35"},{"id":151,"name":"Denver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7"/>
        <v>start /low /b %USERPROFILE%\Documents\GitHub\eaglep3\Utilities\DownloadLogsFromS3.py --loco 4020 --day 2017-06-24</v>
      </c>
      <c r="AN92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20:07:35"},{"id":29,"name":"Sharepoint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</row>
    <row r="93" spans="1:91" s="20" customFormat="1" x14ac:dyDescent="0.25">
      <c r="A93" s="32" t="s">
        <v>785</v>
      </c>
      <c r="B93" s="7">
        <v>4019</v>
      </c>
      <c r="C93" s="21" t="s">
        <v>202</v>
      </c>
      <c r="D93" s="21" t="s">
        <v>592</v>
      </c>
      <c r="E93" s="13">
        <v>42910.597581018519</v>
      </c>
      <c r="F93" s="13">
        <v>42910.602256944447</v>
      </c>
      <c r="G93" s="7">
        <v>1</v>
      </c>
      <c r="H93" s="21" t="s">
        <v>193</v>
      </c>
      <c r="I93" s="13">
        <v>42910.633321759262</v>
      </c>
      <c r="J93" s="7">
        <v>0</v>
      </c>
      <c r="K93" s="89" t="str">
        <f t="shared" si="35"/>
        <v>4019/4020</v>
      </c>
      <c r="L93" s="21" t="str">
        <f>VLOOKUP(A93,'Trips&amp;Operators'!$C$1:$G$99999,5,FALSE)</f>
        <v>BRUDER RICHARD</v>
      </c>
      <c r="M93" s="6">
        <f t="shared" si="36"/>
        <v>3.1064814815181307E-2</v>
      </c>
      <c r="N93" s="7">
        <f t="shared" si="27"/>
        <v>44.733333333861083</v>
      </c>
      <c r="O93" s="7"/>
      <c r="P93" s="7"/>
      <c r="Q93" s="22"/>
      <c r="R93" s="170"/>
      <c r="S93" s="213">
        <f t="shared" si="28"/>
        <v>1</v>
      </c>
      <c r="T93" s="195" t="str">
        <f t="shared" si="37"/>
        <v>Southbound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8"/>
        <v>https://d0f6bd738d7f1b3e5a7ca70fe4ff75f0.us-east-1.aws.found.io/app/kibana#/discover/Steve-Slow-Train-Analysis-(2080s-and-2083s)?_g=(refreshInterval:(display:Off,pause:!f,section:0,value:0),time:(from:'2017-06-24T13:20:31-0600',mode:absolute,to:'2017-06-24T16:11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3" s="197" t="str">
        <f>IF(AA93&lt;VLOOKUP(AG93,Variables!$AC$3:$AD$8,2,FALSE),"Y","N")</f>
        <v>N</v>
      </c>
      <c r="X93" s="197">
        <f t="shared" si="39"/>
        <v>1</v>
      </c>
      <c r="Y93" s="197">
        <f t="shared" si="33"/>
        <v>23.301500000000001</v>
      </c>
      <c r="Z93" s="197">
        <f t="shared" si="34"/>
        <v>1.52E-2</v>
      </c>
      <c r="AA93" s="197">
        <f t="shared" si="40"/>
        <v>23.286300000000001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41"/>
        <v>180</v>
      </c>
      <c r="AE93" s="77" t="str">
        <f t="shared" si="42"/>
        <v>aws s3 cp s3://rtdc.mdm.uploadarchive.raw/RTDC4019/ "%USERPROFILE%\AppData\Local\Temp\OnboardLogs"\RTDC4019\2017-06-24 --exclude "*" --recursive --include "*20170624*" &amp; "%USERPROFILE%\Documents\GitHub\mrs-test-scripts\Headless Mode &amp; Sideloading\WalkAndUnGZ.bat" "%USERPROFILE%\AppData\Local\Temp\OnboardLogs"\RTDC4019\2017-06-24 &amp; aws s3 cp s3://rtdc.mdm.uploadarchive.raw/RTDC4019/ "%USERPROFILE%\AppData\Local\Temp\OnboardLogs"\RTDC4019\2017-06-25 --exclude "*" --recursive --include "*20170625*" &amp; "%USERPROFILE%\Documents\GitHub\mrs-test-scripts\Headless Mode &amp; Sideloading\WalkAndUnGZ.bat" "%USERPROFILE%\AppData\Local\Temp\OnboardLogs"\RTDC4019\2017-06-25</v>
      </c>
      <c r="AF93" s="74" t="str">
        <f t="shared" si="43"/>
        <v>"C:\Program Files (x86)\AstroGrep\AstroGrep.exe" /e /r /s /spath="%USERPROFILE%\AppData\Local\Temp\OnboardLogs" /stypes="app*4019*20170624*" /stext=" 21:.+((SYSTEM_STATE.+slice.+state.+changed )|(ment ac)|(multiple cpu faults)|(system.+state.+changed )|(\[timeout)|(PRM\|1\|D)|(kpr)|(kdp)|(train st.+moving)|(\|lc)|(penalty))"</v>
      </c>
      <c r="AG93" s="209" t="str">
        <f t="shared" si="44"/>
        <v>EC</v>
      </c>
      <c r="AH93" s="78" t="str">
        <f t="shared" si="45"/>
        <v>"%USERPROFILE%\Documents\GitHub\eaglep3\Utilities\RefineRTDCRunTimes.py" --tripid 180-24 --locoid 4019 --swversion DE.1.0.9.0 --startMP 204:233015 --initTime 2017-06-24T14:20:31 --startdatetime 2017-06-24T14:27:15 --delay 1 --endMP 204:152 --enddatetime 2017-06-24T15:11:59 --enforcementcount 0 &gt;&gt;C:\Users\stu\Documents\GitHub\eaglep3-reporting\EC\2017-06-24-refined-times.txt</v>
      </c>
      <c r="AI93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{"issue":{"subject":"","project_id":79,"tracker_id":40,"status_id":1,"priority_id":2,"assigned_to_id":23,"start_date":"2017-06-24","description":"","custom_fields":[{"id":1,"name":"Subdivision","value":"EC"},{"id":4,"name":"Milepost","value":"0.0152"},{"id":17,"name":"Train ID","value":"180-24"},{"id":16,"name":"Locomotive ID","value":"4019"},{"id":130,"name":"Impact","value":""},{"id":150,"name":"Time of Event (Mountain Time)","value":"15:11:59"},{"id":151,"name":"Denver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7"/>
        <v>start /low /b %USERPROFILE%\Documents\GitHub\eaglep3\Utilities\DownloadLogsFromS3.py --loco 4019 --day 2017-06-24</v>
      </c>
      <c r="AN93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21:11:59"},{"id":29,"name":"Sharepoint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777</v>
      </c>
      <c r="B94" s="7">
        <v>4004</v>
      </c>
      <c r="C94" s="21" t="s">
        <v>202</v>
      </c>
      <c r="D94" s="21" t="s">
        <v>351</v>
      </c>
      <c r="E94" s="13">
        <v>42910.568090277775</v>
      </c>
      <c r="F94" s="13">
        <v>42910.573182870372</v>
      </c>
      <c r="G94" s="7">
        <v>1</v>
      </c>
      <c r="H94" s="21" t="s">
        <v>587</v>
      </c>
      <c r="I94" s="13">
        <v>42910.598391203705</v>
      </c>
      <c r="J94" s="7">
        <v>0</v>
      </c>
      <c r="K94" s="89" t="str">
        <f t="shared" si="35"/>
        <v>4003/4004</v>
      </c>
      <c r="L94" s="21" t="str">
        <f>VLOOKUP(A94,'Trips&amp;Operators'!$C$1:$G$99999,5,FALSE)</f>
        <v>SULLIVAN BRANDON</v>
      </c>
      <c r="M94" s="6">
        <f t="shared" si="36"/>
        <v>2.5208333332557231E-2</v>
      </c>
      <c r="N94" s="7">
        <f t="shared" si="27"/>
        <v>36.299999998882413</v>
      </c>
      <c r="O94" s="7"/>
      <c r="P94" s="7"/>
      <c r="Q94" s="22"/>
      <c r="R94" s="170"/>
      <c r="S94" s="213">
        <f t="shared" si="28"/>
        <v>1</v>
      </c>
      <c r="T94" s="195" t="str">
        <f t="shared" si="37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8"/>
        <v>https://d0f6bd738d7f1b3e5a7ca70fe4ff75f0.us-east-1.aws.found.io/app/kibana#/discover/Steve-Slow-Train-Analysis-(2080s-and-2083s)?_g=(refreshInterval:(display:Off,pause:!f,section:0,value:0),time:(from:'2017-06-24T12:38:03-0600',mode:absolute,to:'2017-06-24T15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4" s="197" t="str">
        <f>IF(AA94&lt;VLOOKUP(AG94,Variables!$AC$3:$AD$8,2,FALSE),"Y","N")</f>
        <v>N</v>
      </c>
      <c r="X94" s="197">
        <f t="shared" si="39"/>
        <v>1</v>
      </c>
      <c r="Y94" s="197">
        <f t="shared" si="33"/>
        <v>4.6600000000000003E-2</v>
      </c>
      <c r="Z94" s="197">
        <f t="shared" si="34"/>
        <v>23.334700000000002</v>
      </c>
      <c r="AA94" s="197">
        <f t="shared" si="40"/>
        <v>23.2881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41"/>
        <v>181</v>
      </c>
      <c r="AE94" s="77" t="str">
        <f t="shared" si="42"/>
        <v>aws s3 cp s3://rtdc.mdm.uploadarchive.raw/RTDC4004/ "%USERPROFILE%\AppData\Local\Temp\OnboardLogs"\RTDC4004\2017-06-24 --exclude "*" --recursive --include "*20170624*" &amp; "%USERPROFILE%\Documents\GitHub\mrs-test-scripts\Headless Mode &amp; Sideloading\WalkAndUnGZ.bat" "%USERPROFILE%\AppData\Local\Temp\OnboardLogs"\RTDC4004\2017-06-24 &amp; aws s3 cp s3://rtdc.mdm.uploadarchive.raw/RTDC4004/ "%USERPROFILE%\AppData\Local\Temp\OnboardLogs"\RTDC4004\2017-06-25 --exclude "*" --recursive --include "*20170625*" &amp; "%USERPROFILE%\Documents\GitHub\mrs-test-scripts\Headless Mode &amp; Sideloading\WalkAndUnGZ.bat" "%USERPROFILE%\AppData\Local\Temp\OnboardLogs"\RTDC4004\2017-06-25</v>
      </c>
      <c r="AF94" s="74" t="str">
        <f t="shared" si="43"/>
        <v>"C:\Program Files (x86)\AstroGrep\AstroGrep.exe" /e /r /s /spath="%USERPROFILE%\AppData\Local\Temp\OnboardLogs" /stypes="app*4004*20170624*" /stext=" 20:.+((SYSTEM_STATE.+slice.+state.+changed )|(ment ac)|(multiple cpu faults)|(system.+state.+changed )|(\[timeout)|(PRM\|1\|D)|(kpr)|(kdp)|(train st.+moving)|(\|lc)|(penalty))"</v>
      </c>
      <c r="AG94" s="209" t="str">
        <f t="shared" si="44"/>
        <v>EC</v>
      </c>
      <c r="AH94" s="78" t="str">
        <f t="shared" si="45"/>
        <v>"%USERPROFILE%\Documents\GitHub\eaglep3\Utilities\RefineRTDCRunTimes.py" --tripid 181-24 --locoid 4004 --swversion DE.1.0.9.0 --startMP 204:466 --initTime 2017-06-24T13:38:03 --startdatetime 2017-06-24T13:45:23 --delay 1 --endMP 204:233347 --enddatetime 2017-06-24T14:21:41 --enforcementcount 0 &gt;&gt;C:\Users\stu\Documents\GitHub\eaglep3-reporting\EC\2017-06-24-refined-times.txt</v>
      </c>
      <c r="AI94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{"issue":{"subject":"","project_id":79,"tracker_id":40,"status_id":1,"priority_id":2,"assigned_to_id":23,"start_date":"2017-06-24","description":"","custom_fields":[{"id":1,"name":"Subdivision","value":"EC"},{"id":4,"name":"Milepost","value":"23.3347"},{"id":17,"name":"Train ID","value":"181-24"},{"id":16,"name":"Locomotive ID","value":"4004"},{"id":130,"name":"Impact","value":""},{"id":150,"name":"Time of Event (Mountain Time)","value":"14:21:41"},{"id":151,"name":"Denver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7"/>
        <v>start /low /b %USERPROFILE%\Documents\GitHub\eaglep3\Utilities\DownloadLogsFromS3.py --loco 4004 --day 2017-06-24</v>
      </c>
      <c r="AN94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20:21:41"},{"id":29,"name":"Sharepoint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787</v>
      </c>
      <c r="B95" s="7">
        <v>4003</v>
      </c>
      <c r="C95" s="21" t="s">
        <v>202</v>
      </c>
      <c r="D95" s="21" t="s">
        <v>922</v>
      </c>
      <c r="E95" s="13">
        <v>42910.605034722219</v>
      </c>
      <c r="F95" s="13">
        <v>42910.612696759257</v>
      </c>
      <c r="G95" s="7">
        <v>1</v>
      </c>
      <c r="H95" s="21" t="s">
        <v>458</v>
      </c>
      <c r="I95" s="13">
        <v>42910.640775462962</v>
      </c>
      <c r="J95" s="7">
        <v>0</v>
      </c>
      <c r="K95" s="89" t="str">
        <f t="shared" si="35"/>
        <v>4003/4004</v>
      </c>
      <c r="L95" s="21" t="str">
        <f>VLOOKUP(A95,'Trips&amp;Operators'!$C$1:$G$99999,5,FALSE)</f>
        <v>SULLIVAN BRANDON</v>
      </c>
      <c r="M95" s="6">
        <f t="shared" si="36"/>
        <v>2.8078703704522923E-2</v>
      </c>
      <c r="N95" s="7">
        <f t="shared" ref="N95:N125" si="49">24*60*SUM($M95:$M95)</f>
        <v>40.433333334513009</v>
      </c>
      <c r="O95" s="7"/>
      <c r="P95" s="7"/>
      <c r="Q95" s="22"/>
      <c r="R95" s="170"/>
      <c r="S95" s="213">
        <f t="shared" ref="S95:S125" si="50">SUM(U95:U95)/IF(AG95="EC",12,1)</f>
        <v>1</v>
      </c>
      <c r="T95" s="195" t="str">
        <f t="shared" si="37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8"/>
        <v>https://d0f6bd738d7f1b3e5a7ca70fe4ff75f0.us-east-1.aws.found.io/app/kibana#/discover/Steve-Slow-Train-Analysis-(2080s-and-2083s)?_g=(refreshInterval:(display:Off,pause:!f,section:0,value:0),time:(from:'2017-06-24T13:31:15-0600',mode:absolute,to:'2017-06-24T16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5" s="197" t="str">
        <f>IF(AA95&lt;VLOOKUP(AG95,Variables!$AC$3:$AD$8,2,FALSE),"Y","N")</f>
        <v>N</v>
      </c>
      <c r="X95" s="197">
        <f t="shared" si="39"/>
        <v>1</v>
      </c>
      <c r="Y95" s="197">
        <f t="shared" si="33"/>
        <v>23.303999999999998</v>
      </c>
      <c r="Z95" s="197">
        <f t="shared" si="34"/>
        <v>1.38E-2</v>
      </c>
      <c r="AA95" s="197">
        <f t="shared" si="40"/>
        <v>23.290199999999999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41"/>
        <v>182</v>
      </c>
      <c r="AE95" s="77" t="str">
        <f t="shared" si="42"/>
        <v>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 &amp; aws s3 cp s3://rtdc.mdm.uploadarchive.raw/RTDC4003/ "%USERPROFILE%\AppData\Local\Temp\OnboardLogs"\RTDC4003\2017-06-25 --exclude "*" --recursive --include "*20170625*" &amp; "%USERPROFILE%\Documents\GitHub\mrs-test-scripts\Headless Mode &amp; Sideloading\WalkAndUnGZ.bat" "%USERPROFILE%\AppData\Local\Temp\OnboardLogs"\RTDC4003\2017-06-25</v>
      </c>
      <c r="AF95" s="74" t="str">
        <f t="shared" si="43"/>
        <v>"C:\Program Files (x86)\AstroGrep\AstroGrep.exe" /e /r /s /spath="%USERPROFILE%\AppData\Local\Temp\OnboardLogs" /stypes="app*4003*20170624*" /stext=" 21:.+((SYSTEM_STATE.+slice.+state.+changed )|(ment ac)|(multiple cpu faults)|(system.+state.+changed )|(\[timeout)|(PRM\|1\|D)|(kpr)|(kdp)|(train st.+moving)|(\|lc)|(penalty))"</v>
      </c>
      <c r="AG95" s="209" t="str">
        <f t="shared" si="44"/>
        <v>EC</v>
      </c>
      <c r="AH95" s="78" t="str">
        <f t="shared" si="45"/>
        <v>"%USERPROFILE%\Documents\GitHub\eaglep3\Utilities\RefineRTDCRunTimes.py" --tripid 182-24 --locoid 4003 --swversion DE.1.0.9.0 --startMP 204:233040 --initTime 2017-06-24T14:31:15 --startdatetime 2017-06-24T14:42:17 --delay 1 --endMP 204:138 --enddatetime 2017-06-24T15:22:43 --enforcementcount 0 &gt;&gt;C:\Users\stu\Documents\GitHub\eaglep3-reporting\EC\2017-06-24-refined-times.txt</v>
      </c>
      <c r="AI95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{"issue":{"subject":"","project_id":79,"tracker_id":40,"status_id":1,"priority_id":2,"assigned_to_id":23,"start_date":"2017-06-24","description":"","custom_fields":[{"id":1,"name":"Subdivision","value":"EC"},{"id":4,"name":"Milepost","value":"0.0138"},{"id":17,"name":"Train ID","value":"182-24"},{"id":16,"name":"Locomotive ID","value":"4003"},{"id":130,"name":"Impact","value":""},{"id":150,"name":"Time of Event (Mountain Time)","value":"15:22:43"},{"id":151,"name":"Denver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7"/>
        <v>start /low /b %USERPROFILE%\Documents\GitHub\eaglep3\Utilities\DownloadLogsFromS3.py --loco 4003 --day 2017-06-24</v>
      </c>
      <c r="AN95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21:22:43"},{"id":29,"name":"Sharepoint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780</v>
      </c>
      <c r="B96" s="7">
        <v>4014</v>
      </c>
      <c r="C96" s="21" t="s">
        <v>202</v>
      </c>
      <c r="D96" s="21" t="s">
        <v>347</v>
      </c>
      <c r="E96" s="13">
        <v>42910.579062500001</v>
      </c>
      <c r="F96" s="13">
        <v>42910.583645833336</v>
      </c>
      <c r="G96" s="7">
        <v>1</v>
      </c>
      <c r="H96" s="21" t="s">
        <v>933</v>
      </c>
      <c r="I96" s="13">
        <v>42910.608460648145</v>
      </c>
      <c r="J96" s="7">
        <v>0</v>
      </c>
      <c r="K96" s="89" t="str">
        <f t="shared" si="35"/>
        <v>4013/4014</v>
      </c>
      <c r="L96" s="21" t="str">
        <f>VLOOKUP(A96,'Trips&amp;Operators'!$C$1:$G$99999,5,FALSE)</f>
        <v>DELGADO DIANAH</v>
      </c>
      <c r="M96" s="6">
        <f t="shared" si="36"/>
        <v>2.4814814809360541E-2</v>
      </c>
      <c r="N96" s="7">
        <f t="shared" si="49"/>
        <v>35.73333332547918</v>
      </c>
      <c r="O96" s="7"/>
      <c r="P96" s="7"/>
      <c r="Q96" s="22"/>
      <c r="R96" s="170"/>
      <c r="S96" s="213">
        <f t="shared" si="50"/>
        <v>1</v>
      </c>
      <c r="T96" s="195" t="str">
        <f t="shared" si="37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8"/>
        <v>https://d0f6bd738d7f1b3e5a7ca70fe4ff75f0.us-east-1.aws.found.io/app/kibana#/discover/Steve-Slow-Train-Analysis-(2080s-and-2083s)?_g=(refreshInterval:(display:Off,pause:!f,section:0,value:0),time:(from:'2017-06-24T12:53:51-0600',mode:absolute,to:'2017-06-24T15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6" s="197" t="str">
        <f>IF(AA96&lt;VLOOKUP(AG96,Variables!$AC$3:$AD$8,2,FALSE),"Y","N")</f>
        <v>N</v>
      </c>
      <c r="X96" s="197">
        <f t="shared" si="39"/>
        <v>1</v>
      </c>
      <c r="Y96" s="197">
        <f t="shared" si="33"/>
        <v>4.4600000000000001E-2</v>
      </c>
      <c r="Z96" s="197">
        <f t="shared" si="34"/>
        <v>23.335899999999999</v>
      </c>
      <c r="AA96" s="197">
        <f t="shared" si="40"/>
        <v>23.2913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41"/>
        <v>183</v>
      </c>
      <c r="AE96" s="77" t="str">
        <f t="shared" si="42"/>
        <v>aws s3 cp s3://rtdc.mdm.uploadarchive.raw/RTDC4014/ "%USERPROFILE%\AppData\Local\Temp\OnboardLogs"\RTDC4014\2017-06-24 --exclude "*" --recursive --include "*20170624*" &amp; "%USERPROFILE%\Documents\GitHub\mrs-test-scripts\Headless Mode &amp; Sideloading\WalkAndUnGZ.bat" "%USERPROFILE%\AppData\Local\Temp\OnboardLogs"\RTDC4014\2017-06-24 &amp; aws s3 cp s3://rtdc.mdm.uploadarchive.raw/RTDC4014/ "%USERPROFILE%\AppData\Local\Temp\OnboardLogs"\RTDC4014\2017-06-25 --exclude "*" --recursive --include "*20170625*" &amp; "%USERPROFILE%\Documents\GitHub\mrs-test-scripts\Headless Mode &amp; Sideloading\WalkAndUnGZ.bat" "%USERPROFILE%\AppData\Local\Temp\OnboardLogs"\RTDC4014\2017-06-25</v>
      </c>
      <c r="AF96" s="74" t="str">
        <f t="shared" si="43"/>
        <v>"C:\Program Files (x86)\AstroGrep\AstroGrep.exe" /e /r /s /spath="%USERPROFILE%\AppData\Local\Temp\OnboardLogs" /stypes="app*4014*20170624*" /stext=" 20:.+((SYSTEM_STATE.+slice.+state.+changed )|(ment ac)|(multiple cpu faults)|(system.+state.+changed )|(\[timeout)|(PRM\|1\|D)|(kpr)|(kdp)|(train st.+moving)|(\|lc)|(penalty))"</v>
      </c>
      <c r="AG96" s="209" t="str">
        <f t="shared" si="44"/>
        <v>EC</v>
      </c>
      <c r="AH96" s="78" t="str">
        <f t="shared" si="45"/>
        <v>"%USERPROFILE%\Documents\GitHub\eaglep3\Utilities\RefineRTDCRunTimes.py" --tripid 183-24 --locoid 4014 --swversion DE.1.0.9.0 --startMP 204:446 --initTime 2017-06-24T13:53:51 --startdatetime 2017-06-24T14:00:27 --delay 1 --endMP 204:233359 --enddatetime 2017-06-24T14:36:11 --enforcementcount 0 &gt;&gt;C:\Users\stu\Documents\GitHub\eaglep3-reporting\EC\2017-06-24-refined-times.txt</v>
      </c>
      <c r="AI96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{"issue":{"subject":"","project_id":79,"tracker_id":40,"status_id":1,"priority_id":2,"assigned_to_id":23,"start_date":"2017-06-24","description":"","custom_fields":[{"id":1,"name":"Subdivision","value":"EC"},{"id":4,"name":"Milepost","value":"23.3359"},{"id":17,"name":"Train ID","value":"183-24"},{"id":16,"name":"Locomotive ID","value":"4014"},{"id":130,"name":"Impact","value":""},{"id":150,"name":"Time of Event (Mountain Time)","value":"14:36:11"},{"id":151,"name":"Denver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7"/>
        <v>start /low /b %USERPROFILE%\Documents\GitHub\eaglep3\Utilities\DownloadLogsFromS3.py --loco 4014 --day 2017-06-24</v>
      </c>
      <c r="AN96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20:36:11"},{"id":29,"name":"Sharepoint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790</v>
      </c>
      <c r="B97" s="7">
        <v>4013</v>
      </c>
      <c r="C97" s="21" t="s">
        <v>202</v>
      </c>
      <c r="D97" s="21" t="s">
        <v>934</v>
      </c>
      <c r="E97" s="13">
        <v>42910.619143518517</v>
      </c>
      <c r="F97" s="13">
        <v>42910.623090277775</v>
      </c>
      <c r="G97" s="7">
        <v>1</v>
      </c>
      <c r="H97" s="21" t="s">
        <v>935</v>
      </c>
      <c r="I97" s="13">
        <v>42910.650497685187</v>
      </c>
      <c r="J97" s="7">
        <v>0</v>
      </c>
      <c r="K97" s="89" t="str">
        <f t="shared" si="35"/>
        <v>4013/4014</v>
      </c>
      <c r="L97" s="21" t="str">
        <f>VLOOKUP(A97,'Trips&amp;Operators'!$C$1:$G$99999,5,FALSE)</f>
        <v>DELGADO DIANAH</v>
      </c>
      <c r="M97" s="6">
        <f t="shared" si="36"/>
        <v>2.7407407411374152E-2</v>
      </c>
      <c r="N97" s="7">
        <f t="shared" si="49"/>
        <v>39.466666672378778</v>
      </c>
      <c r="O97" s="7"/>
      <c r="P97" s="7"/>
      <c r="Q97" s="22"/>
      <c r="R97" s="170"/>
      <c r="S97" s="213">
        <f t="shared" si="50"/>
        <v>1</v>
      </c>
      <c r="T97" s="195" t="str">
        <f t="shared" si="37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8"/>
        <v>https://d0f6bd738d7f1b3e5a7ca70fe4ff75f0.us-east-1.aws.found.io/app/kibana#/discover/Steve-Slow-Train-Analysis-(2080s-and-2083s)?_g=(refreshInterval:(display:Off,pause:!f,section:0,value:0),time:(from:'2017-06-24T13:51:34-0600',mode:absolute,to:'2017-06-24T16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7" s="197" t="str">
        <f>IF(AA97&lt;VLOOKUP(AG97,Variables!$AC$3:$AD$8,2,FALSE),"Y","N")</f>
        <v>N</v>
      </c>
      <c r="X97" s="197">
        <f t="shared" si="39"/>
        <v>1</v>
      </c>
      <c r="Y97" s="197">
        <f t="shared" si="33"/>
        <v>23.3064</v>
      </c>
      <c r="Z97" s="197">
        <f t="shared" si="34"/>
        <v>1.2999999999999999E-2</v>
      </c>
      <c r="AA97" s="197">
        <f t="shared" si="40"/>
        <v>23.293399999999998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41"/>
        <v>184</v>
      </c>
      <c r="AE97" s="77" t="str">
        <f t="shared" si="42"/>
        <v>aws s3 cp s3://rtdc.mdm.uploadarchive.raw/RTDC4013/ "%USERPROFILE%\AppData\Local\Temp\OnboardLogs"\RTDC4013\2017-06-24 --exclude "*" --recursive --include "*20170624*" &amp; "%USERPROFILE%\Documents\GitHub\mrs-test-scripts\Headless Mode &amp; Sideloading\WalkAndUnGZ.bat" "%USERPROFILE%\AppData\Local\Temp\OnboardLogs"\RTDC4013\2017-06-24 &amp; aws s3 cp s3://rtdc.mdm.uploadarchive.raw/RTDC4013/ "%USERPROFILE%\AppData\Local\Temp\OnboardLogs"\RTDC4013\2017-06-25 --exclude "*" --recursive --include "*20170625*" &amp; "%USERPROFILE%\Documents\GitHub\mrs-test-scripts\Headless Mode &amp; Sideloading\WalkAndUnGZ.bat" "%USERPROFILE%\AppData\Local\Temp\OnboardLogs"\RTDC4013\2017-06-25</v>
      </c>
      <c r="AF97" s="74" t="str">
        <f t="shared" si="43"/>
        <v>"C:\Program Files (x86)\AstroGrep\AstroGrep.exe" /e /r /s /spath="%USERPROFILE%\AppData\Local\Temp\OnboardLogs" /stypes="app*4013*20170624*" /stext=" 21:.+((SYSTEM_STATE.+slice.+state.+changed )|(ment ac)|(multiple cpu faults)|(system.+state.+changed )|(\[timeout)|(PRM\|1\|D)|(kpr)|(kdp)|(train st.+moving)|(\|lc)|(penalty))"</v>
      </c>
      <c r="AG97" s="209" t="str">
        <f t="shared" si="44"/>
        <v>EC</v>
      </c>
      <c r="AH97" s="78" t="str">
        <f t="shared" si="45"/>
        <v>"%USERPROFILE%\Documents\GitHub\eaglep3\Utilities\RefineRTDCRunTimes.py" --tripid 184-24 --locoid 4013 --swversion DE.1.0.9.0 --startMP 204:233064 --initTime 2017-06-24T14:51:34 --startdatetime 2017-06-24T14:57:15 --delay 1 --endMP 204:130 --enddatetime 2017-06-24T15:36:43 --enforcementcount 0 &gt;&gt;C:\Users\stu\Documents\GitHub\eaglep3-reporting\EC\2017-06-24-refined-times.txt</v>
      </c>
      <c r="AI97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{"issue":{"subject":"","project_id":79,"tracker_id":40,"status_id":1,"priority_id":2,"assigned_to_id":23,"start_date":"2017-06-24","description":"","custom_fields":[{"id":1,"name":"Subdivision","value":"EC"},{"id":4,"name":"Milepost","value":"0.013"},{"id":17,"name":"Train ID","value":"184-24"},{"id":16,"name":"Locomotive ID","value":"4013"},{"id":130,"name":"Impact","value":""},{"id":150,"name":"Time of Event (Mountain Time)","value":"15:36:43"},{"id":151,"name":"Denver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7"/>
        <v>start /low /b %USERPROFILE%\Documents\GitHub\eaglep3\Utilities\DownloadLogsFromS3.py --loco 4013 --day 2017-06-24</v>
      </c>
      <c r="AN97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21:36:43"},{"id":29,"name":"Sharepoint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784</v>
      </c>
      <c r="B98" s="7">
        <v>4042</v>
      </c>
      <c r="C98" s="21" t="s">
        <v>202</v>
      </c>
      <c r="D98" s="21" t="s">
        <v>533</v>
      </c>
      <c r="E98" s="13">
        <v>42910.590671296297</v>
      </c>
      <c r="F98" s="13">
        <v>42910.593923611108</v>
      </c>
      <c r="G98" s="7">
        <v>1</v>
      </c>
      <c r="H98" s="21" t="s">
        <v>492</v>
      </c>
      <c r="I98" s="13">
        <v>42910.627141203702</v>
      </c>
      <c r="J98" s="7">
        <v>0</v>
      </c>
      <c r="K98" s="89" t="str">
        <f t="shared" si="35"/>
        <v>4041/4042</v>
      </c>
      <c r="L98" s="21" t="str">
        <f>VLOOKUP(A98,'Trips&amp;Operators'!$C$1:$G$99999,5,FALSE)</f>
        <v>BROWN JACOB</v>
      </c>
      <c r="M98" s="6">
        <f t="shared" si="36"/>
        <v>3.3217592594155576E-2</v>
      </c>
      <c r="N98" s="7">
        <f t="shared" si="49"/>
        <v>47.83333333558403</v>
      </c>
      <c r="O98" s="7"/>
      <c r="P98" s="7"/>
      <c r="Q98" s="22"/>
      <c r="R98" s="170"/>
      <c r="S98" s="213">
        <f t="shared" si="50"/>
        <v>1</v>
      </c>
      <c r="T98" s="195" t="str">
        <f t="shared" si="37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8"/>
        <v>https://d0f6bd738d7f1b3e5a7ca70fe4ff75f0.us-east-1.aws.found.io/app/kibana#/discover/Steve-Slow-Train-Analysis-(2080s-and-2083s)?_g=(refreshInterval:(display:Off,pause:!f,section:0,value:0),time:(from:'2017-06-24T13:10:34-0600',mode:absolute,to:'2017-06-24T16:03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8" s="197" t="str">
        <f>IF(AA98&lt;VLOOKUP(AG98,Variables!$AC$3:$AD$8,2,FALSE),"Y","N")</f>
        <v>N</v>
      </c>
      <c r="X98" s="197">
        <f t="shared" si="39"/>
        <v>1</v>
      </c>
      <c r="Y98" s="197">
        <f t="shared" si="33"/>
        <v>4.4400000000000002E-2</v>
      </c>
      <c r="Z98" s="197">
        <f t="shared" si="34"/>
        <v>23.330500000000001</v>
      </c>
      <c r="AA98" s="197">
        <f t="shared" si="40"/>
        <v>23.286100000000001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41"/>
        <v>185</v>
      </c>
      <c r="AE98" s="77" t="str">
        <f t="shared" si="42"/>
        <v>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 &amp; 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</v>
      </c>
      <c r="AF98" s="74" t="str">
        <f t="shared" si="43"/>
        <v>"C:\Program Files (x86)\AstroGrep\AstroGrep.exe" /e /r /s /spath="%USERPROFILE%\AppData\Local\Temp\OnboardLogs" /stypes="app*4042*20170624*" /stext=" 21:.+((SYSTEM_STATE.+slice.+state.+changed )|(ment ac)|(multiple cpu faults)|(system.+state.+changed )|(\[timeout)|(PRM\|1\|D)|(kpr)|(kdp)|(train st.+moving)|(\|lc)|(penalty))"</v>
      </c>
      <c r="AG98" s="209" t="str">
        <f t="shared" si="44"/>
        <v>EC</v>
      </c>
      <c r="AH98" s="78" t="str">
        <f t="shared" si="45"/>
        <v>"%USERPROFILE%\Documents\GitHub\eaglep3\Utilities\RefineRTDCRunTimes.py" --tripid 185-24 --locoid 4042 --swversion DE.1.0.9.0 --startMP 204:444 --initTime 2017-06-24T14:10:34 --startdatetime 2017-06-24T14:15:15 --delay 1 --endMP 204:233305 --enddatetime 2017-06-24T15:03:05 --enforcementcount 0 &gt;&gt;C:\Users\stu\Documents\GitHub\eaglep3-reporting\EC\2017-06-24-refined-times.txt</v>
      </c>
      <c r="AI98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{"issue":{"subject":"","project_id":79,"tracker_id":40,"status_id":1,"priority_id":2,"assigned_to_id":23,"start_date":"2017-06-24","description":"","custom_fields":[{"id":1,"name":"Subdivision","value":"EC"},{"id":4,"name":"Milepost","value":"23.3305"},{"id":17,"name":"Train ID","value":"185-24"},{"id":16,"name":"Locomotive ID","value":"4042"},{"id":130,"name":"Impact","value":""},{"id":150,"name":"Time of Event (Mountain Time)","value":"15:03:05"},{"id":151,"name":"Denver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7"/>
        <v>start /low /b %USERPROFILE%\Documents\GitHub\eaglep3\Utilities\DownloadLogsFromS3.py --loco 4042 --day 2017-06-24</v>
      </c>
      <c r="AN98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21:03:05"},{"id":29,"name":"Sharepoint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</row>
    <row r="99" spans="1:91" s="20" customFormat="1" x14ac:dyDescent="0.25">
      <c r="A99" s="32" t="s">
        <v>649</v>
      </c>
      <c r="B99" s="7">
        <v>4041</v>
      </c>
      <c r="C99" s="21" t="s">
        <v>202</v>
      </c>
      <c r="D99" s="21" t="s">
        <v>520</v>
      </c>
      <c r="E99" s="13">
        <v>42910.629745370374</v>
      </c>
      <c r="F99" s="13">
        <v>42910.633530092593</v>
      </c>
      <c r="G99" s="7">
        <v>1</v>
      </c>
      <c r="H99" s="21" t="s">
        <v>350</v>
      </c>
      <c r="I99" s="13">
        <v>42910.662245370368</v>
      </c>
      <c r="J99" s="7">
        <v>0</v>
      </c>
      <c r="K99" s="89" t="str">
        <f t="shared" si="35"/>
        <v>4041/4042</v>
      </c>
      <c r="L99" s="21" t="str">
        <f>VLOOKUP(A99,'Trips&amp;Operators'!$C$1:$G$99999,5,FALSE)</f>
        <v>BROWN JACOB</v>
      </c>
      <c r="M99" s="6">
        <f t="shared" si="36"/>
        <v>2.8715277774608694E-2</v>
      </c>
      <c r="N99" s="7">
        <f t="shared" si="49"/>
        <v>41.349999995436519</v>
      </c>
      <c r="O99" s="7"/>
      <c r="P99" s="7"/>
      <c r="Q99" s="22"/>
      <c r="R99" s="170"/>
      <c r="S99" s="213">
        <f t="shared" si="50"/>
        <v>1</v>
      </c>
      <c r="T99" s="195" t="str">
        <f t="shared" si="37"/>
        <v>Southbound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8"/>
        <v>https://d0f6bd738d7f1b3e5a7ca70fe4ff75f0.us-east-1.aws.found.io/app/kibana#/discover/Steve-Slow-Train-Analysis-(2080s-and-2083s)?_g=(refreshInterval:(display:Off,pause:!f,section:0,value:0),time:(from:'2017-06-24T14:06:50-0600',mode:absolute,to:'2017-06-24T16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9" s="197" t="str">
        <f>IF(AA99&lt;VLOOKUP(AG99,Variables!$AC$3:$AD$8,2,FALSE),"Y","N")</f>
        <v>N</v>
      </c>
      <c r="X99" s="197">
        <f t="shared" si="39"/>
        <v>1</v>
      </c>
      <c r="Y99" s="197">
        <f t="shared" si="33"/>
        <v>23.299199999999999</v>
      </c>
      <c r="Z99" s="197">
        <f t="shared" si="34"/>
        <v>1.43E-2</v>
      </c>
      <c r="AA99" s="197">
        <f t="shared" si="40"/>
        <v>23.2849</v>
      </c>
      <c r="AB99" s="54" t="str">
        <f>VLOOKUP(A99,Enforcements!$C$7:$K$13,8,0)</f>
        <v>Bulletin (2)</v>
      </c>
      <c r="AC99" s="51" t="str">
        <f>VLOOKUP(A99,Enforcements!$C$7:$E$13,3,0)</f>
        <v>GRADE CROSSING</v>
      </c>
      <c r="AD99" s="206">
        <f t="shared" si="41"/>
        <v>186</v>
      </c>
      <c r="AE99" s="77" t="str">
        <f t="shared" si="42"/>
        <v>aws s3 cp s3://rtdc.mdm.uploadarchive.raw/RTDC4041/ "%USERPROFILE%\AppData\Local\Temp\OnboardLogs"\RTDC4041\2017-06-24 --exclude "*" --recursive --include "*20170624*" &amp; "%USERPROFILE%\Documents\GitHub\mrs-test-scripts\Headless Mode &amp; Sideloading\WalkAndUnGZ.bat" "%USERPROFILE%\AppData\Local\Temp\OnboardLogs"\RTDC4041\2017-06-24 &amp; aws s3 cp s3://rtdc.mdm.uploadarchive.raw/RTDC4041/ "%USERPROFILE%\AppData\Local\Temp\OnboardLogs"\RTDC4041\2017-06-25 --exclude "*" --recursive --include "*20170625*" &amp; "%USERPROFILE%\Documents\GitHub\mrs-test-scripts\Headless Mode &amp; Sideloading\WalkAndUnGZ.bat" "%USERPROFILE%\AppData\Local\Temp\OnboardLogs"\RTDC4041\2017-06-25</v>
      </c>
      <c r="AF99" s="74" t="str">
        <f t="shared" si="43"/>
        <v>"C:\Program Files (x86)\AstroGrep\AstroGrep.exe" /e /r /s /spath="%USERPROFILE%\AppData\Local\Temp\OnboardLogs" /stypes="app*4041*20170624*" /stext=" 21:.+((SYSTEM_STATE.+slice.+state.+changed )|(ment ac)|(multiple cpu faults)|(system.+state.+changed )|(\[timeout)|(PRM\|1\|D)|(kpr)|(kdp)|(train st.+moving)|(\|lc)|(penalty))"</v>
      </c>
      <c r="AG99" s="209" t="str">
        <f t="shared" si="44"/>
        <v>EC</v>
      </c>
      <c r="AH99" s="78" t="str">
        <f t="shared" si="45"/>
        <v>"%USERPROFILE%\Documents\GitHub\eaglep3\Utilities\RefineRTDCRunTimes.py" --tripid 186-24 --locoid 4041 --swversion DE.1.0.9.0 --startMP 204:232992 --initTime 2017-06-24T15:06:50 --startdatetime 2017-06-24T15:12:17 --delay 1 --endMP 204:143 --enddatetime 2017-06-24T15:53:38 --enforcementcount 0 &gt;&gt;C:\Users\stu\Documents\GitHub\eaglep3-reporting\EC\2017-06-24-refined-times.txt</v>
      </c>
      <c r="AI99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{"issue":{"subject":"","project_id":79,"tracker_id":40,"status_id":1,"priority_id":2,"assigned_to_id":23,"start_date":"2017-06-24","description":"","custom_fields":[{"id":1,"name":"Subdivision","value":"EC"},{"id":4,"name":"Milepost","value":"0.0143"},{"id":17,"name":"Train ID","value":"186-24"},{"id":16,"name":"Locomotive ID","value":"4041"},{"id":130,"name":"Impact","value":""},{"id":150,"name":"Time of Event (Mountain Time)","value":"15:53:38"},{"id":151,"name":"Denver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7"/>
        <v>start /low /b %USERPROFILE%\Documents\GitHub\eaglep3\Utilities\DownloadLogsFromS3.py --loco 4041 --day 2017-06-24</v>
      </c>
      <c r="AN99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21:53:38"},{"id":29,"name":"Sharepoint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786</v>
      </c>
      <c r="B100" s="7">
        <v>4016</v>
      </c>
      <c r="C100" s="21" t="s">
        <v>202</v>
      </c>
      <c r="D100" s="21" t="s">
        <v>474</v>
      </c>
      <c r="E100" s="13">
        <v>42910.600775462961</v>
      </c>
      <c r="F100" s="13">
        <v>42910.604560185187</v>
      </c>
      <c r="G100" s="7">
        <v>1</v>
      </c>
      <c r="H100" s="21" t="s">
        <v>532</v>
      </c>
      <c r="I100" s="13">
        <v>42910.631898148145</v>
      </c>
      <c r="J100" s="7">
        <v>0</v>
      </c>
      <c r="K100" s="89" t="str">
        <f t="shared" si="35"/>
        <v>4015/4016</v>
      </c>
      <c r="L100" s="21" t="str">
        <f>VLOOKUP(A100,'Trips&amp;Operators'!$C$1:$G$99999,5,FALSE)</f>
        <v>HART KEVIN</v>
      </c>
      <c r="M100" s="6">
        <f t="shared" si="36"/>
        <v>2.7337962957972195E-2</v>
      </c>
      <c r="N100" s="7">
        <f t="shared" si="49"/>
        <v>39.366666659479961</v>
      </c>
      <c r="O100" s="7"/>
      <c r="P100" s="7"/>
      <c r="Q100" s="22"/>
      <c r="R100" s="170"/>
      <c r="S100" s="213">
        <f t="shared" si="50"/>
        <v>1</v>
      </c>
      <c r="T100" s="195" t="str">
        <f t="shared" si="37"/>
        <v>NorthBound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8"/>
        <v>https://d0f6bd738d7f1b3e5a7ca70fe4ff75f0.us-east-1.aws.found.io/app/kibana#/discover/Steve-Slow-Train-Analysis-(2080s-and-2083s)?_g=(refreshInterval:(display:Off,pause:!f,section:0,value:0),time:(from:'2017-06-24T13:25:07-0600',mode:absolute,to:'2017-06-24T16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0" s="197" t="str">
        <f>IF(AA100&lt;VLOOKUP(AG100,Variables!$AC$3:$AD$8,2,FALSE),"Y","N")</f>
        <v>N</v>
      </c>
      <c r="X100" s="197">
        <f t="shared" si="39"/>
        <v>1</v>
      </c>
      <c r="Y100" s="197">
        <f t="shared" si="33"/>
        <v>4.5499999999999999E-2</v>
      </c>
      <c r="Z100" s="197">
        <f t="shared" si="34"/>
        <v>23.331199999999999</v>
      </c>
      <c r="AA100" s="197">
        <f t="shared" si="40"/>
        <v>23.285699999999999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41"/>
        <v>187</v>
      </c>
      <c r="AE100" s="77" t="str">
        <f t="shared" si="42"/>
        <v>aws s3 cp s3://rtdc.mdm.uploadarchive.raw/RTDC4016/ "%USERPROFILE%\AppData\Local\Temp\OnboardLogs"\RTDC4016\2017-06-24 --exclude "*" --recursive --include "*20170624*" &amp; "%USERPROFILE%\Documents\GitHub\mrs-test-scripts\Headless Mode &amp; Sideloading\WalkAndUnGZ.bat" "%USERPROFILE%\AppData\Local\Temp\OnboardLogs"\RTDC4016\2017-06-24 &amp; aws s3 cp s3://rtdc.mdm.uploadarchive.raw/RTDC4016/ "%USERPROFILE%\AppData\Local\Temp\OnboardLogs"\RTDC4016\2017-06-25 --exclude "*" --recursive --include "*20170625*" &amp; "%USERPROFILE%\Documents\GitHub\mrs-test-scripts\Headless Mode &amp; Sideloading\WalkAndUnGZ.bat" "%USERPROFILE%\AppData\Local\Temp\OnboardLogs"\RTDC4016\2017-06-25</v>
      </c>
      <c r="AF100" s="74" t="str">
        <f t="shared" si="43"/>
        <v>"C:\Program Files (x86)\AstroGrep\AstroGrep.exe" /e /r /s /spath="%USERPROFILE%\AppData\Local\Temp\OnboardLogs" /stypes="app*4016*20170624*" /stext=" 21:.+((SYSTEM_STATE.+slice.+state.+changed )|(ment ac)|(multiple cpu faults)|(system.+state.+changed )|(\[timeout)|(PRM\|1\|D)|(kpr)|(kdp)|(train st.+moving)|(\|lc)|(penalty))"</v>
      </c>
      <c r="AG100" s="209" t="str">
        <f t="shared" si="44"/>
        <v>EC</v>
      </c>
      <c r="AH100" s="78" t="str">
        <f t="shared" si="45"/>
        <v>"%USERPROFILE%\Documents\GitHub\eaglep3\Utilities\RefineRTDCRunTimes.py" --tripid 187-24 --locoid 4016 --swversion DE.1.0.9.0 --startMP 204:455 --initTime 2017-06-24T14:25:07 --startdatetime 2017-06-24T14:30:34 --delay 1 --endMP 204:233312 --enddatetime 2017-06-24T15:09:56 --enforcementcount 0 &gt;&gt;C:\Users\stu\Documents\GitHub\eaglep3-reporting\EC\2017-06-24-refined-times.txt</v>
      </c>
      <c r="AI100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{"issue":{"subject":"","project_id":79,"tracker_id":40,"status_id":1,"priority_id":2,"assigned_to_id":23,"start_date":"2017-06-24","description":"","custom_fields":[{"id":1,"name":"Subdivision","value":"EC"},{"id":4,"name":"Milepost","value":"23.3312"},{"id":17,"name":"Train ID","value":"187-24"},{"id":16,"name":"Locomotive ID","value":"4016"},{"id":130,"name":"Impact","value":""},{"id":150,"name":"Time of Event (Mountain Time)","value":"15:09:56"},{"id":151,"name":"Denver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7"/>
        <v>start /low /b %USERPROFILE%\Documents\GitHub\eaglep3\Utilities\DownloadLogsFromS3.py --loco 4016 --day 2017-06-24</v>
      </c>
      <c r="AN100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21:09:56"},{"id":29,"name":"Sharepoint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794</v>
      </c>
      <c r="B101" s="7">
        <v>4015</v>
      </c>
      <c r="C101" s="21" t="s">
        <v>202</v>
      </c>
      <c r="D101" s="21" t="s">
        <v>504</v>
      </c>
      <c r="E101" s="13">
        <v>42910.641180555554</v>
      </c>
      <c r="F101" s="13">
        <v>42910.64398148148</v>
      </c>
      <c r="G101" s="7">
        <v>1</v>
      </c>
      <c r="H101" s="21" t="s">
        <v>416</v>
      </c>
      <c r="I101" s="13">
        <v>42910.669664351852</v>
      </c>
      <c r="J101" s="7">
        <v>0</v>
      </c>
      <c r="K101" s="89" t="str">
        <f t="shared" si="35"/>
        <v>4015/4016</v>
      </c>
      <c r="L101" s="21" t="str">
        <f>VLOOKUP(A101,'Trips&amp;Operators'!$C$1:$G$99999,5,FALSE)</f>
        <v>HART KEVIN</v>
      </c>
      <c r="M101" s="6">
        <f t="shared" si="36"/>
        <v>2.5682870371383615E-2</v>
      </c>
      <c r="N101" s="7">
        <f t="shared" si="49"/>
        <v>36.983333334792405</v>
      </c>
      <c r="O101" s="7"/>
      <c r="P101" s="7"/>
      <c r="Q101" s="22"/>
      <c r="R101" s="170"/>
      <c r="S101" s="213">
        <f t="shared" si="50"/>
        <v>1</v>
      </c>
      <c r="T101" s="195" t="str">
        <f t="shared" si="37"/>
        <v>Southbound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8"/>
        <v>https://d0f6bd738d7f1b3e5a7ca70fe4ff75f0.us-east-1.aws.found.io/app/kibana#/discover/Steve-Slow-Train-Analysis-(2080s-and-2083s)?_g=(refreshInterval:(display:Off,pause:!f,section:0,value:0),time:(from:'2017-06-24T14:23:18-0600',mode:absolute,to:'2017-06-24T17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1" s="197" t="str">
        <f>IF(AA101&lt;VLOOKUP(AG101,Variables!$AC$3:$AD$8,2,FALSE),"Y","N")</f>
        <v>N</v>
      </c>
      <c r="X101" s="197">
        <f t="shared" si="39"/>
        <v>1</v>
      </c>
      <c r="Y101" s="197">
        <f t="shared" ref="Y101:Y132" si="51">RIGHT(D101,LEN(D101)-4)/10000</f>
        <v>23.299099999999999</v>
      </c>
      <c r="Z101" s="197">
        <f t="shared" ref="Z101:Z132" si="52">RIGHT(H101,LEN(H101)-4)/10000</f>
        <v>1.4500000000000001E-2</v>
      </c>
      <c r="AA101" s="197">
        <f t="shared" si="40"/>
        <v>23.284599999999998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41"/>
        <v>188</v>
      </c>
      <c r="AE101" s="77" t="str">
        <f t="shared" si="42"/>
        <v>aws s3 cp s3://rtdc.mdm.uploadarchive.raw/RTDC4015/ "%USERPROFILE%\AppData\Local\Temp\OnboardLogs"\RTDC4015\2017-06-24 --exclude "*" --recursive --include "*20170624*" &amp; "%USERPROFILE%\Documents\GitHub\mrs-test-scripts\Headless Mode &amp; Sideloading\WalkAndUnGZ.bat" "%USERPROFILE%\AppData\Local\Temp\OnboardLogs"\RTDC4015\2017-06-24 &amp; aws s3 cp s3://rtdc.mdm.uploadarchive.raw/RTDC4015/ "%USERPROFILE%\AppData\Local\Temp\OnboardLogs"\RTDC4015\2017-06-25 --exclude "*" --recursive --include "*20170625*" &amp; "%USERPROFILE%\Documents\GitHub\mrs-test-scripts\Headless Mode &amp; Sideloading\WalkAndUnGZ.bat" "%USERPROFILE%\AppData\Local\Temp\OnboardLogs"\RTDC4015\2017-06-25</v>
      </c>
      <c r="AF101" s="74" t="str">
        <f t="shared" si="43"/>
        <v>"C:\Program Files (x86)\AstroGrep\AstroGrep.exe" /e /r /s /spath="%USERPROFILE%\AppData\Local\Temp\OnboardLogs" /stypes="app*4015*20170624*" /stext=" 22:.+((SYSTEM_STATE.+slice.+state.+changed )|(ment ac)|(multiple cpu faults)|(system.+state.+changed )|(\[timeout)|(PRM\|1\|D)|(kpr)|(kdp)|(train st.+moving)|(\|lc)|(penalty))"</v>
      </c>
      <c r="AG101" s="209" t="str">
        <f t="shared" si="44"/>
        <v>EC</v>
      </c>
      <c r="AH101" s="78" t="str">
        <f t="shared" si="45"/>
        <v>"%USERPROFILE%\Documents\GitHub\eaglep3\Utilities\RefineRTDCRunTimes.py" --tripid 188-24 --locoid 4015 --swversion DE.1.0.9.0 --startMP 204:232991 --initTime 2017-06-24T15:23:18 --startdatetime 2017-06-24T15:27:20 --delay 1 --endMP 204:145 --enddatetime 2017-06-24T16:04:19 --enforcementcount 0 &gt;&gt;C:\Users\stu\Documents\GitHub\eaglep3-reporting\EC\2017-06-24-refined-times.txt</v>
      </c>
      <c r="AI101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{"issue":{"subject":"","project_id":79,"tracker_id":40,"status_id":1,"priority_id":2,"assigned_to_id":23,"start_date":"2017-06-24","description":"","custom_fields":[{"id":1,"name":"Subdivision","value":"EC"},{"id":4,"name":"Milepost","value":"0.0145"},{"id":17,"name":"Train ID","value":"188-24"},{"id":16,"name":"Locomotive ID","value":"4015"},{"id":130,"name":"Impact","value":""},{"id":150,"name":"Time of Event (Mountain Time)","value":"16:04:19"},{"id":151,"name":"Denver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7"/>
        <v>start /low /b %USERPROFILE%\Documents\GitHub\eaglep3\Utilities\DownloadLogsFromS3.py --loco 4015 --day 2017-06-24</v>
      </c>
      <c r="AN101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22:04:19"},{"id":29,"name":"Sharepoint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789</v>
      </c>
      <c r="B102" s="7">
        <v>4022</v>
      </c>
      <c r="C102" s="21" t="s">
        <v>202</v>
      </c>
      <c r="D102" s="21" t="s">
        <v>936</v>
      </c>
      <c r="E102" s="13">
        <v>42910.613842592589</v>
      </c>
      <c r="F102" s="13">
        <v>42910.615300925929</v>
      </c>
      <c r="G102" s="7">
        <v>1</v>
      </c>
      <c r="H102" s="21" t="s">
        <v>937</v>
      </c>
      <c r="I102" s="13">
        <v>42910.64203703704</v>
      </c>
      <c r="J102" s="7">
        <v>0</v>
      </c>
      <c r="K102" s="89" t="str">
        <f t="shared" si="35"/>
        <v>4021/4022</v>
      </c>
      <c r="L102" s="21" t="str">
        <f>VLOOKUP(A102,'Trips&amp;Operators'!$C$1:$G$99999,5,FALSE)</f>
        <v>DAVIS MICHAEL</v>
      </c>
      <c r="M102" s="6">
        <f t="shared" si="36"/>
        <v>2.6736111110949423E-2</v>
      </c>
      <c r="N102" s="7">
        <f t="shared" si="49"/>
        <v>38.499999999767169</v>
      </c>
      <c r="O102" s="7"/>
      <c r="P102" s="7"/>
      <c r="Q102" s="22"/>
      <c r="R102" s="170"/>
      <c r="S102" s="213">
        <f t="shared" si="50"/>
        <v>1</v>
      </c>
      <c r="T102" s="195" t="str">
        <f t="shared" si="37"/>
        <v>NorthBound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8"/>
        <v>https://d0f6bd738d7f1b3e5a7ca70fe4ff75f0.us-east-1.aws.found.io/app/kibana#/discover/Steve-Slow-Train-Analysis-(2080s-and-2083s)?_g=(refreshInterval:(display:Off,pause:!f,section:0,value:0),time:(from:'2017-06-24T13:43:56-0600',mode:absolute,to:'2017-06-24T16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2" s="197" t="str">
        <f>IF(AA102&lt;VLOOKUP(AG102,Variables!$AC$3:$AD$8,2,FALSE),"Y","N")</f>
        <v>N</v>
      </c>
      <c r="X102" s="197">
        <f t="shared" si="39"/>
        <v>1</v>
      </c>
      <c r="Y102" s="197">
        <f t="shared" si="51"/>
        <v>4.2200000000000001E-2</v>
      </c>
      <c r="Z102" s="197">
        <f t="shared" si="52"/>
        <v>23.333600000000001</v>
      </c>
      <c r="AA102" s="197">
        <f t="shared" si="40"/>
        <v>23.291399999999999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41"/>
        <v>189</v>
      </c>
      <c r="AE102" s="77" t="str">
        <f t="shared" si="42"/>
        <v>aws s3 cp s3://rtdc.mdm.uploadarchive.raw/RTDC4022/ "%USERPROFILE%\AppData\Local\Temp\OnboardLogs"\RTDC4022\2017-06-24 --exclude "*" --recursive --include "*20170624*" &amp; "%USERPROFILE%\Documents\GitHub\mrs-test-scripts\Headless Mode &amp; Sideloading\WalkAndUnGZ.bat" "%USERPROFILE%\AppData\Local\Temp\OnboardLogs"\RTDC4022\2017-06-24 &amp; aws s3 cp s3://rtdc.mdm.uploadarchive.raw/RTDC4022/ "%USERPROFILE%\AppData\Local\Temp\OnboardLogs"\RTDC4022\2017-06-25 --exclude "*" --recursive --include "*20170625*" &amp; "%USERPROFILE%\Documents\GitHub\mrs-test-scripts\Headless Mode &amp; Sideloading\WalkAndUnGZ.bat" "%USERPROFILE%\AppData\Local\Temp\OnboardLogs"\RTDC4022\2017-06-25</v>
      </c>
      <c r="AF102" s="74" t="str">
        <f t="shared" si="43"/>
        <v>"C:\Program Files (x86)\AstroGrep\AstroGrep.exe" /e /r /s /spath="%USERPROFILE%\AppData\Local\Temp\OnboardLogs" /stypes="app*4022*20170624*" /stext=" 21:.+((SYSTEM_STATE.+slice.+state.+changed )|(ment ac)|(multiple cpu faults)|(system.+state.+changed )|(\[timeout)|(PRM\|1\|D)|(kpr)|(kdp)|(train st.+moving)|(\|lc)|(penalty))"</v>
      </c>
      <c r="AG102" s="209" t="str">
        <f t="shared" si="44"/>
        <v>EC</v>
      </c>
      <c r="AH102" s="78" t="str">
        <f t="shared" si="45"/>
        <v>"%USERPROFILE%\Documents\GitHub\eaglep3\Utilities\RefineRTDCRunTimes.py" --tripid 189-24 --locoid 4022 --swversion DE.1.0.9.0 --startMP 204:422 --initTime 2017-06-24T14:43:56 --startdatetime 2017-06-24T14:46:02 --delay 1 --endMP 204:233336 --enddatetime 2017-06-24T15:24:32 --enforcementcount 0 &gt;&gt;C:\Users\stu\Documents\GitHub\eaglep3-reporting\EC\2017-06-24-refined-times.txt</v>
      </c>
      <c r="AI102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{"issue":{"subject":"","project_id":79,"tracker_id":40,"status_id":1,"priority_id":2,"assigned_to_id":23,"start_date":"2017-06-24","description":"","custom_fields":[{"id":1,"name":"Subdivision","value":"EC"},{"id":4,"name":"Milepost","value":"23.3336"},{"id":17,"name":"Train ID","value":"189-24"},{"id":16,"name":"Locomotive ID","value":"4022"},{"id":130,"name":"Impact","value":""},{"id":150,"name":"Time of Event (Mountain Time)","value":"15:24:32"},{"id":151,"name":"Denver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7"/>
        <v>start /low /b %USERPROFILE%\Documents\GitHub\eaglep3\Utilities\DownloadLogsFromS3.py --loco 4022 --day 2017-06-24</v>
      </c>
      <c r="AN102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21:24:32"},{"id":29,"name":"Sharepoint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797</v>
      </c>
      <c r="B103" s="7">
        <v>4021</v>
      </c>
      <c r="C103" s="21" t="s">
        <v>202</v>
      </c>
      <c r="D103" s="21" t="s">
        <v>885</v>
      </c>
      <c r="E103" s="13">
        <v>42910.652581018519</v>
      </c>
      <c r="F103" s="13">
        <v>42910.654583333337</v>
      </c>
      <c r="G103" s="7">
        <v>1</v>
      </c>
      <c r="H103" s="21" t="s">
        <v>938</v>
      </c>
      <c r="I103" s="13">
        <v>42910.681493055556</v>
      </c>
      <c r="J103" s="7">
        <v>0</v>
      </c>
      <c r="K103" s="89" t="str">
        <f t="shared" si="35"/>
        <v>4021/4022</v>
      </c>
      <c r="L103" s="21" t="str">
        <f>VLOOKUP(A103,'Trips&amp;Operators'!$C$1:$G$99999,5,FALSE)</f>
        <v>DAVIS MICHAEL</v>
      </c>
      <c r="M103" s="6">
        <f t="shared" si="36"/>
        <v>2.6909722218988463E-2</v>
      </c>
      <c r="N103" s="7">
        <f t="shared" si="49"/>
        <v>38.749999995343387</v>
      </c>
      <c r="O103" s="7"/>
      <c r="P103" s="7"/>
      <c r="Q103" s="22"/>
      <c r="R103" s="170"/>
      <c r="S103" s="213">
        <f t="shared" si="50"/>
        <v>1</v>
      </c>
      <c r="T103" s="195" t="str">
        <f t="shared" si="37"/>
        <v>Southbound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8"/>
        <v>https://d0f6bd738d7f1b3e5a7ca70fe4ff75f0.us-east-1.aws.found.io/app/kibana#/discover/Steve-Slow-Train-Analysis-(2080s-and-2083s)?_g=(refreshInterval:(display:Off,pause:!f,section:0,value:0),time:(from:'2017-06-24T14:39:43-0600',mode:absolute,to:'2017-06-24T17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3" s="197" t="str">
        <f>IF(AA103&lt;VLOOKUP(AG103,Variables!$AC$3:$AD$8,2,FALSE),"Y","N")</f>
        <v>N</v>
      </c>
      <c r="X103" s="197">
        <f t="shared" si="39"/>
        <v>1</v>
      </c>
      <c r="Y103" s="197">
        <f t="shared" si="51"/>
        <v>23.298999999999999</v>
      </c>
      <c r="Z103" s="197">
        <f t="shared" si="52"/>
        <v>1.18E-2</v>
      </c>
      <c r="AA103" s="197">
        <f t="shared" si="40"/>
        <v>23.287199999999999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41"/>
        <v>190</v>
      </c>
      <c r="AE103" s="77" t="str">
        <f t="shared" si="42"/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AF103" s="74" t="str">
        <f t="shared" si="43"/>
        <v>"C:\Program Files (x86)\AstroGrep\AstroGrep.exe" /e /r /s /spath="%USERPROFILE%\AppData\Local\Temp\OnboardLogs" /stypes="app*4021*20170624*" /stext=" 22:.+((SYSTEM_STATE.+slice.+state.+changed )|(ment ac)|(multiple cpu faults)|(system.+state.+changed )|(\[timeout)|(PRM\|1\|D)|(kpr)|(kdp)|(train st.+moving)|(\|lc)|(penalty))"</v>
      </c>
      <c r="AG103" s="209" t="str">
        <f t="shared" si="44"/>
        <v>EC</v>
      </c>
      <c r="AH103" s="78" t="str">
        <f t="shared" si="45"/>
        <v>"%USERPROFILE%\Documents\GitHub\eaglep3\Utilities\RefineRTDCRunTimes.py" --tripid 190-24 --locoid 4021 --swversion DE.1.0.9.0 --startMP 204:232990 --initTime 2017-06-24T15:39:43 --startdatetime 2017-06-24T15:42:36 --delay 1 --endMP 204:118 --enddatetime 2017-06-24T16:21:21 --enforcementcount 0 &gt;&gt;C:\Users\stu\Documents\GitHub\eaglep3-reporting\EC\2017-06-24-refined-times.txt</v>
      </c>
      <c r="AI103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{"issue":{"subject":"","project_id":79,"tracker_id":40,"status_id":1,"priority_id":2,"assigned_to_id":23,"start_date":"2017-06-24","description":"","custom_fields":[{"id":1,"name":"Subdivision","value":"EC"},{"id":4,"name":"Milepost","value":"0.0118"},{"id":17,"name":"Train ID","value":"190-24"},{"id":16,"name":"Locomotive ID","value":"4021"},{"id":130,"name":"Impact","value":""},{"id":150,"name":"Time of Event (Mountain Time)","value":"16:21:21"},{"id":151,"name":"Denver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7"/>
        <v>start /low /b %USERPROFILE%\Documents\GitHub\eaglep3\Utilities\DownloadLogsFromS3.py --loco 4021 --day 2017-06-24</v>
      </c>
      <c r="AN103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22:21:21"},{"id":29,"name":"Sharepoint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2" t="s">
        <v>792</v>
      </c>
      <c r="B104" s="7">
        <v>4044</v>
      </c>
      <c r="C104" s="21" t="s">
        <v>202</v>
      </c>
      <c r="D104" s="21" t="s">
        <v>343</v>
      </c>
      <c r="E104" s="13">
        <v>42910.623287037037</v>
      </c>
      <c r="F104" s="13">
        <v>42910.625254629631</v>
      </c>
      <c r="G104" s="7">
        <v>1</v>
      </c>
      <c r="H104" s="21" t="s">
        <v>941</v>
      </c>
      <c r="I104" s="13">
        <v>42910.651076388887</v>
      </c>
      <c r="J104" s="7">
        <v>0</v>
      </c>
      <c r="K104" s="89" t="str">
        <f t="shared" si="35"/>
        <v>4043/4044</v>
      </c>
      <c r="L104" s="21" t="str">
        <f>VLOOKUP(A104,'Trips&amp;Operators'!$C$1:$G$99999,5,FALSE)</f>
        <v>SAFIEF AEIMEN</v>
      </c>
      <c r="M104" s="6">
        <f t="shared" si="36"/>
        <v>2.5821759256359655E-2</v>
      </c>
      <c r="N104" s="7">
        <f t="shared" si="49"/>
        <v>37.183333329157904</v>
      </c>
      <c r="O104" s="7"/>
      <c r="P104" s="7"/>
      <c r="Q104" s="22"/>
      <c r="R104" s="170"/>
      <c r="S104" s="213">
        <f t="shared" si="50"/>
        <v>1</v>
      </c>
      <c r="T104" s="195" t="str">
        <f t="shared" si="37"/>
        <v>NorthBound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8"/>
        <v>https://d0f6bd738d7f1b3e5a7ca70fe4ff75f0.us-east-1.aws.found.io/app/kibana#/discover/Steve-Slow-Train-Analysis-(2080s-and-2083s)?_g=(refreshInterval:(display:Off,pause:!f,section:0,value:0),time:(from:'2017-06-24T13:57:32-0600',mode:absolute,to:'2017-06-24T16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4" s="197" t="str">
        <f>IF(AA104&lt;VLOOKUP(AG104,Variables!$AC$3:$AD$8,2,FALSE),"Y","N")</f>
        <v>N</v>
      </c>
      <c r="X104" s="197">
        <f t="shared" si="39"/>
        <v>1</v>
      </c>
      <c r="Y104" s="197">
        <f t="shared" si="51"/>
        <v>4.4900000000000002E-2</v>
      </c>
      <c r="Z104" s="197">
        <f t="shared" si="52"/>
        <v>23.334599999999998</v>
      </c>
      <c r="AA104" s="197">
        <f t="shared" si="40"/>
        <v>23.2897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41"/>
        <v>191</v>
      </c>
      <c r="AE104" s="77" t="str">
        <f t="shared" si="42"/>
        <v>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 &amp; 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</v>
      </c>
      <c r="AF104" s="74" t="str">
        <f t="shared" si="43"/>
        <v>"C:\Program Files (x86)\AstroGrep\AstroGrep.exe" /e /r /s /spath="%USERPROFILE%\AppData\Local\Temp\OnboardLogs" /stypes="app*4044*20170624*" /stext=" 21:.+((SYSTEM_STATE.+slice.+state.+changed )|(ment ac)|(multiple cpu faults)|(system.+state.+changed )|(\[timeout)|(PRM\|1\|D)|(kpr)|(kdp)|(train st.+moving)|(\|lc)|(penalty))"</v>
      </c>
      <c r="AG104" s="209" t="str">
        <f t="shared" si="44"/>
        <v>EC</v>
      </c>
      <c r="AH104" s="78" t="str">
        <f t="shared" si="45"/>
        <v>"%USERPROFILE%\Documents\GitHub\eaglep3\Utilities\RefineRTDCRunTimes.py" --tripid 191-24 --locoid 4044 --swversion DE.1.0.9.0 --startMP 204:449 --initTime 2017-06-24T14:57:32 --startdatetime 2017-06-24T15:00:22 --delay 1 --endMP 204:233346 --enddatetime 2017-06-24T15:37:33 --enforcementcount 0 &gt;&gt;C:\Users\stu\Documents\GitHub\eaglep3-reporting\EC\2017-06-24-refined-times.txt</v>
      </c>
      <c r="AI104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{"issue":{"subject":"","project_id":79,"tracker_id":40,"status_id":1,"priority_id":2,"assigned_to_id":23,"start_date":"2017-06-24","description":"","custom_fields":[{"id":1,"name":"Subdivision","value":"EC"},{"id":4,"name":"Milepost","value":"23.3346"},{"id":17,"name":"Train ID","value":"191-24"},{"id":16,"name":"Locomotive ID","value":"4044"},{"id":130,"name":"Impact","value":""},{"id":150,"name":"Time of Event (Mountain Time)","value":"15:37:33"},{"id":151,"name":"Denver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20"/>
      <c r="AK104" s="47"/>
      <c r="AL104" s="47"/>
      <c r="AM104" s="142" t="str">
        <f t="shared" si="47"/>
        <v>start /low /b %USERPROFILE%\Documents\GitHub\eaglep3\Utilities\DownloadLogsFromS3.py --loco 4044 --day 2017-06-24</v>
      </c>
      <c r="AN104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21:37:33"},{"id":29,"name":"Sharepoint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</row>
    <row r="105" spans="1:91" s="20" customFormat="1" x14ac:dyDescent="0.25">
      <c r="A105" s="32" t="s">
        <v>799</v>
      </c>
      <c r="B105" s="7">
        <v>4043</v>
      </c>
      <c r="C105" s="21" t="s">
        <v>202</v>
      </c>
      <c r="D105" s="21" t="s">
        <v>491</v>
      </c>
      <c r="E105" s="13">
        <v>42910.653622685182</v>
      </c>
      <c r="F105" s="13">
        <v>42910.664768518516</v>
      </c>
      <c r="G105" s="7">
        <v>1</v>
      </c>
      <c r="H105" s="21" t="s">
        <v>458</v>
      </c>
      <c r="I105" s="13">
        <v>42910.692395833335</v>
      </c>
      <c r="J105" s="7">
        <v>0</v>
      </c>
      <c r="K105" s="89" t="str">
        <f t="shared" si="35"/>
        <v>4043/4044</v>
      </c>
      <c r="L105" s="21" t="str">
        <f>VLOOKUP(A105,'Trips&amp;Operators'!$C$1:$G$99999,5,FALSE)</f>
        <v>SAFIEF AEIMEN</v>
      </c>
      <c r="M105" s="6">
        <f t="shared" si="36"/>
        <v>2.7627314819255844E-2</v>
      </c>
      <c r="N105" s="7">
        <f t="shared" si="49"/>
        <v>39.783333339728415</v>
      </c>
      <c r="O105" s="7"/>
      <c r="P105" s="7"/>
      <c r="Q105" s="22"/>
      <c r="R105" s="170"/>
      <c r="S105" s="213">
        <f t="shared" si="50"/>
        <v>1</v>
      </c>
      <c r="T105" s="195" t="str">
        <f t="shared" si="37"/>
        <v>Southbound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8"/>
        <v>https://d0f6bd738d7f1b3e5a7ca70fe4ff75f0.us-east-1.aws.found.io/app/kibana#/discover/Steve-Slow-Train-Analysis-(2080s-and-2083s)?_g=(refreshInterval:(display:Off,pause:!f,section:0,value:0),time:(from:'2017-06-24T14:41:13-0600',mode:absolute,to:'2017-06-24T17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5" s="197" t="str">
        <f>IF(AA105&lt;VLOOKUP(AG105,Variables!$AC$3:$AD$8,2,FALSE),"Y","N")</f>
        <v>N</v>
      </c>
      <c r="X105" s="197">
        <f t="shared" si="39"/>
        <v>1</v>
      </c>
      <c r="Y105" s="197">
        <f t="shared" si="51"/>
        <v>23.301300000000001</v>
      </c>
      <c r="Z105" s="197">
        <f t="shared" si="52"/>
        <v>1.38E-2</v>
      </c>
      <c r="AA105" s="197">
        <f t="shared" si="40"/>
        <v>23.287500000000001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41"/>
        <v>192</v>
      </c>
      <c r="AE105" s="77" t="str">
        <f t="shared" si="42"/>
        <v>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 &amp; 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</v>
      </c>
      <c r="AF105" s="74" t="str">
        <f t="shared" si="43"/>
        <v>"C:\Program Files (x86)\AstroGrep\AstroGrep.exe" /e /r /s /spath="%USERPROFILE%\AppData\Local\Temp\OnboardLogs" /stypes="app*4043*20170624*" /stext=" 22:.+((SYSTEM_STATE.+slice.+state.+changed )|(ment ac)|(multiple cpu faults)|(system.+state.+changed )|(\[timeout)|(PRM\|1\|D)|(kpr)|(kdp)|(train st.+moving)|(\|lc)|(penalty))"</v>
      </c>
      <c r="AG105" s="209" t="str">
        <f t="shared" si="44"/>
        <v>EC</v>
      </c>
      <c r="AH105" s="78" t="str">
        <f t="shared" si="45"/>
        <v>"%USERPROFILE%\Documents\GitHub\eaglep3\Utilities\RefineRTDCRunTimes.py" --tripid 192-24 --locoid 4043 --swversion DE.1.0.9.0 --startMP 204:233013 --initTime 2017-06-24T15:41:13 --startdatetime 2017-06-24T15:57:16 --delay 1 --endMP 204:138 --enddatetime 2017-06-24T16:37:03 --enforcementcount 0 &gt;&gt;C:\Users\stu\Documents\GitHub\eaglep3-reporting\EC\2017-06-24-refined-times.txt</v>
      </c>
      <c r="AI105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{"issue":{"subject":"","project_id":79,"tracker_id":40,"status_id":1,"priority_id":2,"assigned_to_id":23,"start_date":"2017-06-24","description":"","custom_fields":[{"id":1,"name":"Subdivision","value":"EC"},{"id":4,"name":"Milepost","value":"0.0138"},{"id":17,"name":"Train ID","value":"192-24"},{"id":16,"name":"Locomotive ID","value":"4043"},{"id":130,"name":"Impact","value":""},{"id":150,"name":"Time of Event (Mountain Time)","value":"16:37:03"},{"id":151,"name":"Denver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7"/>
        <v>start /low /b %USERPROFILE%\Documents\GitHub\eaglep3\Utilities\DownloadLogsFromS3.py --loco 4043 --day 2017-06-24</v>
      </c>
      <c r="AN105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22:37:03"},{"id":29,"name":"Sharepoint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793</v>
      </c>
      <c r="B106" s="7">
        <v>4020</v>
      </c>
      <c r="C106" s="21" t="s">
        <v>202</v>
      </c>
      <c r="D106" s="21" t="s">
        <v>198</v>
      </c>
      <c r="E106" s="13">
        <v>42910.634131944447</v>
      </c>
      <c r="F106" s="13">
        <v>42910.635798611111</v>
      </c>
      <c r="G106" s="7">
        <v>1</v>
      </c>
      <c r="H106" s="21" t="s">
        <v>942</v>
      </c>
      <c r="I106" s="13">
        <v>42910.660937499997</v>
      </c>
      <c r="J106" s="7">
        <v>0</v>
      </c>
      <c r="K106" s="89" t="str">
        <f t="shared" si="35"/>
        <v>4019/4020</v>
      </c>
      <c r="L106" s="21" t="str">
        <f>VLOOKUP(A106,'Trips&amp;Operators'!$C$1:$G$99999,5,FALSE)</f>
        <v>BRUDER RICHARD</v>
      </c>
      <c r="M106" s="6">
        <f t="shared" si="36"/>
        <v>2.5138888886431232E-2</v>
      </c>
      <c r="N106" s="7">
        <f t="shared" si="49"/>
        <v>36.199999996460974</v>
      </c>
      <c r="O106" s="7"/>
      <c r="P106" s="7"/>
      <c r="Q106" s="22"/>
      <c r="R106" s="170"/>
      <c r="S106" s="213">
        <f t="shared" si="50"/>
        <v>1</v>
      </c>
      <c r="T106" s="195" t="str">
        <f t="shared" si="37"/>
        <v>NorthBound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8"/>
        <v>https://d0f6bd738d7f1b3e5a7ca70fe4ff75f0.us-east-1.aws.found.io/app/kibana#/discover/Steve-Slow-Train-Analysis-(2080s-and-2083s)?_g=(refreshInterval:(display:Off,pause:!f,section:0,value:0),time:(from:'2017-06-24T14:13:09-0600',mode:absolute,to:'2017-06-24T16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6" s="197" t="str">
        <f>IF(AA106&lt;VLOOKUP(AG106,Variables!$AC$3:$AD$8,2,FALSE),"Y","N")</f>
        <v>N</v>
      </c>
      <c r="X106" s="197">
        <f t="shared" si="39"/>
        <v>1</v>
      </c>
      <c r="Y106" s="197">
        <f t="shared" si="51"/>
        <v>4.5699999999999998E-2</v>
      </c>
      <c r="Z106" s="197">
        <f t="shared" si="52"/>
        <v>23.3324</v>
      </c>
      <c r="AA106" s="197">
        <f t="shared" si="40"/>
        <v>23.2867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41"/>
        <v>193</v>
      </c>
      <c r="AE106" s="77" t="str">
        <f t="shared" si="42"/>
        <v>aws s3 cp s3://rtdc.mdm.uploadarchive.raw/RTDC4020/ "%USERPROFILE%\AppData\Local\Temp\OnboardLogs"\RTDC4020\2017-06-24 --exclude "*" --recursive --include "*20170624*" &amp; "%USERPROFILE%\Documents\GitHub\mrs-test-scripts\Headless Mode &amp; Sideloading\WalkAndUnGZ.bat" "%USERPROFILE%\AppData\Local\Temp\OnboardLogs"\RTDC4020\2017-06-24 &amp; aws s3 cp s3://rtdc.mdm.uploadarchive.raw/RTDC4020/ "%USERPROFILE%\AppData\Local\Temp\OnboardLogs"\RTDC4020\2017-06-25 --exclude "*" --recursive --include "*20170625*" &amp; "%USERPROFILE%\Documents\GitHub\mrs-test-scripts\Headless Mode &amp; Sideloading\WalkAndUnGZ.bat" "%USERPROFILE%\AppData\Local\Temp\OnboardLogs"\RTDC4020\2017-06-25</v>
      </c>
      <c r="AF106" s="74" t="str">
        <f t="shared" si="43"/>
        <v>"C:\Program Files (x86)\AstroGrep\AstroGrep.exe" /e /r /s /spath="%USERPROFILE%\AppData\Local\Temp\OnboardLogs" /stypes="app*4020*20170624*" /stext=" 21:.+((SYSTEM_STATE.+slice.+state.+changed )|(ment ac)|(multiple cpu faults)|(system.+state.+changed )|(\[timeout)|(PRM\|1\|D)|(kpr)|(kdp)|(train st.+moving)|(\|lc)|(penalty))"</v>
      </c>
      <c r="AG106" s="209" t="str">
        <f t="shared" si="44"/>
        <v>EC</v>
      </c>
      <c r="AH106" s="78" t="str">
        <f t="shared" si="45"/>
        <v>"%USERPROFILE%\Documents\GitHub\eaglep3\Utilities\RefineRTDCRunTimes.py" --tripid 193-24 --locoid 4020 --swversion DE.1.0.9.0 --startMP 204:457 --initTime 2017-06-24T15:13:09 --startdatetime 2017-06-24T15:15:33 --delay 1 --endMP 204:233324 --enddatetime 2017-06-24T15:51:45 --enforcementcount 0 &gt;&gt;C:\Users\stu\Documents\GitHub\eaglep3-reporting\EC\2017-06-24-refined-times.txt</v>
      </c>
      <c r="AI106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{"issue":{"subject":"","project_id":79,"tracker_id":40,"status_id":1,"priority_id":2,"assigned_to_id":23,"start_date":"2017-06-24","description":"","custom_fields":[{"id":1,"name":"Subdivision","value":"EC"},{"id":4,"name":"Milepost","value":"23.3324"},{"id":17,"name":"Train ID","value":"193-24"},{"id":16,"name":"Locomotive ID","value":"4020"},{"id":130,"name":"Impact","value":""},{"id":150,"name":"Time of Event (Mountain Time)","value":"15:51:45"},{"id":151,"name":"Denver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7"/>
        <v>start /low /b %USERPROFILE%\Documents\GitHub\eaglep3\Utilities\DownloadLogsFromS3.py --loco 4020 --day 2017-06-24</v>
      </c>
      <c r="AN106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21:51:45"},{"id":29,"name":"Sharepoint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802</v>
      </c>
      <c r="B107" s="7">
        <v>4019</v>
      </c>
      <c r="C107" s="21" t="s">
        <v>202</v>
      </c>
      <c r="D107" s="21" t="s">
        <v>509</v>
      </c>
      <c r="E107" s="13">
        <v>42910.670486111114</v>
      </c>
      <c r="F107" s="13">
        <v>42910.675266203703</v>
      </c>
      <c r="G107" s="7">
        <v>1</v>
      </c>
      <c r="H107" s="21" t="s">
        <v>593</v>
      </c>
      <c r="I107" s="13">
        <v>42910.70113425926</v>
      </c>
      <c r="J107" s="7">
        <v>0</v>
      </c>
      <c r="K107" s="89" t="str">
        <f t="shared" si="35"/>
        <v>4019/4020</v>
      </c>
      <c r="L107" s="21" t="str">
        <f>VLOOKUP(A107,'Trips&amp;Operators'!$C$1:$G$99999,5,FALSE)</f>
        <v>BRUDER RICHARD</v>
      </c>
      <c r="M107" s="6">
        <f t="shared" si="36"/>
        <v>2.5868055556202307E-2</v>
      </c>
      <c r="N107" s="7">
        <f t="shared" si="49"/>
        <v>37.250000000931323</v>
      </c>
      <c r="O107" s="7"/>
      <c r="P107" s="7"/>
      <c r="Q107" s="22"/>
      <c r="R107" s="170"/>
      <c r="S107" s="213">
        <f t="shared" si="50"/>
        <v>1</v>
      </c>
      <c r="T107" s="195" t="str">
        <f t="shared" si="37"/>
        <v>Southbound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8"/>
        <v>https://d0f6bd738d7f1b3e5a7ca70fe4ff75f0.us-east-1.aws.found.io/app/kibana#/discover/Steve-Slow-Train-Analysis-(2080s-and-2083s)?_g=(refreshInterval:(display:Off,pause:!f,section:0,value:0),time:(from:'2017-06-24T15:05:30-0600',mode:absolute,to:'2017-06-24T17:49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7" s="197" t="str">
        <f>IF(AA107&lt;VLOOKUP(AG107,Variables!$AC$3:$AD$8,2,FALSE),"Y","N")</f>
        <v>N</v>
      </c>
      <c r="X107" s="197">
        <f t="shared" si="39"/>
        <v>1</v>
      </c>
      <c r="Y107" s="197">
        <f t="shared" si="51"/>
        <v>23.3</v>
      </c>
      <c r="Z107" s="197">
        <f t="shared" si="52"/>
        <v>1.6299999999999999E-2</v>
      </c>
      <c r="AA107" s="197">
        <f t="shared" si="40"/>
        <v>23.2837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41"/>
        <v>194</v>
      </c>
      <c r="AE107" s="77" t="str">
        <f t="shared" si="42"/>
        <v>aws s3 cp s3://rtdc.mdm.uploadarchive.raw/RTDC4019/ "%USERPROFILE%\AppData\Local\Temp\OnboardLogs"\RTDC4019\2017-06-24 --exclude "*" --recursive --include "*20170624*" &amp; "%USERPROFILE%\Documents\GitHub\mrs-test-scripts\Headless Mode &amp; Sideloading\WalkAndUnGZ.bat" "%USERPROFILE%\AppData\Local\Temp\OnboardLogs"\RTDC4019\2017-06-24 &amp; aws s3 cp s3://rtdc.mdm.uploadarchive.raw/RTDC4019/ "%USERPROFILE%\AppData\Local\Temp\OnboardLogs"\RTDC4019\2017-06-25 --exclude "*" --recursive --include "*20170625*" &amp; "%USERPROFILE%\Documents\GitHub\mrs-test-scripts\Headless Mode &amp; Sideloading\WalkAndUnGZ.bat" "%USERPROFILE%\AppData\Local\Temp\OnboardLogs"\RTDC4019\2017-06-25</v>
      </c>
      <c r="AF107" s="74" t="str">
        <f t="shared" si="43"/>
        <v>"C:\Program Files (x86)\AstroGrep\AstroGrep.exe" /e /r /s /spath="%USERPROFILE%\AppData\Local\Temp\OnboardLogs" /stypes="app*4019*20170624*" /stext=" 22:.+((SYSTEM_STATE.+slice.+state.+changed )|(ment ac)|(multiple cpu faults)|(system.+state.+changed )|(\[timeout)|(PRM\|1\|D)|(kpr)|(kdp)|(train st.+moving)|(\|lc)|(penalty))"</v>
      </c>
      <c r="AG107" s="209" t="str">
        <f t="shared" si="44"/>
        <v>EC</v>
      </c>
      <c r="AH107" s="78" t="str">
        <f t="shared" si="45"/>
        <v>"%USERPROFILE%\Documents\GitHub\eaglep3\Utilities\RefineRTDCRunTimes.py" --tripid 194-24 --locoid 4019 --swversion DE.1.0.9.0 --startMP 204:233000 --initTime 2017-06-24T16:05:30 --startdatetime 2017-06-24T16:12:23 --delay 1 --endMP 204:163 --enddatetime 2017-06-24T16:49:38 --enforcementcount 0 &gt;&gt;C:\Users\stu\Documents\GitHub\eaglep3-reporting\EC\2017-06-24-refined-times.txt</v>
      </c>
      <c r="AI107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{"issue":{"subject":"","project_id":79,"tracker_id":40,"status_id":1,"priority_id":2,"assigned_to_id":23,"start_date":"2017-06-24","description":"","custom_fields":[{"id":1,"name":"Subdivision","value":"EC"},{"id":4,"name":"Milepost","value":"0.0163"},{"id":17,"name":"Train ID","value":"194-24"},{"id":16,"name":"Locomotive ID","value":"4019"},{"id":130,"name":"Impact","value":""},{"id":150,"name":"Time of Event (Mountain Time)","value":"16:49:38"},{"id":151,"name":"Denver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7"/>
        <v>start /low /b %USERPROFILE%\Documents\GitHub\eaglep3\Utilities\DownloadLogsFromS3.py --loco 4019 --day 2017-06-24</v>
      </c>
      <c r="AN107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22:49:38"},{"id":29,"name":"Sharepoint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795</v>
      </c>
      <c r="B108" s="7">
        <v>4004</v>
      </c>
      <c r="C108" s="21" t="s">
        <v>202</v>
      </c>
      <c r="D108" s="21" t="s">
        <v>355</v>
      </c>
      <c r="E108" s="13">
        <v>42910.642048611109</v>
      </c>
      <c r="F108" s="13">
        <v>42910.645983796298</v>
      </c>
      <c r="G108" s="7">
        <v>1</v>
      </c>
      <c r="H108" s="21" t="s">
        <v>943</v>
      </c>
      <c r="I108" s="13">
        <v>42910.6716087963</v>
      </c>
      <c r="J108" s="7">
        <v>0</v>
      </c>
      <c r="K108" s="89" t="str">
        <f t="shared" si="35"/>
        <v>4003/4004</v>
      </c>
      <c r="L108" s="21" t="str">
        <f>VLOOKUP(A108,'Trips&amp;Operators'!$C$1:$G$99999,5,FALSE)</f>
        <v>SULLIVAN BRANDON</v>
      </c>
      <c r="M108" s="6">
        <f t="shared" si="36"/>
        <v>2.5625000002037268E-2</v>
      </c>
      <c r="N108" s="7">
        <f t="shared" si="49"/>
        <v>36.900000002933666</v>
      </c>
      <c r="O108" s="7"/>
      <c r="P108" s="7"/>
      <c r="Q108" s="22"/>
      <c r="R108" s="170"/>
      <c r="S108" s="213">
        <f t="shared" si="50"/>
        <v>1</v>
      </c>
      <c r="T108" s="195" t="str">
        <f t="shared" si="37"/>
        <v>NorthBound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8"/>
        <v>https://d0f6bd738d7f1b3e5a7ca70fe4ff75f0.us-east-1.aws.found.io/app/kibana#/discover/Steve-Slow-Train-Analysis-(2080s-and-2083s)?_g=(refreshInterval:(display:Off,pause:!f,section:0,value:0),time:(from:'2017-06-24T14:24:33-0600',mode:absolute,to:'2017-06-24T17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8" s="197" t="str">
        <f>IF(AA108&lt;VLOOKUP(AG108,Variables!$AC$3:$AD$8,2,FALSE),"Y","N")</f>
        <v>N</v>
      </c>
      <c r="X108" s="197">
        <f t="shared" si="39"/>
        <v>1</v>
      </c>
      <c r="Y108" s="197">
        <f t="shared" si="51"/>
        <v>4.4699999999999997E-2</v>
      </c>
      <c r="Z108" s="197">
        <f t="shared" si="52"/>
        <v>23.335699999999999</v>
      </c>
      <c r="AA108" s="197">
        <f t="shared" si="40"/>
        <v>23.291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41"/>
        <v>195</v>
      </c>
      <c r="AE108" s="77" t="str">
        <f t="shared" si="42"/>
        <v>aws s3 cp s3://rtdc.mdm.uploadarchive.raw/RTDC4004/ "%USERPROFILE%\AppData\Local\Temp\OnboardLogs"\RTDC4004\2017-06-24 --exclude "*" --recursive --include "*20170624*" &amp; "%USERPROFILE%\Documents\GitHub\mrs-test-scripts\Headless Mode &amp; Sideloading\WalkAndUnGZ.bat" "%USERPROFILE%\AppData\Local\Temp\OnboardLogs"\RTDC4004\2017-06-24 &amp; aws s3 cp s3://rtdc.mdm.uploadarchive.raw/RTDC4004/ "%USERPROFILE%\AppData\Local\Temp\OnboardLogs"\RTDC4004\2017-06-25 --exclude "*" --recursive --include "*20170625*" &amp; "%USERPROFILE%\Documents\GitHub\mrs-test-scripts\Headless Mode &amp; Sideloading\WalkAndUnGZ.bat" "%USERPROFILE%\AppData\Local\Temp\OnboardLogs"\RTDC4004\2017-06-25</v>
      </c>
      <c r="AF108" s="74" t="str">
        <f t="shared" si="43"/>
        <v>"C:\Program Files (x86)\AstroGrep\AstroGrep.exe" /e /r /s /spath="%USERPROFILE%\AppData\Local\Temp\OnboardLogs" /stypes="app*4004*20170624*" /stext=" 22:.+((SYSTEM_STATE.+slice.+state.+changed )|(ment ac)|(multiple cpu faults)|(system.+state.+changed )|(\[timeout)|(PRM\|1\|D)|(kpr)|(kdp)|(train st.+moving)|(\|lc)|(penalty))"</v>
      </c>
      <c r="AG108" s="209" t="str">
        <f t="shared" si="44"/>
        <v>EC</v>
      </c>
      <c r="AH108" s="78" t="str">
        <f t="shared" si="45"/>
        <v>"%USERPROFILE%\Documents\GitHub\eaglep3\Utilities\RefineRTDCRunTimes.py" --tripid 195-24 --locoid 4004 --swversion DE.1.0.9.0 --startMP 204:447 --initTime 2017-06-24T15:24:33 --startdatetime 2017-06-24T15:30:13 --delay 1 --endMP 204:233357 --enddatetime 2017-06-24T16:07:07 --enforcementcount 0 &gt;&gt;C:\Users\stu\Documents\GitHub\eaglep3-reporting\EC\2017-06-24-refined-times.txt</v>
      </c>
      <c r="AI108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{"issue":{"subject":"","project_id":79,"tracker_id":40,"status_id":1,"priority_id":2,"assigned_to_id":23,"start_date":"2017-06-24","description":"","custom_fields":[{"id":1,"name":"Subdivision","value":"EC"},{"id":4,"name":"Milepost","value":"23.3357"},{"id":17,"name":"Train ID","value":"195-24"},{"id":16,"name":"Locomotive ID","value":"4004"},{"id":130,"name":"Impact","value":""},{"id":150,"name":"Time of Event (Mountain Time)","value":"16:07:07"},{"id":151,"name":"Denver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7"/>
        <v>start /low /b %USERPROFILE%\Documents\GitHub\eaglep3\Utilities\DownloadLogsFromS3.py --loco 4004 --day 2017-06-24</v>
      </c>
      <c r="AN108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22:07:07"},{"id":29,"name":"Sharepoint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650</v>
      </c>
      <c r="B109" s="7">
        <v>4003</v>
      </c>
      <c r="C109" s="21" t="s">
        <v>202</v>
      </c>
      <c r="D109" s="21" t="s">
        <v>944</v>
      </c>
      <c r="E109" s="13">
        <v>42910.678611111114</v>
      </c>
      <c r="F109" s="13">
        <v>42910.685636574075</v>
      </c>
      <c r="G109" s="7">
        <v>1</v>
      </c>
      <c r="H109" s="21" t="s">
        <v>394</v>
      </c>
      <c r="I109" s="13">
        <v>42910.714606481481</v>
      </c>
      <c r="J109" s="7">
        <v>0</v>
      </c>
      <c r="K109" s="89" t="str">
        <f t="shared" si="35"/>
        <v>4003/4004</v>
      </c>
      <c r="L109" s="21" t="str">
        <f>VLOOKUP(A109,'Trips&amp;Operators'!$C$1:$G$99999,5,FALSE)</f>
        <v>SULLIVAN BRANDON</v>
      </c>
      <c r="M109" s="6">
        <f t="shared" si="36"/>
        <v>2.8969907405553386E-2</v>
      </c>
      <c r="N109" s="7">
        <f t="shared" si="49"/>
        <v>41.716666663996875</v>
      </c>
      <c r="O109" s="7"/>
      <c r="P109" s="7"/>
      <c r="Q109" s="22"/>
      <c r="R109" s="170"/>
      <c r="S109" s="213">
        <f t="shared" si="50"/>
        <v>1</v>
      </c>
      <c r="T109" s="195" t="str">
        <f t="shared" si="37"/>
        <v>Southbound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8"/>
        <v>https://d0f6bd738d7f1b3e5a7ca70fe4ff75f0.us-east-1.aws.found.io/app/kibana#/discover/Steve-Slow-Train-Analysis-(2080s-and-2083s)?_g=(refreshInterval:(display:Off,pause:!f,section:0,value:0),time:(from:'2017-06-24T15:17:12-0600',mode:absolute,to:'2017-06-24T18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9" s="197" t="str">
        <f>IF(AA109&lt;VLOOKUP(AG109,Variables!$AC$3:$AD$8,2,FALSE),"Y","N")</f>
        <v>N</v>
      </c>
      <c r="X109" s="197">
        <f t="shared" ref="X109:X124" si="53">VALUE(LEFT(AD109,4))-VALUE(LEFT(AD108,4))</f>
        <v>1</v>
      </c>
      <c r="Y109" s="197">
        <f t="shared" si="51"/>
        <v>23.303599999999999</v>
      </c>
      <c r="Z109" s="197">
        <f t="shared" si="52"/>
        <v>1.54E-2</v>
      </c>
      <c r="AA109" s="197">
        <f t="shared" si="40"/>
        <v>23.2882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41"/>
        <v>196</v>
      </c>
      <c r="AE109" s="77" t="str">
        <f t="shared" si="42"/>
        <v>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 &amp; aws s3 cp s3://rtdc.mdm.uploadarchive.raw/RTDC4003/ "%USERPROFILE%\AppData\Local\Temp\OnboardLogs"\RTDC4003\2017-06-25 --exclude "*" --recursive --include "*20170625*" &amp; "%USERPROFILE%\Documents\GitHub\mrs-test-scripts\Headless Mode &amp; Sideloading\WalkAndUnGZ.bat" "%USERPROFILE%\AppData\Local\Temp\OnboardLogs"\RTDC4003\2017-06-25</v>
      </c>
      <c r="AF109" s="74" t="str">
        <f t="shared" si="43"/>
        <v>"C:\Program Files (x86)\AstroGrep\AstroGrep.exe" /e /r /s /spath="%USERPROFILE%\AppData\Local\Temp\OnboardLogs" /stypes="app*4003*20170624*" /stext=" 23:.+((SYSTEM_STATE.+slice.+state.+changed )|(ment ac)|(multiple cpu faults)|(system.+state.+changed )|(\[timeout)|(PRM\|1\|D)|(kpr)|(kdp)|(train st.+moving)|(\|lc)|(penalty))"</v>
      </c>
      <c r="AG109" s="209" t="str">
        <f t="shared" si="44"/>
        <v>EC</v>
      </c>
      <c r="AH109" s="78" t="str">
        <f t="shared" si="45"/>
        <v>"%USERPROFILE%\Documents\GitHub\eaglep3\Utilities\RefineRTDCRunTimes.py" --tripid 196-24 --locoid 4003 --swversion DE.1.0.9.0 --startMP 204:233036 --initTime 2017-06-24T16:17:12 --startdatetime 2017-06-24T16:27:19 --delay 1 --endMP 204:154 --enddatetime 2017-06-24T17:09:02 --enforcementcount 0 &gt;&gt;C:\Users\stu\Documents\GitHub\eaglep3-reporting\EC\2017-06-24-refined-times.txt</v>
      </c>
      <c r="AI109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{"issue":{"subject":"","project_id":79,"tracker_id":40,"status_id":1,"priority_id":2,"assigned_to_id":23,"start_date":"2017-06-24","description":"","custom_fields":[{"id":1,"name":"Subdivision","value":"EC"},{"id":4,"name":"Milepost","value":"0.0154"},{"id":17,"name":"Train ID","value":"196-24"},{"id":16,"name":"Locomotive ID","value":"4003"},{"id":130,"name":"Impact","value":""},{"id":150,"name":"Time of Event (Mountain Time)","value":"17:09:02"},{"id":151,"name":"Denver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7"/>
        <v>start /low /b %USERPROFILE%\Documents\GitHub\eaglep3\Utilities\DownloadLogsFromS3.py --loco 4003 --day 2017-06-24</v>
      </c>
      <c r="AN109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23:09:02"},{"id":29,"name":"Sharepoint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798</v>
      </c>
      <c r="B110" s="7">
        <v>4014</v>
      </c>
      <c r="C110" s="21" t="s">
        <v>202</v>
      </c>
      <c r="D110" s="21" t="s">
        <v>449</v>
      </c>
      <c r="E110" s="13">
        <v>42910.652928240743</v>
      </c>
      <c r="F110" s="13">
        <v>42910.656423611108</v>
      </c>
      <c r="G110" s="7">
        <v>1</v>
      </c>
      <c r="H110" s="21" t="s">
        <v>945</v>
      </c>
      <c r="I110" s="13">
        <v>42910.681354166663</v>
      </c>
      <c r="J110" s="7">
        <v>0</v>
      </c>
      <c r="K110" s="89" t="str">
        <f t="shared" si="35"/>
        <v>4013/4014</v>
      </c>
      <c r="L110" s="21" t="str">
        <f>VLOOKUP(A110,'Trips&amp;Operators'!$C$1:$G$99999,5,FALSE)</f>
        <v>DELGADO DIANAH</v>
      </c>
      <c r="M110" s="6">
        <f t="shared" si="36"/>
        <v>2.4930555555329192E-2</v>
      </c>
      <c r="N110" s="7">
        <f t="shared" si="49"/>
        <v>35.899999999674037</v>
      </c>
      <c r="O110" s="7"/>
      <c r="P110" s="7"/>
      <c r="Q110" s="22"/>
      <c r="R110" s="170"/>
      <c r="S110" s="213">
        <f t="shared" si="50"/>
        <v>1</v>
      </c>
      <c r="T110" s="195" t="str">
        <f t="shared" si="37"/>
        <v>NorthBound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8"/>
        <v>https://d0f6bd738d7f1b3e5a7ca70fe4ff75f0.us-east-1.aws.found.io/app/kibana#/discover/Steve-Slow-Train-Analysis-(2080s-and-2083s)?_g=(refreshInterval:(display:Off,pause:!f,section:0,value:0),time:(from:'2017-06-24T14:40:13-0600',mode:absolute,to:'2017-06-24T17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0" s="197" t="str">
        <f>IF(AA110&lt;VLOOKUP(AG110,Variables!$AC$3:$AD$8,2,FALSE),"Y","N")</f>
        <v>N</v>
      </c>
      <c r="X110" s="197">
        <f t="shared" si="53"/>
        <v>1</v>
      </c>
      <c r="Y110" s="197">
        <f t="shared" si="51"/>
        <v>4.4200000000000003E-2</v>
      </c>
      <c r="Z110" s="197">
        <f t="shared" si="52"/>
        <v>23.3416</v>
      </c>
      <c r="AA110" s="197">
        <f t="shared" si="40"/>
        <v>23.2974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41"/>
        <v>197</v>
      </c>
      <c r="AE110" s="77" t="str">
        <f t="shared" si="42"/>
        <v>aws s3 cp s3://rtdc.mdm.uploadarchive.raw/RTDC4014/ "%USERPROFILE%\AppData\Local\Temp\OnboardLogs"\RTDC4014\2017-06-24 --exclude "*" --recursive --include "*20170624*" &amp; "%USERPROFILE%\Documents\GitHub\mrs-test-scripts\Headless Mode &amp; Sideloading\WalkAndUnGZ.bat" "%USERPROFILE%\AppData\Local\Temp\OnboardLogs"\RTDC4014\2017-06-24 &amp; aws s3 cp s3://rtdc.mdm.uploadarchive.raw/RTDC4014/ "%USERPROFILE%\AppData\Local\Temp\OnboardLogs"\RTDC4014\2017-06-25 --exclude "*" --recursive --include "*20170625*" &amp; "%USERPROFILE%\Documents\GitHub\mrs-test-scripts\Headless Mode &amp; Sideloading\WalkAndUnGZ.bat" "%USERPROFILE%\AppData\Local\Temp\OnboardLogs"\RTDC4014\2017-06-25</v>
      </c>
      <c r="AF110" s="74" t="str">
        <f t="shared" si="43"/>
        <v>"C:\Program Files (x86)\AstroGrep\AstroGrep.exe" /e /r /s /spath="%USERPROFILE%\AppData\Local\Temp\OnboardLogs" /stypes="app*4014*20170624*" /stext=" 22:.+((SYSTEM_STATE.+slice.+state.+changed )|(ment ac)|(multiple cpu faults)|(system.+state.+changed )|(\[timeout)|(PRM\|1\|D)|(kpr)|(kdp)|(train st.+moving)|(\|lc)|(penalty))"</v>
      </c>
      <c r="AG110" s="209" t="str">
        <f t="shared" si="44"/>
        <v>EC</v>
      </c>
      <c r="AH110" s="78" t="str">
        <f t="shared" si="45"/>
        <v>"%USERPROFILE%\Documents\GitHub\eaglep3\Utilities\RefineRTDCRunTimes.py" --tripid 197-24 --locoid 4014 --swversion DE.1.0.9.0 --startMP 204:442 --initTime 2017-06-24T15:40:13 --startdatetime 2017-06-24T15:45:15 --delay 1 --endMP 204:233416 --enddatetime 2017-06-24T16:21:09 --enforcementcount 0 &gt;&gt;C:\Users\stu\Documents\GitHub\eaglep3-reporting\EC\2017-06-24-refined-times.txt</v>
      </c>
      <c r="AI110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{"issue":{"subject":"","project_id":79,"tracker_id":40,"status_id":1,"priority_id":2,"assigned_to_id":23,"start_date":"2017-06-24","description":"","custom_fields":[{"id":1,"name":"Subdivision","value":"EC"},{"id":4,"name":"Milepost","value":"23.3416"},{"id":17,"name":"Train ID","value":"197-24"},{"id":16,"name":"Locomotive ID","value":"4014"},{"id":130,"name":"Impact","value":""},{"id":150,"name":"Time of Event (Mountain Time)","value":"16:21:09"},{"id":151,"name":"Denver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7"/>
        <v>start /low /b %USERPROFILE%\Documents\GitHub\eaglep3\Utilities\DownloadLogsFromS3.py --loco 4014 --day 2017-06-24</v>
      </c>
      <c r="AN110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22:21:09"},{"id":29,"name":"Sharepoint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805</v>
      </c>
      <c r="B111" s="7">
        <v>4013</v>
      </c>
      <c r="C111" s="21" t="s">
        <v>202</v>
      </c>
      <c r="D111" s="21" t="s">
        <v>538</v>
      </c>
      <c r="E111" s="13">
        <v>42910.685196759259</v>
      </c>
      <c r="F111" s="13">
        <v>42910.696006944447</v>
      </c>
      <c r="G111" s="7">
        <v>3</v>
      </c>
      <c r="H111" s="21" t="s">
        <v>358</v>
      </c>
      <c r="I111" s="13">
        <v>42910.722071759257</v>
      </c>
      <c r="J111" s="7">
        <v>0</v>
      </c>
      <c r="K111" s="89" t="str">
        <f t="shared" si="35"/>
        <v>4013/4014</v>
      </c>
      <c r="L111" s="21" t="str">
        <f>VLOOKUP(A111,'Trips&amp;Operators'!$C$1:$G$99999,5,FALSE)</f>
        <v>DELGADO DIANAH</v>
      </c>
      <c r="M111" s="6">
        <f t="shared" si="36"/>
        <v>2.6064814810524695E-2</v>
      </c>
      <c r="N111" s="7">
        <f t="shared" si="49"/>
        <v>37.53333332715556</v>
      </c>
      <c r="O111" s="7"/>
      <c r="P111" s="7"/>
      <c r="Q111" s="22"/>
      <c r="R111" s="170"/>
      <c r="S111" s="213">
        <f t="shared" si="50"/>
        <v>1</v>
      </c>
      <c r="T111" s="195" t="str">
        <f t="shared" si="37"/>
        <v>Southbound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8"/>
        <v>https://d0f6bd738d7f1b3e5a7ca70fe4ff75f0.us-east-1.aws.found.io/app/kibana#/discover/Steve-Slow-Train-Analysis-(2080s-and-2083s)?_g=(refreshInterval:(display:Off,pause:!f,section:0,value:0),time:(from:'2017-06-24T15:26:41-0600',mode:absolute,to:'2017-06-24T18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1" s="197" t="str">
        <f>IF(AA111&lt;VLOOKUP(AG111,Variables!$AC$3:$AD$8,2,FALSE),"Y","N")</f>
        <v>N</v>
      </c>
      <c r="X111" s="197">
        <f t="shared" si="53"/>
        <v>1</v>
      </c>
      <c r="Y111" s="197">
        <f t="shared" si="51"/>
        <v>23.305900000000001</v>
      </c>
      <c r="Z111" s="197">
        <f t="shared" si="52"/>
        <v>1.41E-2</v>
      </c>
      <c r="AA111" s="197">
        <f t="shared" si="40"/>
        <v>23.291800000000002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41"/>
        <v>198</v>
      </c>
      <c r="AE111" s="77" t="str">
        <f t="shared" si="42"/>
        <v>aws s3 cp s3://rtdc.mdm.uploadarchive.raw/RTDC4013/ "%USERPROFILE%\AppData\Local\Temp\OnboardLogs"\RTDC4013\2017-06-24 --exclude "*" --recursive --include "*20170624*" &amp; "%USERPROFILE%\Documents\GitHub\mrs-test-scripts\Headless Mode &amp; Sideloading\WalkAndUnGZ.bat" "%USERPROFILE%\AppData\Local\Temp\OnboardLogs"\RTDC4013\2017-06-24 &amp; aws s3 cp s3://rtdc.mdm.uploadarchive.raw/RTDC4013/ "%USERPROFILE%\AppData\Local\Temp\OnboardLogs"\RTDC4013\2017-06-25 --exclude "*" --recursive --include "*20170625*" &amp; "%USERPROFILE%\Documents\GitHub\mrs-test-scripts\Headless Mode &amp; Sideloading\WalkAndUnGZ.bat" "%USERPROFILE%\AppData\Local\Temp\OnboardLogs"\RTDC4013\2017-06-25</v>
      </c>
      <c r="AF111" s="74" t="str">
        <f t="shared" si="43"/>
        <v>"C:\Program Files (x86)\AstroGrep\AstroGrep.exe" /e /r /s /spath="%USERPROFILE%\AppData\Local\Temp\OnboardLogs" /stypes="app*4013*20170624*" /stext=" 23:.+((SYSTEM_STATE.+slice.+state.+changed )|(ment ac)|(multiple cpu faults)|(system.+state.+changed )|(\[timeout)|(PRM\|1\|D)|(kpr)|(kdp)|(train st.+moving)|(\|lc)|(penalty))"</v>
      </c>
      <c r="AG111" s="209" t="str">
        <f t="shared" si="44"/>
        <v>EC</v>
      </c>
      <c r="AH111" s="78" t="str">
        <f t="shared" si="45"/>
        <v>"%USERPROFILE%\Documents\GitHub\eaglep3\Utilities\RefineRTDCRunTimes.py" --tripid 198-24 --locoid 4013 --swversion DE.1.0.9.0 --startMP 204:233059 --initTime 2017-06-24T16:26:41 --startdatetime 2017-06-24T16:42:15 --delay 3 --endMP 204:141 --enddatetime 2017-06-24T17:19:47 --enforcementcount 0 &gt;&gt;C:\Users\stu\Documents\GitHub\eaglep3-reporting\EC\2017-06-24-refined-times.txt</v>
      </c>
      <c r="AI111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{"issue":{"subject":"","project_id":79,"tracker_id":40,"status_id":1,"priority_id":2,"assigned_to_id":23,"start_date":"2017-06-24","description":"","custom_fields":[{"id":1,"name":"Subdivision","value":"EC"},{"id":4,"name":"Milepost","value":"0.0141"},{"id":17,"name":"Train ID","value":"198-24"},{"id":16,"name":"Locomotive ID","value":"4013"},{"id":130,"name":"Impact","value":""},{"id":150,"name":"Time of Event (Mountain Time)","value":"17:19:47"},{"id":151,"name":"Denver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7"/>
        <v>start /low /b %USERPROFILE%\Documents\GitHub\eaglep3\Utilities\DownloadLogsFromS3.py --loco 4013 --day 2017-06-24</v>
      </c>
      <c r="AN111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23:19:47"},{"id":29,"name":"Sharepoint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800</v>
      </c>
      <c r="B112" s="7">
        <v>4042</v>
      </c>
      <c r="C112" s="21" t="s">
        <v>202</v>
      </c>
      <c r="D112" s="21" t="s">
        <v>343</v>
      </c>
      <c r="E112" s="13">
        <v>42910.664375</v>
      </c>
      <c r="F112" s="13">
        <v>42910.666828703703</v>
      </c>
      <c r="G112" s="7">
        <v>1</v>
      </c>
      <c r="H112" s="21" t="s">
        <v>895</v>
      </c>
      <c r="I112" s="13">
        <v>42910.692303240743</v>
      </c>
      <c r="J112" s="7">
        <v>0</v>
      </c>
      <c r="K112" s="89" t="str">
        <f t="shared" si="35"/>
        <v>4041/4042</v>
      </c>
      <c r="L112" s="21" t="str">
        <f>VLOOKUP(A112,'Trips&amp;Operators'!$C$1:$G$99999,5,FALSE)</f>
        <v>BROWN JACOB</v>
      </c>
      <c r="M112" s="6">
        <f t="shared" si="36"/>
        <v>2.5474537040281575E-2</v>
      </c>
      <c r="N112" s="7">
        <f t="shared" si="49"/>
        <v>36.683333338005468</v>
      </c>
      <c r="O112" s="7"/>
      <c r="P112" s="7"/>
      <c r="Q112" s="22"/>
      <c r="R112" s="170"/>
      <c r="S112" s="213">
        <f t="shared" si="50"/>
        <v>1</v>
      </c>
      <c r="T112" s="195" t="str">
        <f t="shared" si="37"/>
        <v>NorthBound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8"/>
        <v>https://d0f6bd738d7f1b3e5a7ca70fe4ff75f0.us-east-1.aws.found.io/app/kibana#/discover/Steve-Slow-Train-Analysis-(2080s-and-2083s)?_g=(refreshInterval:(display:Off,pause:!f,section:0,value:0),time:(from:'2017-06-24T14:56:42-0600',mode:absolute,to:'2017-06-24T17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2" s="197" t="str">
        <f>IF(AA112&lt;VLOOKUP(AG112,Variables!$AC$3:$AD$8,2,FALSE),"Y","N")</f>
        <v>N</v>
      </c>
      <c r="X112" s="197">
        <f t="shared" si="53"/>
        <v>1</v>
      </c>
      <c r="Y112" s="197">
        <f t="shared" si="51"/>
        <v>4.4900000000000002E-2</v>
      </c>
      <c r="Z112" s="197">
        <f t="shared" si="52"/>
        <v>23.330200000000001</v>
      </c>
      <c r="AA112" s="197">
        <f t="shared" si="40"/>
        <v>23.285300000000003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41"/>
        <v>199</v>
      </c>
      <c r="AE112" s="77" t="str">
        <f t="shared" si="42"/>
        <v>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 &amp; 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</v>
      </c>
      <c r="AF112" s="74" t="str">
        <f t="shared" si="43"/>
        <v>"C:\Program Files (x86)\AstroGrep\AstroGrep.exe" /e /r /s /spath="%USERPROFILE%\AppData\Local\Temp\OnboardLogs" /stypes="app*4042*20170624*" /stext=" 22:.+((SYSTEM_STATE.+slice.+state.+changed )|(ment ac)|(multiple cpu faults)|(system.+state.+changed )|(\[timeout)|(PRM\|1\|D)|(kpr)|(kdp)|(train st.+moving)|(\|lc)|(penalty))"</v>
      </c>
      <c r="AG112" s="209" t="str">
        <f t="shared" si="44"/>
        <v>EC</v>
      </c>
      <c r="AH112" s="78" t="str">
        <f t="shared" si="45"/>
        <v>"%USERPROFILE%\Documents\GitHub\eaglep3\Utilities\RefineRTDCRunTimes.py" --tripid 199-24 --locoid 4042 --swversion DE.1.0.9.0 --startMP 204:449 --initTime 2017-06-24T15:56:42 --startdatetime 2017-06-24T16:00:14 --delay 1 --endMP 204:233302 --enddatetime 2017-06-24T16:36:55 --enforcementcount 0 &gt;&gt;C:\Users\stu\Documents\GitHub\eaglep3-reporting\EC\2017-06-24-refined-times.txt</v>
      </c>
      <c r="AI112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{"issue":{"subject":"","project_id":79,"tracker_id":40,"status_id":1,"priority_id":2,"assigned_to_id":23,"start_date":"2017-06-24","description":"","custom_fields":[{"id":1,"name":"Subdivision","value":"EC"},{"id":4,"name":"Milepost","value":"23.3302"},{"id":17,"name":"Train ID","value":"199-24"},{"id":16,"name":"Locomotive ID","value":"4042"},{"id":130,"name":"Impact","value":""},{"id":150,"name":"Time of Event (Mountain Time)","value":"16:36:55"},{"id":151,"name":"Denver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7"/>
        <v>start /low /b %USERPROFILE%\Documents\GitHub\eaglep3\Utilities\DownloadLogsFromS3.py --loco 4042 --day 2017-06-24</v>
      </c>
      <c r="AN112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22:36:55"},{"id":29,"name":"Sharepoint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808</v>
      </c>
      <c r="B113" s="7">
        <v>4041</v>
      </c>
      <c r="C113" s="21" t="s">
        <v>202</v>
      </c>
      <c r="D113" s="21" t="s">
        <v>946</v>
      </c>
      <c r="E113" s="13">
        <v>42910.701643518521</v>
      </c>
      <c r="F113" s="13">
        <v>42910.706493055557</v>
      </c>
      <c r="G113" s="7">
        <v>1</v>
      </c>
      <c r="H113" s="21" t="s">
        <v>193</v>
      </c>
      <c r="I113" s="13">
        <v>42910.735486111109</v>
      </c>
      <c r="J113" s="7">
        <v>0</v>
      </c>
      <c r="K113" s="89" t="str">
        <f t="shared" si="35"/>
        <v>4041/4042</v>
      </c>
      <c r="L113" s="21" t="str">
        <f>VLOOKUP(A113,'Trips&amp;Operators'!$C$1:$G$99999,5,FALSE)</f>
        <v>BROWN JACOB</v>
      </c>
      <c r="M113" s="6">
        <f t="shared" si="36"/>
        <v>2.8993055551836733E-2</v>
      </c>
      <c r="N113" s="7">
        <f t="shared" si="49"/>
        <v>41.749999994644895</v>
      </c>
      <c r="O113" s="7"/>
      <c r="P113" s="7"/>
      <c r="Q113" s="22"/>
      <c r="R113" s="170"/>
      <c r="S113" s="213">
        <f t="shared" si="50"/>
        <v>1</v>
      </c>
      <c r="T113" s="195" t="str">
        <f t="shared" si="37"/>
        <v>Southbound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8"/>
        <v>https://d0f6bd738d7f1b3e5a7ca70fe4ff75f0.us-east-1.aws.found.io/app/kibana#/discover/Steve-Slow-Train-Analysis-(2080s-and-2083s)?_g=(refreshInterval:(display:Off,pause:!f,section:0,value:0),time:(from:'2017-06-24T15:50:22-0600',mode:absolute,to:'2017-06-24T18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3" s="197" t="str">
        <f>IF(AA113&lt;VLOOKUP(AG113,Variables!$AC$3:$AD$8,2,FALSE),"Y","N")</f>
        <v>N</v>
      </c>
      <c r="X113" s="197">
        <f t="shared" si="53"/>
        <v>1</v>
      </c>
      <c r="Y113" s="197">
        <f t="shared" si="51"/>
        <v>23.2974</v>
      </c>
      <c r="Z113" s="197">
        <f t="shared" si="52"/>
        <v>1.52E-2</v>
      </c>
      <c r="AA113" s="197">
        <f t="shared" si="40"/>
        <v>23.2822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41"/>
        <v>200</v>
      </c>
      <c r="AE113" s="77" t="str">
        <f t="shared" si="42"/>
        <v>aws s3 cp s3://rtdc.mdm.uploadarchive.raw/RTDC4041/ "%USERPROFILE%\AppData\Local\Temp\OnboardLogs"\RTDC4041\2017-06-24 --exclude "*" --recursive --include "*20170624*" &amp; "%USERPROFILE%\Documents\GitHub\mrs-test-scripts\Headless Mode &amp; Sideloading\WalkAndUnGZ.bat" "%USERPROFILE%\AppData\Local\Temp\OnboardLogs"\RTDC4041\2017-06-24 &amp; aws s3 cp s3://rtdc.mdm.uploadarchive.raw/RTDC4041/ "%USERPROFILE%\AppData\Local\Temp\OnboardLogs"\RTDC4041\2017-06-25 --exclude "*" --recursive --include "*20170625*" &amp; "%USERPROFILE%\Documents\GitHub\mrs-test-scripts\Headless Mode &amp; Sideloading\WalkAndUnGZ.bat" "%USERPROFILE%\AppData\Local\Temp\OnboardLogs"\RTDC4041\2017-06-25</v>
      </c>
      <c r="AF113" s="74" t="str">
        <f t="shared" si="43"/>
        <v>"C:\Program Files (x86)\AstroGrep\AstroGrep.exe" /e /r /s /spath="%USERPROFILE%\AppData\Local\Temp\OnboardLogs" /stypes="app*4041*20170624*" /stext=" 23:.+((SYSTEM_STATE.+slice.+state.+changed )|(ment ac)|(multiple cpu faults)|(system.+state.+changed )|(\[timeout)|(PRM\|1\|D)|(kpr)|(kdp)|(train st.+moving)|(\|lc)|(penalty))"</v>
      </c>
      <c r="AG113" s="209" t="str">
        <f t="shared" si="44"/>
        <v>EC</v>
      </c>
      <c r="AH113" s="78" t="str">
        <f t="shared" si="45"/>
        <v>"%USERPROFILE%\Documents\GitHub\eaglep3\Utilities\RefineRTDCRunTimes.py" --tripid 200-24 --locoid 4041 --swversion DE.1.0.9.0 --startMP 204:232974 --initTime 2017-06-24T16:50:22 --startdatetime 2017-06-24T16:57:21 --delay 1 --endMP 204:152 --enddatetime 2017-06-24T17:39:06 --enforcementcount 0 &gt;&gt;C:\Users\stu\Documents\GitHub\eaglep3-reporting\EC\2017-06-24-refined-times.txt</v>
      </c>
      <c r="AI113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{"issue":{"subject":"","project_id":79,"tracker_id":40,"status_id":1,"priority_id":2,"assigned_to_id":23,"start_date":"2017-06-24","description":"","custom_fields":[{"id":1,"name":"Subdivision","value":"EC"},{"id":4,"name":"Milepost","value":"0.0152"},{"id":17,"name":"Train ID","value":"200-24"},{"id":16,"name":"Locomotive ID","value":"4041"},{"id":130,"name":"Impact","value":""},{"id":150,"name":"Time of Event (Mountain Time)","value":"17:39:06"},{"id":151,"name":"Denver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7"/>
        <v>start /low /b %USERPROFILE%\Documents\GitHub\eaglep3\Utilities\DownloadLogsFromS3.py --loco 4041 --day 2017-06-24</v>
      </c>
      <c r="AN113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23:39:06"},{"id":29,"name":"Sharepoint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803</v>
      </c>
      <c r="B114" s="7">
        <v>4016</v>
      </c>
      <c r="C114" s="21" t="s">
        <v>202</v>
      </c>
      <c r="D114" s="21" t="s">
        <v>507</v>
      </c>
      <c r="E114" s="13">
        <v>42910.673981481479</v>
      </c>
      <c r="F114" s="13">
        <v>42910.677384259259</v>
      </c>
      <c r="G114" s="7">
        <v>1</v>
      </c>
      <c r="H114" s="21" t="s">
        <v>495</v>
      </c>
      <c r="I114" s="13">
        <v>42910.70239583333</v>
      </c>
      <c r="J114" s="7">
        <v>0</v>
      </c>
      <c r="K114" s="89" t="str">
        <f t="shared" si="35"/>
        <v>4015/4016</v>
      </c>
      <c r="L114" s="21" t="str">
        <f>VLOOKUP(A114,'Trips&amp;Operators'!$C$1:$G$99999,5,FALSE)</f>
        <v>HART KEVIN</v>
      </c>
      <c r="M114" s="6">
        <f t="shared" si="36"/>
        <v>2.5011574070958886E-2</v>
      </c>
      <c r="N114" s="7">
        <f t="shared" si="49"/>
        <v>36.016666662180796</v>
      </c>
      <c r="O114" s="7"/>
      <c r="P114" s="7"/>
      <c r="Q114" s="22"/>
      <c r="R114" s="170"/>
      <c r="S114" s="213">
        <f t="shared" si="50"/>
        <v>1</v>
      </c>
      <c r="T114" s="195" t="str">
        <f t="shared" si="37"/>
        <v>NorthBound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8"/>
        <v>https://d0f6bd738d7f1b3e5a7ca70fe4ff75f0.us-east-1.aws.found.io/app/kibana#/discover/Steve-Slow-Train-Analysis-(2080s-and-2083s)?_g=(refreshInterval:(display:Off,pause:!f,section:0,value:0),time:(from:'2017-06-24T15:10:32-0600',mode:absolute,to:'2017-06-24T17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4" s="197" t="str">
        <f>IF(AA114&lt;VLOOKUP(AG114,Variables!$AC$3:$AD$8,2,FALSE),"Y","N")</f>
        <v>N</v>
      </c>
      <c r="X114" s="197">
        <f t="shared" si="53"/>
        <v>1</v>
      </c>
      <c r="Y114" s="197">
        <f t="shared" si="51"/>
        <v>4.58E-2</v>
      </c>
      <c r="Z114" s="197">
        <f t="shared" si="52"/>
        <v>23.3309</v>
      </c>
      <c r="AA114" s="197">
        <f t="shared" si="40"/>
        <v>23.2851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41"/>
        <v>201</v>
      </c>
      <c r="AE114" s="77" t="str">
        <f t="shared" si="42"/>
        <v>aws s3 cp s3://rtdc.mdm.uploadarchive.raw/RTDC4016/ "%USERPROFILE%\AppData\Local\Temp\OnboardLogs"\RTDC4016\2017-06-24 --exclude "*" --recursive --include "*20170624*" &amp; "%USERPROFILE%\Documents\GitHub\mrs-test-scripts\Headless Mode &amp; Sideloading\WalkAndUnGZ.bat" "%USERPROFILE%\AppData\Local\Temp\OnboardLogs"\RTDC4016\2017-06-24 &amp; aws s3 cp s3://rtdc.mdm.uploadarchive.raw/RTDC4016/ "%USERPROFILE%\AppData\Local\Temp\OnboardLogs"\RTDC4016\2017-06-25 --exclude "*" --recursive --include "*20170625*" &amp; "%USERPROFILE%\Documents\GitHub\mrs-test-scripts\Headless Mode &amp; Sideloading\WalkAndUnGZ.bat" "%USERPROFILE%\AppData\Local\Temp\OnboardLogs"\RTDC4016\2017-06-25</v>
      </c>
      <c r="AF114" s="74" t="str">
        <f t="shared" si="43"/>
        <v>"C:\Program Files (x86)\AstroGrep\AstroGrep.exe" /e /r /s /spath="%USERPROFILE%\AppData\Local\Temp\OnboardLogs" /stypes="app*4016*20170624*" /stext=" 22:.+((SYSTEM_STATE.+slice.+state.+changed )|(ment ac)|(multiple cpu faults)|(system.+state.+changed )|(\[timeout)|(PRM\|1\|D)|(kpr)|(kdp)|(train st.+moving)|(\|lc)|(penalty))"</v>
      </c>
      <c r="AG114" s="209" t="str">
        <f t="shared" si="44"/>
        <v>EC</v>
      </c>
      <c r="AH114" s="78" t="str">
        <f t="shared" si="45"/>
        <v>"%USERPROFILE%\Documents\GitHub\eaglep3\Utilities\RefineRTDCRunTimes.py" --tripid 201-24 --locoid 4016 --swversion DE.1.0.9.0 --startMP 204:458 --initTime 2017-06-24T16:10:32 --startdatetime 2017-06-24T16:15:26 --delay 1 --endMP 204:233309 --enddatetime 2017-06-24T16:51:27 --enforcementcount 0 &gt;&gt;C:\Users\stu\Documents\GitHub\eaglep3-reporting\EC\2017-06-24-refined-times.txt</v>
      </c>
      <c r="AI114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{"issue":{"subject":"","project_id":79,"tracker_id":40,"status_id":1,"priority_id":2,"assigned_to_id":23,"start_date":"2017-06-24","description":"","custom_fields":[{"id":1,"name":"Subdivision","value":"EC"},{"id":4,"name":"Milepost","value":"23.3309"},{"id":17,"name":"Train ID","value":"201-24"},{"id":16,"name":"Locomotive ID","value":"4016"},{"id":130,"name":"Impact","value":""},{"id":150,"name":"Time of Event (Mountain Time)","value":"16:51:27"},{"id":151,"name":"Denver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7"/>
        <v>start /low /b %USERPROFILE%\Documents\GitHub\eaglep3\Utilities\DownloadLogsFromS3.py --loco 4016 --day 2017-06-24</v>
      </c>
      <c r="AN114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22:51:27"},{"id":29,"name":"Sharepoint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652</v>
      </c>
      <c r="B115" s="7">
        <v>4015</v>
      </c>
      <c r="C115" s="21" t="s">
        <v>202</v>
      </c>
      <c r="D115" s="21" t="s">
        <v>489</v>
      </c>
      <c r="E115" s="13">
        <v>42910.714479166665</v>
      </c>
      <c r="F115" s="13">
        <v>42910.716886574075</v>
      </c>
      <c r="G115" s="7">
        <v>1</v>
      </c>
      <c r="H115" s="21" t="s">
        <v>356</v>
      </c>
      <c r="I115" s="13">
        <v>42910.743136574078</v>
      </c>
      <c r="J115" s="7">
        <v>0</v>
      </c>
      <c r="K115" s="89" t="str">
        <f t="shared" si="35"/>
        <v>4015/4016</v>
      </c>
      <c r="L115" s="21" t="str">
        <f>VLOOKUP(A115,'Trips&amp;Operators'!$C$1:$G$99999,5,FALSE)</f>
        <v>HART KEVIN</v>
      </c>
      <c r="M115" s="6">
        <f t="shared" si="36"/>
        <v>2.6250000002619345E-2</v>
      </c>
      <c r="N115" s="7">
        <f t="shared" si="49"/>
        <v>37.800000003771856</v>
      </c>
      <c r="O115" s="7"/>
      <c r="P115" s="7"/>
      <c r="Q115" s="22"/>
      <c r="R115" s="170"/>
      <c r="S115" s="213">
        <f t="shared" si="50"/>
        <v>1</v>
      </c>
      <c r="T115" s="195" t="str">
        <f t="shared" si="37"/>
        <v>Southbound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8"/>
        <v>https://d0f6bd738d7f1b3e5a7ca70fe4ff75f0.us-east-1.aws.found.io/app/kibana#/discover/Steve-Slow-Train-Analysis-(2080s-and-2083s)?_g=(refreshInterval:(display:Off,pause:!f,section:0,value:0),time:(from:'2017-06-24T16:08:51-0600',mode:absolute,to:'2017-06-24T18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5" s="197" t="str">
        <f>IF(AA115&lt;VLOOKUP(AG115,Variables!$AC$3:$AD$8,2,FALSE),"Y","N")</f>
        <v>N</v>
      </c>
      <c r="X115" s="197">
        <f t="shared" si="53"/>
        <v>1</v>
      </c>
      <c r="Y115" s="197">
        <f t="shared" si="51"/>
        <v>23.2986</v>
      </c>
      <c r="Z115" s="197">
        <f t="shared" si="52"/>
        <v>1.3899999999999999E-2</v>
      </c>
      <c r="AA115" s="197">
        <f t="shared" si="40"/>
        <v>23.284700000000001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41"/>
        <v>202</v>
      </c>
      <c r="AE115" s="77" t="str">
        <f t="shared" si="42"/>
        <v>aws s3 cp s3://rtdc.mdm.uploadarchive.raw/RTDC4015/ "%USERPROFILE%\AppData\Local\Temp\OnboardLogs"\RTDC4015\2017-06-24 --exclude "*" --recursive --include "*20170624*" &amp; "%USERPROFILE%\Documents\GitHub\mrs-test-scripts\Headless Mode &amp; Sideloading\WalkAndUnGZ.bat" "%USERPROFILE%\AppData\Local\Temp\OnboardLogs"\RTDC4015\2017-06-24 &amp; aws s3 cp s3://rtdc.mdm.uploadarchive.raw/RTDC4015/ "%USERPROFILE%\AppData\Local\Temp\OnboardLogs"\RTDC4015\2017-06-25 --exclude "*" --recursive --include "*20170625*" &amp; "%USERPROFILE%\Documents\GitHub\mrs-test-scripts\Headless Mode &amp; Sideloading\WalkAndUnGZ.bat" "%USERPROFILE%\AppData\Local\Temp\OnboardLogs"\RTDC4015\2017-06-25</v>
      </c>
      <c r="AF115" s="74" t="str">
        <f t="shared" si="43"/>
        <v>"C:\Program Files (x86)\AstroGrep\AstroGrep.exe" /e /r /s /spath="%USERPROFILE%\AppData\Local\Temp\OnboardLogs" /stypes="app*4015*20170624*" /stext=" 23:.+((SYSTEM_STATE.+slice.+state.+changed )|(ment ac)|(multiple cpu faults)|(system.+state.+changed )|(\[timeout)|(PRM\|1\|D)|(kpr)|(kdp)|(train st.+moving)|(\|lc)|(penalty))"</v>
      </c>
      <c r="AG115" s="209" t="str">
        <f t="shared" si="44"/>
        <v>EC</v>
      </c>
      <c r="AH115" s="78" t="str">
        <f t="shared" si="45"/>
        <v>"%USERPROFILE%\Documents\GitHub\eaglep3\Utilities\RefineRTDCRunTimes.py" --tripid 202-24 --locoid 4015 --swversion DE.1.0.9.0 --startMP 204:232986 --initTime 2017-06-24T17:08:51 --startdatetime 2017-06-24T17:12:19 --delay 1 --endMP 204:139 --enddatetime 2017-06-24T17:50:07 --enforcementcount 0 &gt;&gt;C:\Users\stu\Documents\GitHub\eaglep3-reporting\EC\2017-06-24-refined-times.txt</v>
      </c>
      <c r="AI115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{"issue":{"subject":"","project_id":79,"tracker_id":40,"status_id":1,"priority_id":2,"assigned_to_id":23,"start_date":"2017-06-24","description":"","custom_fields":[{"id":1,"name":"Subdivision","value":"EC"},{"id":4,"name":"Milepost","value":"0.0139"},{"id":17,"name":"Train ID","value":"202-24"},{"id":16,"name":"Locomotive ID","value":"4015"},{"id":130,"name":"Impact","value":""},{"id":150,"name":"Time of Event (Mountain Time)","value":"17:50:07"},{"id":151,"name":"Denver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7"/>
        <v>start /low /b %USERPROFILE%\Documents\GitHub\eaglep3\Utilities\DownloadLogsFromS3.py --loco 4015 --day 2017-06-24</v>
      </c>
      <c r="AN115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23:50:07"},{"id":29,"name":"Sharepoint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804</v>
      </c>
      <c r="B116" s="7">
        <v>4022</v>
      </c>
      <c r="C116" s="21" t="s">
        <v>202</v>
      </c>
      <c r="D116" s="21" t="s">
        <v>533</v>
      </c>
      <c r="E116" s="13">
        <v>42910.685069444444</v>
      </c>
      <c r="F116" s="13">
        <v>42910.687881944446</v>
      </c>
      <c r="G116" s="7">
        <v>1</v>
      </c>
      <c r="H116" s="21" t="s">
        <v>457</v>
      </c>
      <c r="I116" s="13">
        <v>42910.713923611111</v>
      </c>
      <c r="J116" s="7">
        <v>0</v>
      </c>
      <c r="K116" s="89" t="str">
        <f t="shared" si="35"/>
        <v>4021/4022</v>
      </c>
      <c r="L116" s="21" t="str">
        <f>VLOOKUP(A116,'Trips&amp;Operators'!$C$1:$G$99999,5,FALSE)</f>
        <v>DAVIS MICHAEL</v>
      </c>
      <c r="M116" s="6">
        <f t="shared" si="36"/>
        <v>2.6041666664241347E-2</v>
      </c>
      <c r="N116" s="7">
        <f t="shared" si="49"/>
        <v>37.49999999650754</v>
      </c>
      <c r="O116" s="7"/>
      <c r="P116" s="7"/>
      <c r="Q116" s="22"/>
      <c r="R116" s="170"/>
      <c r="S116" s="213">
        <f t="shared" si="50"/>
        <v>1</v>
      </c>
      <c r="T116" s="195" t="str">
        <f t="shared" si="37"/>
        <v>NorthBound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8"/>
        <v>https://d0f6bd738d7f1b3e5a7ca70fe4ff75f0.us-east-1.aws.found.io/app/kibana#/discover/Steve-Slow-Train-Analysis-(2080s-and-2083s)?_g=(refreshInterval:(display:Off,pause:!f,section:0,value:0),time:(from:'2017-06-24T15:26:30-0600',mode:absolute,to:'2017-06-24T18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6" s="197" t="str">
        <f>IF(AA116&lt;VLOOKUP(AG116,Variables!$AC$3:$AD$8,2,FALSE),"Y","N")</f>
        <v>N</v>
      </c>
      <c r="X116" s="197">
        <f t="shared" si="53"/>
        <v>1</v>
      </c>
      <c r="Y116" s="197">
        <f t="shared" si="51"/>
        <v>4.4400000000000002E-2</v>
      </c>
      <c r="Z116" s="197">
        <f t="shared" si="52"/>
        <v>23.331</v>
      </c>
      <c r="AA116" s="197">
        <f t="shared" si="40"/>
        <v>23.2866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41"/>
        <v>203</v>
      </c>
      <c r="AE116" s="77" t="str">
        <f t="shared" si="42"/>
        <v>aws s3 cp s3://rtdc.mdm.uploadarchive.raw/RTDC4022/ "%USERPROFILE%\AppData\Local\Temp\OnboardLogs"\RTDC4022\2017-06-24 --exclude "*" --recursive --include "*20170624*" &amp; "%USERPROFILE%\Documents\GitHub\mrs-test-scripts\Headless Mode &amp; Sideloading\WalkAndUnGZ.bat" "%USERPROFILE%\AppData\Local\Temp\OnboardLogs"\RTDC4022\2017-06-24 &amp; aws s3 cp s3://rtdc.mdm.uploadarchive.raw/RTDC4022/ "%USERPROFILE%\AppData\Local\Temp\OnboardLogs"\RTDC4022\2017-06-25 --exclude "*" --recursive --include "*20170625*" &amp; "%USERPROFILE%\Documents\GitHub\mrs-test-scripts\Headless Mode &amp; Sideloading\WalkAndUnGZ.bat" "%USERPROFILE%\AppData\Local\Temp\OnboardLogs"\RTDC4022\2017-06-25</v>
      </c>
      <c r="AF116" s="74" t="str">
        <f t="shared" si="43"/>
        <v>"C:\Program Files (x86)\AstroGrep\AstroGrep.exe" /e /r /s /spath="%USERPROFILE%\AppData\Local\Temp\OnboardLogs" /stypes="app*4022*20170624*" /stext=" 23:.+((SYSTEM_STATE.+slice.+state.+changed )|(ment ac)|(multiple cpu faults)|(system.+state.+changed )|(\[timeout)|(PRM\|1\|D)|(kpr)|(kdp)|(train st.+moving)|(\|lc)|(penalty))"</v>
      </c>
      <c r="AG116" s="209" t="str">
        <f t="shared" si="44"/>
        <v>EC</v>
      </c>
      <c r="AH116" s="78" t="str">
        <f t="shared" si="45"/>
        <v>"%USERPROFILE%\Documents\GitHub\eaglep3\Utilities\RefineRTDCRunTimes.py" --tripid 203-24 --locoid 4022 --swversion DE.1.0.9.0 --startMP 204:444 --initTime 2017-06-24T16:26:30 --startdatetime 2017-06-24T16:30:33 --delay 1 --endMP 204:233310 --enddatetime 2017-06-24T17:08:03 --enforcementcount 0 &gt;&gt;C:\Users\stu\Documents\GitHub\eaglep3-reporting\EC\2017-06-24-refined-times.txt</v>
      </c>
      <c r="AI116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{"issue":{"subject":"","project_id":79,"tracker_id":40,"status_id":1,"priority_id":2,"assigned_to_id":23,"start_date":"2017-06-24","description":"","custom_fields":[{"id":1,"name":"Subdivision","value":"EC"},{"id":4,"name":"Milepost","value":"23.331"},{"id":17,"name":"Train ID","value":"203-24"},{"id":16,"name":"Locomotive ID","value":"4022"},{"id":130,"name":"Impact","value":""},{"id":150,"name":"Time of Event (Mountain Time)","value":"17:08:03"},{"id":151,"name":"Denver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7"/>
        <v>start /low /b %USERPROFILE%\Documents\GitHub\eaglep3\Utilities\DownloadLogsFromS3.py --loco 4022 --day 2017-06-24</v>
      </c>
      <c r="AN116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23:08:03"},{"id":29,"name":"Sharepoint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817</v>
      </c>
      <c r="B117" s="7">
        <v>4021</v>
      </c>
      <c r="C117" s="21" t="s">
        <v>202</v>
      </c>
      <c r="D117" s="21" t="s">
        <v>456</v>
      </c>
      <c r="E117" s="13">
        <v>42910.72452546296</v>
      </c>
      <c r="F117" s="13">
        <v>42910.72761574074</v>
      </c>
      <c r="G117" s="7">
        <v>1</v>
      </c>
      <c r="H117" s="21" t="s">
        <v>588</v>
      </c>
      <c r="I117" s="13">
        <v>42910.754699074074</v>
      </c>
      <c r="J117" s="7">
        <v>0</v>
      </c>
      <c r="K117" s="89" t="str">
        <f t="shared" si="35"/>
        <v>4021/4022</v>
      </c>
      <c r="L117" s="21" t="str">
        <f>VLOOKUP(A117,'Trips&amp;Operators'!$C$1:$G$99999,5,FALSE)</f>
        <v>DAVIS MICHAEL</v>
      </c>
      <c r="M117" s="6">
        <f t="shared" si="36"/>
        <v>2.7083333334303461E-2</v>
      </c>
      <c r="N117" s="7">
        <f t="shared" si="49"/>
        <v>39.000000001396984</v>
      </c>
      <c r="O117" s="7"/>
      <c r="P117" s="7"/>
      <c r="Q117" s="22"/>
      <c r="R117" s="170"/>
      <c r="S117" s="213">
        <f t="shared" si="50"/>
        <v>1</v>
      </c>
      <c r="T117" s="195" t="str">
        <f t="shared" si="37"/>
        <v>Southbound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8"/>
        <v>https://d0f6bd738d7f1b3e5a7ca70fe4ff75f0.us-east-1.aws.found.io/app/kibana#/discover/Steve-Slow-Train-Analysis-(2080s-and-2083s)?_g=(refreshInterval:(display:Off,pause:!f,section:0,value:0),time:(from:'2017-06-24T16:23:19-0600',mode:absolute,to:'2017-06-24T19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7" s="197" t="str">
        <f>IF(AA117&lt;VLOOKUP(AG117,Variables!$AC$3:$AD$8,2,FALSE),"Y","N")</f>
        <v>N</v>
      </c>
      <c r="X117" s="197">
        <f t="shared" si="53"/>
        <v>1</v>
      </c>
      <c r="Y117" s="197">
        <f t="shared" si="51"/>
        <v>23.298100000000002</v>
      </c>
      <c r="Z117" s="197">
        <f t="shared" si="52"/>
        <v>1.72E-2</v>
      </c>
      <c r="AA117" s="197">
        <f t="shared" si="40"/>
        <v>23.280900000000003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41"/>
        <v>204</v>
      </c>
      <c r="AE117" s="77" t="str">
        <f t="shared" si="42"/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AF117" s="74" t="str">
        <f t="shared" si="43"/>
        <v>"C:\Program Files (x86)\AstroGrep\AstroGrep.exe" /e /r /s /spath="%USERPROFILE%\AppData\Local\Temp\OnboardLogs" /stypes="app*4021*20170625*" /stext=" 00:.+((SYSTEM_STATE.+slice.+state.+changed )|(ment ac)|(multiple cpu faults)|(system.+state.+changed )|(\[timeout)|(PRM\|1\|D)|(kpr)|(kdp)|(train st.+moving)|(\|lc)|(penalty))"</v>
      </c>
      <c r="AG117" s="209" t="str">
        <f t="shared" si="44"/>
        <v>EC</v>
      </c>
      <c r="AH117" s="78" t="str">
        <f t="shared" si="45"/>
        <v>"%USERPROFILE%\Documents\GitHub\eaglep3\Utilities\RefineRTDCRunTimes.py" --tripid 204-24 --locoid 4021 --swversion DE.1.0.9.0 --startMP 204:232981 --initTime 2017-06-24T17:23:19 --startdatetime 2017-06-24T17:27:46 --delay 1 --endMP 204:172 --enddatetime 2017-06-24T18:06:46 --enforcementcount 0 &gt;&gt;C:\Users\stu\Documents\GitHub\eaglep3-reporting\EC\2017-06-24-refined-times.txt</v>
      </c>
      <c r="AI117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{"issue":{"subject":"","project_id":79,"tracker_id":40,"status_id":1,"priority_id":2,"assigned_to_id":23,"start_date":"2017-06-24","description":"","custom_fields":[{"id":1,"name":"Subdivision","value":"EC"},{"id":4,"name":"Milepost","value":"0.0172"},{"id":17,"name":"Train ID","value":"204-24"},{"id":16,"name":"Locomotive ID","value":"4021"},{"id":130,"name":"Impact","value":""},{"id":150,"name":"Time of Event (Mountain Time)","value":"18:06:46"},{"id":151,"name":"Denver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7"/>
        <v>start /low /b %USERPROFILE%\Documents\GitHub\eaglep3\Utilities\DownloadLogsFromS3.py --loco 4021 --day 2017-06-24</v>
      </c>
      <c r="AN117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00:06:46"},{"id":29,"name":"Sharepoint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807</v>
      </c>
      <c r="B118" s="7">
        <v>4044</v>
      </c>
      <c r="C118" s="21" t="s">
        <v>202</v>
      </c>
      <c r="D118" s="21" t="s">
        <v>496</v>
      </c>
      <c r="E118" s="13">
        <v>42910.695416666669</v>
      </c>
      <c r="F118" s="13">
        <v>42910.698240740741</v>
      </c>
      <c r="G118" s="7">
        <v>1</v>
      </c>
      <c r="H118" s="21" t="s">
        <v>883</v>
      </c>
      <c r="I118" s="13">
        <v>42910.723634259259</v>
      </c>
      <c r="J118" s="7">
        <v>0</v>
      </c>
      <c r="K118" s="89" t="str">
        <f t="shared" si="35"/>
        <v>4043/4044</v>
      </c>
      <c r="L118" s="21" t="str">
        <f>VLOOKUP(A118,'Trips&amp;Operators'!$C$1:$G$99999,5,FALSE)</f>
        <v>SAFIEF AEIMEN</v>
      </c>
      <c r="M118" s="6">
        <f t="shared" si="36"/>
        <v>2.5393518517375924E-2</v>
      </c>
      <c r="N118" s="7">
        <f t="shared" si="49"/>
        <v>36.56666666502133</v>
      </c>
      <c r="O118" s="7"/>
      <c r="P118" s="7"/>
      <c r="Q118" s="22"/>
      <c r="R118" s="170"/>
      <c r="S118" s="213">
        <f t="shared" si="50"/>
        <v>1</v>
      </c>
      <c r="T118" s="195" t="str">
        <f t="shared" si="37"/>
        <v>NorthBound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8"/>
        <v>https://d0f6bd738d7f1b3e5a7ca70fe4ff75f0.us-east-1.aws.found.io/app/kibana#/discover/Steve-Slow-Train-Analysis-(2080s-and-2083s)?_g=(refreshInterval:(display:Off,pause:!f,section:0,value:0),time:(from:'2017-06-24T15:41:24-0600',mode:absolute,to:'2017-06-24T18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8" s="197" t="str">
        <f>IF(AA118&lt;VLOOKUP(AG118,Variables!$AC$3:$AD$8,2,FALSE),"Y","N")</f>
        <v>N</v>
      </c>
      <c r="X118" s="197">
        <f t="shared" si="53"/>
        <v>1</v>
      </c>
      <c r="Y118" s="197">
        <f t="shared" si="51"/>
        <v>4.3499999999999997E-2</v>
      </c>
      <c r="Z118" s="197">
        <f t="shared" si="52"/>
        <v>23.332000000000001</v>
      </c>
      <c r="AA118" s="197">
        <f t="shared" si="40"/>
        <v>23.288499999999999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41"/>
        <v>205</v>
      </c>
      <c r="AE118" s="77" t="str">
        <f t="shared" si="42"/>
        <v>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 &amp; 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</v>
      </c>
      <c r="AF118" s="74" t="str">
        <f t="shared" si="43"/>
        <v>"C:\Program Files (x86)\AstroGrep\AstroGrep.exe" /e /r /s /spath="%USERPROFILE%\AppData\Local\Temp\OnboardLogs" /stypes="app*4044*20170624*" /stext=" 23:.+((SYSTEM_STATE.+slice.+state.+changed )|(ment ac)|(multiple cpu faults)|(system.+state.+changed )|(\[timeout)|(PRM\|1\|D)|(kpr)|(kdp)|(train st.+moving)|(\|lc)|(penalty))"</v>
      </c>
      <c r="AG118" s="209" t="str">
        <f t="shared" si="44"/>
        <v>EC</v>
      </c>
      <c r="AH118" s="78" t="str">
        <f t="shared" si="45"/>
        <v>"%USERPROFILE%\Documents\GitHub\eaglep3\Utilities\RefineRTDCRunTimes.py" --tripid 205-24 --locoid 4044 --swversion DE.1.0.9.0 --startMP 204:435 --initTime 2017-06-24T16:41:24 --startdatetime 2017-06-24T16:45:28 --delay 1 --endMP 204:233320 --enddatetime 2017-06-24T17:22:02 --enforcementcount 0 &gt;&gt;C:\Users\stu\Documents\GitHub\eaglep3-reporting\EC\2017-06-24-refined-times.txt</v>
      </c>
      <c r="AI118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{"issue":{"subject":"","project_id":79,"tracker_id":40,"status_id":1,"priority_id":2,"assigned_to_id":23,"start_date":"2017-06-24","description":"","custom_fields":[{"id":1,"name":"Subdivision","value":"EC"},{"id":4,"name":"Milepost","value":"23.332"},{"id":17,"name":"Train ID","value":"205-24"},{"id":16,"name":"Locomotive ID","value":"4044"},{"id":130,"name":"Impact","value":""},{"id":150,"name":"Time of Event (Mountain Time)","value":"17:22:02"},{"id":151,"name":"Denver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7"/>
        <v>start /low /b %USERPROFILE%\Documents\GitHub\eaglep3\Utilities\DownloadLogsFromS3.py --loco 4044 --day 2017-06-24</v>
      </c>
      <c r="AN118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23:22:02"},{"id":29,"name":"Sharepoint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818</v>
      </c>
      <c r="B119" s="7">
        <v>4043</v>
      </c>
      <c r="C119" s="21" t="s">
        <v>202</v>
      </c>
      <c r="D119" s="21" t="s">
        <v>443</v>
      </c>
      <c r="E119" s="13">
        <v>42910.726527777777</v>
      </c>
      <c r="F119" s="13">
        <v>42910.737673611111</v>
      </c>
      <c r="G119" s="7">
        <v>1</v>
      </c>
      <c r="H119" s="21" t="s">
        <v>348</v>
      </c>
      <c r="I119" s="13">
        <v>42910.764247685183</v>
      </c>
      <c r="J119" s="7">
        <v>0</v>
      </c>
      <c r="K119" s="89" t="str">
        <f t="shared" si="35"/>
        <v>4043/4044</v>
      </c>
      <c r="L119" s="21" t="str">
        <f>VLOOKUP(A119,'Trips&amp;Operators'!$C$1:$G$99999,5,FALSE)</f>
        <v>SAFIEF AEIMEN</v>
      </c>
      <c r="M119" s="6">
        <f t="shared" si="36"/>
        <v>2.6574074072414078E-2</v>
      </c>
      <c r="N119" s="7">
        <f t="shared" si="49"/>
        <v>38.266666664276272</v>
      </c>
      <c r="O119" s="7"/>
      <c r="P119" s="7"/>
      <c r="Q119" s="22"/>
      <c r="R119" s="170"/>
      <c r="S119" s="213">
        <f t="shared" si="50"/>
        <v>1</v>
      </c>
      <c r="T119" s="195" t="str">
        <f t="shared" si="37"/>
        <v>Southbound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8"/>
        <v>https://d0f6bd738d7f1b3e5a7ca70fe4ff75f0.us-east-1.aws.found.io/app/kibana#/discover/Steve-Slow-Train-Analysis-(2080s-and-2083s)?_g=(refreshInterval:(display:Off,pause:!f,section:0,value:0),time:(from:'2017-06-24T16:26:12-0600',mode:absolute,to:'2017-06-24T19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9" s="197" t="str">
        <f>IF(AA119&lt;VLOOKUP(AG119,Variables!$AC$3:$AD$8,2,FALSE),"Y","N")</f>
        <v>N</v>
      </c>
      <c r="X119" s="197">
        <f t="shared" si="53"/>
        <v>1</v>
      </c>
      <c r="Y119" s="197">
        <f t="shared" si="51"/>
        <v>23.299399999999999</v>
      </c>
      <c r="Z119" s="197">
        <f t="shared" si="52"/>
        <v>1.4999999999999999E-2</v>
      </c>
      <c r="AA119" s="197">
        <f t="shared" si="40"/>
        <v>23.284399999999998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41"/>
        <v>206</v>
      </c>
      <c r="AE119" s="77" t="str">
        <f t="shared" si="42"/>
        <v>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 &amp; 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</v>
      </c>
      <c r="AF119" s="74" t="str">
        <f t="shared" si="43"/>
        <v>"C:\Program Files (x86)\AstroGrep\AstroGrep.exe" /e /r /s /spath="%USERPROFILE%\AppData\Local\Temp\OnboardLogs" /stypes="app*4043*20170625*" /stext=" 00:.+((SYSTEM_STATE.+slice.+state.+changed )|(ment ac)|(multiple cpu faults)|(system.+state.+changed )|(\[timeout)|(PRM\|1\|D)|(kpr)|(kdp)|(train st.+moving)|(\|lc)|(penalty))"</v>
      </c>
      <c r="AG119" s="209" t="str">
        <f t="shared" si="44"/>
        <v>EC</v>
      </c>
      <c r="AH119" s="78" t="str">
        <f t="shared" si="45"/>
        <v>"%USERPROFILE%\Documents\GitHub\eaglep3\Utilities\RefineRTDCRunTimes.py" --tripid 206-24 --locoid 4043 --swversion DE.1.0.9.0 --startMP 204:232994 --initTime 2017-06-24T17:26:12 --startdatetime 2017-06-24T17:42:15 --delay 1 --endMP 204:150 --enddatetime 2017-06-24T18:20:31 --enforcementcount 0 &gt;&gt;C:\Users\stu\Documents\GitHub\eaglep3-reporting\EC\2017-06-24-refined-times.txt</v>
      </c>
      <c r="AI119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{"issue":{"subject":"","project_id":79,"tracker_id":40,"status_id":1,"priority_id":2,"assigned_to_id":23,"start_date":"2017-06-24","description":"","custom_fields":[{"id":1,"name":"Subdivision","value":"EC"},{"id":4,"name":"Milepost","value":"0.015"},{"id":17,"name":"Train ID","value":"206-24"},{"id":16,"name":"Locomotive ID","value":"4043"},{"id":130,"name":"Impact","value":""},{"id":150,"name":"Time of Event (Mountain Time)","value":"18:20:31"},{"id":151,"name":"Denver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7"/>
        <v>start /low /b %USERPROFILE%\Documents\GitHub\eaglep3\Utilities\DownloadLogsFromS3.py --loco 4043 --day 2017-06-24</v>
      </c>
      <c r="AN119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00:20:31"},{"id":29,"name":"Sharepoint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809</v>
      </c>
      <c r="B120" s="7">
        <v>4020</v>
      </c>
      <c r="C120" s="21" t="s">
        <v>202</v>
      </c>
      <c r="D120" s="21" t="s">
        <v>351</v>
      </c>
      <c r="E120" s="13">
        <v>42910.7031712963</v>
      </c>
      <c r="F120" s="13">
        <v>42910.708784722221</v>
      </c>
      <c r="G120" s="7">
        <v>1</v>
      </c>
      <c r="H120" s="21" t="s">
        <v>584</v>
      </c>
      <c r="I120" s="13">
        <v>42910.733634259261</v>
      </c>
      <c r="J120" s="7">
        <v>0</v>
      </c>
      <c r="K120" s="89" t="str">
        <f t="shared" si="35"/>
        <v>4019/4020</v>
      </c>
      <c r="L120" s="21" t="str">
        <f>VLOOKUP(A120,'Trips&amp;Operators'!$C$1:$G$99999,5,FALSE)</f>
        <v>BRUDER RICHARD</v>
      </c>
      <c r="M120" s="6">
        <f t="shared" si="36"/>
        <v>2.4849537039699499E-2</v>
      </c>
      <c r="N120" s="7">
        <f t="shared" si="49"/>
        <v>35.783333337167278</v>
      </c>
      <c r="O120" s="7"/>
      <c r="P120" s="7"/>
      <c r="Q120" s="22"/>
      <c r="R120" s="170"/>
      <c r="S120" s="213">
        <f t="shared" si="50"/>
        <v>1</v>
      </c>
      <c r="T120" s="195" t="str">
        <f t="shared" si="37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8"/>
        <v>https://d0f6bd738d7f1b3e5a7ca70fe4ff75f0.us-east-1.aws.found.io/app/kibana#/discover/Steve-Slow-Train-Analysis-(2080s-and-2083s)?_g=(refreshInterval:(display:Off,pause:!f,section:0,value:0),time:(from:'2017-06-24T15:52:34-0600',mode:absolute,to:'2017-06-24T18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0" s="197" t="str">
        <f>IF(AA120&lt;VLOOKUP(AG120,Variables!$AC$3:$AD$8,2,FALSE),"Y","N")</f>
        <v>N</v>
      </c>
      <c r="X120" s="197">
        <f t="shared" si="53"/>
        <v>1</v>
      </c>
      <c r="Y120" s="197">
        <f t="shared" si="51"/>
        <v>4.6600000000000003E-2</v>
      </c>
      <c r="Z120" s="197">
        <f t="shared" si="52"/>
        <v>23.331900000000001</v>
      </c>
      <c r="AA120" s="197">
        <f t="shared" si="40"/>
        <v>23.285299999999999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41"/>
        <v>207</v>
      </c>
      <c r="AE120" s="77" t="str">
        <f t="shared" si="42"/>
        <v>aws s3 cp s3://rtdc.mdm.uploadarchive.raw/RTDC4020/ "%USERPROFILE%\AppData\Local\Temp\OnboardLogs"\RTDC4020\2017-06-24 --exclude "*" --recursive --include "*20170624*" &amp; "%USERPROFILE%\Documents\GitHub\mrs-test-scripts\Headless Mode &amp; Sideloading\WalkAndUnGZ.bat" "%USERPROFILE%\AppData\Local\Temp\OnboardLogs"\RTDC4020\2017-06-24 &amp; aws s3 cp s3://rtdc.mdm.uploadarchive.raw/RTDC4020/ "%USERPROFILE%\AppData\Local\Temp\OnboardLogs"\RTDC4020\2017-06-25 --exclude "*" --recursive --include "*20170625*" &amp; "%USERPROFILE%\Documents\GitHub\mrs-test-scripts\Headless Mode &amp; Sideloading\WalkAndUnGZ.bat" "%USERPROFILE%\AppData\Local\Temp\OnboardLogs"\RTDC4020\2017-06-25</v>
      </c>
      <c r="AF120" s="74" t="str">
        <f t="shared" si="43"/>
        <v>"C:\Program Files (x86)\AstroGrep\AstroGrep.exe" /e /r /s /spath="%USERPROFILE%\AppData\Local\Temp\OnboardLogs" /stypes="app*4020*20170624*" /stext=" 23:.+((SYSTEM_STATE.+slice.+state.+changed )|(ment ac)|(multiple cpu faults)|(system.+state.+changed )|(\[timeout)|(PRM\|1\|D)|(kpr)|(kdp)|(train st.+moving)|(\|lc)|(penalty))"</v>
      </c>
      <c r="AG120" s="209" t="str">
        <f t="shared" si="44"/>
        <v>EC</v>
      </c>
      <c r="AH120" s="78" t="str">
        <f t="shared" si="45"/>
        <v>"%USERPROFILE%\Documents\GitHub\eaglep3\Utilities\RefineRTDCRunTimes.py" --tripid 207-24 --locoid 4020 --swversion DE.1.0.9.0 --startMP 204:466 --initTime 2017-06-24T16:52:34 --startdatetime 2017-06-24T17:00:39 --delay 1 --endMP 204:233319 --enddatetime 2017-06-24T17:36:26 --enforcementcount 0 &gt;&gt;C:\Users\stu\Documents\GitHub\eaglep3-reporting\EC\2017-06-24-refined-times.txt</v>
      </c>
      <c r="AI120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{"issue":{"subject":"","project_id":79,"tracker_id":40,"status_id":1,"priority_id":2,"assigned_to_id":23,"start_date":"2017-06-24","description":"","custom_fields":[{"id":1,"name":"Subdivision","value":"EC"},{"id":4,"name":"Milepost","value":"23.3319"},{"id":17,"name":"Train ID","value":"207-24"},{"id":16,"name":"Locomotive ID","value":"4020"},{"id":130,"name":"Impact","value":""},{"id":150,"name":"Time of Event (Mountain Time)","value":"17:36:26"},{"id":151,"name":"Denver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7"/>
        <v>start /low /b %USERPROFILE%\Documents\GitHub\eaglep3\Utilities\DownloadLogsFromS3.py --loco 4020 --day 2017-06-24</v>
      </c>
      <c r="AN120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23:36:26"},{"id":29,"name":"Sharepoint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820</v>
      </c>
      <c r="B121" s="7">
        <v>4019</v>
      </c>
      <c r="C121" s="21" t="s">
        <v>202</v>
      </c>
      <c r="D121" s="21" t="s">
        <v>870</v>
      </c>
      <c r="E121" s="13">
        <v>42910.742268518516</v>
      </c>
      <c r="F121" s="13">
        <v>42910.748124999998</v>
      </c>
      <c r="G121" s="7">
        <v>1</v>
      </c>
      <c r="H121" s="21" t="s">
        <v>193</v>
      </c>
      <c r="I121" s="13">
        <v>42910.775034722225</v>
      </c>
      <c r="J121" s="7">
        <v>0</v>
      </c>
      <c r="K121" s="89" t="str">
        <f t="shared" si="35"/>
        <v>4019/4020</v>
      </c>
      <c r="L121" s="21" t="str">
        <f>VLOOKUP(A121,'Trips&amp;Operators'!$C$1:$G$99999,5,FALSE)</f>
        <v>BRUDER RICHARD</v>
      </c>
      <c r="M121" s="6">
        <f t="shared" si="36"/>
        <v>2.6909722226264421E-2</v>
      </c>
      <c r="N121" s="7">
        <f t="shared" si="49"/>
        <v>38.750000005820766</v>
      </c>
      <c r="O121" s="7"/>
      <c r="P121" s="7"/>
      <c r="Q121" s="22"/>
      <c r="R121" s="170"/>
      <c r="S121" s="213">
        <f t="shared" si="50"/>
        <v>1</v>
      </c>
      <c r="T121" s="195" t="str">
        <f t="shared" si="37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8"/>
        <v>https://d0f6bd738d7f1b3e5a7ca70fe4ff75f0.us-east-1.aws.found.io/app/kibana#/discover/Steve-Slow-Train-Analysis-(2080s-and-2083s)?_g=(refreshInterval:(display:Off,pause:!f,section:0,value:0),time:(from:'2017-06-24T16:48:52-0600',mode:absolute,to:'2017-06-24T19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1" s="197" t="str">
        <f>IF(AA121&lt;VLOOKUP(AG121,Variables!$AC$3:$AD$8,2,FALSE),"Y","N")</f>
        <v>N</v>
      </c>
      <c r="X121" s="197">
        <f t="shared" si="53"/>
        <v>1</v>
      </c>
      <c r="Y121" s="197">
        <f t="shared" si="51"/>
        <v>23.301100000000002</v>
      </c>
      <c r="Z121" s="197">
        <f t="shared" si="52"/>
        <v>1.52E-2</v>
      </c>
      <c r="AA121" s="197">
        <f t="shared" si="40"/>
        <v>23.285900000000002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41"/>
        <v>208</v>
      </c>
      <c r="AE121" s="77" t="str">
        <f t="shared" si="42"/>
        <v>aws s3 cp s3://rtdc.mdm.uploadarchive.raw/RTDC4019/ "%USERPROFILE%\AppData\Local\Temp\OnboardLogs"\RTDC4019\2017-06-24 --exclude "*" --recursive --include "*20170624*" &amp; "%USERPROFILE%\Documents\GitHub\mrs-test-scripts\Headless Mode &amp; Sideloading\WalkAndUnGZ.bat" "%USERPROFILE%\AppData\Local\Temp\OnboardLogs"\RTDC4019\2017-06-24 &amp; aws s3 cp s3://rtdc.mdm.uploadarchive.raw/RTDC4019/ "%USERPROFILE%\AppData\Local\Temp\OnboardLogs"\RTDC4019\2017-06-25 --exclude "*" --recursive --include "*20170625*" &amp; "%USERPROFILE%\Documents\GitHub\mrs-test-scripts\Headless Mode &amp; Sideloading\WalkAndUnGZ.bat" "%USERPROFILE%\AppData\Local\Temp\OnboardLogs"\RTDC4019\2017-06-25</v>
      </c>
      <c r="AF121" s="74" t="str">
        <f t="shared" si="43"/>
        <v>"C:\Program Files (x86)\AstroGrep\AstroGrep.exe" /e /r /s /spath="%USERPROFILE%\AppData\Local\Temp\OnboardLogs" /stypes="app*4019*20170625*" /stext=" 00:.+((SYSTEM_STATE.+slice.+state.+changed )|(ment ac)|(multiple cpu faults)|(system.+state.+changed )|(\[timeout)|(PRM\|1\|D)|(kpr)|(kdp)|(train st.+moving)|(\|lc)|(penalty))"</v>
      </c>
      <c r="AG121" s="209" t="str">
        <f t="shared" si="44"/>
        <v>EC</v>
      </c>
      <c r="AH121" s="78" t="str">
        <f t="shared" si="45"/>
        <v>"%USERPROFILE%\Documents\GitHub\eaglep3\Utilities\RefineRTDCRunTimes.py" --tripid 208-24 --locoid 4019 --swversion DE.1.0.9.0 --startMP 204:233011 --initTime 2017-06-24T17:48:52 --startdatetime 2017-06-24T17:57:18 --delay 1 --endMP 204:152 --enddatetime 2017-06-24T18:36:03 --enforcementcount 0 &gt;&gt;C:\Users\stu\Documents\GitHub\eaglep3-reporting\EC\2017-06-24-refined-times.txt</v>
      </c>
      <c r="AI121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{"issue":{"subject":"","project_id":79,"tracker_id":40,"status_id":1,"priority_id":2,"assigned_to_id":23,"start_date":"2017-06-24","description":"","custom_fields":[{"id":1,"name":"Subdivision","value":"EC"},{"id":4,"name":"Milepost","value":"0.0152"},{"id":17,"name":"Train ID","value":"208-24"},{"id":16,"name":"Locomotive ID","value":"4019"},{"id":130,"name":"Impact","value":""},{"id":150,"name":"Time of Event (Mountain Time)","value":"18:36:03"},{"id":151,"name":"Denver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7"/>
        <v>start /low /b %USERPROFILE%\Documents\GitHub\eaglep3\Utilities\DownloadLogsFromS3.py --loco 4019 --day 2017-06-24</v>
      </c>
      <c r="AN121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00:36:03"},{"id":29,"name":"Sharepoint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815</v>
      </c>
      <c r="B122" s="7">
        <v>4004</v>
      </c>
      <c r="C122" s="21" t="s">
        <v>202</v>
      </c>
      <c r="D122" s="21" t="s">
        <v>597</v>
      </c>
      <c r="E122" s="13">
        <v>42910.715844907405</v>
      </c>
      <c r="F122" s="13">
        <v>42910.718923611108</v>
      </c>
      <c r="G122" s="7">
        <v>1</v>
      </c>
      <c r="H122" s="21" t="s">
        <v>937</v>
      </c>
      <c r="I122" s="13">
        <v>42910.744942129626</v>
      </c>
      <c r="J122" s="7">
        <v>0</v>
      </c>
      <c r="K122" s="89" t="str">
        <f t="shared" si="35"/>
        <v>4003/4004</v>
      </c>
      <c r="L122" s="21" t="str">
        <f>VLOOKUP(A122,'Trips&amp;Operators'!$C$1:$G$99999,5,FALSE)</f>
        <v>SULLIVAN BRANDON</v>
      </c>
      <c r="M122" s="6">
        <f t="shared" si="36"/>
        <v>2.6018518517958E-2</v>
      </c>
      <c r="N122" s="7">
        <f t="shared" si="49"/>
        <v>37.46666666585952</v>
      </c>
      <c r="O122" s="7"/>
      <c r="P122" s="7"/>
      <c r="Q122" s="22"/>
      <c r="R122" s="170"/>
      <c r="S122" s="213">
        <f t="shared" si="50"/>
        <v>1</v>
      </c>
      <c r="T122" s="195" t="str">
        <f t="shared" si="37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8"/>
        <v>https://d0f6bd738d7f1b3e5a7ca70fe4ff75f0.us-east-1.aws.found.io/app/kibana#/discover/Steve-Slow-Train-Analysis-(2080s-and-2083s)?_g=(refreshInterval:(display:Off,pause:!f,section:0,value:0),time:(from:'2017-06-24T16:10:49-0600',mode:absolute,to:'2017-06-24T18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2" s="197" t="str">
        <f>IF(AA122&lt;VLOOKUP(AG122,Variables!$AC$3:$AD$8,2,FALSE),"Y","N")</f>
        <v>N</v>
      </c>
      <c r="X122" s="197">
        <f t="shared" si="53"/>
        <v>1</v>
      </c>
      <c r="Y122" s="197">
        <f t="shared" si="51"/>
        <v>4.8399999999999999E-2</v>
      </c>
      <c r="Z122" s="197">
        <f t="shared" si="52"/>
        <v>23.333600000000001</v>
      </c>
      <c r="AA122" s="197">
        <f t="shared" si="40"/>
        <v>23.2852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41"/>
        <v>209</v>
      </c>
      <c r="AE122" s="77" t="str">
        <f t="shared" si="42"/>
        <v>aws s3 cp s3://rtdc.mdm.uploadarchive.raw/RTDC4004/ "%USERPROFILE%\AppData\Local\Temp\OnboardLogs"\RTDC4004\2017-06-24 --exclude "*" --recursive --include "*20170624*" &amp; "%USERPROFILE%\Documents\GitHub\mrs-test-scripts\Headless Mode &amp; Sideloading\WalkAndUnGZ.bat" "%USERPROFILE%\AppData\Local\Temp\OnboardLogs"\RTDC4004\2017-06-24 &amp; aws s3 cp s3://rtdc.mdm.uploadarchive.raw/RTDC4004/ "%USERPROFILE%\AppData\Local\Temp\OnboardLogs"\RTDC4004\2017-06-25 --exclude "*" --recursive --include "*20170625*" &amp; "%USERPROFILE%\Documents\GitHub\mrs-test-scripts\Headless Mode &amp; Sideloading\WalkAndUnGZ.bat" "%USERPROFILE%\AppData\Local\Temp\OnboardLogs"\RTDC4004\2017-06-25</v>
      </c>
      <c r="AF122" s="74" t="str">
        <f t="shared" si="43"/>
        <v>"C:\Program Files (x86)\AstroGrep\AstroGrep.exe" /e /r /s /spath="%USERPROFILE%\AppData\Local\Temp\OnboardLogs" /stypes="app*4004*20170624*" /stext=" 23:.+((SYSTEM_STATE.+slice.+state.+changed )|(ment ac)|(multiple cpu faults)|(system.+state.+changed )|(\[timeout)|(PRM\|1\|D)|(kpr)|(kdp)|(train st.+moving)|(\|lc)|(penalty))"</v>
      </c>
      <c r="AG122" s="209" t="str">
        <f t="shared" si="44"/>
        <v>EC</v>
      </c>
      <c r="AH122" s="78" t="str">
        <f t="shared" si="45"/>
        <v>"%USERPROFILE%\Documents\GitHub\eaglep3\Utilities\RefineRTDCRunTimes.py" --tripid 209-24 --locoid 4004 --swversion DE.1.0.9.0 --startMP 204:484 --initTime 2017-06-24T17:10:49 --startdatetime 2017-06-24T17:15:15 --delay 1 --endMP 204:233336 --enddatetime 2017-06-24T17:52:43 --enforcementcount 0 &gt;&gt;C:\Users\stu\Documents\GitHub\eaglep3-reporting\EC\2017-06-24-refined-times.txt</v>
      </c>
      <c r="AI122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{"issue":{"subject":"","project_id":79,"tracker_id":40,"status_id":1,"priority_id":2,"assigned_to_id":23,"start_date":"2017-06-24","description":"","custom_fields":[{"id":1,"name":"Subdivision","value":"EC"},{"id":4,"name":"Milepost","value":"23.3336"},{"id":17,"name":"Train ID","value":"209-24"},{"id":16,"name":"Locomotive ID","value":"4004"},{"id":130,"name":"Impact","value":""},{"id":150,"name":"Time of Event (Mountain Time)","value":"17:52:43"},{"id":151,"name":"Denver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7"/>
        <v>start /low /b %USERPROFILE%\Documents\GitHub\eaglep3\Utilities\DownloadLogsFromS3.py --loco 4004 --day 2017-06-24</v>
      </c>
      <c r="AN122" s="151" t="str">
        <f t="shared" si="48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23:52:43"},{"id":29,"name":"Sharepoint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655</v>
      </c>
      <c r="B123" s="7">
        <v>4003</v>
      </c>
      <c r="C123" s="21" t="s">
        <v>202</v>
      </c>
      <c r="D123" s="21" t="s">
        <v>606</v>
      </c>
      <c r="E123" s="13">
        <v>42910.749386574076</v>
      </c>
      <c r="F123" s="13">
        <v>42910.758518518516</v>
      </c>
      <c r="G123" s="7">
        <v>1</v>
      </c>
      <c r="H123" s="21" t="s">
        <v>394</v>
      </c>
      <c r="I123" s="13">
        <v>42910.7890162037</v>
      </c>
      <c r="J123" s="7">
        <v>0</v>
      </c>
      <c r="K123" s="89" t="str">
        <f t="shared" si="35"/>
        <v>4003/4004</v>
      </c>
      <c r="L123" s="21" t="str">
        <f>VLOOKUP(A123,'Trips&amp;Operators'!$C$1:$G$99999,5,FALSE)</f>
        <v>SULLIVAN BRANDON</v>
      </c>
      <c r="M123" s="6">
        <f t="shared" si="36"/>
        <v>3.0497685183945578E-2</v>
      </c>
      <c r="N123" s="7">
        <f t="shared" si="49"/>
        <v>43.916666664881632</v>
      </c>
      <c r="O123" s="7"/>
      <c r="P123" s="7"/>
      <c r="Q123" s="22"/>
      <c r="R123" s="170"/>
      <c r="S123" s="213">
        <f t="shared" si="50"/>
        <v>1</v>
      </c>
      <c r="T123" s="195" t="str">
        <f t="shared" si="37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8"/>
        <v>https://d0f6bd738d7f1b3e5a7ca70fe4ff75f0.us-east-1.aws.found.io/app/kibana#/discover/Steve-Slow-Train-Analysis-(2080s-and-2083s)?_g=(refreshInterval:(display:Off,pause:!f,section:0,value:0),time:(from:'2017-06-24T16:59:07-0600',mode:absolute,to:'2017-06-24T19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3" s="197" t="str">
        <f>IF(AA123&lt;VLOOKUP(AG123,Variables!$AC$3:$AD$8,2,FALSE),"Y","N")</f>
        <v>N</v>
      </c>
      <c r="X123" s="197">
        <f t="shared" si="53"/>
        <v>1</v>
      </c>
      <c r="Y123" s="197">
        <f t="shared" si="51"/>
        <v>23.302499999999998</v>
      </c>
      <c r="Z123" s="197">
        <f t="shared" si="52"/>
        <v>1.54E-2</v>
      </c>
      <c r="AA123" s="197">
        <f t="shared" si="40"/>
        <v>23.287099999999999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41"/>
        <v>210</v>
      </c>
      <c r="AE123" s="77" t="str">
        <f t="shared" si="42"/>
        <v>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 &amp; aws s3 cp s3://rtdc.mdm.uploadarchive.raw/RTDC4003/ "%USERPROFILE%\AppData\Local\Temp\OnboardLogs"\RTDC4003\2017-06-25 --exclude "*" --recursive --include "*20170625*" &amp; "%USERPROFILE%\Documents\GitHub\mrs-test-scripts\Headless Mode &amp; Sideloading\WalkAndUnGZ.bat" "%USERPROFILE%\AppData\Local\Temp\OnboardLogs"\RTDC4003\2017-06-25</v>
      </c>
      <c r="AF123" s="74" t="str">
        <f t="shared" si="43"/>
        <v>"C:\Program Files (x86)\AstroGrep\AstroGrep.exe" /e /r /s /spath="%USERPROFILE%\AppData\Local\Temp\OnboardLogs" /stypes="app*4003*20170625*" /stext=" 00:.+((SYSTEM_STATE.+slice.+state.+changed )|(ment ac)|(multiple cpu faults)|(system.+state.+changed )|(\[timeout)|(PRM\|1\|D)|(kpr)|(kdp)|(train st.+moving)|(\|lc)|(penalty))"</v>
      </c>
      <c r="AG123" s="209" t="str">
        <f t="shared" si="44"/>
        <v>EC</v>
      </c>
      <c r="AH123" s="78" t="str">
        <f t="shared" si="45"/>
        <v>"%USERPROFILE%\Documents\GitHub\eaglep3\Utilities\RefineRTDCRunTimes.py" --tripid 210-24 --locoid 4003 --swversion DE.1.0.9.0 --startMP 204:233025 --initTime 2017-06-24T17:59:07 --startdatetime 2017-06-24T18:12:16 --delay 1 --endMP 204:154 --enddatetime 2017-06-24T18:56:11 --enforcementcount 0 &gt;&gt;C:\Users\stu\Documents\GitHub\eaglep3-reporting\EC\2017-06-24-refined-times.txt</v>
      </c>
      <c r="AI123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{"issue":{"subject":"","project_id":79,"tracker_id":40,"status_id":1,"priority_id":2,"assigned_to_id":23,"start_date":"2017-06-24","description":"","custom_fields":[{"id":1,"name":"Subdivision","value":"EC"},{"id":4,"name":"Milepost","value":"0.0154"},{"id":17,"name":"Train ID","value":"210-24"},{"id":16,"name":"Locomotive ID","value":"4003"},{"id":130,"name":"Impact","value":""},{"id":150,"name":"Time of Event (Mountain Time)","value":"18:56:11"},{"id":151,"name":"Denver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7"/>
        <v>start /low /b %USERPROFILE%\Documents\GitHub\eaglep3\Utilities\DownloadLogsFromS3.py --loco 4003 --day 2017-06-24</v>
      </c>
      <c r="AN123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00:56:11"},{"id":29,"name":"Sharepoint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653</v>
      </c>
      <c r="B124" s="7">
        <v>4014</v>
      </c>
      <c r="C124" s="21" t="s">
        <v>202</v>
      </c>
      <c r="D124" s="21" t="s">
        <v>539</v>
      </c>
      <c r="E124" s="13">
        <v>42910.724270833336</v>
      </c>
      <c r="F124" s="13">
        <v>42910.72934027778</v>
      </c>
      <c r="G124" s="7">
        <v>1</v>
      </c>
      <c r="H124" s="21" t="s">
        <v>601</v>
      </c>
      <c r="I124" s="13">
        <v>42910.755023148151</v>
      </c>
      <c r="J124" s="7">
        <v>0</v>
      </c>
      <c r="K124" s="89" t="str">
        <f t="shared" si="35"/>
        <v>4013/4014</v>
      </c>
      <c r="L124" s="21" t="str">
        <f>VLOOKUP(A124,'Trips&amp;Operators'!$C$1:$G$99999,5,FALSE)</f>
        <v>DELGADO DIANAH</v>
      </c>
      <c r="M124" s="6">
        <f t="shared" si="36"/>
        <v>2.5682870371383615E-2</v>
      </c>
      <c r="N124" s="7">
        <f t="shared" si="49"/>
        <v>36.983333334792405</v>
      </c>
      <c r="O124" s="7"/>
      <c r="P124" s="7"/>
      <c r="Q124" s="22"/>
      <c r="R124" s="170"/>
      <c r="S124" s="213">
        <f t="shared" si="50"/>
        <v>1</v>
      </c>
      <c r="T124" s="195" t="str">
        <f t="shared" si="37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8"/>
        <v>https://d0f6bd738d7f1b3e5a7ca70fe4ff75f0.us-east-1.aws.found.io/app/kibana#/discover/Steve-Slow-Train-Analysis-(2080s-and-2083s)?_g=(refreshInterval:(display:Off,pause:!f,section:0,value:0),time:(from:'2017-06-24T16:22:57-0600',mode:absolute,to:'2017-06-24T19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4" s="197" t="str">
        <f>IF(AA124&lt;VLOOKUP(AG124,Variables!$AC$3:$AD$8,2,FALSE),"Y","N")</f>
        <v>N</v>
      </c>
      <c r="X124" s="197">
        <f t="shared" si="53"/>
        <v>1</v>
      </c>
      <c r="Y124" s="197">
        <f t="shared" si="51"/>
        <v>4.3999999999999997E-2</v>
      </c>
      <c r="Z124" s="197">
        <f t="shared" si="52"/>
        <v>23.332899999999999</v>
      </c>
      <c r="AA124" s="197">
        <f t="shared" si="40"/>
        <v>23.288899999999998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41"/>
        <v>211</v>
      </c>
      <c r="AE124" s="77" t="str">
        <f t="shared" si="42"/>
        <v>aws s3 cp s3://rtdc.mdm.uploadarchive.raw/RTDC4014/ "%USERPROFILE%\AppData\Local\Temp\OnboardLogs"\RTDC4014\2017-06-24 --exclude "*" --recursive --include "*20170624*" &amp; "%USERPROFILE%\Documents\GitHub\mrs-test-scripts\Headless Mode &amp; Sideloading\WalkAndUnGZ.bat" "%USERPROFILE%\AppData\Local\Temp\OnboardLogs"\RTDC4014\2017-06-24 &amp; aws s3 cp s3://rtdc.mdm.uploadarchive.raw/RTDC4014/ "%USERPROFILE%\AppData\Local\Temp\OnboardLogs"\RTDC4014\2017-06-25 --exclude "*" --recursive --include "*20170625*" &amp; "%USERPROFILE%\Documents\GitHub\mrs-test-scripts\Headless Mode &amp; Sideloading\WalkAndUnGZ.bat" "%USERPROFILE%\AppData\Local\Temp\OnboardLogs"\RTDC4014\2017-06-25</v>
      </c>
      <c r="AF124" s="74" t="str">
        <f t="shared" si="43"/>
        <v>"C:\Program Files (x86)\AstroGrep\AstroGrep.exe" /e /r /s /spath="%USERPROFILE%\AppData\Local\Temp\OnboardLogs" /stypes="app*4014*20170625*" /stext=" 00:.+((SYSTEM_STATE.+slice.+state.+changed )|(ment ac)|(multiple cpu faults)|(system.+state.+changed )|(\[timeout)|(PRM\|1\|D)|(kpr)|(kdp)|(train st.+moving)|(\|lc)|(penalty))"</v>
      </c>
      <c r="AG124" s="209" t="str">
        <f t="shared" si="44"/>
        <v>EC</v>
      </c>
      <c r="AH124" s="78" t="str">
        <f t="shared" si="45"/>
        <v>"%USERPROFILE%\Documents\GitHub\eaglep3\Utilities\RefineRTDCRunTimes.py" --tripid 211-24 --locoid 4014 --swversion DE.1.0.9.0 --startMP 204:440 --initTime 2017-06-24T17:22:57 --startdatetime 2017-06-24T17:30:15 --delay 1 --endMP 204:233329 --enddatetime 2017-06-24T18:07:14 --enforcementcount 0 &gt;&gt;C:\Users\stu\Documents\GitHub\eaglep3-reporting\EC\2017-06-24-refined-times.txt</v>
      </c>
      <c r="AI124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{"issue":{"subject":"","project_id":79,"tracker_id":40,"status_id":1,"priority_id":2,"assigned_to_id":23,"start_date":"2017-06-24","description":"","custom_fields":[{"id":1,"name":"Subdivision","value":"EC"},{"id":4,"name":"Milepost","value":"23.3329"},{"id":17,"name":"Train ID","value":"211-24"},{"id":16,"name":"Locomotive ID","value":"4014"},{"id":130,"name":"Impact","value":""},{"id":150,"name":"Time of Event (Mountain Time)","value":"18:07:14"},{"id":151,"name":"Denver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7"/>
        <v>start /low /b %USERPROFILE%\Documents\GitHub\eaglep3\Utilities\DownloadLogsFromS3.py --loco 4014 --day 2017-06-24</v>
      </c>
      <c r="AN124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00:07:14"},{"id":29,"name":"Sharepoint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825</v>
      </c>
      <c r="B125" s="7">
        <v>4013</v>
      </c>
      <c r="C125" s="21" t="s">
        <v>202</v>
      </c>
      <c r="D125" s="21" t="s">
        <v>881</v>
      </c>
      <c r="E125" s="13">
        <v>42910.758923611109</v>
      </c>
      <c r="F125" s="13">
        <v>42910.76898148148</v>
      </c>
      <c r="G125" s="7">
        <v>3</v>
      </c>
      <c r="H125" s="21" t="s">
        <v>348</v>
      </c>
      <c r="I125" s="13">
        <v>42910.794988425929</v>
      </c>
      <c r="J125" s="7">
        <v>0</v>
      </c>
      <c r="K125" s="89" t="str">
        <f t="shared" si="35"/>
        <v>4013/4014</v>
      </c>
      <c r="L125" s="21" t="str">
        <f>VLOOKUP(A125,'Trips&amp;Operators'!$C$1:$G$99999,5,FALSE)</f>
        <v>DELGADO DIANAH</v>
      </c>
      <c r="M125" s="6">
        <f t="shared" si="36"/>
        <v>2.6006944448454306E-2</v>
      </c>
      <c r="N125" s="7">
        <f t="shared" si="49"/>
        <v>37.4500000057742</v>
      </c>
      <c r="O125" s="7"/>
      <c r="P125" s="7"/>
      <c r="Q125" s="22"/>
      <c r="R125" s="170"/>
      <c r="S125" s="213">
        <f t="shared" si="50"/>
        <v>1</v>
      </c>
      <c r="T125" s="195" t="str">
        <f t="shared" si="37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8"/>
        <v>https://d0f6bd738d7f1b3e5a7ca70fe4ff75f0.us-east-1.aws.found.io/app/kibana#/discover/Steve-Slow-Train-Analysis-(2080s-and-2083s)?_g=(refreshInterval:(display:Off,pause:!f,section:0,value:0),time:(from:'2017-06-24T17:12:51-0600',mode:absolute,to:'2017-06-24T20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5" s="197" t="str">
        <f>IF(AA125&lt;VLOOKUP(AG125,Variables!$AC$3:$AD$8,2,FALSE),"Y","N")</f>
        <v>N</v>
      </c>
      <c r="X125" s="197">
        <f t="shared" ref="X125:X135" si="54">VALUE(LEFT(AD125,4))-VALUE(LEFT(AD124,4))</f>
        <v>1</v>
      </c>
      <c r="Y125" s="197">
        <f t="shared" si="51"/>
        <v>23.302099999999999</v>
      </c>
      <c r="Z125" s="197">
        <f t="shared" si="52"/>
        <v>1.4999999999999999E-2</v>
      </c>
      <c r="AA125" s="197">
        <f t="shared" si="40"/>
        <v>23.287099999999999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41"/>
        <v>212</v>
      </c>
      <c r="AE125" s="77" t="str">
        <f t="shared" si="42"/>
        <v>aws s3 cp s3://rtdc.mdm.uploadarchive.raw/RTDC4013/ "%USERPROFILE%\AppData\Local\Temp\OnboardLogs"\RTDC4013\2017-06-24 --exclude "*" --recursive --include "*20170624*" &amp; "%USERPROFILE%\Documents\GitHub\mrs-test-scripts\Headless Mode &amp; Sideloading\WalkAndUnGZ.bat" "%USERPROFILE%\AppData\Local\Temp\OnboardLogs"\RTDC4013\2017-06-24 &amp; aws s3 cp s3://rtdc.mdm.uploadarchive.raw/RTDC4013/ "%USERPROFILE%\AppData\Local\Temp\OnboardLogs"\RTDC4013\2017-06-25 --exclude "*" --recursive --include "*20170625*" &amp; "%USERPROFILE%\Documents\GitHub\mrs-test-scripts\Headless Mode &amp; Sideloading\WalkAndUnGZ.bat" "%USERPROFILE%\AppData\Local\Temp\OnboardLogs"\RTDC4013\2017-06-25</v>
      </c>
      <c r="AF125" s="74" t="str">
        <f t="shared" si="43"/>
        <v>"C:\Program Files (x86)\AstroGrep\AstroGrep.exe" /e /r /s /spath="%USERPROFILE%\AppData\Local\Temp\OnboardLogs" /stypes="app*4013*20170625*" /stext=" 01:.+((SYSTEM_STATE.+slice.+state.+changed )|(ment ac)|(multiple cpu faults)|(system.+state.+changed )|(\[timeout)|(PRM\|1\|D)|(kpr)|(kdp)|(train st.+moving)|(\|lc)|(penalty))"</v>
      </c>
      <c r="AG125" s="209" t="str">
        <f t="shared" si="44"/>
        <v>EC</v>
      </c>
      <c r="AH125" s="78" t="str">
        <f t="shared" si="45"/>
        <v>"%USERPROFILE%\Documents\GitHub\eaglep3\Utilities\RefineRTDCRunTimes.py" --tripid 212-24 --locoid 4013 --swversion DE.1.0.9.0 --startMP 204:233021 --initTime 2017-06-24T18:12:51 --startdatetime 2017-06-24T18:27:20 --delay 3 --endMP 204:150 --enddatetime 2017-06-24T19:04:47 --enforcementcount 0 &gt;&gt;C:\Users\stu\Documents\GitHub\eaglep3-reporting\EC\2017-06-24-refined-times.txt</v>
      </c>
      <c r="AI125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{"issue":{"subject":"","project_id":79,"tracker_id":40,"status_id":1,"priority_id":2,"assigned_to_id":23,"start_date":"2017-06-24","description":"","custom_fields":[{"id":1,"name":"Subdivision","value":"EC"},{"id":4,"name":"Milepost","value":"0.015"},{"id":17,"name":"Train ID","value":"212-24"},{"id":16,"name":"Locomotive ID","value":"4013"},{"id":130,"name":"Impact","value":""},{"id":150,"name":"Time of Event (Mountain Time)","value":"19:04:47"},{"id":151,"name":"Denver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7"/>
        <v>start /low /b %USERPROFILE%\Documents\GitHub\eaglep3\Utilities\DownloadLogsFromS3.py --loco 4013 --day 2017-06-24</v>
      </c>
      <c r="AN125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01:04:47"},{"id":29,"name":"Sharepoint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654</v>
      </c>
      <c r="B126" s="7">
        <v>4042</v>
      </c>
      <c r="C126" s="21" t="s">
        <v>202</v>
      </c>
      <c r="D126" s="21" t="s">
        <v>947</v>
      </c>
      <c r="E126" s="13">
        <v>42910.756898148145</v>
      </c>
      <c r="F126" s="13">
        <v>42910.757800925923</v>
      </c>
      <c r="G126" s="7">
        <v>0</v>
      </c>
      <c r="H126" s="21" t="s">
        <v>594</v>
      </c>
      <c r="I126" s="13">
        <v>42910.768437500003</v>
      </c>
      <c r="J126" s="7">
        <v>0</v>
      </c>
      <c r="K126" s="89" t="str">
        <f t="shared" si="35"/>
        <v>4041/4042</v>
      </c>
      <c r="L126" s="21" t="str">
        <f>VLOOKUP(A126,'Trips&amp;Operators'!$C$1:$G$99999,5,FALSE)</f>
        <v>YANG JAN</v>
      </c>
      <c r="M126" s="6">
        <f t="shared" si="36"/>
        <v>1.0636574079398997E-2</v>
      </c>
      <c r="N126" s="7"/>
      <c r="O126" s="7"/>
      <c r="P126" s="7">
        <f>24*60*SUM($M126:$M126)</f>
        <v>15.316666674334556</v>
      </c>
      <c r="Q126" s="22"/>
      <c r="R126" s="170" t="s">
        <v>630</v>
      </c>
      <c r="S126" s="213">
        <f>SUM(U126:U127)/IF(AG126="EC",12,1)</f>
        <v>0.83333333333333337</v>
      </c>
      <c r="T126" s="195" t="str">
        <f t="shared" si="37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0</v>
      </c>
      <c r="V126" s="196" t="str">
        <f t="shared" si="38"/>
        <v>https://d0f6bd738d7f1b3e5a7ca70fe4ff75f0.us-east-1.aws.found.io/app/kibana#/discover/Steve-Slow-Train-Analysis-(2080s-and-2083s)?_g=(refreshInterval:(display:Off,pause:!f,section:0,value:0),time:(from:'2017-06-24T17:09:56-0600',mode:absolute,to:'2017-06-24T19:26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6" s="197" t="str">
        <f>IF(AA126&lt;VLOOKUP(AG126,Variables!$AC$3:$AD$8,2,FALSE),"Y","N")</f>
        <v>Y</v>
      </c>
      <c r="X126" s="197">
        <f t="shared" si="54"/>
        <v>1</v>
      </c>
      <c r="Y126" s="197">
        <f t="shared" si="51"/>
        <v>12.8278</v>
      </c>
      <c r="Z126" s="197">
        <f t="shared" si="52"/>
        <v>23.3368</v>
      </c>
      <c r="AA126" s="197">
        <f t="shared" si="40"/>
        <v>10.509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41"/>
        <v>213</v>
      </c>
      <c r="AE126" s="77" t="str">
        <f t="shared" si="42"/>
        <v>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 &amp; 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</v>
      </c>
      <c r="AF126" s="74" t="str">
        <f t="shared" si="43"/>
        <v>"C:\Program Files (x86)\AstroGrep\AstroGrep.exe" /e /r /s /spath="%USERPROFILE%\AppData\Local\Temp\OnboardLogs" /stypes="app*4042*20170625*" /stext=" 00:.+((SYSTEM_STATE.+slice.+state.+changed )|(ment ac)|(multiple cpu faults)|(system.+state.+changed )|(\[timeout)|(PRM\|1\|D)|(kpr)|(kdp)|(train st.+moving)|(\|lc)|(penalty))"</v>
      </c>
      <c r="AG126" s="209" t="str">
        <f t="shared" si="44"/>
        <v>EC</v>
      </c>
      <c r="AH126" s="78" t="str">
        <f t="shared" si="45"/>
        <v>"%USERPROFILE%\Documents\GitHub\eaglep3\Utilities\RefineRTDCRunTimes.py" --tripid 213-24 --locoid 4042 --swversion DE.1.0.9.0 --startMP 204:128278 --initTime 2017-06-24T18:09:56 --startdatetime 2017-06-24T18:11:14 --delay 0 --endMP 204:233368 --enddatetime 2017-06-24T18:26:33 --enforcementcount 0 &gt;&gt;C:\Users\stu\Documents\GitHub\eaglep3-reporting\EC\2017-06-24-refined-times.txt</v>
      </c>
      <c r="AI126" s="96" t="str">
        <f t="shared" si="46"/>
        <v>echo {"issue":{"subject":"Wi-MAX data drop","project_id":79,"tracker_id":40,"status_id":1,"priority_id":2,"assigned_to_id":23,"start_date":"2017-06-24","description":"","custom_fields":[{"id":1,"name":"Subdivision","value":"EC"},{"id":4,"name":"Milepost","value":"23.3368"},{"id":17,"name":"Train ID","value":"213-24"},{"id":16,"name":"Locomotive ID","value":"4042"},{"id":130,"name":"Impact","value":""},{"id":150,"name":"Time of Event (Mountain Time)","value":"18:26:33"},{"id":151,"name":"Denver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7"/>
        <v>start /low /b %USERPROFILE%\Documents\GitHub\eaglep3\Utilities\DownloadLogsFromS3.py --loco 4042 --day 2017-06-24</v>
      </c>
      <c r="AN126" s="151" t="str">
        <f t="shared" si="48"/>
        <v>echo {"issue":{"subject":"Wi-MAX data drop","project_id":30,"tracker_id":4,"status_id":1,"priority_id":1,"assigned_to_id":10,"start_date":"2017-06-25","description":"","custom_fields":[{"id":30,"name":"Category","value":"Issue"},{"id":3,"name":"Functional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00:26:33"},{"id":29,"name":"Sharepoint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654</v>
      </c>
      <c r="B127" s="7">
        <v>4042</v>
      </c>
      <c r="C127" s="21" t="s">
        <v>202</v>
      </c>
      <c r="D127" s="21" t="s">
        <v>474</v>
      </c>
      <c r="E127" s="13">
        <v>42910.737384259257</v>
      </c>
      <c r="F127" s="13">
        <v>42910.757800925923</v>
      </c>
      <c r="G127" s="7">
        <v>1</v>
      </c>
      <c r="H127" s="21" t="s">
        <v>948</v>
      </c>
      <c r="I127" s="13">
        <v>42910.768437500003</v>
      </c>
      <c r="J127" s="7">
        <v>0</v>
      </c>
      <c r="K127" s="89" t="str">
        <f t="shared" si="35"/>
        <v>4041/4042</v>
      </c>
      <c r="L127" s="21" t="str">
        <f>VLOOKUP(A127,'Trips&amp;Operators'!$C$1:$G$99999,5,FALSE)</f>
        <v>YANG JAN</v>
      </c>
      <c r="M127" s="6">
        <f t="shared" si="36"/>
        <v>1.0636574079398997E-2</v>
      </c>
      <c r="N127" s="7"/>
      <c r="O127" s="7"/>
      <c r="P127" s="7"/>
      <c r="Q127" s="22"/>
      <c r="R127" s="170"/>
      <c r="S127" s="213"/>
      <c r="T127" s="195" t="str">
        <f t="shared" si="37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10</v>
      </c>
      <c r="V127" s="196" t="str">
        <f t="shared" si="38"/>
        <v>https://d0f6bd738d7f1b3e5a7ca70fe4ff75f0.us-east-1.aws.found.io/app/kibana#/discover/Steve-Slow-Train-Analysis-(2080s-and-2083s)?_g=(refreshInterval:(display:Off,pause:!f,section:0,value:0),time:(from:'2017-06-24T16:41:50-0600',mode:absolute,to:'2017-06-24T19:26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7" s="197" t="str">
        <f>IF(AA127&lt;VLOOKUP(AG127,Variables!$AC$3:$AD$8,2,FALSE),"Y","N")</f>
        <v>Y</v>
      </c>
      <c r="X127" s="197">
        <f t="shared" si="54"/>
        <v>0</v>
      </c>
      <c r="Y127" s="197">
        <f t="shared" si="51"/>
        <v>4.5499999999999999E-2</v>
      </c>
      <c r="Z127" s="197">
        <f t="shared" si="52"/>
        <v>8.8416999999999994</v>
      </c>
      <c r="AA127" s="197">
        <f t="shared" si="40"/>
        <v>8.7961999999999989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41"/>
        <v>213</v>
      </c>
      <c r="AE127" s="77" t="str">
        <f t="shared" si="42"/>
        <v>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 &amp; 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</v>
      </c>
      <c r="AF127" s="74" t="str">
        <f t="shared" si="43"/>
        <v>"C:\Program Files (x86)\AstroGrep\AstroGrep.exe" /e /r /s /spath="%USERPROFILE%\AppData\Local\Temp\OnboardLogs" /stypes="app*4042*20170625*" /stext=" 00:.+((SYSTEM_STATE.+slice.+state.+changed )|(ment ac)|(multiple cpu faults)|(system.+state.+changed )|(\[timeout)|(PRM\|1\|D)|(kpr)|(kdp)|(train st.+moving)|(\|lc)|(penalty))"</v>
      </c>
      <c r="AG127" s="209" t="str">
        <f t="shared" si="44"/>
        <v>EC</v>
      </c>
      <c r="AH127" s="78" t="str">
        <f t="shared" si="45"/>
        <v>"%USERPROFILE%\Documents\GitHub\eaglep3\Utilities\RefineRTDCRunTimes.py" --tripid 213-24 --locoid 4042 --swversion DE.1.0.9.0 --startMP 204:455 --initTime 2017-06-24T17:41:50 --startdatetime 2017-06-24T18:11:14 --delay 1 --endMP 204:88417 --enddatetime 2017-06-24T18:26:33 --enforcementcount 0 &gt;&gt;C:\Users\stu\Documents\GitHub\eaglep3-reporting\EC\2017-06-24-refined-times.txt</v>
      </c>
      <c r="AI127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{"issue":{"subject":"","project_id":79,"tracker_id":40,"status_id":1,"priority_id":2,"assigned_to_id":23,"start_date":"2017-06-24","description":"","custom_fields":[{"id":1,"name":"Subdivision","value":"EC"},{"id":4,"name":"Milepost","value":"8.8417"},{"id":17,"name":"Train ID","value":"213-24"},{"id":16,"name":"Locomotive ID","value":"4042"},{"id":130,"name":"Impact","value":""},{"id":150,"name":"Time of Event (Mountain Time)","value":"18:26:33"},{"id":151,"name":"Denver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7"/>
        <v>start /low /b %USERPROFILE%\Documents\GitHub\eaglep3\Utilities\DownloadLogsFromS3.py --loco 4042 --day 2017-06-24</v>
      </c>
      <c r="AN127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00:26:33"},{"id":29,"name":"Sharepoint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827</v>
      </c>
      <c r="B128" s="7">
        <v>4041</v>
      </c>
      <c r="C128" s="21" t="s">
        <v>202</v>
      </c>
      <c r="D128" s="21" t="s">
        <v>596</v>
      </c>
      <c r="E128" s="13">
        <v>42910.775648148148</v>
      </c>
      <c r="F128" s="13">
        <v>42910.779652777775</v>
      </c>
      <c r="G128" s="7">
        <v>1</v>
      </c>
      <c r="H128" s="21" t="s">
        <v>348</v>
      </c>
      <c r="I128" s="13">
        <v>42910.805995370371</v>
      </c>
      <c r="J128" s="7">
        <v>0</v>
      </c>
      <c r="K128" s="89" t="str">
        <f t="shared" si="35"/>
        <v>4041/4042</v>
      </c>
      <c r="L128" s="21" t="str">
        <f>VLOOKUP(A128,'Trips&amp;Operators'!$C$1:$G$99999,5,FALSE)</f>
        <v>YANG JAN</v>
      </c>
      <c r="M128" s="6">
        <f t="shared" si="36"/>
        <v>2.6342592595028691E-2</v>
      </c>
      <c r="N128" s="7">
        <f t="shared" ref="N128:N174" si="55">24*60*SUM($M128:$M128)</f>
        <v>37.933333336841315</v>
      </c>
      <c r="O128" s="7"/>
      <c r="P128" s="7"/>
      <c r="Q128" s="22"/>
      <c r="R128" s="170"/>
      <c r="S128" s="213">
        <f t="shared" ref="S128:S159" si="56">SUM(U128:U128)/IF(AG128="EC",12,1)</f>
        <v>1</v>
      </c>
      <c r="T128" s="195" t="str">
        <f t="shared" si="37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8"/>
        <v>https://d0f6bd738d7f1b3e5a7ca70fe4ff75f0.us-east-1.aws.found.io/app/kibana#/discover/Steve-Slow-Train-Analysis-(2080s-and-2083s)?_g=(refreshInterval:(display:Off,pause:!f,section:0,value:0),time:(from:'2017-06-24T17:36:56-0600',mode:absolute,to:'2017-06-24T20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8" s="197" t="str">
        <f>IF(AA128&lt;VLOOKUP(AG128,Variables!$AC$3:$AD$8,2,FALSE),"Y","N")</f>
        <v>N</v>
      </c>
      <c r="X128" s="197">
        <f t="shared" si="54"/>
        <v>1</v>
      </c>
      <c r="Y128" s="197">
        <f t="shared" si="51"/>
        <v>23.302800000000001</v>
      </c>
      <c r="Z128" s="197">
        <f t="shared" si="52"/>
        <v>1.4999999999999999E-2</v>
      </c>
      <c r="AA128" s="197">
        <f t="shared" si="40"/>
        <v>23.287800000000001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41"/>
        <v>214</v>
      </c>
      <c r="AE128" s="77" t="str">
        <f t="shared" si="42"/>
        <v>aws s3 cp s3://rtdc.mdm.uploadarchive.raw/RTDC4041/ "%USERPROFILE%\AppData\Local\Temp\OnboardLogs"\RTDC4041\2017-06-24 --exclude "*" --recursive --include "*20170624*" &amp; "%USERPROFILE%\Documents\GitHub\mrs-test-scripts\Headless Mode &amp; Sideloading\WalkAndUnGZ.bat" "%USERPROFILE%\AppData\Local\Temp\OnboardLogs"\RTDC4041\2017-06-24 &amp; aws s3 cp s3://rtdc.mdm.uploadarchive.raw/RTDC4041/ "%USERPROFILE%\AppData\Local\Temp\OnboardLogs"\RTDC4041\2017-06-25 --exclude "*" --recursive --include "*20170625*" &amp; "%USERPROFILE%\Documents\GitHub\mrs-test-scripts\Headless Mode &amp; Sideloading\WalkAndUnGZ.bat" "%USERPROFILE%\AppData\Local\Temp\OnboardLogs"\RTDC4041\2017-06-25</v>
      </c>
      <c r="AF128" s="74" t="str">
        <f t="shared" si="43"/>
        <v>"C:\Program Files (x86)\AstroGrep\AstroGrep.exe" /e /r /s /spath="%USERPROFILE%\AppData\Local\Temp\OnboardLogs" /stypes="app*4041*20170625*" /stext=" 01:.+((SYSTEM_STATE.+slice.+state.+changed )|(ment ac)|(multiple cpu faults)|(system.+state.+changed )|(\[timeout)|(PRM\|1\|D)|(kpr)|(kdp)|(train st.+moving)|(\|lc)|(penalty))"</v>
      </c>
      <c r="AG128" s="209" t="str">
        <f t="shared" si="44"/>
        <v>EC</v>
      </c>
      <c r="AH128" s="78" t="str">
        <f t="shared" si="45"/>
        <v>"%USERPROFILE%\Documents\GitHub\eaglep3\Utilities\RefineRTDCRunTimes.py" --tripid 214-24 --locoid 4041 --swversion DE.1.0.9.0 --startMP 204:233028 --initTime 2017-06-24T18:36:56 --startdatetime 2017-06-24T18:42:42 --delay 1 --endMP 204:150 --enddatetime 2017-06-24T19:20:38 --enforcementcount 0 &gt;&gt;C:\Users\stu\Documents\GitHub\eaglep3-reporting\EC\2017-06-24-refined-times.txt</v>
      </c>
      <c r="AI128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{"issue":{"subject":"","project_id":79,"tracker_id":40,"status_id":1,"priority_id":2,"assigned_to_id":23,"start_date":"2017-06-24","description":"","custom_fields":[{"id":1,"name":"Subdivision","value":"EC"},{"id":4,"name":"Milepost","value":"0.015"},{"id":17,"name":"Train ID","value":"214-24"},{"id":16,"name":"Locomotive ID","value":"4041"},{"id":130,"name":"Impact","value":""},{"id":150,"name":"Time of Event (Mountain Time)","value":"19:20:38"},{"id":151,"name":"Denver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7"/>
        <v>start /low /b %USERPROFILE%\Documents\GitHub\eaglep3\Utilities\DownloadLogsFromS3.py --loco 4041 --day 2017-06-24</v>
      </c>
      <c r="AN128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01:20:38"},{"id":29,"name":"Sharepoint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823</v>
      </c>
      <c r="B129" s="7">
        <v>4016</v>
      </c>
      <c r="C129" s="21" t="s">
        <v>202</v>
      </c>
      <c r="D129" s="21" t="s">
        <v>198</v>
      </c>
      <c r="E129" s="13">
        <v>42910.748182870368</v>
      </c>
      <c r="F129" s="13">
        <v>42910.750196759262</v>
      </c>
      <c r="G129" s="7">
        <v>1</v>
      </c>
      <c r="H129" s="21" t="s">
        <v>591</v>
      </c>
      <c r="I129" s="13">
        <v>42910.776701388888</v>
      </c>
      <c r="J129" s="7">
        <v>0</v>
      </c>
      <c r="K129" s="89" t="str">
        <f t="shared" si="35"/>
        <v>4015/4016</v>
      </c>
      <c r="L129" s="21" t="str">
        <f>VLOOKUP(A129,'Trips&amp;Operators'!$C$1:$G$99999,5,FALSE)</f>
        <v>HART KEVIN</v>
      </c>
      <c r="M129" s="6">
        <f t="shared" si="36"/>
        <v>2.6504629626288079E-2</v>
      </c>
      <c r="N129" s="7">
        <f t="shared" si="55"/>
        <v>38.166666661854833</v>
      </c>
      <c r="O129" s="7"/>
      <c r="P129" s="7"/>
      <c r="Q129" s="22"/>
      <c r="R129" s="170"/>
      <c r="S129" s="213">
        <f t="shared" si="56"/>
        <v>1</v>
      </c>
      <c r="T129" s="195" t="str">
        <f t="shared" si="37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8"/>
        <v>https://d0f6bd738d7f1b3e5a7ca70fe4ff75f0.us-east-1.aws.found.io/app/kibana#/discover/Steve-Slow-Train-Analysis-(2080s-and-2083s)?_g=(refreshInterval:(display:Off,pause:!f,section:0,value:0),time:(from:'2017-06-24T16:57:23-0600',mode:absolute,to:'2017-06-24T19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9" s="197" t="str">
        <f>IF(AA129&lt;VLOOKUP(AG129,Variables!$AC$3:$AD$8,2,FALSE),"Y","N")</f>
        <v>N</v>
      </c>
      <c r="X129" s="197">
        <f t="shared" si="54"/>
        <v>1</v>
      </c>
      <c r="Y129" s="197">
        <f t="shared" si="51"/>
        <v>4.5699999999999998E-2</v>
      </c>
      <c r="Z129" s="197">
        <f t="shared" si="52"/>
        <v>23.332100000000001</v>
      </c>
      <c r="AA129" s="197">
        <f t="shared" si="40"/>
        <v>23.2864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41"/>
        <v>215</v>
      </c>
      <c r="AE129" s="77" t="str">
        <f t="shared" si="42"/>
        <v>aws s3 cp s3://rtdc.mdm.uploadarchive.raw/RTDC4016/ "%USERPROFILE%\AppData\Local\Temp\OnboardLogs"\RTDC4016\2017-06-24 --exclude "*" --recursive --include "*20170624*" &amp; "%USERPROFILE%\Documents\GitHub\mrs-test-scripts\Headless Mode &amp; Sideloading\WalkAndUnGZ.bat" "%USERPROFILE%\AppData\Local\Temp\OnboardLogs"\RTDC4016\2017-06-24 &amp; aws s3 cp s3://rtdc.mdm.uploadarchive.raw/RTDC4016/ "%USERPROFILE%\AppData\Local\Temp\OnboardLogs"\RTDC4016\2017-06-25 --exclude "*" --recursive --include "*20170625*" &amp; "%USERPROFILE%\Documents\GitHub\mrs-test-scripts\Headless Mode &amp; Sideloading\WalkAndUnGZ.bat" "%USERPROFILE%\AppData\Local\Temp\OnboardLogs"\RTDC4016\2017-06-25</v>
      </c>
      <c r="AF129" s="74" t="str">
        <f t="shared" si="43"/>
        <v>"C:\Program Files (x86)\AstroGrep\AstroGrep.exe" /e /r /s /spath="%USERPROFILE%\AppData\Local\Temp\OnboardLogs" /stypes="app*4016*20170625*" /stext=" 00:.+((SYSTEM_STATE.+slice.+state.+changed )|(ment ac)|(multiple cpu faults)|(system.+state.+changed )|(\[timeout)|(PRM\|1\|D)|(kpr)|(kdp)|(train st.+moving)|(\|lc)|(penalty))"</v>
      </c>
      <c r="AG129" s="209" t="str">
        <f t="shared" si="44"/>
        <v>EC</v>
      </c>
      <c r="AH129" s="78" t="str">
        <f t="shared" si="45"/>
        <v>"%USERPROFILE%\Documents\GitHub\eaglep3\Utilities\RefineRTDCRunTimes.py" --tripid 215-24 --locoid 4016 --swversion DE.1.0.9.0 --startMP 204:457 --initTime 2017-06-24T17:57:23 --startdatetime 2017-06-24T18:00:17 --delay 1 --endMP 204:233321 --enddatetime 2017-06-24T18:38:27 --enforcementcount 0 &gt;&gt;C:\Users\stu\Documents\GitHub\eaglep3-reporting\EC\2017-06-24-refined-times.txt</v>
      </c>
      <c r="AI129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{"issue":{"subject":"","project_id":79,"tracker_id":40,"status_id":1,"priority_id":2,"assigned_to_id":23,"start_date":"2017-06-24","description":"","custom_fields":[{"id":1,"name":"Subdivision","value":"EC"},{"id":4,"name":"Milepost","value":"23.3321"},{"id":17,"name":"Train ID","value":"215-24"},{"id":16,"name":"Locomotive ID","value":"4016"},{"id":130,"name":"Impact","value":""},{"id":150,"name":"Time of Event (Mountain Time)","value":"18:38:27"},{"id":151,"name":"Denver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7"/>
        <v>start /low /b %USERPROFILE%\Documents\GitHub\eaglep3\Utilities\DownloadLogsFromS3.py --loco 4016 --day 2017-06-24</v>
      </c>
      <c r="AN129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00:38:27"},{"id":29,"name":"Sharepoint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830</v>
      </c>
      <c r="B130" s="7">
        <v>4015</v>
      </c>
      <c r="C130" s="21" t="s">
        <v>202</v>
      </c>
      <c r="D130" s="21" t="s">
        <v>585</v>
      </c>
      <c r="E130" s="13">
        <v>42910.787824074076</v>
      </c>
      <c r="F130" s="13">
        <v>42910.789768518516</v>
      </c>
      <c r="G130" s="7">
        <v>1</v>
      </c>
      <c r="H130" s="21" t="s">
        <v>541</v>
      </c>
      <c r="I130" s="13">
        <v>42910.815775462965</v>
      </c>
      <c r="J130" s="7">
        <v>0</v>
      </c>
      <c r="K130" s="89" t="str">
        <f t="shared" si="35"/>
        <v>4015/4016</v>
      </c>
      <c r="L130" s="21" t="str">
        <f>VLOOKUP(A130,'Trips&amp;Operators'!$C$1:$G$99999,5,FALSE)</f>
        <v>HART KEVIN</v>
      </c>
      <c r="M130" s="6">
        <f t="shared" si="36"/>
        <v>2.6006944448454306E-2</v>
      </c>
      <c r="N130" s="7">
        <f t="shared" si="55"/>
        <v>37.4500000057742</v>
      </c>
      <c r="O130" s="7"/>
      <c r="P130" s="7"/>
      <c r="Q130" s="22"/>
      <c r="R130" s="170"/>
      <c r="S130" s="213">
        <f t="shared" si="56"/>
        <v>1</v>
      </c>
      <c r="T130" s="195" t="str">
        <f t="shared" si="37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8"/>
        <v>https://d0f6bd738d7f1b3e5a7ca70fe4ff75f0.us-east-1.aws.found.io/app/kibana#/discover/Steve-Slow-Train-Analysis-(2080s-and-2083s)?_g=(refreshInterval:(display:Off,pause:!f,section:0,value:0),time:(from:'2017-06-24T17:54:28-0600',mode:absolute,to:'2017-06-24T20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0" s="197" t="str">
        <f>IF(AA130&lt;VLOOKUP(AG130,Variables!$AC$3:$AD$8,2,FALSE),"Y","N")</f>
        <v>N</v>
      </c>
      <c r="X130" s="197">
        <f t="shared" si="54"/>
        <v>1</v>
      </c>
      <c r="Y130" s="197">
        <f t="shared" si="51"/>
        <v>23.300599999999999</v>
      </c>
      <c r="Z130" s="197">
        <f t="shared" si="52"/>
        <v>1.6500000000000001E-2</v>
      </c>
      <c r="AA130" s="197">
        <f t="shared" si="40"/>
        <v>23.284099999999999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41"/>
        <v>216</v>
      </c>
      <c r="AE130" s="77" t="str">
        <f t="shared" si="42"/>
        <v>aws s3 cp s3://rtdc.mdm.uploadarchive.raw/RTDC4015/ "%USERPROFILE%\AppData\Local\Temp\OnboardLogs"\RTDC4015\2017-06-24 --exclude "*" --recursive --include "*20170624*" &amp; "%USERPROFILE%\Documents\GitHub\mrs-test-scripts\Headless Mode &amp; Sideloading\WalkAndUnGZ.bat" "%USERPROFILE%\AppData\Local\Temp\OnboardLogs"\RTDC4015\2017-06-24 &amp; aws s3 cp s3://rtdc.mdm.uploadarchive.raw/RTDC4015/ "%USERPROFILE%\AppData\Local\Temp\OnboardLogs"\RTDC4015\2017-06-25 --exclude "*" --recursive --include "*20170625*" &amp; "%USERPROFILE%\Documents\GitHub\mrs-test-scripts\Headless Mode &amp; Sideloading\WalkAndUnGZ.bat" "%USERPROFILE%\AppData\Local\Temp\OnboardLogs"\RTDC4015\2017-06-25</v>
      </c>
      <c r="AF130" s="74" t="str">
        <f t="shared" si="43"/>
        <v>"C:\Program Files (x86)\AstroGrep\AstroGrep.exe" /e /r /s /spath="%USERPROFILE%\AppData\Local\Temp\OnboardLogs" /stypes="app*4015*20170625*" /stext=" 01:.+((SYSTEM_STATE.+slice.+state.+changed )|(ment ac)|(multiple cpu faults)|(system.+state.+changed )|(\[timeout)|(PRM\|1\|D)|(kpr)|(kdp)|(train st.+moving)|(\|lc)|(penalty))"</v>
      </c>
      <c r="AG130" s="209" t="str">
        <f t="shared" si="44"/>
        <v>EC</v>
      </c>
      <c r="AH130" s="78" t="str">
        <f t="shared" si="45"/>
        <v>"%USERPROFILE%\Documents\GitHub\eaglep3\Utilities\RefineRTDCRunTimes.py" --tripid 216-24 --locoid 4015 --swversion DE.1.0.9.0 --startMP 204:233006 --initTime 2017-06-24T18:54:28 --startdatetime 2017-06-24T18:57:16 --delay 1 --endMP 204:165 --enddatetime 2017-06-24T19:34:43 --enforcementcount 0 &gt;&gt;C:\Users\stu\Documents\GitHub\eaglep3-reporting\EC\2017-06-24-refined-times.txt</v>
      </c>
      <c r="AI130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{"issue":{"subject":"","project_id":79,"tracker_id":40,"status_id":1,"priority_id":2,"assigned_to_id":23,"start_date":"2017-06-24","description":"","custom_fields":[{"id":1,"name":"Subdivision","value":"EC"},{"id":4,"name":"Milepost","value":"0.0165"},{"id":17,"name":"Train ID","value":"216-24"},{"id":16,"name":"Locomotive ID","value":"4015"},{"id":130,"name":"Impact","value":""},{"id":150,"name":"Time of Event (Mountain Time)","value":"19:34:43"},{"id":151,"name":"Denver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7"/>
        <v>start /low /b %USERPROFILE%\Documents\GitHub\eaglep3\Utilities\DownloadLogsFromS3.py --loco 4015 --day 2017-06-24</v>
      </c>
      <c r="AN130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01:34:43"},{"id":29,"name":"Sharepoint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824</v>
      </c>
      <c r="B131" s="7">
        <v>4022</v>
      </c>
      <c r="C131" s="21" t="s">
        <v>202</v>
      </c>
      <c r="D131" s="21" t="s">
        <v>199</v>
      </c>
      <c r="E131" s="13">
        <v>42910.756550925929</v>
      </c>
      <c r="F131" s="13">
        <v>42910.76059027778</v>
      </c>
      <c r="G131" s="7">
        <v>1</v>
      </c>
      <c r="H131" s="21" t="s">
        <v>445</v>
      </c>
      <c r="I131" s="13">
        <v>42910.787476851852</v>
      </c>
      <c r="J131" s="7">
        <v>0</v>
      </c>
      <c r="K131" s="89" t="str">
        <f t="shared" si="35"/>
        <v>4021/4022</v>
      </c>
      <c r="L131" s="21" t="str">
        <f>VLOOKUP(A131,'Trips&amp;Operators'!$C$1:$G$99999,5,FALSE)</f>
        <v>PERKINS DARREN</v>
      </c>
      <c r="M131" s="6">
        <f t="shared" si="36"/>
        <v>2.6886574072705116E-2</v>
      </c>
      <c r="N131" s="7">
        <f t="shared" si="55"/>
        <v>38.716666664695367</v>
      </c>
      <c r="O131" s="7"/>
      <c r="P131" s="7"/>
      <c r="Q131" s="22"/>
      <c r="R131" s="170"/>
      <c r="S131" s="213">
        <f t="shared" si="56"/>
        <v>1</v>
      </c>
      <c r="T131" s="195" t="str">
        <f t="shared" si="37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8"/>
        <v>https://d0f6bd738d7f1b3e5a7ca70fe4ff75f0.us-east-1.aws.found.io/app/kibana#/discover/Steve-Slow-Train-Analysis-(2080s-and-2083s)?_g=(refreshInterval:(display:Off,pause:!f,section:0,value:0),time:(from:'2017-06-24T17:09:26-0600',mode:absolute,to:'2017-06-24T19:53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197" t="str">
        <f>IF(AA131&lt;VLOOKUP(AG131,Variables!$AC$3:$AD$8,2,FALSE),"Y","N")</f>
        <v>N</v>
      </c>
      <c r="X131" s="197">
        <f t="shared" si="54"/>
        <v>1</v>
      </c>
      <c r="Y131" s="197">
        <f t="shared" si="51"/>
        <v>4.5999999999999999E-2</v>
      </c>
      <c r="Z131" s="197">
        <f t="shared" si="52"/>
        <v>23.329499999999999</v>
      </c>
      <c r="AA131" s="197">
        <f t="shared" si="40"/>
        <v>23.2835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41"/>
        <v>217</v>
      </c>
      <c r="AE131" s="77" t="str">
        <f t="shared" si="42"/>
        <v>aws s3 cp s3://rtdc.mdm.uploadarchive.raw/RTDC4022/ "%USERPROFILE%\AppData\Local\Temp\OnboardLogs"\RTDC4022\2017-06-24 --exclude "*" --recursive --include "*20170624*" &amp; "%USERPROFILE%\Documents\GitHub\mrs-test-scripts\Headless Mode &amp; Sideloading\WalkAndUnGZ.bat" "%USERPROFILE%\AppData\Local\Temp\OnboardLogs"\RTDC4022\2017-06-24 &amp; aws s3 cp s3://rtdc.mdm.uploadarchive.raw/RTDC4022/ "%USERPROFILE%\AppData\Local\Temp\OnboardLogs"\RTDC4022\2017-06-25 --exclude "*" --recursive --include "*20170625*" &amp; "%USERPROFILE%\Documents\GitHub\mrs-test-scripts\Headless Mode &amp; Sideloading\WalkAndUnGZ.bat" "%USERPROFILE%\AppData\Local\Temp\OnboardLogs"\RTDC4022\2017-06-25</v>
      </c>
      <c r="AF131" s="74" t="str">
        <f t="shared" si="43"/>
        <v>"C:\Program Files (x86)\AstroGrep\AstroGrep.exe" /e /r /s /spath="%USERPROFILE%\AppData\Local\Temp\OnboardLogs" /stypes="app*4022*20170625*" /stext=" 00:.+((SYSTEM_STATE.+slice.+state.+changed )|(ment ac)|(multiple cpu faults)|(system.+state.+changed )|(\[timeout)|(PRM\|1\|D)|(kpr)|(kdp)|(train st.+moving)|(\|lc)|(penalty))"</v>
      </c>
      <c r="AG131" s="209" t="str">
        <f t="shared" si="44"/>
        <v>EC</v>
      </c>
      <c r="AH131" s="78" t="str">
        <f t="shared" si="45"/>
        <v>"%USERPROFILE%\Documents\GitHub\eaglep3\Utilities\RefineRTDCRunTimes.py" --tripid 217-24 --locoid 4022 --swversion DE.1.0.9.0 --startMP 204:460 --initTime 2017-06-24T18:09:26 --startdatetime 2017-06-24T18:15:15 --delay 1 --endMP 204:233295 --enddatetime 2017-06-24T18:53:58 --enforcementcount 0 &gt;&gt;C:\Users\stu\Documents\GitHub\eaglep3-reporting\EC\2017-06-24-refined-times.txt</v>
      </c>
      <c r="AI131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{"issue":{"subject":"","project_id":79,"tracker_id":40,"status_id":1,"priority_id":2,"assigned_to_id":23,"start_date":"2017-06-24","description":"","custom_fields":[{"id":1,"name":"Subdivision","value":"EC"},{"id":4,"name":"Milepost","value":"23.3295"},{"id":17,"name":"Train ID","value":"217-24"},{"id":16,"name":"Locomotive ID","value":"4022"},{"id":130,"name":"Impact","value":""},{"id":150,"name":"Time of Event (Mountain Time)","value":"18:53:58"},{"id":151,"name":"Denver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7"/>
        <v>start /low /b %USERPROFILE%\Documents\GitHub\eaglep3\Utilities\DownloadLogsFromS3.py --loco 4022 --day 2017-06-24</v>
      </c>
      <c r="AN131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00:53:58"},{"id":29,"name":"Sharepoint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657</v>
      </c>
      <c r="B132" s="7">
        <v>4021</v>
      </c>
      <c r="C132" s="21" t="s">
        <v>202</v>
      </c>
      <c r="D132" s="21" t="s">
        <v>535</v>
      </c>
      <c r="E132" s="13">
        <v>42910.793749999997</v>
      </c>
      <c r="F132" s="13">
        <v>42910.800243055557</v>
      </c>
      <c r="G132" s="7">
        <v>1</v>
      </c>
      <c r="H132" s="21" t="s">
        <v>350</v>
      </c>
      <c r="I132" s="13">
        <v>42910.827210648145</v>
      </c>
      <c r="J132" s="7">
        <v>0</v>
      </c>
      <c r="K132" s="89" t="str">
        <f t="shared" si="35"/>
        <v>4021/4022</v>
      </c>
      <c r="L132" s="21" t="str">
        <f>VLOOKUP(A132,'Trips&amp;Operators'!$C$1:$G$99999,5,FALSE)</f>
        <v>PERKINS DARREN</v>
      </c>
      <c r="M132" s="6">
        <f t="shared" si="36"/>
        <v>2.696759258833481E-2</v>
      </c>
      <c r="N132" s="7">
        <f t="shared" si="55"/>
        <v>38.833333327202126</v>
      </c>
      <c r="O132" s="7"/>
      <c r="P132" s="7"/>
      <c r="Q132" s="22"/>
      <c r="R132" s="170"/>
      <c r="S132" s="213">
        <f t="shared" si="56"/>
        <v>1</v>
      </c>
      <c r="T132" s="195" t="str">
        <f t="shared" si="37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8"/>
        <v>https://d0f6bd738d7f1b3e5a7ca70fe4ff75f0.us-east-1.aws.found.io/app/kibana#/discover/Steve-Slow-Train-Analysis-(2080s-and-2083s)?_g=(refreshInterval:(display:Off,pause:!f,section:0,value:0),time:(from:'2017-06-24T18:03:00-0600',mode:absolute,to:'2017-06-24T20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197" t="str">
        <f>IF(AA132&lt;VLOOKUP(AG132,Variables!$AC$3:$AD$8,2,FALSE),"Y","N")</f>
        <v>N</v>
      </c>
      <c r="X132" s="197">
        <f t="shared" si="54"/>
        <v>1</v>
      </c>
      <c r="Y132" s="197">
        <f t="shared" si="51"/>
        <v>23.298400000000001</v>
      </c>
      <c r="Z132" s="197">
        <f t="shared" si="52"/>
        <v>1.43E-2</v>
      </c>
      <c r="AA132" s="197">
        <f t="shared" si="40"/>
        <v>23.284100000000002</v>
      </c>
      <c r="AB132" s="54" t="str">
        <f>VLOOKUP(A132,Enforcements!$C$7:$K$13,8,0)</f>
        <v>Bulletin (2)</v>
      </c>
      <c r="AC132" s="51" t="str">
        <f>VLOOKUP(A132,Enforcements!$C$7:$E$13,3,0)</f>
        <v>GRADE CROSSING</v>
      </c>
      <c r="AD132" s="206">
        <f t="shared" si="41"/>
        <v>218</v>
      </c>
      <c r="AE132" s="77" t="str">
        <f t="shared" si="42"/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AF132" s="74" t="str">
        <f t="shared" si="43"/>
        <v>"C:\Program Files (x86)\AstroGrep\AstroGrep.exe" /e /r /s /spath="%USERPROFILE%\AppData\Local\Temp\OnboardLogs" /stypes="app*4021*20170625*" /stext=" 01:.+((SYSTEM_STATE.+slice.+state.+changed )|(ment ac)|(multiple cpu faults)|(system.+state.+changed )|(\[timeout)|(PRM\|1\|D)|(kpr)|(kdp)|(train st.+moving)|(\|lc)|(penalty))"</v>
      </c>
      <c r="AG132" s="209" t="str">
        <f t="shared" si="44"/>
        <v>EC</v>
      </c>
      <c r="AH132" s="78" t="str">
        <f t="shared" si="45"/>
        <v>"%USERPROFILE%\Documents\GitHub\eaglep3\Utilities\RefineRTDCRunTimes.py" --tripid 218-24 --locoid 4021 --swversion DE.1.0.9.0 --startMP 204:232984 --initTime 2017-06-24T19:03:00 --startdatetime 2017-06-24T19:12:21 --delay 1 --endMP 204:143 --enddatetime 2017-06-24T19:51:11 --enforcementcount 0 &gt;&gt;C:\Users\stu\Documents\GitHub\eaglep3-reporting\EC\2017-06-24-refined-times.txt</v>
      </c>
      <c r="AI132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{"issue":{"subject":"","project_id":79,"tracker_id":40,"status_id":1,"priority_id":2,"assigned_to_id":23,"start_date":"2017-06-24","description":"","custom_fields":[{"id":1,"name":"Subdivision","value":"EC"},{"id":4,"name":"Milepost","value":"0.0143"},{"id":17,"name":"Train ID","value":"218-24"},{"id":16,"name":"Locomotive ID","value":"4021"},{"id":130,"name":"Impact","value":""},{"id":150,"name":"Time of Event (Mountain Time)","value":"19:51:11"},{"id":151,"name":"Denver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7"/>
        <v>start /low /b %USERPROFILE%\Documents\GitHub\eaglep3\Utilities\DownloadLogsFromS3.py --loco 4021 --day 2017-06-24</v>
      </c>
      <c r="AN132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01:51:11"},{"id":29,"name":"Sharepoint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826</v>
      </c>
      <c r="B133" s="7">
        <v>4044</v>
      </c>
      <c r="C133" s="21" t="s">
        <v>202</v>
      </c>
      <c r="D133" s="21" t="s">
        <v>351</v>
      </c>
      <c r="E133" s="13">
        <v>42910.766608796293</v>
      </c>
      <c r="F133" s="13">
        <v>42910.771018518521</v>
      </c>
      <c r="G133" s="7">
        <v>2</v>
      </c>
      <c r="H133" s="21" t="s">
        <v>873</v>
      </c>
      <c r="I133" s="13">
        <v>42910.796493055554</v>
      </c>
      <c r="J133" s="7">
        <v>0</v>
      </c>
      <c r="K133" s="89" t="str">
        <f t="shared" si="35"/>
        <v>4043/4044</v>
      </c>
      <c r="L133" s="21" t="str">
        <f>VLOOKUP(A133,'Trips&amp;Operators'!$C$1:$G$99999,5,FALSE)</f>
        <v>FORTUNATO FRANK</v>
      </c>
      <c r="M133" s="6">
        <f t="shared" si="36"/>
        <v>2.5474537033005618E-2</v>
      </c>
      <c r="N133" s="7">
        <f t="shared" si="55"/>
        <v>36.683333327528089</v>
      </c>
      <c r="O133" s="7"/>
      <c r="P133" s="7"/>
      <c r="Q133" s="22"/>
      <c r="R133" s="170"/>
      <c r="S133" s="213">
        <f t="shared" si="56"/>
        <v>1</v>
      </c>
      <c r="T133" s="195" t="str">
        <f t="shared" si="37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8"/>
        <v>https://d0f6bd738d7f1b3e5a7ca70fe4ff75f0.us-east-1.aws.found.io/app/kibana#/discover/Steve-Slow-Train-Analysis-(2080s-and-2083s)?_g=(refreshInterval:(display:Off,pause:!f,section:0,value:0),time:(from:'2017-06-24T17:23:55-0600',mode:absolute,to:'2017-06-24T20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3" s="197" t="str">
        <f>IF(AA133&lt;VLOOKUP(AG133,Variables!$AC$3:$AD$8,2,FALSE),"Y","N")</f>
        <v>N</v>
      </c>
      <c r="X133" s="197">
        <f t="shared" si="54"/>
        <v>1</v>
      </c>
      <c r="Y133" s="197">
        <f t="shared" ref="Y133:Y164" si="57">RIGHT(D133,LEN(D133)-4)/10000</f>
        <v>4.6600000000000003E-2</v>
      </c>
      <c r="Z133" s="197">
        <f t="shared" ref="Z133:Z164" si="58">RIGHT(H133,LEN(H133)-4)/10000</f>
        <v>23.3325</v>
      </c>
      <c r="AA133" s="197">
        <f t="shared" si="40"/>
        <v>23.285899999999998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41"/>
        <v>219</v>
      </c>
      <c r="AE133" s="77" t="str">
        <f t="shared" si="42"/>
        <v>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 &amp; 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</v>
      </c>
      <c r="AF133" s="74" t="str">
        <f t="shared" si="43"/>
        <v>"C:\Program Files (x86)\AstroGrep\AstroGrep.exe" /e /r /s /spath="%USERPROFILE%\AppData\Local\Temp\OnboardLogs" /stypes="app*4044*20170625*" /stext=" 01:.+((SYSTEM_STATE.+slice.+state.+changed )|(ment ac)|(multiple cpu faults)|(system.+state.+changed )|(\[timeout)|(PRM\|1\|D)|(kpr)|(kdp)|(train st.+moving)|(\|lc)|(penalty))"</v>
      </c>
      <c r="AG133" s="209" t="str">
        <f t="shared" si="44"/>
        <v>EC</v>
      </c>
      <c r="AH133" s="78" t="str">
        <f t="shared" si="45"/>
        <v>"%USERPROFILE%\Documents\GitHub\eaglep3\Utilities\RefineRTDCRunTimes.py" --tripid 219-24 --locoid 4044 --swversion DE.1.0.9.0 --startMP 204:466 --initTime 2017-06-24T18:23:55 --startdatetime 2017-06-24T18:30:16 --delay 2 --endMP 204:233325 --enddatetime 2017-06-24T19:06:57 --enforcementcount 0 &gt;&gt;C:\Users\stu\Documents\GitHub\eaglep3-reporting\EC\2017-06-24-refined-times.txt</v>
      </c>
      <c r="AI133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{"issue":{"subject":"","project_id":79,"tracker_id":40,"status_id":1,"priority_id":2,"assigned_to_id":23,"start_date":"2017-06-24","description":"","custom_fields":[{"id":1,"name":"Subdivision","value":"EC"},{"id":4,"name":"Milepost","value":"23.3325"},{"id":17,"name":"Train ID","value":"219-24"},{"id":16,"name":"Locomotive ID","value":"4044"},{"id":130,"name":"Impact","value":""},{"id":150,"name":"Time of Event (Mountain Time)","value":"19:06:57"},{"id":151,"name":"Denver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7"/>
        <v>start /low /b %USERPROFILE%\Documents\GitHub\eaglep3\Utilities\DownloadLogsFromS3.py --loco 4044 --day 2017-06-24</v>
      </c>
      <c r="AN133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01:06:57"},{"id":29,"name":"Sharepoint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834</v>
      </c>
      <c r="B134" s="7">
        <v>4043</v>
      </c>
      <c r="C134" s="21" t="s">
        <v>202</v>
      </c>
      <c r="D134" s="21" t="s">
        <v>509</v>
      </c>
      <c r="E134" s="13">
        <v>42910.806712962964</v>
      </c>
      <c r="F134" s="13">
        <v>42910.810810185183</v>
      </c>
      <c r="G134" s="7">
        <v>1</v>
      </c>
      <c r="H134" s="21" t="s">
        <v>459</v>
      </c>
      <c r="I134" s="13">
        <v>42910.837534722225</v>
      </c>
      <c r="J134" s="7">
        <v>0</v>
      </c>
      <c r="K134" s="89" t="str">
        <f t="shared" si="35"/>
        <v>4043/4044</v>
      </c>
      <c r="L134" s="21" t="str">
        <f>VLOOKUP(A134,'Trips&amp;Operators'!$C$1:$G$99999,5,FALSE)</f>
        <v>FORTUNATO FRANK</v>
      </c>
      <c r="M134" s="6">
        <f t="shared" si="36"/>
        <v>2.6724537041445728E-2</v>
      </c>
      <c r="N134" s="7">
        <f t="shared" si="55"/>
        <v>38.483333339681849</v>
      </c>
      <c r="O134" s="7"/>
      <c r="P134" s="7"/>
      <c r="Q134" s="22"/>
      <c r="R134" s="170"/>
      <c r="S134" s="213">
        <f t="shared" si="56"/>
        <v>1</v>
      </c>
      <c r="T134" s="195" t="str">
        <f t="shared" si="37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8"/>
        <v>https://d0f6bd738d7f1b3e5a7ca70fe4ff75f0.us-east-1.aws.found.io/app/kibana#/discover/Steve-Slow-Train-Analysis-(2080s-and-2083s)?_g=(refreshInterval:(display:Off,pause:!f,section:0,value:0),time:(from:'2017-06-24T18:21:40-0600',mode:absolute,to:'2017-06-24T21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4" s="197" t="str">
        <f>IF(AA134&lt;VLOOKUP(AG134,Variables!$AC$3:$AD$8,2,FALSE),"Y","N")</f>
        <v>N</v>
      </c>
      <c r="X134" s="197">
        <f t="shared" si="54"/>
        <v>1</v>
      </c>
      <c r="Y134" s="197">
        <f t="shared" si="57"/>
        <v>23.3</v>
      </c>
      <c r="Z134" s="197">
        <f t="shared" si="58"/>
        <v>1.6E-2</v>
      </c>
      <c r="AA134" s="197">
        <f t="shared" si="40"/>
        <v>23.284000000000002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41"/>
        <v>220</v>
      </c>
      <c r="AE134" s="77" t="str">
        <f t="shared" si="42"/>
        <v>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 &amp; 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</v>
      </c>
      <c r="AF134" s="74" t="str">
        <f t="shared" si="43"/>
        <v>"C:\Program Files (x86)\AstroGrep\AstroGrep.exe" /e /r /s /spath="%USERPROFILE%\AppData\Local\Temp\OnboardLogs" /stypes="app*4043*20170625*" /stext=" 02:.+((SYSTEM_STATE.+slice.+state.+changed )|(ment ac)|(multiple cpu faults)|(system.+state.+changed )|(\[timeout)|(PRM\|1\|D)|(kpr)|(kdp)|(train st.+moving)|(\|lc)|(penalty))"</v>
      </c>
      <c r="AG134" s="209" t="str">
        <f t="shared" si="44"/>
        <v>EC</v>
      </c>
      <c r="AH134" s="78" t="str">
        <f t="shared" si="45"/>
        <v>"%USERPROFILE%\Documents\GitHub\eaglep3\Utilities\RefineRTDCRunTimes.py" --tripid 220-24 --locoid 4043 --swversion DE.1.0.9.0 --startMP 204:233000 --initTime 2017-06-24T19:21:40 --startdatetime 2017-06-24T19:27:34 --delay 1 --endMP 204:160 --enddatetime 2017-06-24T20:06:03 --enforcementcount 0 &gt;&gt;C:\Users\stu\Documents\GitHub\eaglep3-reporting\EC\2017-06-24-refined-times.txt</v>
      </c>
      <c r="AI134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{"issue":{"subject":"","project_id":79,"tracker_id":40,"status_id":1,"priority_id":2,"assigned_to_id":23,"start_date":"2017-06-24","description":"","custom_fields":[{"id":1,"name":"Subdivision","value":"EC"},{"id":4,"name":"Milepost","value":"0.016"},{"id":17,"name":"Train ID","value":"220-24"},{"id":16,"name":"Locomotive ID","value":"4043"},{"id":130,"name":"Impact","value":""},{"id":150,"name":"Time of Event (Mountain Time)","value":"20:06:03"},{"id":151,"name":"Denver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7"/>
        <v>start /low /b %USERPROFILE%\Documents\GitHub\eaglep3\Utilities\DownloadLogsFromS3.py --loco 4043 --day 2017-06-24</v>
      </c>
      <c r="AN134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02:06:03"},{"id":29,"name":"Sharepoint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832</v>
      </c>
      <c r="B135" s="7">
        <v>4004</v>
      </c>
      <c r="C135" s="21" t="s">
        <v>202</v>
      </c>
      <c r="D135" s="21" t="s">
        <v>199</v>
      </c>
      <c r="E135" s="13">
        <v>42910.79109953704</v>
      </c>
      <c r="F135" s="13">
        <v>42910.792766203704</v>
      </c>
      <c r="G135" s="7">
        <v>1</v>
      </c>
      <c r="H135" s="21" t="s">
        <v>532</v>
      </c>
      <c r="I135" s="13">
        <v>42910.816712962966</v>
      </c>
      <c r="J135" s="7">
        <v>0</v>
      </c>
      <c r="K135" s="89" t="str">
        <f t="shared" si="35"/>
        <v>4003/4004</v>
      </c>
      <c r="L135" s="21" t="str">
        <f>VLOOKUP(A135,'Trips&amp;Operators'!$C$1:$G$99999,5,FALSE)</f>
        <v>LAMAR NEKESHA</v>
      </c>
      <c r="M135" s="6">
        <f t="shared" si="36"/>
        <v>2.3946759261889383E-2</v>
      </c>
      <c r="N135" s="7">
        <f t="shared" si="55"/>
        <v>34.483333337120712</v>
      </c>
      <c r="O135" s="7"/>
      <c r="P135" s="7"/>
      <c r="Q135" s="22"/>
      <c r="R135" s="170"/>
      <c r="S135" s="213">
        <f t="shared" si="56"/>
        <v>1</v>
      </c>
      <c r="T135" s="195" t="str">
        <f t="shared" si="37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8"/>
        <v>https://d0f6bd738d7f1b3e5a7ca70fe4ff75f0.us-east-1.aws.found.io/app/kibana#/discover/Steve-Slow-Train-Analysis-(2080s-and-2083s)?_g=(refreshInterval:(display:Off,pause:!f,section:0,value:0),time:(from:'2017-06-24T17:59:11-0600',mode:absolute,to:'2017-06-24T20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5" s="197" t="str">
        <f>IF(AA135&lt;VLOOKUP(AG135,Variables!$AC$3:$AD$8,2,FALSE),"Y","N")</f>
        <v>N</v>
      </c>
      <c r="X135" s="197">
        <f t="shared" si="54"/>
        <v>1</v>
      </c>
      <c r="Y135" s="197">
        <f t="shared" si="57"/>
        <v>4.5999999999999999E-2</v>
      </c>
      <c r="Z135" s="197">
        <f t="shared" si="58"/>
        <v>23.331199999999999</v>
      </c>
      <c r="AA135" s="197">
        <f t="shared" si="40"/>
        <v>23.2852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41"/>
        <v>221</v>
      </c>
      <c r="AE135" s="77" t="str">
        <f t="shared" si="42"/>
        <v>aws s3 cp s3://rtdc.mdm.uploadarchive.raw/RTDC4004/ "%USERPROFILE%\AppData\Local\Temp\OnboardLogs"\RTDC4004\2017-06-24 --exclude "*" --recursive --include "*20170624*" &amp; "%USERPROFILE%\Documents\GitHub\mrs-test-scripts\Headless Mode &amp; Sideloading\WalkAndUnGZ.bat" "%USERPROFILE%\AppData\Local\Temp\OnboardLogs"\RTDC4004\2017-06-24 &amp; aws s3 cp s3://rtdc.mdm.uploadarchive.raw/RTDC4004/ "%USERPROFILE%\AppData\Local\Temp\OnboardLogs"\RTDC4004\2017-06-25 --exclude "*" --recursive --include "*20170625*" &amp; "%USERPROFILE%\Documents\GitHub\mrs-test-scripts\Headless Mode &amp; Sideloading\WalkAndUnGZ.bat" "%USERPROFILE%\AppData\Local\Temp\OnboardLogs"\RTDC4004\2017-06-25</v>
      </c>
      <c r="AF135" s="74" t="str">
        <f t="shared" si="43"/>
        <v>"C:\Program Files (x86)\AstroGrep\AstroGrep.exe" /e /r /s /spath="%USERPROFILE%\AppData\Local\Temp\OnboardLogs" /stypes="app*4004*20170625*" /stext=" 01:.+((SYSTEM_STATE.+slice.+state.+changed )|(ment ac)|(multiple cpu faults)|(system.+state.+changed )|(\[timeout)|(PRM\|1\|D)|(kpr)|(kdp)|(train st.+moving)|(\|lc)|(penalty))"</v>
      </c>
      <c r="AG135" s="209" t="str">
        <f t="shared" si="44"/>
        <v>EC</v>
      </c>
      <c r="AH135" s="78" t="str">
        <f t="shared" si="45"/>
        <v>"%USERPROFILE%\Documents\GitHub\eaglep3\Utilities\RefineRTDCRunTimes.py" --tripid 221-24 --locoid 4004 --swversion DE.1.0.9.0 --startMP 204:460 --initTime 2017-06-24T18:59:11 --startdatetime 2017-06-24T19:01:35 --delay 1 --endMP 204:233312 --enddatetime 2017-06-24T19:36:04 --enforcementcount 0 &gt;&gt;C:\Users\stu\Documents\GitHub\eaglep3-reporting\EC\2017-06-24-refined-times.txt</v>
      </c>
      <c r="AI135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{"issue":{"subject":"","project_id":79,"tracker_id":40,"status_id":1,"priority_id":2,"assigned_to_id":23,"start_date":"2017-06-24","description":"","custom_fields":[{"id":1,"name":"Subdivision","value":"EC"},{"id":4,"name":"Milepost","value":"23.3312"},{"id":17,"name":"Train ID","value":"221-24"},{"id":16,"name":"Locomotive ID","value":"4004"},{"id":130,"name":"Impact","value":""},{"id":150,"name":"Time of Event (Mountain Time)","value":"19:36:04"},{"id":151,"name":"Denver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7"/>
        <v>start /low /b %USERPROFILE%\Documents\GitHub\eaglep3\Utilities\DownloadLogsFromS3.py --loco 4004 --day 2017-06-24</v>
      </c>
      <c r="AN135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01:36:04"},{"id":29,"name":"Sharepoint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837</v>
      </c>
      <c r="B136" s="7">
        <v>4003</v>
      </c>
      <c r="C136" s="21" t="s">
        <v>202</v>
      </c>
      <c r="D136" s="21" t="s">
        <v>455</v>
      </c>
      <c r="E136" s="13">
        <v>42910.823379629626</v>
      </c>
      <c r="F136" s="13">
        <v>42910.831446759257</v>
      </c>
      <c r="G136" s="7">
        <v>2</v>
      </c>
      <c r="H136" s="21" t="s">
        <v>394</v>
      </c>
      <c r="I136" s="13">
        <v>42910.858310185184</v>
      </c>
      <c r="J136" s="7">
        <v>0</v>
      </c>
      <c r="K136" s="89" t="str">
        <f t="shared" si="35"/>
        <v>4003/4004</v>
      </c>
      <c r="L136" s="21" t="str">
        <f>VLOOKUP(A136,'Trips&amp;Operators'!$C$1:$G$99999,5,FALSE)</f>
        <v>LAMAR NEKESHA</v>
      </c>
      <c r="M136" s="6">
        <f t="shared" si="36"/>
        <v>2.6863425926421769E-2</v>
      </c>
      <c r="N136" s="7">
        <f t="shared" si="55"/>
        <v>38.683333334047347</v>
      </c>
      <c r="O136" s="7"/>
      <c r="P136" s="7"/>
      <c r="Q136" s="22"/>
      <c r="R136" s="170"/>
      <c r="S136" s="213">
        <f t="shared" si="56"/>
        <v>1</v>
      </c>
      <c r="T136" s="195" t="str">
        <f t="shared" si="37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8"/>
        <v>https://d0f6bd738d7f1b3e5a7ca70fe4ff75f0.us-east-1.aws.found.io/app/kibana#/discover/Steve-Slow-Train-Analysis-(2080s-and-2083s)?_g=(refreshInterval:(display:Off,pause:!f,section:0,value:0),time:(from:'2017-06-24T18:45:40-0600',mode:absolute,to:'2017-06-24T21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6" s="197" t="str">
        <f>IF(AA136&lt;VLOOKUP(AG136,Variables!$AC$3:$AD$8,2,FALSE),"Y","N")</f>
        <v>N</v>
      </c>
      <c r="X136" s="197">
        <f t="shared" ref="X136:X157" si="59">VALUE(LEFT(AD136,4))-VALUE(LEFT(AD135,4))</f>
        <v>1</v>
      </c>
      <c r="Y136" s="197">
        <f t="shared" si="57"/>
        <v>23.298200000000001</v>
      </c>
      <c r="Z136" s="197">
        <f t="shared" si="58"/>
        <v>1.54E-2</v>
      </c>
      <c r="AA136" s="197">
        <f t="shared" si="40"/>
        <v>23.282800000000002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41"/>
        <v>222</v>
      </c>
      <c r="AE136" s="77" t="str">
        <f t="shared" si="42"/>
        <v>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 &amp; aws s3 cp s3://rtdc.mdm.uploadarchive.raw/RTDC4003/ "%USERPROFILE%\AppData\Local\Temp\OnboardLogs"\RTDC4003\2017-06-25 --exclude "*" --recursive --include "*20170625*" &amp; "%USERPROFILE%\Documents\GitHub\mrs-test-scripts\Headless Mode &amp; Sideloading\WalkAndUnGZ.bat" "%USERPROFILE%\AppData\Local\Temp\OnboardLogs"\RTDC4003\2017-06-25</v>
      </c>
      <c r="AF136" s="74" t="str">
        <f t="shared" si="43"/>
        <v>"C:\Program Files (x86)\AstroGrep\AstroGrep.exe" /e /r /s /spath="%USERPROFILE%\AppData\Local\Temp\OnboardLogs" /stypes="app*4003*20170625*" /stext=" 02:.+((SYSTEM_STATE.+slice.+state.+changed )|(ment ac)|(multiple cpu faults)|(system.+state.+changed )|(\[timeout)|(PRM\|1\|D)|(kpr)|(kdp)|(train st.+moving)|(\|lc)|(penalty))"</v>
      </c>
      <c r="AG136" s="209" t="str">
        <f t="shared" si="44"/>
        <v>EC</v>
      </c>
      <c r="AH136" s="78" t="str">
        <f t="shared" si="45"/>
        <v>"%USERPROFILE%\Documents\GitHub\eaglep3\Utilities\RefineRTDCRunTimes.py" --tripid 222-24 --locoid 4003 --swversion DE.1.0.9.0 --startMP 204:232982 --initTime 2017-06-24T19:45:40 --startdatetime 2017-06-24T19:57:17 --delay 2 --endMP 204:154 --enddatetime 2017-06-24T20:35:58 --enforcementcount 0 &gt;&gt;C:\Users\stu\Documents\GitHub\eaglep3-reporting\EC\2017-06-24-refined-times.txt</v>
      </c>
      <c r="AI136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{"issue":{"subject":"","project_id":79,"tracker_id":40,"status_id":1,"priority_id":2,"assigned_to_id":23,"start_date":"2017-06-24","description":"","custom_fields":[{"id":1,"name":"Subdivision","value":"EC"},{"id":4,"name":"Milepost","value":"0.0154"},{"id":17,"name":"Train ID","value":"222-24"},{"id":16,"name":"Locomotive ID","value":"4003"},{"id":130,"name":"Impact","value":""},{"id":150,"name":"Time of Event (Mountain Time)","value":"20:35:58"},{"id":151,"name":"Denver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7"/>
        <v>start /low /b %USERPROFILE%\Documents\GitHub\eaglep3\Utilities\DownloadLogsFromS3.py --loco 4003 --day 2017-06-24</v>
      </c>
      <c r="AN136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02:35:58"},{"id":29,"name":"Sharepoint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835</v>
      </c>
      <c r="B137" s="7">
        <v>4042</v>
      </c>
      <c r="C137" s="21" t="s">
        <v>202</v>
      </c>
      <c r="D137" s="21" t="s">
        <v>614</v>
      </c>
      <c r="E137" s="13">
        <v>42910.808923611112</v>
      </c>
      <c r="F137" s="13">
        <v>42910.812731481485</v>
      </c>
      <c r="G137" s="7">
        <v>1</v>
      </c>
      <c r="H137" s="21" t="s">
        <v>949</v>
      </c>
      <c r="I137" s="13">
        <v>42910.838055555556</v>
      </c>
      <c r="J137" s="7">
        <v>0</v>
      </c>
      <c r="K137" s="89" t="str">
        <f t="shared" si="35"/>
        <v>4041/4042</v>
      </c>
      <c r="L137" s="21" t="str">
        <f>VLOOKUP(A137,'Trips&amp;Operators'!$C$1:$G$99999,5,FALSE)</f>
        <v>YANG JAN</v>
      </c>
      <c r="M137" s="6">
        <f t="shared" si="36"/>
        <v>2.5324074071249925E-2</v>
      </c>
      <c r="N137" s="7">
        <f t="shared" si="55"/>
        <v>36.466666662599891</v>
      </c>
      <c r="O137" s="7"/>
      <c r="P137" s="7"/>
      <c r="Q137" s="22"/>
      <c r="R137" s="170"/>
      <c r="S137" s="213">
        <f t="shared" si="56"/>
        <v>1</v>
      </c>
      <c r="T137" s="195" t="str">
        <f t="shared" si="37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8"/>
        <v>https://d0f6bd738d7f1b3e5a7ca70fe4ff75f0.us-east-1.aws.found.io/app/kibana#/discover/Steve-Slow-Train-Analysis-(2080s-and-2083s)?_g=(refreshInterval:(display:Off,pause:!f,section:0,value:0),time:(from:'2017-06-24T18:24:51-0600',mode:absolute,to:'2017-06-24T21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7" s="197" t="str">
        <f>IF(AA137&lt;VLOOKUP(AG137,Variables!$AC$3:$AD$8,2,FALSE),"Y","N")</f>
        <v>N</v>
      </c>
      <c r="X137" s="197">
        <f t="shared" si="59"/>
        <v>1</v>
      </c>
      <c r="Y137" s="197">
        <f t="shared" si="57"/>
        <v>4.8800000000000003E-2</v>
      </c>
      <c r="Z137" s="197">
        <f t="shared" si="58"/>
        <v>23.3338</v>
      </c>
      <c r="AA137" s="197">
        <f t="shared" si="40"/>
        <v>23.285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41"/>
        <v>223</v>
      </c>
      <c r="AE137" s="77" t="str">
        <f t="shared" si="42"/>
        <v>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 &amp; 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</v>
      </c>
      <c r="AF137" s="74" t="str">
        <f t="shared" si="43"/>
        <v>"C:\Program Files (x86)\AstroGrep\AstroGrep.exe" /e /r /s /spath="%USERPROFILE%\AppData\Local\Temp\OnboardLogs" /stypes="app*4042*20170625*" /stext=" 02:.+((SYSTEM_STATE.+slice.+state.+changed )|(ment ac)|(multiple cpu faults)|(system.+state.+changed )|(\[timeout)|(PRM\|1\|D)|(kpr)|(kdp)|(train st.+moving)|(\|lc)|(penalty))"</v>
      </c>
      <c r="AG137" s="209" t="str">
        <f t="shared" si="44"/>
        <v>EC</v>
      </c>
      <c r="AH137" s="78" t="str">
        <f t="shared" si="45"/>
        <v>"%USERPROFILE%\Documents\GitHub\eaglep3\Utilities\RefineRTDCRunTimes.py" --tripid 223-24 --locoid 4042 --swversion DE.1.0.9.0 --startMP 204:488 --initTime 2017-06-24T19:24:51 --startdatetime 2017-06-24T19:30:20 --delay 1 --endMP 204:233338 --enddatetime 2017-06-24T20:06:48 --enforcementcount 0 &gt;&gt;C:\Users\stu\Documents\GitHub\eaglep3-reporting\EC\2017-06-24-refined-times.txt</v>
      </c>
      <c r="AI137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{"issue":{"subject":"","project_id":79,"tracker_id":40,"status_id":1,"priority_id":2,"assigned_to_id":23,"start_date":"2017-06-24","description":"","custom_fields":[{"id":1,"name":"Subdivision","value":"EC"},{"id":4,"name":"Milepost","value":"23.3338"},{"id":17,"name":"Train ID","value":"223-24"},{"id":16,"name":"Locomotive ID","value":"4042"},{"id":130,"name":"Impact","value":""},{"id":150,"name":"Time of Event (Mountain Time)","value":"20:06:48"},{"id":151,"name":"Denver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7"/>
        <v>start /low /b %USERPROFILE%\Documents\GitHub\eaglep3\Utilities\DownloadLogsFromS3.py --loco 4042 --day 2017-06-24</v>
      </c>
      <c r="AN137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02:06:48"},{"id":29,"name":"Sharepoint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841</v>
      </c>
      <c r="B138" s="7">
        <v>4041</v>
      </c>
      <c r="C138" s="21" t="s">
        <v>202</v>
      </c>
      <c r="D138" s="21" t="s">
        <v>950</v>
      </c>
      <c r="E138" s="13">
        <v>42910.848263888889</v>
      </c>
      <c r="F138" s="13">
        <v>42910.852523148147</v>
      </c>
      <c r="G138" s="7">
        <v>1</v>
      </c>
      <c r="H138" s="21" t="s">
        <v>458</v>
      </c>
      <c r="I138" s="13">
        <v>42910.878692129627</v>
      </c>
      <c r="J138" s="7">
        <v>0</v>
      </c>
      <c r="K138" s="89" t="str">
        <f t="shared" si="35"/>
        <v>4041/4042</v>
      </c>
      <c r="L138" s="21" t="str">
        <f>VLOOKUP(A138,'Trips&amp;Operators'!$C$1:$G$99999,5,FALSE)</f>
        <v>YANG JAN</v>
      </c>
      <c r="M138" s="6">
        <f t="shared" si="36"/>
        <v>2.6168981479713693E-2</v>
      </c>
      <c r="N138" s="7">
        <f t="shared" si="55"/>
        <v>37.683333330787718</v>
      </c>
      <c r="O138" s="7"/>
      <c r="P138" s="7"/>
      <c r="Q138" s="22"/>
      <c r="R138" s="170"/>
      <c r="S138" s="213">
        <f t="shared" si="56"/>
        <v>1</v>
      </c>
      <c r="T138" s="195" t="str">
        <f t="shared" si="37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8"/>
        <v>https://d0f6bd738d7f1b3e5a7ca70fe4ff75f0.us-east-1.aws.found.io/app/kibana#/discover/Steve-Slow-Train-Analysis-(2080s-and-2083s)?_g=(refreshInterval:(display:Off,pause:!f,section:0,value:0),time:(from:'2017-06-24T19:21:30-0600',mode:absolute,to:'2017-06-24T22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8" s="197" t="str">
        <f>IF(AA138&lt;VLOOKUP(AG138,Variables!$AC$3:$AD$8,2,FALSE),"Y","N")</f>
        <v>N</v>
      </c>
      <c r="X138" s="197">
        <f t="shared" si="59"/>
        <v>1</v>
      </c>
      <c r="Y138" s="197">
        <f t="shared" si="57"/>
        <v>23.304200000000002</v>
      </c>
      <c r="Z138" s="197">
        <f t="shared" si="58"/>
        <v>1.38E-2</v>
      </c>
      <c r="AA138" s="197">
        <f t="shared" si="40"/>
        <v>23.290400000000002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41"/>
        <v>224</v>
      </c>
      <c r="AE138" s="77" t="str">
        <f t="shared" si="42"/>
        <v>aws s3 cp s3://rtdc.mdm.uploadarchive.raw/RTDC4041/ "%USERPROFILE%\AppData\Local\Temp\OnboardLogs"\RTDC4041\2017-06-24 --exclude "*" --recursive --include "*20170624*" &amp; "%USERPROFILE%\Documents\GitHub\mrs-test-scripts\Headless Mode &amp; Sideloading\WalkAndUnGZ.bat" "%USERPROFILE%\AppData\Local\Temp\OnboardLogs"\RTDC4041\2017-06-24 &amp; aws s3 cp s3://rtdc.mdm.uploadarchive.raw/RTDC4041/ "%USERPROFILE%\AppData\Local\Temp\OnboardLogs"\RTDC4041\2017-06-25 --exclude "*" --recursive --include "*20170625*" &amp; "%USERPROFILE%\Documents\GitHub\mrs-test-scripts\Headless Mode &amp; Sideloading\WalkAndUnGZ.bat" "%USERPROFILE%\AppData\Local\Temp\OnboardLogs"\RTDC4041\2017-06-25</v>
      </c>
      <c r="AF138" s="74" t="str">
        <f t="shared" si="43"/>
        <v>"C:\Program Files (x86)\AstroGrep\AstroGrep.exe" /e /r /s /spath="%USERPROFILE%\AppData\Local\Temp\OnboardLogs" /stypes="app*4041*20170625*" /stext=" 03:.+((SYSTEM_STATE.+slice.+state.+changed )|(ment ac)|(multiple cpu faults)|(system.+state.+changed )|(\[timeout)|(PRM\|1\|D)|(kpr)|(kdp)|(train st.+moving)|(\|lc)|(penalty))"</v>
      </c>
      <c r="AG138" s="209" t="str">
        <f t="shared" si="44"/>
        <v>EC</v>
      </c>
      <c r="AH138" s="78" t="str">
        <f t="shared" si="45"/>
        <v>"%USERPROFILE%\Documents\GitHub\eaglep3\Utilities\RefineRTDCRunTimes.py" --tripid 224-24 --locoid 4041 --swversion DE.1.0.9.0 --startMP 204:233042 --initTime 2017-06-24T20:21:30 --startdatetime 2017-06-24T20:27:38 --delay 1 --endMP 204:138 --enddatetime 2017-06-24T21:05:19 --enforcementcount 0 &gt;&gt;C:\Users\stu\Documents\GitHub\eaglep3-reporting\EC\2017-06-24-refined-times.txt</v>
      </c>
      <c r="AI138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{"issue":{"subject":"","project_id":79,"tracker_id":40,"status_id":1,"priority_id":2,"assigned_to_id":23,"start_date":"2017-06-24","description":"","custom_fields":[{"id":1,"name":"Subdivision","value":"EC"},{"id":4,"name":"Milepost","value":"0.0138"},{"id":17,"name":"Train ID","value":"224-24"},{"id":16,"name":"Locomotive ID","value":"4041"},{"id":130,"name":"Impact","value":""},{"id":150,"name":"Time of Event (Mountain Time)","value":"21:05:19"},{"id":151,"name":"Denver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7"/>
        <v>start /low /b %USERPROFILE%\Documents\GitHub\eaglep3\Utilities\DownloadLogsFromS3.py --loco 4041 --day 2017-06-24</v>
      </c>
      <c r="AN138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03:05:19"},{"id":29,"name":"Sharepoint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838</v>
      </c>
      <c r="B139" s="7">
        <v>4022</v>
      </c>
      <c r="C139" s="21" t="s">
        <v>202</v>
      </c>
      <c r="D139" s="21" t="s">
        <v>475</v>
      </c>
      <c r="E139" s="13">
        <v>42910.830231481479</v>
      </c>
      <c r="F139" s="13">
        <v>42910.83353009259</v>
      </c>
      <c r="G139" s="7">
        <v>1</v>
      </c>
      <c r="H139" s="21" t="s">
        <v>444</v>
      </c>
      <c r="I139" s="13">
        <v>42910.858113425929</v>
      </c>
      <c r="J139" s="7">
        <v>0</v>
      </c>
      <c r="K139" s="89" t="str">
        <f t="shared" si="35"/>
        <v>4021/4022</v>
      </c>
      <c r="L139" s="21" t="str">
        <f>VLOOKUP(A139,'Trips&amp;Operators'!$C$1:$G$99999,5,FALSE)</f>
        <v>PERKINS DARREN</v>
      </c>
      <c r="M139" s="6">
        <f t="shared" si="36"/>
        <v>2.4583333339251112E-2</v>
      </c>
      <c r="N139" s="7">
        <f t="shared" si="55"/>
        <v>35.400000008521602</v>
      </c>
      <c r="O139" s="7"/>
      <c r="P139" s="7"/>
      <c r="Q139" s="22"/>
      <c r="R139" s="170"/>
      <c r="S139" s="213">
        <f t="shared" si="56"/>
        <v>1</v>
      </c>
      <c r="T139" s="195" t="str">
        <f t="shared" si="37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8"/>
        <v>https://d0f6bd738d7f1b3e5a7ca70fe4ff75f0.us-east-1.aws.found.io/app/kibana#/discover/Steve-Slow-Train-Analysis-(2080s-and-2083s)?_g=(refreshInterval:(display:Off,pause:!f,section:0,value:0),time:(from:'2017-06-24T18:55:32-0600',mode:absolute,to:'2017-06-24T21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197" t="str">
        <f>IF(AA139&lt;VLOOKUP(AG139,Variables!$AC$3:$AD$8,2,FALSE),"Y","N")</f>
        <v>N</v>
      </c>
      <c r="X139" s="197">
        <f t="shared" si="59"/>
        <v>1</v>
      </c>
      <c r="Y139" s="197">
        <f t="shared" si="57"/>
        <v>4.6399999999999997E-2</v>
      </c>
      <c r="Z139" s="197">
        <f t="shared" si="58"/>
        <v>23.3291</v>
      </c>
      <c r="AA139" s="197">
        <f t="shared" si="40"/>
        <v>23.282700000000002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41"/>
        <v>225</v>
      </c>
      <c r="AE139" s="77" t="str">
        <f t="shared" si="42"/>
        <v>aws s3 cp s3://rtdc.mdm.uploadarchive.raw/RTDC4022/ "%USERPROFILE%\AppData\Local\Temp\OnboardLogs"\RTDC4022\2017-06-24 --exclude "*" --recursive --include "*20170624*" &amp; "%USERPROFILE%\Documents\GitHub\mrs-test-scripts\Headless Mode &amp; Sideloading\WalkAndUnGZ.bat" "%USERPROFILE%\AppData\Local\Temp\OnboardLogs"\RTDC4022\2017-06-24 &amp; aws s3 cp s3://rtdc.mdm.uploadarchive.raw/RTDC4022/ "%USERPROFILE%\AppData\Local\Temp\OnboardLogs"\RTDC4022\2017-06-25 --exclude "*" --recursive --include "*20170625*" &amp; "%USERPROFILE%\Documents\GitHub\mrs-test-scripts\Headless Mode &amp; Sideloading\WalkAndUnGZ.bat" "%USERPROFILE%\AppData\Local\Temp\OnboardLogs"\RTDC4022\2017-06-25</v>
      </c>
      <c r="AF139" s="74" t="str">
        <f t="shared" si="43"/>
        <v>"C:\Program Files (x86)\AstroGrep\AstroGrep.exe" /e /r /s /spath="%USERPROFILE%\AppData\Local\Temp\OnboardLogs" /stypes="app*4022*20170625*" /stext=" 02:.+((SYSTEM_STATE.+slice.+state.+changed )|(ment ac)|(multiple cpu faults)|(system.+state.+changed )|(\[timeout)|(PRM\|1\|D)|(kpr)|(kdp)|(train st.+moving)|(\|lc)|(penalty))"</v>
      </c>
      <c r="AG139" s="209" t="str">
        <f t="shared" si="44"/>
        <v>EC</v>
      </c>
      <c r="AH139" s="78" t="str">
        <f t="shared" si="45"/>
        <v>"%USERPROFILE%\Documents\GitHub\eaglep3\Utilities\RefineRTDCRunTimes.py" --tripid 225-24 --locoid 4022 --swversion DE.1.0.9.0 --startMP 204:464 --initTime 2017-06-24T19:55:32 --startdatetime 2017-06-24T20:00:17 --delay 1 --endMP 204:233291 --enddatetime 2017-06-24T20:35:41 --enforcementcount 0 &gt;&gt;C:\Users\stu\Documents\GitHub\eaglep3-reporting\EC\2017-06-24-refined-times.txt</v>
      </c>
      <c r="AI139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{"issue":{"subject":"","project_id":79,"tracker_id":40,"status_id":1,"priority_id":2,"assigned_to_id":23,"start_date":"2017-06-24","description":"","custom_fields":[{"id":1,"name":"Subdivision","value":"EC"},{"id":4,"name":"Milepost","value":"23.3291"},{"id":17,"name":"Train ID","value":"225-24"},{"id":16,"name":"Locomotive ID","value":"4022"},{"id":130,"name":"Impact","value":""},{"id":150,"name":"Time of Event (Mountain Time)","value":"20:35:41"},{"id":151,"name":"Denver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7"/>
        <v>start /low /b %USERPROFILE%\Documents\GitHub\eaglep3\Utilities\DownloadLogsFromS3.py --loco 4022 --day 2017-06-24</v>
      </c>
      <c r="AN139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02:35:41"},{"id":29,"name":"Sharepoint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843</v>
      </c>
      <c r="B140" s="7">
        <v>4021</v>
      </c>
      <c r="C140" s="21" t="s">
        <v>202</v>
      </c>
      <c r="D140" s="21" t="s">
        <v>506</v>
      </c>
      <c r="E140" s="13">
        <v>42910.865810185183</v>
      </c>
      <c r="F140" s="13">
        <v>42910.873090277775</v>
      </c>
      <c r="G140" s="7">
        <v>1</v>
      </c>
      <c r="H140" s="21" t="s">
        <v>951</v>
      </c>
      <c r="I140" s="13">
        <v>42910.899513888886</v>
      </c>
      <c r="J140" s="7">
        <v>0</v>
      </c>
      <c r="K140" s="89" t="str">
        <f t="shared" si="35"/>
        <v>4021/4022</v>
      </c>
      <c r="L140" s="21" t="str">
        <f>VLOOKUP(A140,'Trips&amp;Operators'!$C$1:$G$99999,5,FALSE)</f>
        <v>PERKINS DARREN</v>
      </c>
      <c r="M140" s="6">
        <f t="shared" si="36"/>
        <v>2.6423611110658385E-2</v>
      </c>
      <c r="N140" s="7">
        <f t="shared" si="55"/>
        <v>38.049999999348074</v>
      </c>
      <c r="O140" s="7"/>
      <c r="P140" s="7"/>
      <c r="Q140" s="22"/>
      <c r="R140" s="170"/>
      <c r="S140" s="213">
        <f t="shared" si="56"/>
        <v>1</v>
      </c>
      <c r="T140" s="195" t="str">
        <f t="shared" si="37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8"/>
        <v>https://d0f6bd738d7f1b3e5a7ca70fe4ff75f0.us-east-1.aws.found.io/app/kibana#/discover/Steve-Slow-Train-Analysis-(2080s-and-2083s)?_g=(refreshInterval:(display:Off,pause:!f,section:0,value:0),time:(from:'2017-06-24T19:46:46-0600',mode:absolute,to:'2017-06-24T22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197" t="str">
        <f>IF(AA140&lt;VLOOKUP(AG140,Variables!$AC$3:$AD$8,2,FALSE),"Y","N")</f>
        <v>N</v>
      </c>
      <c r="X140" s="197">
        <f t="shared" si="59"/>
        <v>1</v>
      </c>
      <c r="Y140" s="197">
        <f t="shared" si="57"/>
        <v>23.297799999999999</v>
      </c>
      <c r="Z140" s="197">
        <f t="shared" si="58"/>
        <v>1.29E-2</v>
      </c>
      <c r="AA140" s="197">
        <f t="shared" si="40"/>
        <v>23.2849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41"/>
        <v>226</v>
      </c>
      <c r="AE140" s="77" t="str">
        <f t="shared" si="42"/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AF140" s="74" t="str">
        <f t="shared" si="43"/>
        <v>"C:\Program Files (x86)\AstroGrep\AstroGrep.exe" /e /r /s /spath="%USERPROFILE%\AppData\Local\Temp\OnboardLogs" /stypes="app*4021*20170625*" /stext=" 03:.+((SYSTEM_STATE.+slice.+state.+changed )|(ment ac)|(multiple cpu faults)|(system.+state.+changed )|(\[timeout)|(PRM\|1\|D)|(kpr)|(kdp)|(train st.+moving)|(\|lc)|(penalty))"</v>
      </c>
      <c r="AG140" s="209" t="str">
        <f t="shared" si="44"/>
        <v>EC</v>
      </c>
      <c r="AH140" s="78" t="str">
        <f t="shared" si="45"/>
        <v>"%USERPROFILE%\Documents\GitHub\eaglep3\Utilities\RefineRTDCRunTimes.py" --tripid 226-24 --locoid 4021 --swversion DE.1.0.9.0 --startMP 204:232978 --initTime 2017-06-24T20:46:46 --startdatetime 2017-06-24T20:57:15 --delay 1 --endMP 204:129 --enddatetime 2017-06-24T21:35:18 --enforcementcount 0 &gt;&gt;C:\Users\stu\Documents\GitHub\eaglep3-reporting\EC\2017-06-24-refined-times.txt</v>
      </c>
      <c r="AI140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{"issue":{"subject":"","project_id":79,"tracker_id":40,"status_id":1,"priority_id":2,"assigned_to_id":23,"start_date":"2017-06-24","description":"","custom_fields":[{"id":1,"name":"Subdivision","value":"EC"},{"id":4,"name":"Milepost","value":"0.0129"},{"id":17,"name":"Train ID","value":"226-24"},{"id":16,"name":"Locomotive ID","value":"4021"},{"id":130,"name":"Impact","value":""},{"id":150,"name":"Time of Event (Mountain Time)","value":"21:35:18"},{"id":151,"name":"Denver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7"/>
        <v>start /low /b %USERPROFILE%\Documents\GitHub\eaglep3\Utilities\DownloadLogsFromS3.py --loco 4021 --day 2017-06-24</v>
      </c>
      <c r="AN140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03:35:18"},{"id":29,"name":"Sharepoint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840</v>
      </c>
      <c r="B141" s="7">
        <v>4044</v>
      </c>
      <c r="C141" s="21" t="s">
        <v>202</v>
      </c>
      <c r="D141" s="21" t="s">
        <v>607</v>
      </c>
      <c r="E141" s="13">
        <v>42910.84238425926</v>
      </c>
      <c r="F141" s="13">
        <v>42910.85434027778</v>
      </c>
      <c r="G141" s="7">
        <v>1</v>
      </c>
      <c r="H141" s="21" t="s">
        <v>584</v>
      </c>
      <c r="I141" s="13">
        <v>42910.879849537036</v>
      </c>
      <c r="J141" s="7">
        <v>0</v>
      </c>
      <c r="K141" s="89" t="str">
        <f t="shared" ref="K141:K204" si="60">IF(ISEVEN(B141),(B141-1)&amp;"/"&amp;B141,B141&amp;"/"&amp;(B141+1))</f>
        <v>4043/4044</v>
      </c>
      <c r="L141" s="21" t="str">
        <f>VLOOKUP(A141,'Trips&amp;Operators'!$C$1:$G$99999,5,FALSE)</f>
        <v>FORTUNATO FRANK</v>
      </c>
      <c r="M141" s="6">
        <f t="shared" ref="M141:M204" si="61">I141-F141</f>
        <v>2.5509259256068617E-2</v>
      </c>
      <c r="N141" s="7">
        <f t="shared" si="55"/>
        <v>36.733333328738809</v>
      </c>
      <c r="O141" s="7"/>
      <c r="P141" s="7"/>
      <c r="Q141" s="22"/>
      <c r="R141" s="170"/>
      <c r="S141" s="213">
        <f t="shared" si="56"/>
        <v>1</v>
      </c>
      <c r="T141" s="195" t="str">
        <f t="shared" ref="T141:T204" si="62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6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-24T19:13:02-0600',mode:absolute,to:'2017-06-24T22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1" s="197" t="str">
        <f>IF(AA141&lt;VLOOKUP(AG141,Variables!$AC$3:$AD$8,2,FALSE),"Y","N")</f>
        <v>N</v>
      </c>
      <c r="X141" s="197">
        <f t="shared" si="59"/>
        <v>1</v>
      </c>
      <c r="Y141" s="197">
        <f t="shared" si="57"/>
        <v>4.3700000000000003E-2</v>
      </c>
      <c r="Z141" s="197">
        <f t="shared" si="58"/>
        <v>23.331900000000001</v>
      </c>
      <c r="AA141" s="197">
        <f t="shared" ref="AA141:AA204" si="64">ABS(Z141-Y141)</f>
        <v>23.2882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65">VALUE(LEFT(A141,LEN(A141)-3))</f>
        <v>227</v>
      </c>
      <c r="AE141" s="77" t="str">
        <f t="shared" ref="AE141:AE204" si="6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 &amp; 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</v>
      </c>
      <c r="AF141" s="74" t="str">
        <f t="shared" ref="AF141:AF204" si="67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/stypes="app*4044*20170625*"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68">DetSubdiv(A141)</f>
        <v>EC</v>
      </c>
      <c r="AH141" s="78" t="str">
        <f t="shared" si="45"/>
        <v>"%USERPROFILE%\Documents\GitHub\eaglep3\Utilities\RefineRTDCRunTimes.py" --tripid 227-24 --locoid 4044 --swversion DE.1.0.9.0 --startMP 204:437 --initTime 2017-06-24T20:13:02 --startdatetime 2017-06-24T20:30:15 --delay 1 --endMP 204:233319 --enddatetime 2017-06-24T21:06:59 --enforcementcount 0 &gt;&gt;C:\Users\stu\Documents\GitHub\eaglep3-reporting\EC\2017-06-24-refined-times.txt</v>
      </c>
      <c r="AI141" s="96" t="str">
        <f t="shared" si="46"/>
        <v>echo {"issue":{"subject":"","project_id":79,"tracker_id":40,"status_id":1,"priority_id":2,"assigned_to_id":23,"start_date":"2017-06-24","description":"","custom_fields":[{"id":1,"name":"Subdivision","value":"EC"},{"id":4,"name":"Milepost","value":"23.3319"},{"id":17,"name":"Train ID","value":"227-24"},{"id":16,"name":"Locomotive ID","value":"4044"},{"id":130,"name":"Impact","value":""},{"id":150,"name":"Time of Event (Mountain Time)","value":"21:06:59"},{"id":151,"name":"Denver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7"/>
        <v>start /low /b %USERPROFILE%\Documents\GitHub\eaglep3\Utilities\DownloadLogsFromS3.py --loco 4044 --day 2017-06-24</v>
      </c>
      <c r="AN141" s="151" t="str">
        <f t="shared" si="48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03:06:59"},{"id":29,"name":"Sharepoint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660</v>
      </c>
      <c r="B142" s="7">
        <v>4043</v>
      </c>
      <c r="C142" s="21" t="s">
        <v>202</v>
      </c>
      <c r="D142" s="21" t="s">
        <v>585</v>
      </c>
      <c r="E142" s="13">
        <v>42910.884710648148</v>
      </c>
      <c r="F142" s="13">
        <v>42910.893900462965</v>
      </c>
      <c r="G142" s="7">
        <v>1</v>
      </c>
      <c r="H142" s="21" t="s">
        <v>436</v>
      </c>
      <c r="I142" s="13">
        <v>42910.921226851853</v>
      </c>
      <c r="J142" s="7">
        <v>0</v>
      </c>
      <c r="K142" s="89" t="str">
        <f t="shared" si="60"/>
        <v>4043/4044</v>
      </c>
      <c r="L142" s="21" t="str">
        <f>VLOOKUP(A142,'Trips&amp;Operators'!$C$1:$G$99999,5,FALSE)</f>
        <v>FORTUNATO FRANK</v>
      </c>
      <c r="M142" s="6">
        <f t="shared" si="61"/>
        <v>2.73263888884685E-2</v>
      </c>
      <c r="N142" s="7">
        <f t="shared" si="55"/>
        <v>39.34999999939464</v>
      </c>
      <c r="O142" s="7"/>
      <c r="P142" s="7"/>
      <c r="Q142" s="22"/>
      <c r="R142" s="170"/>
      <c r="S142" s="213">
        <f t="shared" si="56"/>
        <v>1</v>
      </c>
      <c r="T142" s="195" t="str">
        <f t="shared" si="62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3"/>
        <v>https://d0f6bd738d7f1b3e5a7ca70fe4ff75f0.us-east-1.aws.found.io/app/kibana#/discover/Steve-Slow-Train-Analysis-(2080s-and-2083s)?_g=(refreshInterval:(display:Off,pause:!f,section:0,value:0),time:(from:'2017-06-24T20:13:59-0600',mode:absolute,to:'2017-06-24T23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2" s="197" t="str">
        <f>IF(AA142&lt;VLOOKUP(AG142,Variables!$AC$3:$AD$8,2,FALSE),"Y","N")</f>
        <v>N</v>
      </c>
      <c r="X142" s="197">
        <f t="shared" si="59"/>
        <v>1</v>
      </c>
      <c r="Y142" s="197">
        <f t="shared" si="57"/>
        <v>23.300599999999999</v>
      </c>
      <c r="Z142" s="197">
        <f t="shared" si="58"/>
        <v>1.5599999999999999E-2</v>
      </c>
      <c r="AA142" s="197">
        <f t="shared" si="64"/>
        <v>23.285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5"/>
        <v>228</v>
      </c>
      <c r="AE142" s="77" t="str">
        <f t="shared" si="66"/>
        <v>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 &amp; 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</v>
      </c>
      <c r="AF142" s="74" t="str">
        <f t="shared" si="67"/>
        <v>"C:\Program Files (x86)\AstroGrep\AstroGrep.exe" /e /r /s /spath="%USERPROFILE%\AppData\Local\Temp\OnboardLogs" /stypes="app*4043*20170625*" /stext=" 04:.+((SYSTEM_STATE.+slice.+state.+changed )|(ment ac)|(multiple cpu faults)|(system.+state.+changed )|(\[timeout)|(PRM\|1\|D)|(kpr)|(kdp)|(train st.+moving)|(\|lc)|(penalty))"</v>
      </c>
      <c r="AG142" s="209" t="str">
        <f t="shared" si="68"/>
        <v>EC</v>
      </c>
      <c r="AH142" s="78" t="str">
        <f t="shared" ref="AH142:AH204" si="6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228-24 --locoid 4043 --swversion DE.1.0.9.0 --startMP 204:233006 --initTime 2017-06-24T21:13:59 --startdatetime 2017-06-24T21:27:13 --delay 1 --endMP 204:156 --enddatetime 2017-06-24T22:06:34 --enforcementcount 0 &gt;&gt;C:\Users\stu\Documents\GitHub\eaglep3-reporting\EC\2017-06-24-refined-times.txt</v>
      </c>
      <c r="AI142" s="96" t="str">
        <f t="shared" ref="AI142:AI204" si="7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{"issue":{"subject":"","project_id":79,"tracker_id":40,"status_id":1,"priority_id":2,"assigned_to_id":23,"start_date":"2017-06-24","description":"","custom_fields":[{"id":1,"name":"Subdivision","value":"EC"},{"id":4,"name":"Milepost","value":"0.0156"},{"id":17,"name":"Train ID","value":"228-24"},{"id":16,"name":"Locomotive ID","value":"4043"},{"id":130,"name":"Impact","value":""},{"id":150,"name":"Time of Event (Mountain Time)","value":"22:06:34"},{"id":151,"name":"Denver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4" si="71">"start /low /b "&amp;dls3logs&amp;" --loco "&amp;B142&amp;" --day "&amp;TEXT(F142,"YYYY-MM-DD")</f>
        <v>start /low /b %USERPROFILE%\Documents\GitHub\eaglep3\Utilities\DownloadLogsFromS3.py --loco 4043 --day 2017-06-24</v>
      </c>
      <c r="AN142" s="151" t="str">
        <f t="shared" ref="AN142:AN204" si="72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04:06:34"},{"id":29,"name":"Sharepoint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844</v>
      </c>
      <c r="B143" s="7">
        <v>4004</v>
      </c>
      <c r="C143" s="21" t="s">
        <v>202</v>
      </c>
      <c r="D143" s="21" t="s">
        <v>447</v>
      </c>
      <c r="E143" s="13">
        <v>42910.870416666665</v>
      </c>
      <c r="F143" s="13">
        <v>42910.875185185185</v>
      </c>
      <c r="G143" s="7">
        <v>1</v>
      </c>
      <c r="H143" s="21" t="s">
        <v>444</v>
      </c>
      <c r="I143" s="13">
        <v>42910.900451388887</v>
      </c>
      <c r="J143" s="7">
        <v>0</v>
      </c>
      <c r="K143" s="89" t="str">
        <f t="shared" si="60"/>
        <v>4003/4004</v>
      </c>
      <c r="L143" s="21" t="str">
        <f>VLOOKUP(A143,'Trips&amp;Operators'!$C$1:$G$99999,5,FALSE)</f>
        <v>LAMAR NEKESHA</v>
      </c>
      <c r="M143" s="6">
        <f t="shared" si="61"/>
        <v>2.5266203701903578E-2</v>
      </c>
      <c r="N143" s="7">
        <f t="shared" si="55"/>
        <v>36.383333330741152</v>
      </c>
      <c r="O143" s="7"/>
      <c r="P143" s="7"/>
      <c r="Q143" s="22"/>
      <c r="R143" s="170"/>
      <c r="S143" s="213">
        <f t="shared" si="56"/>
        <v>1</v>
      </c>
      <c r="T143" s="195" t="str">
        <f t="shared" si="62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3"/>
        <v>https://d0f6bd738d7f1b3e5a7ca70fe4ff75f0.us-east-1.aws.found.io/app/kibana#/discover/Steve-Slow-Train-Analysis-(2080s-and-2083s)?_g=(refreshInterval:(display:Off,pause:!f,section:0,value:0),time:(from:'2017-06-24T19:53:24-0600',mode:absolute,to:'2017-06-24T22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3" s="197" t="str">
        <f>IF(AA143&lt;VLOOKUP(AG143,Variables!$AC$3:$AD$8,2,FALSE),"Y","N")</f>
        <v>N</v>
      </c>
      <c r="X143" s="197">
        <f t="shared" si="59"/>
        <v>1</v>
      </c>
      <c r="Y143" s="197">
        <f t="shared" si="57"/>
        <v>4.6899999999999997E-2</v>
      </c>
      <c r="Z143" s="197">
        <f t="shared" si="58"/>
        <v>23.3291</v>
      </c>
      <c r="AA143" s="197">
        <f t="shared" si="64"/>
        <v>23.2822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5"/>
        <v>229</v>
      </c>
      <c r="AE143" s="77" t="str">
        <f t="shared" si="66"/>
        <v>aws s3 cp s3://rtdc.mdm.uploadarchive.raw/RTDC4004/ "%USERPROFILE%\AppData\Local\Temp\OnboardLogs"\RTDC4004\2017-06-24 --exclude "*" --recursive --include "*20170624*" &amp; "%USERPROFILE%\Documents\GitHub\mrs-test-scripts\Headless Mode &amp; Sideloading\WalkAndUnGZ.bat" "%USERPROFILE%\AppData\Local\Temp\OnboardLogs"\RTDC4004\2017-06-24 &amp; aws s3 cp s3://rtdc.mdm.uploadarchive.raw/RTDC4004/ "%USERPROFILE%\AppData\Local\Temp\OnboardLogs"\RTDC4004\2017-06-25 --exclude "*" --recursive --include "*20170625*" &amp; "%USERPROFILE%\Documents\GitHub\mrs-test-scripts\Headless Mode &amp; Sideloading\WalkAndUnGZ.bat" "%USERPROFILE%\AppData\Local\Temp\OnboardLogs"\RTDC4004\2017-06-25</v>
      </c>
      <c r="AF143" s="74" t="str">
        <f t="shared" si="67"/>
        <v>"C:\Program Files (x86)\AstroGrep\AstroGrep.exe" /e /r /s /spath="%USERPROFILE%\AppData\Local\Temp\OnboardLogs" /stypes="app*4004*20170625*" /stext=" 03:.+((SYSTEM_STATE.+slice.+state.+changed )|(ment ac)|(multiple cpu faults)|(system.+state.+changed )|(\[timeout)|(PRM\|1\|D)|(kpr)|(kdp)|(train st.+moving)|(\|lc)|(penalty))"</v>
      </c>
      <c r="AG143" s="209" t="str">
        <f t="shared" si="68"/>
        <v>EC</v>
      </c>
      <c r="AH143" s="78" t="str">
        <f t="shared" si="69"/>
        <v>"%USERPROFILE%\Documents\GitHub\eaglep3\Utilities\RefineRTDCRunTimes.py" --tripid 229-24 --locoid 4004 --swversion DE.1.0.9.0 --startMP 204:469 --initTime 2017-06-24T20:53:24 --startdatetime 2017-06-24T21:00:16 --delay 1 --endMP 204:233291 --enddatetime 2017-06-24T21:36:39 --enforcementcount 0 &gt;&gt;C:\Users\stu\Documents\GitHub\eaglep3-reporting\EC\2017-06-24-refined-times.txt</v>
      </c>
      <c r="AI143" s="96" t="str">
        <f t="shared" si="70"/>
        <v>echo {"issue":{"subject":"","project_id":79,"tracker_id":40,"status_id":1,"priority_id":2,"assigned_to_id":23,"start_date":"2017-06-24","description":"","custom_fields":[{"id":1,"name":"Subdivision","value":"EC"},{"id":4,"name":"Milepost","value":"23.3291"},{"id":17,"name":"Train ID","value":"229-24"},{"id":16,"name":"Locomotive ID","value":"4004"},{"id":130,"name":"Impact","value":""},{"id":150,"name":"Time of Event (Mountain Time)","value":"21:36:39"},{"id":151,"name":"Denver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71"/>
        <v>start /low /b %USERPROFILE%\Documents\GitHub\eaglep3\Utilities\DownloadLogsFromS3.py --loco 4004 --day 2017-06-24</v>
      </c>
      <c r="AN143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03:36:39"},{"id":29,"name":"Sharepoint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849</v>
      </c>
      <c r="B144" s="7">
        <v>4003</v>
      </c>
      <c r="C144" s="21" t="s">
        <v>202</v>
      </c>
      <c r="D144" s="21" t="s">
        <v>866</v>
      </c>
      <c r="E144" s="13">
        <v>42910.909432870372</v>
      </c>
      <c r="F144" s="13">
        <v>42910.914849537039</v>
      </c>
      <c r="G144" s="7">
        <v>1</v>
      </c>
      <c r="H144" s="21" t="s">
        <v>359</v>
      </c>
      <c r="I144" s="13">
        <v>42910.942013888889</v>
      </c>
      <c r="J144" s="7">
        <v>0</v>
      </c>
      <c r="K144" s="89" t="str">
        <f t="shared" si="60"/>
        <v>4003/4004</v>
      </c>
      <c r="L144" s="21" t="str">
        <f>VLOOKUP(A144,'Trips&amp;Operators'!$C$1:$G$99999,5,FALSE)</f>
        <v>LAMAR NEKESHA</v>
      </c>
      <c r="M144" s="6">
        <f t="shared" si="61"/>
        <v>2.7164351849933155E-2</v>
      </c>
      <c r="N144" s="7">
        <f t="shared" si="55"/>
        <v>39.116666663903743</v>
      </c>
      <c r="O144" s="7"/>
      <c r="P144" s="7"/>
      <c r="Q144" s="22"/>
      <c r="R144" s="170"/>
      <c r="S144" s="213">
        <f t="shared" si="56"/>
        <v>1</v>
      </c>
      <c r="T144" s="195" t="str">
        <f t="shared" si="62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3"/>
        <v>https://d0f6bd738d7f1b3e5a7ca70fe4ff75f0.us-east-1.aws.found.io/app/kibana#/discover/Steve-Slow-Train-Analysis-(2080s-and-2083s)?_g=(refreshInterval:(display:Off,pause:!f,section:0,value:0),time:(from:'2017-06-24T20:49:35-0600',mode:absolute,to:'2017-06-24T23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4" s="197" t="str">
        <f>IF(AA144&lt;VLOOKUP(AG144,Variables!$AC$3:$AD$8,2,FALSE),"Y","N")</f>
        <v>N</v>
      </c>
      <c r="X144" s="197">
        <f t="shared" si="59"/>
        <v>1</v>
      </c>
      <c r="Y144" s="197">
        <f t="shared" si="57"/>
        <v>23.297499999999999</v>
      </c>
      <c r="Z144" s="197">
        <f t="shared" si="58"/>
        <v>1.47E-2</v>
      </c>
      <c r="AA144" s="197">
        <f t="shared" si="64"/>
        <v>23.282799999999998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5"/>
        <v>230</v>
      </c>
      <c r="AE144" s="77" t="str">
        <f t="shared" si="66"/>
        <v>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 &amp; aws s3 cp s3://rtdc.mdm.uploadarchive.raw/RTDC4003/ "%USERPROFILE%\AppData\Local\Temp\OnboardLogs"\RTDC4003\2017-06-25 --exclude "*" --recursive --include "*20170625*" &amp; "%USERPROFILE%\Documents\GitHub\mrs-test-scripts\Headless Mode &amp; Sideloading\WalkAndUnGZ.bat" "%USERPROFILE%\AppData\Local\Temp\OnboardLogs"\RTDC4003\2017-06-25</v>
      </c>
      <c r="AF144" s="74" t="str">
        <f t="shared" si="67"/>
        <v>"C:\Program Files (x86)\AstroGrep\AstroGrep.exe" /e /r /s /spath="%USERPROFILE%\AppData\Local\Temp\OnboardLogs" /stypes="app*4003*20170625*" /stext=" 04:.+((SYSTEM_STATE.+slice.+state.+changed )|(ment ac)|(multiple cpu faults)|(system.+state.+changed )|(\[timeout)|(PRM\|1\|D)|(kpr)|(kdp)|(train st.+moving)|(\|lc)|(penalty))"</v>
      </c>
      <c r="AG144" s="209" t="str">
        <f t="shared" si="68"/>
        <v>EC</v>
      </c>
      <c r="AH144" s="78" t="str">
        <f t="shared" si="69"/>
        <v>"%USERPROFILE%\Documents\GitHub\eaglep3\Utilities\RefineRTDCRunTimes.py" --tripid 230-24 --locoid 4003 --swversion DE.1.0.9.0 --startMP 204:232975 --initTime 2017-06-24T21:49:35 --startdatetime 2017-06-24T21:57:23 --delay 1 --endMP 204:147 --enddatetime 2017-06-24T22:36:30 --enforcementcount 0 &gt;&gt;C:\Users\stu\Documents\GitHub\eaglep3-reporting\EC\2017-06-24-refined-times.txt</v>
      </c>
      <c r="AI144" s="96" t="str">
        <f t="shared" si="70"/>
        <v>echo {"issue":{"subject":"","project_id":79,"tracker_id":40,"status_id":1,"priority_id":2,"assigned_to_id":23,"start_date":"2017-06-24","description":"","custom_fields":[{"id":1,"name":"Subdivision","value":"EC"},{"id":4,"name":"Milepost","value":"0.0147"},{"id":17,"name":"Train ID","value":"230-24"},{"id":16,"name":"Locomotive ID","value":"4003"},{"id":130,"name":"Impact","value":""},{"id":150,"name":"Time of Event (Mountain Time)","value":"22:36:30"},{"id":151,"name":"Denver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1"/>
        <v>start /low /b %USERPROFILE%\Documents\GitHub\eaglep3\Utilities\DownloadLogsFromS3.py --loco 4003 --day 2017-06-24</v>
      </c>
      <c r="AN144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04:36:30"},{"id":29,"name":"Sharepoint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845</v>
      </c>
      <c r="B145" s="7">
        <v>4042</v>
      </c>
      <c r="C145" s="21" t="s">
        <v>202</v>
      </c>
      <c r="D145" s="21" t="s">
        <v>519</v>
      </c>
      <c r="E145" s="13">
        <v>42910.881539351853</v>
      </c>
      <c r="F145" s="13">
        <v>42910.896157407406</v>
      </c>
      <c r="G145" s="7">
        <v>1</v>
      </c>
      <c r="H145" s="21" t="s">
        <v>587</v>
      </c>
      <c r="I145" s="13">
        <v>42910.921736111108</v>
      </c>
      <c r="J145" s="7">
        <v>0</v>
      </c>
      <c r="K145" s="89" t="str">
        <f t="shared" si="60"/>
        <v>4041/4042</v>
      </c>
      <c r="L145" s="21" t="str">
        <f>VLOOKUP(A145,'Trips&amp;Operators'!$C$1:$G$99999,5,FALSE)</f>
        <v>YANG JAN</v>
      </c>
      <c r="M145" s="6">
        <f t="shared" si="61"/>
        <v>2.5578703702194616E-2</v>
      </c>
      <c r="N145" s="7">
        <f t="shared" si="55"/>
        <v>36.833333331160247</v>
      </c>
      <c r="O145" s="7"/>
      <c r="P145" s="7"/>
      <c r="Q145" s="22"/>
      <c r="R145" s="170"/>
      <c r="S145" s="213">
        <f t="shared" si="56"/>
        <v>1</v>
      </c>
      <c r="T145" s="195" t="str">
        <f t="shared" si="62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3"/>
        <v>https://d0f6bd738d7f1b3e5a7ca70fe4ff75f0.us-east-1.aws.found.io/app/kibana#/discover/Steve-Slow-Train-Analysis-(2080s-and-2083s)?_g=(refreshInterval:(display:Off,pause:!f,section:0,value:0),time:(from:'2017-06-24T20:09:25-0600',mode:absolute,to:'2017-06-24T23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5" s="197" t="str">
        <f>IF(AA145&lt;VLOOKUP(AG145,Variables!$AC$3:$AD$8,2,FALSE),"Y","N")</f>
        <v>N</v>
      </c>
      <c r="X145" s="197">
        <f t="shared" si="59"/>
        <v>1</v>
      </c>
      <c r="Y145" s="197">
        <f t="shared" si="57"/>
        <v>4.3299999999999998E-2</v>
      </c>
      <c r="Z145" s="197">
        <f t="shared" si="58"/>
        <v>23.334700000000002</v>
      </c>
      <c r="AA145" s="197">
        <f t="shared" si="64"/>
        <v>23.291400000000003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5"/>
        <v>231</v>
      </c>
      <c r="AE145" s="77" t="str">
        <f t="shared" si="66"/>
        <v>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 &amp; 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</v>
      </c>
      <c r="AF145" s="74" t="str">
        <f t="shared" si="67"/>
        <v>"C:\Program Files (x86)\AstroGrep\AstroGrep.exe" /e /r /s /spath="%USERPROFILE%\AppData\Local\Temp\OnboardLogs" /stypes="app*4042*20170625*" /stext=" 04:.+((SYSTEM_STATE.+slice.+state.+changed )|(ment ac)|(multiple cpu faults)|(system.+state.+changed )|(\[timeout)|(PRM\|1\|D)|(kpr)|(kdp)|(train st.+moving)|(\|lc)|(penalty))"</v>
      </c>
      <c r="AG145" s="209" t="str">
        <f t="shared" si="68"/>
        <v>EC</v>
      </c>
      <c r="AH145" s="78" t="str">
        <f t="shared" si="69"/>
        <v>"%USERPROFILE%\Documents\GitHub\eaglep3\Utilities\RefineRTDCRunTimes.py" --tripid 231-24 --locoid 4042 --swversion DE.1.0.9.0 --startMP 204:433 --initTime 2017-06-24T21:09:25 --startdatetime 2017-06-24T21:30:28 --delay 1 --endMP 204:233347 --enddatetime 2017-06-24T22:07:18 --enforcementcount 0 &gt;&gt;C:\Users\stu\Documents\GitHub\eaglep3-reporting\EC\2017-06-24-refined-times.txt</v>
      </c>
      <c r="AI145" s="96" t="str">
        <f t="shared" si="70"/>
        <v>echo {"issue":{"subject":"","project_id":79,"tracker_id":40,"status_id":1,"priority_id":2,"assigned_to_id":23,"start_date":"2017-06-24","description":"","custom_fields":[{"id":1,"name":"Subdivision","value":"EC"},{"id":4,"name":"Milepost","value":"23.3347"},{"id":17,"name":"Train ID","value":"231-24"},{"id":16,"name":"Locomotive ID","value":"4042"},{"id":130,"name":"Impact","value":""},{"id":150,"name":"Time of Event (Mountain Time)","value":"22:07:18"},{"id":151,"name":"Denver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1"/>
        <v>start /low /b %USERPROFILE%\Documents\GitHub\eaglep3\Utilities\DownloadLogsFromS3.py --loco 4042 --day 2017-06-24</v>
      </c>
      <c r="AN145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04:07:18"},{"id":29,"name":"Sharepoint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851</v>
      </c>
      <c r="B146" s="7">
        <v>4041</v>
      </c>
      <c r="C146" s="21" t="s">
        <v>202</v>
      </c>
      <c r="D146" s="21" t="s">
        <v>598</v>
      </c>
      <c r="E146" s="13">
        <v>42910.930590277778</v>
      </c>
      <c r="F146" s="13">
        <v>42910.935682870368</v>
      </c>
      <c r="G146" s="7">
        <v>1</v>
      </c>
      <c r="H146" s="21" t="s">
        <v>358</v>
      </c>
      <c r="I146" s="13">
        <v>42910.96193287037</v>
      </c>
      <c r="J146" s="7">
        <v>0</v>
      </c>
      <c r="K146" s="89" t="str">
        <f t="shared" si="60"/>
        <v>4041/4042</v>
      </c>
      <c r="L146" s="21" t="str">
        <f>VLOOKUP(A146,'Trips&amp;Operators'!$C$1:$G$99999,5,FALSE)</f>
        <v>YANG JAN</v>
      </c>
      <c r="M146" s="6">
        <f t="shared" si="61"/>
        <v>2.6250000002619345E-2</v>
      </c>
      <c r="N146" s="7">
        <f t="shared" si="55"/>
        <v>37.800000003771856</v>
      </c>
      <c r="O146" s="7"/>
      <c r="P146" s="7"/>
      <c r="Q146" s="22"/>
      <c r="R146" s="170"/>
      <c r="S146" s="213">
        <f t="shared" si="56"/>
        <v>1</v>
      </c>
      <c r="T146" s="195" t="str">
        <f t="shared" si="62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3"/>
        <v>https://d0f6bd738d7f1b3e5a7ca70fe4ff75f0.us-east-1.aws.found.io/app/kibana#/discover/Steve-Slow-Train-Analysis-(2080s-and-2083s)?_g=(refreshInterval:(display:Off,pause:!f,section:0,value:0),time:(from:'2017-06-24T21:20:03-0600',mode:absolute,to:'2017-06-25T00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6" s="197" t="str">
        <f>IF(AA146&lt;VLOOKUP(AG146,Variables!$AC$3:$AD$8,2,FALSE),"Y","N")</f>
        <v>N</v>
      </c>
      <c r="X146" s="197">
        <f t="shared" si="59"/>
        <v>1</v>
      </c>
      <c r="Y146" s="197">
        <f t="shared" si="57"/>
        <v>23.3019</v>
      </c>
      <c r="Z146" s="197">
        <f t="shared" si="58"/>
        <v>1.41E-2</v>
      </c>
      <c r="AA146" s="197">
        <f t="shared" si="64"/>
        <v>23.287800000000001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5"/>
        <v>232</v>
      </c>
      <c r="AE146" s="77" t="str">
        <f t="shared" si="66"/>
        <v>aws s3 cp s3://rtdc.mdm.uploadarchive.raw/RTDC4041/ "%USERPROFILE%\AppData\Local\Temp\OnboardLogs"\RTDC4041\2017-06-24 --exclude "*" --recursive --include "*20170624*" &amp; "%USERPROFILE%\Documents\GitHub\mrs-test-scripts\Headless Mode &amp; Sideloading\WalkAndUnGZ.bat" "%USERPROFILE%\AppData\Local\Temp\OnboardLogs"\RTDC4041\2017-06-24 &amp; aws s3 cp s3://rtdc.mdm.uploadarchive.raw/RTDC4041/ "%USERPROFILE%\AppData\Local\Temp\OnboardLogs"\RTDC4041\2017-06-25 --exclude "*" --recursive --include "*20170625*" &amp; "%USERPROFILE%\Documents\GitHub\mrs-test-scripts\Headless Mode &amp; Sideloading\WalkAndUnGZ.bat" "%USERPROFILE%\AppData\Local\Temp\OnboardLogs"\RTDC4041\2017-06-25</v>
      </c>
      <c r="AF146" s="74" t="str">
        <f t="shared" si="67"/>
        <v>"C:\Program Files (x86)\AstroGrep\AstroGrep.exe" /e /r /s /spath="%USERPROFILE%\AppData\Local\Temp\OnboardLogs" /stypes="app*4041*20170625*" /stext=" 05:.+((SYSTEM_STATE.+slice.+state.+changed )|(ment ac)|(multiple cpu faults)|(system.+state.+changed )|(\[timeout)|(PRM\|1\|D)|(kpr)|(kdp)|(train st.+moving)|(\|lc)|(penalty))"</v>
      </c>
      <c r="AG146" s="209" t="str">
        <f t="shared" si="68"/>
        <v>EC</v>
      </c>
      <c r="AH146" s="78" t="str">
        <f t="shared" si="69"/>
        <v>"%USERPROFILE%\Documents\GitHub\eaglep3\Utilities\RefineRTDCRunTimes.py" --tripid 232-24 --locoid 4041 --swversion DE.1.0.9.0 --startMP 204:233019 --initTime 2017-06-24T22:20:03 --startdatetime 2017-06-24T22:27:23 --delay 1 --endMP 204:141 --enddatetime 2017-06-24T23:05:11 --enforcementcount 0 &gt;&gt;C:\Users\stu\Documents\GitHub\eaglep3-reporting\EC\2017-06-24-refined-times.txt</v>
      </c>
      <c r="AI146" s="96" t="str">
        <f t="shared" si="70"/>
        <v>echo {"issue":{"subject":"","project_id":79,"tracker_id":40,"status_id":1,"priority_id":2,"assigned_to_id":23,"start_date":"2017-06-24","description":"","custom_fields":[{"id":1,"name":"Subdivision","value":"EC"},{"id":4,"name":"Milepost","value":"0.0141"},{"id":17,"name":"Train ID","value":"232-24"},{"id":16,"name":"Locomotive ID","value":"4041"},{"id":130,"name":"Impact","value":""},{"id":150,"name":"Time of Event (Mountain Time)","value":"23:05:11"},{"id":151,"name":"Denver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1"/>
        <v>start /low /b %USERPROFILE%\Documents\GitHub\eaglep3\Utilities\DownloadLogsFromS3.py --loco 4041 --day 2017-06-24</v>
      </c>
      <c r="AN146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05:05:11"},{"id":29,"name":"Sharepoint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848</v>
      </c>
      <c r="B147" s="7">
        <v>4022</v>
      </c>
      <c r="C147" s="21" t="s">
        <v>202</v>
      </c>
      <c r="D147" s="21" t="s">
        <v>447</v>
      </c>
      <c r="E147" s="13">
        <v>42910.903321759259</v>
      </c>
      <c r="F147" s="13">
        <v>42910.916828703703</v>
      </c>
      <c r="G147" s="7">
        <v>1</v>
      </c>
      <c r="H147" s="21" t="s">
        <v>516</v>
      </c>
      <c r="I147" s="13">
        <v>42910.942071759258</v>
      </c>
      <c r="J147" s="7">
        <v>0</v>
      </c>
      <c r="K147" s="89" t="str">
        <f t="shared" si="60"/>
        <v>4021/4022</v>
      </c>
      <c r="L147" s="21" t="str">
        <f>VLOOKUP(A147,'Trips&amp;Operators'!$C$1:$G$99999,5,FALSE)</f>
        <v>PERKINS DARREN</v>
      </c>
      <c r="M147" s="6">
        <f t="shared" si="61"/>
        <v>2.5243055555620231E-2</v>
      </c>
      <c r="N147" s="7">
        <f t="shared" si="55"/>
        <v>36.350000000093132</v>
      </c>
      <c r="O147" s="7"/>
      <c r="P147" s="7"/>
      <c r="Q147" s="22"/>
      <c r="R147" s="170"/>
      <c r="S147" s="213">
        <f t="shared" si="56"/>
        <v>1</v>
      </c>
      <c r="T147" s="195" t="str">
        <f t="shared" si="62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3"/>
        <v>https://d0f6bd738d7f1b3e5a7ca70fe4ff75f0.us-east-1.aws.found.io/app/kibana#/discover/Steve-Slow-Train-Analysis-(2080s-and-2083s)?_g=(refreshInterval:(display:Off,pause:!f,section:0,value:0),time:(from:'2017-06-24T20:40:47-0600',mode:absolute,to:'2017-06-24T23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7" s="197" t="str">
        <f>IF(AA147&lt;VLOOKUP(AG147,Variables!$AC$3:$AD$8,2,FALSE),"Y","N")</f>
        <v>N</v>
      </c>
      <c r="X147" s="197">
        <f t="shared" si="59"/>
        <v>1</v>
      </c>
      <c r="Y147" s="197">
        <f t="shared" si="57"/>
        <v>4.6899999999999997E-2</v>
      </c>
      <c r="Z147" s="197">
        <f t="shared" si="58"/>
        <v>23.330300000000001</v>
      </c>
      <c r="AA147" s="197">
        <f t="shared" si="64"/>
        <v>23.2834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5"/>
        <v>233</v>
      </c>
      <c r="AE147" s="77" t="str">
        <f t="shared" si="66"/>
        <v>aws s3 cp s3://rtdc.mdm.uploadarchive.raw/RTDC4022/ "%USERPROFILE%\AppData\Local\Temp\OnboardLogs"\RTDC4022\2017-06-24 --exclude "*" --recursive --include "*20170624*" &amp; "%USERPROFILE%\Documents\GitHub\mrs-test-scripts\Headless Mode &amp; Sideloading\WalkAndUnGZ.bat" "%USERPROFILE%\AppData\Local\Temp\OnboardLogs"\RTDC4022\2017-06-24 &amp; aws s3 cp s3://rtdc.mdm.uploadarchive.raw/RTDC4022/ "%USERPROFILE%\AppData\Local\Temp\OnboardLogs"\RTDC4022\2017-06-25 --exclude "*" --recursive --include "*20170625*" &amp; "%USERPROFILE%\Documents\GitHub\mrs-test-scripts\Headless Mode &amp; Sideloading\WalkAndUnGZ.bat" "%USERPROFILE%\AppData\Local\Temp\OnboardLogs"\RTDC4022\2017-06-25</v>
      </c>
      <c r="AF147" s="74" t="str">
        <f t="shared" si="67"/>
        <v>"C:\Program Files (x86)\AstroGrep\AstroGrep.exe" /e /r /s /spath="%USERPROFILE%\AppData\Local\Temp\OnboardLogs" /stypes="app*4022*20170625*" /stext=" 04:.+((SYSTEM_STATE.+slice.+state.+changed )|(ment ac)|(multiple cpu faults)|(system.+state.+changed )|(\[timeout)|(PRM\|1\|D)|(kpr)|(kdp)|(train st.+moving)|(\|lc)|(penalty))"</v>
      </c>
      <c r="AG147" s="209" t="str">
        <f t="shared" si="68"/>
        <v>EC</v>
      </c>
      <c r="AH147" s="78" t="str">
        <f t="shared" si="69"/>
        <v>"%USERPROFILE%\Documents\GitHub\eaglep3\Utilities\RefineRTDCRunTimes.py" --tripid 233-24 --locoid 4022 --swversion DE.1.0.9.0 --startMP 204:469 --initTime 2017-06-24T21:40:47 --startdatetime 2017-06-24T22:00:14 --delay 1 --endMP 204:233303 --enddatetime 2017-06-24T22:36:35 --enforcementcount 0 &gt;&gt;C:\Users\stu\Documents\GitHub\eaglep3-reporting\EC\2017-06-24-refined-times.txt</v>
      </c>
      <c r="AI147" s="96" t="str">
        <f t="shared" si="70"/>
        <v>echo {"issue":{"subject":"","project_id":79,"tracker_id":40,"status_id":1,"priority_id":2,"assigned_to_id":23,"start_date":"2017-06-24","description":"","custom_fields":[{"id":1,"name":"Subdivision","value":"EC"},{"id":4,"name":"Milepost","value":"23.3303"},{"id":17,"name":"Train ID","value":"233-24"},{"id":16,"name":"Locomotive ID","value":"4022"},{"id":130,"name":"Impact","value":""},{"id":150,"name":"Time of Event (Mountain Time)","value":"22:36:35"},{"id":151,"name":"Denver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1"/>
        <v>start /low /b %USERPROFILE%\Documents\GitHub\eaglep3\Utilities\DownloadLogsFromS3.py --loco 4022 --day 2017-06-24</v>
      </c>
      <c r="AN147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04:36:35"},{"id":29,"name":"Sharepoint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853</v>
      </c>
      <c r="B148" s="7">
        <v>4021</v>
      </c>
      <c r="C148" s="21" t="s">
        <v>202</v>
      </c>
      <c r="D148" s="21" t="s">
        <v>885</v>
      </c>
      <c r="E148" s="13">
        <v>42910.948946759258</v>
      </c>
      <c r="F148" s="13">
        <v>42910.956446759257</v>
      </c>
      <c r="G148" s="7">
        <v>1</v>
      </c>
      <c r="H148" s="21" t="s">
        <v>609</v>
      </c>
      <c r="I148" s="13">
        <v>42910.983541666668</v>
      </c>
      <c r="J148" s="7">
        <v>0</v>
      </c>
      <c r="K148" s="89" t="str">
        <f t="shared" si="60"/>
        <v>4021/4022</v>
      </c>
      <c r="L148" s="21" t="str">
        <f>VLOOKUP(A148,'Trips&amp;Operators'!$C$1:$G$99999,5,FALSE)</f>
        <v>PERKINS DARREN</v>
      </c>
      <c r="M148" s="6">
        <f t="shared" si="61"/>
        <v>2.7094907411083113E-2</v>
      </c>
      <c r="N148" s="7">
        <f t="shared" si="55"/>
        <v>39.016666671959683</v>
      </c>
      <c r="O148" s="7"/>
      <c r="P148" s="7"/>
      <c r="Q148" s="22"/>
      <c r="R148" s="170"/>
      <c r="S148" s="213">
        <f t="shared" si="56"/>
        <v>1</v>
      </c>
      <c r="T148" s="195" t="str">
        <f t="shared" si="62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3"/>
        <v>https://d0f6bd738d7f1b3e5a7ca70fe4ff75f0.us-east-1.aws.found.io/app/kibana#/discover/Steve-Slow-Train-Analysis-(2080s-and-2083s)?_g=(refreshInterval:(display:Off,pause:!f,section:0,value:0),time:(from:'2017-06-24T21:46:29-0600',mode:absolute,to:'2017-06-25T00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8" s="197" t="str">
        <f>IF(AA148&lt;VLOOKUP(AG148,Variables!$AC$3:$AD$8,2,FALSE),"Y","N")</f>
        <v>N</v>
      </c>
      <c r="X148" s="197">
        <f t="shared" si="59"/>
        <v>1</v>
      </c>
      <c r="Y148" s="197">
        <f t="shared" si="57"/>
        <v>23.298999999999999</v>
      </c>
      <c r="Z148" s="197">
        <f t="shared" si="58"/>
        <v>1.2699999999999999E-2</v>
      </c>
      <c r="AA148" s="197">
        <f t="shared" si="64"/>
        <v>23.286300000000001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5"/>
        <v>234</v>
      </c>
      <c r="AE148" s="77" t="str">
        <f t="shared" si="66"/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AF148" s="74" t="str">
        <f t="shared" si="67"/>
        <v>"C:\Program Files (x86)\AstroGrep\AstroGrep.exe" /e /r /s /spath="%USERPROFILE%\AppData\Local\Temp\OnboardLogs" /stypes="app*4021*20170625*" /stext=" 05:.+((SYSTEM_STATE.+slice.+state.+changed )|(ment ac)|(multiple cpu faults)|(system.+state.+changed )|(\[timeout)|(PRM\|1\|D)|(kpr)|(kdp)|(train st.+moving)|(\|lc)|(penalty))"</v>
      </c>
      <c r="AG148" s="209" t="str">
        <f t="shared" si="68"/>
        <v>EC</v>
      </c>
      <c r="AH148" s="78" t="str">
        <f t="shared" si="69"/>
        <v>"%USERPROFILE%\Documents\GitHub\eaglep3\Utilities\RefineRTDCRunTimes.py" --tripid 234-24 --locoid 4021 --swversion DE.1.0.9.0 --startMP 204:232990 --initTime 2017-06-24T22:46:29 --startdatetime 2017-06-24T22:57:17 --delay 1 --endMP 204:127 --enddatetime 2017-06-24T23:36:18 --enforcementcount 0 &gt;&gt;C:\Users\stu\Documents\GitHub\eaglep3-reporting\EC\2017-06-24-refined-times.txt</v>
      </c>
      <c r="AI148" s="96" t="str">
        <f t="shared" si="70"/>
        <v>echo {"issue":{"subject":"","project_id":79,"tracker_id":40,"status_id":1,"priority_id":2,"assigned_to_id":23,"start_date":"2017-06-24","description":"","custom_fields":[{"id":1,"name":"Subdivision","value":"EC"},{"id":4,"name":"Milepost","value":"0.0127"},{"id":17,"name":"Train ID","value":"234-24"},{"id":16,"name":"Locomotive ID","value":"4021"},{"id":130,"name":"Impact","value":""},{"id":150,"name":"Time of Event (Mountain Time)","value":"23:36:18"},{"id":151,"name":"Denver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1"/>
        <v>start /low /b %USERPROFILE%\Documents\GitHub\eaglep3\Utilities\DownloadLogsFromS3.py --loco 4021 --day 2017-06-24</v>
      </c>
      <c r="AN148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05:36:18"},{"id":29,"name":"Sharepoint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661</v>
      </c>
      <c r="B149" s="7">
        <v>4044</v>
      </c>
      <c r="C149" s="21" t="s">
        <v>202</v>
      </c>
      <c r="D149" s="21" t="s">
        <v>198</v>
      </c>
      <c r="E149" s="13">
        <v>42910.929039351853</v>
      </c>
      <c r="F149" s="13">
        <v>42910.937662037039</v>
      </c>
      <c r="G149" s="7">
        <v>1</v>
      </c>
      <c r="H149" s="21" t="s">
        <v>457</v>
      </c>
      <c r="I149" s="13">
        <v>42910.964004629626</v>
      </c>
      <c r="J149" s="7">
        <v>0</v>
      </c>
      <c r="K149" s="89" t="str">
        <f t="shared" si="60"/>
        <v>4043/4044</v>
      </c>
      <c r="L149" s="21" t="str">
        <f>VLOOKUP(A149,'Trips&amp;Operators'!$C$1:$G$99999,5,FALSE)</f>
        <v>FORTUNATO FRANK</v>
      </c>
      <c r="M149" s="6">
        <f t="shared" si="61"/>
        <v>2.6342592587752733E-2</v>
      </c>
      <c r="N149" s="7">
        <f t="shared" si="55"/>
        <v>37.933333326363936</v>
      </c>
      <c r="O149" s="7"/>
      <c r="P149" s="7"/>
      <c r="Q149" s="22"/>
      <c r="R149" s="170"/>
      <c r="S149" s="213">
        <f t="shared" si="56"/>
        <v>1</v>
      </c>
      <c r="T149" s="195" t="str">
        <f t="shared" si="62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3"/>
        <v>https://d0f6bd738d7f1b3e5a7ca70fe4ff75f0.us-east-1.aws.found.io/app/kibana#/discover/Steve-Slow-Train-Analysis-(2080s-and-2083s)?_g=(refreshInterval:(display:Off,pause:!f,section:0,value:0),time:(from:'2017-06-24T21:17:49-0600',mode:absolute,to:'2017-06-25T00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9" s="197" t="str">
        <f>IF(AA149&lt;VLOOKUP(AG149,Variables!$AC$3:$AD$8,2,FALSE),"Y","N")</f>
        <v>N</v>
      </c>
      <c r="X149" s="197">
        <f t="shared" si="59"/>
        <v>1</v>
      </c>
      <c r="Y149" s="197">
        <f t="shared" si="57"/>
        <v>4.5699999999999998E-2</v>
      </c>
      <c r="Z149" s="197">
        <f t="shared" si="58"/>
        <v>23.331</v>
      </c>
      <c r="AA149" s="197">
        <f t="shared" si="64"/>
        <v>23.285299999999999</v>
      </c>
      <c r="AB149" s="54" t="str">
        <f>VLOOKUP(A149,Enforcements!$C$7:$K$13,8,0)</f>
        <v>Bulletin (2)</v>
      </c>
      <c r="AC149" s="51" t="str">
        <f>VLOOKUP(A149,Enforcements!$C$7:$E$13,3,0)</f>
        <v>GRADE CROSSING</v>
      </c>
      <c r="AD149" s="206">
        <f t="shared" si="65"/>
        <v>235</v>
      </c>
      <c r="AE149" s="77" t="str">
        <f t="shared" si="66"/>
        <v>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 &amp; 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</v>
      </c>
      <c r="AF149" s="74" t="str">
        <f t="shared" si="67"/>
        <v>"C:\Program Files (x86)\AstroGrep\AstroGrep.exe" /e /r /s /spath="%USERPROFILE%\AppData\Local\Temp\OnboardLogs" /stypes="app*4044*20170625*" /stext=" 05:.+((SYSTEM_STATE.+slice.+state.+changed )|(ment ac)|(multiple cpu faults)|(system.+state.+changed )|(\[timeout)|(PRM\|1\|D)|(kpr)|(kdp)|(train st.+moving)|(\|lc)|(penalty))"</v>
      </c>
      <c r="AG149" s="209" t="str">
        <f t="shared" si="68"/>
        <v>EC</v>
      </c>
      <c r="AH149" s="78" t="str">
        <f t="shared" si="69"/>
        <v>"%USERPROFILE%\Documents\GitHub\eaglep3\Utilities\RefineRTDCRunTimes.py" --tripid 235-24 --locoid 4044 --swversion DE.1.0.9.0 --startMP 204:457 --initTime 2017-06-24T22:17:49 --startdatetime 2017-06-24T22:30:14 --delay 1 --endMP 204:233310 --enddatetime 2017-06-24T23:08:10 --enforcementcount 0 &gt;&gt;C:\Users\stu\Documents\GitHub\eaglep3-reporting\EC\2017-06-24-refined-times.txt</v>
      </c>
      <c r="AI149" s="96" t="str">
        <f t="shared" si="70"/>
        <v>echo {"issue":{"subject":"","project_id":79,"tracker_id":40,"status_id":1,"priority_id":2,"assigned_to_id":23,"start_date":"2017-06-24","description":"","custom_fields":[{"id":1,"name":"Subdivision","value":"EC"},{"id":4,"name":"Milepost","value":"23.331"},{"id":17,"name":"Train ID","value":"235-24"},{"id":16,"name":"Locomotive ID","value":"4044"},{"id":130,"name":"Impact","value":""},{"id":150,"name":"Time of Event (Mountain Time)","value":"23:08:10"},{"id":151,"name":"Denver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1"/>
        <v>start /low /b %USERPROFILE%\Documents\GitHub\eaglep3\Utilities\DownloadLogsFromS3.py --loco 4044 --day 2017-06-24</v>
      </c>
      <c r="AN149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05:08:10"},{"id":29,"name":"Sharepoint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662</v>
      </c>
      <c r="B150" s="7">
        <v>4043</v>
      </c>
      <c r="C150" s="21" t="s">
        <v>202</v>
      </c>
      <c r="D150" s="21" t="s">
        <v>585</v>
      </c>
      <c r="E150" s="13">
        <v>42910.970254629632</v>
      </c>
      <c r="F150" s="13">
        <v>42910.977268518516</v>
      </c>
      <c r="G150" s="7">
        <v>1</v>
      </c>
      <c r="H150" s="21" t="s">
        <v>359</v>
      </c>
      <c r="I150" s="13">
        <v>42911.004282407404</v>
      </c>
      <c r="J150" s="7">
        <v>0</v>
      </c>
      <c r="K150" s="89" t="str">
        <f t="shared" si="60"/>
        <v>4043/4044</v>
      </c>
      <c r="L150" s="21" t="str">
        <f>VLOOKUP(A150,'Trips&amp;Operators'!$C$1:$G$99999,5,FALSE)</f>
        <v>FORTUNATO FRANK</v>
      </c>
      <c r="M150" s="6">
        <f t="shared" si="61"/>
        <v>2.7013888888177462E-2</v>
      </c>
      <c r="N150" s="7">
        <f t="shared" si="55"/>
        <v>38.899999998975545</v>
      </c>
      <c r="O150" s="7"/>
      <c r="P150" s="7"/>
      <c r="Q150" s="22"/>
      <c r="R150" s="170"/>
      <c r="S150" s="213">
        <f t="shared" si="56"/>
        <v>1</v>
      </c>
      <c r="T150" s="195" t="str">
        <f t="shared" si="62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3"/>
        <v>https://d0f6bd738d7f1b3e5a7ca70fe4ff75f0.us-east-1.aws.found.io/app/kibana#/discover/Steve-Slow-Train-Analysis-(2080s-and-2083s)?_g=(refreshInterval:(display:Off,pause:!f,section:0,value:0),time:(from:'2017-06-24T22:17:10-0600',mode:absolute,to:'2017-06-25T01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0" s="197" t="str">
        <f>IF(AA150&lt;VLOOKUP(AG150,Variables!$AC$3:$AD$8,2,FALSE),"Y","N")</f>
        <v>N</v>
      </c>
      <c r="X150" s="197">
        <f t="shared" si="59"/>
        <v>1</v>
      </c>
      <c r="Y150" s="197">
        <f t="shared" si="57"/>
        <v>23.300599999999999</v>
      </c>
      <c r="Z150" s="197">
        <f t="shared" si="58"/>
        <v>1.47E-2</v>
      </c>
      <c r="AA150" s="197">
        <f t="shared" si="64"/>
        <v>23.285899999999998</v>
      </c>
      <c r="AB150" s="54" t="str">
        <f>VLOOKUP(A150,Enforcements!$C$7:$K$13,8,0)</f>
        <v>Bulletin (2)</v>
      </c>
      <c r="AC150" s="51" t="str">
        <f>VLOOKUP(A150,Enforcements!$C$7:$E$13,3,0)</f>
        <v>GRADE CROSSING</v>
      </c>
      <c r="AD150" s="206">
        <f t="shared" si="65"/>
        <v>236</v>
      </c>
      <c r="AE150" s="77" t="str">
        <f t="shared" si="66"/>
        <v>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 &amp; 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</v>
      </c>
      <c r="AF150" s="74" t="str">
        <f t="shared" si="67"/>
        <v>"C:\Program Files (x86)\AstroGrep\AstroGrep.exe" /e /r /s /spath="%USERPROFILE%\AppData\Local\Temp\OnboardLogs" /stypes="app*4043*20170625*" /stext=" 06:.+((SYSTEM_STATE.+slice.+state.+changed )|(ment ac)|(multiple cpu faults)|(system.+state.+changed )|(\[timeout)|(PRM\|1\|D)|(kpr)|(kdp)|(train st.+moving)|(\|lc)|(penalty))"</v>
      </c>
      <c r="AG150" s="209" t="str">
        <f t="shared" si="68"/>
        <v>EC</v>
      </c>
      <c r="AH150" s="78" t="str">
        <f t="shared" si="69"/>
        <v>"%USERPROFILE%\Documents\GitHub\eaglep3\Utilities\RefineRTDCRunTimes.py" --tripid 236-24 --locoid 4043 --swversion DE.1.0.9.0 --startMP 204:233006 --initTime 2017-06-24T23:17:10 --startdatetime 2017-06-24T23:27:16 --delay 1 --endMP 204:147 --enddatetime 2017-06-25T00:06:10 --enforcementcount 0 &gt;&gt;C:\Users\stu\Documents\GitHub\eaglep3-reporting\EC\2017-06-24-refined-times.txt</v>
      </c>
      <c r="AI150" s="96" t="str">
        <f t="shared" si="70"/>
        <v>echo {"issue":{"subject":"","project_id":79,"tracker_id":40,"status_id":1,"priority_id":2,"assigned_to_id":23,"start_date":"2017-06-25","description":"","custom_fields":[{"id":1,"name":"Subdivision","value":"EC"},{"id":4,"name":"Milepost","value":"0.0147"},{"id":17,"name":"Train ID","value":"236-24"},{"id":16,"name":"Locomotive ID","value":"4043"},{"id":130,"name":"Impact","value":""},{"id":150,"name":"Time of Event (Mountain Time)","value":"00:06:10"},{"id":151,"name":"Denver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1"/>
        <v>start /low /b %USERPROFILE%\Documents\GitHub\eaglep3\Utilities\DownloadLogsFromS3.py --loco 4043 --day 2017-06-24</v>
      </c>
      <c r="AN150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06:06:10"},{"id":29,"name":"Sharepoint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854</v>
      </c>
      <c r="B151" s="7">
        <v>4004</v>
      </c>
      <c r="C151" s="21" t="s">
        <v>202</v>
      </c>
      <c r="D151" s="21" t="s">
        <v>354</v>
      </c>
      <c r="E151" s="13">
        <v>42910.953831018516</v>
      </c>
      <c r="F151" s="13">
        <v>42910.958784722221</v>
      </c>
      <c r="G151" s="7">
        <v>3</v>
      </c>
      <c r="H151" s="21" t="s">
        <v>952</v>
      </c>
      <c r="I151" s="13">
        <v>42910.983784722222</v>
      </c>
      <c r="J151" s="7">
        <v>0</v>
      </c>
      <c r="K151" s="89" t="str">
        <f t="shared" si="60"/>
        <v>4003/4004</v>
      </c>
      <c r="L151" s="21" t="str">
        <f>VLOOKUP(A151,'Trips&amp;Operators'!$C$1:$G$99999,5,FALSE)</f>
        <v>LAMAR NEKESHA</v>
      </c>
      <c r="M151" s="6">
        <f t="shared" si="61"/>
        <v>2.5000000001455192E-2</v>
      </c>
      <c r="N151" s="7">
        <f t="shared" si="55"/>
        <v>36.000000002095476</v>
      </c>
      <c r="O151" s="7"/>
      <c r="P151" s="7"/>
      <c r="Q151" s="22"/>
      <c r="R151" s="170"/>
      <c r="S151" s="213">
        <f t="shared" si="56"/>
        <v>1</v>
      </c>
      <c r="T151" s="195" t="str">
        <f t="shared" si="62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3"/>
        <v>https://d0f6bd738d7f1b3e5a7ca70fe4ff75f0.us-east-1.aws.found.io/app/kibana#/discover/Steve-Slow-Train-Analysis-(2080s-and-2083s)?_g=(refreshInterval:(display:Off,pause:!f,section:0,value:0),time:(from:'2017-06-24T21:53:31-0600',mode:absolute,to:'2017-06-25T00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1" s="197" t="str">
        <f>IF(AA151&lt;VLOOKUP(AG151,Variables!$AC$3:$AD$8,2,FALSE),"Y","N")</f>
        <v>N</v>
      </c>
      <c r="X151" s="197">
        <f t="shared" si="59"/>
        <v>1</v>
      </c>
      <c r="Y151" s="197">
        <f t="shared" si="57"/>
        <v>4.53E-2</v>
      </c>
      <c r="Z151" s="197">
        <f t="shared" si="58"/>
        <v>23.331099999999999</v>
      </c>
      <c r="AA151" s="197">
        <f t="shared" si="64"/>
        <v>23.285799999999998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5"/>
        <v>237</v>
      </c>
      <c r="AE151" s="77" t="str">
        <f t="shared" si="66"/>
        <v>aws s3 cp s3://rtdc.mdm.uploadarchive.raw/RTDC4004/ "%USERPROFILE%\AppData\Local\Temp\OnboardLogs"\RTDC4004\2017-06-24 --exclude "*" --recursive --include "*20170624*" &amp; "%USERPROFILE%\Documents\GitHub\mrs-test-scripts\Headless Mode &amp; Sideloading\WalkAndUnGZ.bat" "%USERPROFILE%\AppData\Local\Temp\OnboardLogs"\RTDC4004\2017-06-24 &amp; aws s3 cp s3://rtdc.mdm.uploadarchive.raw/RTDC4004/ "%USERPROFILE%\AppData\Local\Temp\OnboardLogs"\RTDC4004\2017-06-25 --exclude "*" --recursive --include "*20170625*" &amp; "%USERPROFILE%\Documents\GitHub\mrs-test-scripts\Headless Mode &amp; Sideloading\WalkAndUnGZ.bat" "%USERPROFILE%\AppData\Local\Temp\OnboardLogs"\RTDC4004\2017-06-25</v>
      </c>
      <c r="AF151" s="74" t="str">
        <f t="shared" si="67"/>
        <v>"C:\Program Files (x86)\AstroGrep\AstroGrep.exe" /e /r /s /spath="%USERPROFILE%\AppData\Local\Temp\OnboardLogs" /stypes="app*4004*20170625*" /stext=" 05:.+((SYSTEM_STATE.+slice.+state.+changed )|(ment ac)|(multiple cpu faults)|(system.+state.+changed )|(\[timeout)|(PRM\|1\|D)|(kpr)|(kdp)|(train st.+moving)|(\|lc)|(penalty))"</v>
      </c>
      <c r="AG151" s="209" t="str">
        <f t="shared" si="68"/>
        <v>EC</v>
      </c>
      <c r="AH151" s="78" t="str">
        <f t="shared" si="69"/>
        <v>"%USERPROFILE%\Documents\GitHub\eaglep3\Utilities\RefineRTDCRunTimes.py" --tripid 237-24 --locoid 4004 --swversion DE.1.0.9.0 --startMP 204:453 --initTime 2017-06-24T22:53:31 --startdatetime 2017-06-24T23:00:39 --delay 3 --endMP 204:233311 --enddatetime 2017-06-24T23:36:39 --enforcementcount 0 &gt;&gt;C:\Users\stu\Documents\GitHub\eaglep3-reporting\EC\2017-06-24-refined-times.txt</v>
      </c>
      <c r="AI151" s="96" t="str">
        <f t="shared" si="70"/>
        <v>echo {"issue":{"subject":"","project_id":79,"tracker_id":40,"status_id":1,"priority_id":2,"assigned_to_id":23,"start_date":"2017-06-24","description":"","custom_fields":[{"id":1,"name":"Subdivision","value":"EC"},{"id":4,"name":"Milepost","value":"23.3311"},{"id":17,"name":"Train ID","value":"237-24"},{"id":16,"name":"Locomotive ID","value":"4004"},{"id":130,"name":"Impact","value":""},{"id":150,"name":"Time of Event (Mountain Time)","value":"23:36:39"},{"id":151,"name":"Denver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1"/>
        <v>start /low /b %USERPROFILE%\Documents\GitHub\eaglep3\Utilities\DownloadLogsFromS3.py --loco 4004 --day 2017-06-24</v>
      </c>
      <c r="AN151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05:36:39"},{"id":29,"name":"Sharepoint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856</v>
      </c>
      <c r="B152" s="7">
        <v>4003</v>
      </c>
      <c r="C152" s="21" t="s">
        <v>202</v>
      </c>
      <c r="D152" s="21" t="s">
        <v>506</v>
      </c>
      <c r="E152" s="13">
        <v>42910.993564814817</v>
      </c>
      <c r="F152" s="13">
        <v>42910.998356481483</v>
      </c>
      <c r="G152" s="7">
        <v>1</v>
      </c>
      <c r="H152" s="21" t="s">
        <v>490</v>
      </c>
      <c r="I152" s="13">
        <v>42911.025659722225</v>
      </c>
      <c r="J152" s="7">
        <v>0</v>
      </c>
      <c r="K152" s="89" t="str">
        <f t="shared" si="60"/>
        <v>4003/4004</v>
      </c>
      <c r="L152" s="21" t="str">
        <f>VLOOKUP(A152,'Trips&amp;Operators'!$C$1:$G$99999,5,FALSE)</f>
        <v>LAMAR NEKESHA</v>
      </c>
      <c r="M152" s="6">
        <f t="shared" si="61"/>
        <v>2.7303240742185153E-2</v>
      </c>
      <c r="N152" s="7">
        <f t="shared" si="55"/>
        <v>39.31666666874662</v>
      </c>
      <c r="O152" s="7"/>
      <c r="P152" s="7"/>
      <c r="Q152" s="22"/>
      <c r="R152" s="170"/>
      <c r="S152" s="213">
        <f t="shared" si="56"/>
        <v>1</v>
      </c>
      <c r="T152" s="195" t="str">
        <f t="shared" si="62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63"/>
        <v>https://d0f6bd738d7f1b3e5a7ca70fe4ff75f0.us-east-1.aws.found.io/app/kibana#/discover/Steve-Slow-Train-Analysis-(2080s-and-2083s)?_g=(refreshInterval:(display:Off,pause:!f,section:0,value:0),time:(from:'2017-06-24T22:50:44-0600',mode:absolute,to:'2017-06-25T01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2" s="197" t="str">
        <f>IF(AA152&lt;VLOOKUP(AG152,Variables!$AC$3:$AD$8,2,FALSE),"Y","N")</f>
        <v>N</v>
      </c>
      <c r="X152" s="197">
        <f t="shared" si="59"/>
        <v>1</v>
      </c>
      <c r="Y152" s="197">
        <f t="shared" si="57"/>
        <v>23.297799999999999</v>
      </c>
      <c r="Z152" s="197">
        <f t="shared" si="58"/>
        <v>1.61E-2</v>
      </c>
      <c r="AA152" s="197">
        <f t="shared" si="64"/>
        <v>23.281699999999997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5"/>
        <v>238</v>
      </c>
      <c r="AE152" s="77" t="str">
        <f t="shared" si="66"/>
        <v>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 &amp; aws s3 cp s3://rtdc.mdm.uploadarchive.raw/RTDC4003/ "%USERPROFILE%\AppData\Local\Temp\OnboardLogs"\RTDC4003\2017-06-25 --exclude "*" --recursive --include "*20170625*" &amp; "%USERPROFILE%\Documents\GitHub\mrs-test-scripts\Headless Mode &amp; Sideloading\WalkAndUnGZ.bat" "%USERPROFILE%\AppData\Local\Temp\OnboardLogs"\RTDC4003\2017-06-25</v>
      </c>
      <c r="AF152" s="74" t="str">
        <f t="shared" si="67"/>
        <v>"C:\Program Files (x86)\AstroGrep\AstroGrep.exe" /e /r /s /spath="%USERPROFILE%\AppData\Local\Temp\OnboardLogs" /stypes="app*4003*20170625*" /stext=" 06:.+((SYSTEM_STATE.+slice.+state.+changed )|(ment ac)|(multiple cpu faults)|(system.+state.+changed )|(\[timeout)|(PRM\|1\|D)|(kpr)|(kdp)|(train st.+moving)|(\|lc)|(penalty))"</v>
      </c>
      <c r="AG152" s="209" t="str">
        <f t="shared" si="68"/>
        <v>EC</v>
      </c>
      <c r="AH152" s="78" t="str">
        <f t="shared" si="69"/>
        <v>"%USERPROFILE%\Documents\GitHub\eaglep3\Utilities\RefineRTDCRunTimes.py" --tripid 238-24 --locoid 4003 --swversion DE.1.0.9.0 --startMP 204:232978 --initTime 2017-06-24T23:50:44 --startdatetime 2017-06-24T23:57:38 --delay 1 --endMP 204:161 --enddatetime 2017-06-25T00:36:57 --enforcementcount 0 &gt;&gt;C:\Users\stu\Documents\GitHub\eaglep3-reporting\EC\2017-06-24-refined-times.txt</v>
      </c>
      <c r="AI152" s="96" t="str">
        <f t="shared" si="70"/>
        <v>echo {"issue":{"subject":"","project_id":79,"tracker_id":40,"status_id":1,"priority_id":2,"assigned_to_id":23,"start_date":"2017-06-25","description":"","custom_fields":[{"id":1,"name":"Subdivision","value":"EC"},{"id":4,"name":"Milepost","value":"0.0161"},{"id":17,"name":"Train ID","value":"238-24"},{"id":16,"name":"Locomotive ID","value":"4003"},{"id":130,"name":"Impact","value":""},{"id":150,"name":"Time of Event (Mountain Time)","value":"00:36:57"},{"id":151,"name":"Denver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1"/>
        <v>start /low /b %USERPROFILE%\Documents\GitHub\eaglep3\Utilities\DownloadLogsFromS3.py --loco 4003 --day 2017-06-24</v>
      </c>
      <c r="AN152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06:36:57"},{"id":29,"name":"Sharepoint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855</v>
      </c>
      <c r="B153" s="7">
        <v>4042</v>
      </c>
      <c r="C153" s="21" t="s">
        <v>202</v>
      </c>
      <c r="D153" s="21" t="s">
        <v>347</v>
      </c>
      <c r="E153" s="13">
        <v>42910.966527777775</v>
      </c>
      <c r="F153" s="13">
        <v>42910.979571759257</v>
      </c>
      <c r="G153" s="7">
        <v>1</v>
      </c>
      <c r="H153" s="21" t="s">
        <v>953</v>
      </c>
      <c r="I153" s="13">
        <v>42911.005266203705</v>
      </c>
      <c r="J153" s="7">
        <v>0</v>
      </c>
      <c r="K153" s="89" t="str">
        <f t="shared" si="60"/>
        <v>4041/4042</v>
      </c>
      <c r="L153" s="21" t="str">
        <f>VLOOKUP(A153,'Trips&amp;Operators'!$C$1:$G$99999,5,FALSE)</f>
        <v>YANG JAN</v>
      </c>
      <c r="M153" s="6">
        <f t="shared" si="61"/>
        <v>2.5694444448163267E-2</v>
      </c>
      <c r="N153" s="7">
        <f t="shared" si="55"/>
        <v>37.000000005355105</v>
      </c>
      <c r="O153" s="7"/>
      <c r="P153" s="7"/>
      <c r="Q153" s="22"/>
      <c r="R153" s="170"/>
      <c r="S153" s="213">
        <f t="shared" si="56"/>
        <v>1</v>
      </c>
      <c r="T153" s="195" t="str">
        <f t="shared" si="62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63"/>
        <v>https://d0f6bd738d7f1b3e5a7ca70fe4ff75f0.us-east-1.aws.found.io/app/kibana#/discover/Steve-Slow-Train-Analysis-(2080s-and-2083s)?_g=(refreshInterval:(display:Off,pause:!f,section:0,value:0),time:(from:'2017-06-24T22:11:48-0600',mode:absolute,to:'2017-06-25T01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3" s="197" t="str">
        <f>IF(AA153&lt;VLOOKUP(AG153,Variables!$AC$3:$AD$8,2,FALSE),"Y","N")</f>
        <v>N</v>
      </c>
      <c r="X153" s="197">
        <f t="shared" si="59"/>
        <v>1</v>
      </c>
      <c r="Y153" s="197">
        <f t="shared" si="57"/>
        <v>4.4600000000000001E-2</v>
      </c>
      <c r="Z153" s="197">
        <f t="shared" si="58"/>
        <v>23.331700000000001</v>
      </c>
      <c r="AA153" s="197">
        <f t="shared" si="64"/>
        <v>23.287100000000002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5"/>
        <v>239</v>
      </c>
      <c r="AE153" s="77" t="str">
        <f t="shared" si="66"/>
        <v>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 &amp; 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</v>
      </c>
      <c r="AF153" s="74" t="str">
        <f t="shared" si="67"/>
        <v>"C:\Program Files (x86)\AstroGrep\AstroGrep.exe" /e /r /s /spath="%USERPROFILE%\AppData\Local\Temp\OnboardLogs" /stypes="app*4042*20170625*" /stext=" 06:.+((SYSTEM_STATE.+slice.+state.+changed )|(ment ac)|(multiple cpu faults)|(system.+state.+changed )|(\[timeout)|(PRM\|1\|D)|(kpr)|(kdp)|(train st.+moving)|(\|lc)|(penalty))"</v>
      </c>
      <c r="AG153" s="209" t="str">
        <f t="shared" si="68"/>
        <v>EC</v>
      </c>
      <c r="AH153" s="78" t="str">
        <f t="shared" si="69"/>
        <v>"%USERPROFILE%\Documents\GitHub\eaglep3\Utilities\RefineRTDCRunTimes.py" --tripid 239-24 --locoid 4042 --swversion DE.1.0.9.0 --startMP 204:446 --initTime 2017-06-24T23:11:48 --startdatetime 2017-06-24T23:30:35 --delay 1 --endMP 204:233317 --enddatetime 2017-06-25T00:07:35 --enforcementcount 0 &gt;&gt;C:\Users\stu\Documents\GitHub\eaglep3-reporting\EC\2017-06-24-refined-times.txt</v>
      </c>
      <c r="AI153" s="96" t="str">
        <f t="shared" si="70"/>
        <v>echo {"issue":{"subject":"","project_id":79,"tracker_id":40,"status_id":1,"priority_id":2,"assigned_to_id":23,"start_date":"2017-06-25","description":"","custom_fields":[{"id":1,"name":"Subdivision","value":"EC"},{"id":4,"name":"Milepost","value":"23.3317"},{"id":17,"name":"Train ID","value":"239-24"},{"id":16,"name":"Locomotive ID","value":"4042"},{"id":130,"name":"Impact","value":""},{"id":150,"name":"Time of Event (Mountain Time)","value":"00:07:35"},{"id":151,"name":"Denver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1"/>
        <v>start /low /b %USERPROFILE%\Documents\GitHub\eaglep3\Utilities\DownloadLogsFromS3.py --loco 4042 --day 2017-06-24</v>
      </c>
      <c r="AN153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06:07:35"},{"id":29,"name":"Sharepoint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858</v>
      </c>
      <c r="B154" s="7">
        <v>4041</v>
      </c>
      <c r="C154" s="21" t="s">
        <v>202</v>
      </c>
      <c r="D154" s="21" t="s">
        <v>493</v>
      </c>
      <c r="E154" s="13">
        <v>42911.013715277775</v>
      </c>
      <c r="F154" s="13">
        <v>42911.01902777778</v>
      </c>
      <c r="G154" s="7">
        <v>1</v>
      </c>
      <c r="H154" s="21" t="s">
        <v>359</v>
      </c>
      <c r="I154" s="13">
        <v>42911.045520833337</v>
      </c>
      <c r="J154" s="7">
        <v>0</v>
      </c>
      <c r="K154" s="89" t="str">
        <f t="shared" si="60"/>
        <v>4041/4042</v>
      </c>
      <c r="L154" s="21" t="str">
        <f>VLOOKUP(A154,'Trips&amp;Operators'!$C$1:$G$99999,5,FALSE)</f>
        <v>YANG JAN</v>
      </c>
      <c r="M154" s="6">
        <f t="shared" si="61"/>
        <v>2.6493055556784384E-2</v>
      </c>
      <c r="N154" s="7">
        <f t="shared" si="55"/>
        <v>38.150000001769513</v>
      </c>
      <c r="O154" s="7"/>
      <c r="P154" s="7"/>
      <c r="Q154" s="22"/>
      <c r="R154" s="170"/>
      <c r="S154" s="213">
        <f t="shared" si="56"/>
        <v>1</v>
      </c>
      <c r="T154" s="195" t="str">
        <f t="shared" si="62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3"/>
        <v>https://d0f6bd738d7f1b3e5a7ca70fe4ff75f0.us-east-1.aws.found.io/app/kibana#/discover/Steve-Slow-Train-Analysis-(2080s-and-2083s)?_g=(refreshInterval:(display:Off,pause:!f,section:0,value:0),time:(from:'2017-06-24T23:19:45-0600',mode:absolute,to:'2017-06-25T02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4" s="197" t="str">
        <f>IF(AA154&lt;VLOOKUP(AG154,Variables!$AC$3:$AD$8,2,FALSE),"Y","N")</f>
        <v>N</v>
      </c>
      <c r="X154" s="197">
        <f t="shared" si="59"/>
        <v>1</v>
      </c>
      <c r="Y154" s="197">
        <f t="shared" si="57"/>
        <v>23.297699999999999</v>
      </c>
      <c r="Z154" s="197">
        <f t="shared" si="58"/>
        <v>1.47E-2</v>
      </c>
      <c r="AA154" s="197">
        <f t="shared" si="64"/>
        <v>23.282999999999998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5"/>
        <v>240</v>
      </c>
      <c r="AE154" s="77" t="str">
        <f t="shared" si="66"/>
        <v>aws s3 cp s3://rtdc.mdm.uploadarchive.raw/RTDC4041/ "%USERPROFILE%\AppData\Local\Temp\OnboardLogs"\RTDC4041\2017-06-25 --exclude "*" --recursive --include "*20170625*" &amp; "%USERPROFILE%\Documents\GitHub\mrs-test-scripts\Headless Mode &amp; Sideloading\WalkAndUnGZ.bat" "%USERPROFILE%\AppData\Local\Temp\OnboardLogs"\RTDC4041\2017-06-25 &amp; aws s3 cp s3://rtdc.mdm.uploadarchive.raw/RTDC4041/ "%USERPROFILE%\AppData\Local\Temp\OnboardLogs"\RTDC4041\2017-06-26 --exclude "*" --recursive --include "*20170626*" &amp; "%USERPROFILE%\Documents\GitHub\mrs-test-scripts\Headless Mode &amp; Sideloading\WalkAndUnGZ.bat" "%USERPROFILE%\AppData\Local\Temp\OnboardLogs"\RTDC4041\2017-06-26</v>
      </c>
      <c r="AF154" s="74" t="str">
        <f t="shared" si="67"/>
        <v>"C:\Program Files (x86)\AstroGrep\AstroGrep.exe" /e /r /s /spath="%USERPROFILE%\AppData\Local\Temp\OnboardLogs" /stypes="app*4041*20170625*" /stext=" 07:.+((SYSTEM_STATE.+slice.+state.+changed )|(ment ac)|(multiple cpu faults)|(system.+state.+changed )|(\[timeout)|(PRM\|1\|D)|(kpr)|(kdp)|(train st.+moving)|(\|lc)|(penalty))"</v>
      </c>
      <c r="AG154" s="209" t="str">
        <f t="shared" si="68"/>
        <v>EC</v>
      </c>
      <c r="AH154" s="78" t="str">
        <f t="shared" si="69"/>
        <v>"%USERPROFILE%\Documents\GitHub\eaglep3\Utilities\RefineRTDCRunTimes.py" --tripid 240-24 --locoid 4041 --swversion DE.1.0.9.0 --startMP 204:232977 --initTime 2017-06-25T00:19:45 --startdatetime 2017-06-25T00:27:24 --delay 1 --endMP 204:147 --enddatetime 2017-06-25T01:05:33 --enforcementcount 0 &gt;&gt;C:\Users\stu\Documents\GitHub\eaglep3-reporting\EC\2017-06-24-refined-times.txt</v>
      </c>
      <c r="AI154" s="96" t="str">
        <f t="shared" si="70"/>
        <v>echo {"issue":{"subject":"","project_id":79,"tracker_id":40,"status_id":1,"priority_id":2,"assigned_to_id":23,"start_date":"2017-06-25","description":"","custom_fields":[{"id":1,"name":"Subdivision","value":"EC"},{"id":4,"name":"Milepost","value":"0.0147"},{"id":17,"name":"Train ID","value":"240-24"},{"id":16,"name":"Locomotive ID","value":"4041"},{"id":130,"name":"Impact","value":""},{"id":150,"name":"Time of Event (Mountain Time)","value":"01:05:33"},{"id":151,"name":"Denver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1"/>
        <v>start /low /b %USERPROFILE%\Documents\GitHub\eaglep3\Utilities\DownloadLogsFromS3.py --loco 4041 --day 2017-06-25</v>
      </c>
      <c r="AN154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07:05:33"},{"id":29,"name":"Sharepoint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663</v>
      </c>
      <c r="B155" s="7">
        <v>4022</v>
      </c>
      <c r="C155" s="21" t="s">
        <v>202</v>
      </c>
      <c r="D155" s="21" t="s">
        <v>352</v>
      </c>
      <c r="E155" s="13">
        <v>42910.986608796295</v>
      </c>
      <c r="F155" s="13">
        <v>42911.000185185185</v>
      </c>
      <c r="G155" s="7">
        <v>1</v>
      </c>
      <c r="H155" s="21" t="s">
        <v>492</v>
      </c>
      <c r="I155" s="13">
        <v>42911.026932870373</v>
      </c>
      <c r="J155" s="7">
        <v>0</v>
      </c>
      <c r="K155" s="89" t="str">
        <f t="shared" si="60"/>
        <v>4021/4022</v>
      </c>
      <c r="L155" s="21" t="str">
        <f>VLOOKUP(A155,'Trips&amp;Operators'!$C$1:$G$99999,5,FALSE)</f>
        <v>PERKINS DARREN</v>
      </c>
      <c r="M155" s="6">
        <f t="shared" si="61"/>
        <v>2.6747685187729076E-2</v>
      </c>
      <c r="N155" s="7">
        <f t="shared" si="55"/>
        <v>38.516666670329869</v>
      </c>
      <c r="O155" s="7"/>
      <c r="P155" s="7"/>
      <c r="Q155" s="22"/>
      <c r="R155" s="170"/>
      <c r="S155" s="213">
        <f t="shared" si="56"/>
        <v>1</v>
      </c>
      <c r="T155" s="195" t="str">
        <f t="shared" si="62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3"/>
        <v>https://d0f6bd738d7f1b3e5a7ca70fe4ff75f0.us-east-1.aws.found.io/app/kibana#/discover/Steve-Slow-Train-Analysis-(2080s-and-2083s)?_g=(refreshInterval:(display:Off,pause:!f,section:0,value:0),time:(from:'2017-06-24T22:40:43-0600',mode:absolute,to:'2017-06-25T01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197" t="str">
        <f>IF(AA155&lt;VLOOKUP(AG155,Variables!$AC$3:$AD$8,2,FALSE),"Y","N")</f>
        <v>N</v>
      </c>
      <c r="X155" s="197">
        <f t="shared" si="59"/>
        <v>1</v>
      </c>
      <c r="Y155" s="197">
        <f t="shared" si="57"/>
        <v>4.5100000000000001E-2</v>
      </c>
      <c r="Z155" s="197">
        <f t="shared" si="58"/>
        <v>23.330500000000001</v>
      </c>
      <c r="AA155" s="197">
        <f t="shared" si="64"/>
        <v>23.285399999999999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5"/>
        <v>241</v>
      </c>
      <c r="AE155" s="77" t="str">
        <f t="shared" si="66"/>
        <v>aws s3 cp s3://rtdc.mdm.uploadarchive.raw/RTDC4022/ "%USERPROFILE%\AppData\Local\Temp\OnboardLogs"\RTDC4022\2017-06-25 --exclude "*" --recursive --include "*20170625*" &amp; "%USERPROFILE%\Documents\GitHub\mrs-test-scripts\Headless Mode &amp; Sideloading\WalkAndUnGZ.bat" "%USERPROFILE%\AppData\Local\Temp\OnboardLogs"\RTDC4022\2017-06-25 &amp; aws s3 cp s3://rtdc.mdm.uploadarchive.raw/RTDC4022/ "%USERPROFILE%\AppData\Local\Temp\OnboardLogs"\RTDC4022\2017-06-26 --exclude "*" --recursive --include "*20170626*" &amp; "%USERPROFILE%\Documents\GitHub\mrs-test-scripts\Headless Mode &amp; Sideloading\WalkAndUnGZ.bat" "%USERPROFILE%\AppData\Local\Temp\OnboardLogs"\RTDC4022\2017-06-26</v>
      </c>
      <c r="AF155" s="74" t="str">
        <f t="shared" si="67"/>
        <v>"C:\Program Files (x86)\AstroGrep\AstroGrep.exe" /e /r /s /spath="%USERPROFILE%\AppData\Local\Temp\OnboardLogs" /stypes="app*4022*20170625*" /stext=" 06:.+((SYSTEM_STATE.+slice.+state.+changed )|(ment ac)|(multiple cpu faults)|(system.+state.+changed )|(\[timeout)|(PRM\|1\|D)|(kpr)|(kdp)|(train st.+moving)|(\|lc)|(penalty))"</v>
      </c>
      <c r="AG155" s="209" t="str">
        <f t="shared" si="68"/>
        <v>EC</v>
      </c>
      <c r="AH155" s="78" t="str">
        <f t="shared" si="69"/>
        <v>"%USERPROFILE%\Documents\GitHub\eaglep3\Utilities\RefineRTDCRunTimes.py" --tripid 241-24 --locoid 4022 --swversion DE.1.0.9.0 --startMP 204:451 --initTime 2017-06-24T23:40:43 --startdatetime 2017-06-25T00:00:16 --delay 1 --endMP 204:233305 --enddatetime 2017-06-25T00:38:47 --enforcementcount 0 &gt;&gt;C:\Users\stu\Documents\GitHub\eaglep3-reporting\EC\2017-06-24-refined-times.txt</v>
      </c>
      <c r="AI155" s="96" t="str">
        <f t="shared" si="70"/>
        <v>echo {"issue":{"subject":"","project_id":79,"tracker_id":40,"status_id":1,"priority_id":2,"assigned_to_id":23,"start_date":"2017-06-25","description":"","custom_fields":[{"id":1,"name":"Subdivision","value":"EC"},{"id":4,"name":"Milepost","value":"23.3305"},{"id":17,"name":"Train ID","value":"241-24"},{"id":16,"name":"Locomotive ID","value":"4022"},{"id":130,"name":"Impact","value":""},{"id":150,"name":"Time of Event (Mountain Time)","value":"00:38:47"},{"id":151,"name":"Denver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1"/>
        <v>start /low /b %USERPROFILE%\Documents\GitHub\eaglep3\Utilities\DownloadLogsFromS3.py --loco 4022 --day 2017-06-25</v>
      </c>
      <c r="AN155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06:38:47"},{"id":29,"name":"Sharepoint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664</v>
      </c>
      <c r="B156" s="7">
        <v>4021</v>
      </c>
      <c r="C156" s="21" t="s">
        <v>202</v>
      </c>
      <c r="D156" s="21" t="s">
        <v>603</v>
      </c>
      <c r="E156" s="13">
        <v>42911.029467592591</v>
      </c>
      <c r="F156" s="13">
        <v>42911.039780092593</v>
      </c>
      <c r="G156" s="7">
        <v>1</v>
      </c>
      <c r="H156" s="21" t="s">
        <v>459</v>
      </c>
      <c r="I156" s="13">
        <v>42911.066145833334</v>
      </c>
      <c r="J156" s="7">
        <v>0</v>
      </c>
      <c r="K156" s="89" t="str">
        <f t="shared" si="60"/>
        <v>4021/4022</v>
      </c>
      <c r="L156" s="21" t="str">
        <f>VLOOKUP(A156,'Trips&amp;Operators'!$C$1:$G$99999,5,FALSE)</f>
        <v>PERKINS DARREN</v>
      </c>
      <c r="M156" s="6">
        <f t="shared" si="61"/>
        <v>2.6365740741312038E-2</v>
      </c>
      <c r="N156" s="7">
        <f t="shared" si="55"/>
        <v>37.966666667489335</v>
      </c>
      <c r="O156" s="7"/>
      <c r="P156" s="7"/>
      <c r="Q156" s="22"/>
      <c r="R156" s="170"/>
      <c r="S156" s="213">
        <f t="shared" si="56"/>
        <v>1</v>
      </c>
      <c r="T156" s="195" t="str">
        <f t="shared" si="62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63"/>
        <v>https://d0f6bd738d7f1b3e5a7ca70fe4ff75f0.us-east-1.aws.found.io/app/kibana#/discover/Steve-Slow-Train-Analysis-(2080s-and-2083s)?_g=(refreshInterval:(display:Off,pause:!f,section:0,value:0),time:(from:'2017-06-24T23:42:26-0600',mode:absolute,to:'2017-06-25T02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6" s="197" t="str">
        <f>IF(AA156&lt;VLOOKUP(AG156,Variables!$AC$3:$AD$8,2,FALSE),"Y","N")</f>
        <v>N</v>
      </c>
      <c r="X156" s="197">
        <f t="shared" si="59"/>
        <v>1</v>
      </c>
      <c r="Y156" s="197">
        <f t="shared" si="57"/>
        <v>23.2973</v>
      </c>
      <c r="Z156" s="197">
        <f t="shared" si="58"/>
        <v>1.6E-2</v>
      </c>
      <c r="AA156" s="197">
        <f t="shared" si="64"/>
        <v>23.281300000000002</v>
      </c>
      <c r="AB156" s="54" t="str">
        <f>VLOOKUP(A156,Enforcements!$C$7:$K$13,8,0)</f>
        <v>Bulletin (2)</v>
      </c>
      <c r="AC156" s="51" t="str">
        <f>VLOOKUP(A156,Enforcements!$C$7:$E$13,3,0)</f>
        <v>GRADE CROSSING</v>
      </c>
      <c r="AD156" s="206">
        <f t="shared" si="65"/>
        <v>242</v>
      </c>
      <c r="AE156" s="77" t="str">
        <f t="shared" si="66"/>
        <v>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 &amp; aws s3 cp s3://rtdc.mdm.uploadarchive.raw/RTDC4021/ "%USERPROFILE%\AppData\Local\Temp\OnboardLogs"\RTDC4021\2017-06-26 --exclude "*" --recursive --include "*20170626*" &amp; "%USERPROFILE%\Documents\GitHub\mrs-test-scripts\Headless Mode &amp; Sideloading\WalkAndUnGZ.bat" "%USERPROFILE%\AppData\Local\Temp\OnboardLogs"\RTDC4021\2017-06-26</v>
      </c>
      <c r="AF156" s="74" t="str">
        <f t="shared" si="67"/>
        <v>"C:\Program Files (x86)\AstroGrep\AstroGrep.exe" /e /r /s /spath="%USERPROFILE%\AppData\Local\Temp\OnboardLogs" /stypes="app*4021*20170625*" /stext=" 07:.+((SYSTEM_STATE.+slice.+state.+changed )|(ment ac)|(multiple cpu faults)|(system.+state.+changed )|(\[timeout)|(PRM\|1\|D)|(kpr)|(kdp)|(train st.+moving)|(\|lc)|(penalty))"</v>
      </c>
      <c r="AG156" s="209" t="str">
        <f t="shared" si="68"/>
        <v>EC</v>
      </c>
      <c r="AH156" s="78" t="str">
        <f t="shared" si="69"/>
        <v>"%USERPROFILE%\Documents\GitHub\eaglep3\Utilities\RefineRTDCRunTimes.py" --tripid 242-24 --locoid 4021 --swversion DE.1.0.9.0 --startMP 204:232973 --initTime 2017-06-25T00:42:26 --startdatetime 2017-06-25T00:57:17 --delay 1 --endMP 204:160 --enddatetime 2017-06-25T01:35:15 --enforcementcount 0 &gt;&gt;C:\Users\stu\Documents\GitHub\eaglep3-reporting\EC\2017-06-24-refined-times.txt</v>
      </c>
      <c r="AI156" s="96" t="str">
        <f t="shared" si="70"/>
        <v>echo {"issue":{"subject":"","project_id":79,"tracker_id":40,"status_id":1,"priority_id":2,"assigned_to_id":23,"start_date":"2017-06-25","description":"","custom_fields":[{"id":1,"name":"Subdivision","value":"EC"},{"id":4,"name":"Milepost","value":"0.016"},{"id":17,"name":"Train ID","value":"242-24"},{"id":16,"name":"Locomotive ID","value":"4021"},{"id":130,"name":"Impact","value":""},{"id":150,"name":"Time of Event (Mountain Time)","value":"01:35:15"},{"id":151,"name":"Denver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1"/>
        <v>start /low /b %USERPROFILE%\Documents\GitHub\eaglep3\Utilities\DownloadLogsFromS3.py --loco 4021 --day 2017-06-25</v>
      </c>
      <c r="AN156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07:35:15"},{"id":29,"name":"Sharepoint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857</v>
      </c>
      <c r="B157" s="7">
        <v>4044</v>
      </c>
      <c r="C157" s="21" t="s">
        <v>202</v>
      </c>
      <c r="D157" s="21" t="s">
        <v>198</v>
      </c>
      <c r="E157" s="13">
        <v>42911.007314814815</v>
      </c>
      <c r="F157" s="13">
        <v>42911.021041666667</v>
      </c>
      <c r="G157" s="7">
        <v>1</v>
      </c>
      <c r="H157" s="21" t="s">
        <v>536</v>
      </c>
      <c r="I157" s="13">
        <v>42911.046597222223</v>
      </c>
      <c r="J157" s="7">
        <v>0</v>
      </c>
      <c r="K157" s="89" t="str">
        <f t="shared" si="60"/>
        <v>4043/4044</v>
      </c>
      <c r="L157" s="21" t="str">
        <f>VLOOKUP(A157,'Trips&amp;Operators'!$C$1:$G$99999,5,FALSE)</f>
        <v>FORTUNATO FRANK</v>
      </c>
      <c r="M157" s="6">
        <f t="shared" si="61"/>
        <v>2.5555555555911269E-2</v>
      </c>
      <c r="N157" s="7">
        <f t="shared" si="55"/>
        <v>36.800000000512227</v>
      </c>
      <c r="O157" s="7"/>
      <c r="P157" s="7"/>
      <c r="Q157" s="22"/>
      <c r="R157" s="170"/>
      <c r="S157" s="213">
        <f t="shared" si="56"/>
        <v>1</v>
      </c>
      <c r="T157" s="195" t="str">
        <f t="shared" si="62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63"/>
        <v>https://d0f6bd738d7f1b3e5a7ca70fe4ff75f0.us-east-1.aws.found.io/app/kibana#/discover/Steve-Slow-Train-Analysis-(2080s-and-2083s)?_g=(refreshInterval:(display:Off,pause:!f,section:0,value:0),time:(from:'2017-06-24T23:10:32-0600',mode:absolute,to:'2017-06-25T02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7" s="197" t="str">
        <f>IF(AA157&lt;VLOOKUP(AG157,Variables!$AC$3:$AD$8,2,FALSE),"Y","N")</f>
        <v>N</v>
      </c>
      <c r="X157" s="197">
        <f t="shared" si="59"/>
        <v>1</v>
      </c>
      <c r="Y157" s="197">
        <f t="shared" si="57"/>
        <v>4.5699999999999998E-2</v>
      </c>
      <c r="Z157" s="197">
        <f t="shared" si="58"/>
        <v>23.33</v>
      </c>
      <c r="AA157" s="197">
        <f t="shared" si="64"/>
        <v>23.284299999999998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5"/>
        <v>243</v>
      </c>
      <c r="AE157" s="77" t="str">
        <f t="shared" si="66"/>
        <v>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 &amp; aws s3 cp s3://rtdc.mdm.uploadarchive.raw/RTDC4044/ "%USERPROFILE%\AppData\Local\Temp\OnboardLogs"\RTDC4044\2017-06-26 --exclude "*" --recursive --include "*20170626*" &amp; "%USERPROFILE%\Documents\GitHub\mrs-test-scripts\Headless Mode &amp; Sideloading\WalkAndUnGZ.bat" "%USERPROFILE%\AppData\Local\Temp\OnboardLogs"\RTDC4044\2017-06-26</v>
      </c>
      <c r="AF157" s="74" t="str">
        <f t="shared" si="67"/>
        <v>"C:\Program Files (x86)\AstroGrep\AstroGrep.exe" /e /r /s /spath="%USERPROFILE%\AppData\Local\Temp\OnboardLogs" /stypes="app*4044*20170625*" /stext=" 07:.+((SYSTEM_STATE.+slice.+state.+changed )|(ment ac)|(multiple cpu faults)|(system.+state.+changed )|(\[timeout)|(PRM\|1\|D)|(kpr)|(kdp)|(train st.+moving)|(\|lc)|(penalty))"</v>
      </c>
      <c r="AG157" s="209" t="str">
        <f t="shared" si="68"/>
        <v>EC</v>
      </c>
      <c r="AH157" s="78" t="str">
        <f t="shared" si="69"/>
        <v>"%USERPROFILE%\Documents\GitHub\eaglep3\Utilities\RefineRTDCRunTimes.py" --tripid 243-24 --locoid 4044 --swversion DE.1.0.9.0 --startMP 204:457 --initTime 2017-06-25T00:10:32 --startdatetime 2017-06-25T00:30:18 --delay 1 --endMP 204:233300 --enddatetime 2017-06-25T01:07:06 --enforcementcount 0 &gt;&gt;C:\Users\stu\Documents\GitHub\eaglep3-reporting\EC\2017-06-24-refined-times.txt</v>
      </c>
      <c r="AI157" s="96" t="str">
        <f t="shared" si="70"/>
        <v>echo {"issue":{"subject":"","project_id":79,"tracker_id":40,"status_id":1,"priority_id":2,"assigned_to_id":23,"start_date":"2017-06-25","description":"","custom_fields":[{"id":1,"name":"Subdivision","value":"EC"},{"id":4,"name":"Milepost","value":"23.33"},{"id":17,"name":"Train ID","value":"243-24"},{"id":16,"name":"Locomotive ID","value":"4044"},{"id":130,"name":"Impact","value":""},{"id":150,"name":"Time of Event (Mountain Time)","value":"01:07:06"},{"id":151,"name":"Denver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1"/>
        <v>start /low /b %USERPROFILE%\Documents\GitHub\eaglep3\Utilities\DownloadLogsFromS3.py --loco 4044 --day 2017-06-25</v>
      </c>
      <c r="AN157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07:07:06"},{"id":29,"name":"Sharepoint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665</v>
      </c>
      <c r="B158" s="7">
        <v>4043</v>
      </c>
      <c r="C158" s="21" t="s">
        <v>202</v>
      </c>
      <c r="D158" s="21" t="s">
        <v>491</v>
      </c>
      <c r="E158" s="13">
        <v>42911.052337962959</v>
      </c>
      <c r="F158" s="13">
        <v>42911.060567129629</v>
      </c>
      <c r="G158" s="7">
        <v>1</v>
      </c>
      <c r="H158" s="21" t="s">
        <v>356</v>
      </c>
      <c r="I158" s="13">
        <v>42911.087523148148</v>
      </c>
      <c r="J158" s="7">
        <v>0</v>
      </c>
      <c r="K158" s="89" t="str">
        <f t="shared" si="60"/>
        <v>4043/4044</v>
      </c>
      <c r="L158" s="21" t="str">
        <f>VLOOKUP(A158,'Trips&amp;Operators'!$C$1:$G$99999,5,FALSE)</f>
        <v>FORTUNATO FRANK</v>
      </c>
      <c r="M158" s="6">
        <f t="shared" si="61"/>
        <v>2.6956018518831115E-2</v>
      </c>
      <c r="N158" s="7">
        <f t="shared" si="55"/>
        <v>38.816666667116806</v>
      </c>
      <c r="O158" s="7"/>
      <c r="P158" s="7"/>
      <c r="Q158" s="22"/>
      <c r="R158" s="170"/>
      <c r="S158" s="213">
        <f t="shared" si="56"/>
        <v>1</v>
      </c>
      <c r="T158" s="195" t="str">
        <f t="shared" si="62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63"/>
        <v>https://d0f6bd738d7f1b3e5a7ca70fe4ff75f0.us-east-1.aws.found.io/app/kibana#/discover/Steve-Slow-Train-Analysis-(2080s-and-2083s)?_g=(refreshInterval:(display:Off,pause:!f,section:0,value:0),time:(from:'2017-06-25T00:15:22-0600',mode:absolute,to:'2017-06-25T03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8" s="197" t="str">
        <f>IF(AA158&lt;VLOOKUP(AG158,Variables!$AC$3:$AD$8,2,FALSE),"Y","N")</f>
        <v>N</v>
      </c>
      <c r="X158" s="197">
        <f t="shared" ref="X158:X170" si="73">VALUE(LEFT(AD158,4))-VALUE(LEFT(AD157,4))</f>
        <v>1</v>
      </c>
      <c r="Y158" s="197">
        <f t="shared" si="57"/>
        <v>23.301300000000001</v>
      </c>
      <c r="Z158" s="197">
        <f t="shared" si="58"/>
        <v>1.3899999999999999E-2</v>
      </c>
      <c r="AA158" s="197">
        <f t="shared" si="64"/>
        <v>23.287400000000002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5"/>
        <v>244</v>
      </c>
      <c r="AE158" s="77" t="str">
        <f t="shared" si="66"/>
        <v>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 &amp; aws s3 cp s3://rtdc.mdm.uploadarchive.raw/RTDC4043/ "%USERPROFILE%\AppData\Local\Temp\OnboardLogs"\RTDC4043\2017-06-26 --exclude "*" --recursive --include "*20170626*" &amp; "%USERPROFILE%\Documents\GitHub\mrs-test-scripts\Headless Mode &amp; Sideloading\WalkAndUnGZ.bat" "%USERPROFILE%\AppData\Local\Temp\OnboardLogs"\RTDC4043\2017-06-26</v>
      </c>
      <c r="AF158" s="74" t="str">
        <f t="shared" si="67"/>
        <v>"C:\Program Files (x86)\AstroGrep\AstroGrep.exe" /e /r /s /spath="%USERPROFILE%\AppData\Local\Temp\OnboardLogs" /stypes="app*4043*20170625*" /stext=" 08:.+((SYSTEM_STATE.+slice.+state.+changed )|(ment ac)|(multiple cpu faults)|(system.+state.+changed )|(\[timeout)|(PRM\|1\|D)|(kpr)|(kdp)|(train st.+moving)|(\|lc)|(penalty))"</v>
      </c>
      <c r="AG158" s="209" t="str">
        <f t="shared" si="68"/>
        <v>EC</v>
      </c>
      <c r="AH158" s="78" t="str">
        <f t="shared" si="69"/>
        <v>"%USERPROFILE%\Documents\GitHub\eaglep3\Utilities\RefineRTDCRunTimes.py" --tripid 244-24 --locoid 4043 --swversion DE.1.0.9.0 --startMP 204:233013 --initTime 2017-06-25T01:15:22 --startdatetime 2017-06-25T01:27:13 --delay 1 --endMP 204:139 --enddatetime 2017-06-25T02:06:02 --enforcementcount 0 &gt;&gt;C:\Users\stu\Documents\GitHub\eaglep3-reporting\EC\2017-06-24-refined-times.txt</v>
      </c>
      <c r="AI158" s="96" t="str">
        <f t="shared" si="70"/>
        <v>echo {"issue":{"subject":"","project_id":79,"tracker_id":40,"status_id":1,"priority_id":2,"assigned_to_id":23,"start_date":"2017-06-25","description":"","custom_fields":[{"id":1,"name":"Subdivision","value":"EC"},{"id":4,"name":"Milepost","value":"0.0139"},{"id":17,"name":"Train ID","value":"244-24"},{"id":16,"name":"Locomotive ID","value":"4043"},{"id":130,"name":"Impact","value":""},{"id":150,"name":"Time of Event (Mountain Time)","value":"02:06:02"},{"id":151,"name":"Denver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1"/>
        <v>start /low /b %USERPROFILE%\Documents\GitHub\eaglep3\Utilities\DownloadLogsFromS3.py --loco 4043 --day 2017-06-25</v>
      </c>
      <c r="AN158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08:06:02"},{"id":29,"name":"Sharepoint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859</v>
      </c>
      <c r="B159" s="7">
        <v>4004</v>
      </c>
      <c r="C159" s="21" t="s">
        <v>202</v>
      </c>
      <c r="D159" s="21" t="s">
        <v>476</v>
      </c>
      <c r="E159" s="13">
        <v>42911.035937499997</v>
      </c>
      <c r="F159" s="13">
        <v>42911.041863425926</v>
      </c>
      <c r="G159" s="7">
        <v>1</v>
      </c>
      <c r="H159" s="21" t="s">
        <v>595</v>
      </c>
      <c r="I159" s="13">
        <v>42911.066574074073</v>
      </c>
      <c r="J159" s="7">
        <v>0</v>
      </c>
      <c r="K159" s="89" t="str">
        <f t="shared" si="60"/>
        <v>4003/4004</v>
      </c>
      <c r="L159" s="21" t="str">
        <f>VLOOKUP(A159,'Trips&amp;Operators'!$C$1:$G$99999,5,FALSE)</f>
        <v>LAMAR NEKESHA</v>
      </c>
      <c r="M159" s="6">
        <f t="shared" si="61"/>
        <v>2.47106481474475E-2</v>
      </c>
      <c r="N159" s="7">
        <f t="shared" si="55"/>
        <v>35.583333332324401</v>
      </c>
      <c r="O159" s="7"/>
      <c r="P159" s="7"/>
      <c r="Q159" s="22"/>
      <c r="R159" s="170"/>
      <c r="S159" s="213">
        <f t="shared" si="56"/>
        <v>1</v>
      </c>
      <c r="T159" s="195" t="str">
        <f t="shared" si="62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63"/>
        <v>https://d0f6bd738d7f1b3e5a7ca70fe4ff75f0.us-east-1.aws.found.io/app/kibana#/discover/Steve-Slow-Train-Analysis-(2080s-and-2083s)?_g=(refreshInterval:(display:Off,pause:!f,section:0,value:0),time:(from:'2017-06-24T23:51:45-0600',mode:absolute,to:'2017-06-25T02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9" s="197" t="str">
        <f>IF(AA159&lt;VLOOKUP(AG159,Variables!$AC$3:$AD$8,2,FALSE),"Y","N")</f>
        <v>N</v>
      </c>
      <c r="X159" s="197">
        <f t="shared" si="73"/>
        <v>1</v>
      </c>
      <c r="Y159" s="197">
        <f t="shared" si="57"/>
        <v>4.7100000000000003E-2</v>
      </c>
      <c r="Z159" s="197">
        <f t="shared" si="58"/>
        <v>23.328800000000001</v>
      </c>
      <c r="AA159" s="197">
        <f t="shared" si="64"/>
        <v>23.281700000000001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5"/>
        <v>245</v>
      </c>
      <c r="AE159" s="77" t="str">
        <f t="shared" si="66"/>
        <v>aws s3 cp s3://rtdc.mdm.uploadarchive.raw/RTDC4004/ "%USERPROFILE%\AppData\Local\Temp\OnboardLogs"\RTDC4004\2017-06-25 --exclude "*" --recursive --include "*20170625*" &amp; "%USERPROFILE%\Documents\GitHub\mrs-test-scripts\Headless Mode &amp; Sideloading\WalkAndUnGZ.bat" "%USERPROFILE%\AppData\Local\Temp\OnboardLogs"\RTDC4004\2017-06-25 &amp; aws s3 cp s3://rtdc.mdm.uploadarchive.raw/RTDC4004/ "%USERPROFILE%\AppData\Local\Temp\OnboardLogs"\RTDC4004\2017-06-26 --exclude "*" --recursive --include "*20170626*" &amp; "%USERPROFILE%\Documents\GitHub\mrs-test-scripts\Headless Mode &amp; Sideloading\WalkAndUnGZ.bat" "%USERPROFILE%\AppData\Local\Temp\OnboardLogs"\RTDC4004\2017-06-26</v>
      </c>
      <c r="AF159" s="74" t="str">
        <f t="shared" si="67"/>
        <v>"C:\Program Files (x86)\AstroGrep\AstroGrep.exe" /e /r /s /spath="%USERPROFILE%\AppData\Local\Temp\OnboardLogs" /stypes="app*4004*20170625*" /stext=" 07:.+((SYSTEM_STATE.+slice.+state.+changed )|(ment ac)|(multiple cpu faults)|(system.+state.+changed )|(\[timeout)|(PRM\|1\|D)|(kpr)|(kdp)|(train st.+moving)|(\|lc)|(penalty))"</v>
      </c>
      <c r="AG159" s="209" t="str">
        <f t="shared" si="68"/>
        <v>EC</v>
      </c>
      <c r="AH159" s="78" t="str">
        <f t="shared" si="69"/>
        <v>"%USERPROFILE%\Documents\GitHub\eaglep3\Utilities\RefineRTDCRunTimes.py" --tripid 245-24 --locoid 4004 --swversion DE.1.0.9.0 --startMP 204:471 --initTime 2017-06-25T00:51:45 --startdatetime 2017-06-25T01:00:17 --delay 1 --endMP 204:233288 --enddatetime 2017-06-25T01:35:52 --enforcementcount 0 &gt;&gt;C:\Users\stu\Documents\GitHub\eaglep3-reporting\EC\2017-06-24-refined-times.txt</v>
      </c>
      <c r="AI159" s="96" t="str">
        <f t="shared" si="70"/>
        <v>echo {"issue":{"subject":"","project_id":79,"tracker_id":40,"status_id":1,"priority_id":2,"assigned_to_id":23,"start_date":"2017-06-25","description":"","custom_fields":[{"id":1,"name":"Subdivision","value":"EC"},{"id":4,"name":"Milepost","value":"23.3288"},{"id":17,"name":"Train ID","value":"245-24"},{"id":16,"name":"Locomotive ID","value":"4004"},{"id":130,"name":"Impact","value":""},{"id":150,"name":"Time of Event (Mountain Time)","value":"01:35:52"},{"id":151,"name":"Denver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71"/>
        <v>start /low /b %USERPROFILE%\Documents\GitHub\eaglep3\Utilities\DownloadLogsFromS3.py --loco 4004 --day 2017-06-25</v>
      </c>
      <c r="AN159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07:35:52"},{"id":29,"name":"Sharepoint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862</v>
      </c>
      <c r="B160" s="7">
        <v>4003</v>
      </c>
      <c r="C160" s="21" t="s">
        <v>202</v>
      </c>
      <c r="D160" s="21" t="s">
        <v>537</v>
      </c>
      <c r="E160" s="13">
        <v>42911.077592592592</v>
      </c>
      <c r="F160" s="13">
        <v>42911.081423611111</v>
      </c>
      <c r="G160" s="7">
        <v>1</v>
      </c>
      <c r="H160" s="21" t="s">
        <v>394</v>
      </c>
      <c r="I160" s="13">
        <v>42911.108414351853</v>
      </c>
      <c r="J160" s="7">
        <v>0</v>
      </c>
      <c r="K160" s="89" t="str">
        <f t="shared" si="60"/>
        <v>4003/4004</v>
      </c>
      <c r="L160" s="21" t="str">
        <f>VLOOKUP(A160,'Trips&amp;Operators'!$C$1:$G$99999,5,FALSE)</f>
        <v>LAMAR NEKESHA</v>
      </c>
      <c r="M160" s="6">
        <f t="shared" si="61"/>
        <v>2.6990740741894115E-2</v>
      </c>
      <c r="N160" s="7">
        <f t="shared" si="55"/>
        <v>38.866666668327525</v>
      </c>
      <c r="O160" s="7"/>
      <c r="P160" s="7"/>
      <c r="Q160" s="22"/>
      <c r="R160" s="170"/>
      <c r="S160" s="213">
        <f t="shared" ref="S160:S191" si="74">SUM(U160:U160)/IF(AG160="EC",12,1)</f>
        <v>1</v>
      </c>
      <c r="T160" s="195" t="str">
        <f t="shared" si="62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63"/>
        <v>https://d0f6bd738d7f1b3e5a7ca70fe4ff75f0.us-east-1.aws.found.io/app/kibana#/discover/Steve-Slow-Train-Analysis-(2080s-and-2083s)?_g=(refreshInterval:(display:Off,pause:!f,section:0,value:0),time:(from:'2017-06-25T00:51:44-0600',mode:absolute,to:'2017-06-25T03:36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0" s="197" t="str">
        <f>IF(AA160&lt;VLOOKUP(AG160,Variables!$AC$3:$AD$8,2,FALSE),"Y","N")</f>
        <v>N</v>
      </c>
      <c r="X160" s="197">
        <f t="shared" si="73"/>
        <v>1</v>
      </c>
      <c r="Y160" s="197">
        <f t="shared" si="57"/>
        <v>23.296700000000001</v>
      </c>
      <c r="Z160" s="197">
        <f t="shared" si="58"/>
        <v>1.54E-2</v>
      </c>
      <c r="AA160" s="197">
        <f t="shared" si="64"/>
        <v>23.281300000000002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5"/>
        <v>246</v>
      </c>
      <c r="AE160" s="77" t="str">
        <f t="shared" si="66"/>
        <v>aws s3 cp s3://rtdc.mdm.uploadarchive.raw/RTDC4003/ "%USERPROFILE%\AppData\Local\Temp\OnboardLogs"\RTDC4003\2017-06-25 --exclude "*" --recursive --include "*20170625*" &amp; "%USERPROFILE%\Documents\GitHub\mrs-test-scripts\Headless Mode &amp; Sideloading\WalkAndUnGZ.bat" "%USERPROFILE%\AppData\Local\Temp\OnboardLogs"\RTDC4003\2017-06-25 &amp; aws s3 cp s3://rtdc.mdm.uploadarchive.raw/RTDC4003/ "%USERPROFILE%\AppData\Local\Temp\OnboardLogs"\RTDC4003\2017-06-26 --exclude "*" --recursive --include "*20170626*" &amp; "%USERPROFILE%\Documents\GitHub\mrs-test-scripts\Headless Mode &amp; Sideloading\WalkAndUnGZ.bat" "%USERPROFILE%\AppData\Local\Temp\OnboardLogs"\RTDC4003\2017-06-26</v>
      </c>
      <c r="AF160" s="74" t="str">
        <f t="shared" si="67"/>
        <v>"C:\Program Files (x86)\AstroGrep\AstroGrep.exe" /e /r /s /spath="%USERPROFILE%\AppData\Local\Temp\OnboardLogs" /stypes="app*4003*20170625*" /stext=" 08:.+((SYSTEM_STATE.+slice.+state.+changed )|(ment ac)|(multiple cpu faults)|(system.+state.+changed )|(\[timeout)|(PRM\|1\|D)|(kpr)|(kdp)|(train st.+moving)|(\|lc)|(penalty))"</v>
      </c>
      <c r="AG160" s="209" t="str">
        <f t="shared" si="68"/>
        <v>EC</v>
      </c>
      <c r="AH160" s="78" t="str">
        <f t="shared" si="69"/>
        <v>"%USERPROFILE%\Documents\GitHub\eaglep3\Utilities\RefineRTDCRunTimes.py" --tripid 246-24 --locoid 4003 --swversion DE.1.0.9.0 --startMP 204:232967 --initTime 2017-06-25T01:51:44 --startdatetime 2017-06-25T01:57:15 --delay 1 --endMP 204:154 --enddatetime 2017-06-25T02:36:07 --enforcementcount 0 &gt;&gt;C:\Users\stu\Documents\GitHub\eaglep3-reporting\EC\2017-06-24-refined-times.txt</v>
      </c>
      <c r="AI160" s="96" t="str">
        <f t="shared" si="70"/>
        <v>echo {"issue":{"subject":"","project_id":79,"tracker_id":40,"status_id":1,"priority_id":2,"assigned_to_id":23,"start_date":"2017-06-25","description":"","custom_fields":[{"id":1,"name":"Subdivision","value":"EC"},{"id":4,"name":"Milepost","value":"0.0154"},{"id":17,"name":"Train ID","value":"246-24"},{"id":16,"name":"Locomotive ID","value":"4003"},{"id":130,"name":"Impact","value":""},{"id":150,"name":"Time of Event (Mountain Time)","value":"02:36:07"},{"id":151,"name":"Denver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71"/>
        <v>start /low /b %USERPROFILE%\Documents\GitHub\eaglep3\Utilities\DownloadLogsFromS3.py --loco 4003 --day 2017-06-25</v>
      </c>
      <c r="AN160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08:36:07"},{"id":29,"name":"Sharepoint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704</v>
      </c>
      <c r="B161" s="7">
        <v>4025</v>
      </c>
      <c r="C161" s="21" t="s">
        <v>202</v>
      </c>
      <c r="D161" s="21" t="s">
        <v>898</v>
      </c>
      <c r="E161" s="13">
        <v>42910.233946759261</v>
      </c>
      <c r="F161" s="13">
        <v>42910.235509259262</v>
      </c>
      <c r="G161" s="7">
        <v>1</v>
      </c>
      <c r="H161" s="21" t="s">
        <v>899</v>
      </c>
      <c r="I161" s="13">
        <v>42910.247546296298</v>
      </c>
      <c r="J161" s="7">
        <v>0</v>
      </c>
      <c r="K161" s="89" t="str">
        <f t="shared" si="60"/>
        <v>4025/4026</v>
      </c>
      <c r="L161" s="21" t="str">
        <f>VLOOKUP(A161,'Trips&amp;Operators'!$C$1:$G$99999,5,FALSE)</f>
        <v>MACDONALD THOMAS</v>
      </c>
      <c r="M161" s="6">
        <f t="shared" si="61"/>
        <v>1.2037037035042886E-2</v>
      </c>
      <c r="N161" s="7">
        <f t="shared" si="55"/>
        <v>17.333333330461755</v>
      </c>
      <c r="O161" s="7"/>
      <c r="P161" s="7"/>
      <c r="Q161" s="22"/>
      <c r="R161" s="170"/>
      <c r="S161" s="213">
        <f t="shared" si="74"/>
        <v>1</v>
      </c>
      <c r="T161" s="195" t="str">
        <f t="shared" si="62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63"/>
        <v>https://d0f6bd738d7f1b3e5a7ca70fe4ff75f0.us-east-1.aws.found.io/app/kibana#/discover/Steve-Slow-Train-Analysis-(2080s-and-2083s)?_g=(refreshInterval:(display:Off,pause:!f,section:0,value:0),time:(from:'2017-06-24T04:36:53-0600',mode:absolute,to:'2017-06-24T06:56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1" s="197" t="str">
        <f>IF(AA161&lt;VLOOKUP(AG161,Variables!$AC$3:$AD$8,2,FALSE),"Y","N")</f>
        <v>N</v>
      </c>
      <c r="X161" s="197">
        <f t="shared" si="73"/>
        <v>1554</v>
      </c>
      <c r="Y161" s="197">
        <f t="shared" si="57"/>
        <v>5.8628</v>
      </c>
      <c r="Z161" s="197">
        <f t="shared" si="58"/>
        <v>7.6399999999999996E-2</v>
      </c>
      <c r="AA161" s="197">
        <f t="shared" si="64"/>
        <v>5.7864000000000004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5"/>
        <v>1800</v>
      </c>
      <c r="AE161" s="77" t="str">
        <f t="shared" si="66"/>
        <v>aws s3 cp s3://rtdc.mdm.uploadarchive.raw/RTDC4025/ "%USERPROFILE%\AppData\Local\Temp\OnboardLogs"\RTDC4025\2017-06-24 --exclude "*" --recursive --include "*20170624*" &amp; "%USERPROFILE%\Documents\GitHub\mrs-test-scripts\Headless Mode &amp; Sideloading\WalkAndUnGZ.bat" "%USERPROFILE%\AppData\Local\Temp\OnboardLogs"\RTDC4025\2017-06-24 &amp; 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</v>
      </c>
      <c r="AF161" s="74" t="str">
        <f t="shared" si="67"/>
        <v>"C:\Program Files (x86)\AstroGrep\AstroGrep.exe" /e /r /s /spath="%USERPROFILE%\AppData\Local\Temp\OnboardLogs" /stypes="app*4025*20170624*" /stext=" 11:.+((SYSTEM_STATE.+slice.+state.+changed )|(ment ac)|(multiple cpu faults)|(system.+state.+changed )|(\[timeout)|(PRM\|1\|D)|(kpr)|(kdp)|(train st.+moving)|(\|lc)|(penalty))"</v>
      </c>
      <c r="AG161" s="209" t="str">
        <f t="shared" si="68"/>
        <v>NW</v>
      </c>
      <c r="AH161" s="78" t="str">
        <f t="shared" si="69"/>
        <v>"%USERPROFILE%\Documents\GitHub\eaglep3\Utilities\RefineRTDCRunTimes.py" --tripid 1800-24 --locoid 4025 --swversion DE.1.0.9.0 --startMP 300:58628 --initTime 2017-06-24T05:36:53 --startdatetime 2017-06-24T05:39:08 --delay 1 --endMP 204:764 --enddatetime 2017-06-24T05:56:28 --enforcementcount 0 &gt;&gt;C:\Users\stu\Documents\GitHub\eaglep3-reporting\EC\2017-06-24-refined-times.txt</v>
      </c>
      <c r="AI161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{"issue":{"subject":"","project_id":79,"tracker_id":40,"status_id":1,"priority_id":2,"assigned_to_id":23,"start_date":"2017-06-24","description":"","custom_fields":[{"id":1,"name":"Subdivision","value":"NW"},{"id":4,"name":"Milepost","value":"0.0764"},{"id":17,"name":"Train ID","value":"1800-24"},{"id":16,"name":"Locomotive ID","value":"4025"},{"id":130,"name":"Impact","value":""},{"id":150,"name":"Time of Event (Mountain Time)","value":"05:56:28"},{"id":151,"name":"Denver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71"/>
        <v>start /low /b %USERPROFILE%\Documents\GitHub\eaglep3\Utilities\DownloadLogsFromS3.py --loco 4025 --day 2017-06-24</v>
      </c>
      <c r="AN161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11:56:28"},{"id":29,"name":"Sharepoint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s="20" customFormat="1" x14ac:dyDescent="0.25">
      <c r="A162" s="32" t="s">
        <v>707</v>
      </c>
      <c r="B162" s="7">
        <v>4026</v>
      </c>
      <c r="C162" s="21" t="s">
        <v>202</v>
      </c>
      <c r="D162" s="21" t="s">
        <v>900</v>
      </c>
      <c r="E162" s="13">
        <v>42910.250219907408</v>
      </c>
      <c r="F162" s="13">
        <v>42910.264884259261</v>
      </c>
      <c r="G162" s="7">
        <v>1</v>
      </c>
      <c r="H162" s="21" t="s">
        <v>615</v>
      </c>
      <c r="I162" s="13">
        <v>42910.274097222224</v>
      </c>
      <c r="J162" s="7">
        <v>0</v>
      </c>
      <c r="K162" s="89" t="str">
        <f t="shared" si="60"/>
        <v>4025/4026</v>
      </c>
      <c r="L162" s="21" t="str">
        <f>VLOOKUP(A162,'Trips&amp;Operators'!$C$1:$G$99999,5,FALSE)</f>
        <v>MACDONALD THOMAS</v>
      </c>
      <c r="M162" s="6">
        <f t="shared" si="61"/>
        <v>9.2129629629198462E-3</v>
      </c>
      <c r="N162" s="7">
        <f t="shared" si="55"/>
        <v>13.266666666604578</v>
      </c>
      <c r="O162" s="7"/>
      <c r="P162" s="7"/>
      <c r="Q162" s="22"/>
      <c r="R162" s="170"/>
      <c r="S162" s="213">
        <f t="shared" si="74"/>
        <v>1</v>
      </c>
      <c r="T162" s="195" t="str">
        <f t="shared" si="62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63"/>
        <v>https://d0f6bd738d7f1b3e5a7ca70fe4ff75f0.us-east-1.aws.found.io/app/kibana#/discover/Steve-Slow-Train-Analysis-(2080s-and-2083s)?_g=(refreshInterval:(display:Off,pause:!f,section:0,value:0),time:(from:'2017-06-24T05:00:19-0600',mode:absolute,to:'2017-06-24T07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2" s="197" t="str">
        <f>IF(AA162&lt;VLOOKUP(AG162,Variables!$AC$3:$AD$8,2,FALSE),"Y","N")</f>
        <v>N</v>
      </c>
      <c r="X162" s="197">
        <f t="shared" si="73"/>
        <v>1</v>
      </c>
      <c r="Y162" s="197">
        <f t="shared" si="57"/>
        <v>0.1053</v>
      </c>
      <c r="Z162" s="197">
        <f t="shared" si="58"/>
        <v>5.8924000000000003</v>
      </c>
      <c r="AA162" s="197">
        <f t="shared" si="64"/>
        <v>5.7871000000000006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5"/>
        <v>1801</v>
      </c>
      <c r="AE162" s="77" t="str">
        <f t="shared" si="66"/>
        <v>aws s3 cp s3://rtdc.mdm.uploadarchive.raw/RTDC4026/ "%USERPROFILE%\AppData\Local\Temp\OnboardLogs"\RTDC4026\2017-06-24 --exclude "*" --recursive --include "*20170624*" &amp; "%USERPROFILE%\Documents\GitHub\mrs-test-scripts\Headless Mode &amp; Sideloading\WalkAndUnGZ.bat" "%USERPROFILE%\AppData\Local\Temp\OnboardLogs"\RTDC4026\2017-06-24 &amp; 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</v>
      </c>
      <c r="AF162" s="74" t="str">
        <f t="shared" si="67"/>
        <v>"C:\Program Files (x86)\AstroGrep\AstroGrep.exe" /e /r /s /spath="%USERPROFILE%\AppData\Local\Temp\OnboardLogs" /stypes="app*4026*20170624*" /stext=" 12:.+((SYSTEM_STATE.+slice.+state.+changed )|(ment ac)|(multiple cpu faults)|(system.+state.+changed )|(\[timeout)|(PRM\|1\|D)|(kpr)|(kdp)|(train st.+moving)|(\|lc)|(penalty))"</v>
      </c>
      <c r="AG162" s="209" t="str">
        <f t="shared" si="68"/>
        <v>NW</v>
      </c>
      <c r="AH162" s="78" t="str">
        <f t="shared" si="69"/>
        <v>"%USERPROFILE%\Documents\GitHub\eaglep3\Utilities\RefineRTDCRunTimes.py" --tripid 1801-24 --locoid 4026 --swversion DE.1.0.9.0 --startMP 204:1053 --initTime 2017-06-24T06:00:19 --startdatetime 2017-06-24T06:21:26 --delay 1 --endMP 300:58924 --enddatetime 2017-06-24T06:34:42 --enforcementcount 0 &gt;&gt;C:\Users\stu\Documents\GitHub\eaglep3-reporting\EC\2017-06-24-refined-times.txt</v>
      </c>
      <c r="AI162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{"issue":{"subject":"","project_id":79,"tracker_id":40,"status_id":1,"priority_id":2,"assigned_to_id":23,"start_date":"2017-06-24","description":"","custom_fields":[{"id":1,"name":"Subdivision","value":"NW"},{"id":4,"name":"Milepost","value":"5.8924"},{"id":17,"name":"Train ID","value":"1801-24"},{"id":16,"name":"Locomotive ID","value":"4026"},{"id":130,"name":"Impact","value":""},{"id":150,"name":"Time of Event (Mountain Time)","value":"06:34:42"},{"id":151,"name":"Denver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1"/>
        <v>start /low /b %USERPROFILE%\Documents\GitHub\eaglep3\Utilities\DownloadLogsFromS3.py --loco 4026 --day 2017-06-24</v>
      </c>
      <c r="AN162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12:34:42"},{"id":29,"name":"Sharepoint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712</v>
      </c>
      <c r="B163" s="7">
        <v>4025</v>
      </c>
      <c r="C163" s="21" t="s">
        <v>202</v>
      </c>
      <c r="D163" s="21" t="s">
        <v>618</v>
      </c>
      <c r="E163" s="13">
        <v>42910.27484953704</v>
      </c>
      <c r="F163" s="13">
        <v>42910.275983796295</v>
      </c>
      <c r="G163" s="7">
        <v>1</v>
      </c>
      <c r="H163" s="21" t="s">
        <v>901</v>
      </c>
      <c r="I163" s="13">
        <v>42910.288252314815</v>
      </c>
      <c r="J163" s="7">
        <v>0</v>
      </c>
      <c r="K163" s="89" t="str">
        <f t="shared" si="60"/>
        <v>4025/4026</v>
      </c>
      <c r="L163" s="21" t="str">
        <f>VLOOKUP(A163,'Trips&amp;Operators'!$C$1:$G$99999,5,FALSE)</f>
        <v>MACDONALD THOMAS</v>
      </c>
      <c r="M163" s="6">
        <f t="shared" si="61"/>
        <v>1.226851851970423E-2</v>
      </c>
      <c r="N163" s="7">
        <f t="shared" si="55"/>
        <v>17.666666668374091</v>
      </c>
      <c r="O163" s="7"/>
      <c r="P163" s="7"/>
      <c r="Q163" s="22"/>
      <c r="R163" s="170"/>
      <c r="S163" s="213">
        <f t="shared" si="74"/>
        <v>1</v>
      </c>
      <c r="T163" s="195" t="str">
        <f t="shared" si="62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63"/>
        <v>https://d0f6bd738d7f1b3e5a7ca70fe4ff75f0.us-east-1.aws.found.io/app/kibana#/discover/Steve-Slow-Train-Analysis-(2080s-and-2083s)?_g=(refreshInterval:(display:Off,pause:!f,section:0,value:0),time:(from:'2017-06-24T05:35:47-0600',mode:absolute,to:'2017-06-24T07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3" s="197" t="str">
        <f>IF(AA163&lt;VLOOKUP(AG163,Variables!$AC$3:$AD$8,2,FALSE),"Y","N")</f>
        <v>N</v>
      </c>
      <c r="X163" s="197">
        <f t="shared" si="73"/>
        <v>1</v>
      </c>
      <c r="Y163" s="197">
        <f t="shared" si="57"/>
        <v>5.8608000000000002</v>
      </c>
      <c r="Z163" s="197">
        <f t="shared" si="58"/>
        <v>7.4099999999999999E-2</v>
      </c>
      <c r="AA163" s="197">
        <f t="shared" si="64"/>
        <v>5.7867000000000006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5"/>
        <v>1802</v>
      </c>
      <c r="AE163" s="77" t="str">
        <f t="shared" si="66"/>
        <v>aws s3 cp s3://rtdc.mdm.uploadarchive.raw/RTDC4025/ "%USERPROFILE%\AppData\Local\Temp\OnboardLogs"\RTDC4025\2017-06-24 --exclude "*" --recursive --include "*20170624*" &amp; "%USERPROFILE%\Documents\GitHub\mrs-test-scripts\Headless Mode &amp; Sideloading\WalkAndUnGZ.bat" "%USERPROFILE%\AppData\Local\Temp\OnboardLogs"\RTDC4025\2017-06-24 &amp; 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</v>
      </c>
      <c r="AF163" s="74" t="str">
        <f t="shared" si="67"/>
        <v>"C:\Program Files (x86)\AstroGrep\AstroGrep.exe" /e /r /s /spath="%USERPROFILE%\AppData\Local\Temp\OnboardLogs" /stypes="app*4025*20170624*" /stext=" 12:.+((SYSTEM_STATE.+slice.+state.+changed )|(ment ac)|(multiple cpu faults)|(system.+state.+changed )|(\[timeout)|(PRM\|1\|D)|(kpr)|(kdp)|(train st.+moving)|(\|lc)|(penalty))"</v>
      </c>
      <c r="AG163" s="209" t="str">
        <f t="shared" si="68"/>
        <v>NW</v>
      </c>
      <c r="AH163" s="78" t="str">
        <f t="shared" si="69"/>
        <v>"%USERPROFILE%\Documents\GitHub\eaglep3\Utilities\RefineRTDCRunTimes.py" --tripid 1802-24 --locoid 4025 --swversion DE.1.0.9.0 --startMP 300:58608 --initTime 2017-06-24T06:35:47 --startdatetime 2017-06-24T06:37:25 --delay 1 --endMP 204:741 --enddatetime 2017-06-24T06:55:05 --enforcementcount 0 &gt;&gt;C:\Users\stu\Documents\GitHub\eaglep3-reporting\EC\2017-06-24-refined-times.txt</v>
      </c>
      <c r="AI163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{"issue":{"subject":"","project_id":79,"tracker_id":40,"status_id":1,"priority_id":2,"assigned_to_id":23,"start_date":"2017-06-24","description":"","custom_fields":[{"id":1,"name":"Subdivision","value":"NW"},{"id":4,"name":"Milepost","value":"0.0741"},{"id":17,"name":"Train ID","value":"1802-24"},{"id":16,"name":"Locomotive ID","value":"4025"},{"id":130,"name":"Impact","value":""},{"id":150,"name":"Time of Event (Mountain Time)","value":"06:55:05"},{"id":151,"name":"Denver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71"/>
        <v>start /low /b %USERPROFILE%\Documents\GitHub\eaglep3\Utilities\DownloadLogsFromS3.py --loco 4025 --day 2017-06-24</v>
      </c>
      <c r="AN163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12:55:05"},{"id":29,"name":"Sharepoint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717</v>
      </c>
      <c r="B164" s="7">
        <v>4026</v>
      </c>
      <c r="C164" s="21" t="s">
        <v>202</v>
      </c>
      <c r="D164" s="21" t="s">
        <v>902</v>
      </c>
      <c r="E164" s="13">
        <v>42910.2893287037</v>
      </c>
      <c r="F164" s="13">
        <v>42910.306481481479</v>
      </c>
      <c r="G164" s="7">
        <v>1</v>
      </c>
      <c r="H164" s="21" t="s">
        <v>903</v>
      </c>
      <c r="I164" s="13">
        <v>42910.31590277778</v>
      </c>
      <c r="J164" s="7">
        <v>0</v>
      </c>
      <c r="K164" s="89" t="str">
        <f t="shared" si="60"/>
        <v>4025/4026</v>
      </c>
      <c r="L164" s="21" t="str">
        <f>VLOOKUP(A164,'Trips&amp;Operators'!$C$1:$G$99999,5,FALSE)</f>
        <v>MACDONALD THOMAS</v>
      </c>
      <c r="M164" s="6">
        <f t="shared" si="61"/>
        <v>9.4212963012978435E-3</v>
      </c>
      <c r="N164" s="7">
        <f t="shared" si="55"/>
        <v>13.566666673868895</v>
      </c>
      <c r="O164" s="7"/>
      <c r="P164" s="7"/>
      <c r="Q164" s="22"/>
      <c r="R164" s="170"/>
      <c r="S164" s="213">
        <f t="shared" si="74"/>
        <v>1</v>
      </c>
      <c r="T164" s="195" t="str">
        <f t="shared" si="62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63"/>
        <v>https://d0f6bd738d7f1b3e5a7ca70fe4ff75f0.us-east-1.aws.found.io/app/kibana#/discover/Steve-Slow-Train-Analysis-(2080s-and-2083s)?_g=(refreshInterval:(display:Off,pause:!f,section:0,value:0),time:(from:'2017-06-24T05:56:38-0600',mode:absolute,to:'2017-06-24T08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4" s="197" t="str">
        <f>IF(AA164&lt;VLOOKUP(AG164,Variables!$AC$3:$AD$8,2,FALSE),"Y","N")</f>
        <v>N</v>
      </c>
      <c r="X164" s="197">
        <f t="shared" si="73"/>
        <v>1</v>
      </c>
      <c r="Y164" s="197">
        <f t="shared" si="57"/>
        <v>0.1009</v>
      </c>
      <c r="Z164" s="197">
        <f t="shared" si="58"/>
        <v>5.8075000000000001</v>
      </c>
      <c r="AA164" s="197">
        <f t="shared" si="64"/>
        <v>5.7065999999999999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5"/>
        <v>1803</v>
      </c>
      <c r="AE164" s="77" t="str">
        <f t="shared" si="66"/>
        <v>aws s3 cp s3://rtdc.mdm.uploadarchive.raw/RTDC4026/ "%USERPROFILE%\AppData\Local\Temp\OnboardLogs"\RTDC4026\2017-06-24 --exclude "*" --recursive --include "*20170624*" &amp; "%USERPROFILE%\Documents\GitHub\mrs-test-scripts\Headless Mode &amp; Sideloading\WalkAndUnGZ.bat" "%USERPROFILE%\AppData\Local\Temp\OnboardLogs"\RTDC4026\2017-06-24 &amp; 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</v>
      </c>
      <c r="AF164" s="74" t="str">
        <f t="shared" si="67"/>
        <v>"C:\Program Files (x86)\AstroGrep\AstroGrep.exe" /e /r /s /spath="%USERPROFILE%\AppData\Local\Temp\OnboardLogs" /stypes="app*4026*20170624*" /stext=" 13:.+((SYSTEM_STATE.+slice.+state.+changed )|(ment ac)|(multiple cpu faults)|(system.+state.+changed )|(\[timeout)|(PRM\|1\|D)|(kpr)|(kdp)|(train st.+moving)|(\|lc)|(penalty))"</v>
      </c>
      <c r="AG164" s="209" t="str">
        <f t="shared" si="68"/>
        <v>NW</v>
      </c>
      <c r="AH164" s="78" t="str">
        <f t="shared" si="69"/>
        <v>"%USERPROFILE%\Documents\GitHub\eaglep3\Utilities\RefineRTDCRunTimes.py" --tripid 1803-24 --locoid 4026 --swversion DE.1.0.9.0 --startMP 204:1009 --initTime 2017-06-24T06:56:38 --startdatetime 2017-06-24T07:21:20 --delay 1 --endMP 300:58075 --enddatetime 2017-06-24T07:34:54 --enforcementcount 0 &gt;&gt;C:\Users\stu\Documents\GitHub\eaglep3-reporting\EC\2017-06-24-refined-times.txt</v>
      </c>
      <c r="AI164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{"issue":{"subject":"","project_id":79,"tracker_id":40,"status_id":1,"priority_id":2,"assigned_to_id":23,"start_date":"2017-06-24","description":"","custom_fields":[{"id":1,"name":"Subdivision","value":"NW"},{"id":4,"name":"Milepost","value":"5.8075"},{"id":17,"name":"Train ID","value":"1803-24"},{"id":16,"name":"Locomotive ID","value":"4026"},{"id":130,"name":"Impact","value":""},{"id":150,"name":"Time of Event (Mountain Time)","value":"07:34:54"},{"id":151,"name":"Denver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1"/>
        <v>start /low /b %USERPROFILE%\Documents\GitHub\eaglep3\Utilities\DownloadLogsFromS3.py --loco 4026 --day 2017-06-24</v>
      </c>
      <c r="AN164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13:34:54"},{"id":29,"name":"Sharepoint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633</v>
      </c>
      <c r="B165" s="7">
        <v>4025</v>
      </c>
      <c r="C165" s="21" t="s">
        <v>202</v>
      </c>
      <c r="D165" s="21" t="s">
        <v>620</v>
      </c>
      <c r="E165" s="13">
        <v>42910.316782407404</v>
      </c>
      <c r="F165" s="13">
        <v>42910.31826388889</v>
      </c>
      <c r="G165" s="7">
        <v>1</v>
      </c>
      <c r="H165" s="21" t="s">
        <v>619</v>
      </c>
      <c r="I165" s="13">
        <v>42910.330428240741</v>
      </c>
      <c r="J165" s="7">
        <v>0</v>
      </c>
      <c r="K165" s="89" t="str">
        <f t="shared" si="60"/>
        <v>4025/4026</v>
      </c>
      <c r="L165" s="21" t="str">
        <f>VLOOKUP(A165,'Trips&amp;Operators'!$C$1:$G$99999,5,FALSE)</f>
        <v>MACDONALD THOMAS</v>
      </c>
      <c r="M165" s="6">
        <f t="shared" si="61"/>
        <v>1.2164351850515231E-2</v>
      </c>
      <c r="N165" s="7">
        <f t="shared" si="55"/>
        <v>17.516666664741933</v>
      </c>
      <c r="O165" s="7"/>
      <c r="P165" s="7"/>
      <c r="Q165" s="22"/>
      <c r="R165" s="170"/>
      <c r="S165" s="213">
        <f t="shared" si="74"/>
        <v>1</v>
      </c>
      <c r="T165" s="195" t="str">
        <f t="shared" si="62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63"/>
        <v>https://d0f6bd738d7f1b3e5a7ca70fe4ff75f0.us-east-1.aws.found.io/app/kibana#/discover/Steve-Slow-Train-Analysis-(2080s-and-2083s)?_g=(refreshInterval:(display:Off,pause:!f,section:0,value:0),time:(from:'2017-06-24T06:36:10-0600',mode:absolute,to:'2017-06-24T08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5" s="197" t="str">
        <f>IF(AA165&lt;VLOOKUP(AG165,Variables!$AC$3:$AD$8,2,FALSE),"Y","N")</f>
        <v>N</v>
      </c>
      <c r="X165" s="197">
        <f t="shared" si="73"/>
        <v>1</v>
      </c>
      <c r="Y165" s="197">
        <f t="shared" ref="Y165:Y196" si="75">RIGHT(D165,LEN(D165)-4)/10000</f>
        <v>5.8605999999999998</v>
      </c>
      <c r="Z165" s="197">
        <f t="shared" ref="Z165:Z196" si="76">RIGHT(H165,LEN(H165)-4)/10000</f>
        <v>7.5899999999999995E-2</v>
      </c>
      <c r="AA165" s="197">
        <f t="shared" si="64"/>
        <v>5.7847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5"/>
        <v>1804</v>
      </c>
      <c r="AE165" s="77" t="str">
        <f t="shared" si="66"/>
        <v>aws s3 cp s3://rtdc.mdm.uploadarchive.raw/RTDC4025/ "%USERPROFILE%\AppData\Local\Temp\OnboardLogs"\RTDC4025\2017-06-24 --exclude "*" --recursive --include "*20170624*" &amp; "%USERPROFILE%\Documents\GitHub\mrs-test-scripts\Headless Mode &amp; Sideloading\WalkAndUnGZ.bat" "%USERPROFILE%\AppData\Local\Temp\OnboardLogs"\RTDC4025\2017-06-24 &amp; 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</v>
      </c>
      <c r="AF165" s="74" t="str">
        <f t="shared" si="67"/>
        <v>"C:\Program Files (x86)\AstroGrep\AstroGrep.exe" /e /r /s /spath="%USERPROFILE%\AppData\Local\Temp\OnboardLogs" /stypes="app*4025*20170624*" /stext=" 13:.+((SYSTEM_STATE.+slice.+state.+changed )|(ment ac)|(multiple cpu faults)|(system.+state.+changed )|(\[timeout)|(PRM\|1\|D)|(kpr)|(kdp)|(train st.+moving)|(\|lc)|(penalty))"</v>
      </c>
      <c r="AG165" s="209" t="str">
        <f t="shared" si="68"/>
        <v>NW</v>
      </c>
      <c r="AH165" s="78" t="str">
        <f t="shared" si="69"/>
        <v>"%USERPROFILE%\Documents\GitHub\eaglep3\Utilities\RefineRTDCRunTimes.py" --tripid 1804-24 --locoid 4025 --swversion DE.1.0.9.0 --startMP 300:58606 --initTime 2017-06-24T07:36:10 --startdatetime 2017-06-24T07:38:18 --delay 1 --endMP 204:759 --enddatetime 2017-06-24T07:55:49 --enforcementcount 0 &gt;&gt;C:\Users\stu\Documents\GitHub\eaglep3-reporting\EC\2017-06-24-refined-times.txt</v>
      </c>
      <c r="AI165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{"issue":{"subject":"","project_id":79,"tracker_id":40,"status_id":1,"priority_id":2,"assigned_to_id":23,"start_date":"2017-06-24","description":"","custom_fields":[{"id":1,"name":"Subdivision","value":"NW"},{"id":4,"name":"Milepost","value":"0.0759"},{"id":17,"name":"Train ID","value":"1804-24"},{"id":16,"name":"Locomotive ID","value":"4025"},{"id":130,"name":"Impact","value":""},{"id":150,"name":"Time of Event (Mountain Time)","value":"07:55:49"},{"id":151,"name":"Denver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71"/>
        <v>start /low /b %USERPROFILE%\Documents\GitHub\eaglep3\Utilities\DownloadLogsFromS3.py --loco 4025 --day 2017-06-24</v>
      </c>
      <c r="AN165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13:55:49"},{"id":29,"name":"Sharepoint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634</v>
      </c>
      <c r="B166" s="7">
        <v>4026</v>
      </c>
      <c r="C166" s="21" t="s">
        <v>202</v>
      </c>
      <c r="D166" s="21" t="s">
        <v>904</v>
      </c>
      <c r="E166" s="13">
        <v>42910.331435185188</v>
      </c>
      <c r="F166" s="13">
        <v>42910.348217592589</v>
      </c>
      <c r="G166" s="7">
        <v>1</v>
      </c>
      <c r="H166" s="21" t="s">
        <v>615</v>
      </c>
      <c r="I166" s="13">
        <v>42910.358194444445</v>
      </c>
      <c r="J166" s="7">
        <v>0</v>
      </c>
      <c r="K166" s="89" t="str">
        <f t="shared" si="60"/>
        <v>4025/4026</v>
      </c>
      <c r="L166" s="21" t="str">
        <f>VLOOKUP(A166,'Trips&amp;Operators'!$C$1:$G$99999,5,FALSE)</f>
        <v>MACDONALD THOMAS</v>
      </c>
      <c r="M166" s="6">
        <f t="shared" si="61"/>
        <v>9.976851855753921E-3</v>
      </c>
      <c r="N166" s="7">
        <f t="shared" si="55"/>
        <v>14.366666672285646</v>
      </c>
      <c r="O166" s="7"/>
      <c r="P166" s="7"/>
      <c r="Q166" s="22"/>
      <c r="R166" s="170"/>
      <c r="S166" s="213">
        <f t="shared" si="74"/>
        <v>1</v>
      </c>
      <c r="T166" s="195" t="str">
        <f t="shared" si="62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3"/>
        <v>https://d0f6bd738d7f1b3e5a7ca70fe4ff75f0.us-east-1.aws.found.io/app/kibana#/discover/Steve-Slow-Train-Analysis-(2080s-and-2083s)?_g=(refreshInterval:(display:Off,pause:!f,section:0,value:0),time:(from:'2017-06-24T06:57:16-0600',mode:absolute,to:'2017-06-24T09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6" s="197" t="str">
        <f>IF(AA166&lt;VLOOKUP(AG166,Variables!$AC$3:$AD$8,2,FALSE),"Y","N")</f>
        <v>N</v>
      </c>
      <c r="X166" s="197">
        <f t="shared" si="73"/>
        <v>1</v>
      </c>
      <c r="Y166" s="197">
        <f t="shared" si="75"/>
        <v>0.1051</v>
      </c>
      <c r="Z166" s="197">
        <f t="shared" si="76"/>
        <v>5.8924000000000003</v>
      </c>
      <c r="AA166" s="197">
        <f t="shared" si="64"/>
        <v>5.7873000000000001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5"/>
        <v>1805</v>
      </c>
      <c r="AE166" s="77" t="str">
        <f t="shared" si="66"/>
        <v>aws s3 cp s3://rtdc.mdm.uploadarchive.raw/RTDC4026/ "%USERPROFILE%\AppData\Local\Temp\OnboardLogs"\RTDC4026\2017-06-24 --exclude "*" --recursive --include "*20170624*" &amp; "%USERPROFILE%\Documents\GitHub\mrs-test-scripts\Headless Mode &amp; Sideloading\WalkAndUnGZ.bat" "%USERPROFILE%\AppData\Local\Temp\OnboardLogs"\RTDC4026\2017-06-24 &amp; 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</v>
      </c>
      <c r="AF166" s="74" t="str">
        <f t="shared" si="67"/>
        <v>"C:\Program Files (x86)\AstroGrep\AstroGrep.exe" /e /r /s /spath="%USERPROFILE%\AppData\Local\Temp\OnboardLogs" /stypes="app*4026*20170624*" /stext=" 14:.+((SYSTEM_STATE.+slice.+state.+changed )|(ment ac)|(multiple cpu faults)|(system.+state.+changed )|(\[timeout)|(PRM\|1\|D)|(kpr)|(kdp)|(train st.+moving)|(\|lc)|(penalty))"</v>
      </c>
      <c r="AG166" s="209" t="str">
        <f t="shared" si="68"/>
        <v>NW</v>
      </c>
      <c r="AH166" s="78" t="str">
        <f t="shared" si="69"/>
        <v>"%USERPROFILE%\Documents\GitHub\eaglep3\Utilities\RefineRTDCRunTimes.py" --tripid 1805-24 --locoid 4026 --swversion DE.1.0.9.0 --startMP 204:1051 --initTime 2017-06-24T07:57:16 --startdatetime 2017-06-24T08:21:26 --delay 1 --endMP 300:58924 --enddatetime 2017-06-24T08:35:48 --enforcementcount 0 &gt;&gt;C:\Users\stu\Documents\GitHub\eaglep3-reporting\EC\2017-06-24-refined-times.txt</v>
      </c>
      <c r="AI166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{"issue":{"subject":"","project_id":79,"tracker_id":40,"status_id":1,"priority_id":2,"assigned_to_id":23,"start_date":"2017-06-24","description":"","custom_fields":[{"id":1,"name":"Subdivision","value":"NW"},{"id":4,"name":"Milepost","value":"5.8924"},{"id":17,"name":"Train ID","value":"1805-24"},{"id":16,"name":"Locomotive ID","value":"4026"},{"id":130,"name":"Impact","value":""},{"id":150,"name":"Time of Event (Mountain Time)","value":"08:35:48"},{"id":151,"name":"Denver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1"/>
        <v>start /low /b %USERPROFILE%\Documents\GitHub\eaglep3\Utilities\DownloadLogsFromS3.py --loco 4026 --day 2017-06-24</v>
      </c>
      <c r="AN166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14:35:48"},{"id":29,"name":"Sharepoint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637</v>
      </c>
      <c r="B167" s="7">
        <v>4025</v>
      </c>
      <c r="C167" s="21" t="s">
        <v>202</v>
      </c>
      <c r="D167" s="21" t="s">
        <v>620</v>
      </c>
      <c r="E167" s="13">
        <v>42910.359027777777</v>
      </c>
      <c r="F167" s="13">
        <v>42910.360069444447</v>
      </c>
      <c r="G167" s="7">
        <v>0</v>
      </c>
      <c r="H167" s="21" t="s">
        <v>905</v>
      </c>
      <c r="I167" s="13">
        <v>42910.372152777774</v>
      </c>
      <c r="J167" s="7">
        <v>0</v>
      </c>
      <c r="K167" s="89" t="str">
        <f t="shared" si="60"/>
        <v>4025/4026</v>
      </c>
      <c r="L167" s="21" t="str">
        <f>VLOOKUP(A167,'Trips&amp;Operators'!$C$1:$G$99999,5,FALSE)</f>
        <v>MACDONALD THOMAS</v>
      </c>
      <c r="M167" s="6">
        <f t="shared" si="61"/>
        <v>1.208333332760958E-2</v>
      </c>
      <c r="N167" s="7">
        <f t="shared" si="55"/>
        <v>17.399999991757795</v>
      </c>
      <c r="O167" s="7"/>
      <c r="P167" s="7"/>
      <c r="Q167" s="22"/>
      <c r="R167" s="170"/>
      <c r="S167" s="213">
        <f t="shared" si="74"/>
        <v>1</v>
      </c>
      <c r="T167" s="195" t="str">
        <f t="shared" si="62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3"/>
        <v>https://d0f6bd738d7f1b3e5a7ca70fe4ff75f0.us-east-1.aws.found.io/app/kibana#/discover/Steve-Slow-Train-Analysis-(2080s-and-2083s)?_g=(refreshInterval:(display:Off,pause:!f,section:0,value:0),time:(from:'2017-06-24T07:37:00-0600',mode:absolute,to:'2017-06-24T09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7" s="197" t="str">
        <f>IF(AA167&lt;VLOOKUP(AG167,Variables!$AC$3:$AD$8,2,FALSE),"Y","N")</f>
        <v>N</v>
      </c>
      <c r="X167" s="197">
        <f t="shared" si="73"/>
        <v>1</v>
      </c>
      <c r="Y167" s="197">
        <f t="shared" si="75"/>
        <v>5.8605999999999998</v>
      </c>
      <c r="Z167" s="197">
        <f t="shared" si="76"/>
        <v>7.6600000000000001E-2</v>
      </c>
      <c r="AA167" s="197">
        <f t="shared" si="64"/>
        <v>5.7839999999999998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5"/>
        <v>1806</v>
      </c>
      <c r="AE167" s="77" t="str">
        <f t="shared" si="66"/>
        <v>aws s3 cp s3://rtdc.mdm.uploadarchive.raw/RTDC4025/ "%USERPROFILE%\AppData\Local\Temp\OnboardLogs"\RTDC4025\2017-06-24 --exclude "*" --recursive --include "*20170624*" &amp; "%USERPROFILE%\Documents\GitHub\mrs-test-scripts\Headless Mode &amp; Sideloading\WalkAndUnGZ.bat" "%USERPROFILE%\AppData\Local\Temp\OnboardLogs"\RTDC4025\2017-06-24 &amp; 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</v>
      </c>
      <c r="AF167" s="74" t="str">
        <f t="shared" si="67"/>
        <v>"C:\Program Files (x86)\AstroGrep\AstroGrep.exe" /e /r /s /spath="%USERPROFILE%\AppData\Local\Temp\OnboardLogs" /stypes="app*4025*20170624*" /stext=" 14:.+((SYSTEM_STATE.+slice.+state.+changed )|(ment ac)|(multiple cpu faults)|(system.+state.+changed )|(\[timeout)|(PRM\|1\|D)|(kpr)|(kdp)|(train st.+moving)|(\|lc)|(penalty))"</v>
      </c>
      <c r="AG167" s="209" t="str">
        <f t="shared" si="68"/>
        <v>NW</v>
      </c>
      <c r="AH167" s="78" t="str">
        <f t="shared" si="69"/>
        <v>"%USERPROFILE%\Documents\GitHub\eaglep3\Utilities\RefineRTDCRunTimes.py" --tripid 1806-24 --locoid 4025 --swversion DE.1.0.9.0 --startMP 300:58606 --initTime 2017-06-24T08:37:00 --startdatetime 2017-06-24T08:38:30 --delay 0 --endMP 204:766 --enddatetime 2017-06-24T08:55:54 --enforcementcount 0 &gt;&gt;C:\Users\stu\Documents\GitHub\eaglep3-reporting\EC\2017-06-24-refined-times.txt</v>
      </c>
      <c r="AI167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{"issue":{"subject":"","project_id":79,"tracker_id":40,"status_id":1,"priority_id":2,"assigned_to_id":23,"start_date":"2017-06-24","description":"","custom_fields":[{"id":1,"name":"Subdivision","value":"NW"},{"id":4,"name":"Milepost","value":"0.0766"},{"id":17,"name":"Train ID","value":"1806-24"},{"id":16,"name":"Locomotive ID","value":"4025"},{"id":130,"name":"Impact","value":""},{"id":150,"name":"Time of Event (Mountain Time)","value":"08:55:54"},{"id":151,"name":"Denver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1"/>
        <v>start /low /b %USERPROFILE%\Documents\GitHub\eaglep3\Utilities\DownloadLogsFromS3.py --loco 4025 --day 2017-06-24</v>
      </c>
      <c r="AN167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14:55:54"},{"id":29,"name":"Sharepoint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731</v>
      </c>
      <c r="B168" s="7">
        <v>4026</v>
      </c>
      <c r="C168" s="21" t="s">
        <v>202</v>
      </c>
      <c r="D168" s="21" t="s">
        <v>906</v>
      </c>
      <c r="E168" s="13">
        <v>42910.37296296296</v>
      </c>
      <c r="F168" s="13">
        <v>42910.389930555553</v>
      </c>
      <c r="G168" s="7">
        <v>1</v>
      </c>
      <c r="H168" s="21" t="s">
        <v>547</v>
      </c>
      <c r="I168" s="13">
        <v>42910.399409722224</v>
      </c>
      <c r="J168" s="7">
        <v>0</v>
      </c>
      <c r="K168" s="89" t="str">
        <f t="shared" si="60"/>
        <v>4025/4026</v>
      </c>
      <c r="L168" s="21" t="str">
        <f>VLOOKUP(A168,'Trips&amp;Operators'!$C$1:$G$99999,5,FALSE)</f>
        <v>MACDONALD THOMAS</v>
      </c>
      <c r="M168" s="6">
        <f t="shared" si="61"/>
        <v>9.4791666706441902E-3</v>
      </c>
      <c r="N168" s="7">
        <f t="shared" si="55"/>
        <v>13.650000005727634</v>
      </c>
      <c r="O168" s="7"/>
      <c r="P168" s="7"/>
      <c r="Q168" s="22"/>
      <c r="R168" s="170"/>
      <c r="S168" s="213">
        <f t="shared" si="74"/>
        <v>1</v>
      </c>
      <c r="T168" s="195" t="str">
        <f t="shared" si="62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3"/>
        <v>https://d0f6bd738d7f1b3e5a7ca70fe4ff75f0.us-east-1.aws.found.io/app/kibana#/discover/Steve-Slow-Train-Analysis-(2080s-and-2083s)?_g=(refreshInterval:(display:Off,pause:!f,section:0,value:0),time:(from:'2017-06-24T07:57:04-0600',mode:absolute,to:'2017-06-24T10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8" s="197" t="str">
        <f>IF(AA168&lt;VLOOKUP(AG168,Variables!$AC$3:$AD$8,2,FALSE),"Y","N")</f>
        <v>N</v>
      </c>
      <c r="X168" s="197">
        <f t="shared" si="73"/>
        <v>1</v>
      </c>
      <c r="Y168" s="197">
        <f t="shared" si="75"/>
        <v>0.1037</v>
      </c>
      <c r="Z168" s="197">
        <f t="shared" si="76"/>
        <v>5.8948</v>
      </c>
      <c r="AA168" s="197">
        <f t="shared" si="64"/>
        <v>5.7911000000000001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5"/>
        <v>1807</v>
      </c>
      <c r="AE168" s="77" t="str">
        <f t="shared" si="66"/>
        <v>aws s3 cp s3://rtdc.mdm.uploadarchive.raw/RTDC4026/ "%USERPROFILE%\AppData\Local\Temp\OnboardLogs"\RTDC4026\2017-06-24 --exclude "*" --recursive --include "*20170624*" &amp; "%USERPROFILE%\Documents\GitHub\mrs-test-scripts\Headless Mode &amp; Sideloading\WalkAndUnGZ.bat" "%USERPROFILE%\AppData\Local\Temp\OnboardLogs"\RTDC4026\2017-06-24 &amp; 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</v>
      </c>
      <c r="AF168" s="74" t="str">
        <f t="shared" si="67"/>
        <v>"C:\Program Files (x86)\AstroGrep\AstroGrep.exe" /e /r /s /spath="%USERPROFILE%\AppData\Local\Temp\OnboardLogs" /stypes="app*4026*20170624*" /stext=" 15:.+((SYSTEM_STATE.+slice.+state.+changed )|(ment ac)|(multiple cpu faults)|(system.+state.+changed )|(\[timeout)|(PRM\|1\|D)|(kpr)|(kdp)|(train st.+moving)|(\|lc)|(penalty))"</v>
      </c>
      <c r="AG168" s="209" t="str">
        <f t="shared" si="68"/>
        <v>NW</v>
      </c>
      <c r="AH168" s="78" t="str">
        <f t="shared" si="69"/>
        <v>"%USERPROFILE%\Documents\GitHub\eaglep3\Utilities\RefineRTDCRunTimes.py" --tripid 1807-24 --locoid 4026 --swversion DE.1.0.9.0 --startMP 204:1037 --initTime 2017-06-24T08:57:04 --startdatetime 2017-06-24T09:21:30 --delay 1 --endMP 300:58948 --enddatetime 2017-06-24T09:35:09 --enforcementcount 0 &gt;&gt;C:\Users\stu\Documents\GitHub\eaglep3-reporting\EC\2017-06-24-refined-times.txt</v>
      </c>
      <c r="AI168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{"issue":{"subject":"","project_id":79,"tracker_id":40,"status_id":1,"priority_id":2,"assigned_to_id":23,"start_date":"2017-06-24","description":"","custom_fields":[{"id":1,"name":"Subdivision","value":"NW"},{"id":4,"name":"Milepost","value":"5.8948"},{"id":17,"name":"Train ID","value":"1807-24"},{"id":16,"name":"Locomotive ID","value":"4026"},{"id":130,"name":"Impact","value":""},{"id":150,"name":"Time of Event (Mountain Time)","value":"09:35:09"},{"id":151,"name":"Denver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1"/>
        <v>start /low /b %USERPROFILE%\Documents\GitHub\eaglep3\Utilities\DownloadLogsFromS3.py --loco 4026 --day 2017-06-24</v>
      </c>
      <c r="AN168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15:35:09"},{"id":29,"name":"Sharepoint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639</v>
      </c>
      <c r="B169" s="7">
        <v>4025</v>
      </c>
      <c r="C169" s="21" t="s">
        <v>202</v>
      </c>
      <c r="D169" s="21" t="s">
        <v>546</v>
      </c>
      <c r="E169" s="13">
        <v>42910.400219907409</v>
      </c>
      <c r="F169" s="13">
        <v>42910.401412037034</v>
      </c>
      <c r="G169" s="7">
        <v>1</v>
      </c>
      <c r="H169" s="21" t="s">
        <v>907</v>
      </c>
      <c r="I169" s="13">
        <v>42910.413495370369</v>
      </c>
      <c r="J169" s="7">
        <v>0</v>
      </c>
      <c r="K169" s="89" t="str">
        <f t="shared" si="60"/>
        <v>4025/4026</v>
      </c>
      <c r="L169" s="21" t="str">
        <f>VLOOKUP(A169,'Trips&amp;Operators'!$C$1:$G$99999,5,FALSE)</f>
        <v>MACDONALD THOMAS</v>
      </c>
      <c r="M169" s="6">
        <f t="shared" si="61"/>
        <v>1.2083333334885538E-2</v>
      </c>
      <c r="N169" s="7">
        <f t="shared" si="55"/>
        <v>17.400000002235174</v>
      </c>
      <c r="O169" s="7"/>
      <c r="P169" s="7"/>
      <c r="Q169" s="22"/>
      <c r="R169" s="170"/>
      <c r="S169" s="213">
        <f t="shared" si="74"/>
        <v>1</v>
      </c>
      <c r="T169" s="195" t="str">
        <f t="shared" si="62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3"/>
        <v>https://d0f6bd738d7f1b3e5a7ca70fe4ff75f0.us-east-1.aws.found.io/app/kibana#/discover/Steve-Slow-Train-Analysis-(2080s-and-2083s)?_g=(refreshInterval:(display:Off,pause:!f,section:0,value:0),time:(from:'2017-06-24T08:36:19-0600',mode:absolute,to:'2017-06-24T10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9" s="197" t="str">
        <f>IF(AA169&lt;VLOOKUP(AG169,Variables!$AC$3:$AD$8,2,FALSE),"Y","N")</f>
        <v>N</v>
      </c>
      <c r="X169" s="197">
        <f t="shared" si="73"/>
        <v>1</v>
      </c>
      <c r="Y169" s="197">
        <f t="shared" si="75"/>
        <v>5.8634000000000004</v>
      </c>
      <c r="Z169" s="197">
        <f t="shared" si="76"/>
        <v>7.5499999999999998E-2</v>
      </c>
      <c r="AA169" s="197">
        <f t="shared" si="64"/>
        <v>5.7879000000000005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5"/>
        <v>1808</v>
      </c>
      <c r="AE169" s="77" t="str">
        <f t="shared" si="66"/>
        <v>aws s3 cp s3://rtdc.mdm.uploadarchive.raw/RTDC4025/ "%USERPROFILE%\AppData\Local\Temp\OnboardLogs"\RTDC4025\2017-06-24 --exclude "*" --recursive --include "*20170624*" &amp; "%USERPROFILE%\Documents\GitHub\mrs-test-scripts\Headless Mode &amp; Sideloading\WalkAndUnGZ.bat" "%USERPROFILE%\AppData\Local\Temp\OnboardLogs"\RTDC4025\2017-06-24 &amp; 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</v>
      </c>
      <c r="AF169" s="74" t="str">
        <f t="shared" si="67"/>
        <v>"C:\Program Files (x86)\AstroGrep\AstroGrep.exe" /e /r /s /spath="%USERPROFILE%\AppData\Local\Temp\OnboardLogs" /stypes="app*4025*20170624*" /stext=" 15:.+((SYSTEM_STATE.+slice.+state.+changed )|(ment ac)|(multiple cpu faults)|(system.+state.+changed )|(\[timeout)|(PRM\|1\|D)|(kpr)|(kdp)|(train st.+moving)|(\|lc)|(penalty))"</v>
      </c>
      <c r="AG169" s="209" t="str">
        <f t="shared" si="68"/>
        <v>NW</v>
      </c>
      <c r="AH169" s="78" t="str">
        <f t="shared" si="69"/>
        <v>"%USERPROFILE%\Documents\GitHub\eaglep3\Utilities\RefineRTDCRunTimes.py" --tripid 1808-24 --locoid 4025 --swversion DE.1.0.9.0 --startMP 300:58634 --initTime 2017-06-24T09:36:19 --startdatetime 2017-06-24T09:38:02 --delay 1 --endMP 204:755 --enddatetime 2017-06-24T09:55:26 --enforcementcount 0 &gt;&gt;C:\Users\stu\Documents\GitHub\eaglep3-reporting\EC\2017-06-24-refined-times.txt</v>
      </c>
      <c r="AI169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{"issue":{"subject":"","project_id":79,"tracker_id":40,"status_id":1,"priority_id":2,"assigned_to_id":23,"start_date":"2017-06-24","description":"","custom_fields":[{"id":1,"name":"Subdivision","value":"NW"},{"id":4,"name":"Milepost","value":"0.0755"},{"id":17,"name":"Train ID","value":"1808-24"},{"id":16,"name":"Locomotive ID","value":"4025"},{"id":130,"name":"Impact","value":""},{"id":150,"name":"Time of Event (Mountain Time)","value":"09:55:26"},{"id":151,"name":"Denver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1"/>
        <v>start /low /b %USERPROFILE%\Documents\GitHub\eaglep3\Utilities\DownloadLogsFromS3.py --loco 4025 --day 2017-06-24</v>
      </c>
      <c r="AN169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15:55:26"},{"id":29,"name":"Sharepoint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740</v>
      </c>
      <c r="B170" s="7">
        <v>4026</v>
      </c>
      <c r="C170" s="21" t="s">
        <v>202</v>
      </c>
      <c r="D170" s="21" t="s">
        <v>908</v>
      </c>
      <c r="E170" s="13">
        <v>42910.41511574074</v>
      </c>
      <c r="F170" s="13">
        <v>42910.431747685187</v>
      </c>
      <c r="G170" s="7">
        <v>1</v>
      </c>
      <c r="H170" s="21" t="s">
        <v>622</v>
      </c>
      <c r="I170" s="13">
        <v>42910.441562499997</v>
      </c>
      <c r="J170" s="7">
        <v>0</v>
      </c>
      <c r="K170" s="89" t="str">
        <f t="shared" si="60"/>
        <v>4025/4026</v>
      </c>
      <c r="L170" s="21" t="str">
        <f>VLOOKUP(A170,'Trips&amp;Operators'!$C$1:$G$99999,5,FALSE)</f>
        <v>MACDONALD THOMAS</v>
      </c>
      <c r="M170" s="6">
        <f t="shared" si="61"/>
        <v>9.814814809942618E-3</v>
      </c>
      <c r="N170" s="7">
        <f t="shared" si="55"/>
        <v>14.13333332631737</v>
      </c>
      <c r="O170" s="7"/>
      <c r="P170" s="7"/>
      <c r="Q170" s="22"/>
      <c r="R170" s="170"/>
      <c r="S170" s="213">
        <f t="shared" si="74"/>
        <v>1</v>
      </c>
      <c r="T170" s="195" t="str">
        <f t="shared" si="62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3"/>
        <v>https://d0f6bd738d7f1b3e5a7ca70fe4ff75f0.us-east-1.aws.found.io/app/kibana#/discover/Steve-Slow-Train-Analysis-(2080s-and-2083s)?_g=(refreshInterval:(display:Off,pause:!f,section:0,value:0),time:(from:'2017-06-24T08:57:46-0600',mode:absolute,to:'2017-06-24T11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0" s="197" t="str">
        <f>IF(AA170&lt;VLOOKUP(AG170,Variables!$AC$3:$AD$8,2,FALSE),"Y","N")</f>
        <v>N</v>
      </c>
      <c r="X170" s="197">
        <f t="shared" si="73"/>
        <v>1</v>
      </c>
      <c r="Y170" s="197">
        <f t="shared" si="75"/>
        <v>0.1042</v>
      </c>
      <c r="Z170" s="197">
        <f t="shared" si="76"/>
        <v>5.8917999999999999</v>
      </c>
      <c r="AA170" s="197">
        <f t="shared" si="64"/>
        <v>5.7876000000000003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5"/>
        <v>1809</v>
      </c>
      <c r="AE170" s="77" t="str">
        <f t="shared" si="66"/>
        <v>aws s3 cp s3://rtdc.mdm.uploadarchive.raw/RTDC4026/ "%USERPROFILE%\AppData\Local\Temp\OnboardLogs"\RTDC4026\2017-06-24 --exclude "*" --recursive --include "*20170624*" &amp; "%USERPROFILE%\Documents\GitHub\mrs-test-scripts\Headless Mode &amp; Sideloading\WalkAndUnGZ.bat" "%USERPROFILE%\AppData\Local\Temp\OnboardLogs"\RTDC4026\2017-06-24 &amp; 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</v>
      </c>
      <c r="AF170" s="74" t="str">
        <f t="shared" si="67"/>
        <v>"C:\Program Files (x86)\AstroGrep\AstroGrep.exe" /e /r /s /spath="%USERPROFILE%\AppData\Local\Temp\OnboardLogs" /stypes="app*4026*20170624*" /stext=" 16:.+((SYSTEM_STATE.+slice.+state.+changed )|(ment ac)|(multiple cpu faults)|(system.+state.+changed )|(\[timeout)|(PRM\|1\|D)|(kpr)|(kdp)|(train st.+moving)|(\|lc)|(penalty))"</v>
      </c>
      <c r="AG170" s="209" t="str">
        <f t="shared" si="68"/>
        <v>NW</v>
      </c>
      <c r="AH170" s="78" t="str">
        <f t="shared" si="69"/>
        <v>"%USERPROFILE%\Documents\GitHub\eaglep3\Utilities\RefineRTDCRunTimes.py" --tripid 1809-24 --locoid 4026 --swversion DE.1.0.9.0 --startMP 204:1042 --initTime 2017-06-24T09:57:46 --startdatetime 2017-06-24T10:21:43 --delay 1 --endMP 300:58918 --enddatetime 2017-06-24T10:35:51 --enforcementcount 0 &gt;&gt;C:\Users\stu\Documents\GitHub\eaglep3-reporting\EC\2017-06-24-refined-times.txt</v>
      </c>
      <c r="AI170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{"issue":{"subject":"","project_id":79,"tracker_id":40,"status_id":1,"priority_id":2,"assigned_to_id":23,"start_date":"2017-06-24","description":"","custom_fields":[{"id":1,"name":"Subdivision","value":"NW"},{"id":4,"name":"Milepost","value":"5.8918"},{"id":17,"name":"Train ID","value":"1809-24"},{"id":16,"name":"Locomotive ID","value":"4026"},{"id":130,"name":"Impact","value":""},{"id":150,"name":"Time of Event (Mountain Time)","value":"10:35:51"},{"id":151,"name":"Denver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1"/>
        <v>start /low /b %USERPROFILE%\Documents\GitHub\eaglep3\Utilities\DownloadLogsFromS3.py --loco 4026 --day 2017-06-24</v>
      </c>
      <c r="AN170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16:35:51"},{"id":29,"name":"Sharepoint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744</v>
      </c>
      <c r="B171" s="7">
        <v>4025</v>
      </c>
      <c r="C171" s="21" t="s">
        <v>202</v>
      </c>
      <c r="D171" s="21" t="s">
        <v>909</v>
      </c>
      <c r="E171" s="13">
        <v>42910.442349537036</v>
      </c>
      <c r="F171" s="13">
        <v>42910.443541666667</v>
      </c>
      <c r="G171" s="7">
        <v>1</v>
      </c>
      <c r="H171" s="21" t="s">
        <v>910</v>
      </c>
      <c r="I171" s="13">
        <v>42910.455000000002</v>
      </c>
      <c r="J171" s="7">
        <v>0</v>
      </c>
      <c r="K171" s="89" t="str">
        <f t="shared" si="60"/>
        <v>4025/4026</v>
      </c>
      <c r="L171" s="21" t="str">
        <f>VLOOKUP(A171,'Trips&amp;Operators'!$C$1:$G$99999,5,FALSE)</f>
        <v>MACDONALD THOMAS</v>
      </c>
      <c r="M171" s="6">
        <f t="shared" si="61"/>
        <v>1.1458333334303461E-2</v>
      </c>
      <c r="N171" s="7">
        <f t="shared" si="55"/>
        <v>16.500000001396984</v>
      </c>
      <c r="O171" s="7"/>
      <c r="P171" s="7"/>
      <c r="Q171" s="22"/>
      <c r="R171" s="170"/>
      <c r="S171" s="213">
        <f t="shared" si="74"/>
        <v>1</v>
      </c>
      <c r="T171" s="195" t="str">
        <f t="shared" si="62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3"/>
        <v>https://d0f6bd738d7f1b3e5a7ca70fe4ff75f0.us-east-1.aws.found.io/app/kibana#/discover/Steve-Slow-Train-Analysis-(2080s-and-2083s)?_g=(refreshInterval:(display:Off,pause:!f,section:0,value:0),time:(from:'2017-06-24T09:36:59-0600',mode:absolute,to:'2017-06-24T11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1" s="197" t="str">
        <f>IF(AA171&lt;VLOOKUP(AG171,Variables!$AC$3:$AD$8,2,FALSE),"Y","N")</f>
        <v>N</v>
      </c>
      <c r="X171" s="197">
        <f t="shared" ref="X171:X202" si="77">VALUE(LEFT(AD171,4))-VALUE(LEFT(AD170,4))</f>
        <v>1</v>
      </c>
      <c r="Y171" s="197">
        <f t="shared" si="75"/>
        <v>5.86</v>
      </c>
      <c r="Z171" s="197">
        <f t="shared" si="76"/>
        <v>7.4999999999999997E-2</v>
      </c>
      <c r="AA171" s="197">
        <f t="shared" si="64"/>
        <v>5.7850000000000001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5"/>
        <v>1810</v>
      </c>
      <c r="AE171" s="77" t="str">
        <f t="shared" si="66"/>
        <v>aws s3 cp s3://rtdc.mdm.uploadarchive.raw/RTDC4025/ "%USERPROFILE%\AppData\Local\Temp\OnboardLogs"\RTDC4025\2017-06-24 --exclude "*" --recursive --include "*20170624*" &amp; "%USERPROFILE%\Documents\GitHub\mrs-test-scripts\Headless Mode &amp; Sideloading\WalkAndUnGZ.bat" "%USERPROFILE%\AppData\Local\Temp\OnboardLogs"\RTDC4025\2017-06-24 &amp; 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</v>
      </c>
      <c r="AF171" s="74" t="str">
        <f t="shared" si="67"/>
        <v>"C:\Program Files (x86)\AstroGrep\AstroGrep.exe" /e /r /s /spath="%USERPROFILE%\AppData\Local\Temp\OnboardLogs" /stypes="app*4025*20170624*" /stext=" 16:.+((SYSTEM_STATE.+slice.+state.+changed )|(ment ac)|(multiple cpu faults)|(system.+state.+changed )|(\[timeout)|(PRM\|1\|D)|(kpr)|(kdp)|(train st.+moving)|(\|lc)|(penalty))"</v>
      </c>
      <c r="AG171" s="209" t="str">
        <f t="shared" si="68"/>
        <v>NW</v>
      </c>
      <c r="AH171" s="78" t="str">
        <f t="shared" si="69"/>
        <v>"%USERPROFILE%\Documents\GitHub\eaglep3\Utilities\RefineRTDCRunTimes.py" --tripid 1810-24 --locoid 4025 --swversion DE.1.0.9.0 --startMP 300:58600 --initTime 2017-06-24T10:36:59 --startdatetime 2017-06-24T10:38:42 --delay 1 --endMP 204:750 --enddatetime 2017-06-24T10:55:12 --enforcementcount 0 &gt;&gt;C:\Users\stu\Documents\GitHub\eaglep3-reporting\EC\2017-06-24-refined-times.txt</v>
      </c>
      <c r="AI171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{"issue":{"subject":"","project_id":79,"tracker_id":40,"status_id":1,"priority_id":2,"assigned_to_id":23,"start_date":"2017-06-24","description":"","custom_fields":[{"id":1,"name":"Subdivision","value":"NW"},{"id":4,"name":"Milepost","value":"0.075"},{"id":17,"name":"Train ID","value":"1810-24"},{"id":16,"name":"Locomotive ID","value":"4025"},{"id":130,"name":"Impact","value":""},{"id":150,"name":"Time of Event (Mountain Time)","value":"10:55:12"},{"id":151,"name":"Denver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1"/>
        <v>start /low /b %USERPROFILE%\Documents\GitHub\eaglep3\Utilities\DownloadLogsFromS3.py --loco 4025 --day 2017-06-24</v>
      </c>
      <c r="AN171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16:55:12"},{"id":29,"name":"Sharepoint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641</v>
      </c>
      <c r="B172" s="7">
        <v>4026</v>
      </c>
      <c r="C172" s="21" t="s">
        <v>202</v>
      </c>
      <c r="D172" s="21" t="s">
        <v>911</v>
      </c>
      <c r="E172" s="13">
        <v>42910.455752314818</v>
      </c>
      <c r="F172" s="13">
        <v>42910.47314814815</v>
      </c>
      <c r="G172" s="7">
        <v>0</v>
      </c>
      <c r="H172" s="21" t="s">
        <v>622</v>
      </c>
      <c r="I172" s="13">
        <v>42910.482395833336</v>
      </c>
      <c r="J172" s="7">
        <v>0</v>
      </c>
      <c r="K172" s="89" t="str">
        <f t="shared" si="60"/>
        <v>4025/4026</v>
      </c>
      <c r="L172" s="21" t="str">
        <f>VLOOKUP(A172,'Trips&amp;Operators'!$C$1:$G$99999,5,FALSE)</f>
        <v>MACDONALD THOMAS</v>
      </c>
      <c r="M172" s="6">
        <f t="shared" si="61"/>
        <v>9.2476851859828457E-3</v>
      </c>
      <c r="N172" s="7">
        <f t="shared" si="55"/>
        <v>13.316666667815298</v>
      </c>
      <c r="O172" s="7"/>
      <c r="P172" s="7"/>
      <c r="Q172" s="22"/>
      <c r="R172" s="170"/>
      <c r="S172" s="213">
        <f t="shared" si="74"/>
        <v>1</v>
      </c>
      <c r="T172" s="195" t="str">
        <f t="shared" si="62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3"/>
        <v>https://d0f6bd738d7f1b3e5a7ca70fe4ff75f0.us-east-1.aws.found.io/app/kibana#/discover/Steve-Slow-Train-Analysis-(2080s-and-2083s)?_g=(refreshInterval:(display:Off,pause:!f,section:0,value:0),time:(from:'2017-06-24T09:56:17-0600',mode:absolute,to:'2017-06-24T12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2" s="197" t="str">
        <f>IF(AA172&lt;VLOOKUP(AG172,Variables!$AC$3:$AD$8,2,FALSE),"Y","N")</f>
        <v>N</v>
      </c>
      <c r="X172" s="197">
        <f t="shared" si="77"/>
        <v>1</v>
      </c>
      <c r="Y172" s="197">
        <f t="shared" si="75"/>
        <v>0.10349999999999999</v>
      </c>
      <c r="Z172" s="197">
        <f t="shared" si="76"/>
        <v>5.8917999999999999</v>
      </c>
      <c r="AA172" s="197">
        <f t="shared" si="64"/>
        <v>5.7882999999999996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5"/>
        <v>1811</v>
      </c>
      <c r="AE172" s="77" t="str">
        <f t="shared" si="66"/>
        <v>aws s3 cp s3://rtdc.mdm.uploadarchive.raw/RTDC4026/ "%USERPROFILE%\AppData\Local\Temp\OnboardLogs"\RTDC4026\2017-06-24 --exclude "*" --recursive --include "*20170624*" &amp; "%USERPROFILE%\Documents\GitHub\mrs-test-scripts\Headless Mode &amp; Sideloading\WalkAndUnGZ.bat" "%USERPROFILE%\AppData\Local\Temp\OnboardLogs"\RTDC4026\2017-06-24 &amp; 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</v>
      </c>
      <c r="AF172" s="74" t="str">
        <f t="shared" si="67"/>
        <v>"C:\Program Files (x86)\AstroGrep\AstroGrep.exe" /e /r /s /spath="%USERPROFILE%\AppData\Local\Temp\OnboardLogs" /stypes="app*4026*20170624*" /stext=" 17:.+((SYSTEM_STATE.+slice.+state.+changed )|(ment ac)|(multiple cpu faults)|(system.+state.+changed )|(\[timeout)|(PRM\|1\|D)|(kpr)|(kdp)|(train st.+moving)|(\|lc)|(penalty))"</v>
      </c>
      <c r="AG172" s="209" t="str">
        <f t="shared" si="68"/>
        <v>NW</v>
      </c>
      <c r="AH172" s="78" t="str">
        <f t="shared" si="69"/>
        <v>"%USERPROFILE%\Documents\GitHub\eaglep3\Utilities\RefineRTDCRunTimes.py" --tripid 1811-24 --locoid 4026 --swversion DE.1.0.9.0 --startMP 204:1035 --initTime 2017-06-24T10:56:17 --startdatetime 2017-06-24T11:21:20 --delay 0 --endMP 300:58918 --enddatetime 2017-06-24T11:34:39 --enforcementcount 0 &gt;&gt;C:\Users\stu\Documents\GitHub\eaglep3-reporting\EC\2017-06-24-refined-times.txt</v>
      </c>
      <c r="AI172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{"issue":{"subject":"","project_id":79,"tracker_id":40,"status_id":1,"priority_id":2,"assigned_to_id":23,"start_date":"2017-06-24","description":"","custom_fields":[{"id":1,"name":"Subdivision","value":"NW"},{"id":4,"name":"Milepost","value":"5.8918"},{"id":17,"name":"Train ID","value":"1811-24"},{"id":16,"name":"Locomotive ID","value":"4026"},{"id":130,"name":"Impact","value":""},{"id":150,"name":"Time of Event (Mountain Time)","value":"11:34:39"},{"id":151,"name":"Denver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71"/>
        <v>start /low /b %USERPROFILE%\Documents\GitHub\eaglep3\Utilities\DownloadLogsFromS3.py --loco 4026 --day 2017-06-24</v>
      </c>
      <c r="AN172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17:34:39"},{"id":29,"name":"Sharepoint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756</v>
      </c>
      <c r="B173" s="7">
        <v>4025</v>
      </c>
      <c r="C173" s="21" t="s">
        <v>202</v>
      </c>
      <c r="D173" s="21" t="s">
        <v>909</v>
      </c>
      <c r="E173" s="13">
        <v>42910.483055555553</v>
      </c>
      <c r="F173" s="13">
        <v>42910.4840625</v>
      </c>
      <c r="G173" s="7">
        <v>0</v>
      </c>
      <c r="H173" s="21" t="s">
        <v>912</v>
      </c>
      <c r="I173" s="13">
        <v>42910.496770833335</v>
      </c>
      <c r="J173" s="7">
        <v>0</v>
      </c>
      <c r="K173" s="89" t="str">
        <f t="shared" si="60"/>
        <v>4025/4026</v>
      </c>
      <c r="L173" s="21" t="str">
        <f>VLOOKUP(A173,'Trips&amp;Operators'!$C$1:$G$99999,5,FALSE)</f>
        <v>MACDONALD THOMAS</v>
      </c>
      <c r="M173" s="6">
        <f t="shared" si="61"/>
        <v>1.2708333335467614E-2</v>
      </c>
      <c r="N173" s="7">
        <f t="shared" si="55"/>
        <v>18.300000003073364</v>
      </c>
      <c r="O173" s="7"/>
      <c r="P173" s="7"/>
      <c r="Q173" s="22"/>
      <c r="R173" s="170"/>
      <c r="S173" s="213">
        <f t="shared" si="74"/>
        <v>1</v>
      </c>
      <c r="T173" s="195" t="str">
        <f t="shared" si="62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63"/>
        <v>https://d0f6bd738d7f1b3e5a7ca70fe4ff75f0.us-east-1.aws.found.io/app/kibana#/discover/Steve-Slow-Train-Analysis-(2080s-and-2083s)?_g=(refreshInterval:(display:Off,pause:!f,section:0,value:0),time:(from:'2017-06-24T10:35:36-0600',mode:absolute,to:'2017-06-24T12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3" s="197" t="str">
        <f>IF(AA173&lt;VLOOKUP(AG173,Variables!$AC$3:$AD$8,2,FALSE),"Y","N")</f>
        <v>N</v>
      </c>
      <c r="X173" s="197">
        <f t="shared" si="77"/>
        <v>1</v>
      </c>
      <c r="Y173" s="197">
        <f t="shared" si="75"/>
        <v>5.86</v>
      </c>
      <c r="Z173" s="197">
        <f t="shared" si="76"/>
        <v>7.0300000000000001E-2</v>
      </c>
      <c r="AA173" s="197">
        <f t="shared" si="64"/>
        <v>5.7897000000000007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5"/>
        <v>1812</v>
      </c>
      <c r="AE173" s="77" t="str">
        <f t="shared" si="66"/>
        <v>aws s3 cp s3://rtdc.mdm.uploadarchive.raw/RTDC4025/ "%USERPROFILE%\AppData\Local\Temp\OnboardLogs"\RTDC4025\2017-06-24 --exclude "*" --recursive --include "*20170624*" &amp; "%USERPROFILE%\Documents\GitHub\mrs-test-scripts\Headless Mode &amp; Sideloading\WalkAndUnGZ.bat" "%USERPROFILE%\AppData\Local\Temp\OnboardLogs"\RTDC4025\2017-06-24 &amp; 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</v>
      </c>
      <c r="AF173" s="74" t="str">
        <f t="shared" si="67"/>
        <v>"C:\Program Files (x86)\AstroGrep\AstroGrep.exe" /e /r /s /spath="%USERPROFILE%\AppData\Local\Temp\OnboardLogs" /stypes="app*4025*20170624*" /stext=" 17:.+((SYSTEM_STATE.+slice.+state.+changed )|(ment ac)|(multiple cpu faults)|(system.+state.+changed )|(\[timeout)|(PRM\|1\|D)|(kpr)|(kdp)|(train st.+moving)|(\|lc)|(penalty))"</v>
      </c>
      <c r="AG173" s="209" t="str">
        <f t="shared" si="68"/>
        <v>NW</v>
      </c>
      <c r="AH173" s="78" t="str">
        <f t="shared" si="69"/>
        <v>"%USERPROFILE%\Documents\GitHub\eaglep3\Utilities\RefineRTDCRunTimes.py" --tripid 1812-24 --locoid 4025 --swversion DE.1.0.9.0 --startMP 300:58600 --initTime 2017-06-24T11:35:36 --startdatetime 2017-06-24T11:37:03 --delay 0 --endMP 204:703 --enddatetime 2017-06-24T11:55:21 --enforcementcount 0 &gt;&gt;C:\Users\stu\Documents\GitHub\eaglep3-reporting\EC\2017-06-24-refined-times.txt</v>
      </c>
      <c r="AI173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{"issue":{"subject":"","project_id":79,"tracker_id":40,"status_id":1,"priority_id":2,"assigned_to_id":23,"start_date":"2017-06-24","description":"","custom_fields":[{"id":1,"name":"Subdivision","value":"NW"},{"id":4,"name":"Milepost","value":"0.0703"},{"id":17,"name":"Train ID","value":"1812-24"},{"id":16,"name":"Locomotive ID","value":"4025"},{"id":130,"name":"Impact","value":""},{"id":150,"name":"Time of Event (Mountain Time)","value":"11:55:21"},{"id":151,"name":"Denver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71"/>
        <v>start /low /b %USERPROFILE%\Documents\GitHub\eaglep3\Utilities\DownloadLogsFromS3.py --loco 4025 --day 2017-06-24</v>
      </c>
      <c r="AN173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17:55:21"},{"id":29,"name":"Sharepoint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762</v>
      </c>
      <c r="B174" s="7">
        <v>4026</v>
      </c>
      <c r="C174" s="21" t="s">
        <v>202</v>
      </c>
      <c r="D174" s="21" t="s">
        <v>913</v>
      </c>
      <c r="E174" s="13">
        <v>42910.498877314814</v>
      </c>
      <c r="F174" s="13">
        <v>42910.514953703707</v>
      </c>
      <c r="G174" s="7">
        <v>1</v>
      </c>
      <c r="H174" s="21" t="s">
        <v>914</v>
      </c>
      <c r="I174" s="13">
        <v>42910.525057870371</v>
      </c>
      <c r="J174" s="7">
        <v>0</v>
      </c>
      <c r="K174" s="89" t="str">
        <f t="shared" si="60"/>
        <v>4025/4026</v>
      </c>
      <c r="L174" s="21" t="str">
        <f>VLOOKUP(A174,'Trips&amp;Operators'!$C$1:$G$99999,5,FALSE)</f>
        <v>MACDONALD THOMAS</v>
      </c>
      <c r="M174" s="6">
        <f t="shared" si="61"/>
        <v>1.0104166663950309E-2</v>
      </c>
      <c r="N174" s="7">
        <f t="shared" si="55"/>
        <v>14.549999996088445</v>
      </c>
      <c r="O174" s="7"/>
      <c r="P174" s="7"/>
      <c r="Q174" s="22"/>
      <c r="R174" s="170"/>
      <c r="S174" s="213">
        <f t="shared" si="74"/>
        <v>1</v>
      </c>
      <c r="T174" s="195" t="str">
        <f t="shared" si="62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3"/>
        <v>https://d0f6bd738d7f1b3e5a7ca70fe4ff75f0.us-east-1.aws.found.io/app/kibana#/discover/Steve-Slow-Train-Analysis-(2080s-and-2083s)?_g=(refreshInterval:(display:Off,pause:!f,section:0,value:0),time:(from:'2017-06-24T10:58:23-0600',mode:absolute,to:'2017-06-24T13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4" s="197" t="str">
        <f>IF(AA174&lt;VLOOKUP(AG174,Variables!$AC$3:$AD$8,2,FALSE),"Y","N")</f>
        <v>N</v>
      </c>
      <c r="X174" s="197">
        <f t="shared" si="77"/>
        <v>1</v>
      </c>
      <c r="Y174" s="197">
        <f t="shared" si="75"/>
        <v>9.9199999999999997E-2</v>
      </c>
      <c r="Z174" s="197">
        <f t="shared" si="76"/>
        <v>5.8920000000000003</v>
      </c>
      <c r="AA174" s="197">
        <f t="shared" si="64"/>
        <v>5.7928000000000006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5"/>
        <v>1813</v>
      </c>
      <c r="AE174" s="77" t="str">
        <f t="shared" si="66"/>
        <v>aws s3 cp s3://rtdc.mdm.uploadarchive.raw/RTDC4026/ "%USERPROFILE%\AppData\Local\Temp\OnboardLogs"\RTDC4026\2017-06-24 --exclude "*" --recursive --include "*20170624*" &amp; "%USERPROFILE%\Documents\GitHub\mrs-test-scripts\Headless Mode &amp; Sideloading\WalkAndUnGZ.bat" "%USERPROFILE%\AppData\Local\Temp\OnboardLogs"\RTDC4026\2017-06-24 &amp; 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</v>
      </c>
      <c r="AF174" s="74" t="str">
        <f t="shared" si="67"/>
        <v>"C:\Program Files (x86)\AstroGrep\AstroGrep.exe" /e /r /s /spath="%USERPROFILE%\AppData\Local\Temp\OnboardLogs" /stypes="app*4026*20170624*" /stext=" 18:.+((SYSTEM_STATE.+slice.+state.+changed )|(ment ac)|(multiple cpu faults)|(system.+state.+changed )|(\[timeout)|(PRM\|1\|D)|(kpr)|(kdp)|(train st.+moving)|(\|lc)|(penalty))"</v>
      </c>
      <c r="AG174" s="209" t="str">
        <f t="shared" si="68"/>
        <v>NW</v>
      </c>
      <c r="AH174" s="78" t="str">
        <f t="shared" si="69"/>
        <v>"%USERPROFILE%\Documents\GitHub\eaglep3\Utilities\RefineRTDCRunTimes.py" --tripid 1813-24 --locoid 4026 --swversion DE.1.0.9.0 --startMP 204:992 --initTime 2017-06-24T11:58:23 --startdatetime 2017-06-24T12:21:32 --delay 1 --endMP 300:58920 --enddatetime 2017-06-24T12:36:05 --enforcementcount 0 &gt;&gt;C:\Users\stu\Documents\GitHub\eaglep3-reporting\EC\2017-06-24-refined-times.txt</v>
      </c>
      <c r="AI174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{"issue":{"subject":"","project_id":79,"tracker_id":40,"status_id":1,"priority_id":2,"assigned_to_id":23,"start_date":"2017-06-24","description":"","custom_fields":[{"id":1,"name":"Subdivision","value":"NW"},{"id":4,"name":"Milepost","value":"5.892"},{"id":17,"name":"Train ID","value":"1813-24"},{"id":16,"name":"Locomotive ID","value":"4026"},{"id":130,"name":"Impact","value":""},{"id":150,"name":"Time of Event (Mountain Time)","value":"12:36:05"},{"id":151,"name":"Denver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71"/>
        <v>start /low /b %USERPROFILE%\Documents\GitHub\eaglep3\Utilities\DownloadLogsFromS3.py --loco 4026 --day 2017-06-24</v>
      </c>
      <c r="AN174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18:36:05"},{"id":29,"name":"Sharepoint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766</v>
      </c>
      <c r="B175" s="7">
        <v>4025</v>
      </c>
      <c r="C175" s="21" t="s">
        <v>202</v>
      </c>
      <c r="D175" s="21" t="s">
        <v>618</v>
      </c>
      <c r="E175" s="13">
        <v>42910.526006944441</v>
      </c>
      <c r="F175" s="13">
        <v>42910.527141203704</v>
      </c>
      <c r="G175" s="7">
        <v>1</v>
      </c>
      <c r="H175" s="21" t="s">
        <v>915</v>
      </c>
      <c r="I175" s="13">
        <v>42910.536006944443</v>
      </c>
      <c r="J175" s="7">
        <v>0</v>
      </c>
      <c r="K175" s="89" t="str">
        <f t="shared" si="60"/>
        <v>4025/4026</v>
      </c>
      <c r="L175" s="21" t="str">
        <f>VLOOKUP(A175,'Trips&amp;Operators'!$C$1:$G$99999,5,FALSE)</f>
        <v>MACDONALD THOMAS</v>
      </c>
      <c r="M175" s="6">
        <f t="shared" si="61"/>
        <v>8.8657407395658083E-3</v>
      </c>
      <c r="N175" s="7"/>
      <c r="O175" s="7"/>
      <c r="P175" s="7">
        <f>24*60*SUM($M175:$M175)</f>
        <v>12.766666664974764</v>
      </c>
      <c r="Q175" s="22"/>
      <c r="R175" s="170" t="s">
        <v>1001</v>
      </c>
      <c r="S175" s="213">
        <f t="shared" si="74"/>
        <v>0</v>
      </c>
      <c r="T175" s="195" t="str">
        <f t="shared" si="62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0</v>
      </c>
      <c r="V175" s="196" t="str">
        <f t="shared" si="63"/>
        <v>https://d0f6bd738d7f1b3e5a7ca70fe4ff75f0.us-east-1.aws.found.io/app/kibana#/discover/Steve-Slow-Train-Analysis-(2080s-and-2083s)?_g=(refreshInterval:(display:Off,pause:!f,section:0,value:0),time:(from:'2017-06-24T11:37:27-0600',mode:absolute,to:'2017-06-24T13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5" s="197" t="str">
        <f>IF(AA175&lt;VLOOKUP(AG175,Variables!$AC$3:$AD$8,2,FALSE),"Y","N")</f>
        <v>Y</v>
      </c>
      <c r="X175" s="197">
        <f t="shared" si="77"/>
        <v>1</v>
      </c>
      <c r="Y175" s="197">
        <f t="shared" si="75"/>
        <v>5.8608000000000002</v>
      </c>
      <c r="Z175" s="197">
        <f t="shared" si="76"/>
        <v>1.8041</v>
      </c>
      <c r="AA175" s="197">
        <f t="shared" si="64"/>
        <v>4.0567000000000002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5"/>
        <v>1814</v>
      </c>
      <c r="AE175" s="77" t="str">
        <f t="shared" si="66"/>
        <v>aws s3 cp s3://rtdc.mdm.uploadarchive.raw/RTDC4025/ "%USERPROFILE%\AppData\Local\Temp\OnboardLogs"\RTDC4025\2017-06-24 --exclude "*" --recursive --include "*20170624*" &amp; "%USERPROFILE%\Documents\GitHub\mrs-test-scripts\Headless Mode &amp; Sideloading\WalkAndUnGZ.bat" "%USERPROFILE%\AppData\Local\Temp\OnboardLogs"\RTDC4025\2017-06-24 &amp; 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</v>
      </c>
      <c r="AF175" s="74" t="str">
        <f t="shared" si="67"/>
        <v>"C:\Program Files (x86)\AstroGrep\AstroGrep.exe" /e /r /s /spath="%USERPROFILE%\AppData\Local\Temp\OnboardLogs" /stypes="app*4025*20170624*" /stext=" 18:.+((SYSTEM_STATE.+slice.+state.+changed )|(ment ac)|(multiple cpu faults)|(system.+state.+changed )|(\[timeout)|(PRM\|1\|D)|(kpr)|(kdp)|(train st.+moving)|(\|lc)|(penalty))"</v>
      </c>
      <c r="AG175" s="209" t="str">
        <f t="shared" si="68"/>
        <v>NW</v>
      </c>
      <c r="AH175" s="78" t="str">
        <f t="shared" si="69"/>
        <v>"%USERPROFILE%\Documents\GitHub\eaglep3\Utilities\RefineRTDCRunTimes.py" --tripid 1814-24 --locoid 4025 --swversion DE.1.0.9.0 --startMP 300:58608 --initTime 2017-06-24T12:37:27 --startdatetime 2017-06-24T12:39:05 --delay 1 --endMP 300:18041 --enddatetime 2017-06-24T12:51:51 --enforcementcount 0 &gt;&gt;C:\Users\stu\Documents\GitHub\eaglep3-reporting\EC\2017-06-24-refined-times.txt</v>
      </c>
      <c r="AI175" s="96" t="str">
        <f t="shared" si="70"/>
        <v>echo {"issue":{"subject":"Banner without braking","project_id":79,"tracker_id":40,"status_id":1,"priority_id":2,"assigned_to_id":23,"start_date":"2017-06-24","description":"","custom_fields":[{"id":1,"name":"Subdivision","value":"NW"},{"id":4,"name":"Milepost","value":"1.8041"},{"id":17,"name":"Train ID","value":"1814-24"},{"id":16,"name":"Locomotive ID","value":"4025"},{"id":130,"name":"Impact","value":""},{"id":150,"name":"Time of Event (Mountain Time)","value":"12:51:51"},{"id":151,"name":"Denver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71"/>
        <v>start /low /b %USERPROFILE%\Documents\GitHub\eaglep3\Utilities\DownloadLogsFromS3.py --loco 4025 --day 2017-06-24</v>
      </c>
      <c r="AN175" s="151" t="str">
        <f t="shared" si="72"/>
        <v>echo {"issue":{"subject":"Banner without braking","project_id":30,"tracker_id":4,"status_id":1,"priority_id":1,"assigned_to_id":10,"start_date":"2017-06-24","description":"","custom_fields":[{"id":30,"name":"Category","value":"Issue"},{"id":3,"name":"Functional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18:51:51"},{"id":29,"name":"Sharepoint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775</v>
      </c>
      <c r="B176" s="7">
        <v>4018</v>
      </c>
      <c r="C176" s="21" t="s">
        <v>202</v>
      </c>
      <c r="D176" s="21" t="s">
        <v>916</v>
      </c>
      <c r="E176" s="13">
        <v>42910.553530092591</v>
      </c>
      <c r="F176" s="13">
        <v>42910.557071759256</v>
      </c>
      <c r="G176" s="7">
        <v>1</v>
      </c>
      <c r="H176" s="21" t="s">
        <v>545</v>
      </c>
      <c r="I176" s="13">
        <v>42910.566666666666</v>
      </c>
      <c r="J176" s="7">
        <v>0</v>
      </c>
      <c r="K176" s="89" t="str">
        <f t="shared" si="60"/>
        <v>4017/4018</v>
      </c>
      <c r="L176" s="21" t="str">
        <f>VLOOKUP(A176,'Trips&amp;Operators'!$C$1:$G$99999,5,FALSE)</f>
        <v>MACDONALD THOMAS</v>
      </c>
      <c r="M176" s="6">
        <f t="shared" si="61"/>
        <v>9.5949074093368836E-3</v>
      </c>
      <c r="N176" s="7">
        <f t="shared" ref="N176:N181" si="78">24*60*SUM($M176:$M176)</f>
        <v>13.816666669445112</v>
      </c>
      <c r="O176" s="7"/>
      <c r="P176" s="7"/>
      <c r="Q176" s="22"/>
      <c r="R176" s="170"/>
      <c r="S176" s="213">
        <f t="shared" si="74"/>
        <v>1</v>
      </c>
      <c r="T176" s="195" t="str">
        <f t="shared" si="62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3"/>
        <v>https://d0f6bd738d7f1b3e5a7ca70fe4ff75f0.us-east-1.aws.found.io/app/kibana#/discover/Steve-Slow-Train-Analysis-(2080s-and-2083s)?_g=(refreshInterval:(display:Off,pause:!f,section:0,value:0),time:(from:'2017-06-24T12:17:05-0600',mode:absolute,to:'2017-06-24T14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6" s="197" t="str">
        <f>IF(AA176&lt;VLOOKUP(AG176,Variables!$AC$3:$AD$8,2,FALSE),"Y","N")</f>
        <v>N</v>
      </c>
      <c r="X176" s="197">
        <f t="shared" si="77"/>
        <v>1</v>
      </c>
      <c r="Y176" s="197">
        <f t="shared" si="75"/>
        <v>0.1011</v>
      </c>
      <c r="Z176" s="197">
        <f t="shared" si="76"/>
        <v>5.8935000000000004</v>
      </c>
      <c r="AA176" s="197">
        <f t="shared" si="64"/>
        <v>5.7924000000000007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5"/>
        <v>1815</v>
      </c>
      <c r="AE176" s="77" t="str">
        <f t="shared" si="66"/>
        <v>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 &amp; 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</v>
      </c>
      <c r="AF176" s="74" t="str">
        <f t="shared" si="67"/>
        <v>"C:\Program Files (x86)\AstroGrep\AstroGrep.exe" /e /r /s /spath="%USERPROFILE%\AppData\Local\Temp\OnboardLogs" /stypes="app*4018*20170624*" /stext=" 19:.+((SYSTEM_STATE.+slice.+state.+changed )|(ment ac)|(multiple cpu faults)|(system.+state.+changed )|(\[timeout)|(PRM\|1\|D)|(kpr)|(kdp)|(train st.+moving)|(\|lc)|(penalty))"</v>
      </c>
      <c r="AG176" s="209" t="str">
        <f t="shared" si="68"/>
        <v>NW</v>
      </c>
      <c r="AH176" s="78" t="str">
        <f t="shared" si="69"/>
        <v>"%USERPROFILE%\Documents\GitHub\eaglep3\Utilities\RefineRTDCRunTimes.py" --tripid 1815-24 --locoid 4018 --swversion DE.1.0.9.0 --startMP 204:1011 --initTime 2017-06-24T13:17:05 --startdatetime 2017-06-24T13:22:11 --delay 1 --endMP 300:58935 --enddatetime 2017-06-24T13:36:00 --enforcementcount 0 &gt;&gt;C:\Users\stu\Documents\GitHub\eaglep3-reporting\EC\2017-06-24-refined-times.txt</v>
      </c>
      <c r="AI176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{"issue":{"subject":"","project_id":79,"tracker_id":40,"status_id":1,"priority_id":2,"assigned_to_id":23,"start_date":"2017-06-24","description":"","custom_fields":[{"id":1,"name":"Subdivision","value":"NW"},{"id":4,"name":"Milepost","value":"5.8935"},{"id":17,"name":"Train ID","value":"1815-24"},{"id":16,"name":"Locomotive ID","value":"4018"},{"id":130,"name":"Impact","value":""},{"id":150,"name":"Time of Event (Mountain Time)","value":"13:36:00"},{"id":151,"name":"Denver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71"/>
        <v>start /low /b %USERPROFILE%\Documents\GitHub\eaglep3\Utilities\DownloadLogsFromS3.py --loco 4018 --day 2017-06-24</v>
      </c>
      <c r="AN176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19:36:00"},{"id":29,"name":"Sharepoint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778</v>
      </c>
      <c r="B177" s="7">
        <v>4017</v>
      </c>
      <c r="C177" s="21" t="s">
        <v>202</v>
      </c>
      <c r="D177" s="21" t="s">
        <v>917</v>
      </c>
      <c r="E177" s="13">
        <v>42910.567662037036</v>
      </c>
      <c r="F177" s="13">
        <v>42910.569525462961</v>
      </c>
      <c r="G177" s="7">
        <v>2</v>
      </c>
      <c r="H177" s="21" t="s">
        <v>619</v>
      </c>
      <c r="I177" s="13">
        <v>42910.579768518517</v>
      </c>
      <c r="J177" s="7">
        <v>0</v>
      </c>
      <c r="K177" s="89" t="str">
        <f t="shared" si="60"/>
        <v>4017/4018</v>
      </c>
      <c r="L177" s="21" t="str">
        <f>VLOOKUP(A177,'Trips&amp;Operators'!$C$1:$G$99999,5,FALSE)</f>
        <v>MACDONALD THOMAS</v>
      </c>
      <c r="M177" s="6">
        <f t="shared" si="61"/>
        <v>1.0243055556202307E-2</v>
      </c>
      <c r="N177" s="7">
        <f t="shared" si="78"/>
        <v>14.750000000931323</v>
      </c>
      <c r="O177" s="7"/>
      <c r="P177" s="7"/>
      <c r="Q177" s="22"/>
      <c r="R177" s="170"/>
      <c r="S177" s="213">
        <f t="shared" si="74"/>
        <v>1</v>
      </c>
      <c r="T177" s="195" t="str">
        <f t="shared" si="62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3"/>
        <v>https://d0f6bd738d7f1b3e5a7ca70fe4ff75f0.us-east-1.aws.found.io/app/kibana#/discover/Steve-Slow-Train-Analysis-(2080s-and-2083s)?_g=(refreshInterval:(display:Off,pause:!f,section:0,value:0),time:(from:'2017-06-24T12:37:26-0600',mode:absolute,to:'2017-06-24T14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7" s="197" t="str">
        <f>IF(AA177&lt;VLOOKUP(AG177,Variables!$AC$3:$AD$8,2,FALSE),"Y","N")</f>
        <v>N</v>
      </c>
      <c r="X177" s="197">
        <f t="shared" si="77"/>
        <v>1</v>
      </c>
      <c r="Y177" s="197">
        <f t="shared" si="75"/>
        <v>5.8616999999999999</v>
      </c>
      <c r="Z177" s="197">
        <f t="shared" si="76"/>
        <v>7.5899999999999995E-2</v>
      </c>
      <c r="AA177" s="197">
        <f t="shared" si="64"/>
        <v>5.7858000000000001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5"/>
        <v>1816</v>
      </c>
      <c r="AE177" s="77" t="str">
        <f t="shared" si="66"/>
        <v>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 &amp; 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</v>
      </c>
      <c r="AF177" s="74" t="str">
        <f t="shared" si="67"/>
        <v>"C:\Program Files (x86)\AstroGrep\AstroGrep.exe" /e /r /s /spath="%USERPROFILE%\AppData\Local\Temp\OnboardLogs" /stypes="app*4017*20170624*" /stext=" 19:.+((SYSTEM_STATE.+slice.+state.+changed )|(ment ac)|(multiple cpu faults)|(system.+state.+changed )|(\[timeout)|(PRM\|1\|D)|(kpr)|(kdp)|(train st.+moving)|(\|lc)|(penalty))"</v>
      </c>
      <c r="AG177" s="209" t="str">
        <f t="shared" si="68"/>
        <v>NW</v>
      </c>
      <c r="AH177" s="78" t="str">
        <f t="shared" si="69"/>
        <v>"%USERPROFILE%\Documents\GitHub\eaglep3\Utilities\RefineRTDCRunTimes.py" --tripid 1816-24 --locoid 4017 --swversion DE.1.0.9.0 --startMP 300:58617 --initTime 2017-06-24T13:37:26 --startdatetime 2017-06-24T13:40:07 --delay 2 --endMP 204:759 --enddatetime 2017-06-24T13:54:52 --enforcementcount 0 &gt;&gt;C:\Users\stu\Documents\GitHub\eaglep3-reporting\EC\2017-06-24-refined-times.txt</v>
      </c>
      <c r="AI177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{"issue":{"subject":"","project_id":79,"tracker_id":40,"status_id":1,"priority_id":2,"assigned_to_id":23,"start_date":"2017-06-24","description":"","custom_fields":[{"id":1,"name":"Subdivision","value":"NW"},{"id":4,"name":"Milepost","value":"0.0759"},{"id":17,"name":"Train ID","value":"1816-24"},{"id":16,"name":"Locomotive ID","value":"4017"},{"id":130,"name":"Impact","value":""},{"id":150,"name":"Time of Event (Mountain Time)","value":"13:54:52"},{"id":151,"name":"Denver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71"/>
        <v>start /low /b %USERPROFILE%\Documents\GitHub\eaglep3\Utilities\DownloadLogsFromS3.py --loco 4017 --day 2017-06-24</v>
      </c>
      <c r="AN177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19:54:52"},{"id":29,"name":"Sharepoint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s="20" customFormat="1" x14ac:dyDescent="0.25">
      <c r="A178" s="32" t="s">
        <v>648</v>
      </c>
      <c r="B178" s="7">
        <v>4018</v>
      </c>
      <c r="C178" s="21" t="s">
        <v>202</v>
      </c>
      <c r="D178" s="21" t="s">
        <v>900</v>
      </c>
      <c r="E178" s="13">
        <v>42910.582326388889</v>
      </c>
      <c r="F178" s="13">
        <v>42910.598240740743</v>
      </c>
      <c r="G178" s="7">
        <v>2</v>
      </c>
      <c r="H178" s="21" t="s">
        <v>918</v>
      </c>
      <c r="I178" s="13">
        <v>42910.608611111114</v>
      </c>
      <c r="J178" s="7">
        <v>0</v>
      </c>
      <c r="K178" s="89" t="str">
        <f t="shared" si="60"/>
        <v>4017/4018</v>
      </c>
      <c r="L178" s="21" t="str">
        <f>VLOOKUP(A178,'Trips&amp;Operators'!$C$1:$G$99999,5,FALSE)</f>
        <v>MCREYNOLDS KYLE</v>
      </c>
      <c r="M178" s="6">
        <f t="shared" si="61"/>
        <v>1.0370370371674653E-2</v>
      </c>
      <c r="N178" s="7">
        <f t="shared" si="78"/>
        <v>14.933333335211501</v>
      </c>
      <c r="O178" s="7"/>
      <c r="P178" s="7"/>
      <c r="Q178" s="22"/>
      <c r="R178" s="170"/>
      <c r="S178" s="213">
        <f t="shared" si="74"/>
        <v>1</v>
      </c>
      <c r="T178" s="195" t="str">
        <f t="shared" si="62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3"/>
        <v>https://d0f6bd738d7f1b3e5a7ca70fe4ff75f0.us-east-1.aws.found.io/app/kibana#/discover/Steve-Slow-Train-Analysis-(2080s-and-2083s)?_g=(refreshInterval:(display:Off,pause:!f,section:0,value:0),time:(from:'2017-06-24T12:58:33-0600',mode:absolute,to:'2017-06-24T15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8" s="197" t="str">
        <f>IF(AA178&lt;VLOOKUP(AG178,Variables!$AC$3:$AD$8,2,FALSE),"Y","N")</f>
        <v>N</v>
      </c>
      <c r="X178" s="197">
        <f t="shared" si="77"/>
        <v>1</v>
      </c>
      <c r="Y178" s="197">
        <f t="shared" si="75"/>
        <v>0.1053</v>
      </c>
      <c r="Z178" s="197">
        <f t="shared" si="76"/>
        <v>5.8943000000000003</v>
      </c>
      <c r="AA178" s="197">
        <f t="shared" si="64"/>
        <v>5.7890000000000006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5"/>
        <v>1817</v>
      </c>
      <c r="AE178" s="77" t="str">
        <f t="shared" si="66"/>
        <v>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 &amp; 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</v>
      </c>
      <c r="AF178" s="74" t="str">
        <f t="shared" si="67"/>
        <v>"C:\Program Files (x86)\AstroGrep\AstroGrep.exe" /e /r /s /spath="%USERPROFILE%\AppData\Local\Temp\OnboardLogs" /stypes="app*4018*20170624*" /stext=" 20:.+((SYSTEM_STATE.+slice.+state.+changed )|(ment ac)|(multiple cpu faults)|(system.+state.+changed )|(\[timeout)|(PRM\|1\|D)|(kpr)|(kdp)|(train st.+moving)|(\|lc)|(penalty))"</v>
      </c>
      <c r="AG178" s="209" t="str">
        <f t="shared" si="68"/>
        <v>NW</v>
      </c>
      <c r="AH178" s="78" t="str">
        <f t="shared" si="69"/>
        <v>"%USERPROFILE%\Documents\GitHub\eaglep3\Utilities\RefineRTDCRunTimes.py" --tripid 1817-24 --locoid 4018 --swversion DE.1.0.9.0 --startMP 204:1053 --initTime 2017-06-24T13:58:33 --startdatetime 2017-06-24T14:21:28 --delay 2 --endMP 300:58943 --enddatetime 2017-06-24T14:36:24 --enforcementcount 0 &gt;&gt;C:\Users\stu\Documents\GitHub\eaglep3-reporting\EC\2017-06-24-refined-times.txt</v>
      </c>
      <c r="AI178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{"issue":{"subject":"","project_id":79,"tracker_id":40,"status_id":1,"priority_id":2,"assigned_to_id":23,"start_date":"2017-06-24","description":"","custom_fields":[{"id":1,"name":"Subdivision","value":"NW"},{"id":4,"name":"Milepost","value":"5.8943"},{"id":17,"name":"Train ID","value":"1817-24"},{"id":16,"name":"Locomotive ID","value":"4018"},{"id":130,"name":"Impact","value":""},{"id":150,"name":"Time of Event (Mountain Time)","value":"14:36:24"},{"id":151,"name":"Denver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71"/>
        <v>start /low /b %USERPROFILE%\Documents\GitHub\eaglep3\Utilities\DownloadLogsFromS3.py --loco 4018 --day 2017-06-24</v>
      </c>
      <c r="AN178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20:36:24"},{"id":29,"name":"Sharepoint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788</v>
      </c>
      <c r="B179" s="7">
        <v>4017</v>
      </c>
      <c r="C179" s="21" t="s">
        <v>202</v>
      </c>
      <c r="D179" s="21" t="s">
        <v>919</v>
      </c>
      <c r="E179" s="13">
        <v>42910.610046296293</v>
      </c>
      <c r="F179" s="13">
        <v>42910.611759259256</v>
      </c>
      <c r="G179" s="7">
        <v>1</v>
      </c>
      <c r="H179" s="21" t="s">
        <v>621</v>
      </c>
      <c r="I179" s="13">
        <v>42910.621620370373</v>
      </c>
      <c r="J179" s="7">
        <v>0</v>
      </c>
      <c r="K179" s="89" t="str">
        <f t="shared" si="60"/>
        <v>4017/4018</v>
      </c>
      <c r="L179" s="21" t="str">
        <f>VLOOKUP(A179,'Trips&amp;Operators'!$C$1:$G$99999,5,FALSE)</f>
        <v>MCREYNOLDS KYLE</v>
      </c>
      <c r="M179" s="6">
        <f t="shared" si="61"/>
        <v>9.8611111170612276E-3</v>
      </c>
      <c r="N179" s="7">
        <f t="shared" si="78"/>
        <v>14.200000008568168</v>
      </c>
      <c r="O179" s="7"/>
      <c r="P179" s="7"/>
      <c r="Q179" s="22"/>
      <c r="R179" s="170"/>
      <c r="S179" s="213">
        <f t="shared" si="74"/>
        <v>1</v>
      </c>
      <c r="T179" s="195" t="str">
        <f t="shared" si="62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3"/>
        <v>https://d0f6bd738d7f1b3e5a7ca70fe4ff75f0.us-east-1.aws.found.io/app/kibana#/discover/Steve-Slow-Train-Analysis-(2080s-and-2083s)?_g=(refreshInterval:(display:Off,pause:!f,section:0,value:0),time:(from:'2017-06-24T13:38:28-0600',mode:absolute,to:'2017-06-24T15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79" s="197" t="str">
        <f>IF(AA179&lt;VLOOKUP(AG179,Variables!$AC$3:$AD$8,2,FALSE),"Y","N")</f>
        <v>N</v>
      </c>
      <c r="X179" s="197">
        <f t="shared" si="77"/>
        <v>1</v>
      </c>
      <c r="Y179" s="197">
        <f t="shared" si="75"/>
        <v>5.8624000000000001</v>
      </c>
      <c r="Z179" s="197">
        <f t="shared" si="76"/>
        <v>6.8699999999999997E-2</v>
      </c>
      <c r="AA179" s="197">
        <f t="shared" si="64"/>
        <v>5.7937000000000003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5"/>
        <v>1818</v>
      </c>
      <c r="AE179" s="77" t="str">
        <f t="shared" si="66"/>
        <v>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 &amp; 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</v>
      </c>
      <c r="AF179" s="74" t="str">
        <f t="shared" si="67"/>
        <v>"C:\Program Files (x86)\AstroGrep\AstroGrep.exe" /e /r /s /spath="%USERPROFILE%\AppData\Local\Temp\OnboardLogs" /stypes="app*4017*20170624*" /stext=" 20:.+((SYSTEM_STATE.+slice.+state.+changed )|(ment ac)|(multiple cpu faults)|(system.+state.+changed )|(\[timeout)|(PRM\|1\|D)|(kpr)|(kdp)|(train st.+moving)|(\|lc)|(penalty))"</v>
      </c>
      <c r="AG179" s="209" t="str">
        <f t="shared" si="68"/>
        <v>NW</v>
      </c>
      <c r="AH179" s="78" t="str">
        <f t="shared" si="69"/>
        <v>"%USERPROFILE%\Documents\GitHub\eaglep3\Utilities\RefineRTDCRunTimes.py" --tripid 1818-24 --locoid 4017 --swversion DE.1.0.9.0 --startMP 300:58624 --initTime 2017-06-24T14:38:28 --startdatetime 2017-06-24T14:40:56 --delay 1 --endMP 204:687 --enddatetime 2017-06-24T14:55:08 --enforcementcount 0 &gt;&gt;C:\Users\stu\Documents\GitHub\eaglep3-reporting\EC\2017-06-24-refined-times.txt</v>
      </c>
      <c r="AI179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{"issue":{"subject":"","project_id":79,"tracker_id":40,"status_id":1,"priority_id":2,"assigned_to_id":23,"start_date":"2017-06-24","description":"","custom_fields":[{"id":1,"name":"Subdivision","value":"NW"},{"id":4,"name":"Milepost","value":"0.0687"},{"id":17,"name":"Train ID","value":"1818-24"},{"id":16,"name":"Locomotive ID","value":"4017"},{"id":130,"name":"Impact","value":""},{"id":150,"name":"Time of Event (Mountain Time)","value":"14:55:08"},{"id":151,"name":"Denver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71"/>
        <v>start /low /b %USERPROFILE%\Documents\GitHub\eaglep3\Utilities\DownloadLogsFromS3.py --loco 4017 --day 2017-06-24</v>
      </c>
      <c r="AN179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20:55:08"},{"id":29,"name":"Sharepoint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791</v>
      </c>
      <c r="B180" s="7">
        <v>4018</v>
      </c>
      <c r="C180" s="21" t="s">
        <v>202</v>
      </c>
      <c r="D180" s="21" t="s">
        <v>920</v>
      </c>
      <c r="E180" s="13">
        <v>42910.623043981483</v>
      </c>
      <c r="F180" s="13">
        <v>42910.639768518522</v>
      </c>
      <c r="G180" s="7">
        <v>1</v>
      </c>
      <c r="H180" s="21" t="s">
        <v>921</v>
      </c>
      <c r="I180" s="13">
        <v>42910.649641203701</v>
      </c>
      <c r="J180" s="7">
        <v>0</v>
      </c>
      <c r="K180" s="89" t="str">
        <f t="shared" si="60"/>
        <v>4017/4018</v>
      </c>
      <c r="L180" s="21" t="str">
        <f>VLOOKUP(A180,'Trips&amp;Operators'!$C$1:$G$99999,5,FALSE)</f>
        <v>MCREYNOLDS KYLE</v>
      </c>
      <c r="M180" s="6">
        <f t="shared" si="61"/>
        <v>9.8726851792889647E-3</v>
      </c>
      <c r="N180" s="7">
        <f t="shared" si="78"/>
        <v>14.216666658176109</v>
      </c>
      <c r="O180" s="7"/>
      <c r="P180" s="7"/>
      <c r="Q180" s="22"/>
      <c r="R180" s="170"/>
      <c r="S180" s="213">
        <f t="shared" si="74"/>
        <v>1</v>
      </c>
      <c r="T180" s="195" t="str">
        <f t="shared" si="62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3"/>
        <v>https://d0f6bd738d7f1b3e5a7ca70fe4ff75f0.us-east-1.aws.found.io/app/kibana#/discover/Steve-Slow-Train-Analysis-(2080s-and-2083s)?_g=(refreshInterval:(display:Off,pause:!f,section:0,value:0),time:(from:'2017-06-24T13:57:11-0600',mode:absolute,to:'2017-06-24T16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0" s="197" t="str">
        <f>IF(AA180&lt;VLOOKUP(AG180,Variables!$AC$3:$AD$8,2,FALSE),"Y","N")</f>
        <v>N</v>
      </c>
      <c r="X180" s="197">
        <f t="shared" si="77"/>
        <v>1</v>
      </c>
      <c r="Y180" s="197">
        <f t="shared" si="75"/>
        <v>9.7799999999999998E-2</v>
      </c>
      <c r="Z180" s="197">
        <f t="shared" si="76"/>
        <v>5.8975999999999997</v>
      </c>
      <c r="AA180" s="197">
        <f t="shared" si="64"/>
        <v>5.7997999999999994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5"/>
        <v>1819</v>
      </c>
      <c r="AE180" s="77" t="str">
        <f t="shared" si="66"/>
        <v>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 &amp; 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</v>
      </c>
      <c r="AF180" s="74" t="str">
        <f t="shared" si="67"/>
        <v>"C:\Program Files (x86)\AstroGrep\AstroGrep.exe" /e /r /s /spath="%USERPROFILE%\AppData\Local\Temp\OnboardLogs" /stypes="app*4018*20170624*" /stext=" 21:.+((SYSTEM_STATE.+slice.+state.+changed )|(ment ac)|(multiple cpu faults)|(system.+state.+changed )|(\[timeout)|(PRM\|1\|D)|(kpr)|(kdp)|(train st.+moving)|(\|lc)|(penalty))"</v>
      </c>
      <c r="AG180" s="209" t="str">
        <f t="shared" si="68"/>
        <v>NW</v>
      </c>
      <c r="AH180" s="78" t="str">
        <f t="shared" si="69"/>
        <v>"%USERPROFILE%\Documents\GitHub\eaglep3\Utilities\RefineRTDCRunTimes.py" --tripid 1819-24 --locoid 4018 --swversion DE.1.0.9.0 --startMP 204:978 --initTime 2017-06-24T14:57:11 --startdatetime 2017-06-24T15:21:16 --delay 1 --endMP 300:58976 --enddatetime 2017-06-24T15:35:29 --enforcementcount 0 &gt;&gt;C:\Users\stu\Documents\GitHub\eaglep3-reporting\EC\2017-06-24-refined-times.txt</v>
      </c>
      <c r="AI180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{"issue":{"subject":"","project_id":79,"tracker_id":40,"status_id":1,"priority_id":2,"assigned_to_id":23,"start_date":"2017-06-24","description":"","custom_fields":[{"id":1,"name":"Subdivision","value":"NW"},{"id":4,"name":"Milepost","value":"5.8976"},{"id":17,"name":"Train ID","value":"1819-24"},{"id":16,"name":"Locomotive ID","value":"4018"},{"id":130,"name":"Impact","value":""},{"id":150,"name":"Time of Event (Mountain Time)","value":"15:35:29"},{"id":151,"name":"Denver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71"/>
        <v>start /low /b %USERPROFILE%\Documents\GitHub\eaglep3\Utilities\DownloadLogsFromS3.py --loco 4018 --day 2017-06-24</v>
      </c>
      <c r="AN180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21:35:29"},{"id":29,"name":"Sharepoint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796</v>
      </c>
      <c r="B181" s="7">
        <v>4017</v>
      </c>
      <c r="C181" s="21" t="s">
        <v>202</v>
      </c>
      <c r="D181" s="21" t="s">
        <v>923</v>
      </c>
      <c r="E181" s="13">
        <v>42910.651030092595</v>
      </c>
      <c r="F181" s="13">
        <v>42910.653263888889</v>
      </c>
      <c r="G181" s="7">
        <v>1</v>
      </c>
      <c r="H181" s="21" t="s">
        <v>628</v>
      </c>
      <c r="I181" s="13">
        <v>42910.663437499999</v>
      </c>
      <c r="J181" s="7">
        <v>0</v>
      </c>
      <c r="K181" s="89" t="str">
        <f t="shared" si="60"/>
        <v>4017/4018</v>
      </c>
      <c r="L181" s="21" t="str">
        <f>VLOOKUP(A181,'Trips&amp;Operators'!$C$1:$G$99999,5,FALSE)</f>
        <v>MCREYNOLDS KYLE</v>
      </c>
      <c r="M181" s="6">
        <f t="shared" si="61"/>
        <v>1.0173611110076308E-2</v>
      </c>
      <c r="N181" s="7">
        <f t="shared" si="78"/>
        <v>14.649999998509884</v>
      </c>
      <c r="O181" s="7"/>
      <c r="P181" s="7"/>
      <c r="Q181" s="22"/>
      <c r="R181" s="170"/>
      <c r="S181" s="213">
        <f t="shared" si="74"/>
        <v>1</v>
      </c>
      <c r="T181" s="195" t="str">
        <f t="shared" si="62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3"/>
        <v>https://d0f6bd738d7f1b3e5a7ca70fe4ff75f0.us-east-1.aws.found.io/app/kibana#/discover/Steve-Slow-Train-Analysis-(2080s-and-2083s)?_g=(refreshInterval:(display:Off,pause:!f,section:0,value:0),time:(from:'2017-06-24T14:37:29-0600',mode:absolute,to:'2017-06-24T16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1" s="197" t="str">
        <f>IF(AA181&lt;VLOOKUP(AG181,Variables!$AC$3:$AD$8,2,FALSE),"Y","N")</f>
        <v>N</v>
      </c>
      <c r="X181" s="197">
        <f t="shared" si="77"/>
        <v>1</v>
      </c>
      <c r="Y181" s="197">
        <f t="shared" si="75"/>
        <v>5.8659999999999997</v>
      </c>
      <c r="Z181" s="197">
        <f t="shared" si="76"/>
        <v>6.7000000000000004E-2</v>
      </c>
      <c r="AA181" s="197">
        <f t="shared" si="64"/>
        <v>5.7989999999999995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5"/>
        <v>1820</v>
      </c>
      <c r="AE181" s="77" t="str">
        <f t="shared" si="66"/>
        <v>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 &amp; 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</v>
      </c>
      <c r="AF181" s="74" t="str">
        <f t="shared" si="67"/>
        <v>"C:\Program Files (x86)\AstroGrep\AstroGrep.exe" /e /r /s /spath="%USERPROFILE%\AppData\Local\Temp\OnboardLogs" /stypes="app*4017*20170624*" /stext=" 21:.+((SYSTEM_STATE.+slice.+state.+changed )|(ment ac)|(multiple cpu faults)|(system.+state.+changed )|(\[timeout)|(PRM\|1\|D)|(kpr)|(kdp)|(train st.+moving)|(\|lc)|(penalty))"</v>
      </c>
      <c r="AG181" s="209" t="str">
        <f t="shared" si="68"/>
        <v>NW</v>
      </c>
      <c r="AH181" s="78" t="str">
        <f t="shared" si="69"/>
        <v>"%USERPROFILE%\Documents\GitHub\eaglep3\Utilities\RefineRTDCRunTimes.py" --tripid 1820-24 --locoid 4017 --swversion DE.1.0.9.0 --startMP 300:58660 --initTime 2017-06-24T15:37:29 --startdatetime 2017-06-24T15:40:42 --delay 1 --endMP 204:670 --enddatetime 2017-06-24T15:55:21 --enforcementcount 0 &gt;&gt;C:\Users\stu\Documents\GitHub\eaglep3-reporting\EC\2017-06-24-refined-times.txt</v>
      </c>
      <c r="AI181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{"issue":{"subject":"","project_id":79,"tracker_id":40,"status_id":1,"priority_id":2,"assigned_to_id":23,"start_date":"2017-06-24","description":"","custom_fields":[{"id":1,"name":"Subdivision","value":"NW"},{"id":4,"name":"Milepost","value":"0.067"},{"id":17,"name":"Train ID","value":"1820-24"},{"id":16,"name":"Locomotive ID","value":"4017"},{"id":130,"name":"Impact","value":""},{"id":150,"name":"Time of Event (Mountain Time)","value":"15:55:21"},{"id":151,"name":"Denver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71"/>
        <v>start /low /b %USERPROFILE%\Documents\GitHub\eaglep3\Utilities\DownloadLogsFromS3.py --loco 4017 --day 2017-06-24</v>
      </c>
      <c r="AN181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21:55:21"},{"id":29,"name":"Sharepoint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801</v>
      </c>
      <c r="B182" s="7">
        <v>4018</v>
      </c>
      <c r="C182" s="21" t="s">
        <v>202</v>
      </c>
      <c r="D182" s="21" t="s">
        <v>627</v>
      </c>
      <c r="E182" s="13">
        <v>42910.664722222224</v>
      </c>
      <c r="F182" s="13">
        <v>42910.68141203704</v>
      </c>
      <c r="G182" s="7">
        <v>1</v>
      </c>
      <c r="H182" s="21" t="s">
        <v>924</v>
      </c>
      <c r="I182" s="13">
        <v>42910.684710648151</v>
      </c>
      <c r="J182" s="7">
        <v>0</v>
      </c>
      <c r="K182" s="89" t="str">
        <f t="shared" si="60"/>
        <v>4017/4018</v>
      </c>
      <c r="L182" s="21" t="str">
        <f>VLOOKUP(A182,'Trips&amp;Operators'!$C$1:$G$99999,5,FALSE)</f>
        <v>MCREYNOLDS KYLE</v>
      </c>
      <c r="M182" s="6">
        <f t="shared" si="61"/>
        <v>3.2986111109494232E-3</v>
      </c>
      <c r="N182" s="7"/>
      <c r="O182" s="7"/>
      <c r="P182" s="7">
        <f>24*60*SUM($M182:$M182)</f>
        <v>4.7499999997671694</v>
      </c>
      <c r="Q182" s="22"/>
      <c r="R182" s="170" t="s">
        <v>630</v>
      </c>
      <c r="S182" s="213">
        <f t="shared" si="74"/>
        <v>1</v>
      </c>
      <c r="T182" s="195" t="str">
        <f t="shared" si="62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3"/>
        <v>https://d0f6bd738d7f1b3e5a7ca70fe4ff75f0.us-east-1.aws.found.io/app/kibana#/discover/Steve-Slow-Train-Analysis-(2080s-and-2083s)?_g=(refreshInterval:(display:Off,pause:!f,section:0,value:0),time:(from:'2017-06-24T14:57:12-0600',mode:absolute,to:'2017-06-24T17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2" s="197" t="str">
        <f>IF(AA182&lt;VLOOKUP(AG182,Variables!$AC$3:$AD$8,2,FALSE),"Y","N")</f>
        <v>Y</v>
      </c>
      <c r="X182" s="197">
        <f t="shared" si="77"/>
        <v>1</v>
      </c>
      <c r="Y182" s="197">
        <f t="shared" si="75"/>
        <v>9.6000000000000002E-2</v>
      </c>
      <c r="Z182" s="197">
        <f t="shared" si="76"/>
        <v>1.7690999999999999</v>
      </c>
      <c r="AA182" s="197">
        <f t="shared" si="64"/>
        <v>1.6730999999999998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5"/>
        <v>1821</v>
      </c>
      <c r="AE182" s="77" t="str">
        <f t="shared" si="66"/>
        <v>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 &amp; 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</v>
      </c>
      <c r="AF182" s="74" t="str">
        <f t="shared" si="67"/>
        <v>"C:\Program Files (x86)\AstroGrep\AstroGrep.exe" /e /r /s /spath="%USERPROFILE%\AppData\Local\Temp\OnboardLogs" /stypes="app*4018*20170624*" /stext=" 22:.+((SYSTEM_STATE.+slice.+state.+changed )|(ment ac)|(multiple cpu faults)|(system.+state.+changed )|(\[timeout)|(PRM\|1\|D)|(kpr)|(kdp)|(train st.+moving)|(\|lc)|(penalty))"</v>
      </c>
      <c r="AG182" s="209" t="str">
        <f t="shared" si="68"/>
        <v>NW</v>
      </c>
      <c r="AH182" s="78" t="str">
        <f t="shared" si="69"/>
        <v>"%USERPROFILE%\Documents\GitHub\eaglep3\Utilities\RefineRTDCRunTimes.py" --tripid 1821-24 --locoid 4018 --swversion DE.1.0.9.0 --startMP 204:960 --initTime 2017-06-24T15:57:12 --startdatetime 2017-06-24T16:21:14 --delay 1 --endMP 300:17691 --enddatetime 2017-06-24T16:25:59 --enforcementcount 0 &gt;&gt;C:\Users\stu\Documents\GitHub\eaglep3-reporting\EC\2017-06-24-refined-times.txt</v>
      </c>
      <c r="AI182" s="96" t="str">
        <f t="shared" si="70"/>
        <v>echo {"issue":{"subject":"Wi-MAX data drop","project_id":79,"tracker_id":40,"status_id":1,"priority_id":2,"assigned_to_id":23,"start_date":"2017-06-24","description":"","custom_fields":[{"id":1,"name":"Subdivision","value":"NW"},{"id":4,"name":"Milepost","value":"1.7691"},{"id":17,"name":"Train ID","value":"1821-24"},{"id":16,"name":"Locomotive ID","value":"4018"},{"id":130,"name":"Impact","value":""},{"id":150,"name":"Time of Event (Mountain Time)","value":"16:25:59"},{"id":151,"name":"Denver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71"/>
        <v>start /low /b %USERPROFILE%\Documents\GitHub\eaglep3\Utilities\DownloadLogsFromS3.py --loco 4018 --day 2017-06-24</v>
      </c>
      <c r="AN182" s="151" t="str">
        <f t="shared" si="72"/>
        <v>echo {"issue":{"subject":"Wi-MAX data drop","project_id":30,"tracker_id":4,"status_id":1,"priority_id":1,"assigned_to_id":10,"start_date":"2017-06-24","description":"","custom_fields":[{"id":30,"name":"Category","value":"Issue"},{"id":3,"name":"Functional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22:25:59"},{"id":29,"name":"Sharepoint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806</v>
      </c>
      <c r="B183" s="7">
        <v>4017</v>
      </c>
      <c r="C183" s="21" t="s">
        <v>202</v>
      </c>
      <c r="D183" s="21" t="s">
        <v>626</v>
      </c>
      <c r="E183" s="13">
        <v>42910.693333333336</v>
      </c>
      <c r="F183" s="13">
        <v>42910.695648148147</v>
      </c>
      <c r="G183" s="7">
        <v>1</v>
      </c>
      <c r="H183" s="21" t="s">
        <v>925</v>
      </c>
      <c r="I183" s="13">
        <v>42910.704930555556</v>
      </c>
      <c r="J183" s="7">
        <v>0</v>
      </c>
      <c r="K183" s="89" t="str">
        <f t="shared" si="60"/>
        <v>4017/4018</v>
      </c>
      <c r="L183" s="21" t="str">
        <f>VLOOKUP(A183,'Trips&amp;Operators'!$C$1:$G$99999,5,FALSE)</f>
        <v>MCREYNOLDS KYLE</v>
      </c>
      <c r="M183" s="6">
        <f t="shared" si="61"/>
        <v>9.2824074090458453E-3</v>
      </c>
      <c r="N183" s="7">
        <f t="shared" ref="N183:N222" si="79">24*60*SUM($M183:$M183)</f>
        <v>13.366666669026017</v>
      </c>
      <c r="O183" s="7"/>
      <c r="P183" s="7"/>
      <c r="Q183" s="22"/>
      <c r="R183" s="170"/>
      <c r="S183" s="213">
        <f t="shared" si="74"/>
        <v>1</v>
      </c>
      <c r="T183" s="195" t="str">
        <f t="shared" si="62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3"/>
        <v>https://d0f6bd738d7f1b3e5a7ca70fe4ff75f0.us-east-1.aws.found.io/app/kibana#/discover/Steve-Slow-Train-Analysis-(2080s-and-2083s)?_g=(refreshInterval:(display:Off,pause:!f,section:0,value:0),time:(from:'2017-06-24T15:38:24-0600',mode:absolute,to:'2017-06-24T17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3" s="197" t="str">
        <f>IF(AA183&lt;VLOOKUP(AG183,Variables!$AC$3:$AD$8,2,FALSE),"Y","N")</f>
        <v>N</v>
      </c>
      <c r="X183" s="197">
        <f t="shared" si="77"/>
        <v>1</v>
      </c>
      <c r="Y183" s="197">
        <f t="shared" si="75"/>
        <v>5.8632</v>
      </c>
      <c r="Z183" s="197">
        <f t="shared" si="76"/>
        <v>6.7100000000000007E-2</v>
      </c>
      <c r="AA183" s="197">
        <f t="shared" si="64"/>
        <v>5.7961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5"/>
        <v>1822</v>
      </c>
      <c r="AE183" s="77" t="str">
        <f t="shared" si="66"/>
        <v>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 &amp; 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</v>
      </c>
      <c r="AF183" s="74" t="str">
        <f t="shared" si="67"/>
        <v>"C:\Program Files (x86)\AstroGrep\AstroGrep.exe" /e /r /s /spath="%USERPROFILE%\AppData\Local\Temp\OnboardLogs" /stypes="app*4017*20170624*" /stext=" 22:.+((SYSTEM_STATE.+slice.+state.+changed )|(ment ac)|(multiple cpu faults)|(system.+state.+changed )|(\[timeout)|(PRM\|1\|D)|(kpr)|(kdp)|(train st.+moving)|(\|lc)|(penalty))"</v>
      </c>
      <c r="AG183" s="209" t="str">
        <f t="shared" si="68"/>
        <v>NW</v>
      </c>
      <c r="AH183" s="78" t="str">
        <f t="shared" si="69"/>
        <v>"%USERPROFILE%\Documents\GitHub\eaglep3\Utilities\RefineRTDCRunTimes.py" --tripid 1822-24 --locoid 4017 --swversion DE.1.0.9.0 --startMP 300:58632 --initTime 2017-06-24T16:38:24 --startdatetime 2017-06-24T16:41:44 --delay 1 --endMP 204:671 --enddatetime 2017-06-24T16:55:06 --enforcementcount 0 &gt;&gt;C:\Users\stu\Documents\GitHub\eaglep3-reporting\EC\2017-06-24-refined-times.txt</v>
      </c>
      <c r="AI183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{"issue":{"subject":"","project_id":79,"tracker_id":40,"status_id":1,"priority_id":2,"assigned_to_id":23,"start_date":"2017-06-24","description":"","custom_fields":[{"id":1,"name":"Subdivision","value":"NW"},{"id":4,"name":"Milepost","value":"0.0671"},{"id":17,"name":"Train ID","value":"1822-24"},{"id":16,"name":"Locomotive ID","value":"4017"},{"id":130,"name":"Impact","value":""},{"id":150,"name":"Time of Event (Mountain Time)","value":"16:55:06"},{"id":151,"name":"Denver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71"/>
        <v>start /low /b %USERPROFILE%\Documents\GitHub\eaglep3\Utilities\DownloadLogsFromS3.py --loco 4017 --day 2017-06-24</v>
      </c>
      <c r="AN183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22:55:06"},{"id":29,"name":"Sharepoint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816</v>
      </c>
      <c r="B184" s="7">
        <v>4018</v>
      </c>
      <c r="C184" s="21" t="s">
        <v>202</v>
      </c>
      <c r="D184" s="21" t="s">
        <v>625</v>
      </c>
      <c r="E184" s="13">
        <v>42910.717546296299</v>
      </c>
      <c r="F184" s="13">
        <v>42910.723113425927</v>
      </c>
      <c r="G184" s="7">
        <v>1</v>
      </c>
      <c r="H184" s="21" t="s">
        <v>543</v>
      </c>
      <c r="I184" s="13">
        <v>42910.73269675926</v>
      </c>
      <c r="J184" s="7">
        <v>0</v>
      </c>
      <c r="K184" s="89" t="str">
        <f t="shared" si="60"/>
        <v>4017/4018</v>
      </c>
      <c r="L184" s="21" t="str">
        <f>VLOOKUP(A184,'Trips&amp;Operators'!$C$1:$G$99999,5,FALSE)</f>
        <v>MCREYNOLDS KYLE</v>
      </c>
      <c r="M184" s="6">
        <f t="shared" si="61"/>
        <v>9.5833333325572312E-3</v>
      </c>
      <c r="N184" s="7">
        <f t="shared" si="79"/>
        <v>13.799999998882413</v>
      </c>
      <c r="O184" s="7"/>
      <c r="P184" s="7"/>
      <c r="Q184" s="22"/>
      <c r="R184" s="170"/>
      <c r="S184" s="213">
        <f t="shared" si="74"/>
        <v>1</v>
      </c>
      <c r="T184" s="195" t="str">
        <f t="shared" si="62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3"/>
        <v>https://d0f6bd738d7f1b3e5a7ca70fe4ff75f0.us-east-1.aws.found.io/app/kibana#/discover/Steve-Slow-Train-Analysis-(2080s-and-2083s)?_g=(refreshInterval:(display:Off,pause:!f,section:0,value:0),time:(from:'2017-06-24T16:13:16-0600',mode:absolute,to:'2017-06-24T18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4" s="197" t="str">
        <f>IF(AA184&lt;VLOOKUP(AG184,Variables!$AC$3:$AD$8,2,FALSE),"Y","N")</f>
        <v>N</v>
      </c>
      <c r="X184" s="197">
        <f t="shared" si="77"/>
        <v>1</v>
      </c>
      <c r="Y184" s="197">
        <f t="shared" si="75"/>
        <v>9.7600000000000006E-2</v>
      </c>
      <c r="Z184" s="197">
        <f t="shared" si="76"/>
        <v>5.8928000000000003</v>
      </c>
      <c r="AA184" s="197">
        <f t="shared" si="64"/>
        <v>5.7952000000000004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5"/>
        <v>1823</v>
      </c>
      <c r="AE184" s="77" t="str">
        <f t="shared" si="66"/>
        <v>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 &amp; 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</v>
      </c>
      <c r="AF184" s="74" t="str">
        <f t="shared" si="67"/>
        <v>"C:\Program Files (x86)\AstroGrep\AstroGrep.exe" /e /r /s /spath="%USERPROFILE%\AppData\Local\Temp\OnboardLogs" /stypes="app*4018*20170624*" /stext=" 23:.+((SYSTEM_STATE.+slice.+state.+changed )|(ment ac)|(multiple cpu faults)|(system.+state.+changed )|(\[timeout)|(PRM\|1\|D)|(kpr)|(kdp)|(train st.+moving)|(\|lc)|(penalty))"</v>
      </c>
      <c r="AG184" s="209" t="str">
        <f t="shared" si="68"/>
        <v>NW</v>
      </c>
      <c r="AH184" s="78" t="str">
        <f t="shared" si="69"/>
        <v>"%USERPROFILE%\Documents\GitHub\eaglep3\Utilities\RefineRTDCRunTimes.py" --tripid 1823-24 --locoid 4018 --swversion DE.1.0.9.0 --startMP 204:976 --initTime 2017-06-24T17:13:16 --startdatetime 2017-06-24T17:21:17 --delay 1 --endMP 300:58928 --enddatetime 2017-06-24T17:35:05 --enforcementcount 0 &gt;&gt;C:\Users\stu\Documents\GitHub\eaglep3-reporting\EC\2017-06-24-refined-times.txt</v>
      </c>
      <c r="AI184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{"issue":{"subject":"","project_id":79,"tracker_id":40,"status_id":1,"priority_id":2,"assigned_to_id":23,"start_date":"2017-06-24","description":"","custom_fields":[{"id":1,"name":"Subdivision","value":"NW"},{"id":4,"name":"Milepost","value":"5.8928"},{"id":17,"name":"Train ID","value":"1823-24"},{"id":16,"name":"Locomotive ID","value":"4018"},{"id":130,"name":"Impact","value":""},{"id":150,"name":"Time of Event (Mountain Time)","value":"17:35:05"},{"id":151,"name":"Denver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71"/>
        <v>start /low /b %USERPROFILE%\Documents\GitHub\eaglep3\Utilities\DownloadLogsFromS3.py --loco 4018 --day 2017-06-24</v>
      </c>
      <c r="AN184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23:35:05"},{"id":29,"name":"Sharepoint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s="20" customFormat="1" x14ac:dyDescent="0.25">
      <c r="A185" s="32" t="s">
        <v>819</v>
      </c>
      <c r="B185" s="7">
        <v>4017</v>
      </c>
      <c r="C185" s="21" t="s">
        <v>202</v>
      </c>
      <c r="D185" s="21" t="s">
        <v>488</v>
      </c>
      <c r="E185" s="13">
        <v>42910.734282407408</v>
      </c>
      <c r="F185" s="13">
        <v>42910.736851851849</v>
      </c>
      <c r="G185" s="7">
        <v>2</v>
      </c>
      <c r="H185" s="21" t="s">
        <v>521</v>
      </c>
      <c r="I185" s="13">
        <v>42910.746990740743</v>
      </c>
      <c r="J185" s="7">
        <v>0</v>
      </c>
      <c r="K185" s="89" t="str">
        <f t="shared" si="60"/>
        <v>4017/4018</v>
      </c>
      <c r="L185" s="21" t="str">
        <f>VLOOKUP(A185,'Trips&amp;Operators'!$C$1:$G$99999,5,FALSE)</f>
        <v>MCREYNOLDS KYLE</v>
      </c>
      <c r="M185" s="6">
        <f t="shared" si="61"/>
        <v>1.0138888894289266E-2</v>
      </c>
      <c r="N185" s="7">
        <f t="shared" si="79"/>
        <v>14.600000007776543</v>
      </c>
      <c r="O185" s="7"/>
      <c r="P185" s="7"/>
      <c r="Q185" s="22"/>
      <c r="R185" s="170"/>
      <c r="S185" s="213">
        <f t="shared" si="74"/>
        <v>1</v>
      </c>
      <c r="T185" s="195" t="str">
        <f t="shared" si="62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3"/>
        <v>https://d0f6bd738d7f1b3e5a7ca70fe4ff75f0.us-east-1.aws.found.io/app/kibana#/discover/Steve-Slow-Train-Analysis-(2080s-and-2083s)?_g=(refreshInterval:(display:Off,pause:!f,section:0,value:0),time:(from:'2017-06-24T16:37:22-0600',mode:absolute,to:'2017-06-24T18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5" s="197" t="str">
        <f>IF(AA185&lt;VLOOKUP(AG185,Variables!$AC$3:$AD$8,2,FALSE),"Y","N")</f>
        <v>N</v>
      </c>
      <c r="X185" s="197">
        <f t="shared" si="77"/>
        <v>1</v>
      </c>
      <c r="Y185" s="197">
        <f t="shared" si="75"/>
        <v>5.8613</v>
      </c>
      <c r="Z185" s="197">
        <f t="shared" si="76"/>
        <v>6.7299999999999999E-2</v>
      </c>
      <c r="AA185" s="197">
        <f t="shared" si="64"/>
        <v>5.7939999999999996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5"/>
        <v>1824</v>
      </c>
      <c r="AE185" s="77" t="str">
        <f t="shared" si="66"/>
        <v>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 &amp; 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</v>
      </c>
      <c r="AF185" s="74" t="str">
        <f t="shared" si="67"/>
        <v>"C:\Program Files (x86)\AstroGrep\AstroGrep.exe" /e /r /s /spath="%USERPROFILE%\AppData\Local\Temp\OnboardLogs" /stypes="app*4017*20170624*" /stext=" 23:.+((SYSTEM_STATE.+slice.+state.+changed )|(ment ac)|(multiple cpu faults)|(system.+state.+changed )|(\[timeout)|(PRM\|1\|D)|(kpr)|(kdp)|(train st.+moving)|(\|lc)|(penalty))"</v>
      </c>
      <c r="AG185" s="209" t="str">
        <f t="shared" si="68"/>
        <v>NW</v>
      </c>
      <c r="AH185" s="78" t="str">
        <f t="shared" si="69"/>
        <v>"%USERPROFILE%\Documents\GitHub\eaglep3\Utilities\RefineRTDCRunTimes.py" --tripid 1824-24 --locoid 4017 --swversion DE.1.0.9.0 --startMP 300:58613 --initTime 2017-06-24T17:37:22 --startdatetime 2017-06-24T17:41:04 --delay 2 --endMP 204:673 --enddatetime 2017-06-24T17:55:40 --enforcementcount 0 &gt;&gt;C:\Users\stu\Documents\GitHub\eaglep3-reporting\EC\2017-06-24-refined-times.txt</v>
      </c>
      <c r="AI185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{"issue":{"subject":"","project_id":79,"tracker_id":40,"status_id":1,"priority_id":2,"assigned_to_id":23,"start_date":"2017-06-24","description":"","custom_fields":[{"id":1,"name":"Subdivision","value":"NW"},{"id":4,"name":"Milepost","value":"0.0673"},{"id":17,"name":"Train ID","value":"1824-24"},{"id":16,"name":"Locomotive ID","value":"4017"},{"id":130,"name":"Impact","value":""},{"id":150,"name":"Time of Event (Mountain Time)","value":"17:55:40"},{"id":151,"name":"Denver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71"/>
        <v>start /low /b %USERPROFILE%\Documents\GitHub\eaglep3\Utilities\DownloadLogsFromS3.py --loco 4017 --day 2017-06-24</v>
      </c>
      <c r="AN185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23:55:40"},{"id":29,"name":"Sharepoint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656</v>
      </c>
      <c r="B186" s="7">
        <v>4018</v>
      </c>
      <c r="C186" s="21" t="s">
        <v>202</v>
      </c>
      <c r="D186" s="21" t="s">
        <v>926</v>
      </c>
      <c r="E186" s="13">
        <v>42910.748749999999</v>
      </c>
      <c r="F186" s="13">
        <v>42910.764756944445</v>
      </c>
      <c r="G186" s="7">
        <v>1</v>
      </c>
      <c r="H186" s="21" t="s">
        <v>545</v>
      </c>
      <c r="I186" s="13">
        <v>42910.775069444448</v>
      </c>
      <c r="J186" s="7">
        <v>0</v>
      </c>
      <c r="K186" s="89" t="str">
        <f t="shared" si="60"/>
        <v>4017/4018</v>
      </c>
      <c r="L186" s="21" t="str">
        <f>VLOOKUP(A186,'Trips&amp;Operators'!$C$1:$G$99999,5,FALSE)</f>
        <v>MCREYNOLDS KYLE</v>
      </c>
      <c r="M186" s="6">
        <f t="shared" si="61"/>
        <v>1.0312500002328306E-2</v>
      </c>
      <c r="N186" s="7">
        <f t="shared" si="79"/>
        <v>14.850000003352761</v>
      </c>
      <c r="O186" s="7"/>
      <c r="P186" s="7"/>
      <c r="Q186" s="22"/>
      <c r="R186" s="170"/>
      <c r="S186" s="213">
        <f t="shared" si="74"/>
        <v>1</v>
      </c>
      <c r="T186" s="195" t="str">
        <f t="shared" si="62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3"/>
        <v>https://d0f6bd738d7f1b3e5a7ca70fe4ff75f0.us-east-1.aws.found.io/app/kibana#/discover/Steve-Slow-Train-Analysis-(2080s-and-2083s)?_g=(refreshInterval:(display:Off,pause:!f,section:0,value:0),time:(from:'2017-06-24T16:58:12-0600',mode:absolute,to:'2017-06-24T19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6" s="197" t="str">
        <f>IF(AA186&lt;VLOOKUP(AG186,Variables!$AC$3:$AD$8,2,FALSE),"Y","N")</f>
        <v>N</v>
      </c>
      <c r="X186" s="197">
        <f t="shared" si="77"/>
        <v>1</v>
      </c>
      <c r="Y186" s="197">
        <f t="shared" si="75"/>
        <v>9.5299999999999996E-2</v>
      </c>
      <c r="Z186" s="197">
        <f t="shared" si="76"/>
        <v>5.8935000000000004</v>
      </c>
      <c r="AA186" s="197">
        <f t="shared" si="64"/>
        <v>5.7982000000000005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5"/>
        <v>1825</v>
      </c>
      <c r="AE186" s="77" t="str">
        <f t="shared" si="66"/>
        <v>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 &amp; 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</v>
      </c>
      <c r="AF186" s="74" t="str">
        <f t="shared" si="67"/>
        <v>"C:\Program Files (x86)\AstroGrep\AstroGrep.exe" /e /r /s /spath="%USERPROFILE%\AppData\Local\Temp\OnboardLogs" /stypes="app*4018*20170625*" /stext=" 00:.+((SYSTEM_STATE.+slice.+state.+changed )|(ment ac)|(multiple cpu faults)|(system.+state.+changed )|(\[timeout)|(PRM\|1\|D)|(kpr)|(kdp)|(train st.+moving)|(\|lc)|(penalty))"</v>
      </c>
      <c r="AG186" s="209" t="str">
        <f t="shared" si="68"/>
        <v>NW</v>
      </c>
      <c r="AH186" s="78" t="str">
        <f t="shared" si="69"/>
        <v>"%USERPROFILE%\Documents\GitHub\eaglep3\Utilities\RefineRTDCRunTimes.py" --tripid 1825-24 --locoid 4018 --swversion DE.1.0.9.0 --startMP 204:953 --initTime 2017-06-24T17:58:12 --startdatetime 2017-06-24T18:21:15 --delay 1 --endMP 300:58935 --enddatetime 2017-06-24T18:36:06 --enforcementcount 0 &gt;&gt;C:\Users\stu\Documents\GitHub\eaglep3-reporting\EC\2017-06-24-refined-times.txt</v>
      </c>
      <c r="AI186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{"issue":{"subject":"","project_id":79,"tracker_id":40,"status_id":1,"priority_id":2,"assigned_to_id":23,"start_date":"2017-06-24","description":"","custom_fields":[{"id":1,"name":"Subdivision","value":"NW"},{"id":4,"name":"Milepost","value":"5.8935"},{"id":17,"name":"Train ID","value":"1825-24"},{"id":16,"name":"Locomotive ID","value":"4018"},{"id":130,"name":"Impact","value":""},{"id":150,"name":"Time of Event (Mountain Time)","value":"18:36:06"},{"id":151,"name":"Denver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71"/>
        <v>start /low /b %USERPROFILE%\Documents\GitHub\eaglep3\Utilities\DownloadLogsFromS3.py --loco 4018 --day 2017-06-24</v>
      </c>
      <c r="AN186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00:36:06"},{"id":29,"name":"Sharepoint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828</v>
      </c>
      <c r="B187" s="7">
        <v>4017</v>
      </c>
      <c r="C187" s="21" t="s">
        <v>202</v>
      </c>
      <c r="D187" s="21" t="s">
        <v>522</v>
      </c>
      <c r="E187" s="13">
        <v>42910.776284722226</v>
      </c>
      <c r="F187" s="13">
        <v>42910.778171296297</v>
      </c>
      <c r="G187" s="7">
        <v>1</v>
      </c>
      <c r="H187" s="21" t="s">
        <v>927</v>
      </c>
      <c r="I187" s="13">
        <v>42910.789143518516</v>
      </c>
      <c r="J187" s="7">
        <v>0</v>
      </c>
      <c r="K187" s="89" t="str">
        <f t="shared" si="60"/>
        <v>4017/4018</v>
      </c>
      <c r="L187" s="21" t="str">
        <f>VLOOKUP(A187,'Trips&amp;Operators'!$C$1:$G$99999,5,FALSE)</f>
        <v>MCREYNOLDS KYLE</v>
      </c>
      <c r="M187" s="6">
        <f t="shared" si="61"/>
        <v>1.0972222218697425E-2</v>
      </c>
      <c r="N187" s="7">
        <f t="shared" si="79"/>
        <v>15.799999994924292</v>
      </c>
      <c r="O187" s="7"/>
      <c r="P187" s="7"/>
      <c r="Q187" s="22"/>
      <c r="R187" s="170"/>
      <c r="S187" s="213">
        <f t="shared" si="74"/>
        <v>1</v>
      </c>
      <c r="T187" s="195" t="str">
        <f t="shared" si="62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3"/>
        <v>https://d0f6bd738d7f1b3e5a7ca70fe4ff75f0.us-east-1.aws.found.io/app/kibana#/discover/Steve-Slow-Train-Analysis-(2080s-and-2083s)?_g=(refreshInterval:(display:Off,pause:!f,section:0,value:0),time:(from:'2017-06-24T17:37:51-0600',mode:absolute,to:'2017-06-24T19:56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7" s="197" t="str">
        <f>IF(AA187&lt;VLOOKUP(AG187,Variables!$AC$3:$AD$8,2,FALSE),"Y","N")</f>
        <v>N</v>
      </c>
      <c r="X187" s="197">
        <f t="shared" si="77"/>
        <v>1</v>
      </c>
      <c r="Y187" s="197">
        <f t="shared" si="75"/>
        <v>5.8615000000000004</v>
      </c>
      <c r="Z187" s="197">
        <f t="shared" si="76"/>
        <v>6.59E-2</v>
      </c>
      <c r="AA187" s="197">
        <f t="shared" si="64"/>
        <v>5.7956000000000003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5"/>
        <v>1826</v>
      </c>
      <c r="AE187" s="77" t="str">
        <f t="shared" si="66"/>
        <v>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 &amp; 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</v>
      </c>
      <c r="AF187" s="74" t="str">
        <f t="shared" si="67"/>
        <v>"C:\Program Files (x86)\AstroGrep\AstroGrep.exe" /e /r /s /spath="%USERPROFILE%\AppData\Local\Temp\OnboardLogs" /stypes="app*4017*20170625*" /stext=" 00:.+((SYSTEM_STATE.+slice.+state.+changed )|(ment ac)|(multiple cpu faults)|(system.+state.+changed )|(\[timeout)|(PRM\|1\|D)|(kpr)|(kdp)|(train st.+moving)|(\|lc)|(penalty))"</v>
      </c>
      <c r="AG187" s="209" t="str">
        <f t="shared" si="68"/>
        <v>NW</v>
      </c>
      <c r="AH187" s="78" t="str">
        <f t="shared" si="69"/>
        <v>"%USERPROFILE%\Documents\GitHub\eaglep3\Utilities\RefineRTDCRunTimes.py" --tripid 1826-24 --locoid 4017 --swversion DE.1.0.9.0 --startMP 300:58615 --initTime 2017-06-24T18:37:51 --startdatetime 2017-06-24T18:40:34 --delay 1 --endMP 204:659 --enddatetime 2017-06-24T18:56:22 --enforcementcount 0 &gt;&gt;C:\Users\stu\Documents\GitHub\eaglep3-reporting\EC\2017-06-24-refined-times.txt</v>
      </c>
      <c r="AI187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{"issue":{"subject":"","project_id":79,"tracker_id":40,"status_id":1,"priority_id":2,"assigned_to_id":23,"start_date":"2017-06-24","description":"","custom_fields":[{"id":1,"name":"Subdivision","value":"NW"},{"id":4,"name":"Milepost","value":"0.0659"},{"id":17,"name":"Train ID","value":"1826-24"},{"id":16,"name":"Locomotive ID","value":"4017"},{"id":130,"name":"Impact","value":""},{"id":150,"name":"Time of Event (Mountain Time)","value":"18:56:22"},{"id":151,"name":"Denver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71"/>
        <v>start /low /b %USERPROFILE%\Documents\GitHub\eaglep3\Utilities\DownloadLogsFromS3.py --loco 4017 --day 2017-06-24</v>
      </c>
      <c r="AN187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00:56:22"},{"id":29,"name":"Sharepoint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2" t="s">
        <v>831</v>
      </c>
      <c r="B188" s="7">
        <v>4018</v>
      </c>
      <c r="C188" s="21" t="s">
        <v>202</v>
      </c>
      <c r="D188" s="21" t="s">
        <v>928</v>
      </c>
      <c r="E188" s="13">
        <v>42910.790567129632</v>
      </c>
      <c r="F188" s="13">
        <v>42910.806423611109</v>
      </c>
      <c r="G188" s="7">
        <v>1</v>
      </c>
      <c r="H188" s="21" t="s">
        <v>929</v>
      </c>
      <c r="I188" s="13">
        <v>42910.817002314812</v>
      </c>
      <c r="J188" s="7">
        <v>0</v>
      </c>
      <c r="K188" s="89" t="str">
        <f t="shared" si="60"/>
        <v>4017/4018</v>
      </c>
      <c r="L188" s="21" t="str">
        <f>VLOOKUP(A188,'Trips&amp;Operators'!$C$1:$G$99999,5,FALSE)</f>
        <v>MCREYNOLDS KYLE</v>
      </c>
      <c r="M188" s="6">
        <f t="shared" si="61"/>
        <v>1.0578703702776693E-2</v>
      </c>
      <c r="N188" s="7">
        <f t="shared" si="79"/>
        <v>15.233333331998438</v>
      </c>
      <c r="O188" s="7"/>
      <c r="P188" s="7"/>
      <c r="Q188" s="22"/>
      <c r="R188" s="170"/>
      <c r="S188" s="213">
        <f t="shared" si="74"/>
        <v>1</v>
      </c>
      <c r="T188" s="195" t="str">
        <f t="shared" si="62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3"/>
        <v>https://d0f6bd738d7f1b3e5a7ca70fe4ff75f0.us-east-1.aws.found.io/app/kibana#/discover/Steve-Slow-Train-Analysis-(2080s-and-2083s)?_g=(refreshInterval:(display:Off,pause:!f,section:0,value:0),time:(from:'2017-06-24T17:58:25-0600',mode:absolute,to:'2017-06-24T20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88" s="197" t="str">
        <f>IF(AA188&lt;VLOOKUP(AG188,Variables!$AC$3:$AD$8,2,FALSE),"Y","N")</f>
        <v>N</v>
      </c>
      <c r="X188" s="197">
        <f t="shared" si="77"/>
        <v>1</v>
      </c>
      <c r="Y188" s="197">
        <f t="shared" si="75"/>
        <v>9.4600000000000004E-2</v>
      </c>
      <c r="Z188" s="197">
        <f t="shared" si="76"/>
        <v>5.8936999999999999</v>
      </c>
      <c r="AA188" s="197">
        <f t="shared" si="64"/>
        <v>5.7991000000000001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5"/>
        <v>1827</v>
      </c>
      <c r="AE188" s="77" t="str">
        <f t="shared" si="66"/>
        <v>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 &amp; 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</v>
      </c>
      <c r="AF188" s="74" t="str">
        <f t="shared" si="67"/>
        <v>"C:\Program Files (x86)\AstroGrep\AstroGrep.exe" /e /r /s /spath="%USERPROFILE%\AppData\Local\Temp\OnboardLogs" /stypes="app*4018*20170625*" /stext=" 01:.+((SYSTEM_STATE.+slice.+state.+changed )|(ment ac)|(multiple cpu faults)|(system.+state.+changed )|(\[timeout)|(PRM\|1\|D)|(kpr)|(kdp)|(train st.+moving)|(\|lc)|(penalty))"</v>
      </c>
      <c r="AG188" s="209" t="str">
        <f t="shared" si="68"/>
        <v>NW</v>
      </c>
      <c r="AH188" s="78" t="str">
        <f t="shared" si="69"/>
        <v>"%USERPROFILE%\Documents\GitHub\eaglep3\Utilities\RefineRTDCRunTimes.py" --tripid 1827-24 --locoid 4018 --swversion DE.1.0.9.0 --startMP 204:946 --initTime 2017-06-24T18:58:25 --startdatetime 2017-06-24T19:21:15 --delay 1 --endMP 300:58937 --enddatetime 2017-06-24T19:36:29 --enforcementcount 0 &gt;&gt;C:\Users\stu\Documents\GitHub\eaglep3-reporting\EC\2017-06-24-refined-times.txt</v>
      </c>
      <c r="AI188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{"issue":{"subject":"","project_id":79,"tracker_id":40,"status_id":1,"priority_id":2,"assigned_to_id":23,"start_date":"2017-06-24","description":"","custom_fields":[{"id":1,"name":"Subdivision","value":"NW"},{"id":4,"name":"Milepost","value":"5.8937"},{"id":17,"name":"Train ID","value":"1827-24"},{"id":16,"name":"Locomotive ID","value":"4018"},{"id":130,"name":"Impact","value":""},{"id":150,"name":"Time of Event (Mountain Time)","value":"19:36:29"},{"id":151,"name":"Denver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71"/>
        <v>start /low /b %USERPROFILE%\Documents\GitHub\eaglep3\Utilities\DownloadLogsFromS3.py --loco 4018 --day 2017-06-24</v>
      </c>
      <c r="AN188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01:36:29"},{"id":29,"name":"Sharepoint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836</v>
      </c>
      <c r="B189" s="7">
        <v>4017</v>
      </c>
      <c r="C189" s="21" t="s">
        <v>202</v>
      </c>
      <c r="D189" s="21" t="s">
        <v>930</v>
      </c>
      <c r="E189" s="13">
        <v>42910.818437499998</v>
      </c>
      <c r="F189" s="13">
        <v>42910.820428240739</v>
      </c>
      <c r="G189" s="7">
        <v>1</v>
      </c>
      <c r="H189" s="21" t="s">
        <v>931</v>
      </c>
      <c r="I189" s="13">
        <v>42910.830567129633</v>
      </c>
      <c r="J189" s="7">
        <v>0</v>
      </c>
      <c r="K189" s="89" t="str">
        <f t="shared" si="60"/>
        <v>4017/4018</v>
      </c>
      <c r="L189" s="21" t="str">
        <f>VLOOKUP(A189,'Trips&amp;Operators'!$C$1:$G$99999,5,FALSE)</f>
        <v>MCREYNOLDS KYLE</v>
      </c>
      <c r="M189" s="6">
        <f t="shared" si="61"/>
        <v>1.0138888894289266E-2</v>
      </c>
      <c r="N189" s="7">
        <f t="shared" si="79"/>
        <v>14.600000007776543</v>
      </c>
      <c r="O189" s="7"/>
      <c r="P189" s="7"/>
      <c r="Q189" s="22"/>
      <c r="R189" s="170"/>
      <c r="S189" s="213">
        <f t="shared" si="74"/>
        <v>1</v>
      </c>
      <c r="T189" s="195" t="str">
        <f t="shared" si="62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3"/>
        <v>https://d0f6bd738d7f1b3e5a7ca70fe4ff75f0.us-east-1.aws.found.io/app/kibana#/discover/Steve-Slow-Train-Analysis-(2080s-and-2083s)?_g=(refreshInterval:(display:Off,pause:!f,section:0,value:0),time:(from:'2017-06-24T18:38:33-0600',mode:absolute,to:'2017-06-24T20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9" s="197" t="str">
        <f>IF(AA189&lt;VLOOKUP(AG189,Variables!$AC$3:$AD$8,2,FALSE),"Y","N")</f>
        <v>N</v>
      </c>
      <c r="X189" s="197">
        <f t="shared" si="77"/>
        <v>1</v>
      </c>
      <c r="Y189" s="197">
        <f t="shared" si="75"/>
        <v>5.8623000000000003</v>
      </c>
      <c r="Z189" s="197">
        <f t="shared" si="76"/>
        <v>6.6799999999999998E-2</v>
      </c>
      <c r="AA189" s="197">
        <f t="shared" si="64"/>
        <v>5.7955000000000005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5"/>
        <v>1828</v>
      </c>
      <c r="AE189" s="77" t="str">
        <f t="shared" si="66"/>
        <v>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 &amp; 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</v>
      </c>
      <c r="AF189" s="74" t="str">
        <f t="shared" si="67"/>
        <v>"C:\Program Files (x86)\AstroGrep\AstroGrep.exe" /e /r /s /spath="%USERPROFILE%\AppData\Local\Temp\OnboardLogs" /stypes="app*4017*20170625*" /stext=" 01:.+((SYSTEM_STATE.+slice.+state.+changed )|(ment ac)|(multiple cpu faults)|(system.+state.+changed )|(\[timeout)|(PRM\|1\|D)|(kpr)|(kdp)|(train st.+moving)|(\|lc)|(penalty))"</v>
      </c>
      <c r="AG189" s="209" t="str">
        <f t="shared" si="68"/>
        <v>NW</v>
      </c>
      <c r="AH189" s="78" t="str">
        <f t="shared" si="69"/>
        <v>"%USERPROFILE%\Documents\GitHub\eaglep3\Utilities\RefineRTDCRunTimes.py" --tripid 1828-24 --locoid 4017 --swversion DE.1.0.9.0 --startMP 300:58623 --initTime 2017-06-24T19:38:33 --startdatetime 2017-06-24T19:41:25 --delay 1 --endMP 204:668 --enddatetime 2017-06-24T19:56:01 --enforcementcount 0 &gt;&gt;C:\Users\stu\Documents\GitHub\eaglep3-reporting\EC\2017-06-24-refined-times.txt</v>
      </c>
      <c r="AI189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{"issue":{"subject":"","project_id":79,"tracker_id":40,"status_id":1,"priority_id":2,"assigned_to_id":23,"start_date":"2017-06-24","description":"","custom_fields":[{"id":1,"name":"Subdivision","value":"NW"},{"id":4,"name":"Milepost","value":"0.0668"},{"id":17,"name":"Train ID","value":"1828-24"},{"id":16,"name":"Locomotive ID","value":"4017"},{"id":130,"name":"Impact","value":""},{"id":150,"name":"Time of Event (Mountain Time)","value":"19:56:01"},{"id":151,"name":"Denver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71"/>
        <v>start /low /b %USERPROFILE%\Documents\GitHub\eaglep3\Utilities\DownloadLogsFromS3.py --loco 4017 --day 2017-06-24</v>
      </c>
      <c r="AN189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01:56:01"},{"id":29,"name":"Sharepoint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839</v>
      </c>
      <c r="B190" s="7">
        <v>4018</v>
      </c>
      <c r="C190" s="21" t="s">
        <v>202</v>
      </c>
      <c r="D190" s="21" t="s">
        <v>623</v>
      </c>
      <c r="E190" s="13">
        <v>42910.831886574073</v>
      </c>
      <c r="F190" s="13">
        <v>42910.848090277781</v>
      </c>
      <c r="G190" s="7">
        <v>1</v>
      </c>
      <c r="H190" s="21" t="s">
        <v>932</v>
      </c>
      <c r="I190" s="13">
        <v>42910.858101851853</v>
      </c>
      <c r="J190" s="7">
        <v>0</v>
      </c>
      <c r="K190" s="89" t="str">
        <f t="shared" si="60"/>
        <v>4017/4018</v>
      </c>
      <c r="L190" s="21" t="str">
        <f>VLOOKUP(A190,'Trips&amp;Operators'!$C$1:$G$99999,5,FALSE)</f>
        <v>MCREYNOLDS KYLE</v>
      </c>
      <c r="M190" s="6">
        <f t="shared" si="61"/>
        <v>1.0011574071540963E-2</v>
      </c>
      <c r="N190" s="7">
        <f t="shared" si="79"/>
        <v>14.416666663018987</v>
      </c>
      <c r="O190" s="7"/>
      <c r="P190" s="7"/>
      <c r="Q190" s="22"/>
      <c r="R190" s="170"/>
      <c r="S190" s="213">
        <f t="shared" si="74"/>
        <v>1</v>
      </c>
      <c r="T190" s="195" t="str">
        <f t="shared" si="62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3"/>
        <v>https://d0f6bd738d7f1b3e5a7ca70fe4ff75f0.us-east-1.aws.found.io/app/kibana#/discover/Steve-Slow-Train-Analysis-(2080s-and-2083s)?_g=(refreshInterval:(display:Off,pause:!f,section:0,value:0),time:(from:'2017-06-24T18:57:55-0600',mode:absolute,to:'2017-06-24T21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0" s="197" t="str">
        <f>IF(AA190&lt;VLOOKUP(AG190,Variables!$AC$3:$AD$8,2,FALSE),"Y","N")</f>
        <v>N</v>
      </c>
      <c r="X190" s="197">
        <f t="shared" si="77"/>
        <v>1</v>
      </c>
      <c r="Y190" s="197">
        <f t="shared" si="75"/>
        <v>9.64E-2</v>
      </c>
      <c r="Z190" s="197">
        <f t="shared" si="76"/>
        <v>5.8939000000000004</v>
      </c>
      <c r="AA190" s="197">
        <f t="shared" si="64"/>
        <v>5.7975000000000003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5"/>
        <v>1829</v>
      </c>
      <c r="AE190" s="77" t="str">
        <f t="shared" si="66"/>
        <v>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 &amp; 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</v>
      </c>
      <c r="AF190" s="74" t="str">
        <f t="shared" si="67"/>
        <v>"C:\Program Files (x86)\AstroGrep\AstroGrep.exe" /e /r /s /spath="%USERPROFILE%\AppData\Local\Temp\OnboardLogs" /stypes="app*4018*20170625*" /stext=" 02:.+((SYSTEM_STATE.+slice.+state.+changed )|(ment ac)|(multiple cpu faults)|(system.+state.+changed )|(\[timeout)|(PRM\|1\|D)|(kpr)|(kdp)|(train st.+moving)|(\|lc)|(penalty))"</v>
      </c>
      <c r="AG190" s="209" t="str">
        <f t="shared" si="68"/>
        <v>NW</v>
      </c>
      <c r="AH190" s="78" t="str">
        <f t="shared" si="69"/>
        <v>"%USERPROFILE%\Documents\GitHub\eaglep3\Utilities\RefineRTDCRunTimes.py" --tripid 1829-24 --locoid 4018 --swversion DE.1.0.9.0 --startMP 204:964 --initTime 2017-06-24T19:57:55 --startdatetime 2017-06-24T20:21:15 --delay 1 --endMP 300:58939 --enddatetime 2017-06-24T20:35:40 --enforcementcount 0 &gt;&gt;C:\Users\stu\Documents\GitHub\eaglep3-reporting\EC\2017-06-24-refined-times.txt</v>
      </c>
      <c r="AI190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{"issue":{"subject":"","project_id":79,"tracker_id":40,"status_id":1,"priority_id":2,"assigned_to_id":23,"start_date":"2017-06-24","description":"","custom_fields":[{"id":1,"name":"Subdivision","value":"NW"},{"id":4,"name":"Milepost","value":"5.8939"},{"id":17,"name":"Train ID","value":"1829-24"},{"id":16,"name":"Locomotive ID","value":"4018"},{"id":130,"name":"Impact","value":""},{"id":150,"name":"Time of Event (Mountain Time)","value":"20:35:40"},{"id":151,"name":"Denver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71"/>
        <v>start /low /b %USERPROFILE%\Documents\GitHub\eaglep3\Utilities\DownloadLogsFromS3.py --loco 4018 --day 2017-06-24</v>
      </c>
      <c r="AN190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02:35:40"},{"id":29,"name":"Sharepoint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842</v>
      </c>
      <c r="B191" s="7">
        <v>4017</v>
      </c>
      <c r="C191" s="21" t="s">
        <v>202</v>
      </c>
      <c r="D191" s="21" t="s">
        <v>917</v>
      </c>
      <c r="E191" s="13">
        <v>42910.859849537039</v>
      </c>
      <c r="F191" s="13">
        <v>42910.861979166664</v>
      </c>
      <c r="G191" s="7">
        <v>1</v>
      </c>
      <c r="H191" s="21" t="s">
        <v>544</v>
      </c>
      <c r="I191" s="13">
        <v>42910.871701388889</v>
      </c>
      <c r="J191" s="7">
        <v>0</v>
      </c>
      <c r="K191" s="89" t="str">
        <f t="shared" si="60"/>
        <v>4017/4018</v>
      </c>
      <c r="L191" s="21" t="str">
        <f>VLOOKUP(A191,'Trips&amp;Operators'!$C$1:$G$99999,5,FALSE)</f>
        <v>MCREYNOLDS KYLE</v>
      </c>
      <c r="M191" s="6">
        <f t="shared" si="61"/>
        <v>9.7222222248092294E-3</v>
      </c>
      <c r="N191" s="7">
        <f t="shared" si="79"/>
        <v>14.00000000372529</v>
      </c>
      <c r="O191" s="7"/>
      <c r="P191" s="7"/>
      <c r="Q191" s="22"/>
      <c r="R191" s="170"/>
      <c r="S191" s="213">
        <f t="shared" si="74"/>
        <v>1</v>
      </c>
      <c r="T191" s="195" t="str">
        <f t="shared" si="62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3"/>
        <v>https://d0f6bd738d7f1b3e5a7ca70fe4ff75f0.us-east-1.aws.found.io/app/kibana#/discover/Steve-Slow-Train-Analysis-(2080s-and-2083s)?_g=(refreshInterval:(display:Off,pause:!f,section:0,value:0),time:(from:'2017-06-24T19:38:11-0600',mode:absolute,to:'2017-06-24T21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1" s="197" t="str">
        <f>IF(AA191&lt;VLOOKUP(AG191,Variables!$AC$3:$AD$8,2,FALSE),"Y","N")</f>
        <v>N</v>
      </c>
      <c r="X191" s="197">
        <f t="shared" si="77"/>
        <v>1</v>
      </c>
      <c r="Y191" s="197">
        <f t="shared" si="75"/>
        <v>5.8616999999999999</v>
      </c>
      <c r="Z191" s="197">
        <f t="shared" si="76"/>
        <v>6.8500000000000005E-2</v>
      </c>
      <c r="AA191" s="197">
        <f t="shared" si="64"/>
        <v>5.7931999999999997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5"/>
        <v>1830</v>
      </c>
      <c r="AE191" s="77" t="str">
        <f t="shared" si="66"/>
        <v>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 &amp; 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</v>
      </c>
      <c r="AF191" s="74" t="str">
        <f t="shared" si="67"/>
        <v>"C:\Program Files (x86)\AstroGrep\AstroGrep.exe" /e /r /s /spath="%USERPROFILE%\AppData\Local\Temp\OnboardLogs" /stypes="app*4017*20170625*" /stext=" 02:.+((SYSTEM_STATE.+slice.+state.+changed )|(ment ac)|(multiple cpu faults)|(system.+state.+changed )|(\[timeout)|(PRM\|1\|D)|(kpr)|(kdp)|(train st.+moving)|(\|lc)|(penalty))"</v>
      </c>
      <c r="AG191" s="209" t="str">
        <f t="shared" si="68"/>
        <v>NW</v>
      </c>
      <c r="AH191" s="78" t="str">
        <f t="shared" si="69"/>
        <v>"%USERPROFILE%\Documents\GitHub\eaglep3\Utilities\RefineRTDCRunTimes.py" --tripid 1830-24 --locoid 4017 --swversion DE.1.0.9.0 --startMP 300:58617 --initTime 2017-06-24T20:38:11 --startdatetime 2017-06-24T20:41:15 --delay 1 --endMP 204:685 --enddatetime 2017-06-24T20:55:15 --enforcementcount 0 &gt;&gt;C:\Users\stu\Documents\GitHub\eaglep3-reporting\EC\2017-06-24-refined-times.txt</v>
      </c>
      <c r="AI191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{"issue":{"subject":"","project_id":79,"tracker_id":40,"status_id":1,"priority_id":2,"assigned_to_id":23,"start_date":"2017-06-24","description":"","custom_fields":[{"id":1,"name":"Subdivision","value":"NW"},{"id":4,"name":"Milepost","value":"0.0685"},{"id":17,"name":"Train ID","value":"1830-24"},{"id":16,"name":"Locomotive ID","value":"4017"},{"id":130,"name":"Impact","value":""},{"id":150,"name":"Time of Event (Mountain Time)","value":"20:55:15"},{"id":151,"name":"Denver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71"/>
        <v>start /low /b %USERPROFILE%\Documents\GitHub\eaglep3\Utilities\DownloadLogsFromS3.py --loco 4017 --day 2017-06-24</v>
      </c>
      <c r="AN191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846</v>
      </c>
      <c r="B192" s="7">
        <v>4018</v>
      </c>
      <c r="C192" s="21" t="s">
        <v>202</v>
      </c>
      <c r="D192" s="21" t="s">
        <v>920</v>
      </c>
      <c r="E192" s="13">
        <v>42910.885613425926</v>
      </c>
      <c r="F192" s="13">
        <v>42910.889756944445</v>
      </c>
      <c r="G192" s="7">
        <v>1</v>
      </c>
      <c r="H192" s="21" t="s">
        <v>616</v>
      </c>
      <c r="I192" s="13">
        <v>42910.899386574078</v>
      </c>
      <c r="J192" s="7">
        <v>0</v>
      </c>
      <c r="K192" s="89" t="str">
        <f t="shared" si="60"/>
        <v>4017/4018</v>
      </c>
      <c r="L192" s="21" t="str">
        <f>VLOOKUP(A192,'Trips&amp;Operators'!$C$1:$G$99999,5,FALSE)</f>
        <v>MCREYNOLDS KYLE</v>
      </c>
      <c r="M192" s="6">
        <f t="shared" si="61"/>
        <v>9.6296296323998831E-3</v>
      </c>
      <c r="N192" s="7">
        <f t="shared" si="79"/>
        <v>13.866666670655832</v>
      </c>
      <c r="O192" s="7"/>
      <c r="P192" s="7"/>
      <c r="Q192" s="22"/>
      <c r="R192" s="170"/>
      <c r="S192" s="213">
        <f t="shared" ref="S192:S222" si="80">SUM(U192:U192)/IF(AG192="EC",12,1)</f>
        <v>1</v>
      </c>
      <c r="T192" s="195" t="str">
        <f t="shared" si="62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3"/>
        <v>https://d0f6bd738d7f1b3e5a7ca70fe4ff75f0.us-east-1.aws.found.io/app/kibana#/discover/Steve-Slow-Train-Analysis-(2080s-and-2083s)?_g=(refreshInterval:(display:Off,pause:!f,section:0,value:0),time:(from:'2017-06-24T20:15:17-0600',mode:absolute,to:'2017-06-24T22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2" s="197" t="str">
        <f>IF(AA192&lt;VLOOKUP(AG192,Variables!$AC$3:$AD$8,2,FALSE),"Y","N")</f>
        <v>N</v>
      </c>
      <c r="X192" s="197">
        <f t="shared" si="77"/>
        <v>1</v>
      </c>
      <c r="Y192" s="197">
        <f t="shared" si="75"/>
        <v>9.7799999999999998E-2</v>
      </c>
      <c r="Z192" s="197">
        <f t="shared" si="76"/>
        <v>5.8930999999999996</v>
      </c>
      <c r="AA192" s="197">
        <f t="shared" si="64"/>
        <v>5.7952999999999992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5"/>
        <v>1831</v>
      </c>
      <c r="AE192" s="77" t="str">
        <f t="shared" si="66"/>
        <v>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 &amp; 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</v>
      </c>
      <c r="AF192" s="74" t="str">
        <f t="shared" si="67"/>
        <v>"C:\Program Files (x86)\AstroGrep\AstroGrep.exe" /e /r /s /spath="%USERPROFILE%\AppData\Local\Temp\OnboardLogs" /stypes="app*4018*20170625*" /stext=" 03:.+((SYSTEM_STATE.+slice.+state.+changed )|(ment ac)|(multiple cpu faults)|(system.+state.+changed )|(\[timeout)|(PRM\|1\|D)|(kpr)|(kdp)|(train st.+moving)|(\|lc)|(penalty))"</v>
      </c>
      <c r="AG192" s="209" t="str">
        <f t="shared" si="68"/>
        <v>NW</v>
      </c>
      <c r="AH192" s="78" t="str">
        <f t="shared" si="69"/>
        <v>"%USERPROFILE%\Documents\GitHub\eaglep3\Utilities\RefineRTDCRunTimes.py" --tripid 1831-24 --locoid 4018 --swversion DE.1.0.9.0 --startMP 204:978 --initTime 2017-06-24T21:15:17 --startdatetime 2017-06-24T21:21:15 --delay 1 --endMP 300:58931 --enddatetime 2017-06-24T21:35:07 --enforcementcount 0 &gt;&gt;C:\Users\stu\Documents\GitHub\eaglep3-reporting\EC\2017-06-24-refined-times.txt</v>
      </c>
      <c r="AI192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{"issue":{"subject":"","project_id":79,"tracker_id":40,"status_id":1,"priority_id":2,"assigned_to_id":23,"start_date":"2017-06-24","description":"","custom_fields":[{"id":1,"name":"Subdivision","value":"NW"},{"id":4,"name":"Milepost","value":"5.8931"},{"id":17,"name":"Train ID","value":"1831-24"},{"id":16,"name":"Locomotive ID","value":"4018"},{"id":130,"name":"Impact","value":""},{"id":150,"name":"Time of Event (Mountain Time)","value":"21:35:07"},{"id":151,"name":"Denver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71"/>
        <v>start /low /b %USERPROFILE%\Documents\GitHub\eaglep3\Utilities\DownloadLogsFromS3.py --loco 4018 --day 2017-06-24</v>
      </c>
      <c r="AN192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03:35:07"},{"id":29,"name":"Sharepoint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847</v>
      </c>
      <c r="B193" s="7">
        <v>4017</v>
      </c>
      <c r="C193" s="21" t="s">
        <v>202</v>
      </c>
      <c r="D193" s="21" t="s">
        <v>488</v>
      </c>
      <c r="E193" s="13">
        <v>42910.900520833333</v>
      </c>
      <c r="F193" s="13">
        <v>42910.901898148149</v>
      </c>
      <c r="G193" s="7">
        <v>1</v>
      </c>
      <c r="H193" s="21" t="s">
        <v>621</v>
      </c>
      <c r="I193" s="13">
        <v>42910.913159722222</v>
      </c>
      <c r="J193" s="7">
        <v>0</v>
      </c>
      <c r="K193" s="89" t="str">
        <f t="shared" si="60"/>
        <v>4017/4018</v>
      </c>
      <c r="L193" s="21" t="str">
        <f>VLOOKUP(A193,'Trips&amp;Operators'!$C$1:$G$99999,5,FALSE)</f>
        <v>MCREYNOLDS KYLE</v>
      </c>
      <c r="M193" s="6">
        <f t="shared" si="61"/>
        <v>1.1261574072705116E-2</v>
      </c>
      <c r="N193" s="7">
        <f t="shared" si="79"/>
        <v>16.216666664695367</v>
      </c>
      <c r="O193" s="7"/>
      <c r="P193" s="7"/>
      <c r="Q193" s="22"/>
      <c r="R193" s="170"/>
      <c r="S193" s="213">
        <f t="shared" si="80"/>
        <v>1</v>
      </c>
      <c r="T193" s="195" t="str">
        <f t="shared" si="62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3"/>
        <v>https://d0f6bd738d7f1b3e5a7ca70fe4ff75f0.us-east-1.aws.found.io/app/kibana#/discover/Steve-Slow-Train-Analysis-(2080s-and-2083s)?_g=(refreshInterval:(display:Off,pause:!f,section:0,value:0),time:(from:'2017-06-24T20:36:45-0600',mode:absolute,to:'2017-06-24T22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3" s="197" t="str">
        <f>IF(AA193&lt;VLOOKUP(AG193,Variables!$AC$3:$AD$8,2,FALSE),"Y","N")</f>
        <v>N</v>
      </c>
      <c r="X193" s="197">
        <f t="shared" si="77"/>
        <v>1</v>
      </c>
      <c r="Y193" s="197">
        <f t="shared" si="75"/>
        <v>5.8613</v>
      </c>
      <c r="Z193" s="197">
        <f t="shared" si="76"/>
        <v>6.8699999999999997E-2</v>
      </c>
      <c r="AA193" s="197">
        <f t="shared" si="64"/>
        <v>5.7926000000000002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5"/>
        <v>1832</v>
      </c>
      <c r="AE193" s="77" t="str">
        <f t="shared" si="66"/>
        <v>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 &amp; 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</v>
      </c>
      <c r="AF193" s="74" t="str">
        <f t="shared" si="67"/>
        <v>"C:\Program Files (x86)\AstroGrep\AstroGrep.exe" /e /r /s /spath="%USERPROFILE%\AppData\Local\Temp\OnboardLogs" /stypes="app*4017*20170625*" /stext=" 03:.+((SYSTEM_STATE.+slice.+state.+changed )|(ment ac)|(multiple cpu faults)|(system.+state.+changed )|(\[timeout)|(PRM\|1\|D)|(kpr)|(kdp)|(train st.+moving)|(\|lc)|(penalty))"</v>
      </c>
      <c r="AG193" s="209" t="str">
        <f t="shared" si="68"/>
        <v>NW</v>
      </c>
      <c r="AH193" s="78" t="str">
        <f t="shared" si="69"/>
        <v>"%USERPROFILE%\Documents\GitHub\eaglep3\Utilities\RefineRTDCRunTimes.py" --tripid 1832-24 --locoid 4017 --swversion DE.1.0.9.0 --startMP 300:58613 --initTime 2017-06-24T21:36:45 --startdatetime 2017-06-24T21:38:44 --delay 1 --endMP 204:687 --enddatetime 2017-06-24T21:54:57 --enforcementcount 0 &gt;&gt;C:\Users\stu\Documents\GitHub\eaglep3-reporting\EC\2017-06-24-refined-times.txt</v>
      </c>
      <c r="AI193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{"issue":{"subject":"","project_id":79,"tracker_id":40,"status_id":1,"priority_id":2,"assigned_to_id":23,"start_date":"2017-06-24","description":"","custom_fields":[{"id":1,"name":"Subdivision","value":"NW"},{"id":4,"name":"Milepost","value":"0.0687"},{"id":17,"name":"Train ID","value":"1832-24"},{"id":16,"name":"Locomotive ID","value":"4017"},{"id":130,"name":"Impact","value":""},{"id":150,"name":"Time of Event (Mountain Time)","value":"21:54:57"},{"id":151,"name":"Denver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71"/>
        <v>start /low /b %USERPROFILE%\Documents\GitHub\eaglep3\Utilities\DownloadLogsFromS3.py --loco 4017 --day 2017-06-24</v>
      </c>
      <c r="AN193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03:54:57"},{"id":29,"name":"Sharepoint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850</v>
      </c>
      <c r="B194" s="7">
        <v>4018</v>
      </c>
      <c r="C194" s="21" t="s">
        <v>202</v>
      </c>
      <c r="D194" s="21" t="s">
        <v>617</v>
      </c>
      <c r="E194" s="13">
        <v>42910.914756944447</v>
      </c>
      <c r="F194" s="13">
        <v>42910.931446759256</v>
      </c>
      <c r="G194" s="7">
        <v>1</v>
      </c>
      <c r="H194" s="21" t="s">
        <v>624</v>
      </c>
      <c r="I194" s="13">
        <v>42910.941793981481</v>
      </c>
      <c r="J194" s="7">
        <v>0</v>
      </c>
      <c r="K194" s="89" t="str">
        <f t="shared" si="60"/>
        <v>4017/4018</v>
      </c>
      <c r="L194" s="21" t="str">
        <f>VLOOKUP(A194,'Trips&amp;Operators'!$C$1:$G$99999,5,FALSE)</f>
        <v>MCREYNOLDS KYLE</v>
      </c>
      <c r="M194" s="6">
        <f t="shared" si="61"/>
        <v>1.0347222225391306E-2</v>
      </c>
      <c r="N194" s="7">
        <f t="shared" si="79"/>
        <v>14.900000004563481</v>
      </c>
      <c r="O194" s="7"/>
      <c r="P194" s="7"/>
      <c r="Q194" s="22"/>
      <c r="R194" s="170"/>
      <c r="S194" s="213">
        <f t="shared" si="80"/>
        <v>1</v>
      </c>
      <c r="T194" s="195" t="str">
        <f t="shared" si="62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3"/>
        <v>https://d0f6bd738d7f1b3e5a7ca70fe4ff75f0.us-east-1.aws.found.io/app/kibana#/discover/Steve-Slow-Train-Analysis-(2080s-and-2083s)?_g=(refreshInterval:(display:Off,pause:!f,section:0,value:0),time:(from:'2017-06-24T20:57:15-0600',mode:absolute,to:'2017-06-24T23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4" s="197" t="str">
        <f>IF(AA194&lt;VLOOKUP(AG194,Variables!$AC$3:$AD$8,2,FALSE),"Y","N")</f>
        <v>N</v>
      </c>
      <c r="X194" s="197">
        <f t="shared" si="77"/>
        <v>1</v>
      </c>
      <c r="Y194" s="197">
        <f t="shared" si="75"/>
        <v>9.7199999999999995E-2</v>
      </c>
      <c r="Z194" s="197">
        <f t="shared" si="76"/>
        <v>5.8949999999999996</v>
      </c>
      <c r="AA194" s="197">
        <f t="shared" si="64"/>
        <v>5.7977999999999996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5"/>
        <v>1833</v>
      </c>
      <c r="AE194" s="77" t="str">
        <f t="shared" si="66"/>
        <v>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 &amp; 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</v>
      </c>
      <c r="AF194" s="74" t="str">
        <f t="shared" si="67"/>
        <v>"C:\Program Files (x86)\AstroGrep\AstroGrep.exe" /e /r /s /spath="%USERPROFILE%\AppData\Local\Temp\OnboardLogs" /stypes="app*4018*20170625*" /stext=" 04:.+((SYSTEM_STATE.+slice.+state.+changed )|(ment ac)|(multiple cpu faults)|(system.+state.+changed )|(\[timeout)|(PRM\|1\|D)|(kpr)|(kdp)|(train st.+moving)|(\|lc)|(penalty))"</v>
      </c>
      <c r="AG194" s="209" t="str">
        <f t="shared" si="68"/>
        <v>NW</v>
      </c>
      <c r="AH194" s="78" t="str">
        <f t="shared" si="69"/>
        <v>"%USERPROFILE%\Documents\GitHub\eaglep3\Utilities\RefineRTDCRunTimes.py" --tripid 1833-24 --locoid 4018 --swversion DE.1.0.9.0 --startMP 204:972 --initTime 2017-06-24T21:57:15 --startdatetime 2017-06-24T22:21:17 --delay 1 --endMP 300:58950 --enddatetime 2017-06-24T22:36:11 --enforcementcount 0 &gt;&gt;C:\Users\stu\Documents\GitHub\eaglep3-reporting\EC\2017-06-24-refined-times.txt</v>
      </c>
      <c r="AI194" s="96" t="str">
        <f t="shared" si="70"/>
        <v>echo {"issue":{"subject":"","project_id":79,"tracker_id":40,"status_id":1,"priority_id":2,"assigned_to_id":23,"start_date":"2017-06-24","description":"","custom_fields":[{"id":1,"name":"Subdivision","value":"NW"},{"id":4,"name":"Milepost","value":"5.895"},{"id":17,"name":"Train ID","value":"1833-24"},{"id":16,"name":"Locomotive ID","value":"4018"},{"id":130,"name":"Impact","value":""},{"id":150,"name":"Time of Event (Mountain Time)","value":"22:36:11"},{"id":151,"name":"Denver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71"/>
        <v>start /low /b %USERPROFILE%\Documents\GitHub\eaglep3\Utilities\DownloadLogsFromS3.py --loco 4018 --day 2017-06-24</v>
      </c>
      <c r="AN194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04:36:11"},{"id":29,"name":"Sharepoint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671</v>
      </c>
      <c r="B195" s="7">
        <v>4021</v>
      </c>
      <c r="C195" s="21" t="s">
        <v>202</v>
      </c>
      <c r="D195" s="21" t="s">
        <v>954</v>
      </c>
      <c r="E195" s="13">
        <v>42910.116689814815</v>
      </c>
      <c r="F195" s="13">
        <v>42910.11986111111</v>
      </c>
      <c r="G195" s="7">
        <v>4</v>
      </c>
      <c r="H195" s="21" t="s">
        <v>349</v>
      </c>
      <c r="I195" s="13">
        <v>42910.12599537037</v>
      </c>
      <c r="J195" s="7">
        <v>0</v>
      </c>
      <c r="K195" s="89" t="str">
        <f t="shared" si="60"/>
        <v>4021/4022</v>
      </c>
      <c r="L195" s="21" t="str">
        <f>VLOOKUP(A195,'Trips&amp;Operators'!$C$1:$G$99999,5,FALSE)</f>
        <v>MAELZER KURT</v>
      </c>
      <c r="M195" s="6">
        <f t="shared" si="61"/>
        <v>6.1342592598521151E-3</v>
      </c>
      <c r="N195" s="7">
        <f t="shared" si="79"/>
        <v>8.8333333341870457</v>
      </c>
      <c r="O195" s="7"/>
      <c r="P195" s="7"/>
      <c r="Q195" s="22"/>
      <c r="R195" s="170"/>
      <c r="S195" s="213">
        <f t="shared" si="80"/>
        <v>1</v>
      </c>
      <c r="T195" s="195" t="str">
        <f t="shared" si="62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63"/>
        <v>https://d0f6bd738d7f1b3e5a7ca70fe4ff75f0.us-east-1.aws.found.io/app/kibana#/discover/Steve-Slow-Train-Analysis-(2080s-and-2083s)?_g=(refreshInterval:(display:Off,pause:!f,section:0,value:0),time:(from:'2017-06-24T01:48:02-0600',mode:absolute,to:'2017-06-24T04:01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5" s="197" t="str">
        <f>IF(AA195&lt;VLOOKUP(AG195,Variables!$AC$3:$AD$8,2,FALSE),"Y","N")</f>
        <v>Y</v>
      </c>
      <c r="X195" s="197">
        <f t="shared" si="77"/>
        <v>-1533</v>
      </c>
      <c r="Y195" s="197">
        <f t="shared" si="75"/>
        <v>2.3132999999999999</v>
      </c>
      <c r="Z195" s="197">
        <f t="shared" si="76"/>
        <v>1.49E-2</v>
      </c>
      <c r="AA195" s="197">
        <f t="shared" si="64"/>
        <v>2.2984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5"/>
        <v>300</v>
      </c>
      <c r="AE195" s="77" t="str">
        <f t="shared" si="66"/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AF195" s="74" t="str">
        <f t="shared" si="67"/>
        <v>"C:\Program Files (x86)\AstroGrep\AstroGrep.exe" /e /r /s /spath="%USERPROFILE%\AppData\Local\Temp\OnboardLogs" /stypes="app*4021*20170624*" /stext=" 09:.+((SYSTEM_STATE.+slice.+state.+changed )|(ment ac)|(multiple cpu faults)|(system.+state.+changed )|(\[timeout)|(PRM\|1\|D)|(kpr)|(kdp)|(train st.+moving)|(\|lc)|(penalty))"</v>
      </c>
      <c r="AG195" s="209" t="str">
        <f t="shared" si="68"/>
        <v>Other</v>
      </c>
      <c r="AH195" s="78" t="str">
        <f t="shared" si="69"/>
        <v>"%USERPROFILE%\Documents\GitHub\eaglep3\Utilities\RefineRTDCRunTimes.py" --tripid 300-24 --locoid 4021 --swversion DE.1.0.9.0 --startMP 300:23133 --initTime 2017-06-24T02:48:02 --startdatetime 2017-06-24T02:52:36 --delay 4 --endMP 204:149 --enddatetime 2017-06-24T03:01:26 --enforcementcount 0 &gt;&gt;C:\Users\stu\Documents\GitHub\eaglep3-reporting\EC\2017-06-24-refined-times.txt</v>
      </c>
      <c r="AI195" s="96" t="str">
        <f t="shared" si="70"/>
        <v>echo {"issue":{"subject":"","project_id":79,"tracker_id":40,"status_id":1,"priority_id":2,"assigned_to_id":23,"start_date":"2017-06-24","description":"","custom_fields":[{"id":1,"name":"Subdivision","value":"Other"},{"id":4,"name":"Milepost","value":"0.0149"},{"id":17,"name":"Train ID","value":"300-24"},{"id":16,"name":"Locomotive ID","value":"4021"},{"id":130,"name":"Impact","value":""},{"id":150,"name":"Time of Event (Mountain Time)","value":"03:01:26"},{"id":151,"name":"Denver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1"/>
        <v>start /low /b %USERPROFILE%\Documents\GitHub\eaglep3\Utilities\DownloadLogsFromS3.py --loco 4021 --day 2017-06-24</v>
      </c>
      <c r="AN195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09:01:26"},{"id":29,"name":"Sharepoint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829</v>
      </c>
      <c r="B196" s="7">
        <v>4020</v>
      </c>
      <c r="C196" s="21" t="s">
        <v>202</v>
      </c>
      <c r="D196" s="21" t="s">
        <v>447</v>
      </c>
      <c r="E196" s="13">
        <v>42910.776759259257</v>
      </c>
      <c r="F196" s="13">
        <v>42910.779120370367</v>
      </c>
      <c r="G196" s="7">
        <v>1</v>
      </c>
      <c r="H196" s="21" t="s">
        <v>613</v>
      </c>
      <c r="I196" s="13">
        <v>42910.785567129627</v>
      </c>
      <c r="J196" s="7">
        <v>0</v>
      </c>
      <c r="K196" s="89" t="str">
        <f t="shared" si="60"/>
        <v>4019/4020</v>
      </c>
      <c r="L196" s="21" t="str">
        <f>VLOOKUP(A196,'Trips&amp;Operators'!$C$1:$G$99999,5,FALSE)</f>
        <v>BRUDER RICHARD</v>
      </c>
      <c r="M196" s="6">
        <f t="shared" si="61"/>
        <v>6.4467592601431534E-3</v>
      </c>
      <c r="N196" s="7">
        <f t="shared" si="79"/>
        <v>9.2833333346061409</v>
      </c>
      <c r="O196" s="7"/>
      <c r="P196" s="7"/>
      <c r="Q196" s="22"/>
      <c r="R196" s="170"/>
      <c r="S196" s="213">
        <f t="shared" si="80"/>
        <v>1</v>
      </c>
      <c r="T196" s="195" t="str">
        <f t="shared" si="62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3"/>
        <v>https://d0f6bd738d7f1b3e5a7ca70fe4ff75f0.us-east-1.aws.found.io/app/kibana#/discover/Steve-Slow-Train-Analysis-(2080s-and-2083s)?_g=(refreshInterval:(display:Off,pause:!f,section:0,value:0),time:(from:'2017-06-24T17:38:32-0600',mode:absolute,to:'2017-06-24T19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6" s="197" t="str">
        <f>IF(AA196&lt;VLOOKUP(AG196,Variables!$AC$3:$AD$8,2,FALSE),"Y","N")</f>
        <v>Y</v>
      </c>
      <c r="X196" s="197">
        <f t="shared" si="77"/>
        <v>1</v>
      </c>
      <c r="Y196" s="197">
        <f t="shared" si="75"/>
        <v>4.6899999999999997E-2</v>
      </c>
      <c r="Z196" s="197">
        <f t="shared" si="76"/>
        <v>2.3306</v>
      </c>
      <c r="AA196" s="197">
        <f t="shared" si="64"/>
        <v>2.2837000000000001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5"/>
        <v>301</v>
      </c>
      <c r="AE196" s="77" t="str">
        <f t="shared" si="66"/>
        <v>aws s3 cp s3://rtdc.mdm.uploadarchive.raw/RTDC4020/ "%USERPROFILE%\AppData\Local\Temp\OnboardLogs"\RTDC4020\2017-06-24 --exclude "*" --recursive --include "*20170624*" &amp; "%USERPROFILE%\Documents\GitHub\mrs-test-scripts\Headless Mode &amp; Sideloading\WalkAndUnGZ.bat" "%USERPROFILE%\AppData\Local\Temp\OnboardLogs"\RTDC4020\2017-06-24 &amp; aws s3 cp s3://rtdc.mdm.uploadarchive.raw/RTDC4020/ "%USERPROFILE%\AppData\Local\Temp\OnboardLogs"\RTDC4020\2017-06-25 --exclude "*" --recursive --include "*20170625*" &amp; "%USERPROFILE%\Documents\GitHub\mrs-test-scripts\Headless Mode &amp; Sideloading\WalkAndUnGZ.bat" "%USERPROFILE%\AppData\Local\Temp\OnboardLogs"\RTDC4020\2017-06-25</v>
      </c>
      <c r="AF196" s="74" t="str">
        <f t="shared" si="67"/>
        <v>"C:\Program Files (x86)\AstroGrep\AstroGrep.exe" /e /r /s /spath="%USERPROFILE%\AppData\Local\Temp\OnboardLogs" /stypes="app*4020*20170625*" /stext=" 00:.+((SYSTEM_STATE.+slice.+state.+changed )|(ment ac)|(multiple cpu faults)|(system.+state.+changed )|(\[timeout)|(PRM\|1\|D)|(kpr)|(kdp)|(train st.+moving)|(\|lc)|(penalty))"</v>
      </c>
      <c r="AG196" s="209" t="str">
        <f t="shared" si="68"/>
        <v>Other</v>
      </c>
      <c r="AH196" s="78" t="str">
        <f t="shared" si="69"/>
        <v>"%USERPROFILE%\Documents\GitHub\eaglep3\Utilities\RefineRTDCRunTimes.py" --tripid 301-24 --locoid 4020 --swversion DE.1.0.9.0 --startMP 204:469 --initTime 2017-06-24T18:38:32 --startdatetime 2017-06-24T18:41:56 --delay 1 --endMP 300:23306 --enddatetime 2017-06-24T18:51:13 --enforcementcount 0 &gt;&gt;C:\Users\stu\Documents\GitHub\eaglep3-reporting\EC\2017-06-24-refined-times.txt</v>
      </c>
      <c r="AI196" s="96" t="str">
        <f t="shared" si="70"/>
        <v>echo {"issue":{"subject":"","project_id":79,"tracker_id":40,"status_id":1,"priority_id":2,"assigned_to_id":23,"start_date":"2017-06-24","description":"","custom_fields":[{"id":1,"name":"Subdivision","value":"Other"},{"id":4,"name":"Milepost","value":"2.3306"},{"id":17,"name":"Train ID","value":"301-24"},{"id":16,"name":"Locomotive ID","value":"4020"},{"id":130,"name":"Impact","value":""},{"id":150,"name":"Time of Event (Mountain Time)","value":"18:51:13"},{"id":151,"name":"Denver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1"/>
        <v>start /low /b %USERPROFILE%\Documents\GitHub\eaglep3\Utilities\DownloadLogsFromS3.py --loco 4020 --day 2017-06-24</v>
      </c>
      <c r="AN196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00:51:13"},{"id":29,"name":"Sharepoint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s="20" customFormat="1" x14ac:dyDescent="0.25">
      <c r="A197" s="32" t="s">
        <v>676</v>
      </c>
      <c r="B197" s="7">
        <v>4041</v>
      </c>
      <c r="C197" s="21" t="s">
        <v>202</v>
      </c>
      <c r="D197" s="21" t="s">
        <v>955</v>
      </c>
      <c r="E197" s="13">
        <v>42910.133055555554</v>
      </c>
      <c r="F197" s="13">
        <v>42910.137337962966</v>
      </c>
      <c r="G197" s="7">
        <v>6</v>
      </c>
      <c r="H197" s="21" t="s">
        <v>193</v>
      </c>
      <c r="I197" s="13">
        <v>42910.146331018521</v>
      </c>
      <c r="J197" s="7">
        <v>0</v>
      </c>
      <c r="K197" s="89" t="str">
        <f t="shared" si="60"/>
        <v>4041/4042</v>
      </c>
      <c r="L197" s="21" t="str">
        <f>VLOOKUP(A197,'Trips&amp;Operators'!$C$1:$G$99999,5,FALSE)</f>
        <v>WILLIAMS DONTE</v>
      </c>
      <c r="M197" s="6">
        <f t="shared" si="61"/>
        <v>8.9930555550381541E-3</v>
      </c>
      <c r="N197" s="7">
        <f t="shared" si="79"/>
        <v>12.949999999254942</v>
      </c>
      <c r="O197" s="7"/>
      <c r="P197" s="7"/>
      <c r="Q197" s="22"/>
      <c r="R197" s="170"/>
      <c r="S197" s="213">
        <f t="shared" si="80"/>
        <v>1</v>
      </c>
      <c r="T197" s="195" t="str">
        <f t="shared" si="62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3"/>
        <v>https://d0f6bd738d7f1b3e5a7ca70fe4ff75f0.us-east-1.aws.found.io/app/kibana#/discover/Steve-Slow-Train-Analysis-(2080s-and-2083s)?_g=(refreshInterval:(display:Off,pause:!f,section:0,value:0),time:(from:'2017-06-24T02:11:36-0600',mode:absolute,to:'2017-06-24T04:30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7" s="197" t="str">
        <f>IF(AA197&lt;VLOOKUP(AG197,Variables!$AC$3:$AD$8,2,FALSE),"Y","N")</f>
        <v>Y</v>
      </c>
      <c r="X197" s="197">
        <f t="shared" si="77"/>
        <v>1</v>
      </c>
      <c r="Y197" s="197">
        <f t="shared" ref="Y197:Y222" si="81">RIGHT(D197,LEN(D197)-4)/10000</f>
        <v>2.3355000000000001</v>
      </c>
      <c r="Z197" s="197">
        <f t="shared" ref="Z197:Z222" si="82">RIGHT(H197,LEN(H197)-4)/10000</f>
        <v>1.52E-2</v>
      </c>
      <c r="AA197" s="197">
        <f t="shared" si="64"/>
        <v>2.3203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5"/>
        <v>302</v>
      </c>
      <c r="AE197" s="77" t="str">
        <f t="shared" si="66"/>
        <v>aws s3 cp s3://rtdc.mdm.uploadarchive.raw/RTDC4041/ "%USERPROFILE%\AppData\Local\Temp\OnboardLogs"\RTDC4041\2017-06-24 --exclude "*" --recursive --include "*20170624*" &amp; "%USERPROFILE%\Documents\GitHub\mrs-test-scripts\Headless Mode &amp; Sideloading\WalkAndUnGZ.bat" "%USERPROFILE%\AppData\Local\Temp\OnboardLogs"\RTDC4041\2017-06-24 &amp; aws s3 cp s3://rtdc.mdm.uploadarchive.raw/RTDC4041/ "%USERPROFILE%\AppData\Local\Temp\OnboardLogs"\RTDC4041\2017-06-25 --exclude "*" --recursive --include "*20170625*" &amp; "%USERPROFILE%\Documents\GitHub\mrs-test-scripts\Headless Mode &amp; Sideloading\WalkAndUnGZ.bat" "%USERPROFILE%\AppData\Local\Temp\OnboardLogs"\RTDC4041\2017-06-25</v>
      </c>
      <c r="AF197" s="74" t="str">
        <f t="shared" si="67"/>
        <v>"C:\Program Files (x86)\AstroGrep\AstroGrep.exe" /e /r /s /spath="%USERPROFILE%\AppData\Local\Temp\OnboardLogs" /stypes="app*4041*20170624*" /stext=" 09:.+((SYSTEM_STATE.+slice.+state.+changed )|(ment ac)|(multiple cpu faults)|(system.+state.+changed )|(\[timeout)|(PRM\|1\|D)|(kpr)|(kdp)|(train st.+moving)|(\|lc)|(penalty))"</v>
      </c>
      <c r="AG197" s="209" t="str">
        <f t="shared" si="68"/>
        <v>Other</v>
      </c>
      <c r="AH197" s="78" t="str">
        <f t="shared" si="69"/>
        <v>"%USERPROFILE%\Documents\GitHub\eaglep3\Utilities\RefineRTDCRunTimes.py" --tripid 302-24 --locoid 4041 --swversion DE.1.0.9.0 --startMP 300:23355 --initTime 2017-06-24T03:11:36 --startdatetime 2017-06-24T03:17:46 --delay 6 --endMP 204:152 --enddatetime 2017-06-24T03:30:43 --enforcementcount 0 &gt;&gt;C:\Users\stu\Documents\GitHub\eaglep3-reporting\EC\2017-06-24-refined-times.txt</v>
      </c>
      <c r="AI197" s="96" t="str">
        <f t="shared" si="70"/>
        <v>echo {"issue":{"subject":"","project_id":79,"tracker_id":40,"status_id":1,"priority_id":2,"assigned_to_id":23,"start_date":"2017-06-24","description":"","custom_fields":[{"id":1,"name":"Subdivision","value":"Other"},{"id":4,"name":"Milepost","value":"0.0152"},{"id":17,"name":"Train ID","value":"302-24"},{"id":16,"name":"Locomotive ID","value":"4041"},{"id":130,"name":"Impact","value":""},{"id":150,"name":"Time of Event (Mountain Time)","value":"03:30:43"},{"id":151,"name":"Denver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71"/>
        <v>start /low /b %USERPROFILE%\Documents\GitHub\eaglep3\Utilities\DownloadLogsFromS3.py --loco 4041 --day 2017-06-24</v>
      </c>
      <c r="AN197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09:30:43"},{"id":29,"name":"Sharepoint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833</v>
      </c>
      <c r="B198" s="7">
        <v>4014</v>
      </c>
      <c r="C198" s="21" t="s">
        <v>202</v>
      </c>
      <c r="D198" s="21" t="s">
        <v>351</v>
      </c>
      <c r="E198" s="13">
        <v>42910.797164351854</v>
      </c>
      <c r="F198" s="13">
        <v>42910.80300925926</v>
      </c>
      <c r="G198" s="7">
        <v>1</v>
      </c>
      <c r="H198" s="21" t="s">
        <v>629</v>
      </c>
      <c r="I198" s="13">
        <v>42910.809745370374</v>
      </c>
      <c r="J198" s="7">
        <v>0</v>
      </c>
      <c r="K198" s="89" t="str">
        <f t="shared" si="60"/>
        <v>4013/4014</v>
      </c>
      <c r="L198" s="21" t="str">
        <f>VLOOKUP(A198,'Trips&amp;Operators'!$C$1:$G$99999,5,FALSE)</f>
        <v>DELGADO DIANAH</v>
      </c>
      <c r="M198" s="6">
        <f t="shared" si="61"/>
        <v>6.7361111141508445E-3</v>
      </c>
      <c r="N198" s="7">
        <f t="shared" si="79"/>
        <v>9.7000000043772161</v>
      </c>
      <c r="O198" s="7"/>
      <c r="P198" s="7"/>
      <c r="Q198" s="22"/>
      <c r="R198" s="170"/>
      <c r="S198" s="213">
        <f t="shared" si="80"/>
        <v>1</v>
      </c>
      <c r="T198" s="195" t="str">
        <f t="shared" si="62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3"/>
        <v>https://d0f6bd738d7f1b3e5a7ca70fe4ff75f0.us-east-1.aws.found.io/app/kibana#/discover/Steve-Slow-Train-Analysis-(2080s-and-2083s)?_g=(refreshInterval:(display:Off,pause:!f,section:0,value:0),time:(from:'2017-06-24T18:07:55-0600',mode:absolute,to:'2017-06-24T20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8" s="197" t="str">
        <f>IF(AA198&lt;VLOOKUP(AG198,Variables!$AC$3:$AD$8,2,FALSE),"Y","N")</f>
        <v>Y</v>
      </c>
      <c r="X198" s="197">
        <f t="shared" si="77"/>
        <v>1</v>
      </c>
      <c r="Y198" s="197">
        <f t="shared" si="81"/>
        <v>4.6600000000000003E-2</v>
      </c>
      <c r="Z198" s="197">
        <f t="shared" si="82"/>
        <v>2.3300999999999998</v>
      </c>
      <c r="AA198" s="197">
        <f t="shared" si="64"/>
        <v>2.2834999999999996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5"/>
        <v>303</v>
      </c>
      <c r="AE198" s="77" t="str">
        <f t="shared" si="66"/>
        <v>aws s3 cp s3://rtdc.mdm.uploadarchive.raw/RTDC4014/ "%USERPROFILE%\AppData\Local\Temp\OnboardLogs"\RTDC4014\2017-06-24 --exclude "*" --recursive --include "*20170624*" &amp; "%USERPROFILE%\Documents\GitHub\mrs-test-scripts\Headless Mode &amp; Sideloading\WalkAndUnGZ.bat" "%USERPROFILE%\AppData\Local\Temp\OnboardLogs"\RTDC4014\2017-06-24 &amp; aws s3 cp s3://rtdc.mdm.uploadarchive.raw/RTDC4014/ "%USERPROFILE%\AppData\Local\Temp\OnboardLogs"\RTDC4014\2017-06-25 --exclude "*" --recursive --include "*20170625*" &amp; "%USERPROFILE%\Documents\GitHub\mrs-test-scripts\Headless Mode &amp; Sideloading\WalkAndUnGZ.bat" "%USERPROFILE%\AppData\Local\Temp\OnboardLogs"\RTDC4014\2017-06-25</v>
      </c>
      <c r="AF198" s="74" t="str">
        <f t="shared" si="67"/>
        <v>"C:\Program Files (x86)\AstroGrep\AstroGrep.exe" /e /r /s /spath="%USERPROFILE%\AppData\Local\Temp\OnboardLogs" /stypes="app*4014*20170625*" /stext=" 01:.+((SYSTEM_STATE.+slice.+state.+changed )|(ment ac)|(multiple cpu faults)|(system.+state.+changed )|(\[timeout)|(PRM\|1\|D)|(kpr)|(kdp)|(train st.+moving)|(\|lc)|(penalty))"</v>
      </c>
      <c r="AG198" s="209" t="str">
        <f t="shared" si="68"/>
        <v>Other</v>
      </c>
      <c r="AH198" s="78" t="str">
        <f t="shared" si="69"/>
        <v>"%USERPROFILE%\Documents\GitHub\eaglep3\Utilities\RefineRTDCRunTimes.py" --tripid 303-24 --locoid 4014 --swversion DE.1.0.9.0 --startMP 204:466 --initTime 2017-06-24T19:07:55 --startdatetime 2017-06-24T19:16:20 --delay 1 --endMP 300:23301 --enddatetime 2017-06-24T19:26:02 --enforcementcount 0 &gt;&gt;C:\Users\stu\Documents\GitHub\eaglep3-reporting\EC\2017-06-24-refined-times.txt</v>
      </c>
      <c r="AI198" s="96" t="str">
        <f t="shared" si="70"/>
        <v>echo {"issue":{"subject":"","project_id":79,"tracker_id":40,"status_id":1,"priority_id":2,"assigned_to_id":23,"start_date":"2017-06-24","description":"","custom_fields":[{"id":1,"name":"Subdivision","value":"Other"},{"id":4,"name":"Milepost","value":"2.3301"},{"id":17,"name":"Train ID","value":"303-24"},{"id":16,"name":"Locomotive ID","value":"4014"},{"id":130,"name":"Impact","value":""},{"id":150,"name":"Time of Event (Mountain Time)","value":"19:26:02"},{"id":151,"name":"Denver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71"/>
        <v>start /low /b %USERPROFILE%\Documents\GitHub\eaglep3\Utilities\DownloadLogsFromS3.py --loco 4014 --day 2017-06-24</v>
      </c>
      <c r="AN198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01:26:02"},{"id":29,"name":"Sharepoint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680</v>
      </c>
      <c r="B199" s="7">
        <v>4051</v>
      </c>
      <c r="C199" s="21" t="s">
        <v>202</v>
      </c>
      <c r="D199" s="21" t="s">
        <v>956</v>
      </c>
      <c r="E199" s="13">
        <v>42910.157129629632</v>
      </c>
      <c r="F199" s="13">
        <v>42910.160763888889</v>
      </c>
      <c r="G199" s="7">
        <v>5</v>
      </c>
      <c r="H199" s="21" t="s">
        <v>436</v>
      </c>
      <c r="I199" s="13">
        <v>42910.166828703703</v>
      </c>
      <c r="J199" s="7">
        <v>0</v>
      </c>
      <c r="K199" s="89" t="str">
        <f t="shared" si="60"/>
        <v>4051/4052</v>
      </c>
      <c r="L199" s="21" t="str">
        <f>VLOOKUP(A199,'Trips&amp;Operators'!$C$1:$G$99999,5,FALSE)</f>
        <v>DAVIS WENDY</v>
      </c>
      <c r="M199" s="6">
        <f t="shared" si="61"/>
        <v>6.064814813726116E-3</v>
      </c>
      <c r="N199" s="7">
        <f t="shared" si="79"/>
        <v>8.733333331765607</v>
      </c>
      <c r="O199" s="7"/>
      <c r="P199" s="7"/>
      <c r="Q199" s="22"/>
      <c r="R199" s="170"/>
      <c r="S199" s="213">
        <f t="shared" si="80"/>
        <v>1</v>
      </c>
      <c r="T199" s="195" t="str">
        <f t="shared" si="62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3"/>
        <v>https://d0f6bd738d7f1b3e5a7ca70fe4ff75f0.us-east-1.aws.found.io/app/kibana#/discover/Steve-Slow-Train-Analysis-(2080s-and-2083s)?_g=(refreshInterval:(display:Off,pause:!f,section:0,value:0),time:(from:'2017-06-24T02:46:16-0600',mode:absolute,to:'2017-06-24T05:00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9" s="197" t="str">
        <f>IF(AA199&lt;VLOOKUP(AG199,Variables!$AC$3:$AD$8,2,FALSE),"Y","N")</f>
        <v>Y</v>
      </c>
      <c r="X199" s="197">
        <f t="shared" si="77"/>
        <v>1</v>
      </c>
      <c r="Y199" s="197">
        <f t="shared" si="81"/>
        <v>2.3597000000000001</v>
      </c>
      <c r="Z199" s="197">
        <f t="shared" si="82"/>
        <v>1.5599999999999999E-2</v>
      </c>
      <c r="AA199" s="197">
        <f t="shared" si="64"/>
        <v>2.3441000000000001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5"/>
        <v>304</v>
      </c>
      <c r="AE199" s="77" t="str">
        <f t="shared" si="66"/>
        <v>aws s3 cp s3://rtdc.mdm.uploadarchive.raw/RTDC4051/ "%USERPROFILE%\AppData\Local\Temp\OnboardLogs"\RTDC4051\2017-06-24 --exclude "*" --recursive --include "*20170624*" &amp; "%USERPROFILE%\Documents\GitHub\mrs-test-scripts\Headless Mode &amp; Sideloading\WalkAndUnGZ.bat" "%USERPROFILE%\AppData\Local\Temp\OnboardLogs"\RTDC4051\2017-06-24 &amp; aws s3 cp s3://rtdc.mdm.uploadarchive.raw/RTDC4051/ "%USERPROFILE%\AppData\Local\Temp\OnboardLogs"\RTDC4051\2017-06-25 --exclude "*" --recursive --include "*20170625*" &amp; "%USERPROFILE%\Documents\GitHub\mrs-test-scripts\Headless Mode &amp; Sideloading\WalkAndUnGZ.bat" "%USERPROFILE%\AppData\Local\Temp\OnboardLogs"\RTDC4051\2017-06-25</v>
      </c>
      <c r="AF199" s="74" t="str">
        <f t="shared" si="67"/>
        <v>"C:\Program Files (x86)\AstroGrep\AstroGrep.exe" /e /r /s /spath="%USERPROFILE%\AppData\Local\Temp\OnboardLogs" /stypes="app*4051*20170624*" /stext=" 10:.+((SYSTEM_STATE.+slice.+state.+changed )|(ment ac)|(multiple cpu faults)|(system.+state.+changed )|(\[timeout)|(PRM\|1\|D)|(kpr)|(kdp)|(train st.+moving)|(\|lc)|(penalty))"</v>
      </c>
      <c r="AG199" s="209" t="str">
        <f t="shared" si="68"/>
        <v>Other</v>
      </c>
      <c r="AH199" s="78" t="str">
        <f t="shared" si="69"/>
        <v>"%USERPROFILE%\Documents\GitHub\eaglep3\Utilities\RefineRTDCRunTimes.py" --tripid 304-24 --locoid 4051 --swversion DE.1.0.9.0 --startMP 300:23597 --initTime 2017-06-24T03:46:16 --startdatetime 2017-06-24T03:51:30 --delay 5 --endMP 204:156 --enddatetime 2017-06-24T04:00:14 --enforcementcount 0 &gt;&gt;C:\Users\stu\Documents\GitHub\eaglep3-reporting\EC\2017-06-24-refined-times.txt</v>
      </c>
      <c r="AI199" s="96" t="str">
        <f t="shared" si="70"/>
        <v>echo {"issue":{"subject":"","project_id":79,"tracker_id":40,"status_id":1,"priority_id":2,"assigned_to_id":23,"start_date":"2017-06-24","description":"","custom_fields":[{"id":1,"name":"Subdivision","value":"Other"},{"id":4,"name":"Milepost","value":"0.0156"},{"id":17,"name":"Train ID","value":"304-24"},{"id":16,"name":"Locomotive ID","value":"4051"},{"id":130,"name":"Impact","value":""},{"id":150,"name":"Time of Event (Mountain Time)","value":"04:00:14"},{"id":151,"name":"Denver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71"/>
        <v>start /low /b %USERPROFILE%\Documents\GitHub\eaglep3\Utilities\DownloadLogsFromS3.py --loco 4051 --day 2017-06-24</v>
      </c>
      <c r="AN199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10:00:14"},{"id":29,"name":"Sharepoint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659</v>
      </c>
      <c r="B200" s="7">
        <v>4016</v>
      </c>
      <c r="C200" s="21" t="s">
        <v>202</v>
      </c>
      <c r="D200" s="21" t="s">
        <v>435</v>
      </c>
      <c r="E200" s="13">
        <v>42910.817291666666</v>
      </c>
      <c r="F200" s="13">
        <v>42910.82</v>
      </c>
      <c r="G200" s="7">
        <v>1</v>
      </c>
      <c r="H200" s="21" t="s">
        <v>612</v>
      </c>
      <c r="I200" s="13">
        <v>42910.826643518521</v>
      </c>
      <c r="J200" s="7">
        <v>0</v>
      </c>
      <c r="K200" s="89" t="str">
        <f t="shared" si="60"/>
        <v>4015/4016</v>
      </c>
      <c r="L200" s="21" t="str">
        <f>VLOOKUP(A200,'Trips&amp;Operators'!$C$1:$G$99999,5,FALSE)</f>
        <v>HART KEVIN</v>
      </c>
      <c r="M200" s="6">
        <f t="shared" si="61"/>
        <v>6.6435185217414983E-3</v>
      </c>
      <c r="N200" s="7">
        <f t="shared" si="79"/>
        <v>9.5666666713077575</v>
      </c>
      <c r="O200" s="7"/>
      <c r="P200" s="7"/>
      <c r="Q200" s="22"/>
      <c r="R200" s="170"/>
      <c r="S200" s="213">
        <f t="shared" si="80"/>
        <v>1</v>
      </c>
      <c r="T200" s="195" t="str">
        <f t="shared" si="62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3"/>
        <v>https://d0f6bd738d7f1b3e5a7ca70fe4ff75f0.us-east-1.aws.found.io/app/kibana#/discover/Steve-Slow-Train-Analysis-(2080s-and-2083s)?_g=(refreshInterval:(display:Off,pause:!f,section:0,value:0),time:(from:'2017-06-24T18:36:54-0600',mode:absolute,to:'2017-06-24T20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0" s="197" t="str">
        <f>IF(AA200&lt;VLOOKUP(AG200,Variables!$AC$3:$AD$8,2,FALSE),"Y","N")</f>
        <v>Y</v>
      </c>
      <c r="X200" s="197">
        <f t="shared" si="77"/>
        <v>1</v>
      </c>
      <c r="Y200" s="197">
        <f t="shared" si="81"/>
        <v>4.6699999999999998E-2</v>
      </c>
      <c r="Z200" s="197">
        <f t="shared" si="82"/>
        <v>2.3304</v>
      </c>
      <c r="AA200" s="197">
        <f t="shared" si="64"/>
        <v>2.2837000000000001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5"/>
        <v>305</v>
      </c>
      <c r="AE200" s="77" t="str">
        <f t="shared" si="66"/>
        <v>aws s3 cp s3://rtdc.mdm.uploadarchive.raw/RTDC4016/ "%USERPROFILE%\AppData\Local\Temp\OnboardLogs"\RTDC4016\2017-06-24 --exclude "*" --recursive --include "*20170624*" &amp; "%USERPROFILE%\Documents\GitHub\mrs-test-scripts\Headless Mode &amp; Sideloading\WalkAndUnGZ.bat" "%USERPROFILE%\AppData\Local\Temp\OnboardLogs"\RTDC4016\2017-06-24 &amp; aws s3 cp s3://rtdc.mdm.uploadarchive.raw/RTDC4016/ "%USERPROFILE%\AppData\Local\Temp\OnboardLogs"\RTDC4016\2017-06-25 --exclude "*" --recursive --include "*20170625*" &amp; "%USERPROFILE%\Documents\GitHub\mrs-test-scripts\Headless Mode &amp; Sideloading\WalkAndUnGZ.bat" "%USERPROFILE%\AppData\Local\Temp\OnboardLogs"\RTDC4016\2017-06-25</v>
      </c>
      <c r="AF200" s="74" t="str">
        <f t="shared" si="67"/>
        <v>"C:\Program Files (x86)\AstroGrep\AstroGrep.exe" /e /r /s /spath="%USERPROFILE%\AppData\Local\Temp\OnboardLogs" /stypes="app*4016*20170625*" /stext=" 01:.+((SYSTEM_STATE.+slice.+state.+changed )|(ment ac)|(multiple cpu faults)|(system.+state.+changed )|(\[timeout)|(PRM\|1\|D)|(kpr)|(kdp)|(train st.+moving)|(\|lc)|(penalty))"</v>
      </c>
      <c r="AG200" s="209" t="str">
        <f t="shared" si="68"/>
        <v>Other</v>
      </c>
      <c r="AH200" s="78" t="str">
        <f t="shared" si="69"/>
        <v>"%USERPROFILE%\Documents\GitHub\eaglep3\Utilities\RefineRTDCRunTimes.py" --tripid 305-24 --locoid 4016 --swversion DE.1.0.9.0 --startMP 204:467 --initTime 2017-06-24T19:36:54 --startdatetime 2017-06-24T19:40:48 --delay 1 --endMP 300:23304 --enddatetime 2017-06-24T19:50:22 --enforcementcount 0 &gt;&gt;C:\Users\stu\Documents\GitHub\eaglep3-reporting\EC\2017-06-24-refined-times.txt</v>
      </c>
      <c r="AI200" s="96" t="str">
        <f t="shared" si="70"/>
        <v>echo {"issue":{"subject":"","project_id":79,"tracker_id":40,"status_id":1,"priority_id":2,"assigned_to_id":23,"start_date":"2017-06-24","description":"","custom_fields":[{"id":1,"name":"Subdivision","value":"Other"},{"id":4,"name":"Milepost","value":"2.3304"},{"id":17,"name":"Train ID","value":"305-24"},{"id":16,"name":"Locomotive ID","value":"4016"},{"id":130,"name":"Impact","value":""},{"id":150,"name":"Time of Event (Mountain Time)","value":"19:50:22"},{"id":151,"name":"Denver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71"/>
        <v>start /low /b %USERPROFILE%\Documents\GitHub\eaglep3\Utilities\DownloadLogsFromS3.py --loco 4016 --day 2017-06-24</v>
      </c>
      <c r="AN200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01:50:22"},{"id":29,"name":"Sharepoint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684</v>
      </c>
      <c r="B201" s="7">
        <v>4043</v>
      </c>
      <c r="C201" s="21" t="s">
        <v>202</v>
      </c>
      <c r="D201" s="21" t="s">
        <v>957</v>
      </c>
      <c r="E201" s="13">
        <v>42910.172349537039</v>
      </c>
      <c r="F201" s="13">
        <v>42910.178182870368</v>
      </c>
      <c r="G201" s="7">
        <v>8</v>
      </c>
      <c r="H201" s="21" t="s">
        <v>194</v>
      </c>
      <c r="I201" s="13">
        <v>42910.183333333334</v>
      </c>
      <c r="J201" s="7">
        <v>0</v>
      </c>
      <c r="K201" s="89" t="str">
        <f t="shared" si="60"/>
        <v>4043/4044</v>
      </c>
      <c r="L201" s="21" t="str">
        <f>VLOOKUP(A201,'Trips&amp;Operators'!$C$1:$G$99999,5,FALSE)</f>
        <v>GEBRETEKLE DAGNEW</v>
      </c>
      <c r="M201" s="6">
        <f t="shared" si="61"/>
        <v>5.1504629664123058E-3</v>
      </c>
      <c r="N201" s="7">
        <f t="shared" si="79"/>
        <v>7.4166666716337204</v>
      </c>
      <c r="O201" s="7"/>
      <c r="P201" s="7"/>
      <c r="Q201" s="22"/>
      <c r="R201" s="170"/>
      <c r="S201" s="213">
        <f t="shared" si="80"/>
        <v>1</v>
      </c>
      <c r="T201" s="195" t="str">
        <f t="shared" si="62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3"/>
        <v>https://d0f6bd738d7f1b3e5a7ca70fe4ff75f0.us-east-1.aws.found.io/app/kibana#/discover/Steve-Slow-Train-Analysis-(2080s-and-2083s)?_g=(refreshInterval:(display:Off,pause:!f,section:0,value:0),time:(from:'2017-06-24T03:08:11-0600',mode:absolute,to:'2017-06-24T05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1" s="197" t="str">
        <f>IF(AA201&lt;VLOOKUP(AG201,Variables!$AC$3:$AD$8,2,FALSE),"Y","N")</f>
        <v>Y</v>
      </c>
      <c r="X201" s="197">
        <f t="shared" si="77"/>
        <v>1</v>
      </c>
      <c r="Y201" s="197">
        <f t="shared" si="81"/>
        <v>2.3578000000000001</v>
      </c>
      <c r="Z201" s="197">
        <f t="shared" si="82"/>
        <v>1.5800000000000002E-2</v>
      </c>
      <c r="AA201" s="197">
        <f t="shared" si="64"/>
        <v>2.3420000000000001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5"/>
        <v>306</v>
      </c>
      <c r="AE201" s="77" t="str">
        <f t="shared" si="66"/>
        <v>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 &amp; 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</v>
      </c>
      <c r="AF201" s="74" t="str">
        <f t="shared" si="67"/>
        <v>"C:\Program Files (x86)\AstroGrep\AstroGrep.exe" /e /r /s /spath="%USERPROFILE%\AppData\Local\Temp\OnboardLogs" /stypes="app*4043*20170624*" /stext=" 10:.+((SYSTEM_STATE.+slice.+state.+changed )|(ment ac)|(multiple cpu faults)|(system.+state.+changed )|(\[timeout)|(PRM\|1\|D)|(kpr)|(kdp)|(train st.+moving)|(\|lc)|(penalty))"</v>
      </c>
      <c r="AG201" s="209" t="str">
        <f t="shared" si="68"/>
        <v>Other</v>
      </c>
      <c r="AH201" s="78" t="str">
        <f t="shared" si="69"/>
        <v>"%USERPROFILE%\Documents\GitHub\eaglep3\Utilities\RefineRTDCRunTimes.py" --tripid 306-24 --locoid 4043 --swversion DE.1.0.9.0 --startMP 300:23578 --initTime 2017-06-24T04:08:11 --startdatetime 2017-06-24T04:16:35 --delay 8 --endMP 204:158 --enddatetime 2017-06-24T04:24:00 --enforcementcount 0 &gt;&gt;C:\Users\stu\Documents\GitHub\eaglep3-reporting\EC\2017-06-24-refined-times.txt</v>
      </c>
      <c r="AI201" s="96" t="str">
        <f t="shared" si="70"/>
        <v>echo {"issue":{"subject":"","project_id":79,"tracker_id":40,"status_id":1,"priority_id":2,"assigned_to_id":23,"start_date":"2017-06-24","description":"","custom_fields":[{"id":1,"name":"Subdivision","value":"Other"},{"id":4,"name":"Milepost","value":"0.0158"},{"id":17,"name":"Train ID","value":"306-24"},{"id":16,"name":"Locomotive ID","value":"4043"},{"id":130,"name":"Impact","value":""},{"id":150,"name":"Time of Event (Mountain Time)","value":"04:24:00"},{"id":151,"name":"Denver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1"/>
        <v>start /low /b %USERPROFILE%\Documents\GitHub\eaglep3\Utilities\DownloadLogsFromS3.py --loco 4043 --day 2017-06-24</v>
      </c>
      <c r="AN201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10:24:00"},{"id":29,"name":"Sharepoint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860</v>
      </c>
      <c r="B202" s="7">
        <v>4042</v>
      </c>
      <c r="C202" s="21" t="s">
        <v>202</v>
      </c>
      <c r="D202" s="21" t="s">
        <v>391</v>
      </c>
      <c r="E202" s="13">
        <v>42911.047071759262</v>
      </c>
      <c r="F202" s="13">
        <v>42911.048726851855</v>
      </c>
      <c r="G202" s="7">
        <v>1</v>
      </c>
      <c r="H202" s="21" t="s">
        <v>611</v>
      </c>
      <c r="I202" s="13">
        <v>42911.057256944441</v>
      </c>
      <c r="J202" s="7">
        <v>0</v>
      </c>
      <c r="K202" s="89" t="str">
        <f t="shared" si="60"/>
        <v>4041/4042</v>
      </c>
      <c r="L202" s="21" t="str">
        <f>VLOOKUP(A202,'Trips&amp;Operators'!$C$1:$G$99999,5,FALSE)</f>
        <v>YANG JAN</v>
      </c>
      <c r="M202" s="6">
        <f t="shared" si="61"/>
        <v>8.5300925857154652E-3</v>
      </c>
      <c r="N202" s="7">
        <f t="shared" si="79"/>
        <v>12.28333332343027</v>
      </c>
      <c r="O202" s="7"/>
      <c r="P202" s="7"/>
      <c r="Q202" s="22"/>
      <c r="R202" s="170"/>
      <c r="S202" s="213">
        <f t="shared" si="80"/>
        <v>1</v>
      </c>
      <c r="T202" s="195" t="str">
        <f t="shared" si="62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3"/>
        <v>https://d0f6bd738d7f1b3e5a7ca70fe4ff75f0.us-east-1.aws.found.io/app/kibana#/discover/Steve-Slow-Train-Analysis-(2080s-and-2083s)?_g=(refreshInterval:(display:Off,pause:!f,section:0,value:0),time:(from:'2017-06-25T00:07:47-0600',mode:absolute,to:'2017-06-25T02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2" s="197" t="str">
        <f>IF(AA202&lt;VLOOKUP(AG202,Variables!$AC$3:$AD$8,2,FALSE),"Y","N")</f>
        <v>Y</v>
      </c>
      <c r="X202" s="197">
        <f t="shared" si="77"/>
        <v>1</v>
      </c>
      <c r="Y202" s="197">
        <f t="shared" si="81"/>
        <v>4.6199999999999998E-2</v>
      </c>
      <c r="Z202" s="197">
        <f t="shared" si="82"/>
        <v>2.331</v>
      </c>
      <c r="AA202" s="197">
        <f t="shared" si="64"/>
        <v>2.2848000000000002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5"/>
        <v>307</v>
      </c>
      <c r="AE202" s="77" t="str">
        <f t="shared" si="66"/>
        <v>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 &amp; aws s3 cp s3://rtdc.mdm.uploadarchive.raw/RTDC4042/ "%USERPROFILE%\AppData\Local\Temp\OnboardLogs"\RTDC4042\2017-06-26 --exclude "*" --recursive --include "*20170626*" &amp; "%USERPROFILE%\Documents\GitHub\mrs-test-scripts\Headless Mode &amp; Sideloading\WalkAndUnGZ.bat" "%USERPROFILE%\AppData\Local\Temp\OnboardLogs"\RTDC4042\2017-06-26</v>
      </c>
      <c r="AF202" s="74" t="str">
        <f t="shared" si="67"/>
        <v>"C:\Program Files (x86)\AstroGrep\AstroGrep.exe" /e /r /s /spath="%USERPROFILE%\AppData\Local\Temp\OnboardLogs" /stypes="app*4042*20170625*" /stext=" 07:.+((SYSTEM_STATE.+slice.+state.+changed )|(ment ac)|(multiple cpu faults)|(system.+state.+changed )|(\[timeout)|(PRM\|1\|D)|(kpr)|(kdp)|(train st.+moving)|(\|lc)|(penalty))"</v>
      </c>
      <c r="AG202" s="209" t="str">
        <f t="shared" si="68"/>
        <v>Other</v>
      </c>
      <c r="AH202" s="78" t="str">
        <f t="shared" si="69"/>
        <v>"%USERPROFILE%\Documents\GitHub\eaglep3\Utilities\RefineRTDCRunTimes.py" --tripid 307-24 --locoid 4042 --swversion DE.1.0.9.0 --startMP 204:462 --initTime 2017-06-25T01:07:47 --startdatetime 2017-06-25T01:10:10 --delay 1 --endMP 300:23310 --enddatetime 2017-06-25T01:22:27 --enforcementcount 0 &gt;&gt;C:\Users\stu\Documents\GitHub\eaglep3-reporting\EC\2017-06-24-refined-times.txt</v>
      </c>
      <c r="AI202" s="96" t="str">
        <f t="shared" si="70"/>
        <v>echo {"issue":{"subject":"","project_id":79,"tracker_id":40,"status_id":1,"priority_id":2,"assigned_to_id":23,"start_date":"2017-06-25","description":"","custom_fields":[{"id":1,"name":"Subdivision","value":"Other"},{"id":4,"name":"Milepost","value":"2.331"},{"id":17,"name":"Train ID","value":"307-24"},{"id":16,"name":"Locomotive ID","value":"4042"},{"id":130,"name":"Impact","value":""},{"id":150,"name":"Time of Event (Mountain Time)","value":"01:22:27"},{"id":151,"name":"Denver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71"/>
        <v>start /low /b %USERPROFILE%\Documents\GitHub\eaglep3\Utilities\DownloadLogsFromS3.py --loco 4042 --day 2017-06-25</v>
      </c>
      <c r="AN202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07:22:27"},{"id":29,"name":"Sharepoint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685</v>
      </c>
      <c r="B203" s="7">
        <v>4019</v>
      </c>
      <c r="C203" s="21" t="s">
        <v>202</v>
      </c>
      <c r="D203" s="21" t="s">
        <v>958</v>
      </c>
      <c r="E203" s="13">
        <v>42910.176759259259</v>
      </c>
      <c r="F203" s="13">
        <v>42910.18172453704</v>
      </c>
      <c r="G203" s="7">
        <v>7</v>
      </c>
      <c r="H203" s="21" t="s">
        <v>348</v>
      </c>
      <c r="I203" s="13">
        <v>42910.191990740743</v>
      </c>
      <c r="J203" s="7">
        <v>0</v>
      </c>
      <c r="K203" s="89" t="str">
        <f t="shared" si="60"/>
        <v>4019/4020</v>
      </c>
      <c r="L203" s="21" t="str">
        <f>VLOOKUP(A203,'Trips&amp;Operators'!$C$1:$G$99999,5,FALSE)</f>
        <v>LALONDE GREGORY</v>
      </c>
      <c r="M203" s="6">
        <f t="shared" si="61"/>
        <v>1.0266203702485655E-2</v>
      </c>
      <c r="N203" s="7">
        <f t="shared" si="79"/>
        <v>14.783333331579342</v>
      </c>
      <c r="O203" s="7"/>
      <c r="P203" s="7"/>
      <c r="Q203" s="22"/>
      <c r="R203" s="170"/>
      <c r="S203" s="213">
        <f t="shared" si="80"/>
        <v>1</v>
      </c>
      <c r="T203" s="195" t="str">
        <f t="shared" si="62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3"/>
        <v>https://d0f6bd738d7f1b3e5a7ca70fe4ff75f0.us-east-1.aws.found.io/app/kibana#/discover/Steve-Slow-Train-Analysis-(2080s-and-2083s)?_g=(refreshInterval:(display:Off,pause:!f,section:0,value:0),time:(from:'2017-06-24T03:14:32-0600',mode:absolute,to:'2017-06-24T05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3" s="197" t="str">
        <f>IF(AA203&lt;VLOOKUP(AG203,Variables!$AC$3:$AD$8,2,FALSE),"Y","N")</f>
        <v>Y</v>
      </c>
      <c r="X203" s="197">
        <f t="shared" ref="X203:X222" si="83">VALUE(LEFT(AD203,4))-VALUE(LEFT(AD202,4))</f>
        <v>1</v>
      </c>
      <c r="Y203" s="197">
        <f t="shared" si="81"/>
        <v>2.3447</v>
      </c>
      <c r="Z203" s="197">
        <f t="shared" si="82"/>
        <v>1.4999999999999999E-2</v>
      </c>
      <c r="AA203" s="197">
        <f t="shared" si="64"/>
        <v>2.3296999999999999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5"/>
        <v>308</v>
      </c>
      <c r="AE203" s="77" t="str">
        <f t="shared" si="66"/>
        <v>aws s3 cp s3://rtdc.mdm.uploadarchive.raw/RTDC4019/ "%USERPROFILE%\AppData\Local\Temp\OnboardLogs"\RTDC4019\2017-06-24 --exclude "*" --recursive --include "*20170624*" &amp; "%USERPROFILE%\Documents\GitHub\mrs-test-scripts\Headless Mode &amp; Sideloading\WalkAndUnGZ.bat" "%USERPROFILE%\AppData\Local\Temp\OnboardLogs"\RTDC4019\2017-06-24 &amp; aws s3 cp s3://rtdc.mdm.uploadarchive.raw/RTDC4019/ "%USERPROFILE%\AppData\Local\Temp\OnboardLogs"\RTDC4019\2017-06-25 --exclude "*" --recursive --include "*20170625*" &amp; "%USERPROFILE%\Documents\GitHub\mrs-test-scripts\Headless Mode &amp; Sideloading\WalkAndUnGZ.bat" "%USERPROFILE%\AppData\Local\Temp\OnboardLogs"\RTDC4019\2017-06-25</v>
      </c>
      <c r="AF203" s="74" t="str">
        <f t="shared" si="67"/>
        <v>"C:\Program Files (x86)\AstroGrep\AstroGrep.exe" /e /r /s /spath="%USERPROFILE%\AppData\Local\Temp\OnboardLogs" /stypes="app*4019*20170624*" /stext=" 10:.+((SYSTEM_STATE.+slice.+state.+changed )|(ment ac)|(multiple cpu faults)|(system.+state.+changed )|(\[timeout)|(PRM\|1\|D)|(kpr)|(kdp)|(train st.+moving)|(\|lc)|(penalty))"</v>
      </c>
      <c r="AG203" s="209" t="str">
        <f t="shared" si="68"/>
        <v>Other</v>
      </c>
      <c r="AH203" s="78" t="str">
        <f t="shared" si="69"/>
        <v>"%USERPROFILE%\Documents\GitHub\eaglep3\Utilities\RefineRTDCRunTimes.py" --tripid 308-24 --locoid 4019 --swversion DE.1.0.9.0 --startMP 300:23447 --initTime 2017-06-24T04:14:32 --startdatetime 2017-06-24T04:21:41 --delay 7 --endMP 204:150 --enddatetime 2017-06-24T04:36:28 --enforcementcount 0 &gt;&gt;C:\Users\stu\Documents\GitHub\eaglep3-reporting\EC\2017-06-24-refined-times.txt</v>
      </c>
      <c r="AI203" s="96" t="str">
        <f t="shared" si="70"/>
        <v>echo {"issue":{"subject":"","project_id":79,"tracker_id":40,"status_id":1,"priority_id":2,"assigned_to_id":23,"start_date":"2017-06-24","description":"","custom_fields":[{"id":1,"name":"Subdivision","value":"Other"},{"id":4,"name":"Milepost","value":"0.015"},{"id":17,"name":"Train ID","value":"308-24"},{"id":16,"name":"Locomotive ID","value":"4019"},{"id":130,"name":"Impact","value":""},{"id":150,"name":"Time of Event (Mountain Time)","value":"04:36:28"},{"id":151,"name":"Denver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1"/>
        <v>start /low /b %USERPROFILE%\Documents\GitHub\eaglep3\Utilities\DownloadLogsFromS3.py --loco 4019 --day 2017-06-24</v>
      </c>
      <c r="AN203" s="151" t="str">
        <f t="shared" si="72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10:36:28"},{"id":29,"name":"Sharepoint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861</v>
      </c>
      <c r="B204" s="7">
        <v>4022</v>
      </c>
      <c r="C204" s="21" t="s">
        <v>202</v>
      </c>
      <c r="D204" s="21" t="s">
        <v>198</v>
      </c>
      <c r="E204" s="13">
        <v>42911.067974537036</v>
      </c>
      <c r="F204" s="13">
        <v>42911.07104166667</v>
      </c>
      <c r="G204" s="7">
        <v>1</v>
      </c>
      <c r="H204" s="21" t="s">
        <v>613</v>
      </c>
      <c r="I204" s="13">
        <v>42911.078240740739</v>
      </c>
      <c r="J204" s="7">
        <v>0</v>
      </c>
      <c r="K204" s="89" t="str">
        <f t="shared" si="60"/>
        <v>4021/4022</v>
      </c>
      <c r="L204" s="21" t="str">
        <f>VLOOKUP(A204,'Trips&amp;Operators'!$C$1:$G$99999,5,FALSE)</f>
        <v>PERKINS DARREN</v>
      </c>
      <c r="M204" s="6">
        <f t="shared" si="61"/>
        <v>7.1990740689216182E-3</v>
      </c>
      <c r="N204" s="7">
        <f t="shared" si="79"/>
        <v>10.36666665924713</v>
      </c>
      <c r="O204" s="7"/>
      <c r="P204" s="7"/>
      <c r="Q204" s="22"/>
      <c r="R204" s="170"/>
      <c r="S204" s="213">
        <f t="shared" si="80"/>
        <v>1</v>
      </c>
      <c r="T204" s="195" t="str">
        <f t="shared" si="62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3"/>
        <v>https://d0f6bd738d7f1b3e5a7ca70fe4ff75f0.us-east-1.aws.found.io/app/kibana#/discover/Steve-Slow-Train-Analysis-(2080s-and-2083s)?_g=(refreshInterval:(display:Off,pause:!f,section:0,value:0),time:(from:'2017-06-25T00:37:53-0600',mode:absolute,to:'2017-06-25T02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4" s="197" t="str">
        <f>IF(AA204&lt;VLOOKUP(AG204,Variables!$AC$3:$AD$8,2,FALSE),"Y","N")</f>
        <v>Y</v>
      </c>
      <c r="X204" s="197">
        <f t="shared" si="83"/>
        <v>1</v>
      </c>
      <c r="Y204" s="197">
        <f t="shared" si="81"/>
        <v>4.5699999999999998E-2</v>
      </c>
      <c r="Z204" s="197">
        <f t="shared" si="82"/>
        <v>2.3306</v>
      </c>
      <c r="AA204" s="197">
        <f t="shared" si="64"/>
        <v>2.2848999999999999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5"/>
        <v>309</v>
      </c>
      <c r="AE204" s="77" t="str">
        <f t="shared" si="66"/>
        <v>aws s3 cp s3://rtdc.mdm.uploadarchive.raw/RTDC4022/ "%USERPROFILE%\AppData\Local\Temp\OnboardLogs"\RTDC4022\2017-06-25 --exclude "*" --recursive --include "*20170625*" &amp; "%USERPROFILE%\Documents\GitHub\mrs-test-scripts\Headless Mode &amp; Sideloading\WalkAndUnGZ.bat" "%USERPROFILE%\AppData\Local\Temp\OnboardLogs"\RTDC4022\2017-06-25 &amp; aws s3 cp s3://rtdc.mdm.uploadarchive.raw/RTDC4022/ "%USERPROFILE%\AppData\Local\Temp\OnboardLogs"\RTDC4022\2017-06-26 --exclude "*" --recursive --include "*20170626*" &amp; "%USERPROFILE%\Documents\GitHub\mrs-test-scripts\Headless Mode &amp; Sideloading\WalkAndUnGZ.bat" "%USERPROFILE%\AppData\Local\Temp\OnboardLogs"\RTDC4022\2017-06-26</v>
      </c>
      <c r="AF204" s="74" t="str">
        <f t="shared" si="67"/>
        <v>"C:\Program Files (x86)\AstroGrep\AstroGrep.exe" /e /r /s /spath="%USERPROFILE%\AppData\Local\Temp\OnboardLogs" /stypes="app*4022*20170625*" /stext=" 07:.+((SYSTEM_STATE.+slice.+state.+changed )|(ment ac)|(multiple cpu faults)|(system.+state.+changed )|(\[timeout)|(PRM\|1\|D)|(kpr)|(kdp)|(train st.+moving)|(\|lc)|(penalty))"</v>
      </c>
      <c r="AG204" s="209" t="str">
        <f t="shared" si="68"/>
        <v>Other</v>
      </c>
      <c r="AH204" s="78" t="str">
        <f t="shared" si="69"/>
        <v>"%USERPROFILE%\Documents\GitHub\eaglep3\Utilities\RefineRTDCRunTimes.py" --tripid 309-24 --locoid 4022 --swversion DE.1.0.9.0 --startMP 204:457 --initTime 2017-06-25T01:37:53 --startdatetime 2017-06-25T01:42:18 --delay 1 --endMP 300:23306 --enddatetime 2017-06-25T01:52:40 --enforcementcount 0 &gt;&gt;C:\Users\stu\Documents\GitHub\eaglep3-reporting\EC\2017-06-24-refined-times.txt</v>
      </c>
      <c r="AI204" s="96" t="str">
        <f t="shared" si="70"/>
        <v>echo {"issue":{"subject":"","project_id":79,"tracker_id":40,"status_id":1,"priority_id":2,"assigned_to_id":23,"start_date":"2017-06-25","description":"","custom_fields":[{"id":1,"name":"Subdivision","value":"Other"},{"id":4,"name":"Milepost","value":"2.3306"},{"id":17,"name":"Train ID","value":"309-24"},{"id":16,"name":"Locomotive ID","value":"4022"},{"id":130,"name":"Impact","value":""},{"id":150,"name":"Time of Event (Mountain Time)","value":"01:52:40"},{"id":151,"name":"Denver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1"/>
        <v>start /low /b %USERPROFILE%\Documents\GitHub\eaglep3\Utilities\DownloadLogsFromS3.py --loco 4022 --day 2017-06-25</v>
      </c>
      <c r="AN204" s="151" t="str">
        <f t="shared" si="72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07:52:40"},{"id":29,"name":"Sharepoint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631</v>
      </c>
      <c r="B205" s="7">
        <v>4013</v>
      </c>
      <c r="C205" s="21" t="s">
        <v>202</v>
      </c>
      <c r="D205" s="21" t="s">
        <v>959</v>
      </c>
      <c r="E205" s="13">
        <v>42910.198969907404</v>
      </c>
      <c r="F205" s="13">
        <v>42910.20207175926</v>
      </c>
      <c r="G205" s="7">
        <v>4</v>
      </c>
      <c r="H205" s="21" t="s">
        <v>960</v>
      </c>
      <c r="I205" s="13">
        <v>42910.212731481479</v>
      </c>
      <c r="J205" s="7">
        <v>0</v>
      </c>
      <c r="K205" s="89" t="str">
        <f t="shared" ref="K205:K222" si="84">IF(ISEVEN(B205),(B205-1)&amp;"/"&amp;B205,B205&amp;"/"&amp;(B205+1))</f>
        <v>4013/4014</v>
      </c>
      <c r="L205" s="21" t="str">
        <f>VLOOKUP(A205,'Trips&amp;Operators'!$C$1:$G$99999,5,FALSE)</f>
        <v>DAVIDSON DAVID</v>
      </c>
      <c r="M205" s="6">
        <f t="shared" ref="M205:M222" si="85">I205-F205</f>
        <v>1.0659722218406387E-2</v>
      </c>
      <c r="N205" s="7">
        <f t="shared" si="79"/>
        <v>15.349999994505197</v>
      </c>
      <c r="O205" s="7"/>
      <c r="P205" s="7"/>
      <c r="Q205" s="22"/>
      <c r="R205" s="170"/>
      <c r="S205" s="213">
        <f t="shared" si="80"/>
        <v>1</v>
      </c>
      <c r="T205" s="195" t="str">
        <f t="shared" ref="T205:T222" si="86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22" si="8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-24T03:46:31-0600',mode:absolute,to:'2017-06-24T06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5" s="197" t="str">
        <f>IF(AA205&lt;VLOOKUP(AG205,Variables!$AC$3:$AD$8,2,FALSE),"Y","N")</f>
        <v>Y</v>
      </c>
      <c r="X205" s="197">
        <f t="shared" si="83"/>
        <v>1</v>
      </c>
      <c r="Y205" s="197">
        <f t="shared" si="81"/>
        <v>2.2574999999999998</v>
      </c>
      <c r="Z205" s="197">
        <f t="shared" si="82"/>
        <v>1.23E-2</v>
      </c>
      <c r="AA205" s="197">
        <f t="shared" ref="AA205:AA268" si="88">ABS(Z205-Y205)</f>
        <v>2.2451999999999996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22" si="89">VALUE(LEFT(A205,LEN(A205)-3))</f>
        <v>310</v>
      </c>
      <c r="AE205" s="77" t="str">
        <f t="shared" ref="AE205:AE222" si="9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s3://rtdc.mdm.uploadarchive.raw/RTDC4013/ "%USERPROFILE%\AppData\Local\Temp\OnboardLogs"\RTDC4013\2017-06-24 --exclude "*" --recursive --include "*20170624*" &amp; "%USERPROFILE%\Documents\GitHub\mrs-test-scripts\Headless Mode &amp; Sideloading\WalkAndUnGZ.bat" "%USERPROFILE%\AppData\Local\Temp\OnboardLogs"\RTDC4013\2017-06-24 &amp; aws s3 cp s3://rtdc.mdm.uploadarchive.raw/RTDC4013/ "%USERPROFILE%\AppData\Local\Temp\OnboardLogs"\RTDC4013\2017-06-25 --exclude "*" --recursive --include "*20170625*" &amp; "%USERPROFILE%\Documents\GitHub\mrs-test-scripts\Headless Mode &amp; Sideloading\WalkAndUnGZ.bat" "%USERPROFILE%\AppData\Local\Temp\OnboardLogs"\RTDC4013\2017-06-25</v>
      </c>
      <c r="AF205" s="74" t="str">
        <f t="shared" ref="AF205:AF222" si="9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/stypes="app*4013*20170624*" /stext=" 11:.+((SYSTEM_STATE.+slice.+state.+changed )|(ment ac)|(multiple cpu faults)|(system.+state.+changed )|(\[timeout)|(PRM\|1\|D)|(kpr)|(kdp)|(train st.+moving)|(\|lc)|(penalty))"</v>
      </c>
      <c r="AG205" s="209" t="str">
        <f t="shared" ref="AG205:AG222" si="92">DetSubdiv(A205)</f>
        <v>Other</v>
      </c>
      <c r="AH205" s="78" t="str">
        <f t="shared" ref="AH205:AH222" si="93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310-24 --locoid 4013 --swversion DE.1.0.9.0 --startMP 300:22575 --initTime 2017-06-24T04:46:31 --startdatetime 2017-06-24T04:50:59 --delay 4 --endMP 204:123 --enddatetime 2017-06-24T05:06:20 --enforcementcount 0 &gt;&gt;C:\Users\stu\Documents\GitHub\eaglep3-reporting\EC\2017-06-24-refined-times.txt</v>
      </c>
      <c r="AI205" s="96" t="str">
        <f t="shared" ref="AI205:AI222" si="94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{"issue":{"subject":"","project_id":79,"tracker_id":40,"status_id":1,"priority_id":2,"assigned_to_id":23,"start_date":"2017-06-24","description":"","custom_fields":[{"id":1,"name":"Subdivision","value":"Other"},{"id":4,"name":"Milepost","value":"0.0123"},{"id":17,"name":"Train ID","value":"310-24"},{"id":16,"name":"Locomotive ID","value":"4013"},{"id":130,"name":"Impact","value":""},{"id":150,"name":"Time of Event (Mountain Time)","value":"05:06:20"},{"id":151,"name":"Denver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22" si="95">"start /low /b "&amp;dls3logs&amp;" --loco "&amp;B205&amp;" --day "&amp;TEXT(F205,"YYYY-MM-DD")</f>
        <v>start /low /b %USERPROFILE%\Documents\GitHub\eaglep3\Utilities\DownloadLogsFromS3.py --loco 4013 --day 2017-06-24</v>
      </c>
      <c r="AN205" s="151" t="str">
        <f t="shared" ref="AN205:AN222" si="96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11:06:20"},{"id":29,"name":"Sharepoint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s="20" customFormat="1" x14ac:dyDescent="0.25">
      <c r="A206" s="32" t="s">
        <v>431</v>
      </c>
      <c r="B206" s="7">
        <v>4002</v>
      </c>
      <c r="C206" s="21" t="s">
        <v>202</v>
      </c>
      <c r="D206" s="21" t="s">
        <v>198</v>
      </c>
      <c r="E206" s="13">
        <v>42910.090925925928</v>
      </c>
      <c r="F206" s="13">
        <v>42910.091967592591</v>
      </c>
      <c r="G206" s="7">
        <v>1</v>
      </c>
      <c r="H206" s="21" t="s">
        <v>353</v>
      </c>
      <c r="I206" s="13">
        <v>42910.101574074077</v>
      </c>
      <c r="J206" s="7">
        <v>0</v>
      </c>
      <c r="K206" s="89" t="str">
        <f t="shared" si="84"/>
        <v>4001/4002</v>
      </c>
      <c r="L206" s="21" t="str">
        <f>VLOOKUP(A206,'Trips&amp;Operators'!$C$1:$G$99999,5,FALSE)</f>
        <v>FORTUNATO FRANK</v>
      </c>
      <c r="M206" s="6">
        <f t="shared" si="85"/>
        <v>9.606481486116536E-3</v>
      </c>
      <c r="N206" s="7">
        <f t="shared" si="79"/>
        <v>13.833333340007812</v>
      </c>
      <c r="O206" s="7"/>
      <c r="P206" s="7"/>
      <c r="Q206" s="22"/>
      <c r="R206" s="170"/>
      <c r="S206" s="213">
        <f t="shared" si="80"/>
        <v>1</v>
      </c>
      <c r="T206" s="195" t="str">
        <f t="shared" si="86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7"/>
        <v>https://d0f6bd738d7f1b3e5a7ca70fe4ff75f0.us-east-1.aws.found.io/app/kibana#/discover/Steve-Slow-Train-Analysis-(2080s-and-2083s)?_g=(refreshInterval:(display:Off,pause:!f,section:0,value:0),time:(from:'2017-06-24T01:10:56-0600',mode:absolute,to:'2017-06-24T03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6" s="197" t="str">
        <f>IF(AA206&lt;VLOOKUP(AG206,Variables!$AC$3:$AD$8,2,FALSE),"Y","N")</f>
        <v>Y</v>
      </c>
      <c r="X206" s="197">
        <f t="shared" si="83"/>
        <v>1</v>
      </c>
      <c r="Y206" s="197">
        <f t="shared" si="81"/>
        <v>4.5699999999999998E-2</v>
      </c>
      <c r="Z206" s="197">
        <f t="shared" si="82"/>
        <v>2.3346</v>
      </c>
      <c r="AA206" s="197">
        <f t="shared" si="88"/>
        <v>2.2888999999999999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9"/>
        <v>311</v>
      </c>
      <c r="AE206" s="77" t="str">
        <f t="shared" si="90"/>
        <v>aws s3 cp s3://rtdc.mdm.uploadarchive.raw/RTDC4002/ "%USERPROFILE%\AppData\Local\Temp\OnboardLogs"\RTDC4002\2017-06-24 --exclude "*" --recursive --include "*20170624*" &amp; "%USERPROFILE%\Documents\GitHub\mrs-test-scripts\Headless Mode &amp; Sideloading\WalkAndUnGZ.bat" "%USERPROFILE%\AppData\Local\Temp\OnboardLogs"\RTDC4002\2017-06-24 &amp; aws s3 cp s3://rtdc.mdm.uploadarchive.raw/RTDC4002/ "%USERPROFILE%\AppData\Local\Temp\OnboardLogs"\RTDC4002\2017-06-25 --exclude "*" --recursive --include "*20170625*" &amp; "%USERPROFILE%\Documents\GitHub\mrs-test-scripts\Headless Mode &amp; Sideloading\WalkAndUnGZ.bat" "%USERPROFILE%\AppData\Local\Temp\OnboardLogs"\RTDC4002\2017-06-25</v>
      </c>
      <c r="AF206" s="74" t="str">
        <f t="shared" si="91"/>
        <v>"C:\Program Files (x86)\AstroGrep\AstroGrep.exe" /e /r /s /spath="%USERPROFILE%\AppData\Local\Temp\OnboardLogs" /stypes="app*4002*20170624*" /stext=" 08:.+((SYSTEM_STATE.+slice.+state.+changed )|(ment ac)|(multiple cpu faults)|(system.+state.+changed )|(\[timeout)|(PRM\|1\|D)|(kpr)|(kdp)|(train st.+moving)|(\|lc)|(penalty))"</v>
      </c>
      <c r="AG206" s="209" t="str">
        <f t="shared" si="92"/>
        <v>Other</v>
      </c>
      <c r="AH206" s="78" t="str">
        <f t="shared" si="93"/>
        <v>"%USERPROFILE%\Documents\GitHub\eaglep3\Utilities\RefineRTDCRunTimes.py" --tripid 311-23 --locoid 4002 --swversion DE.1.0.9.0 --startMP 204:457 --initTime 2017-06-24T02:10:56 --startdatetime 2017-06-24T02:12:26 --delay 1 --endMP 300:23346 --enddatetime 2017-06-24T02:26:16 --enforcementcount 0 &gt;&gt;C:\Users\stu\Documents\GitHub\eaglep3-reporting\EC\2017-06-24-refined-times.txt</v>
      </c>
      <c r="AI206" s="96" t="str">
        <f t="shared" si="94"/>
        <v>echo {"issue":{"subject":"","project_id":79,"tracker_id":40,"status_id":1,"priority_id":2,"assigned_to_id":23,"start_date":"2017-06-24","description":"","custom_fields":[{"id":1,"name":"Subdivision","value":"Other"},{"id":4,"name":"Milepost","value":"2.3346"},{"id":17,"name":"Train ID","value":"311-23"},{"id":16,"name":"Locomotive ID","value":"4002"},{"id":130,"name":"Impact","value":""},{"id":150,"name":"Time of Event (Mountain Time)","value":"02:26:16"},{"id":151,"name":"Denver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95"/>
        <v>start /low /b %USERPROFILE%\Documents\GitHub\eaglep3\Utilities\DownloadLogsFromS3.py --loco 4002 --day 2017-06-24</v>
      </c>
      <c r="AN206" s="151" t="str">
        <f t="shared" si="96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08:26:16"},{"id":29,"name":"Sharepoint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2" t="s">
        <v>863</v>
      </c>
      <c r="B207" s="7">
        <v>4044</v>
      </c>
      <c r="C207" s="21" t="s">
        <v>202</v>
      </c>
      <c r="D207" s="21" t="s">
        <v>355</v>
      </c>
      <c r="E207" s="13">
        <v>42911.089120370372</v>
      </c>
      <c r="F207" s="13">
        <v>42911.090289351851</v>
      </c>
      <c r="G207" s="7">
        <v>1</v>
      </c>
      <c r="H207" s="21" t="s">
        <v>613</v>
      </c>
      <c r="I207" s="13">
        <v>42911.100370370368</v>
      </c>
      <c r="J207" s="7">
        <v>0</v>
      </c>
      <c r="K207" s="89" t="str">
        <f t="shared" si="84"/>
        <v>4043/4044</v>
      </c>
      <c r="L207" s="21" t="str">
        <f>VLOOKUP(A207,'Trips&amp;Operators'!$C$1:$G$99999,5,FALSE)</f>
        <v>FORTUNATO FRANK</v>
      </c>
      <c r="M207" s="6">
        <f t="shared" si="85"/>
        <v>1.0081018517666962E-2</v>
      </c>
      <c r="N207" s="7">
        <f t="shared" si="79"/>
        <v>14.516666665440425</v>
      </c>
      <c r="O207" s="7"/>
      <c r="P207" s="7"/>
      <c r="Q207" s="22"/>
      <c r="R207" s="170"/>
      <c r="S207" s="213">
        <f t="shared" si="80"/>
        <v>1</v>
      </c>
      <c r="T207" s="195" t="str">
        <f t="shared" si="86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7"/>
        <v>https://d0f6bd738d7f1b3e5a7ca70fe4ff75f0.us-east-1.aws.found.io/app/kibana#/discover/Steve-Slow-Train-Analysis-(2080s-and-2083s)?_g=(refreshInterval:(display:Off,pause:!f,section:0,value:0),time:(from:'2017-06-25T01:08:20-0600',mode:absolute,to:'2017-06-25T03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7" s="197" t="str">
        <f>IF(AA207&lt;VLOOKUP(AG207,Variables!$AC$3:$AD$8,2,FALSE),"Y","N")</f>
        <v>Y</v>
      </c>
      <c r="X207" s="197">
        <f t="shared" si="83"/>
        <v>0</v>
      </c>
      <c r="Y207" s="197">
        <f t="shared" si="81"/>
        <v>4.4699999999999997E-2</v>
      </c>
      <c r="Z207" s="197">
        <f t="shared" si="82"/>
        <v>2.3306</v>
      </c>
      <c r="AA207" s="197">
        <f t="shared" si="88"/>
        <v>2.2858999999999998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9"/>
        <v>311</v>
      </c>
      <c r="AE207" s="77" t="str">
        <f t="shared" si="90"/>
        <v>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 &amp; aws s3 cp s3://rtdc.mdm.uploadarchive.raw/RTDC4044/ "%USERPROFILE%\AppData\Local\Temp\OnboardLogs"\RTDC4044\2017-06-26 --exclude "*" --recursive --include "*20170626*" &amp; "%USERPROFILE%\Documents\GitHub\mrs-test-scripts\Headless Mode &amp; Sideloading\WalkAndUnGZ.bat" "%USERPROFILE%\AppData\Local\Temp\OnboardLogs"\RTDC4044\2017-06-26</v>
      </c>
      <c r="AF207" s="74" t="str">
        <f t="shared" si="91"/>
        <v>"C:\Program Files (x86)\AstroGrep\AstroGrep.exe" /e /r /s /spath="%USERPROFILE%\AppData\Local\Temp\OnboardLogs" /stypes="app*4044*20170625*" /stext=" 08:.+((SYSTEM_STATE.+slice.+state.+changed )|(ment ac)|(multiple cpu faults)|(system.+state.+changed )|(\[timeout)|(PRM\|1\|D)|(kpr)|(kdp)|(train st.+moving)|(\|lc)|(penalty))"</v>
      </c>
      <c r="AG207" s="209" t="str">
        <f t="shared" si="92"/>
        <v>Other</v>
      </c>
      <c r="AH207" s="78" t="str">
        <f t="shared" si="93"/>
        <v>"%USERPROFILE%\Documents\GitHub\eaglep3\Utilities\RefineRTDCRunTimes.py" --tripid 311-24 --locoid 4044 --swversion DE.1.0.9.0 --startMP 204:447 --initTime 2017-06-25T02:08:20 --startdatetime 2017-06-25T02:10:01 --delay 1 --endMP 300:23306 --enddatetime 2017-06-25T02:24:32 --enforcementcount 0 &gt;&gt;C:\Users\stu\Documents\GitHub\eaglep3-reporting\EC\2017-06-24-refined-times.txt</v>
      </c>
      <c r="AI207" s="96" t="str">
        <f t="shared" si="94"/>
        <v>echo {"issue":{"subject":"","project_id":79,"tracker_id":40,"status_id":1,"priority_id":2,"assigned_to_id":23,"start_date":"2017-06-25","description":"","custom_fields":[{"id":1,"name":"Subdivision","value":"Other"},{"id":4,"name":"Milepost","value":"2.3306"},{"id":17,"name":"Train ID","value":"311-24"},{"id":16,"name":"Locomotive ID","value":"4044"},{"id":130,"name":"Impact","value":""},{"id":150,"name":"Time of Event (Mountain Time)","value":"02:24:32"},{"id":151,"name":"Denver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95"/>
        <v>start /low /b %USERPROFILE%\Documents\GitHub\eaglep3\Utilities\DownloadLogsFromS3.py --loco 4044 --day 2017-06-25</v>
      </c>
      <c r="AN207" s="151" t="str">
        <f t="shared" si="96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08:24:32"},{"id":29,"name":"Sharepoint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696</v>
      </c>
      <c r="B208" s="7">
        <v>4015</v>
      </c>
      <c r="C208" s="21" t="s">
        <v>202</v>
      </c>
      <c r="D208" s="21" t="s">
        <v>961</v>
      </c>
      <c r="E208" s="13">
        <v>42910.217430555553</v>
      </c>
      <c r="F208" s="13">
        <v>42910.222071759257</v>
      </c>
      <c r="G208" s="7">
        <v>6</v>
      </c>
      <c r="H208" s="21" t="s">
        <v>349</v>
      </c>
      <c r="I208" s="13">
        <v>42910.228587962964</v>
      </c>
      <c r="J208" s="7">
        <v>0</v>
      </c>
      <c r="K208" s="89" t="str">
        <f t="shared" si="84"/>
        <v>4015/4016</v>
      </c>
      <c r="L208" s="21" t="str">
        <f>VLOOKUP(A208,'Trips&amp;Operators'!$C$1:$G$99999,5,FALSE)</f>
        <v>GUZMAN DANNY</v>
      </c>
      <c r="M208" s="6">
        <f t="shared" si="85"/>
        <v>6.5162037062691525E-3</v>
      </c>
      <c r="N208" s="7">
        <f t="shared" si="79"/>
        <v>9.3833333370275795</v>
      </c>
      <c r="O208" s="7"/>
      <c r="P208" s="7"/>
      <c r="Q208" s="22"/>
      <c r="R208" s="170"/>
      <c r="S208" s="213">
        <f t="shared" si="80"/>
        <v>1</v>
      </c>
      <c r="T208" s="195" t="str">
        <f t="shared" si="86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87"/>
        <v>https://d0f6bd738d7f1b3e5a7ca70fe4ff75f0.us-east-1.aws.found.io/app/kibana#/discover/Steve-Slow-Train-Analysis-(2080s-and-2083s)?_g=(refreshInterval:(display:Off,pause:!f,section:0,value:0),time:(from:'2017-06-24T04:13:06-0600',mode:absolute,to:'2017-06-24T06:29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8" s="197" t="str">
        <f>IF(AA208&lt;VLOOKUP(AG208,Variables!$AC$3:$AD$8,2,FALSE),"Y","N")</f>
        <v>Y</v>
      </c>
      <c r="X208" s="197">
        <f t="shared" si="83"/>
        <v>1</v>
      </c>
      <c r="Y208" s="197">
        <f t="shared" si="81"/>
        <v>2.3552</v>
      </c>
      <c r="Z208" s="197">
        <f t="shared" si="82"/>
        <v>1.49E-2</v>
      </c>
      <c r="AA208" s="197">
        <f t="shared" si="88"/>
        <v>2.3403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9"/>
        <v>312</v>
      </c>
      <c r="AE208" s="77" t="str">
        <f t="shared" si="90"/>
        <v>aws s3 cp s3://rtdc.mdm.uploadarchive.raw/RTDC4015/ "%USERPROFILE%\AppData\Local\Temp\OnboardLogs"\RTDC4015\2017-06-24 --exclude "*" --recursive --include "*20170624*" &amp; "%USERPROFILE%\Documents\GitHub\mrs-test-scripts\Headless Mode &amp; Sideloading\WalkAndUnGZ.bat" "%USERPROFILE%\AppData\Local\Temp\OnboardLogs"\RTDC4015\2017-06-24 &amp; aws s3 cp s3://rtdc.mdm.uploadarchive.raw/RTDC4015/ "%USERPROFILE%\AppData\Local\Temp\OnboardLogs"\RTDC4015\2017-06-25 --exclude "*" --recursive --include "*20170625*" &amp; "%USERPROFILE%\Documents\GitHub\mrs-test-scripts\Headless Mode &amp; Sideloading\WalkAndUnGZ.bat" "%USERPROFILE%\AppData\Local\Temp\OnboardLogs"\RTDC4015\2017-06-25</v>
      </c>
      <c r="AF208" s="74" t="str">
        <f t="shared" si="91"/>
        <v>"C:\Program Files (x86)\AstroGrep\AstroGrep.exe" /e /r /s /spath="%USERPROFILE%\AppData\Local\Temp\OnboardLogs" /stypes="app*4015*20170624*" /stext=" 11:.+((SYSTEM_STATE.+slice.+state.+changed )|(ment ac)|(multiple cpu faults)|(system.+state.+changed )|(\[timeout)|(PRM\|1\|D)|(kpr)|(kdp)|(train st.+moving)|(\|lc)|(penalty))"</v>
      </c>
      <c r="AG208" s="209" t="str">
        <f t="shared" si="92"/>
        <v>Other</v>
      </c>
      <c r="AH208" s="78" t="str">
        <f t="shared" si="93"/>
        <v>"%USERPROFILE%\Documents\GitHub\eaglep3\Utilities\RefineRTDCRunTimes.py" --tripid 312-24 --locoid 4015 --swversion DE.1.0.9.0 --startMP 300:23552 --initTime 2017-06-24T05:13:06 --startdatetime 2017-06-24T05:19:47 --delay 6 --endMP 204:149 --enddatetime 2017-06-24T05:29:10 --enforcementcount 0 &gt;&gt;C:\Users\stu\Documents\GitHub\eaglep3-reporting\EC\2017-06-24-refined-times.txt</v>
      </c>
      <c r="AI208" s="96" t="str">
        <f t="shared" si="94"/>
        <v>echo {"issue":{"subject":"","project_id":79,"tracker_id":40,"status_id":1,"priority_id":2,"assigned_to_id":23,"start_date":"2017-06-24","description":"","custom_fields":[{"id":1,"name":"Subdivision","value":"Other"},{"id":4,"name":"Milepost","value":"0.0149"},{"id":17,"name":"Train ID","value":"312-24"},{"id":16,"name":"Locomotive ID","value":"4015"},{"id":130,"name":"Impact","value":""},{"id":150,"name":"Time of Event (Mountain Time)","value":"05:29:10"},{"id":151,"name":"Denver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95"/>
        <v>start /low /b %USERPROFILE%\Documents\GitHub\eaglep3\Utilities\DownloadLogsFromS3.py --loco 4015 --day 2017-06-24</v>
      </c>
      <c r="AN208" s="151" t="str">
        <f t="shared" si="96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11:29:10"},{"id":29,"name":"Sharepoint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432</v>
      </c>
      <c r="B209" s="7">
        <v>4010</v>
      </c>
      <c r="C209" s="21" t="s">
        <v>202</v>
      </c>
      <c r="D209" s="21" t="s">
        <v>474</v>
      </c>
      <c r="E209" s="13">
        <v>42910.109918981485</v>
      </c>
      <c r="F209" s="13">
        <v>42910.112673611111</v>
      </c>
      <c r="G209" s="7">
        <v>1</v>
      </c>
      <c r="H209" s="21" t="s">
        <v>353</v>
      </c>
      <c r="I209" s="13">
        <v>42910.121828703705</v>
      </c>
      <c r="J209" s="7">
        <v>0</v>
      </c>
      <c r="K209" s="89" t="str">
        <f t="shared" si="84"/>
        <v>4009/4010</v>
      </c>
      <c r="L209" s="21" t="str">
        <f>VLOOKUP(A209,'Trips&amp;Operators'!$C$1:$G$99999,5,FALSE)</f>
        <v>LAMAR NEKESHA</v>
      </c>
      <c r="M209" s="6">
        <f t="shared" si="85"/>
        <v>9.1550925935734995E-3</v>
      </c>
      <c r="N209" s="7">
        <f t="shared" si="79"/>
        <v>13.183333334745839</v>
      </c>
      <c r="O209" s="7"/>
      <c r="P209" s="7"/>
      <c r="Q209" s="22"/>
      <c r="R209" s="170"/>
      <c r="S209" s="213">
        <f t="shared" si="80"/>
        <v>1</v>
      </c>
      <c r="T209" s="195" t="str">
        <f t="shared" si="86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87"/>
        <v>https://d0f6bd738d7f1b3e5a7ca70fe4ff75f0.us-east-1.aws.found.io/app/kibana#/discover/Steve-Slow-Train-Analysis-(2080s-and-2083s)?_g=(refreshInterval:(display:Off,pause:!f,section:0,value:0),time:(from:'2017-06-24T01:38:17-0600',mode:absolute,to:'2017-06-24T03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9" s="197" t="str">
        <f>IF(AA209&lt;VLOOKUP(AG209,Variables!$AC$3:$AD$8,2,FALSE),"Y","N")</f>
        <v>Y</v>
      </c>
      <c r="X209" s="197">
        <f t="shared" si="83"/>
        <v>1</v>
      </c>
      <c r="Y209" s="197">
        <f t="shared" si="81"/>
        <v>4.5499999999999999E-2</v>
      </c>
      <c r="Z209" s="197">
        <f t="shared" si="82"/>
        <v>2.3346</v>
      </c>
      <c r="AA209" s="197">
        <f t="shared" si="88"/>
        <v>2.2890999999999999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9"/>
        <v>313</v>
      </c>
      <c r="AE209" s="77" t="str">
        <f t="shared" si="90"/>
        <v>aws s3 cp s3://rtdc.mdm.uploadarchive.raw/RTDC4010/ "%USERPROFILE%\AppData\Local\Temp\OnboardLogs"\RTDC4010\2017-06-24 --exclude "*" --recursive --include "*20170624*" &amp; "%USERPROFILE%\Documents\GitHub\mrs-test-scripts\Headless Mode &amp; Sideloading\WalkAndUnGZ.bat" "%USERPROFILE%\AppData\Local\Temp\OnboardLogs"\RTDC4010\2017-06-24 &amp; aws s3 cp s3://rtdc.mdm.uploadarchive.raw/RTDC4010/ "%USERPROFILE%\AppData\Local\Temp\OnboardLogs"\RTDC4010\2017-06-25 --exclude "*" --recursive --include "*20170625*" &amp; "%USERPROFILE%\Documents\GitHub\mrs-test-scripts\Headless Mode &amp; Sideloading\WalkAndUnGZ.bat" "%USERPROFILE%\AppData\Local\Temp\OnboardLogs"\RTDC4010\2017-06-25</v>
      </c>
      <c r="AF209" s="74" t="str">
        <f t="shared" si="91"/>
        <v>"C:\Program Files (x86)\AstroGrep\AstroGrep.exe" /e /r /s /spath="%USERPROFILE%\AppData\Local\Temp\OnboardLogs" /stypes="app*4010*20170624*" /stext=" 08:.+((SYSTEM_STATE.+slice.+state.+changed )|(ment ac)|(multiple cpu faults)|(system.+state.+changed )|(\[timeout)|(PRM\|1\|D)|(kpr)|(kdp)|(train st.+moving)|(\|lc)|(penalty))"</v>
      </c>
      <c r="AG209" s="209" t="str">
        <f t="shared" si="92"/>
        <v>Other</v>
      </c>
      <c r="AH209" s="78" t="str">
        <f t="shared" si="93"/>
        <v>"%USERPROFILE%\Documents\GitHub\eaglep3\Utilities\RefineRTDCRunTimes.py" --tripid 313-23 --locoid 4010 --swversion DE.1.0.9.0 --startMP 204:455 --initTime 2017-06-24T02:38:17 --startdatetime 2017-06-24T02:42:15 --delay 1 --endMP 300:23346 --enddatetime 2017-06-24T02:55:26 --enforcementcount 0 &gt;&gt;C:\Users\stu\Documents\GitHub\eaglep3-reporting\EC\2017-06-24-refined-times.txt</v>
      </c>
      <c r="AI209" s="96" t="str">
        <f t="shared" si="94"/>
        <v>echo {"issue":{"subject":"","project_id":79,"tracker_id":40,"status_id":1,"priority_id":2,"assigned_to_id":23,"start_date":"2017-06-24","description":"","custom_fields":[{"id":1,"name":"Subdivision","value":"Other"},{"id":4,"name":"Milepost","value":"2.3346"},{"id":17,"name":"Train ID","value":"313-23"},{"id":16,"name":"Locomotive ID","value":"4010"},{"id":130,"name":"Impact","value":""},{"id":150,"name":"Time of Event (Mountain Time)","value":"02:55:26"},{"id":151,"name":"Denver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95"/>
        <v>start /low /b %USERPROFILE%\Documents\GitHub\eaglep3\Utilities\DownloadLogsFromS3.py --loco 4010 --day 2017-06-24</v>
      </c>
      <c r="AN209" s="151" t="str">
        <f t="shared" si="96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08:55:26"},{"id":29,"name":"Sharepoint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864</v>
      </c>
      <c r="B210" s="7">
        <v>4004</v>
      </c>
      <c r="C210" s="21" t="s">
        <v>202</v>
      </c>
      <c r="D210" s="21" t="s">
        <v>343</v>
      </c>
      <c r="E210" s="13">
        <v>42911.11042824074</v>
      </c>
      <c r="F210" s="13">
        <v>42911.112685185188</v>
      </c>
      <c r="G210" s="7">
        <v>1</v>
      </c>
      <c r="H210" s="21" t="s">
        <v>353</v>
      </c>
      <c r="I210" s="13">
        <v>42911.120983796296</v>
      </c>
      <c r="J210" s="7">
        <v>0</v>
      </c>
      <c r="K210" s="89" t="str">
        <f t="shared" si="84"/>
        <v>4003/4004</v>
      </c>
      <c r="L210" s="21" t="str">
        <f>VLOOKUP(A210,'Trips&amp;Operators'!$C$1:$G$99999,5,FALSE)</f>
        <v>LAMAR NEKESHA</v>
      </c>
      <c r="M210" s="6">
        <f t="shared" si="85"/>
        <v>8.2986111083300784E-3</v>
      </c>
      <c r="N210" s="7">
        <f t="shared" si="79"/>
        <v>11.949999995995313</v>
      </c>
      <c r="O210" s="7"/>
      <c r="P210" s="7"/>
      <c r="Q210" s="22"/>
      <c r="R210" s="170"/>
      <c r="S210" s="213">
        <f t="shared" si="80"/>
        <v>1</v>
      </c>
      <c r="T210" s="195" t="str">
        <f t="shared" si="86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87"/>
        <v>https://d0f6bd738d7f1b3e5a7ca70fe4ff75f0.us-east-1.aws.found.io/app/kibana#/discover/Steve-Slow-Train-Analysis-(2080s-and-2083s)?_g=(refreshInterval:(display:Off,pause:!f,section:0,value:0),time:(from:'2017-06-25T01:39:01-0600',mode:absolute,to:'2017-06-25T03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0" s="197" t="str">
        <f>IF(AA210&lt;VLOOKUP(AG210,Variables!$AC$3:$AD$8,2,FALSE),"Y","N")</f>
        <v>Y</v>
      </c>
      <c r="X210" s="197">
        <f t="shared" si="83"/>
        <v>0</v>
      </c>
      <c r="Y210" s="197">
        <f t="shared" si="81"/>
        <v>4.4900000000000002E-2</v>
      </c>
      <c r="Z210" s="197">
        <f t="shared" si="82"/>
        <v>2.3346</v>
      </c>
      <c r="AA210" s="197">
        <f t="shared" si="88"/>
        <v>2.2896999999999998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9"/>
        <v>313</v>
      </c>
      <c r="AE210" s="77" t="str">
        <f t="shared" si="90"/>
        <v>aws s3 cp s3://rtdc.mdm.uploadarchive.raw/RTDC4004/ "%USERPROFILE%\AppData\Local\Temp\OnboardLogs"\RTDC4004\2017-06-25 --exclude "*" --recursive --include "*20170625*" &amp; "%USERPROFILE%\Documents\GitHub\mrs-test-scripts\Headless Mode &amp; Sideloading\WalkAndUnGZ.bat" "%USERPROFILE%\AppData\Local\Temp\OnboardLogs"\RTDC4004\2017-06-25 &amp; aws s3 cp s3://rtdc.mdm.uploadarchive.raw/RTDC4004/ "%USERPROFILE%\AppData\Local\Temp\OnboardLogs"\RTDC4004\2017-06-26 --exclude "*" --recursive --include "*20170626*" &amp; "%USERPROFILE%\Documents\GitHub\mrs-test-scripts\Headless Mode &amp; Sideloading\WalkAndUnGZ.bat" "%USERPROFILE%\AppData\Local\Temp\OnboardLogs"\RTDC4004\2017-06-26</v>
      </c>
      <c r="AF210" s="74" t="str">
        <f t="shared" si="91"/>
        <v>"C:\Program Files (x86)\AstroGrep\AstroGrep.exe" /e /r /s /spath="%USERPROFILE%\AppData\Local\Temp\OnboardLogs" /stypes="app*4004*20170625*" /stext=" 08:.+((SYSTEM_STATE.+slice.+state.+changed )|(ment ac)|(multiple cpu faults)|(system.+state.+changed )|(\[timeout)|(PRM\|1\|D)|(kpr)|(kdp)|(train st.+moving)|(\|lc)|(penalty))"</v>
      </c>
      <c r="AG210" s="209" t="str">
        <f t="shared" si="92"/>
        <v>Other</v>
      </c>
      <c r="AH210" s="78" t="str">
        <f t="shared" si="93"/>
        <v>"%USERPROFILE%\Documents\GitHub\eaglep3\Utilities\RefineRTDCRunTimes.py" --tripid 313-24 --locoid 4004 --swversion DE.1.0.9.0 --startMP 204:449 --initTime 2017-06-25T02:39:01 --startdatetime 2017-06-25T02:42:16 --delay 1 --endMP 300:23346 --enddatetime 2017-06-25T02:54:13 --enforcementcount 0 &gt;&gt;C:\Users\stu\Documents\GitHub\eaglep3-reporting\EC\2017-06-24-refined-times.txt</v>
      </c>
      <c r="AI210" s="96" t="str">
        <f t="shared" si="94"/>
        <v>echo {"issue":{"subject":"","project_id":79,"tracker_id":40,"status_id":1,"priority_id":2,"assigned_to_id":23,"start_date":"2017-06-25","description":"","custom_fields":[{"id":1,"name":"Subdivision","value":"Other"},{"id":4,"name":"Milepost","value":"2.3346"},{"id":17,"name":"Train ID","value":"313-24"},{"id":16,"name":"Locomotive ID","value":"4004"},{"id":130,"name":"Impact","value":""},{"id":150,"name":"Time of Event (Mountain Time)","value":"02:54:13"},{"id":151,"name":"Denver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95"/>
        <v>start /low /b %USERPROFILE%\Documents\GitHub\eaglep3\Utilities\DownloadLogsFromS3.py --loco 4004 --day 2017-06-25</v>
      </c>
      <c r="AN210" s="151" t="str">
        <f t="shared" si="96"/>
        <v>echo {"issue":{"subject":"","project_id":30,"tracker_id":4,"status_id":1,"priority_id":1,"assigned_to_id":10,"start_date":"2017-06-25","description":"","custom_fields":[{"id":30,"name":"Category","value":"Issue"},{"id":3,"name":"Functional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UTC","value":"2017-06-25 08:54:13"},{"id":29,"name":"Sharepoint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699</v>
      </c>
      <c r="B211" s="7">
        <v>4026</v>
      </c>
      <c r="C211" s="21" t="s">
        <v>202</v>
      </c>
      <c r="D211" s="21" t="s">
        <v>939</v>
      </c>
      <c r="E211" s="13">
        <v>42910.221921296295</v>
      </c>
      <c r="F211" s="13">
        <v>42910.225405092591</v>
      </c>
      <c r="G211" s="7">
        <v>4</v>
      </c>
      <c r="H211" s="21" t="s">
        <v>940</v>
      </c>
      <c r="I211" s="13">
        <v>42910.230763888889</v>
      </c>
      <c r="J211" s="7">
        <v>0</v>
      </c>
      <c r="K211" s="89" t="str">
        <f t="shared" si="84"/>
        <v>4025/4026</v>
      </c>
      <c r="L211" s="21" t="str">
        <f>VLOOKUP(A211,'Trips&amp;Operators'!$C$1:$G$99999,5,FALSE)</f>
        <v>MACDONALD THOMAS</v>
      </c>
      <c r="M211" s="6">
        <f t="shared" si="85"/>
        <v>5.3587962975143455E-3</v>
      </c>
      <c r="N211" s="7">
        <f t="shared" si="79"/>
        <v>7.7166666684206575</v>
      </c>
      <c r="O211" s="7"/>
      <c r="P211" s="7"/>
      <c r="Q211" s="22"/>
      <c r="R211" s="170"/>
      <c r="S211" s="213">
        <f t="shared" si="80"/>
        <v>0</v>
      </c>
      <c r="T211" s="195" t="str">
        <f t="shared" si="86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87"/>
        <v>https://d0f6bd738d7f1b3e5a7ca70fe4ff75f0.us-east-1.aws.found.io/app/kibana#/discover/Steve-Slow-Train-Analysis-(2080s-and-2083s)?_g=(refreshInterval:(display:Off,pause:!f,section:0,value:0),time:(from:'2017-06-24T04:19:34-0600',mode:absolute,to:'2017-06-24T06:32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1" s="197" t="str">
        <f>IF(AA211&lt;VLOOKUP(AG211,Variables!$AC$3:$AD$8,2,FALSE),"Y","N")</f>
        <v>Y</v>
      </c>
      <c r="X211" s="197">
        <f t="shared" si="83"/>
        <v>1588</v>
      </c>
      <c r="Y211" s="197">
        <f t="shared" si="81"/>
        <v>2.9739</v>
      </c>
      <c r="Z211" s="197">
        <f t="shared" si="82"/>
        <v>5.8929</v>
      </c>
      <c r="AA211" s="197">
        <f t="shared" si="88"/>
        <v>2.919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9"/>
        <v>1901</v>
      </c>
      <c r="AE211" s="77" t="str">
        <f t="shared" si="90"/>
        <v>aws s3 cp s3://rtdc.mdm.uploadarchive.raw/RTDC4026/ "%USERPROFILE%\AppData\Local\Temp\OnboardLogs"\RTDC4026\2017-06-24 --exclude "*" --recursive --include "*20170624*" &amp; "%USERPROFILE%\Documents\GitHub\mrs-test-scripts\Headless Mode &amp; Sideloading\WalkAndUnGZ.bat" "%USERPROFILE%\AppData\Local\Temp\OnboardLogs"\RTDC4026\2017-06-24 &amp; 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</v>
      </c>
      <c r="AF211" s="74" t="str">
        <f t="shared" si="91"/>
        <v>"C:\Program Files (x86)\AstroGrep\AstroGrep.exe" /e /r /s /spath="%USERPROFILE%\AppData\Local\Temp\OnboardLogs" /stypes="app*4026*20170624*" /stext=" 11:.+((SYSTEM_STATE.+slice.+state.+changed )|(ment ac)|(multiple cpu faults)|(system.+state.+changed )|(\[timeout)|(PRM\|1\|D)|(kpr)|(kdp)|(train st.+moving)|(\|lc)|(penalty))"</v>
      </c>
      <c r="AG211" s="209" t="str">
        <f t="shared" si="92"/>
        <v>Other</v>
      </c>
      <c r="AH211" s="78" t="str">
        <f t="shared" si="93"/>
        <v>"%USERPROFILE%\Documents\GitHub\eaglep3\Utilities\RefineRTDCRunTimes.py" --tripid 1901-24 --locoid 4026 --swversion DE.1.0.9.0 --startMP 300:29739 --initTime 2017-06-24T05:19:34 --startdatetime 2017-06-24T05:24:35 --delay 4 --endMP 300:58929 --enddatetime 2017-06-24T05:32:18 --enforcementcount 0 &gt;&gt;C:\Users\stu\Documents\GitHub\eaglep3-reporting\EC\2017-06-24-refined-times.txt</v>
      </c>
      <c r="AI211" s="96" t="str">
        <f t="shared" si="94"/>
        <v>echo {"issue":{"subject":"","project_id":79,"tracker_id":40,"status_id":1,"priority_id":2,"assigned_to_id":23,"start_date":"2017-06-24","description":"","custom_fields":[{"id":1,"name":"Subdivision","value":"Other"},{"id":4,"name":"Milepost","value":"5.8929"},{"id":17,"name":"Train ID","value":"1901-24"},{"id":16,"name":"Locomotive ID","value":"4026"},{"id":130,"name":"Impact","value":""},{"id":150,"name":"Time of Event (Mountain Time)","value":"05:32:18"},{"id":151,"name":"Denver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95"/>
        <v>start /low /b %USERPROFILE%\Documents\GitHub\eaglep3\Utilities\DownloadLogsFromS3.py --loco 4026 --day 2017-06-24</v>
      </c>
      <c r="AN211" s="151" t="str">
        <f t="shared" si="96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11:32:18"},{"id":29,"name":"Sharepoint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710</v>
      </c>
      <c r="B212" s="7">
        <v>4017</v>
      </c>
      <c r="C212" s="21" t="s">
        <v>202</v>
      </c>
      <c r="D212" s="21" t="s">
        <v>962</v>
      </c>
      <c r="E212" s="13">
        <v>42910.285520833335</v>
      </c>
      <c r="F212" s="13">
        <v>42910.287847222222</v>
      </c>
      <c r="G212" s="7">
        <v>3</v>
      </c>
      <c r="H212" s="21" t="s">
        <v>963</v>
      </c>
      <c r="I212" s="13">
        <v>42910.297430555554</v>
      </c>
      <c r="J212" s="7">
        <v>0</v>
      </c>
      <c r="K212" s="89" t="str">
        <f t="shared" si="84"/>
        <v>4017/4018</v>
      </c>
      <c r="L212" s="21" t="str">
        <f>VLOOKUP(A212,'Trips&amp;Operators'!$C$1:$G$99999,5,FALSE)</f>
        <v>CHANDLER KELVIN</v>
      </c>
      <c r="M212" s="6">
        <f t="shared" si="85"/>
        <v>9.5833333325572312E-3</v>
      </c>
      <c r="N212" s="7">
        <f t="shared" si="79"/>
        <v>13.799999998882413</v>
      </c>
      <c r="O212" s="7"/>
      <c r="P212" s="7"/>
      <c r="Q212" s="22"/>
      <c r="R212" s="170"/>
      <c r="S212" s="213">
        <f t="shared" si="80"/>
        <v>0</v>
      </c>
      <c r="T212" s="195" t="str">
        <f t="shared" si="86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87"/>
        <v>https://d0f6bd738d7f1b3e5a7ca70fe4ff75f0.us-east-1.aws.found.io/app/kibana#/discover/Steve-Slow-Train-Analysis-(2080s-and-2083s)?_g=(refreshInterval:(display:Off,pause:!f,section:0,value:0),time:(from:'2017-06-24T05:51:09-0600',mode:absolute,to:'2017-06-24T08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2" s="197" t="str">
        <f>IF(AA212&lt;VLOOKUP(AG212,Variables!$AC$3:$AD$8,2,FALSE),"Y","N")</f>
        <v>Y</v>
      </c>
      <c r="X212" s="197">
        <f t="shared" si="83"/>
        <v>-1850</v>
      </c>
      <c r="Y212" s="197">
        <f t="shared" si="81"/>
        <v>2.3506</v>
      </c>
      <c r="Z212" s="197">
        <f t="shared" si="82"/>
        <v>0.1198</v>
      </c>
      <c r="AA212" s="197">
        <f t="shared" si="88"/>
        <v>2.2307999999999999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9"/>
        <v>51</v>
      </c>
      <c r="AE212" s="77" t="str">
        <f t="shared" si="90"/>
        <v>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 &amp; 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</v>
      </c>
      <c r="AF212" s="74" t="str">
        <f t="shared" si="91"/>
        <v>"C:\Program Files (x86)\AstroGrep\AstroGrep.exe" /e /r /s /spath="%USERPROFILE%\AppData\Local\Temp\OnboardLogs" /stypes="app*4017*20170624*" /stext=" 13:.+((SYSTEM_STATE.+slice.+state.+changed )|(ment ac)|(multiple cpu faults)|(system.+state.+changed )|(\[timeout)|(PRM\|1\|D)|(kpr)|(kdp)|(train st.+moving)|(\|lc)|(penalty))"</v>
      </c>
      <c r="AG212" s="209" t="str">
        <f t="shared" si="92"/>
        <v>Shuttle/Test</v>
      </c>
      <c r="AH212" s="78" t="str">
        <f t="shared" si="93"/>
        <v>"%USERPROFILE%\Documents\GitHub\eaglep3\Utilities\RefineRTDCRunTimes.py" --tripid 51-24 --locoid 4017 --swversion DE.1.0.9.0 --startMP 300:23506 --initTime 2017-06-24T06:51:09 --startdatetime 2017-06-24T06:54:30 --delay 3 --endMP 204:1198 --enddatetime 2017-06-24T07:08:18 --enforcementcount 0 &gt;&gt;C:\Users\stu\Documents\GitHub\eaglep3-reporting\EC\2017-06-24-refined-times.txt</v>
      </c>
      <c r="AI212" s="96" t="str">
        <f t="shared" si="94"/>
        <v>echo {"issue":{"subject":"","project_id":79,"tracker_id":40,"status_id":1,"priority_id":2,"assigned_to_id":23,"start_date":"2017-06-24","description":"","custom_fields":[{"id":1,"name":"Subdivision","value":"Shuttle/Test"},{"id":4,"name":"Milepost","value":"0.1198"},{"id":17,"name":"Train ID","value":"51-24"},{"id":16,"name":"Locomotive ID","value":"4017"},{"id":130,"name":"Impact","value":""},{"id":150,"name":"Time of Event (Mountain Time)","value":"07:08:18"},{"id":151,"name":"Denver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5"/>
        <v>start /low /b %USERPROFILE%\Documents\GitHub\eaglep3\Utilities\DownloadLogsFromS3.py --loco 4017 --day 2017-06-24</v>
      </c>
      <c r="AN212" s="151" t="str">
        <f t="shared" si="96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13:08:18"},{"id":29,"name":"Sharepoint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710</v>
      </c>
      <c r="B213" s="7">
        <v>4052</v>
      </c>
      <c r="C213" s="21" t="s">
        <v>202</v>
      </c>
      <c r="D213" s="21" t="s">
        <v>352</v>
      </c>
      <c r="E213" s="13">
        <v>42910.265787037039</v>
      </c>
      <c r="F213" s="13">
        <v>42910.287847222222</v>
      </c>
      <c r="G213" s="7">
        <v>1</v>
      </c>
      <c r="H213" s="21" t="s">
        <v>964</v>
      </c>
      <c r="I213" s="13">
        <v>42910.297430555554</v>
      </c>
      <c r="J213" s="7">
        <v>0</v>
      </c>
      <c r="K213" s="89" t="str">
        <f t="shared" si="84"/>
        <v>4051/4052</v>
      </c>
      <c r="L213" s="21" t="str">
        <f>VLOOKUP(A213,'Trips&amp;Operators'!$C$1:$G$99999,5,FALSE)</f>
        <v>CHANDLER KELVIN</v>
      </c>
      <c r="M213" s="6">
        <f t="shared" si="85"/>
        <v>9.5833333325572312E-3</v>
      </c>
      <c r="N213" s="7">
        <f t="shared" si="79"/>
        <v>13.799999998882413</v>
      </c>
      <c r="O213" s="7"/>
      <c r="P213" s="7"/>
      <c r="Q213" s="22"/>
      <c r="R213" s="170"/>
      <c r="S213" s="213">
        <f t="shared" si="80"/>
        <v>1</v>
      </c>
      <c r="T213" s="195" t="str">
        <f t="shared" si="86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87"/>
        <v>https://d0f6bd738d7f1b3e5a7ca70fe4ff75f0.us-east-1.aws.found.io/app/kibana#/discover/Steve-Slow-Train-Analysis-(2080s-and-2083s)?_g=(refreshInterval:(display:Off,pause:!f,section:0,value:0),time:(from:'2017-06-24T05:22:44-0600',mode:absolute,to:'2017-06-24T08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3" s="197" t="str">
        <f>IF(AA213&lt;VLOOKUP(AG213,Variables!$AC$3:$AD$8,2,FALSE),"Y","N")</f>
        <v>Y</v>
      </c>
      <c r="X213" s="197">
        <f t="shared" si="83"/>
        <v>0</v>
      </c>
      <c r="Y213" s="197">
        <f t="shared" si="81"/>
        <v>4.5100000000000001E-2</v>
      </c>
      <c r="Z213" s="197">
        <f t="shared" si="82"/>
        <v>2.3298999999999999</v>
      </c>
      <c r="AA213" s="197">
        <f t="shared" si="88"/>
        <v>2.2847999999999997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9"/>
        <v>51</v>
      </c>
      <c r="AE213" s="77" t="str">
        <f t="shared" si="90"/>
        <v>aws s3 cp s3://rtdc.mdm.uploadarchive.raw/RTDC4052/ "%USERPROFILE%\AppData\Local\Temp\OnboardLogs"\RTDC4052\2017-06-24 --exclude "*" --recursive --include "*20170624*" &amp; "%USERPROFILE%\Documents\GitHub\mrs-test-scripts\Headless Mode &amp; Sideloading\WalkAndUnGZ.bat" "%USERPROFILE%\AppData\Local\Temp\OnboardLogs"\RTDC4052\2017-06-24 &amp; aws s3 cp s3://rtdc.mdm.uploadarchive.raw/RTDC4052/ "%USERPROFILE%\AppData\Local\Temp\OnboardLogs"\RTDC4052\2017-06-25 --exclude "*" --recursive --include "*20170625*" &amp; "%USERPROFILE%\Documents\GitHub\mrs-test-scripts\Headless Mode &amp; Sideloading\WalkAndUnGZ.bat" "%USERPROFILE%\AppData\Local\Temp\OnboardLogs"\RTDC4052\2017-06-25</v>
      </c>
      <c r="AF213" s="74" t="str">
        <f t="shared" si="91"/>
        <v>"C:\Program Files (x86)\AstroGrep\AstroGrep.exe" /e /r /s /spath="%USERPROFILE%\AppData\Local\Temp\OnboardLogs" /stypes="app*4052*20170624*" /stext=" 13:.+((SYSTEM_STATE.+slice.+state.+changed )|(ment ac)|(multiple cpu faults)|(system.+state.+changed )|(\[timeout)|(PRM\|1\|D)|(kpr)|(kdp)|(train st.+moving)|(\|lc)|(penalty))"</v>
      </c>
      <c r="AG213" s="209" t="str">
        <f t="shared" si="92"/>
        <v>Shuttle/Test</v>
      </c>
      <c r="AH213" s="78" t="str">
        <f t="shared" si="93"/>
        <v>"%USERPROFILE%\Documents\GitHub\eaglep3\Utilities\RefineRTDCRunTimes.py" --tripid 51-24 --locoid 4052 --swversion DE.1.0.9.0 --startMP 204:451 --initTime 2017-06-24T06:22:44 --startdatetime 2017-06-24T06:54:30 --delay 1 --endMP 300:23299 --enddatetime 2017-06-24T07:08:18 --enforcementcount 0 &gt;&gt;C:\Users\stu\Documents\GitHub\eaglep3-reporting\EC\2017-06-24-refined-times.txt</v>
      </c>
      <c r="AI213" s="96" t="str">
        <f t="shared" si="94"/>
        <v>echo {"issue":{"subject":"","project_id":79,"tracker_id":40,"status_id":1,"priority_id":2,"assigned_to_id":23,"start_date":"2017-06-24","description":"","custom_fields":[{"id":1,"name":"Subdivision","value":"Shuttle/Test"},{"id":4,"name":"Milepost","value":"2.3299"},{"id":17,"name":"Train ID","value":"51-24"},{"id":16,"name":"Locomotive ID","value":"4052"},{"id":130,"name":"Impact","value":""},{"id":150,"name":"Time of Event (Mountain Time)","value":"07:08:18"},{"id":151,"name":"Denver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95"/>
        <v>start /low /b %USERPROFILE%\Documents\GitHub\eaglep3\Utilities\DownloadLogsFromS3.py --loco 4052 --day 2017-06-24</v>
      </c>
      <c r="AN213" s="151" t="str">
        <f t="shared" si="96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13:08:18"},{"id":29,"name":"Sharepoint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770</v>
      </c>
      <c r="B214" s="7">
        <v>4017</v>
      </c>
      <c r="C214" s="21" t="s">
        <v>202</v>
      </c>
      <c r="D214" s="21" t="s">
        <v>965</v>
      </c>
      <c r="E214" s="13">
        <v>42910.547881944447</v>
      </c>
      <c r="F214" s="13">
        <v>42910.54923611111</v>
      </c>
      <c r="G214" s="7">
        <v>1</v>
      </c>
      <c r="H214" s="21" t="s">
        <v>966</v>
      </c>
      <c r="I214" s="13">
        <v>42910.550844907404</v>
      </c>
      <c r="J214" s="7">
        <v>0</v>
      </c>
      <c r="K214" s="89" t="str">
        <f t="shared" si="84"/>
        <v>4017/4018</v>
      </c>
      <c r="L214" s="21" t="str">
        <f>VLOOKUP(A214,'Trips&amp;Operators'!$C$1:$G$99999,5,FALSE)</f>
        <v>LOPES KIMBERLY</v>
      </c>
      <c r="M214" s="6">
        <f t="shared" si="85"/>
        <v>1.6087962940218858E-3</v>
      </c>
      <c r="N214" s="7">
        <f t="shared" si="79"/>
        <v>2.3166666633915156</v>
      </c>
      <c r="O214" s="7"/>
      <c r="P214" s="7"/>
      <c r="Q214" s="22"/>
      <c r="R214" s="170"/>
      <c r="S214" s="213">
        <f t="shared" si="80"/>
        <v>0</v>
      </c>
      <c r="T214" s="195" t="str">
        <f t="shared" si="86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87"/>
        <v>https://d0f6bd738d7f1b3e5a7ca70fe4ff75f0.us-east-1.aws.found.io/app/kibana#/discover/Steve-Slow-Train-Analysis-(2080s-and-2083s)?_g=(refreshInterval:(display:Off,pause:!f,section:0,value:0),time:(from:'2017-06-24T12:08:57-0600',mode:absolute,to:'2017-06-24T14:13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4" s="197" t="str">
        <f>IF(AA214&lt;VLOOKUP(AG214,Variables!$AC$3:$AD$8,2,FALSE),"Y","N")</f>
        <v>Y</v>
      </c>
      <c r="X214" s="197">
        <f t="shared" si="83"/>
        <v>2</v>
      </c>
      <c r="Y214" s="197">
        <f t="shared" si="81"/>
        <v>0.50800000000000001</v>
      </c>
      <c r="Z214" s="197">
        <f t="shared" si="82"/>
        <v>7.2900000000000006E-2</v>
      </c>
      <c r="AA214" s="197">
        <f t="shared" si="88"/>
        <v>0.43509999999999999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9"/>
        <v>53</v>
      </c>
      <c r="AE214" s="77" t="str">
        <f t="shared" si="90"/>
        <v>aws s3 cp s3://rtdc.mdm.uploadarchive.raw/RTDC4017/ "%USERPROFILE%\AppData\Local\Temp\OnboardLogs"\RTDC4017\2017-06-24 --exclude "*" --recursive --include "*20170624*" &amp; "%USERPROFILE%\Documents\GitHub\mrs-test-scripts\Headless Mode &amp; Sideloading\WalkAndUnGZ.bat" "%USERPROFILE%\AppData\Local\Temp\OnboardLogs"\RTDC4017\2017-06-24 &amp; aws s3 cp s3://rtdc.mdm.uploadarchive.raw/RTDC4017/ "%USERPROFILE%\AppData\Local\Temp\OnboardLogs"\RTDC4017\2017-06-25 --exclude "*" --recursive --include "*20170625*" &amp; "%USERPROFILE%\Documents\GitHub\mrs-test-scripts\Headless Mode &amp; Sideloading\WalkAndUnGZ.bat" "%USERPROFILE%\AppData\Local\Temp\OnboardLogs"\RTDC4017\2017-06-25</v>
      </c>
      <c r="AF214" s="74" t="str">
        <f t="shared" si="91"/>
        <v>"C:\Program Files (x86)\AstroGrep\AstroGrep.exe" /e /r /s /spath="%USERPROFILE%\AppData\Local\Temp\OnboardLogs" /stypes="app*4017*20170624*" /stext=" 19:.+((SYSTEM_STATE.+slice.+state.+changed )|(ment ac)|(multiple cpu faults)|(system.+state.+changed )|(\[timeout)|(PRM\|1\|D)|(kpr)|(kdp)|(train st.+moving)|(\|lc)|(penalty))"</v>
      </c>
      <c r="AG214" s="209" t="str">
        <f t="shared" si="92"/>
        <v>Shuttle/Test</v>
      </c>
      <c r="AH214" s="78" t="str">
        <f t="shared" si="93"/>
        <v>"%USERPROFILE%\Documents\GitHub\eaglep3\Utilities\RefineRTDCRunTimes.py" --tripid 53-24 --locoid 4017 --swversion DE.1.0.9.0 --startMP 300:5080 --initTime 2017-06-24T13:08:57 --startdatetime 2017-06-24T13:10:54 --delay 1 --endMP 204:729 --enddatetime 2017-06-24T13:13:13 --enforcementcount 0 &gt;&gt;C:\Users\stu\Documents\GitHub\eaglep3-reporting\EC\2017-06-24-refined-times.txt</v>
      </c>
      <c r="AI214" s="96" t="str">
        <f t="shared" si="94"/>
        <v>echo {"issue":{"subject":"","project_id":79,"tracker_id":40,"status_id":1,"priority_id":2,"assigned_to_id":23,"start_date":"2017-06-24","description":"","custom_fields":[{"id":1,"name":"Subdivision","value":"Shuttle/Test"},{"id":4,"name":"Milepost","value":"0.0729"},{"id":17,"name":"Train ID","value":"53-24"},{"id":16,"name":"Locomotive ID","value":"4017"},{"id":130,"name":"Impact","value":""},{"id":150,"name":"Time of Event (Mountain Time)","value":"13:13:13"},{"id":151,"name":"Denver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95"/>
        <v>start /low /b %USERPROFILE%\Documents\GitHub\eaglep3\Utilities\DownloadLogsFromS3.py --loco 4017 --day 2017-06-24</v>
      </c>
      <c r="AN214" s="151" t="str">
        <f t="shared" si="96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19:13:13"},{"id":29,"name":"Sharepoint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770</v>
      </c>
      <c r="B215" s="7">
        <v>4018</v>
      </c>
      <c r="C215" s="21" t="s">
        <v>202</v>
      </c>
      <c r="D215" s="21" t="s">
        <v>967</v>
      </c>
      <c r="E215" s="13">
        <v>42910.538807870369</v>
      </c>
      <c r="F215" s="13">
        <v>42910.54923611111</v>
      </c>
      <c r="G215" s="7">
        <v>1</v>
      </c>
      <c r="H215" s="21" t="s">
        <v>968</v>
      </c>
      <c r="I215" s="13">
        <v>42910.550844907404</v>
      </c>
      <c r="J215" s="7">
        <v>0</v>
      </c>
      <c r="K215" s="89" t="str">
        <f t="shared" si="84"/>
        <v>4017/4018</v>
      </c>
      <c r="L215" s="21" t="str">
        <f>VLOOKUP(A215,'Trips&amp;Operators'!$C$1:$G$99999,5,FALSE)</f>
        <v>LOPES KIMBERLY</v>
      </c>
      <c r="M215" s="6">
        <f t="shared" si="85"/>
        <v>1.6087962940218858E-3</v>
      </c>
      <c r="N215" s="7">
        <f t="shared" si="79"/>
        <v>2.3166666633915156</v>
      </c>
      <c r="O215" s="7"/>
      <c r="P215" s="7"/>
      <c r="Q215" s="22"/>
      <c r="R215" s="170"/>
      <c r="S215" s="213">
        <f t="shared" si="80"/>
        <v>0</v>
      </c>
      <c r="T215" s="195" t="str">
        <f t="shared" si="86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87"/>
        <v>https://d0f6bd738d7f1b3e5a7ca70fe4ff75f0.us-east-1.aws.found.io/app/kibana#/discover/Steve-Slow-Train-Analysis-(2080s-and-2083s)?_g=(refreshInterval:(display:Off,pause:!f,section:0,value:0),time:(from:'2017-06-24T11:55:53-0600',mode:absolute,to:'2017-06-24T14:13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5" s="197" t="str">
        <f>IF(AA215&lt;VLOOKUP(AG215,Variables!$AC$3:$AD$8,2,FALSE),"Y","N")</f>
        <v>Y</v>
      </c>
      <c r="X215" s="197">
        <f t="shared" si="83"/>
        <v>0</v>
      </c>
      <c r="Y215" s="197">
        <f t="shared" si="81"/>
        <v>0.15179999999999999</v>
      </c>
      <c r="Z215" s="197">
        <f t="shared" si="82"/>
        <v>0.53600000000000003</v>
      </c>
      <c r="AA215" s="197">
        <f t="shared" si="88"/>
        <v>0.38420000000000004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9"/>
        <v>53</v>
      </c>
      <c r="AE215" s="77" t="str">
        <f t="shared" si="90"/>
        <v>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 &amp; 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</v>
      </c>
      <c r="AF215" s="74" t="str">
        <f t="shared" si="91"/>
        <v>"C:\Program Files (x86)\AstroGrep\AstroGrep.exe" /e /r /s /spath="%USERPROFILE%\AppData\Local\Temp\OnboardLogs" /stypes="app*4018*20170624*" /stext=" 19:.+((SYSTEM_STATE.+slice.+state.+changed )|(ment ac)|(multiple cpu faults)|(system.+state.+changed )|(\[timeout)|(PRM\|1\|D)|(kpr)|(kdp)|(train st.+moving)|(\|lc)|(penalty))"</v>
      </c>
      <c r="AG215" s="209" t="str">
        <f t="shared" si="92"/>
        <v>Shuttle/Test</v>
      </c>
      <c r="AH215" s="78" t="str">
        <f t="shared" si="93"/>
        <v>"%USERPROFILE%\Documents\GitHub\eaglep3\Utilities\RefineRTDCRunTimes.py" --tripid 53-24 --locoid 4018 --swversion DE.1.0.9.0 --startMP 204:1518 --initTime 2017-06-24T12:55:53 --startdatetime 2017-06-24T13:10:54 --delay 1 --endMP 300:5360 --enddatetime 2017-06-24T13:13:13 --enforcementcount 0 &gt;&gt;C:\Users\stu\Documents\GitHub\eaglep3-reporting\EC\2017-06-24-refined-times.txt</v>
      </c>
      <c r="AI215" s="96" t="str">
        <f t="shared" si="94"/>
        <v>echo {"issue":{"subject":"","project_id":79,"tracker_id":40,"status_id":1,"priority_id":2,"assigned_to_id":23,"start_date":"2017-06-24","description":"","custom_fields":[{"id":1,"name":"Subdivision","value":"Shuttle/Test"},{"id":4,"name":"Milepost","value":"0.536"},{"id":17,"name":"Train ID","value":"53-24"},{"id":16,"name":"Locomotive ID","value":"4018"},{"id":130,"name":"Impact","value":""},{"id":150,"name":"Time of Event (Mountain Time)","value":"13:13:13"},{"id":151,"name":"Denver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95"/>
        <v>start /low /b %USERPROFILE%\Documents\GitHub\eaglep3\Utilities\DownloadLogsFromS3.py --loco 4018 --day 2017-06-24</v>
      </c>
      <c r="AN215" s="151" t="str">
        <f t="shared" si="96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19:13:13"},{"id":29,"name":"Sharepoint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814</v>
      </c>
      <c r="B216" s="7">
        <v>4028</v>
      </c>
      <c r="C216" s="21" t="s">
        <v>202</v>
      </c>
      <c r="D216" s="21" t="s">
        <v>969</v>
      </c>
      <c r="E216" s="13">
        <v>42910.708391203705</v>
      </c>
      <c r="F216" s="13">
        <v>42910.737395833334</v>
      </c>
      <c r="G216" s="7">
        <v>0</v>
      </c>
      <c r="H216" s="21" t="s">
        <v>970</v>
      </c>
      <c r="I216" s="13">
        <v>42910.742488425924</v>
      </c>
      <c r="J216" s="7">
        <v>0</v>
      </c>
      <c r="K216" s="89" t="str">
        <f t="shared" si="84"/>
        <v>4027/4028</v>
      </c>
      <c r="L216" s="21" t="str">
        <f>VLOOKUP(A216,'Trips&amp;Operators'!$C$1:$G$99999,5,FALSE)</f>
        <v>ARVIDSON DANIEL</v>
      </c>
      <c r="M216" s="6">
        <f t="shared" si="85"/>
        <v>5.0925925897900015E-3</v>
      </c>
      <c r="N216" s="7">
        <f t="shared" si="79"/>
        <v>7.3333333292976022</v>
      </c>
      <c r="O216" s="7"/>
      <c r="P216" s="7"/>
      <c r="Q216" s="22"/>
      <c r="R216" s="170"/>
      <c r="S216" s="213">
        <f t="shared" si="80"/>
        <v>1</v>
      </c>
      <c r="T216" s="195" t="str">
        <f t="shared" si="86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87"/>
        <v>https://d0f6bd738d7f1b3e5a7ca70fe4ff75f0.us-east-1.aws.found.io/app/kibana#/discover/Steve-Slow-Train-Analysis-(2080s-and-2083s)?_g=(refreshInterval:(display:Off,pause:!f,section:0,value:0),time:(from:'2017-06-24T16:00:05-0600',mode:absolute,to:'2017-06-24T18:49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6" s="197" t="str">
        <f>IF(AA216&lt;VLOOKUP(AG216,Variables!$AC$3:$AD$8,2,FALSE),"Y","N")</f>
        <v>Y</v>
      </c>
      <c r="X216" s="197">
        <f t="shared" si="83"/>
        <v>2</v>
      </c>
      <c r="Y216" s="197">
        <f t="shared" si="81"/>
        <v>0.1196</v>
      </c>
      <c r="Z216" s="197">
        <f t="shared" si="82"/>
        <v>2.3117000000000001</v>
      </c>
      <c r="AA216" s="197">
        <f t="shared" si="88"/>
        <v>2.1920999999999999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9"/>
        <v>55</v>
      </c>
      <c r="AE216" s="77" t="str">
        <f t="shared" si="90"/>
        <v>aws s3 cp s3://rtdc.mdm.uploadarchive.raw/RTDC4028/ "%USERPROFILE%\AppData\Local\Temp\OnboardLogs"\RTDC4028\2017-06-24 --exclude "*" --recursive --include "*20170624*" &amp; "%USERPROFILE%\Documents\GitHub\mrs-test-scripts\Headless Mode &amp; Sideloading\WalkAndUnGZ.bat" "%USERPROFILE%\AppData\Local\Temp\OnboardLogs"\RTDC4028\2017-06-24 &amp; aws s3 cp s3://rtdc.mdm.uploadarchive.raw/RTDC4028/ "%USERPROFILE%\AppData\Local\Temp\OnboardLogs"\RTDC4028\2017-06-25 --exclude "*" --recursive --include "*20170625*" &amp; "%USERPROFILE%\Documents\GitHub\mrs-test-scripts\Headless Mode &amp; Sideloading\WalkAndUnGZ.bat" "%USERPROFILE%\AppData\Local\Temp\OnboardLogs"\RTDC4028\2017-06-25</v>
      </c>
      <c r="AF216" s="74" t="str">
        <f t="shared" si="91"/>
        <v>"C:\Program Files (x86)\AstroGrep\AstroGrep.exe" /e /r /s /spath="%USERPROFILE%\AppData\Local\Temp\OnboardLogs" /stypes="app*4028*20170624*" /stext=" 23:.+((SYSTEM_STATE.+slice.+state.+changed )|(ment ac)|(multiple cpu faults)|(system.+state.+changed )|(\[timeout)|(PRM\|1\|D)|(kpr)|(kdp)|(train st.+moving)|(\|lc)|(penalty))"</v>
      </c>
      <c r="AG216" s="209" t="str">
        <f t="shared" si="92"/>
        <v>Shuttle/Test</v>
      </c>
      <c r="AH216" s="78" t="str">
        <f t="shared" si="93"/>
        <v>"%USERPROFILE%\Documents\GitHub\eaglep3\Utilities\RefineRTDCRunTimes.py" --tripid 55-24 --locoid 4028 --swversion DE.1.0.9.0 --startMP 204:1196 --initTime 2017-06-24T17:00:05 --startdatetime 2017-06-24T17:41:51 --delay 0 --endMP 300:23117 --enddatetime 2017-06-24T17:49:11 --enforcementcount 0 &gt;&gt;C:\Users\stu\Documents\GitHub\eaglep3-reporting\EC\2017-06-24-refined-times.txt</v>
      </c>
      <c r="AI216" s="96" t="str">
        <f t="shared" si="94"/>
        <v>echo {"issue":{"subject":"","project_id":79,"tracker_id":40,"status_id":1,"priority_id":2,"assigned_to_id":23,"start_date":"2017-06-24","description":"","custom_fields":[{"id":1,"name":"Subdivision","value":"Shuttle/Test"},{"id":4,"name":"Milepost","value":"2.3117"},{"id":17,"name":"Train ID","value":"55-24"},{"id":16,"name":"Locomotive ID","value":"4028"},{"id":130,"name":"Impact","value":""},{"id":150,"name":"Time of Event (Mountain Time)","value":"17:49:11"},{"id":151,"name":"Denver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95"/>
        <v>start /low /b %USERPROFILE%\Documents\GitHub\eaglep3\Utilities\DownloadLogsFromS3.py --loco 4028 --day 2017-06-24</v>
      </c>
      <c r="AN216" s="151" t="str">
        <f t="shared" si="96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23:49:11"},{"id":29,"name":"Sharepoint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675</v>
      </c>
      <c r="B217" s="7">
        <v>4022</v>
      </c>
      <c r="C217" s="21" t="s">
        <v>202</v>
      </c>
      <c r="D217" s="21" t="s">
        <v>971</v>
      </c>
      <c r="E217" s="13">
        <v>42910.235092592593</v>
      </c>
      <c r="F217" s="13">
        <v>42910.243796296294</v>
      </c>
      <c r="G217" s="7">
        <v>1</v>
      </c>
      <c r="H217" s="21" t="s">
        <v>972</v>
      </c>
      <c r="I217" s="13">
        <v>42910.244525462964</v>
      </c>
      <c r="J217" s="7">
        <v>0</v>
      </c>
      <c r="K217" s="89" t="str">
        <f t="shared" si="84"/>
        <v>4021/4022</v>
      </c>
      <c r="L217" s="21" t="str">
        <f>VLOOKUP(A217,'Trips&amp;Operators'!$C$1:$G$99999,5,FALSE)</f>
        <v>GRASTON MATHEU</v>
      </c>
      <c r="M217" s="6">
        <f t="shared" si="85"/>
        <v>7.2916666977107525E-4</v>
      </c>
      <c r="N217" s="7">
        <f t="shared" si="79"/>
        <v>1.0500000044703484</v>
      </c>
      <c r="O217" s="7"/>
      <c r="P217" s="7"/>
      <c r="Q217" s="22"/>
      <c r="R217" s="170"/>
      <c r="S217" s="213">
        <f t="shared" si="80"/>
        <v>0</v>
      </c>
      <c r="T217" s="195" t="str">
        <f t="shared" si="86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87"/>
        <v>https://d0f6bd738d7f1b3e5a7ca70fe4ff75f0.us-east-1.aws.found.io/app/kibana#/discover/Steve-Slow-Train-Analysis-(2080s-and-2083s)?_g=(refreshInterval:(display:Off,pause:!f,section:0,value:0),time:(from:'2017-06-24T04:38:32-0600',mode:absolute,to:'2017-06-24T06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7" s="197" t="str">
        <f>IF(AA217&lt;VLOOKUP(AG217,Variables!$AC$3:$AD$8,2,FALSE),"Y","N")</f>
        <v>Y</v>
      </c>
      <c r="X217" s="197">
        <f t="shared" si="83"/>
        <v>12</v>
      </c>
      <c r="Y217" s="197">
        <f t="shared" si="81"/>
        <v>0.15329999999999999</v>
      </c>
      <c r="Z217" s="197">
        <f t="shared" si="82"/>
        <v>0.35120000000000001</v>
      </c>
      <c r="AA217" s="197">
        <f t="shared" si="88"/>
        <v>0.19790000000000002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9"/>
        <v>67</v>
      </c>
      <c r="AE217" s="77" t="str">
        <f t="shared" si="90"/>
        <v>aws s3 cp s3://rtdc.mdm.uploadarchive.raw/RTDC4022/ "%USERPROFILE%\AppData\Local\Temp\OnboardLogs"\RTDC4022\2017-06-24 --exclude "*" --recursive --include "*20170624*" &amp; "%USERPROFILE%\Documents\GitHub\mrs-test-scripts\Headless Mode &amp; Sideloading\WalkAndUnGZ.bat" "%USERPROFILE%\AppData\Local\Temp\OnboardLogs"\RTDC4022\2017-06-24 &amp; aws s3 cp s3://rtdc.mdm.uploadarchive.raw/RTDC4022/ "%USERPROFILE%\AppData\Local\Temp\OnboardLogs"\RTDC4022\2017-06-25 --exclude "*" --recursive --include "*20170625*" &amp; "%USERPROFILE%\Documents\GitHub\mrs-test-scripts\Headless Mode &amp; Sideloading\WalkAndUnGZ.bat" "%USERPROFILE%\AppData\Local\Temp\OnboardLogs"\RTDC4022\2017-06-25</v>
      </c>
      <c r="AF217" s="74" t="str">
        <f t="shared" si="91"/>
        <v>"C:\Program Files (x86)\AstroGrep\AstroGrep.exe" /e /r /s /spath="%USERPROFILE%\AppData\Local\Temp\OnboardLogs" /stypes="app*4022*20170624*" /stext=" 11:.+((SYSTEM_STATE.+slice.+state.+changed )|(ment ac)|(multiple cpu faults)|(system.+state.+changed )|(\[timeout)|(PRM\|1\|D)|(kpr)|(kdp)|(train st.+moving)|(\|lc)|(penalty))"</v>
      </c>
      <c r="AG217" s="209" t="str">
        <f t="shared" si="92"/>
        <v>Shuttle/Test</v>
      </c>
      <c r="AH217" s="78" t="str">
        <f t="shared" si="93"/>
        <v>"%USERPROFILE%\Documents\GitHub\eaglep3\Utilities\RefineRTDCRunTimes.py" --tripid 67-24 --locoid 4022 --swversion DE.1.0.9.0 --startMP 204:1533 --initTime 2017-06-24T05:38:32 --startdatetime 2017-06-24T05:51:04 --delay 1 --endMP 204:3512 --enddatetime 2017-06-24T05:52:07 --enforcementcount 0 &gt;&gt;C:\Users\stu\Documents\GitHub\eaglep3-reporting\EC\2017-06-24-refined-times.txt</v>
      </c>
      <c r="AI217" s="96" t="str">
        <f t="shared" si="94"/>
        <v>echo {"issue":{"subject":"","project_id":79,"tracker_id":40,"status_id":1,"priority_id":2,"assigned_to_id":23,"start_date":"2017-06-24","description":"","custom_fields":[{"id":1,"name":"Subdivision","value":"Shuttle/Test"},{"id":4,"name":"Milepost","value":"0.3512"},{"id":17,"name":"Train ID","value":"67-24"},{"id":16,"name":"Locomotive ID","value":"4022"},{"id":130,"name":"Impact","value":""},{"id":150,"name":"Time of Event (Mountain Time)","value":"05:52:07"},{"id":151,"name":"Denver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95"/>
        <v>start /low /b %USERPROFILE%\Documents\GitHub\eaglep3\Utilities\DownloadLogsFromS3.py --loco 4022 --day 2017-06-24</v>
      </c>
      <c r="AN217" s="151" t="str">
        <f t="shared" si="96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11:52:07"},{"id":29,"name":"Sharepoint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675</v>
      </c>
      <c r="B218" s="7">
        <v>4022</v>
      </c>
      <c r="C218" s="21" t="s">
        <v>202</v>
      </c>
      <c r="D218" s="21" t="s">
        <v>519</v>
      </c>
      <c r="E218" s="13">
        <v>42910.133263888885</v>
      </c>
      <c r="F218" s="13">
        <v>42910.138101851851</v>
      </c>
      <c r="G218" s="7">
        <v>1</v>
      </c>
      <c r="H218" s="21" t="s">
        <v>973</v>
      </c>
      <c r="I218" s="13">
        <v>42910.138993055552</v>
      </c>
      <c r="J218" s="7">
        <v>0</v>
      </c>
      <c r="K218" s="89" t="str">
        <f t="shared" si="84"/>
        <v>4021/4022</v>
      </c>
      <c r="L218" s="21" t="str">
        <f>VLOOKUP(A218,'Trips&amp;Operators'!$C$1:$G$99999,5,FALSE)</f>
        <v>GRASTON MATHEU</v>
      </c>
      <c r="M218" s="6">
        <f t="shared" si="85"/>
        <v>8.9120370103046298E-4</v>
      </c>
      <c r="N218" s="7">
        <f t="shared" si="79"/>
        <v>1.2833333294838667</v>
      </c>
      <c r="O218" s="7"/>
      <c r="P218" s="7"/>
      <c r="Q218" s="22"/>
      <c r="R218" s="170"/>
      <c r="S218" s="213">
        <f t="shared" si="80"/>
        <v>0</v>
      </c>
      <c r="T218" s="195" t="str">
        <f t="shared" si="86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 t="shared" si="87"/>
        <v>https://d0f6bd738d7f1b3e5a7ca70fe4ff75f0.us-east-1.aws.found.io/app/kibana#/discover/Steve-Slow-Train-Analysis-(2080s-and-2083s)?_g=(refreshInterval:(display:Off,pause:!f,section:0,value:0),time:(from:'2017-06-24T02:11:54-0600',mode:absolute,to:'2017-06-24T04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8" s="197" t="str">
        <f>IF(AA218&lt;VLOOKUP(AG218,Variables!$AC$3:$AD$8,2,FALSE),"Y","N")</f>
        <v>Y</v>
      </c>
      <c r="X218" s="197">
        <f t="shared" si="83"/>
        <v>0</v>
      </c>
      <c r="Y218" s="197">
        <f t="shared" si="81"/>
        <v>4.3299999999999998E-2</v>
      </c>
      <c r="Z218" s="197">
        <f t="shared" si="82"/>
        <v>0.35399999999999998</v>
      </c>
      <c r="AA218" s="197">
        <f t="shared" si="88"/>
        <v>0.31069999999999998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9"/>
        <v>67</v>
      </c>
      <c r="AE218" s="77" t="str">
        <f t="shared" si="90"/>
        <v>aws s3 cp s3://rtdc.mdm.uploadarchive.raw/RTDC4022/ "%USERPROFILE%\AppData\Local\Temp\OnboardLogs"\RTDC4022\2017-06-24 --exclude "*" --recursive --include "*20170624*" &amp; "%USERPROFILE%\Documents\GitHub\mrs-test-scripts\Headless Mode &amp; Sideloading\WalkAndUnGZ.bat" "%USERPROFILE%\AppData\Local\Temp\OnboardLogs"\RTDC4022\2017-06-24 &amp; aws s3 cp s3://rtdc.mdm.uploadarchive.raw/RTDC4022/ "%USERPROFILE%\AppData\Local\Temp\OnboardLogs"\RTDC4022\2017-06-25 --exclude "*" --recursive --include "*20170625*" &amp; "%USERPROFILE%\Documents\GitHub\mrs-test-scripts\Headless Mode &amp; Sideloading\WalkAndUnGZ.bat" "%USERPROFILE%\AppData\Local\Temp\OnboardLogs"\RTDC4022\2017-06-25</v>
      </c>
      <c r="AF218" s="74" t="str">
        <f t="shared" si="91"/>
        <v>"C:\Program Files (x86)\AstroGrep\AstroGrep.exe" /e /r /s /spath="%USERPROFILE%\AppData\Local\Temp\OnboardLogs" /stypes="app*4022*20170624*" /stext=" 09:.+((SYSTEM_STATE.+slice.+state.+changed )|(ment ac)|(multiple cpu faults)|(system.+state.+changed )|(\[timeout)|(PRM\|1\|D)|(kpr)|(kdp)|(train st.+moving)|(\|lc)|(penalty))"</v>
      </c>
      <c r="AG218" s="209" t="str">
        <f t="shared" si="92"/>
        <v>Shuttle/Test</v>
      </c>
      <c r="AH218" s="78" t="str">
        <f t="shared" si="93"/>
        <v>"%USERPROFILE%\Documents\GitHub\eaglep3\Utilities\RefineRTDCRunTimes.py" --tripid 67-24 --locoid 4022 --swversion DE.1.0.9.0 --startMP 204:433 --initTime 2017-06-24T03:11:54 --startdatetime 2017-06-24T03:18:52 --delay 1 --endMP 204:3540 --enddatetime 2017-06-24T03:20:09 --enforcementcount 0 &gt;&gt;C:\Users\stu\Documents\GitHub\eaglep3-reporting\EC\2017-06-24-refined-times.txt</v>
      </c>
      <c r="AI218" s="96" t="str">
        <f t="shared" si="94"/>
        <v>echo {"issue":{"subject":"","project_id":79,"tracker_id":40,"status_id":1,"priority_id":2,"assigned_to_id":23,"start_date":"2017-06-24","description":"","custom_fields":[{"id":1,"name":"Subdivision","value":"Shuttle/Test"},{"id":4,"name":"Milepost","value":"0.354"},{"id":17,"name":"Train ID","value":"67-24"},{"id":16,"name":"Locomotive ID","value":"4022"},{"id":130,"name":"Impact","value":""},{"id":150,"name":"Time of Event (Mountain Time)","value":"03:20:09"},{"id":151,"name":"Denver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95"/>
        <v>start /low /b %USERPROFILE%\Documents\GitHub\eaglep3\Utilities\DownloadLogsFromS3.py --loco 4022 --day 2017-06-24</v>
      </c>
      <c r="AN218" s="151" t="str">
        <f t="shared" si="96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09:20:09"},{"id":29,"name":"Sharepoint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677</v>
      </c>
      <c r="B219" s="7">
        <v>4021</v>
      </c>
      <c r="C219" s="21" t="s">
        <v>202</v>
      </c>
      <c r="D219" s="21" t="s">
        <v>974</v>
      </c>
      <c r="E219" s="13">
        <v>42910.245208333334</v>
      </c>
      <c r="F219" s="13">
        <v>42910.246354166666</v>
      </c>
      <c r="G219" s="7">
        <v>1</v>
      </c>
      <c r="H219" s="21" t="s">
        <v>350</v>
      </c>
      <c r="I219" s="13">
        <v>42910.247534722221</v>
      </c>
      <c r="J219" s="7">
        <v>0</v>
      </c>
      <c r="K219" s="89" t="str">
        <f t="shared" si="84"/>
        <v>4021/4022</v>
      </c>
      <c r="L219" s="21" t="str">
        <f>VLOOKUP(A219,'Trips&amp;Operators'!$C$1:$G$99999,5,FALSE)</f>
        <v>GRASTON MATHEU</v>
      </c>
      <c r="M219" s="6">
        <f t="shared" si="85"/>
        <v>1.1805555550381541E-3</v>
      </c>
      <c r="N219" s="7">
        <f t="shared" si="79"/>
        <v>1.6999999992549419</v>
      </c>
      <c r="O219" s="7"/>
      <c r="P219" s="7"/>
      <c r="Q219" s="22"/>
      <c r="R219" s="170"/>
      <c r="S219" s="213">
        <f t="shared" si="80"/>
        <v>0</v>
      </c>
      <c r="T219" s="195" t="str">
        <f t="shared" si="86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6" t="str">
        <f t="shared" si="87"/>
        <v>https://d0f6bd738d7f1b3e5a7ca70fe4ff75f0.us-east-1.aws.found.io/app/kibana#/discover/Steve-Slow-Train-Analysis-(2080s-and-2083s)?_g=(refreshInterval:(display:Off,pause:!f,section:0,value:0),time:(from:'2017-06-24T04:53:06-0600',mode:absolute,to:'2017-06-24T06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9" s="197" t="str">
        <f>IF(AA219&lt;VLOOKUP(AG219,Variables!$AC$3:$AD$8,2,FALSE),"Y","N")</f>
        <v>Y</v>
      </c>
      <c r="X219" s="197">
        <f t="shared" si="83"/>
        <v>1</v>
      </c>
      <c r="Y219" s="197">
        <f t="shared" si="81"/>
        <v>0.31969999999999998</v>
      </c>
      <c r="Z219" s="197">
        <f t="shared" si="82"/>
        <v>1.43E-2</v>
      </c>
      <c r="AA219" s="197">
        <f t="shared" si="88"/>
        <v>0.3054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9"/>
        <v>68</v>
      </c>
      <c r="AE219" s="77" t="str">
        <f t="shared" si="90"/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AF219" s="74" t="str">
        <f t="shared" si="91"/>
        <v>"C:\Program Files (x86)\AstroGrep\AstroGrep.exe" /e /r /s /spath="%USERPROFILE%\AppData\Local\Temp\OnboardLogs" /stypes="app*4021*20170624*" /stext=" 11:.+((SYSTEM_STATE.+slice.+state.+changed )|(ment ac)|(multiple cpu faults)|(system.+state.+changed )|(\[timeout)|(PRM\|1\|D)|(kpr)|(kdp)|(train st.+moving)|(\|lc)|(penalty))"</v>
      </c>
      <c r="AG219" s="209" t="str">
        <f t="shared" si="92"/>
        <v>Shuttle/Test</v>
      </c>
      <c r="AH219" s="78" t="str">
        <f t="shared" si="93"/>
        <v>"%USERPROFILE%\Documents\GitHub\eaglep3\Utilities\RefineRTDCRunTimes.py" --tripid 68-24 --locoid 4021 --swversion DE.1.0.9.0 --startMP 204:3197 --initTime 2017-06-24T05:53:06 --startdatetime 2017-06-24T05:54:45 --delay 1 --endMP 204:143 --enddatetime 2017-06-24T05:56:27 --enforcementcount 0 &gt;&gt;C:\Users\stu\Documents\GitHub\eaglep3-reporting\EC\2017-06-24-refined-times.txt</v>
      </c>
      <c r="AI219" s="96" t="str">
        <f t="shared" si="94"/>
        <v>echo {"issue":{"subject":"","project_id":79,"tracker_id":40,"status_id":1,"priority_id":2,"assigned_to_id":23,"start_date":"2017-06-24","description":"","custom_fields":[{"id":1,"name":"Subdivision","value":"Shuttle/Test"},{"id":4,"name":"Milepost","value":"0.0143"},{"id":17,"name":"Train ID","value":"68-24"},{"id":16,"name":"Locomotive ID","value":"4021"},{"id":130,"name":"Impact","value":""},{"id":150,"name":"Time of Event (Mountain Time)","value":"05:56:27"},{"id":151,"name":"Denver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95"/>
        <v>start /low /b %USERPROFILE%\Documents\GitHub\eaglep3\Utilities\DownloadLogsFromS3.py --loco 4021 --day 2017-06-24</v>
      </c>
      <c r="AN219" s="151" t="str">
        <f t="shared" si="96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11:56:27"},{"id":29,"name":"Sharepoint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677</v>
      </c>
      <c r="B220" s="7">
        <v>4021</v>
      </c>
      <c r="C220" s="21" t="s">
        <v>202</v>
      </c>
      <c r="D220" s="21" t="s">
        <v>975</v>
      </c>
      <c r="E220" s="13">
        <v>42910.139849537038</v>
      </c>
      <c r="F220" s="13">
        <v>42910.141006944446</v>
      </c>
      <c r="G220" s="7">
        <v>1</v>
      </c>
      <c r="H220" s="21" t="s">
        <v>976</v>
      </c>
      <c r="I220" s="13">
        <v>42910.141863425924</v>
      </c>
      <c r="J220" s="7">
        <v>0</v>
      </c>
      <c r="K220" s="89" t="str">
        <f t="shared" si="84"/>
        <v>4021/4022</v>
      </c>
      <c r="L220" s="21" t="str">
        <f>VLOOKUP(A220,'Trips&amp;Operators'!$C$1:$G$99999,5,FALSE)</f>
        <v>GRASTON MATHEU</v>
      </c>
      <c r="M220" s="6">
        <f t="shared" si="85"/>
        <v>8.5648147796746343E-4</v>
      </c>
      <c r="N220" s="7">
        <f t="shared" si="79"/>
        <v>1.2333333282731473</v>
      </c>
      <c r="O220" s="7"/>
      <c r="P220" s="7"/>
      <c r="Q220" s="22"/>
      <c r="R220" s="170"/>
      <c r="S220" s="213">
        <f t="shared" si="80"/>
        <v>0</v>
      </c>
      <c r="T220" s="195" t="str">
        <f t="shared" si="86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87"/>
        <v>https://d0f6bd738d7f1b3e5a7ca70fe4ff75f0.us-east-1.aws.found.io/app/kibana#/discover/Steve-Slow-Train-Analysis-(2080s-and-2083s)?_g=(refreshInterval:(display:Off,pause:!f,section:0,value:0),time:(from:'2017-06-24T02:21:23-0600',mode:absolute,to:'2017-06-24T04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0" s="197" t="str">
        <f>IF(AA220&lt;VLOOKUP(AG220,Variables!$AC$3:$AD$8,2,FALSE),"Y","N")</f>
        <v>Y</v>
      </c>
      <c r="X220" s="197">
        <f t="shared" si="83"/>
        <v>0</v>
      </c>
      <c r="Y220" s="197">
        <f t="shared" si="81"/>
        <v>0.32150000000000001</v>
      </c>
      <c r="Z220" s="197">
        <f t="shared" si="82"/>
        <v>0.1201</v>
      </c>
      <c r="AA220" s="197">
        <f t="shared" si="88"/>
        <v>0.20140000000000002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9"/>
        <v>68</v>
      </c>
      <c r="AE220" s="77" t="str">
        <f t="shared" si="90"/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AF220" s="74" t="str">
        <f t="shared" si="91"/>
        <v>"C:\Program Files (x86)\AstroGrep\AstroGrep.exe" /e /r /s /spath="%USERPROFILE%\AppData\Local\Temp\OnboardLogs" /stypes="app*4021*20170624*" /stext=" 09:.+((SYSTEM_STATE.+slice.+state.+changed )|(ment ac)|(multiple cpu faults)|(system.+state.+changed )|(\[timeout)|(PRM\|1\|D)|(kpr)|(kdp)|(train st.+moving)|(\|lc)|(penalty))"</v>
      </c>
      <c r="AG220" s="209" t="str">
        <f t="shared" si="92"/>
        <v>Shuttle/Test</v>
      </c>
      <c r="AH220" s="78" t="str">
        <f t="shared" si="93"/>
        <v>"%USERPROFILE%\Documents\GitHub\eaglep3\Utilities\RefineRTDCRunTimes.py" --tripid 68-24 --locoid 4021 --swversion DE.1.0.9.0 --startMP 204:3215 --initTime 2017-06-24T03:21:23 --startdatetime 2017-06-24T03:23:03 --delay 1 --endMP 204:1201 --enddatetime 2017-06-24T03:24:17 --enforcementcount 0 &gt;&gt;C:\Users\stu\Documents\GitHub\eaglep3-reporting\EC\2017-06-24-refined-times.txt</v>
      </c>
      <c r="AI220" s="96" t="str">
        <f t="shared" si="94"/>
        <v>echo {"issue":{"subject":"","project_id":79,"tracker_id":40,"status_id":1,"priority_id":2,"assigned_to_id":23,"start_date":"2017-06-24","description":"","custom_fields":[{"id":1,"name":"Subdivision","value":"Shuttle/Test"},{"id":4,"name":"Milepost","value":"0.1201"},{"id":17,"name":"Train ID","value":"68-24"},{"id":16,"name":"Locomotive ID","value":"4021"},{"id":130,"name":"Impact","value":""},{"id":150,"name":"Time of Event (Mountain Time)","value":"03:24:17"},{"id":151,"name":"Denver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95"/>
        <v>start /low /b %USERPROFILE%\Documents\GitHub\eaglep3\Utilities\DownloadLogsFromS3.py --loco 4021 --day 2017-06-24</v>
      </c>
      <c r="AN220" s="151" t="str">
        <f t="shared" si="96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09:24:17"},{"id":29,"name":"Sharepoint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s="20" customFormat="1" x14ac:dyDescent="0.25">
      <c r="A221" s="32" t="s">
        <v>813</v>
      </c>
      <c r="B221" s="7">
        <v>4026</v>
      </c>
      <c r="C221" s="21" t="s">
        <v>202</v>
      </c>
      <c r="D221" s="21" t="s">
        <v>474</v>
      </c>
      <c r="E221" s="13">
        <v>42910.705879629626</v>
      </c>
      <c r="F221" s="13">
        <v>42910.707789351851</v>
      </c>
      <c r="G221" s="7">
        <v>2</v>
      </c>
      <c r="H221" s="21" t="s">
        <v>353</v>
      </c>
      <c r="I221" s="13">
        <v>42910.714085648149</v>
      </c>
      <c r="J221" s="7">
        <v>0</v>
      </c>
      <c r="K221" s="89" t="str">
        <f t="shared" si="84"/>
        <v>4025/4026</v>
      </c>
      <c r="L221" s="21" t="str">
        <f>VLOOKUP(A221,'Trips&amp;Operators'!$C$1:$G$99999,5,FALSE)</f>
        <v>BERLING GARY</v>
      </c>
      <c r="M221" s="6">
        <f t="shared" si="85"/>
        <v>6.2962962983874604E-3</v>
      </c>
      <c r="N221" s="7">
        <f t="shared" si="79"/>
        <v>9.066666669677943</v>
      </c>
      <c r="O221" s="7"/>
      <c r="P221" s="7"/>
      <c r="Q221" s="22"/>
      <c r="R221" s="170"/>
      <c r="S221" s="213">
        <f t="shared" si="80"/>
        <v>1</v>
      </c>
      <c r="T221" s="195" t="str">
        <f t="shared" si="86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87"/>
        <v>https://d0f6bd738d7f1b3e5a7ca70fe4ff75f0.us-east-1.aws.found.io/app/kibana#/discover/Steve-Slow-Train-Analysis-(2080s-and-2083s)?_g=(refreshInterval:(display:Off,pause:!f,section:0,value:0),time:(from:'2017-06-24T15:56:28-0600',mode:absolute,to:'2017-06-24T18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1" s="197" t="str">
        <f>IF(AA221&lt;VLOOKUP(AG221,Variables!$AC$3:$AD$8,2,FALSE),"Y","N")</f>
        <v>Y</v>
      </c>
      <c r="X221" s="197">
        <f t="shared" si="83"/>
        <v>1</v>
      </c>
      <c r="Y221" s="197">
        <f t="shared" si="81"/>
        <v>4.5499999999999999E-2</v>
      </c>
      <c r="Z221" s="197">
        <f t="shared" si="82"/>
        <v>2.3346</v>
      </c>
      <c r="AA221" s="197">
        <f t="shared" si="88"/>
        <v>2.2890999999999999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89"/>
        <v>69</v>
      </c>
      <c r="AE221" s="77" t="str">
        <f t="shared" si="90"/>
        <v>aws s3 cp s3://rtdc.mdm.uploadarchive.raw/RTDC4026/ "%USERPROFILE%\AppData\Local\Temp\OnboardLogs"\RTDC4026\2017-06-24 --exclude "*" --recursive --include "*20170624*" &amp; "%USERPROFILE%\Documents\GitHub\mrs-test-scripts\Headless Mode &amp; Sideloading\WalkAndUnGZ.bat" "%USERPROFILE%\AppData\Local\Temp\OnboardLogs"\RTDC4026\2017-06-24 &amp; 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</v>
      </c>
      <c r="AF221" s="74" t="str">
        <f t="shared" si="91"/>
        <v>"C:\Program Files (x86)\AstroGrep\AstroGrep.exe" /e /r /s /spath="%USERPROFILE%\AppData\Local\Temp\OnboardLogs" /stypes="app*4026*20170624*" /stext=" 23:.+((SYSTEM_STATE.+slice.+state.+changed )|(ment ac)|(multiple cpu faults)|(system.+state.+changed )|(\[timeout)|(PRM\|1\|D)|(kpr)|(kdp)|(train st.+moving)|(\|lc)|(penalty))"</v>
      </c>
      <c r="AG221" s="209" t="str">
        <f t="shared" si="92"/>
        <v>Shuttle/Test</v>
      </c>
      <c r="AH221" s="78" t="str">
        <f t="shared" si="93"/>
        <v>"%USERPROFILE%\Documents\GitHub\eaglep3\Utilities\RefineRTDCRunTimes.py" --tripid 69-24 --locoid 4026 --swversion DE.1.0.9.0 --startMP 204:455 --initTime 2017-06-24T16:56:28 --startdatetime 2017-06-24T16:59:13 --delay 2 --endMP 300:23346 --enddatetime 2017-06-24T17:08:17 --enforcementcount 0 &gt;&gt;C:\Users\stu\Documents\GitHub\eaglep3-reporting\EC\2017-06-24-refined-times.txt</v>
      </c>
      <c r="AI221" s="96" t="str">
        <f t="shared" si="94"/>
        <v>echo {"issue":{"subject":"","project_id":79,"tracker_id":40,"status_id":1,"priority_id":2,"assigned_to_id":23,"start_date":"2017-06-24","description":"","custom_fields":[{"id":1,"name":"Subdivision","value":"Shuttle/Test"},{"id":4,"name":"Milepost","value":"2.3346"},{"id":17,"name":"Train ID","value":"69-24"},{"id":16,"name":"Locomotive ID","value":"4026"},{"id":130,"name":"Impact","value":""},{"id":150,"name":"Time of Event (Mountain Time)","value":"17:08:17"},{"id":151,"name":"Denver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95"/>
        <v>start /low /b %USERPROFILE%\Documents\GitHub\eaglep3\Utilities\DownloadLogsFromS3.py --loco 4026 --day 2017-06-24</v>
      </c>
      <c r="AN221" s="151" t="str">
        <f t="shared" si="96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23:08:17"},{"id":29,"name":"Sharepoint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822</v>
      </c>
      <c r="B222" s="7">
        <v>4053</v>
      </c>
      <c r="C222" s="21" t="s">
        <v>202</v>
      </c>
      <c r="D222" s="21" t="s">
        <v>977</v>
      </c>
      <c r="E222" s="13">
        <v>42910.742939814816</v>
      </c>
      <c r="F222" s="13">
        <v>42910.745104166665</v>
      </c>
      <c r="G222" s="7">
        <v>3</v>
      </c>
      <c r="H222" s="21" t="s">
        <v>978</v>
      </c>
      <c r="I222" s="13">
        <v>42910.749328703707</v>
      </c>
      <c r="J222" s="7">
        <v>0</v>
      </c>
      <c r="K222" s="89" t="str">
        <f t="shared" si="84"/>
        <v>4053/4054</v>
      </c>
      <c r="L222" s="21" t="str">
        <f>VLOOKUP(A222,'Trips&amp;Operators'!$C$1:$G$99999,5,FALSE)</f>
        <v>BIRENBAUM THOMAS</v>
      </c>
      <c r="M222" s="6">
        <f t="shared" si="85"/>
        <v>4.2245370423188433E-3</v>
      </c>
      <c r="N222" s="7">
        <f t="shared" si="79"/>
        <v>6.0833333409391344</v>
      </c>
      <c r="O222" s="7"/>
      <c r="P222" s="7"/>
      <c r="Q222" s="22"/>
      <c r="R222" s="170"/>
      <c r="S222" s="213">
        <f t="shared" si="80"/>
        <v>1</v>
      </c>
      <c r="T222" s="195" t="str">
        <f t="shared" si="86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87"/>
        <v>https://d0f6bd738d7f1b3e5a7ca70fe4ff75f0.us-east-1.aws.found.io/app/kibana#/discover/Steve-Slow-Train-Analysis-(2080s-and-2083s)?_g=(refreshInterval:(display:Off,pause:!f,section:0,value:0),time:(from:'2017-06-24T16:49:50-0600',mode:absolute,to:'2017-06-24T18:59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2" s="197" t="str">
        <f>IF(AA222&lt;VLOOKUP(AG222,Variables!$AC$3:$AD$8,2,FALSE),"Y","N")</f>
        <v>Y</v>
      </c>
      <c r="X222" s="197">
        <f t="shared" si="83"/>
        <v>3</v>
      </c>
      <c r="Y222" s="197">
        <f t="shared" si="81"/>
        <v>2.319</v>
      </c>
      <c r="Z222" s="197">
        <f t="shared" si="82"/>
        <v>0.49869999999999998</v>
      </c>
      <c r="AA222" s="197">
        <f t="shared" si="88"/>
        <v>1.8203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89"/>
        <v>72</v>
      </c>
      <c r="AE222" s="77" t="str">
        <f t="shared" si="90"/>
        <v>aws s3 cp s3://rtdc.mdm.uploadarchive.raw/RTDC4053/ "%USERPROFILE%\AppData\Local\Temp\OnboardLogs"\RTDC4053\2017-06-24 --exclude "*" --recursive --include "*20170624*" &amp; "%USERPROFILE%\Documents\GitHub\mrs-test-scripts\Headless Mode &amp; Sideloading\WalkAndUnGZ.bat" "%USERPROFILE%\AppData\Local\Temp\OnboardLogs"\RTDC4053\2017-06-24 &amp; aws s3 cp s3://rtdc.mdm.uploadarchive.raw/RTDC4053/ "%USERPROFILE%\AppData\Local\Temp\OnboardLogs"\RTDC4053\2017-06-25 --exclude "*" --recursive --include "*20170625*" &amp; "%USERPROFILE%\Documents\GitHub\mrs-test-scripts\Headless Mode &amp; Sideloading\WalkAndUnGZ.bat" "%USERPROFILE%\AppData\Local\Temp\OnboardLogs"\RTDC4053\2017-06-25</v>
      </c>
      <c r="AF222" s="74" t="str">
        <f t="shared" si="91"/>
        <v>"C:\Program Files (x86)\AstroGrep\AstroGrep.exe" /e /r /s /spath="%USERPROFILE%\AppData\Local\Temp\OnboardLogs" /stypes="app*4053*20170624*" /stext=" 23:.+((SYSTEM_STATE.+slice.+state.+changed )|(ment ac)|(multiple cpu faults)|(system.+state.+changed )|(\[timeout)|(PRM\|1\|D)|(kpr)|(kdp)|(train st.+moving)|(\|lc)|(penalty))"</v>
      </c>
      <c r="AG222" s="209" t="str">
        <f t="shared" si="92"/>
        <v>Shuttle/Test</v>
      </c>
      <c r="AH222" s="78" t="str">
        <f t="shared" si="93"/>
        <v>"%USERPROFILE%\Documents\GitHub\eaglep3\Utilities\RefineRTDCRunTimes.py" --tripid 72-24 --locoid 4053 --swversion DE.1.0.9.0 --startMP 300:23190 --initTime 2017-06-24T17:49:50 --startdatetime 2017-06-24T17:52:57 --delay 3 --endMP 300:4987 --enddatetime 2017-06-24T17:59:02 --enforcementcount 0 &gt;&gt;C:\Users\stu\Documents\GitHub\eaglep3-reporting\EC\2017-06-24-refined-times.txt</v>
      </c>
      <c r="AI222" s="96" t="str">
        <f t="shared" si="94"/>
        <v>echo {"issue":{"subject":"","project_id":79,"tracker_id":40,"status_id":1,"priority_id":2,"assigned_to_id":23,"start_date":"2017-06-24","description":"","custom_fields":[{"id":1,"name":"Subdivision","value":"Shuttle/Test"},{"id":4,"name":"Milepost","value":"0.4987"},{"id":17,"name":"Train ID","value":"72-24"},{"id":16,"name":"Locomotive ID","value":"4053"},{"id":130,"name":"Impact","value":""},{"id":150,"name":"Time of Event (Mountain Time)","value":"17:59:02"},{"id":151,"name":"Denver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95"/>
        <v>start /low /b %USERPROFILE%\Documents\GitHub\eaglep3\Utilities\DownloadLogsFromS3.py --loco 4053 --day 2017-06-24</v>
      </c>
      <c r="AN222" s="151" t="str">
        <f t="shared" si="96"/>
        <v>echo {"issue":{"subject":"","project_id":30,"tracker_id":4,"status_id":1,"priority_id":1,"assigned_to_id":10,"start_date":"2017-06-24","description":"","custom_fields":[{"id":30,"name":"Category","value":"Issue"},{"id":3,"name":"Functional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UTC","value":"2017-06-24 23:59:02"},{"id":29,"name":"Sharepoint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</sheetData>
  <autoFilter ref="A12:AG275">
    <sortState ref="A13:AG276">
      <sortCondition ref="AG13:AG223"/>
      <sortCondition ref="AD13:AD223"/>
    </sortState>
  </autoFilter>
  <sortState ref="A13:AN233">
    <sortCondition ref="AG13:AG233"/>
    <sortCondition ref="AD13:AD233"/>
  </sortState>
  <mergeCells count="1">
    <mergeCell ref="A11:P11"/>
  </mergeCells>
  <conditionalFormatting sqref="W11:W12 W279:X1048576 W13:X222">
    <cfRule type="cellIs" dxfId="10" priority="415" operator="equal">
      <formula>"Y"</formula>
    </cfRule>
  </conditionalFormatting>
  <conditionalFormatting sqref="X279:X1048576 X13:X222">
    <cfRule type="cellIs" dxfId="9" priority="398" operator="greaterThan">
      <formula>1</formula>
    </cfRule>
  </conditionalFormatting>
  <conditionalFormatting sqref="X279:X1048576 X12:X222">
    <cfRule type="cellIs" dxfId="8" priority="395" operator="equal">
      <formula>0</formula>
    </cfRule>
  </conditionalFormatting>
  <conditionalFormatting sqref="A13:S222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Values'!$C$2:$C$15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4.28515625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COUNTIF($O$7:$O$278,"=Y")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COUNTA($O$7:$O$278)-O2</f>
        <v>29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- 2017-06-24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484</v>
      </c>
      <c r="X6" s="208" t="s">
        <v>477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42911.061099537037</v>
      </c>
      <c r="B7" s="30" t="s">
        <v>365</v>
      </c>
      <c r="C7" s="30" t="s">
        <v>664</v>
      </c>
      <c r="D7" s="30" t="s">
        <v>49</v>
      </c>
      <c r="E7" s="30" t="s">
        <v>187</v>
      </c>
      <c r="F7" s="42">
        <v>0</v>
      </c>
      <c r="G7" s="42">
        <v>135</v>
      </c>
      <c r="H7" s="42">
        <v>27353</v>
      </c>
      <c r="I7" s="42">
        <v>27227</v>
      </c>
      <c r="J7" s="30" t="s">
        <v>188</v>
      </c>
      <c r="K7" s="42">
        <v>27350</v>
      </c>
      <c r="L7" s="131" t="s">
        <v>51</v>
      </c>
      <c r="M7" s="132">
        <f t="shared" ref="M7:M38" si="0">CONVERT((I7-K7)/10000,"mi","ft")*IF(L7="Increasing Mileposts (1)",-1,1)</f>
        <v>-64.944000000000003</v>
      </c>
      <c r="N7" s="133" t="str">
        <f>VLOOKUP(C7,'Trips&amp;Operators'!$C$1:$G$99999,5,FALSE)</f>
        <v>PERKINS DARREN</v>
      </c>
      <c r="O7" s="203" t="s">
        <v>180</v>
      </c>
      <c r="P7" s="134" t="s">
        <v>548</v>
      </c>
      <c r="Q7" s="30"/>
      <c r="R7" s="81" t="str">
        <f>VLOOKUP(C7,'Train Runs'!$A$13:$AE$9934,31,0)</f>
        <v>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 &amp; aws s3 cp s3://rtdc.mdm.uploadarchive.raw/RTDC4021/ "%USERPROFILE%\AppData\Local\Temp\OnboardLogs"\RTDC4021\2017-06-26 --exclude "*" --recursive --include "*20170626*" &amp; "%USERPROFILE%\Documents\GitHub\mrs-test-scripts\Headless Mode &amp; Sideloading\WalkAndUnGZ.bat" "%USERPROFILE%\AppData\Local\Temp\OnboardLogs"\RTDC4021\2017-06-26</v>
      </c>
      <c r="S7" s="84" t="str">
        <f>VLOOKUP(C7,'Train Runs'!$A$13:$AE$9934,22,0)</f>
        <v>https://d0f6bd738d7f1b3e5a7ca70fe4ff75f0.us-east-1.aws.found.io/app/kibana#/discover/Steve-Slow-Train-Analysis-(2080s-and-2083s)?_g=(refreshInterval:(display:Off,pause:!f,section:0,value:0),time:(from:'2017-06-24T23:42:26-0600',mode:absolute,to:'2017-06-25T02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/stypes="*4021*201706250*" /stext=" 07:.+((SYSTEM_STATE.+slice.+state.+changed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4021</v>
      </c>
      <c r="V7" s="31">
        <f t="shared" ref="V7:V38" si="3">A7-utc_offset/24</f>
        <v>42911.311099537037</v>
      </c>
      <c r="W7" s="45" t="str">
        <f t="shared" ref="W7:W38" si="4">DetSubdiv(C7)</f>
        <v>EC</v>
      </c>
      <c r="X7" s="22">
        <f t="shared" ref="X7:X38" si="5">VALUE(LEFT(C7,LEN(C7)-3))</f>
        <v>242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arrival","project_id":79,"tracker_id":40,"status_id":1,"priority_id":2,"assigned_to_id":23,"start_date":"2017-06-25","description":"","custom_fields":[{"id":1,"name":"Subdivision","value":"EC"},{"id":4,"name":"Milepost","value":"2.735"},{"id":17,"name":"Train ID","value":"242-24"},{"id":16,"name":"Locomotive ID","value":"4021"},{"id":130,"name":"Impact","value":""},{"id":150,"name":"Time of Event (Mountain Time)","value":"01:27:59"},{"id":151,"name":"Denver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/c/Users/stu/AppData/Local/Temp/OnboardLogs/RTDC4021 --include="*4021*201706250*"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"%USERPROFILE%\AppData\Local\Temp\OnboardLogs"\RTDC4021\*4021*201706250* &gt;&gt; 2017-06-24-SliceDisagreementCheck.txt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4021 --day 2017-06-25</v>
      </c>
    </row>
    <row r="8" spans="1:32" s="1" customFormat="1" x14ac:dyDescent="0.25">
      <c r="A8" s="31">
        <v>42910.997800925928</v>
      </c>
      <c r="B8" s="30" t="s">
        <v>417</v>
      </c>
      <c r="C8" s="30" t="s">
        <v>662</v>
      </c>
      <c r="D8" s="30" t="s">
        <v>49</v>
      </c>
      <c r="E8" s="30" t="s">
        <v>187</v>
      </c>
      <c r="F8" s="42">
        <v>180</v>
      </c>
      <c r="G8" s="42">
        <v>231</v>
      </c>
      <c r="H8" s="42">
        <v>31572</v>
      </c>
      <c r="I8" s="42">
        <v>31074</v>
      </c>
      <c r="J8" s="30" t="s">
        <v>188</v>
      </c>
      <c r="K8" s="42">
        <v>30970</v>
      </c>
      <c r="L8" s="131" t="s">
        <v>51</v>
      </c>
      <c r="M8" s="132">
        <f t="shared" si="0"/>
        <v>54.911999999999999</v>
      </c>
      <c r="N8" s="133" t="str">
        <f>VLOOKUP(C8,'Trips&amp;Operators'!$C$1:$G$99999,5,FALSE)</f>
        <v>FORTUNATO FRANK</v>
      </c>
      <c r="O8" s="203" t="s">
        <v>180</v>
      </c>
      <c r="P8" s="134" t="s">
        <v>548</v>
      </c>
      <c r="Q8" s="30"/>
      <c r="R8" s="81" t="str">
        <f>VLOOKUP(C8,'Train Runs'!$A$13:$AE$9934,31,0)</f>
        <v>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 &amp; 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</v>
      </c>
      <c r="S8" s="84" t="str">
        <f>VLOOKUP(C8,'Train Runs'!$A$13:$AE$9934,22,0)</f>
        <v>https://d0f6bd738d7f1b3e5a7ca70fe4ff75f0.us-east-1.aws.found.io/app/kibana#/discover/Steve-Slow-Train-Analysis-(2080s-and-2083s)?_g=(refreshInterval:(display:Off,pause:!f,section:0,value:0),time:(from:'2017-06-24T22:17:10-0600',mode:absolute,to:'2017-06-25T01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8" s="86" t="str">
        <f t="shared" si="1"/>
        <v>"C:\Program Files (x86)\AstroGrep\AstroGrep.exe" /e /r /s /spath="%USERPROFILE%\AppData\Local\Temp\OnboardLogs" /stypes="*4043*201706250*" /stext=" 05:.+((SYSTEM_STATE.+slice.+state.+changed )|(ment ac)|(multiple cpu faults)|(system.+state.+changed )|(\[timeout)|(PRM\|1\|D)|(kpr)|(kdp)|(train st.+moving)|(\|lc)|(penalty))"</v>
      </c>
      <c r="U8" s="9" t="str">
        <f t="shared" si="2"/>
        <v>4043</v>
      </c>
      <c r="V8" s="31">
        <f t="shared" si="3"/>
        <v>42911.247800925928</v>
      </c>
      <c r="W8" s="45" t="str">
        <f t="shared" si="4"/>
        <v>EC</v>
      </c>
      <c r="X8" s="22">
        <f t="shared" si="5"/>
        <v>236</v>
      </c>
      <c r="Y8" s="96" t="str">
        <f t="shared" si="6"/>
        <v>echo {"issue":{"subject":"Early arrival","project_id":79,"tracker_id":40,"status_id":1,"priority_id":2,"assigned_to_id":23,"start_date":"2017-06-24","description":"","custom_fields":[{"id":1,"name":"Subdivision","value":"EC"},{"id":4,"name":"Milepost","value":"3.097"},{"id":17,"name":"Train ID","value":"236-24"},{"id":16,"name":"Locomotive ID","value":"4043"},{"id":130,"name":"Impact","value":""},{"id":150,"name":"Time of Event (Mountain Time)","value":"23:56:50"},{"id":151,"name":"Denver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/c/Users/stu/AppData/Local/Temp/OnboardLogs/RTDC4043 --include="*4043*201706250*"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"%USERPROFILE%\AppData\Local\Temp\OnboardLogs"\RTDC4043\*4043*201706250* &gt;&gt; 2017-06-24-SliceDisagreementCheck.txt</v>
      </c>
      <c r="AE8" s="145" t="str">
        <f t="shared" ref="AE8:AE38" si="9">"start /low /b "&amp;dls3logs&amp;" --loco "&amp;U8&amp;" --day "&amp;TEXT(V8,"YYYY-MM-DD")</f>
        <v>start /low /b %USERPROFILE%\Documents\GitHub\eaglep3\Utilities\DownloadLogsFromS3.py --loco 4043 --day 2017-06-25</v>
      </c>
    </row>
    <row r="9" spans="1:32" s="1" customFormat="1" x14ac:dyDescent="0.25">
      <c r="A9" s="31">
        <v>42910.269849537035</v>
      </c>
      <c r="B9" s="30" t="s">
        <v>421</v>
      </c>
      <c r="C9" s="30" t="s">
        <v>632</v>
      </c>
      <c r="D9" s="30" t="s">
        <v>49</v>
      </c>
      <c r="E9" s="30" t="s">
        <v>187</v>
      </c>
      <c r="F9" s="42">
        <v>0</v>
      </c>
      <c r="G9" s="42">
        <v>495</v>
      </c>
      <c r="H9" s="42">
        <v>62459</v>
      </c>
      <c r="I9" s="42">
        <v>63566</v>
      </c>
      <c r="J9" s="30" t="s">
        <v>188</v>
      </c>
      <c r="K9" s="42">
        <v>63069</v>
      </c>
      <c r="L9" s="131" t="s">
        <v>50</v>
      </c>
      <c r="M9" s="132">
        <f t="shared" si="0"/>
        <v>-262.416</v>
      </c>
      <c r="N9" s="133" t="str">
        <f>VLOOKUP(C9,'Trips&amp;Operators'!$C$1:$G$99999,5,FALSE)</f>
        <v>GEBRETEKLE DAGNEW</v>
      </c>
      <c r="O9" s="203" t="s">
        <v>180</v>
      </c>
      <c r="P9" s="134" t="s">
        <v>548</v>
      </c>
      <c r="Q9" s="30"/>
      <c r="R9" s="81" t="str">
        <f>VLOOKUP(C9,'Train Runs'!$A$13:$AE$9934,31,0)</f>
        <v>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 &amp; 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</v>
      </c>
      <c r="S9" s="84" t="str">
        <f>VLOOKUP(C9,'Train Runs'!$A$13:$AE$9934,22,0)</f>
        <v>https://d0f6bd738d7f1b3e5a7ca70fe4ff75f0.us-east-1.aws.found.io/app/kibana#/discover/Steve-Slow-Train-Analysis-(2080s-and-2083s)?_g=(refreshInterval:(display:Off,pause:!f,section:0,value:0),time:(from:'2017-06-24T05:03:16-0600',mode:absolute,to:'2017-06-24T07:53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9" s="86" t="str">
        <f t="shared" si="1"/>
        <v>"C:\Program Files (x86)\AstroGrep\AstroGrep.exe" /e /r /s /spath="%USERPROFILE%\AppData\Local\Temp\OnboardLogs" /stypes="*4044*201706241*" /stext=" 12:.+((SYSTEM_STATE.+slice.+state.+changed )|(ment ac)|(multiple cpu faults)|(system.+state.+changed )|(\[timeout)|(PRM\|1\|D)|(kpr)|(kdp)|(train st.+moving)|(\|lc)|(penalty))"</v>
      </c>
      <c r="U9" s="9" t="str">
        <f t="shared" si="2"/>
        <v>4044</v>
      </c>
      <c r="V9" s="31">
        <f t="shared" si="3"/>
        <v>42910.519849537035</v>
      </c>
      <c r="W9" s="45" t="str">
        <f t="shared" si="4"/>
        <v>EC</v>
      </c>
      <c r="X9" s="22">
        <f t="shared" si="5"/>
        <v>121</v>
      </c>
      <c r="Y9" s="96" t="str">
        <f t="shared" si="6"/>
        <v>echo {"issue":{"subject":"Early arrival","project_id":79,"tracker_id":40,"status_id":1,"priority_id":2,"assigned_to_id":23,"start_date":"2017-06-24","description":"","custom_fields":[{"id":1,"name":"Subdivision","value":"EC"},{"id":4,"name":"Milepost","value":"6.3069"},{"id":17,"name":"Train ID","value":"121-24"},{"id":16,"name":"Locomotive ID","value":"4044"},{"id":130,"name":"Impact","value":""},{"id":150,"name":"Time of Event (Mountain Time)","value":"06:28:35"},{"id":151,"name":"Denver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/c/Users/stu/AppData/Local/Temp/OnboardLogs/RTDC4044 --include="*4044*201706241*"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"%USERPROFILE%\AppData\Local\Temp\OnboardLogs"\RTDC4044\*4044*201706241* &gt;&gt; 2017-06-24-SliceDisagreementCheck.txt</v>
      </c>
      <c r="AE9" s="145" t="str">
        <f t="shared" si="9"/>
        <v>start /low /b %USERPROFILE%\Documents\GitHub\eaglep3\Utilities\DownloadLogsFromS3.py --loco 4044 --day 2017-06-24</v>
      </c>
    </row>
    <row r="10" spans="1:32" s="1" customFormat="1" x14ac:dyDescent="0.25">
      <c r="A10" s="31">
        <v>42910.946898148148</v>
      </c>
      <c r="B10" s="30" t="s">
        <v>421</v>
      </c>
      <c r="C10" s="30" t="s">
        <v>661</v>
      </c>
      <c r="D10" s="30" t="s">
        <v>49</v>
      </c>
      <c r="E10" s="30" t="s">
        <v>187</v>
      </c>
      <c r="F10" s="42">
        <v>0</v>
      </c>
      <c r="G10" s="42">
        <v>238</v>
      </c>
      <c r="H10" s="42">
        <v>62960</v>
      </c>
      <c r="I10" s="42">
        <v>63262</v>
      </c>
      <c r="J10" s="30" t="s">
        <v>188</v>
      </c>
      <c r="K10" s="42">
        <v>63069</v>
      </c>
      <c r="L10" s="131" t="s">
        <v>50</v>
      </c>
      <c r="M10" s="132">
        <f t="shared" si="0"/>
        <v>-101.904</v>
      </c>
      <c r="N10" s="133" t="str">
        <f>VLOOKUP(C10,'Trips&amp;Operators'!$C$1:$G$99999,5,FALSE)</f>
        <v>FORTUNATO FRANK</v>
      </c>
      <c r="O10" s="203" t="s">
        <v>180</v>
      </c>
      <c r="P10" s="134" t="s">
        <v>548</v>
      </c>
      <c r="Q10" s="30"/>
      <c r="R10" s="81" t="str">
        <f>VLOOKUP(C10,'Train Runs'!$A$13:$AE$9934,31,0)</f>
        <v>aws s3 cp s3://rtdc.mdm.uploadarchive.raw/RTDC4044/ "%USERPROFILE%\AppData\Local\Temp\OnboardLogs"\RTDC4044\2017-06-24 --exclude "*" --recursive --include "*20170624*" &amp; "%USERPROFILE%\Documents\GitHub\mrs-test-scripts\Headless Mode &amp; Sideloading\WalkAndUnGZ.bat" "%USERPROFILE%\AppData\Local\Temp\OnboardLogs"\RTDC4044\2017-06-24 &amp; aws s3 cp s3://rtdc.mdm.uploadarchive.raw/RTDC4044/ "%USERPROFILE%\AppData\Local\Temp\OnboardLogs"\RTDC4044\2017-06-25 --exclude "*" --recursive --include "*20170625*" &amp; "%USERPROFILE%\Documents\GitHub\mrs-test-scripts\Headless Mode &amp; Sideloading\WalkAndUnGZ.bat" "%USERPROFILE%\AppData\Local\Temp\OnboardLogs"\RTDC4044\2017-06-25</v>
      </c>
      <c r="S10" s="84" t="str">
        <f>VLOOKUP(C10,'Train Runs'!$A$13:$AE$9934,22,0)</f>
        <v>https://d0f6bd738d7f1b3e5a7ca70fe4ff75f0.us-east-1.aws.found.io/app/kibana#/discover/Steve-Slow-Train-Analysis-(2080s-and-2083s)?_g=(refreshInterval:(display:Off,pause:!f,section:0,value:0),time:(from:'2017-06-24T21:17:49-0600',mode:absolute,to:'2017-06-25T00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0" s="86" t="str">
        <f t="shared" si="1"/>
        <v>"C:\Program Files (x86)\AstroGrep\AstroGrep.exe" /e /r /s /spath="%USERPROFILE%\AppData\Local\Temp\OnboardLogs" /stypes="*4044*201706250*" /stext=" 04:.+((SYSTEM_STATE.+slice.+state.+changed )|(ment ac)|(multiple cpu faults)|(system.+state.+changed )|(\[timeout)|(PRM\|1\|D)|(kpr)|(kdp)|(train st.+moving)|(\|lc)|(penalty))"</v>
      </c>
      <c r="U10" s="9" t="str">
        <f t="shared" si="2"/>
        <v>4044</v>
      </c>
      <c r="V10" s="31">
        <f t="shared" si="3"/>
        <v>42911.196898148148</v>
      </c>
      <c r="W10" s="45" t="str">
        <f t="shared" si="4"/>
        <v>EC</v>
      </c>
      <c r="X10" s="22">
        <f t="shared" si="5"/>
        <v>235</v>
      </c>
      <c r="Y10" s="96" t="str">
        <f t="shared" si="6"/>
        <v>echo {"issue":{"subject":"Early arrival","project_id":79,"tracker_id":40,"status_id":1,"priority_id":2,"assigned_to_id":23,"start_date":"2017-06-24","description":"","custom_fields":[{"id":1,"name":"Subdivision","value":"EC"},{"id":4,"name":"Milepost","value":"6.3069"},{"id":17,"name":"Train ID","value":"235-24"},{"id":16,"name":"Locomotive ID","value":"4044"},{"id":130,"name":"Impact","value":""},{"id":150,"name":"Time of Event (Mountain Time)","value":"22:43:32"},{"id":151,"name":"Denver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/c/Users/stu/AppData/Local/Temp/OnboardLogs/RTDC4044 --include="*4044*201706250*"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"%USERPROFILE%\AppData\Local\Temp\OnboardLogs"\RTDC4044\*4044*201706250* &gt;&gt; 2017-06-24-SliceDisagreementCheck.txt</v>
      </c>
      <c r="AE10" s="145" t="str">
        <f t="shared" si="9"/>
        <v>start /low /b %USERPROFILE%\Documents\GitHub\eaglep3\Utilities\DownloadLogsFromS3.py --loco 4044 --day 2017-06-25</v>
      </c>
    </row>
    <row r="11" spans="1:32" s="1" customFormat="1" x14ac:dyDescent="0.25">
      <c r="A11" s="31">
        <v>42910.816793981481</v>
      </c>
      <c r="B11" s="30" t="s">
        <v>365</v>
      </c>
      <c r="C11" s="30" t="s">
        <v>657</v>
      </c>
      <c r="D11" s="30" t="s">
        <v>96</v>
      </c>
      <c r="E11" s="30" t="s">
        <v>187</v>
      </c>
      <c r="F11" s="42">
        <v>0</v>
      </c>
      <c r="G11" s="42">
        <v>72</v>
      </c>
      <c r="H11" s="42">
        <v>63299</v>
      </c>
      <c r="I11" s="42">
        <v>63248</v>
      </c>
      <c r="J11" s="30" t="s">
        <v>188</v>
      </c>
      <c r="K11" s="42">
        <v>63309</v>
      </c>
      <c r="L11" s="131" t="s">
        <v>51</v>
      </c>
      <c r="M11" s="132">
        <f t="shared" si="0"/>
        <v>-32.207999999999998</v>
      </c>
      <c r="N11" s="133" t="str">
        <f>VLOOKUP(C11,'Trips&amp;Operators'!$C$1:$G$99999,5,FALSE)</f>
        <v>PERKINS DARREN</v>
      </c>
      <c r="O11" s="203" t="s">
        <v>180</v>
      </c>
      <c r="P11" s="134" t="s">
        <v>548</v>
      </c>
      <c r="Q11" s="30"/>
      <c r="R11" s="81" t="str">
        <f>VLOOKUP(C11,'Train Runs'!$A$13:$AE$9934,31,0)</f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S11" s="84" t="str">
        <f>VLOOKUP(C11,'Train Runs'!$A$13:$AE$9934,22,0)</f>
        <v>https://d0f6bd738d7f1b3e5a7ca70fe4ff75f0.us-east-1.aws.found.io/app/kibana#/discover/Steve-Slow-Train-Analysis-(2080s-and-2083s)?_g=(refreshInterval:(display:Off,pause:!f,section:0,value:0),time:(from:'2017-06-24T18:03:00-0600',mode:absolute,to:'2017-06-24T20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1" s="86" t="str">
        <f t="shared" si="1"/>
        <v>"C:\Program Files (x86)\AstroGrep\AstroGrep.exe" /e /r /s /spath="%USERPROFILE%\AppData\Local\Temp\OnboardLogs" /stypes="*4021*201706250*" /stext=" 01:.+((SYSTEM_STATE.+slice.+state.+changed )|(ment ac)|(multiple cpu faults)|(system.+state.+changed )|(\[timeout)|(PRM\|1\|D)|(kpr)|(kdp)|(train st.+moving)|(\|lc)|(penalty))"</v>
      </c>
      <c r="U11" s="9" t="str">
        <f t="shared" si="2"/>
        <v>4021</v>
      </c>
      <c r="V11" s="31">
        <f t="shared" si="3"/>
        <v>42911.066793981481</v>
      </c>
      <c r="W11" s="45" t="str">
        <f t="shared" si="4"/>
        <v>EC</v>
      </c>
      <c r="X11" s="22">
        <f t="shared" si="5"/>
        <v>218</v>
      </c>
      <c r="Y11" s="96" t="str">
        <f t="shared" si="6"/>
        <v>echo {"issue":{"subject":"Early arrival","project_id":79,"tracker_id":40,"status_id":1,"priority_id":2,"assigned_to_id":23,"start_date":"2017-06-24","description":"","custom_fields":[{"id":1,"name":"Subdivision","value":"EC"},{"id":4,"name":"Milepost","value":"6.3309"},{"id":17,"name":"Train ID","value":"218-24"},{"id":16,"name":"Locomotive ID","value":"4021"},{"id":130,"name":"Impact","value":""},{"id":150,"name":"Time of Event (Mountain Time)","value":"19:36:11"},{"id":151,"name":"Denver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/c/Users/stu/AppData/Local/Temp/OnboardLogs/RTDC4021 --include="*4021*201706250*"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"%USERPROFILE%\AppData\Local\Temp\OnboardLogs"\RTDC4021\*4021*201706250* &gt;&gt; 2017-06-24-SliceDisagreementCheck.txt</v>
      </c>
      <c r="AE11" s="145" t="str">
        <f t="shared" si="9"/>
        <v>start /low /b %USERPROFILE%\Documents\GitHub\eaglep3\Utilities\DownloadLogsFromS3.py --loco 4021 --day 2017-06-25</v>
      </c>
    </row>
    <row r="12" spans="1:32" s="1" customFormat="1" x14ac:dyDescent="0.25">
      <c r="A12" s="31">
        <v>42910.649606481478</v>
      </c>
      <c r="B12" s="30" t="s">
        <v>549</v>
      </c>
      <c r="C12" s="30" t="s">
        <v>649</v>
      </c>
      <c r="D12" s="30" t="s">
        <v>49</v>
      </c>
      <c r="E12" s="30" t="s">
        <v>187</v>
      </c>
      <c r="F12" s="42">
        <v>0</v>
      </c>
      <c r="G12" s="42">
        <v>652</v>
      </c>
      <c r="H12" s="42">
        <v>79129</v>
      </c>
      <c r="I12" s="42">
        <v>76328</v>
      </c>
      <c r="J12" s="30" t="s">
        <v>188</v>
      </c>
      <c r="K12" s="42">
        <v>78469</v>
      </c>
      <c r="L12" s="131" t="s">
        <v>51</v>
      </c>
      <c r="M12" s="132">
        <f t="shared" si="0"/>
        <v>-1130.4480000000001</v>
      </c>
      <c r="N12" s="133" t="str">
        <f>VLOOKUP(C12,'Trips&amp;Operators'!$C$1:$G$99999,5,FALSE)</f>
        <v>BROWN JACOB</v>
      </c>
      <c r="O12" s="203" t="s">
        <v>180</v>
      </c>
      <c r="P12" s="134" t="s">
        <v>548</v>
      </c>
      <c r="Q12" s="30"/>
      <c r="R12" s="81" t="str">
        <f>VLOOKUP(C12,'Train Runs'!$A$13:$AE$9934,31,0)</f>
        <v>aws s3 cp s3://rtdc.mdm.uploadarchive.raw/RTDC4041/ "%USERPROFILE%\AppData\Local\Temp\OnboardLogs"\RTDC4041\2017-06-24 --exclude "*" --recursive --include "*20170624*" &amp; "%USERPROFILE%\Documents\GitHub\mrs-test-scripts\Headless Mode &amp; Sideloading\WalkAndUnGZ.bat" "%USERPROFILE%\AppData\Local\Temp\OnboardLogs"\RTDC4041\2017-06-24 &amp; aws s3 cp s3://rtdc.mdm.uploadarchive.raw/RTDC4041/ "%USERPROFILE%\AppData\Local\Temp\OnboardLogs"\RTDC4041\2017-06-25 --exclude "*" --recursive --include "*20170625*" &amp; "%USERPROFILE%\Documents\GitHub\mrs-test-scripts\Headless Mode &amp; Sideloading\WalkAndUnGZ.bat" "%USERPROFILE%\AppData\Local\Temp\OnboardLogs"\RTDC4041\2017-06-25</v>
      </c>
      <c r="S12" s="84" t="str">
        <f>VLOOKUP(C12,'Train Runs'!$A$13:$AE$9934,22,0)</f>
        <v>https://d0f6bd738d7f1b3e5a7ca70fe4ff75f0.us-east-1.aws.found.io/app/kibana#/discover/Steve-Slow-Train-Analysis-(2080s-and-2083s)?_g=(refreshInterval:(display:Off,pause:!f,section:0,value:0),time:(from:'2017-06-24T14:06:50-0600',mode:absolute,to:'2017-06-24T16:53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2" s="86" t="str">
        <f t="shared" si="1"/>
        <v>"C:\Program Files (x86)\AstroGrep\AstroGrep.exe" /e /r /s /spath="%USERPROFILE%\AppData\Local\Temp\OnboardLogs" /stypes="*4041*201706242*" /stext=" 21:.+((SYSTEM_STATE.+slice.+state.+changed )|(ment ac)|(multiple cpu faults)|(system.+state.+changed )|(\[timeout)|(PRM\|1\|D)|(kpr)|(kdp)|(train st.+moving)|(\|lc)|(penalty))"</v>
      </c>
      <c r="U12" s="9" t="str">
        <f t="shared" si="2"/>
        <v>4041</v>
      </c>
      <c r="V12" s="31">
        <f t="shared" si="3"/>
        <v>42910.899606481478</v>
      </c>
      <c r="W12" s="45" t="str">
        <f t="shared" si="4"/>
        <v>EC</v>
      </c>
      <c r="X12" s="22">
        <f t="shared" si="5"/>
        <v>186</v>
      </c>
      <c r="Y12" s="96" t="str">
        <f t="shared" si="6"/>
        <v>echo {"issue":{"subject":"Early arrival","project_id":79,"tracker_id":40,"status_id":1,"priority_id":2,"assigned_to_id":23,"start_date":"2017-06-24","description":"","custom_fields":[{"id":1,"name":"Subdivision","value":"EC"},{"id":4,"name":"Milepost","value":"7.8469"},{"id":17,"name":"Train ID","value":"186-24"},{"id":16,"name":"Locomotive ID","value":"4041"},{"id":130,"name":"Impact","value":""},{"id":150,"name":"Time of Event (Mountain Time)","value":"15:35:26"},{"id":151,"name":"Denver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/c/Users/stu/AppData/Local/Temp/OnboardLogs/RTDC4041 --include="*4041*201706242*"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"%USERPROFILE%\AppData\Local\Temp\OnboardLogs"\RTDC4041\*4041*201706242* &gt;&gt; 2017-06-24-SliceDisagreementCheck.txt</v>
      </c>
      <c r="AE12" s="145" t="str">
        <f t="shared" si="9"/>
        <v>start /low /b %USERPROFILE%\Documents\GitHub\eaglep3\Utilities\DownloadLogsFromS3.py --loco 4041 --day 2017-06-24</v>
      </c>
    </row>
    <row r="13" spans="1:32" s="1" customFormat="1" x14ac:dyDescent="0.25">
      <c r="A13" s="31">
        <v>42910.574456018519</v>
      </c>
      <c r="B13" s="30" t="s">
        <v>368</v>
      </c>
      <c r="C13" s="30" t="s">
        <v>644</v>
      </c>
      <c r="D13" s="30" t="s">
        <v>49</v>
      </c>
      <c r="E13" s="30" t="s">
        <v>200</v>
      </c>
      <c r="F13" s="42">
        <v>200</v>
      </c>
      <c r="G13" s="42">
        <v>324</v>
      </c>
      <c r="H13" s="42">
        <v>6921</v>
      </c>
      <c r="I13" s="42">
        <v>6247</v>
      </c>
      <c r="J13" s="30" t="s">
        <v>201</v>
      </c>
      <c r="K13" s="42">
        <v>5457</v>
      </c>
      <c r="L13" s="131" t="s">
        <v>51</v>
      </c>
      <c r="M13" s="132">
        <f t="shared" si="0"/>
        <v>417.12</v>
      </c>
      <c r="N13" s="133" t="str">
        <f>VLOOKUP(C13,'Trips&amp;Operators'!$C$1:$G$99999,5,FALSE)</f>
        <v>DELGADO DIANAH</v>
      </c>
      <c r="O13" s="203" t="s">
        <v>180</v>
      </c>
      <c r="P13" s="134"/>
      <c r="Q13" s="30"/>
      <c r="R13" s="81" t="str">
        <f>VLOOKUP(C13,'Train Runs'!$A$13:$AE$9934,31,0)</f>
        <v>aws s3 cp s3://rtdc.mdm.uploadarchive.raw/RTDC4013/ "%USERPROFILE%\AppData\Local\Temp\OnboardLogs"\RTDC4013\2017-06-24 --exclude "*" --recursive --include "*20170624*" &amp; "%USERPROFILE%\Documents\GitHub\mrs-test-scripts\Headless Mode &amp; Sideloading\WalkAndUnGZ.bat" "%USERPROFILE%\AppData\Local\Temp\OnboardLogs"\RTDC4013\2017-06-24 &amp; aws s3 cp s3://rtdc.mdm.uploadarchive.raw/RTDC4013/ "%USERPROFILE%\AppData\Local\Temp\OnboardLogs"\RTDC4013\2017-06-25 --exclude "*" --recursive --include "*20170625*" &amp; "%USERPROFILE%\Documents\GitHub\mrs-test-scripts\Headless Mode &amp; Sideloading\WalkAndUnGZ.bat" "%USERPROFILE%\AppData\Local\Temp\OnboardLogs"\RTDC4013\2017-06-25</v>
      </c>
      <c r="S13" s="84" t="str">
        <f>VLOOKUP(C13,'Train Runs'!$A$13:$AE$9934,22,0)</f>
        <v>https://d0f6bd738d7f1b3e5a7ca70fe4ff75f0.us-east-1.aws.found.io/app/kibana#/discover/Steve-Slow-Train-Analysis-(2080s-and-2083s)?_g=(refreshInterval:(display:Off,pause:!f,section:0,value:0),time:(from:'2017-06-24T12:07:25-0600',mode:absolute,to:'2017-06-24T14:50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3" s="86" t="str">
        <f t="shared" si="1"/>
        <v>"C:\Program Files (x86)\AstroGrep\AstroGrep.exe" /e /r /s /spath="%USERPROFILE%\AppData\Local\Temp\OnboardLogs" /stypes="*4013*201706241*" /stext=" 19:.+((SYSTEM_STATE.+slice.+state.+changed )|(ment ac)|(multiple cpu faults)|(system.+state.+changed )|(\[timeout)|(PRM\|1\|D)|(kpr)|(kdp)|(train st.+moving)|(\|lc)|(penalty))"</v>
      </c>
      <c r="U13" s="9" t="str">
        <f t="shared" si="2"/>
        <v>4013</v>
      </c>
      <c r="V13" s="31">
        <f t="shared" si="3"/>
        <v>42910.824456018519</v>
      </c>
      <c r="W13" s="45" t="str">
        <f t="shared" si="4"/>
        <v>EC</v>
      </c>
      <c r="X13" s="22">
        <f t="shared" si="5"/>
        <v>170</v>
      </c>
      <c r="Y13" s="96" t="str">
        <f t="shared" si="6"/>
        <v>echo {"issue":{"subject":"","project_id":79,"tracker_id":40,"status_id":1,"priority_id":2,"assigned_to_id":23,"start_date":"2017-06-24","description":"","custom_fields":[{"id":1,"name":"Subdivision","value":"EC"},{"id":4,"name":"Milepost","value":"0.5457"},{"id":17,"name":"Train ID","value":"170-24"},{"id":16,"name":"Locomotive ID","value":"4013"},{"id":130,"name":"Impact","value":""},{"id":150,"name":"Time of Event (Mountain Time)","value":"13:47:13"},{"id":151,"name":"Denver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/c/Users/stu/AppData/Local/Temp/OnboardLogs/RTDC4013 --include="*4013*201706241*"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"%USERPROFILE%\AppData\Local\Temp\OnboardLogs"\RTDC4013\*4013*201706241* &gt;&gt; 2017-06-24-SliceDisagreementCheck.txt</v>
      </c>
      <c r="AE13" s="145" t="str">
        <f t="shared" si="9"/>
        <v>start /low /b %USERPROFILE%\Documents\GitHub\eaglep3\Utilities\DownloadLogsFromS3.py --loco 4013 --day 2017-06-24</v>
      </c>
    </row>
    <row r="14" spans="1:32" x14ac:dyDescent="0.25">
      <c r="A14" s="31">
        <v>42910.743715277778</v>
      </c>
      <c r="B14" s="30" t="s">
        <v>374</v>
      </c>
      <c r="C14" s="30" t="s">
        <v>653</v>
      </c>
      <c r="D14" s="30" t="s">
        <v>49</v>
      </c>
      <c r="E14" s="30" t="s">
        <v>200</v>
      </c>
      <c r="F14" s="42">
        <v>400</v>
      </c>
      <c r="G14" s="42">
        <v>596</v>
      </c>
      <c r="H14" s="42">
        <v>115357</v>
      </c>
      <c r="I14" s="42">
        <v>117203</v>
      </c>
      <c r="J14" s="30" t="s">
        <v>201</v>
      </c>
      <c r="K14" s="42">
        <v>116838</v>
      </c>
      <c r="L14" s="131" t="s">
        <v>50</v>
      </c>
      <c r="M14" s="132">
        <f t="shared" si="0"/>
        <v>-192.72</v>
      </c>
      <c r="N14" s="133" t="str">
        <f>VLOOKUP(C14,'Trips&amp;Operators'!$C$1:$G$99999,5,FALSE)</f>
        <v>DELGADO DIANAH</v>
      </c>
      <c r="O14" s="203" t="s">
        <v>180</v>
      </c>
      <c r="P14" s="134"/>
      <c r="Q14" s="30"/>
      <c r="R14" s="81" t="str">
        <f>VLOOKUP(C14,'Train Runs'!$A$13:$AE$9934,31,0)</f>
        <v>aws s3 cp s3://rtdc.mdm.uploadarchive.raw/RTDC4014/ "%USERPROFILE%\AppData\Local\Temp\OnboardLogs"\RTDC4014\2017-06-24 --exclude "*" --recursive --include "*20170624*" &amp; "%USERPROFILE%\Documents\GitHub\mrs-test-scripts\Headless Mode &amp; Sideloading\WalkAndUnGZ.bat" "%USERPROFILE%\AppData\Local\Temp\OnboardLogs"\RTDC4014\2017-06-24 &amp; aws s3 cp s3://rtdc.mdm.uploadarchive.raw/RTDC4014/ "%USERPROFILE%\AppData\Local\Temp\OnboardLogs"\RTDC4014\2017-06-25 --exclude "*" --recursive --include "*20170625*" &amp; "%USERPROFILE%\Documents\GitHub\mrs-test-scripts\Headless Mode &amp; Sideloading\WalkAndUnGZ.bat" "%USERPROFILE%\AppData\Local\Temp\OnboardLogs"\RTDC4014\2017-06-25</v>
      </c>
      <c r="S14" s="84" t="str">
        <f>VLOOKUP(C14,'Train Runs'!$A$13:$AE$9934,22,0)</f>
        <v>https://d0f6bd738d7f1b3e5a7ca70fe4ff75f0.us-east-1.aws.found.io/app/kibana#/discover/Steve-Slow-Train-Analysis-(2080s-and-2083s)?_g=(refreshInterval:(display:Off,pause:!f,section:0,value:0),time:(from:'2017-06-24T16:22:57-0600',mode:absolute,to:'2017-06-24T19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14" s="86" t="str">
        <f t="shared" si="1"/>
        <v>"C:\Program Files (x86)\AstroGrep\AstroGrep.exe" /e /r /s /spath="%USERPROFILE%\AppData\Local\Temp\OnboardLogs" /stypes="*4014*201706242*"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4014</v>
      </c>
      <c r="V14" s="31">
        <f t="shared" si="3"/>
        <v>42910.993715277778</v>
      </c>
      <c r="W14" s="45" t="str">
        <f t="shared" si="4"/>
        <v>EC</v>
      </c>
      <c r="X14" s="22">
        <f t="shared" si="5"/>
        <v>211</v>
      </c>
      <c r="Y14" s="96" t="str">
        <f t="shared" si="6"/>
        <v>echo {"issue":{"subject":"","project_id":79,"tracker_id":40,"status_id":1,"priority_id":2,"assigned_to_id":23,"start_date":"2017-06-24","description":"","custom_fields":[{"id":1,"name":"Subdivision","value":"EC"},{"id":4,"name":"Milepost","value":"11.6838"},{"id":17,"name":"Train ID","value":"211-24"},{"id":16,"name":"Locomotive ID","value":"4014"},{"id":130,"name":"Impact","value":""},{"id":150,"name":"Time of Event (Mountain Time)","value":"17:50:57"},{"id":151,"name":"Denver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/c/Users/stu/AppData/Local/Temp/OnboardLogs/RTDC4014 --include="*4014*201706242*"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"%USERPROFILE%\AppData\Local\Temp\OnboardLogs"\RTDC4014\*4014*201706242* &gt;&gt; 2017-06-24-SliceDisagreementCheck.txt</v>
      </c>
      <c r="AE14" s="145" t="str">
        <f t="shared" si="9"/>
        <v>start /low /b %USERPROFILE%\Documents\GitHub\eaglep3\Utilities\DownloadLogsFromS3.py --loco 4014 --day 2017-06-24</v>
      </c>
      <c r="AF14" s="1"/>
    </row>
    <row r="15" spans="1:32" x14ac:dyDescent="0.25">
      <c r="A15" s="31">
        <v>42910.367951388886</v>
      </c>
      <c r="B15" s="30" t="s">
        <v>365</v>
      </c>
      <c r="C15" s="30" t="s">
        <v>636</v>
      </c>
      <c r="D15" s="30" t="s">
        <v>96</v>
      </c>
      <c r="E15" s="30" t="s">
        <v>200</v>
      </c>
      <c r="F15" s="42">
        <v>700</v>
      </c>
      <c r="G15" s="42">
        <v>751</v>
      </c>
      <c r="H15" s="42">
        <v>179343</v>
      </c>
      <c r="I15" s="42">
        <v>175822</v>
      </c>
      <c r="J15" s="30" t="s">
        <v>201</v>
      </c>
      <c r="K15" s="42">
        <v>183829</v>
      </c>
      <c r="L15" s="131" t="s">
        <v>51</v>
      </c>
      <c r="M15" s="132">
        <f t="shared" si="0"/>
        <v>-4227.6959999999999</v>
      </c>
      <c r="N15" s="133" t="str">
        <f>VLOOKUP(C15,'Trips&amp;Operators'!$C$1:$G$99999,5,FALSE)</f>
        <v>DAVIS WENDY</v>
      </c>
      <c r="O15" s="203" t="s">
        <v>180</v>
      </c>
      <c r="P15" s="134"/>
      <c r="Q15" s="30"/>
      <c r="R15" s="81" t="str">
        <f>VLOOKUP(C15,'Train Runs'!$A$13:$AE$9934,31,0)</f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S15" s="84" t="str">
        <f>VLOOKUP(C15,'Train Runs'!$A$13:$AE$9934,22,0)</f>
        <v>https://d0f6bd738d7f1b3e5a7ca70fe4ff75f0.us-east-1.aws.found.io/app/kibana#/discover/Steve-Slow-Train-Analysis-(2080s-and-2083s)?_g=(refreshInterval:(display:Off,pause:!f,section:0,value:0),time:(from:'2017-06-24T07:39:03-0600',mode:absolute,to:'2017-06-24T10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5" s="86" t="str">
        <f t="shared" si="1"/>
        <v>"C:\Program Files (x86)\AstroGrep\AstroGrep.exe" /e /r /s /spath="%USERPROFILE%\AppData\Local\Temp\OnboardLogs" /stypes="*4021*201706241*" /stext=" 14:.+((SYSTEM_STATE.+slice.+state.+changed )|(ment ac)|(multiple cpu faults)|(system.+state.+changed )|(\[timeout)|(PRM\|1\|D)|(kpr)|(kdp)|(train st.+moving)|(\|lc)|(penalty))"</v>
      </c>
      <c r="U15" s="9" t="str">
        <f t="shared" si="2"/>
        <v>4021</v>
      </c>
      <c r="V15" s="31">
        <f t="shared" si="3"/>
        <v>42910.617951388886</v>
      </c>
      <c r="W15" s="45" t="str">
        <f t="shared" si="4"/>
        <v>EC</v>
      </c>
      <c r="X15" s="22">
        <f t="shared" si="5"/>
        <v>134</v>
      </c>
      <c r="Y15" s="96" t="str">
        <f t="shared" si="6"/>
        <v>echo {"issue":{"subject":"","project_id":79,"tracker_id":40,"status_id":1,"priority_id":2,"assigned_to_id":23,"start_date":"2017-06-24","description":"","custom_fields":[{"id":1,"name":"Subdivision","value":"EC"},{"id":4,"name":"Milepost","value":"18.3829"},{"id":17,"name":"Train ID","value":"134-24"},{"id":16,"name":"Locomotive ID","value":"4021"},{"id":130,"name":"Impact","value":""},{"id":150,"name":"Time of Event (Mountain Time)","value":"08:49:51"},{"id":151,"name":"Denver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/c/Users/stu/AppData/Local/Temp/OnboardLogs/RTDC4021 --include="*4021*201706241*"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"%USERPROFILE%\AppData\Local\Temp\OnboardLogs"\RTDC4021\*4021*201706241* &gt;&gt; 2017-06-24-SliceDisagreementCheck.txt</v>
      </c>
      <c r="AE15" s="145" t="str">
        <f t="shared" si="9"/>
        <v>start /low /b %USERPROFILE%\Documents\GitHub\eaglep3\Utilities\DownloadLogsFromS3.py --loco 4021 --day 2017-06-24</v>
      </c>
      <c r="AF15" s="1"/>
    </row>
    <row r="16" spans="1:32" x14ac:dyDescent="0.25">
      <c r="A16" s="31">
        <v>42911.065115740741</v>
      </c>
      <c r="B16" s="30" t="s">
        <v>417</v>
      </c>
      <c r="C16" s="30" t="s">
        <v>665</v>
      </c>
      <c r="D16" s="30" t="s">
        <v>96</v>
      </c>
      <c r="E16" s="30" t="s">
        <v>200</v>
      </c>
      <c r="F16" s="42">
        <v>600</v>
      </c>
      <c r="G16" s="42">
        <v>652</v>
      </c>
      <c r="H16" s="42">
        <v>184372</v>
      </c>
      <c r="I16" s="42">
        <v>181383</v>
      </c>
      <c r="J16" s="30" t="s">
        <v>201</v>
      </c>
      <c r="K16" s="42">
        <v>190834</v>
      </c>
      <c r="L16" s="131" t="s">
        <v>51</v>
      </c>
      <c r="M16" s="132">
        <f t="shared" si="0"/>
        <v>-4990.1279999999997</v>
      </c>
      <c r="N16" s="133" t="str">
        <f>VLOOKUP(C16,'Trips&amp;Operators'!$C$1:$G$99999,5,FALSE)</f>
        <v>FORTUNATO FRANK</v>
      </c>
      <c r="O16" s="203" t="s">
        <v>180</v>
      </c>
      <c r="P16" s="134"/>
      <c r="Q16" s="30"/>
      <c r="R16" s="81" t="str">
        <f>VLOOKUP(C16,'Train Runs'!$A$13:$AE$9934,31,0)</f>
        <v>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 &amp; aws s3 cp s3://rtdc.mdm.uploadarchive.raw/RTDC4043/ "%USERPROFILE%\AppData\Local\Temp\OnboardLogs"\RTDC4043\2017-06-26 --exclude "*" --recursive --include "*20170626*" &amp; "%USERPROFILE%\Documents\GitHub\mrs-test-scripts\Headless Mode &amp; Sideloading\WalkAndUnGZ.bat" "%USERPROFILE%\AppData\Local\Temp\OnboardLogs"\RTDC4043\2017-06-26</v>
      </c>
      <c r="S16" s="84" t="str">
        <f>VLOOKUP(C16,'Train Runs'!$A$13:$AE$9934,22,0)</f>
        <v>https://d0f6bd738d7f1b3e5a7ca70fe4ff75f0.us-east-1.aws.found.io/app/kibana#/discover/Steve-Slow-Train-Analysis-(2080s-and-2083s)?_g=(refreshInterval:(display:Off,pause:!f,section:0,value:0),time:(from:'2017-06-25T00:15:22-0600',mode:absolute,to:'2017-06-25T03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6" s="86" t="str">
        <f t="shared" si="1"/>
        <v>"C:\Program Files (x86)\AstroGrep\AstroGrep.exe" /e /r /s /spath="%USERPROFILE%\AppData\Local\Temp\OnboardLogs" /stypes="*4043*201706250*" /stext=" 07:.+((SYSTEM_STATE.+slice.+state.+changed )|(ment ac)|(multiple cpu faults)|(system.+state.+changed )|(\[timeout)|(PRM\|1\|D)|(kpr)|(kdp)|(train st.+moving)|(\|lc)|(penalty))"</v>
      </c>
      <c r="U16" s="9" t="str">
        <f t="shared" si="2"/>
        <v>4043</v>
      </c>
      <c r="V16" s="31">
        <f t="shared" si="3"/>
        <v>42911.315115740741</v>
      </c>
      <c r="W16" s="45" t="str">
        <f t="shared" si="4"/>
        <v>EC</v>
      </c>
      <c r="X16" s="22">
        <f t="shared" si="5"/>
        <v>244</v>
      </c>
      <c r="Y16" s="96" t="str">
        <f t="shared" si="6"/>
        <v>echo {"issue":{"subject":"","project_id":79,"tracker_id":40,"status_id":1,"priority_id":2,"assigned_to_id":23,"start_date":"2017-06-25","description":"","custom_fields":[{"id":1,"name":"Subdivision","value":"EC"},{"id":4,"name":"Milepost","value":"19.0834"},{"id":17,"name":"Train ID","value":"244-24"},{"id":16,"name":"Locomotive ID","value":"4043"},{"id":130,"name":"Impact","value":""},{"id":150,"name":"Time of Event (Mountain Time)","value":"01:33:46"},{"id":151,"name":"Denver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/c/Users/stu/AppData/Local/Temp/OnboardLogs/RTDC4043 --include="*4043*201706250*"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"%USERPROFILE%\AppData\Local\Temp\OnboardLogs"\RTDC4043\*4043*201706250* &gt;&gt; 2017-06-24-SliceDisagreementCheck.txt</v>
      </c>
      <c r="AE16" s="145" t="str">
        <f t="shared" si="9"/>
        <v>start /low /b %USERPROFILE%\Documents\GitHub\eaglep3\Utilities\DownloadLogsFromS3.py --loco 4043 --day 2017-06-25</v>
      </c>
      <c r="AF16" s="1"/>
    </row>
    <row r="17" spans="1:32" x14ac:dyDescent="0.25">
      <c r="A17" s="31">
        <v>42910.586273148147</v>
      </c>
      <c r="B17" s="30" t="s">
        <v>420</v>
      </c>
      <c r="C17" s="30" t="s">
        <v>645</v>
      </c>
      <c r="D17" s="30" t="s">
        <v>49</v>
      </c>
      <c r="E17" s="30" t="s">
        <v>200</v>
      </c>
      <c r="F17" s="42">
        <v>350</v>
      </c>
      <c r="G17" s="42">
        <v>428</v>
      </c>
      <c r="H17" s="42">
        <v>223810</v>
      </c>
      <c r="I17" s="42">
        <v>224931</v>
      </c>
      <c r="J17" s="30" t="s">
        <v>201</v>
      </c>
      <c r="K17" s="42">
        <v>224581</v>
      </c>
      <c r="L17" s="131" t="s">
        <v>50</v>
      </c>
      <c r="M17" s="132">
        <f t="shared" si="0"/>
        <v>-184.8</v>
      </c>
      <c r="N17" s="133" t="str">
        <f>VLOOKUP(C17,'Trips&amp;Operators'!$C$1:$G$99999,5,FALSE)</f>
        <v>BRUDER RICHARD</v>
      </c>
      <c r="O17" s="203" t="s">
        <v>180</v>
      </c>
      <c r="P17" s="134"/>
      <c r="Q17" s="30"/>
      <c r="R17" s="81" t="str">
        <f>VLOOKUP(C17,'Train Runs'!$A$13:$AE$9934,31,0)</f>
        <v>aws s3 cp s3://rtdc.mdm.uploadarchive.raw/RTDC4020/ "%USERPROFILE%\AppData\Local\Temp\OnboardLogs"\RTDC4020\2017-06-24 --exclude "*" --recursive --include "*20170624*" &amp; "%USERPROFILE%\Documents\GitHub\mrs-test-scripts\Headless Mode &amp; Sideloading\WalkAndUnGZ.bat" "%USERPROFILE%\AppData\Local\Temp\OnboardLogs"\RTDC4020\2017-06-24 &amp; aws s3 cp s3://rtdc.mdm.uploadarchive.raw/RTDC4020/ "%USERPROFILE%\AppData\Local\Temp\OnboardLogs"\RTDC4020\2017-06-25 --exclude "*" --recursive --include "*20170625*" &amp; "%USERPROFILE%\Documents\GitHub\mrs-test-scripts\Headless Mode &amp; Sideloading\WalkAndUnGZ.bat" "%USERPROFILE%\AppData\Local\Temp\OnboardLogs"\RTDC4020\2017-06-25</v>
      </c>
      <c r="S17" s="84" t="str">
        <f>VLOOKUP(C17,'Train Runs'!$A$13:$AE$9934,22,0)</f>
        <v>https://d0f6bd738d7f1b3e5a7ca70fe4ff75f0.us-east-1.aws.found.io/app/kibana#/discover/Steve-Slow-Train-Analysis-(2080s-and-2083s)?_g=(refreshInterval:(display:Off,pause:!f,section:0,value:0),time:(from:'2017-06-24T12:23:14-0600',mode:absolute,to:'2017-06-24T15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7" s="86" t="str">
        <f t="shared" si="1"/>
        <v>"C:\Program Files (x86)\AstroGrep\AstroGrep.exe" /e /r /s /spath="%USERPROFILE%\AppData\Local\Temp\OnboardLogs" /stypes="*4020*201706242*"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4020</v>
      </c>
      <c r="V17" s="31">
        <f t="shared" si="3"/>
        <v>42910.836273148147</v>
      </c>
      <c r="W17" s="45" t="str">
        <f t="shared" si="4"/>
        <v>EC</v>
      </c>
      <c r="X17" s="22">
        <f t="shared" si="5"/>
        <v>179</v>
      </c>
      <c r="Y17" s="96" t="str">
        <f t="shared" si="6"/>
        <v>echo {"issue":{"subject":"","project_id":79,"tracker_id":40,"status_id":1,"priority_id":2,"assigned_to_id":23,"start_date":"2017-06-24","description":"","custom_fields":[{"id":1,"name":"Subdivision","value":"EC"},{"id":4,"name":"Milepost","value":"22.4581"},{"id":17,"name":"Train ID","value":"179-24"},{"id":16,"name":"Locomotive ID","value":"4020"},{"id":130,"name":"Impact","value":""},{"id":150,"name":"Time of Event (Mountain Time)","value":"14:04:14"},{"id":151,"name":"Denver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/c/Users/stu/AppData/Local/Temp/OnboardLogs/RTDC4020 --include="*4020*201706242*"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"%USERPROFILE%\AppData\Local\Temp\OnboardLogs"\RTDC4020\*4020*201706242* &gt;&gt; 2017-06-24-SliceDisagreementCheck.txt</v>
      </c>
      <c r="AE17" s="145" t="str">
        <f t="shared" si="9"/>
        <v>start /low /b %USERPROFILE%\Documents\GitHub\eaglep3\Utilities\DownloadLogsFromS3.py --loco 4020 --day 2017-06-24</v>
      </c>
      <c r="AF17" s="1"/>
    </row>
    <row r="18" spans="1:32" x14ac:dyDescent="0.25">
      <c r="A18" s="31">
        <v>42910.894768518519</v>
      </c>
      <c r="B18" s="30" t="s">
        <v>417</v>
      </c>
      <c r="C18" s="30" t="s">
        <v>660</v>
      </c>
      <c r="D18" s="30" t="s">
        <v>96</v>
      </c>
      <c r="E18" s="30" t="s">
        <v>200</v>
      </c>
      <c r="F18" s="42">
        <v>350</v>
      </c>
      <c r="G18" s="42">
        <v>404</v>
      </c>
      <c r="H18" s="42">
        <v>229798</v>
      </c>
      <c r="I18" s="42">
        <v>228783</v>
      </c>
      <c r="J18" s="30" t="s">
        <v>201</v>
      </c>
      <c r="K18" s="42">
        <v>232107</v>
      </c>
      <c r="L18" s="131" t="s">
        <v>51</v>
      </c>
      <c r="M18" s="132">
        <f t="shared" si="0"/>
        <v>-1755.0719999999999</v>
      </c>
      <c r="N18" s="133" t="str">
        <f>VLOOKUP(C18,'Trips&amp;Operators'!$C$1:$G$99999,5,FALSE)</f>
        <v>FORTUNATO FRANK</v>
      </c>
      <c r="O18" s="203" t="s">
        <v>180</v>
      </c>
      <c r="P18" s="134"/>
      <c r="Q18" s="30"/>
      <c r="R18" s="81" t="str">
        <f>VLOOKUP(C18,'Train Runs'!$A$13:$AE$9934,31,0)</f>
        <v>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 &amp; 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</v>
      </c>
      <c r="S18" s="84" t="str">
        <f>VLOOKUP(C18,'Train Runs'!$A$13:$AE$9934,22,0)</f>
        <v>https://d0f6bd738d7f1b3e5a7ca70fe4ff75f0.us-east-1.aws.found.io/app/kibana#/discover/Steve-Slow-Train-Analysis-(2080s-and-2083s)?_g=(refreshInterval:(display:Off,pause:!f,section:0,value:0),time:(from:'2017-06-24T20:13:59-0600',mode:absolute,to:'2017-06-24T23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8" s="86" t="str">
        <f t="shared" si="1"/>
        <v>"C:\Program Files (x86)\AstroGrep\AstroGrep.exe" /e /r /s /spath="%USERPROFILE%\AppData\Local\Temp\OnboardLogs" /stypes="*4043*201706250*" /stext=" 03:.+((SYSTEM_STATE.+slice.+state.+changed )|(ment ac)|(multiple cpu faults)|(system.+state.+changed )|(\[timeout)|(PRM\|1\|D)|(kpr)|(kdp)|(train st.+moving)|(\|lc)|(penalty))"</v>
      </c>
      <c r="U18" s="9" t="str">
        <f t="shared" si="2"/>
        <v>4043</v>
      </c>
      <c r="V18" s="31">
        <f t="shared" si="3"/>
        <v>42911.144768518519</v>
      </c>
      <c r="W18" s="45" t="str">
        <f t="shared" si="4"/>
        <v>EC</v>
      </c>
      <c r="X18" s="22">
        <f t="shared" si="5"/>
        <v>228</v>
      </c>
      <c r="Y18" s="96" t="str">
        <f t="shared" si="6"/>
        <v>echo {"issue":{"subject":"","project_id":79,"tracker_id":40,"status_id":1,"priority_id":2,"assigned_to_id":23,"start_date":"2017-06-24","description":"","custom_fields":[{"id":1,"name":"Subdivision","value":"EC"},{"id":4,"name":"Milepost","value":"23.2107"},{"id":17,"name":"Train ID","value":"228-24"},{"id":16,"name":"Locomotive ID","value":"4043"},{"id":130,"name":"Impact","value":""},{"id":150,"name":"Time of Event (Mountain Time)","value":"21:28:28"},{"id":151,"name":"Denver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/c/Users/stu/AppData/Local/Temp/OnboardLogs/RTDC4043 --include="*4043*201706250*"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"%USERPROFILE%\AppData\Local\Temp\OnboardLogs"\RTDC4043\*4043*201706250* &gt;&gt; 2017-06-24-SliceDisagreementCheck.txt</v>
      </c>
      <c r="AE18" s="145" t="str">
        <f t="shared" si="9"/>
        <v>start /low /b %USERPROFILE%\Documents\GitHub\eaglep3\Utilities\DownloadLogsFromS3.py --loco 4043 --day 2017-06-25</v>
      </c>
      <c r="AF18" s="1"/>
    </row>
    <row r="19" spans="1:32" x14ac:dyDescent="0.25">
      <c r="A19" s="31">
        <v>42911.002129629633</v>
      </c>
      <c r="B19" s="30" t="s">
        <v>341</v>
      </c>
      <c r="C19" s="30" t="s">
        <v>663</v>
      </c>
      <c r="D19" s="30" t="s">
        <v>49</v>
      </c>
      <c r="E19" s="30" t="s">
        <v>361</v>
      </c>
      <c r="F19" s="42">
        <v>0</v>
      </c>
      <c r="G19" s="42">
        <v>410</v>
      </c>
      <c r="H19" s="42">
        <v>8733</v>
      </c>
      <c r="I19" s="42">
        <v>10031</v>
      </c>
      <c r="J19" s="30" t="s">
        <v>362</v>
      </c>
      <c r="K19" s="42">
        <v>10800</v>
      </c>
      <c r="L19" s="131" t="s">
        <v>50</v>
      </c>
      <c r="M19" s="132">
        <f t="shared" si="0"/>
        <v>406.03199999999998</v>
      </c>
      <c r="N19" s="133" t="str">
        <f>VLOOKUP(C19,'Trips&amp;Operators'!$C$1:$G$99999,5,FALSE)</f>
        <v>PERKINS DARREN</v>
      </c>
      <c r="O19" s="203" t="s">
        <v>408</v>
      </c>
      <c r="P19" s="134" t="s">
        <v>630</v>
      </c>
      <c r="Q19" s="30"/>
      <c r="R19" s="81" t="str">
        <f>VLOOKUP(C19,'Train Runs'!$A$13:$AE$9934,31,0)</f>
        <v>aws s3 cp s3://rtdc.mdm.uploadarchive.raw/RTDC4022/ "%USERPROFILE%\AppData\Local\Temp\OnboardLogs"\RTDC4022\2017-06-25 --exclude "*" --recursive --include "*20170625*" &amp; "%USERPROFILE%\Documents\GitHub\mrs-test-scripts\Headless Mode &amp; Sideloading\WalkAndUnGZ.bat" "%USERPROFILE%\AppData\Local\Temp\OnboardLogs"\RTDC4022\2017-06-25 &amp; aws s3 cp s3://rtdc.mdm.uploadarchive.raw/RTDC4022/ "%USERPROFILE%\AppData\Local\Temp\OnboardLogs"\RTDC4022\2017-06-26 --exclude "*" --recursive --include "*20170626*" &amp; "%USERPROFILE%\Documents\GitHub\mrs-test-scripts\Headless Mode &amp; Sideloading\WalkAndUnGZ.bat" "%USERPROFILE%\AppData\Local\Temp\OnboardLogs"\RTDC4022\2017-06-26</v>
      </c>
      <c r="S19" s="84" t="str">
        <f>VLOOKUP(C19,'Train Runs'!$A$13:$AE$9934,22,0)</f>
        <v>https://d0f6bd738d7f1b3e5a7ca70fe4ff75f0.us-east-1.aws.found.io/app/kibana#/discover/Steve-Slow-Train-Analysis-(2080s-and-2083s)?_g=(refreshInterval:(display:Off,pause:!f,section:0,value:0),time:(from:'2017-06-24T22:40:43-0600',mode:absolute,to:'2017-06-25T01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9" s="86" t="str">
        <f t="shared" si="1"/>
        <v>"C:\Program Files (x86)\AstroGrep\AstroGrep.exe" /e /r /s /spath="%USERPROFILE%\AppData\Local\Temp\OnboardLogs" /stypes="*4022*201706250*" /stext=" 06:.+((SYSTEM_STATE.+slice.+state.+changed )|(ment ac)|(multiple cpu faults)|(system.+state.+changed )|(\[timeout)|(PRM\|1\|D)|(kpr)|(kdp)|(train st.+moving)|(\|lc)|(penalty))"</v>
      </c>
      <c r="U19" s="9" t="str">
        <f t="shared" si="2"/>
        <v>4022</v>
      </c>
      <c r="V19" s="31">
        <f t="shared" si="3"/>
        <v>42911.252129629633</v>
      </c>
      <c r="W19" s="45" t="str">
        <f t="shared" si="4"/>
        <v>EC</v>
      </c>
      <c r="X19" s="22">
        <f t="shared" si="5"/>
        <v>241</v>
      </c>
      <c r="Y19" s="96" t="str">
        <f t="shared" si="6"/>
        <v>echo {"issue":{"subject":"Wi-MAX data drop","project_id":79,"tracker_id":40,"status_id":1,"priority_id":2,"assigned_to_id":23,"start_date":"2017-06-25","description":"","custom_fields":[{"id":1,"name":"Subdivision","value":"EC"},{"id":4,"name":"Milepost","value":"1.08"},{"id":17,"name":"Train ID","value":"241-24"},{"id":16,"name":"Locomotive ID","value":"4022"},{"id":130,"name":"Impact","value":""},{"id":150,"name":"Time of Event (Mountain Time)","value":"00:03:04"},{"id":151,"name":"Denver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/c/Users/stu/AppData/Local/Temp/OnboardLogs/RTDC4022 --include="*4022*201706250*"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"%USERPROFILE%\AppData\Local\Temp\OnboardLogs"\RTDC4022\*4022*201706250* &gt;&gt; 2017-06-24-SliceDisagreementCheck.txt</v>
      </c>
      <c r="AE19" s="145" t="str">
        <f t="shared" si="9"/>
        <v>start /low /b %USERPROFILE%\Documents\GitHub\eaglep3\Utilities\DownloadLogsFromS3.py --loco 4022 --day 2017-06-25</v>
      </c>
      <c r="AF19" s="1"/>
    </row>
    <row r="20" spans="1:32" x14ac:dyDescent="0.25">
      <c r="A20" s="31">
        <v>42910.752685185187</v>
      </c>
      <c r="B20" s="30" t="s">
        <v>357</v>
      </c>
      <c r="C20" s="30" t="s">
        <v>654</v>
      </c>
      <c r="D20" s="30" t="s">
        <v>49</v>
      </c>
      <c r="E20" s="30" t="s">
        <v>361</v>
      </c>
      <c r="F20" s="42">
        <v>0</v>
      </c>
      <c r="G20" s="42">
        <v>295</v>
      </c>
      <c r="H20" s="42">
        <v>87384</v>
      </c>
      <c r="I20" s="42">
        <v>88447</v>
      </c>
      <c r="J20" s="30" t="s">
        <v>362</v>
      </c>
      <c r="K20" s="42">
        <v>87889</v>
      </c>
      <c r="L20" s="131" t="s">
        <v>50</v>
      </c>
      <c r="M20" s="132">
        <f t="shared" si="0"/>
        <v>-294.62400000000002</v>
      </c>
      <c r="N20" s="133" t="str">
        <f>VLOOKUP(C20,'Trips&amp;Operators'!$C$1:$G$99999,5,FALSE)</f>
        <v>YANG JAN</v>
      </c>
      <c r="O20" s="203" t="s">
        <v>408</v>
      </c>
      <c r="P20" s="134" t="s">
        <v>630</v>
      </c>
      <c r="Q20" s="30"/>
      <c r="R20" s="81" t="str">
        <f>VLOOKUP(C20,'Train Runs'!$A$13:$AE$9934,31,0)</f>
        <v>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 &amp; 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</v>
      </c>
      <c r="S20" s="84" t="str">
        <f>VLOOKUP(C20,'Train Runs'!$A$13:$AE$9934,22,0)</f>
        <v>https://d0f6bd738d7f1b3e5a7ca70fe4ff75f0.us-east-1.aws.found.io/app/kibana#/discover/Steve-Slow-Train-Analysis-(2080s-and-2083s)?_g=(refreshInterval:(display:Off,pause:!f,section:0,value:0),time:(from:'2017-06-24T17:09:56-0600',mode:absolute,to:'2017-06-24T19:26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0" s="86" t="str">
        <f t="shared" si="1"/>
        <v>"C:\Program Files (x86)\AstroGrep\AstroGrep.exe" /e /r /s /spath="%USERPROFILE%\AppData\Local\Temp\OnboardLogs" /stypes="*4042*201706250*" /stext=" 00:.+((SYSTEM_STATE.+slice.+state.+changed )|(ment ac)|(multiple cpu faults)|(system.+state.+changed )|(\[timeout)|(PRM\|1\|D)|(kpr)|(kdp)|(train st.+moving)|(\|lc)|(penalty))"</v>
      </c>
      <c r="U20" s="9" t="str">
        <f t="shared" si="2"/>
        <v>4042</v>
      </c>
      <c r="V20" s="31">
        <f t="shared" si="3"/>
        <v>42911.002685185187</v>
      </c>
      <c r="W20" s="45" t="str">
        <f t="shared" si="4"/>
        <v>EC</v>
      </c>
      <c r="X20" s="22">
        <f t="shared" si="5"/>
        <v>213</v>
      </c>
      <c r="Y20" s="96" t="str">
        <f t="shared" si="6"/>
        <v>echo {"issue":{"subject":"Wi-MAX data drop","project_id":79,"tracker_id":40,"status_id":1,"priority_id":2,"assigned_to_id":23,"start_date":"2017-06-24","description":"","custom_fields":[{"id":1,"name":"Subdivision","value":"EC"},{"id":4,"name":"Milepost","value":"8.7889"},{"id":17,"name":"Train ID","value":"213-24"},{"id":16,"name":"Locomotive ID","value":"4042"},{"id":130,"name":"Impact","value":""},{"id":150,"name":"Time of Event (Mountain Time)","value":"18:03:52"},{"id":151,"name":"Denver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/c/Users/stu/AppData/Local/Temp/OnboardLogs/RTDC4042 --include="*4042*201706250*"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"%USERPROFILE%\AppData\Local\Temp\OnboardLogs"\RTDC4042\*4042*201706250* &gt;&gt; 2017-06-24-SliceDisagreementCheck.txt</v>
      </c>
      <c r="AE20" s="145" t="str">
        <f t="shared" si="9"/>
        <v>start /low /b %USERPROFILE%\Documents\GitHub\eaglep3\Utilities\DownloadLogsFromS3.py --loco 4042 --day 2017-06-25</v>
      </c>
      <c r="AF20" s="1"/>
    </row>
    <row r="21" spans="1:32" x14ac:dyDescent="0.25">
      <c r="A21" s="31">
        <v>42910.766053240739</v>
      </c>
      <c r="B21" s="30" t="s">
        <v>469</v>
      </c>
      <c r="C21" s="30" t="s">
        <v>655</v>
      </c>
      <c r="D21" s="30" t="s">
        <v>49</v>
      </c>
      <c r="E21" s="30" t="s">
        <v>361</v>
      </c>
      <c r="F21" s="42">
        <v>0</v>
      </c>
      <c r="G21" s="42">
        <v>715</v>
      </c>
      <c r="H21" s="42">
        <v>178455</v>
      </c>
      <c r="I21" s="42">
        <v>174911</v>
      </c>
      <c r="J21" s="30" t="s">
        <v>362</v>
      </c>
      <c r="K21" s="42">
        <v>175398</v>
      </c>
      <c r="L21" s="131" t="s">
        <v>51</v>
      </c>
      <c r="M21" s="132">
        <f t="shared" si="0"/>
        <v>-257.13600000000002</v>
      </c>
      <c r="N21" s="133" t="str">
        <f>VLOOKUP(C21,'Trips&amp;Operators'!$C$1:$G$99999,5,FALSE)</f>
        <v>SULLIVAN BRANDON</v>
      </c>
      <c r="O21" s="203" t="s">
        <v>408</v>
      </c>
      <c r="P21" s="134" t="s">
        <v>630</v>
      </c>
      <c r="Q21" s="30"/>
      <c r="R21" s="81" t="str">
        <f>VLOOKUP(C21,'Train Runs'!$A$13:$AE$9934,31,0)</f>
        <v>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 &amp; aws s3 cp s3://rtdc.mdm.uploadarchive.raw/RTDC4003/ "%USERPROFILE%\AppData\Local\Temp\OnboardLogs"\RTDC4003\2017-06-25 --exclude "*" --recursive --include "*20170625*" &amp; "%USERPROFILE%\Documents\GitHub\mrs-test-scripts\Headless Mode &amp; Sideloading\WalkAndUnGZ.bat" "%USERPROFILE%\AppData\Local\Temp\OnboardLogs"\RTDC4003\2017-06-25</v>
      </c>
      <c r="S21" s="84" t="str">
        <f>VLOOKUP(C21,'Train Runs'!$A$13:$AE$9934,22,0)</f>
        <v>https://d0f6bd738d7f1b3e5a7ca70fe4ff75f0.us-east-1.aws.found.io/app/kibana#/discover/Steve-Slow-Train-Analysis-(2080s-and-2083s)?_g=(refreshInterval:(display:Off,pause:!f,section:0,value:0),time:(from:'2017-06-24T16:59:07-0600',mode:absolute,to:'2017-06-24T19:56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1" s="86" t="str">
        <f t="shared" si="1"/>
        <v>"C:\Program Files (x86)\AstroGrep\AstroGrep.exe" /e /r /s /spath="%USERPROFILE%\AppData\Local\Temp\OnboardLogs" /stypes="*4003*201706250*" /stext=" 00:.+((SYSTEM_STATE.+slice.+state.+changed )|(ment ac)|(multiple cpu faults)|(system.+state.+changed )|(\[timeout)|(PRM\|1\|D)|(kpr)|(kdp)|(train st.+moving)|(\|lc)|(penalty))"</v>
      </c>
      <c r="U21" s="9" t="str">
        <f t="shared" si="2"/>
        <v>4003</v>
      </c>
      <c r="V21" s="31">
        <f t="shared" si="3"/>
        <v>42911.016053240739</v>
      </c>
      <c r="W21" s="45" t="str">
        <f t="shared" si="4"/>
        <v>EC</v>
      </c>
      <c r="X21" s="22">
        <f t="shared" si="5"/>
        <v>210</v>
      </c>
      <c r="Y21" s="96" t="str">
        <f t="shared" si="6"/>
        <v>echo {"issue":{"subject":"Wi-MAX data drop","project_id":79,"tracker_id":40,"status_id":1,"priority_id":2,"assigned_to_id":23,"start_date":"2017-06-24","description":"","custom_fields":[{"id":1,"name":"Subdivision","value":"EC"},{"id":4,"name":"Milepost","value":"17.5398"},{"id":17,"name":"Train ID","value":"210-24"},{"id":16,"name":"Locomotive ID","value":"4003"},{"id":130,"name":"Impact","value":""},{"id":150,"name":"Time of Event (Mountain Time)","value":"18:23:07"},{"id":151,"name":"Denver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/c/Users/stu/AppData/Local/Temp/OnboardLogs/RTDC4003 --include="*4003*201706250*"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"%USERPROFILE%\AppData\Local\Temp\OnboardLogs"\RTDC4003\*4003*201706250* &gt;&gt; 2017-06-24-SliceDisagreementCheck.txt</v>
      </c>
      <c r="AE21" s="145" t="str">
        <f t="shared" si="9"/>
        <v>start /low /b %USERPROFILE%\Documents\GitHub\eaglep3\Utilities\DownloadLogsFromS3.py --loco 4003 --day 2017-06-25</v>
      </c>
      <c r="AF21" s="1"/>
    </row>
    <row r="22" spans="1:32" x14ac:dyDescent="0.25">
      <c r="A22" s="31">
        <v>42910.699062500003</v>
      </c>
      <c r="B22" s="30" t="s">
        <v>469</v>
      </c>
      <c r="C22" s="30" t="s">
        <v>650</v>
      </c>
      <c r="D22" s="30" t="s">
        <v>96</v>
      </c>
      <c r="E22" s="30" t="s">
        <v>651</v>
      </c>
      <c r="F22" s="42">
        <v>150</v>
      </c>
      <c r="G22" s="42">
        <v>203</v>
      </c>
      <c r="H22" s="42">
        <v>108758</v>
      </c>
      <c r="I22" s="42">
        <v>108245</v>
      </c>
      <c r="J22" s="30" t="s">
        <v>188</v>
      </c>
      <c r="K22" s="42">
        <v>109100</v>
      </c>
      <c r="L22" s="131" t="s">
        <v>51</v>
      </c>
      <c r="M22" s="132">
        <f t="shared" si="0"/>
        <v>-451.44</v>
      </c>
      <c r="N22" s="133" t="str">
        <f>VLOOKUP(C22,'Trips&amp;Operators'!$C$1:$G$99999,5,FALSE)</f>
        <v>SULLIVAN BRANDON</v>
      </c>
      <c r="O22" s="203" t="s">
        <v>180</v>
      </c>
      <c r="P22" s="134"/>
      <c r="Q22" s="30"/>
      <c r="R22" s="81" t="str">
        <f>VLOOKUP(C22,'Train Runs'!$A$13:$AE$9934,31,0)</f>
        <v>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 &amp; aws s3 cp s3://rtdc.mdm.uploadarchive.raw/RTDC4003/ "%USERPROFILE%\AppData\Local\Temp\OnboardLogs"\RTDC4003\2017-06-25 --exclude "*" --recursive --include "*20170625*" &amp; "%USERPROFILE%\Documents\GitHub\mrs-test-scripts\Headless Mode &amp; Sideloading\WalkAndUnGZ.bat" "%USERPROFILE%\AppData\Local\Temp\OnboardLogs"\RTDC4003\2017-06-25</v>
      </c>
      <c r="S22" s="84" t="str">
        <f>VLOOKUP(C22,'Train Runs'!$A$13:$AE$9934,22,0)</f>
        <v>https://d0f6bd738d7f1b3e5a7ca70fe4ff75f0.us-east-1.aws.found.io/app/kibana#/discover/Steve-Slow-Train-Analysis-(2080s-and-2083s)?_g=(refreshInterval:(display:Off,pause:!f,section:0,value:0),time:(from:'2017-06-24T15:17:12-0600',mode:absolute,to:'2017-06-24T18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2" s="86" t="str">
        <f t="shared" si="1"/>
        <v>"C:\Program Files (x86)\AstroGrep\AstroGrep.exe" /e /r /s /spath="%USERPROFILE%\AppData\Local\Temp\OnboardLogs" /stypes="*4003*201706242*" /stext=" 22:.+((SYSTEM_STATE.+slice.+state.+changed )|(ment ac)|(multiple cpu faults)|(system.+state.+changed )|(\[timeout)|(PRM\|1\|D)|(kpr)|(kdp)|(train st.+moving)|(\|lc)|(penalty))"</v>
      </c>
      <c r="U22" s="9" t="str">
        <f t="shared" si="2"/>
        <v>4003</v>
      </c>
      <c r="V22" s="31">
        <f t="shared" si="3"/>
        <v>42910.949062500003</v>
      </c>
      <c r="W22" s="45" t="str">
        <f t="shared" si="4"/>
        <v>EC</v>
      </c>
      <c r="X22" s="22">
        <f t="shared" si="5"/>
        <v>196</v>
      </c>
      <c r="Y22" s="96" t="str">
        <f t="shared" si="6"/>
        <v>echo {"issue":{"subject":"","project_id":79,"tracker_id":40,"status_id":1,"priority_id":2,"assigned_to_id":23,"start_date":"2017-06-24","description":"","custom_fields":[{"id":1,"name":"Subdivision","value":"EC"},{"id":4,"name":"Milepost","value":"10.91"},{"id":17,"name":"Train ID","value":"196-24"},{"id":16,"name":"Locomotive ID","value":"4003"},{"id":130,"name":"Impact","value":""},{"id":150,"name":"Time of Event (Mountain Time)","value":"16:46:39"},{"id":151,"name":"Denver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/c/Users/stu/AppData/Local/Temp/OnboardLogs/RTDC4003 --include="*4003*201706242*"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"%USERPROFILE%\AppData\Local\Temp\OnboardLogs"\RTDC4003\*4003*201706242* &gt;&gt; 2017-06-24-SliceDisagreementCheck.txt</v>
      </c>
      <c r="AE22" s="145" t="str">
        <f t="shared" si="9"/>
        <v>start /low /b %USERPROFILE%\Documents\GitHub\eaglep3\Utilities\DownloadLogsFromS3.py --loco 4003 --day 2017-06-24</v>
      </c>
      <c r="AF22" s="1"/>
    </row>
    <row r="23" spans="1:32" x14ac:dyDescent="0.25">
      <c r="A23" s="31">
        <v>42910.358553240738</v>
      </c>
      <c r="B23" s="30" t="s">
        <v>368</v>
      </c>
      <c r="C23" s="30" t="s">
        <v>635</v>
      </c>
      <c r="D23" s="30" t="s">
        <v>49</v>
      </c>
      <c r="E23" s="30" t="s">
        <v>181</v>
      </c>
      <c r="F23" s="42">
        <v>0</v>
      </c>
      <c r="G23" s="42">
        <v>47</v>
      </c>
      <c r="H23" s="42">
        <v>180</v>
      </c>
      <c r="I23" s="42">
        <v>112</v>
      </c>
      <c r="J23" s="30" t="s">
        <v>182</v>
      </c>
      <c r="K23" s="42">
        <v>1</v>
      </c>
      <c r="L23" s="131" t="s">
        <v>51</v>
      </c>
      <c r="M23" s="132">
        <f t="shared" si="0"/>
        <v>58.607999999999997</v>
      </c>
      <c r="N23" s="133" t="str">
        <f>VLOOKUP(C23,'Trips&amp;Operators'!$C$1:$G$99999,5,FALSE)</f>
        <v>DAVIDSON DAVID</v>
      </c>
      <c r="O23" s="203" t="s">
        <v>180</v>
      </c>
      <c r="P23" s="134"/>
      <c r="Q23" s="30"/>
      <c r="R23" s="81" t="str">
        <f>VLOOKUP(C23,'Train Runs'!$A$13:$AE$9934,31,0)</f>
        <v>aws s3 cp s3://rtdc.mdm.uploadarchive.raw/RTDC4013/ "%USERPROFILE%\AppData\Local\Temp\OnboardLogs"\RTDC4013\2017-06-24 --exclude "*" --recursive --include "*20170624*" &amp; "%USERPROFILE%\Documents\GitHub\mrs-test-scripts\Headless Mode &amp; Sideloading\WalkAndUnGZ.bat" "%USERPROFILE%\AppData\Local\Temp\OnboardLogs"\RTDC4013\2017-06-24 &amp; aws s3 cp s3://rtdc.mdm.uploadarchive.raw/RTDC4013/ "%USERPROFILE%\AppData\Local\Temp\OnboardLogs"\RTDC4013\2017-06-25 --exclude "*" --recursive --include "*20170625*" &amp; "%USERPROFILE%\Documents\GitHub\mrs-test-scripts\Headless Mode &amp; Sideloading\WalkAndUnGZ.bat" "%USERPROFILE%\AppData\Local\Temp\OnboardLogs"\RTDC4013\2017-06-25</v>
      </c>
      <c r="S23" s="84" t="str">
        <f>VLOOKUP(C23,'Train Runs'!$A$13:$AE$9934,22,0)</f>
        <v>https://d0f6bd738d7f1b3e5a7ca70fe4ff75f0.us-east-1.aws.found.io/app/kibana#/discover/Steve-Slow-Train-Analysis-(2080s-and-2083s)?_g=(refreshInterval:(display:Off,pause:!f,section:0,value:0),time:(from:'2017-06-24T06:40:02-0600',mode:absolute,to:'2017-06-24T09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3" s="86" t="str">
        <f t="shared" si="1"/>
        <v>"C:\Program Files (x86)\AstroGrep\AstroGrep.exe" /e /r /s /spath="%USERPROFILE%\AppData\Local\Temp\OnboardLogs" /stypes="*4013*201706241*" /stext=" 14:.+((SYSTEM_STATE.+slice.+state.+changed )|(ment ac)|(multiple cpu faults)|(system.+state.+changed )|(\[timeout)|(PRM\|1\|D)|(kpr)|(kdp)|(train st.+moving)|(\|lc)|(penalty))"</v>
      </c>
      <c r="U23" s="9" t="str">
        <f t="shared" si="2"/>
        <v>4013</v>
      </c>
      <c r="V23" s="31">
        <f t="shared" si="3"/>
        <v>42910.608553240738</v>
      </c>
      <c r="W23" s="45" t="str">
        <f t="shared" si="4"/>
        <v>EC</v>
      </c>
      <c r="X23" s="22">
        <f t="shared" si="5"/>
        <v>128</v>
      </c>
      <c r="Y23" s="96" t="str">
        <f t="shared" si="6"/>
        <v>echo {"issue":{"subject":"","project_id":79,"tracker_id":40,"status_id":1,"priority_id":2,"assigned_to_id":23,"start_date":"2017-06-24","description":"","custom_fields":[{"id":1,"name":"Subdivision","value":"EC"},{"id":4,"name":"Milepost","value":"0.0001"},{"id":17,"name":"Train ID","value":"128-24"},{"id":16,"name":"Locomotive ID","value":"4013"},{"id":130,"name":"Impact","value":""},{"id":150,"name":"Time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/c/Users/stu/AppData/Local/Temp/OnboardLogs/RTDC4013 --include="*4013*201706241*"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"%USERPROFILE%\AppData\Local\Temp\OnboardLogs"\RTDC4013\*4013*201706241* &gt;&gt; 2017-06-24-SliceDisagreementCheck.txt</v>
      </c>
      <c r="AE23" s="145" t="str">
        <f t="shared" si="9"/>
        <v>start /low /b %USERPROFILE%\Documents\GitHub\eaglep3\Utilities\DownloadLogsFromS3.py --loco 4013 --day 2017-06-24</v>
      </c>
      <c r="AF23" s="1"/>
    </row>
    <row r="24" spans="1:32" x14ac:dyDescent="0.25">
      <c r="A24" s="31">
        <v>42910.400682870371</v>
      </c>
      <c r="B24" s="30" t="s">
        <v>417</v>
      </c>
      <c r="C24" s="30" t="s">
        <v>638</v>
      </c>
      <c r="D24" s="30" t="s">
        <v>49</v>
      </c>
      <c r="E24" s="30" t="s">
        <v>181</v>
      </c>
      <c r="F24" s="42">
        <v>0</v>
      </c>
      <c r="G24" s="42">
        <v>63</v>
      </c>
      <c r="H24" s="42">
        <v>214</v>
      </c>
      <c r="I24" s="42">
        <v>139</v>
      </c>
      <c r="J24" s="30" t="s">
        <v>182</v>
      </c>
      <c r="K24" s="42">
        <v>1</v>
      </c>
      <c r="L24" s="131" t="s">
        <v>51</v>
      </c>
      <c r="M24" s="132">
        <f t="shared" si="0"/>
        <v>72.864000000000004</v>
      </c>
      <c r="N24" s="133" t="str">
        <f>VLOOKUP(C24,'Trips&amp;Operators'!$C$1:$G$99999,5,FALSE)</f>
        <v>CHANDLER KELVIN</v>
      </c>
      <c r="O24" s="203" t="s">
        <v>180</v>
      </c>
      <c r="P24" s="134"/>
      <c r="Q24" s="30"/>
      <c r="R24" s="81" t="str">
        <f>VLOOKUP(C24,'Train Runs'!$A$13:$AE$9934,31,0)</f>
        <v>aws s3 cp s3://rtdc.mdm.uploadarchive.raw/RTDC4043/ "%USERPROFILE%\AppData\Local\Temp\OnboardLogs"\RTDC4043\2017-06-24 --exclude "*" --recursive --include "*20170624*" &amp; "%USERPROFILE%\Documents\GitHub\mrs-test-scripts\Headless Mode &amp; Sideloading\WalkAndUnGZ.bat" "%USERPROFILE%\AppData\Local\Temp\OnboardLogs"\RTDC4043\2017-06-24 &amp; aws s3 cp s3://rtdc.mdm.uploadarchive.raw/RTDC4043/ "%USERPROFILE%\AppData\Local\Temp\OnboardLogs"\RTDC4043\2017-06-25 --exclude "*" --recursive --include "*20170625*" &amp; "%USERPROFILE%\Documents\GitHub\mrs-test-scripts\Headless Mode &amp; Sideloading\WalkAndUnGZ.bat" "%USERPROFILE%\AppData\Local\Temp\OnboardLogs"\RTDC4043\2017-06-25</v>
      </c>
      <c r="S24" s="84" t="str">
        <f>VLOOKUP(C24,'Train Runs'!$A$13:$AE$9934,22,0)</f>
        <v>https://d0f6bd738d7f1b3e5a7ca70fe4ff75f0.us-east-1.aws.found.io/app/kibana#/discover/Steve-Slow-Train-Analysis-(2080s-and-2083s)?_g=(refreshInterval:(display:Off,pause:!f,section:0,value:0),time:(from:'2017-06-24T07:53:58-0600',mode:absolute,to:'2017-06-24T10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4" s="86" t="str">
        <f t="shared" si="1"/>
        <v>"C:\Program Files (x86)\AstroGrep\AstroGrep.exe" /e /r /s /spath="%USERPROFILE%\AppData\Local\Temp\OnboardLogs" /stypes="*4043*201706241*" /stext=" 15:.+((SYSTEM_STATE.+slice.+state.+changed )|(ment ac)|(multiple cpu faults)|(system.+state.+changed )|(\[timeout)|(PRM\|1\|D)|(kpr)|(kdp)|(train st.+moving)|(\|lc)|(penalty))"</v>
      </c>
      <c r="U24" s="9" t="str">
        <f t="shared" si="2"/>
        <v>4043</v>
      </c>
      <c r="V24" s="31">
        <f t="shared" si="3"/>
        <v>42910.650682870371</v>
      </c>
      <c r="W24" s="45" t="str">
        <f t="shared" si="4"/>
        <v>EC</v>
      </c>
      <c r="X24" s="22">
        <f t="shared" si="5"/>
        <v>136</v>
      </c>
      <c r="Y24" s="96" t="str">
        <f t="shared" si="6"/>
        <v>echo {"issue":{"subject":"","project_id":79,"tracker_id":40,"status_id":1,"priority_id":2,"assigned_to_id":23,"start_date":"2017-06-24","description":"","custom_fields":[{"id":1,"name":"Subdivision","value":"EC"},{"id":4,"name":"Milepost","value":"0.0001"},{"id":17,"name":"Train ID","value":"136-24"},{"id":16,"name":"Locomotive ID","value":"4043"},{"id":130,"name":"Impact","value":""},{"id":150,"name":"Time of Event (Mountain Time)","value":"09:36:59"},{"id":151,"name":"Denver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/c/Users/stu/AppData/Local/Temp/OnboardLogs/RTDC4043 --include="*4043*201706241*"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"%USERPROFILE%\AppData\Local\Temp\OnboardLogs"\RTDC4043\*4043*201706241* &gt;&gt; 2017-06-24-SliceDisagreementCheck.txt</v>
      </c>
      <c r="AE24" s="145" t="str">
        <f t="shared" si="9"/>
        <v>start /low /b %USERPROFILE%\Documents\GitHub\eaglep3\Utilities\DownloadLogsFromS3.py --loco 4043 --day 2017-06-24</v>
      </c>
      <c r="AF24" s="1"/>
    </row>
    <row r="25" spans="1:32" x14ac:dyDescent="0.25">
      <c r="A25" s="31">
        <v>42910.462442129632</v>
      </c>
      <c r="B25" s="30" t="s">
        <v>365</v>
      </c>
      <c r="C25" s="30" t="s">
        <v>640</v>
      </c>
      <c r="D25" s="30" t="s">
        <v>49</v>
      </c>
      <c r="E25" s="30" t="s">
        <v>181</v>
      </c>
      <c r="F25" s="42">
        <v>0</v>
      </c>
      <c r="G25" s="42">
        <v>49</v>
      </c>
      <c r="H25" s="42">
        <v>176</v>
      </c>
      <c r="I25" s="42">
        <v>130</v>
      </c>
      <c r="J25" s="30" t="s">
        <v>182</v>
      </c>
      <c r="K25" s="42">
        <v>1</v>
      </c>
      <c r="L25" s="131" t="s">
        <v>51</v>
      </c>
      <c r="M25" s="132">
        <f t="shared" si="0"/>
        <v>68.111999999999995</v>
      </c>
      <c r="N25" s="133" t="str">
        <f>VLOOKUP(C25,'Trips&amp;Operators'!$C$1:$G$99999,5,FALSE)</f>
        <v>DAVIS WENDY</v>
      </c>
      <c r="O25" s="203" t="s">
        <v>180</v>
      </c>
      <c r="P25" s="134"/>
      <c r="Q25" s="30"/>
      <c r="R25" s="81" t="str">
        <f>VLOOKUP(C25,'Train Runs'!$A$13:$AE$9934,31,0)</f>
        <v>aws s3 cp s3://rtdc.mdm.uploadarchive.raw/RTDC4021/ "%USERPROFILE%\AppData\Local\Temp\OnboardLogs"\RTDC4021\2017-06-24 --exclude "*" --recursive --include "*20170624*" &amp; "%USERPROFILE%\Documents\GitHub\mrs-test-scripts\Headless Mode &amp; Sideloading\WalkAndUnGZ.bat" "%USERPROFILE%\AppData\Local\Temp\OnboardLogs"\RTDC4021\2017-06-24 &amp; aws s3 cp s3://rtdc.mdm.uploadarchive.raw/RTDC4021/ "%USERPROFILE%\AppData\Local\Temp\OnboardLogs"\RTDC4021\2017-06-25 --exclude "*" --recursive --include "*20170625*" &amp; "%USERPROFILE%\Documents\GitHub\mrs-test-scripts\Headless Mode &amp; Sideloading\WalkAndUnGZ.bat" "%USERPROFILE%\AppData\Local\Temp\OnboardLogs"\RTDC4021\2017-06-25</v>
      </c>
      <c r="S25" s="84" t="str">
        <f>VLOOKUP(C25,'Train Runs'!$A$13:$AE$9934,22,0)</f>
        <v>https://d0f6bd738d7f1b3e5a7ca70fe4ff75f0.us-east-1.aws.found.io/app/kibana#/discover/Steve-Slow-Train-Analysis-(2080s-and-2083s)?_g=(refreshInterval:(display:Off,pause:!f,section:0,value:0),time:(from:'2017-06-24T09:22:19-0600',mode:absolute,to:'2017-06-24T12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5" s="86" t="str">
        <f t="shared" si="1"/>
        <v>"C:\Program Files (x86)\AstroGrep\AstroGrep.exe" /e /r /s /spath="%USERPROFILE%\AppData\Local\Temp\OnboardLogs" /stypes="*4021*201706241*" /stext=" 17:.+((SYSTEM_STATE.+slice.+state.+changed )|(ment ac)|(multiple cpu faults)|(system.+state.+changed )|(\[timeout)|(PRM\|1\|D)|(kpr)|(kdp)|(train st.+moving)|(\|lc)|(penalty))"</v>
      </c>
      <c r="U25" s="9" t="str">
        <f t="shared" si="2"/>
        <v>4021</v>
      </c>
      <c r="V25" s="31">
        <f t="shared" si="3"/>
        <v>42910.712442129632</v>
      </c>
      <c r="W25" s="45" t="str">
        <f t="shared" si="4"/>
        <v>EC</v>
      </c>
      <c r="X25" s="22">
        <f t="shared" si="5"/>
        <v>148</v>
      </c>
      <c r="Y25" s="96" t="str">
        <f t="shared" si="6"/>
        <v>echo {"issue":{"subject":"","project_id":79,"tracker_id":40,"status_id":1,"priority_id":2,"assigned_to_id":23,"start_date":"2017-06-24","description":"","custom_fields":[{"id":1,"name":"Subdivision","value":"EC"},{"id":4,"name":"Milepost","value":"0.0001"},{"id":17,"name":"Train ID","value":"148-24"},{"id":16,"name":"Locomotive ID","value":"4021"},{"id":130,"name":"Impact","value":""},{"id":150,"name":"Time of Event (Mountain Time)","value":"11:05:55"},{"id":151,"name":"Denver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/c/Users/stu/AppData/Local/Temp/OnboardLogs/RTDC4021 --include="*4021*201706241*"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"%USERPROFILE%\AppData\Local\Temp\OnboardLogs"\RTDC4021\*4021*201706241* &gt;&gt; 2017-06-24-SliceDisagreementCheck.txt</v>
      </c>
      <c r="AE25" s="145" t="str">
        <f t="shared" si="9"/>
        <v>start /low /b %USERPROFILE%\Documents\GitHub\eaglep3\Utilities\DownloadLogsFromS3.py --loco 4021 --day 2017-06-24</v>
      </c>
      <c r="AF25" s="1"/>
    </row>
    <row r="26" spans="1:32" x14ac:dyDescent="0.25">
      <c r="A26" s="31">
        <v>42910.514560185184</v>
      </c>
      <c r="B26" s="30" t="s">
        <v>549</v>
      </c>
      <c r="C26" s="30" t="s">
        <v>642</v>
      </c>
      <c r="D26" s="30" t="s">
        <v>49</v>
      </c>
      <c r="E26" s="30" t="s">
        <v>181</v>
      </c>
      <c r="F26" s="42">
        <v>0</v>
      </c>
      <c r="G26" s="42">
        <v>66</v>
      </c>
      <c r="H26" s="42">
        <v>187</v>
      </c>
      <c r="I26" s="42">
        <v>125</v>
      </c>
      <c r="J26" s="30" t="s">
        <v>182</v>
      </c>
      <c r="K26" s="42">
        <v>1</v>
      </c>
      <c r="L26" s="131" t="s">
        <v>51</v>
      </c>
      <c r="M26" s="132">
        <f t="shared" si="0"/>
        <v>65.471999999999994</v>
      </c>
      <c r="N26" s="133" t="str">
        <f>VLOOKUP(C26,'Trips&amp;Operators'!$C$1:$G$99999,5,FALSE)</f>
        <v>BROWN JACOB</v>
      </c>
      <c r="O26" s="203" t="s">
        <v>180</v>
      </c>
      <c r="P26" s="134"/>
      <c r="Q26" s="30"/>
      <c r="R26" s="81" t="str">
        <f>VLOOKUP(C26,'Train Runs'!$A$13:$AE$9934,31,0)</f>
        <v>aws s3 cp s3://rtdc.mdm.uploadarchive.raw/RTDC4041/ "%USERPROFILE%\AppData\Local\Temp\OnboardLogs"\RTDC4041\2017-06-24 --exclude "*" --recursive --include "*20170624*" &amp; "%USERPROFILE%\Documents\GitHub\mrs-test-scripts\Headless Mode &amp; Sideloading\WalkAndUnGZ.bat" "%USERPROFILE%\AppData\Local\Temp\OnboardLogs"\RTDC4041\2017-06-24 &amp; aws s3 cp s3://rtdc.mdm.uploadarchive.raw/RTDC4041/ "%USERPROFILE%\AppData\Local\Temp\OnboardLogs"\RTDC4041\2017-06-25 --exclude "*" --recursive --include "*20170625*" &amp; "%USERPROFILE%\Documents\GitHub\mrs-test-scripts\Headless Mode &amp; Sideloading\WalkAndUnGZ.bat" "%USERPROFILE%\AppData\Local\Temp\OnboardLogs"\RTDC4041\2017-06-25</v>
      </c>
      <c r="S26" s="84" t="str">
        <f>VLOOKUP(C26,'Train Runs'!$A$13:$AE$9934,22,0)</f>
        <v>https://d0f6bd738d7f1b3e5a7ca70fe4ff75f0.us-east-1.aws.found.io/app/kibana#/discover/Steve-Slow-Train-Analysis-(2080s-and-2083s)?_g=(refreshInterval:(display:Off,pause:!f,section:0,value:0),time:(from:'2017-06-24T10:28:48-0600',mode:absolute,to:'2017-06-24T13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6" s="86" t="str">
        <f t="shared" si="1"/>
        <v>"C:\Program Files (x86)\AstroGrep\AstroGrep.exe" /e /r /s /spath="%USERPROFILE%\AppData\Local\Temp\OnboardLogs" /stypes="*4041*201706241*" /stext=" 18:.+((SYSTEM_STATE.+slice.+state.+changed )|(ment ac)|(multiple cpu faults)|(system.+state.+changed )|(\[timeout)|(PRM\|1\|D)|(kpr)|(kdp)|(train st.+moving)|(\|lc)|(penalty))"</v>
      </c>
      <c r="U26" s="9" t="str">
        <f t="shared" si="2"/>
        <v>4041</v>
      </c>
      <c r="V26" s="31">
        <f t="shared" si="3"/>
        <v>42910.764560185184</v>
      </c>
      <c r="W26" s="45" t="str">
        <f t="shared" si="4"/>
        <v>EC</v>
      </c>
      <c r="X26" s="22">
        <f t="shared" si="5"/>
        <v>158</v>
      </c>
      <c r="Y26" s="96" t="str">
        <f t="shared" si="6"/>
        <v>echo {"issue":{"subject":"","project_id":79,"tracker_id":40,"status_id":1,"priority_id":2,"assigned_to_id":23,"start_date":"2017-06-24","description":"","custom_fields":[{"id":1,"name":"Subdivision","value":"EC"},{"id":4,"name":"Milepost","value":"0.0001"},{"id":17,"name":"Train ID","value":"158-24"},{"id":16,"name":"Locomotive ID","value":"4041"},{"id":130,"name":"Impact","value":""},{"id":150,"name":"Time of Event (Mountain Time)","value":"12:20:58"},{"id":151,"name":"Denver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/c/Users/stu/AppData/Local/Temp/OnboardLogs/RTDC4041 --include="*4041*201706241*"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"%USERPROFILE%\AppData\Local\Temp\OnboardLogs"\RTDC4041\*4041*201706241* &gt;&gt; 2017-06-24-SliceDisagreementCheck.txt</v>
      </c>
      <c r="AE26" s="145" t="str">
        <f t="shared" si="9"/>
        <v>start /low /b %USERPROFILE%\Documents\GitHub\eaglep3\Utilities\DownloadLogsFromS3.py --loco 4041 --day 2017-06-24</v>
      </c>
      <c r="AF26" s="1"/>
    </row>
    <row r="27" spans="1:32" x14ac:dyDescent="0.25">
      <c r="A27" s="31">
        <v>42910.599016203705</v>
      </c>
      <c r="B27" s="30" t="s">
        <v>646</v>
      </c>
      <c r="C27" s="30" t="s">
        <v>647</v>
      </c>
      <c r="D27" s="30" t="s">
        <v>49</v>
      </c>
      <c r="E27" s="30" t="s">
        <v>181</v>
      </c>
      <c r="F27" s="42">
        <v>0</v>
      </c>
      <c r="G27" s="42">
        <v>38</v>
      </c>
      <c r="H27" s="42">
        <v>141</v>
      </c>
      <c r="I27" s="42">
        <v>107</v>
      </c>
      <c r="J27" s="30" t="s">
        <v>182</v>
      </c>
      <c r="K27" s="42">
        <v>1</v>
      </c>
      <c r="L27" s="131" t="s">
        <v>51</v>
      </c>
      <c r="M27" s="132">
        <f t="shared" si="0"/>
        <v>55.968000000000004</v>
      </c>
      <c r="N27" s="133" t="str">
        <f>VLOOKUP(C27,'Trips&amp;Operators'!$C$1:$G$99999,5,FALSE)</f>
        <v>HART KEVIN</v>
      </c>
      <c r="O27" s="203" t="s">
        <v>180</v>
      </c>
      <c r="P27" s="134"/>
      <c r="Q27" s="30"/>
      <c r="R27" s="81" t="str">
        <f>VLOOKUP(C27,'Train Runs'!$A$13:$AE$9934,31,0)</f>
        <v>aws s3 cp s3://rtdc.mdm.uploadarchive.raw/RTDC4015/ "%USERPROFILE%\AppData\Local\Temp\OnboardLogs"\RTDC4015\2017-06-24 --exclude "*" --recursive --include "*20170624*" &amp; "%USERPROFILE%\Documents\GitHub\mrs-test-scripts\Headless Mode &amp; Sideloading\WalkAndUnGZ.bat" "%USERPROFILE%\AppData\Local\Temp\OnboardLogs"\RTDC4015\2017-06-24 &amp; aws s3 cp s3://rtdc.mdm.uploadarchive.raw/RTDC4015/ "%USERPROFILE%\AppData\Local\Temp\OnboardLogs"\RTDC4015\2017-06-25 --exclude "*" --recursive --include "*20170625*" &amp; "%USERPROFILE%\Documents\GitHub\mrs-test-scripts\Headless Mode &amp; Sideloading\WalkAndUnGZ.bat" "%USERPROFILE%\AppData\Local\Temp\OnboardLogs"\RTDC4015\2017-06-25</v>
      </c>
      <c r="S27" s="84" t="str">
        <f>VLOOKUP(C27,'Train Runs'!$A$13:$AE$9934,22,0)</f>
        <v>https://d0f6bd738d7f1b3e5a7ca70fe4ff75f0.us-east-1.aws.found.io/app/kibana#/discover/Steve-Slow-Train-Analysis-(2080s-and-2083s)?_g=(refreshInterval:(display:Off,pause:!f,section:0,value:0),time:(from:'2017-06-24T12:38:26-0600',mode:absolute,to:'2017-06-24T15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86" t="str">
        <f t="shared" si="1"/>
        <v>"C:\Program Files (x86)\AstroGrep\AstroGrep.exe" /e /r /s /spath="%USERPROFILE%\AppData\Local\Temp\OnboardLogs" /stypes="*4015*201706242*" /stext=" 20:.+((SYSTEM_STATE.+slice.+state.+changed )|(ment ac)|(multiple cpu faults)|(system.+state.+changed )|(\[timeout)|(PRM\|1\|D)|(kpr)|(kdp)|(train st.+moving)|(\|lc)|(penalty))"</v>
      </c>
      <c r="U27" s="9" t="str">
        <f t="shared" si="2"/>
        <v>4015</v>
      </c>
      <c r="V27" s="31">
        <f t="shared" si="3"/>
        <v>42910.849016203705</v>
      </c>
      <c r="W27" s="45" t="str">
        <f t="shared" si="4"/>
        <v>EC</v>
      </c>
      <c r="X27" s="22">
        <f t="shared" si="5"/>
        <v>174</v>
      </c>
      <c r="Y27" s="96" t="str">
        <f t="shared" si="6"/>
        <v>echo {"issue":{"subject":"","project_id":79,"tracker_id":40,"status_id":1,"priority_id":2,"assigned_to_id":23,"start_date":"2017-06-24","description":"","custom_fields":[{"id":1,"name":"Subdivision","value":"EC"},{"id":4,"name":"Milepost","value":"0.0001"},{"id":17,"name":"Train ID","value":"174-24"},{"id":16,"name":"Locomotive ID","value":"4015"},{"id":130,"name":"Impact","value":""},{"id":150,"name":"Time of Event (Mountain Time)","value":"14:22:35"},{"id":151,"name":"Denver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/c/Users/stu/AppData/Local/Temp/OnboardLogs/RTDC4015 --include="*4015*201706242*"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"%USERPROFILE%\AppData\Local\Temp\OnboardLogs"\RTDC4015\*4015*201706242* &gt;&gt; 2017-06-24-SliceDisagreementCheck.txt</v>
      </c>
      <c r="AE27" s="145" t="str">
        <f t="shared" si="9"/>
        <v>start /low /b %USERPROFILE%\Documents\GitHub\eaglep3\Utilities\DownloadLogsFromS3.py --loco 4015 --day 2017-06-24</v>
      </c>
      <c r="AF27" s="1"/>
    </row>
    <row r="28" spans="1:32" x14ac:dyDescent="0.25">
      <c r="A28" s="31">
        <v>42910.743136574078</v>
      </c>
      <c r="B28" s="30" t="s">
        <v>646</v>
      </c>
      <c r="C28" s="30" t="s">
        <v>652</v>
      </c>
      <c r="D28" s="30" t="s">
        <v>49</v>
      </c>
      <c r="E28" s="30" t="s">
        <v>181</v>
      </c>
      <c r="F28" s="42">
        <v>0</v>
      </c>
      <c r="G28" s="42">
        <v>38</v>
      </c>
      <c r="H28" s="42">
        <v>141</v>
      </c>
      <c r="I28" s="42">
        <v>110</v>
      </c>
      <c r="J28" s="30" t="s">
        <v>182</v>
      </c>
      <c r="K28" s="42">
        <v>1</v>
      </c>
      <c r="L28" s="131" t="s">
        <v>51</v>
      </c>
      <c r="M28" s="132">
        <f t="shared" si="0"/>
        <v>57.552</v>
      </c>
      <c r="N28" s="133" t="str">
        <f>VLOOKUP(C28,'Trips&amp;Operators'!$C$1:$G$99999,5,FALSE)</f>
        <v>HART KEVIN</v>
      </c>
      <c r="O28" s="203" t="s">
        <v>180</v>
      </c>
      <c r="P28" s="134"/>
      <c r="Q28" s="30"/>
      <c r="R28" s="81" t="str">
        <f>VLOOKUP(C28,'Train Runs'!$A$13:$AE$9934,31,0)</f>
        <v>aws s3 cp s3://rtdc.mdm.uploadarchive.raw/RTDC4015/ "%USERPROFILE%\AppData\Local\Temp\OnboardLogs"\RTDC4015\2017-06-24 --exclude "*" --recursive --include "*20170624*" &amp; "%USERPROFILE%\Documents\GitHub\mrs-test-scripts\Headless Mode &amp; Sideloading\WalkAndUnGZ.bat" "%USERPROFILE%\AppData\Local\Temp\OnboardLogs"\RTDC4015\2017-06-24 &amp; aws s3 cp s3://rtdc.mdm.uploadarchive.raw/RTDC4015/ "%USERPROFILE%\AppData\Local\Temp\OnboardLogs"\RTDC4015\2017-06-25 --exclude "*" --recursive --include "*20170625*" &amp; "%USERPROFILE%\Documents\GitHub\mrs-test-scripts\Headless Mode &amp; Sideloading\WalkAndUnGZ.bat" "%USERPROFILE%\AppData\Local\Temp\OnboardLogs"\RTDC4015\2017-06-25</v>
      </c>
      <c r="S28" s="84" t="str">
        <f>VLOOKUP(C28,'Train Runs'!$A$13:$AE$9934,22,0)</f>
        <v>https://d0f6bd738d7f1b3e5a7ca70fe4ff75f0.us-east-1.aws.found.io/app/kibana#/discover/Steve-Slow-Train-Analysis-(2080s-and-2083s)?_g=(refreshInterval:(display:Off,pause:!f,section:0,value:0),time:(from:'2017-06-24T16:08:51-0600',mode:absolute,to:'2017-06-24T18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8" s="86" t="str">
        <f t="shared" si="1"/>
        <v>"C:\Program Files (x86)\AstroGrep\AstroGrep.exe" /e /r /s /spath="%USERPROFILE%\AppData\Local\Temp\OnboardLogs" /stypes="*4015*201706242*" /stext=" 23:.+((SYSTEM_STATE.+slice.+state.+changed )|(ment ac)|(multiple cpu faults)|(system.+state.+changed )|(\[timeout)|(PRM\|1\|D)|(kpr)|(kdp)|(train st.+moving)|(\|lc)|(penalty))"</v>
      </c>
      <c r="U28" s="9" t="str">
        <f t="shared" si="2"/>
        <v>4015</v>
      </c>
      <c r="V28" s="31">
        <f t="shared" si="3"/>
        <v>42910.993136574078</v>
      </c>
      <c r="W28" s="45" t="str">
        <f t="shared" si="4"/>
        <v>EC</v>
      </c>
      <c r="X28" s="22">
        <f t="shared" si="5"/>
        <v>202</v>
      </c>
      <c r="Y28" s="96" t="str">
        <f t="shared" si="6"/>
        <v>echo {"issue":{"subject":"","project_id":79,"tracker_id":40,"status_id":1,"priority_id":2,"assigned_to_id":23,"start_date":"2017-06-24","description":"","custom_fields":[{"id":1,"name":"Subdivision","value":"EC"},{"id":4,"name":"Milepost","value":"0.0001"},{"id":17,"name":"Train ID","value":"202-24"},{"id":16,"name":"Locomotive ID","value":"4015"},{"id":130,"name":"Impact","value":""},{"id":150,"name":"Time of Event (Mountain Time)","value":"17:50:07"},{"id":151,"name":"Denver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/c/Users/stu/AppData/Local/Temp/OnboardLogs/RTDC4015 --include="*4015*201706242*"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"%USERPROFILE%\AppData\Local\Temp\OnboardLogs"\RTDC4015\*4015*201706242* &gt;&gt; 2017-06-24-SliceDisagreementCheck.txt</v>
      </c>
      <c r="AE28" s="145" t="str">
        <f t="shared" si="9"/>
        <v>start /low /b %USERPROFILE%\Documents\GitHub\eaglep3\Utilities\DownloadLogsFromS3.py --loco 4015 --day 2017-06-24</v>
      </c>
      <c r="AF28" s="1"/>
    </row>
    <row r="29" spans="1:32" x14ac:dyDescent="0.25">
      <c r="A29" s="31">
        <v>42910.546550925923</v>
      </c>
      <c r="B29" s="30" t="s">
        <v>357</v>
      </c>
      <c r="C29" s="30" t="s">
        <v>643</v>
      </c>
      <c r="D29" s="30" t="s">
        <v>49</v>
      </c>
      <c r="E29" s="30" t="s">
        <v>181</v>
      </c>
      <c r="F29" s="42">
        <v>0</v>
      </c>
      <c r="G29" s="42">
        <v>88</v>
      </c>
      <c r="H29" s="42">
        <v>233176</v>
      </c>
      <c r="I29" s="42">
        <v>233272</v>
      </c>
      <c r="J29" s="30" t="s">
        <v>182</v>
      </c>
      <c r="K29" s="42">
        <v>233491</v>
      </c>
      <c r="L29" s="131" t="s">
        <v>50</v>
      </c>
      <c r="M29" s="132">
        <f t="shared" si="0"/>
        <v>115.63200000000001</v>
      </c>
      <c r="N29" s="133" t="str">
        <f>VLOOKUP(C29,'Trips&amp;Operators'!$C$1:$G$99999,5,FALSE)</f>
        <v>BROWN JACOB</v>
      </c>
      <c r="O29" s="203" t="s">
        <v>180</v>
      </c>
      <c r="P29" s="134"/>
      <c r="Q29" s="30"/>
      <c r="R29" s="81" t="str">
        <f>VLOOKUP(C29,'Train Runs'!$A$13:$AE$9934,31,0)</f>
        <v>aws s3 cp s3://rtdc.mdm.uploadarchive.raw/RTDC4042/ "%USERPROFILE%\AppData\Local\Temp\OnboardLogs"\RTDC4042\2017-06-24 --exclude "*" --recursive --include "*20170624*" &amp; "%USERPROFILE%\Documents\GitHub\mrs-test-scripts\Headless Mode &amp; Sideloading\WalkAndUnGZ.bat" "%USERPROFILE%\AppData\Local\Temp\OnboardLogs"\RTDC4042\2017-06-24 &amp; aws s3 cp s3://rtdc.mdm.uploadarchive.raw/RTDC4042/ "%USERPROFILE%\AppData\Local\Temp\OnboardLogs"\RTDC4042\2017-06-25 --exclude "*" --recursive --include "*20170625*" &amp; "%USERPROFILE%\Documents\GitHub\mrs-test-scripts\Headless Mode &amp; Sideloading\WalkAndUnGZ.bat" "%USERPROFILE%\AppData\Local\Temp\OnboardLogs"\RTDC4042\2017-06-25</v>
      </c>
      <c r="S29" s="84" t="str">
        <f>VLOOKUP(C29,'Train Runs'!$A$13:$AE$9934,22,0)</f>
        <v>https://d0f6bd738d7f1b3e5a7ca70fe4ff75f0.us-east-1.aws.found.io/app/kibana#/discover/Steve-Slow-Train-Analysis-(2080s-and-2083s)?_g=(refreshInterval:(display:Off,pause:!f,section:0,value:0),time:(from:'2017-06-24T11:24:12-0600',mode:absolute,to:'2017-06-24T14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9" s="86" t="str">
        <f t="shared" si="1"/>
        <v>"C:\Program Files (x86)\AstroGrep\AstroGrep.exe" /e /r /s /spath="%USERPROFILE%\AppData\Local\Temp\OnboardLogs" /stypes="*4042*201706241*" /stext=" 19:.+((SYSTEM_STATE.+slice.+state.+changed )|(ment ac)|(multiple cpu faults)|(system.+state.+changed )|(\[timeout)|(PRM\|1\|D)|(kpr)|(kdp)|(train st.+moving)|(\|lc)|(penalty))"</v>
      </c>
      <c r="U29" s="9" t="str">
        <f t="shared" si="2"/>
        <v>4042</v>
      </c>
      <c r="V29" s="31">
        <f t="shared" si="3"/>
        <v>42910.796550925923</v>
      </c>
      <c r="W29" s="45" t="str">
        <f t="shared" si="4"/>
        <v>EC</v>
      </c>
      <c r="X29" s="22">
        <f t="shared" si="5"/>
        <v>171</v>
      </c>
      <c r="Y29" s="96" t="str">
        <f t="shared" si="6"/>
        <v>echo {"issue":{"subject":"","project_id":79,"tracker_id":40,"status_id":1,"priority_id":2,"assigned_to_id":23,"start_date":"2017-06-24","description":"","custom_fields":[{"id":1,"name":"Subdivision","value":"EC"},{"id":4,"name":"Milepost","value":"23.3491"},{"id":17,"name":"Train ID","value":"171-24"},{"id":16,"name":"Locomotive ID","value":"4042"},{"id":130,"name":"Impact","value":""},{"id":150,"name":"Time of Event (Mountain Time)","value":"13:07:02"},{"id":151,"name":"Denver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/c/Users/stu/AppData/Local/Temp/OnboardLogs/RTDC4042 --include="*4042*201706241*"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"%USERPROFILE%\AppData\Local\Temp\OnboardLogs"\RTDC4042\*4042*201706241* &gt;&gt; 2017-06-24-SliceDisagreementCheck.txt</v>
      </c>
      <c r="AE29" s="145" t="str">
        <f t="shared" si="9"/>
        <v>start /low /b %USERPROFILE%\Documents\GitHub\eaglep3\Utilities\DownloadLogsFromS3.py --loco 4042 --day 2017-06-24</v>
      </c>
      <c r="AF29" s="1"/>
    </row>
    <row r="30" spans="1:32" x14ac:dyDescent="0.25">
      <c r="A30" s="31">
        <v>42910.600648148145</v>
      </c>
      <c r="B30" s="30" t="s">
        <v>497</v>
      </c>
      <c r="C30" s="30" t="s">
        <v>648</v>
      </c>
      <c r="D30" s="30" t="s">
        <v>49</v>
      </c>
      <c r="E30" s="30" t="s">
        <v>187</v>
      </c>
      <c r="F30" s="42">
        <v>0</v>
      </c>
      <c r="G30" s="42">
        <v>167</v>
      </c>
      <c r="H30" s="42">
        <v>10648</v>
      </c>
      <c r="I30" s="42">
        <v>11033</v>
      </c>
      <c r="J30" s="30" t="s">
        <v>188</v>
      </c>
      <c r="K30" s="42">
        <v>10714</v>
      </c>
      <c r="L30" s="131" t="s">
        <v>50</v>
      </c>
      <c r="M30" s="132">
        <f t="shared" si="0"/>
        <v>-168.43199999999999</v>
      </c>
      <c r="N30" s="133" t="str">
        <f>VLOOKUP(C30,'Trips&amp;Operators'!$C$1:$G$99999,5,FALSE)</f>
        <v>MCREYNOLDS KYLE</v>
      </c>
      <c r="O30" s="203" t="s">
        <v>180</v>
      </c>
      <c r="P30" s="134" t="s">
        <v>548</v>
      </c>
      <c r="Q30" s="30"/>
      <c r="R30" s="81" t="str">
        <f>VLOOKUP(C30,'Train Runs'!$A$13:$AE$9934,31,0)</f>
        <v>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 &amp; 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</v>
      </c>
      <c r="S30" s="84" t="str">
        <f>VLOOKUP(C30,'Train Runs'!$A$13:$AE$9934,22,0)</f>
        <v>https://d0f6bd738d7f1b3e5a7ca70fe4ff75f0.us-east-1.aws.found.io/app/kibana#/discover/Steve-Slow-Train-Analysis-(2080s-and-2083s)?_g=(refreshInterval:(display:Off,pause:!f,section:0,value:0),time:(from:'2017-06-24T12:58:33-0600',mode:absolute,to:'2017-06-24T15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0" s="86" t="str">
        <f t="shared" si="1"/>
        <v>"C:\Program Files (x86)\AstroGrep\AstroGrep.exe" /e /r /s /spath="%USERPROFILE%\AppData\Local\Temp\OnboardLogs" /stypes="*4018*201706242*" /stext=" 20:.+((SYSTEM_STATE.+slice.+state.+changed )|(ment ac)|(multiple cpu faults)|(system.+state.+changed )|(\[timeout)|(PRM\|1\|D)|(kpr)|(kdp)|(train st.+moving)|(\|lc)|(penalty))"</v>
      </c>
      <c r="U30" s="9" t="str">
        <f t="shared" si="2"/>
        <v>4018</v>
      </c>
      <c r="V30" s="31">
        <f t="shared" si="3"/>
        <v>42910.850648148145</v>
      </c>
      <c r="W30" s="45" t="str">
        <f t="shared" si="4"/>
        <v>NW</v>
      </c>
      <c r="X30" s="22">
        <f t="shared" si="5"/>
        <v>1817</v>
      </c>
      <c r="Y30" s="96" t="str">
        <f t="shared" si="6"/>
        <v>echo {"issue":{"subject":"Early arrival","project_id":79,"tracker_id":40,"status_id":1,"priority_id":2,"assigned_to_id":23,"start_date":"2017-06-24","description":"","custom_fields":[{"id":1,"name":"Subdivision","value":"NW"},{"id":4,"name":"Milepost","value":"1.0714"},{"id":17,"name":"Train ID","value":"1817-24"},{"id":16,"name":"Locomotive ID","value":"4018"},{"id":130,"name":"Impact","value":""},{"id":150,"name":"Time of Event (Mountain Time)","value":"14:24:56"},{"id":151,"name":"Denver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/c/Users/stu/AppData/Local/Temp/OnboardLogs/RTDC4018 --include="*4018*201706242*"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"%USERPROFILE%\AppData\Local\Temp\OnboardLogs"\RTDC4018\*4018*201706242* &gt;&gt; 2017-06-24-SliceDisagreementCheck.txt</v>
      </c>
      <c r="AE30" s="145" t="str">
        <f t="shared" si="9"/>
        <v>start /low /b %USERPROFILE%\Documents\GitHub\eaglep3\Utilities\DownloadLogsFromS3.py --loco 4018 --day 2017-06-24</v>
      </c>
      <c r="AF30" s="1"/>
    </row>
    <row r="31" spans="1:32" x14ac:dyDescent="0.25">
      <c r="A31" s="31">
        <v>42910.325601851851</v>
      </c>
      <c r="B31" s="30" t="s">
        <v>502</v>
      </c>
      <c r="C31" s="30" t="s">
        <v>633</v>
      </c>
      <c r="D31" s="30" t="s">
        <v>49</v>
      </c>
      <c r="E31" s="30" t="s">
        <v>200</v>
      </c>
      <c r="F31" s="42">
        <v>300</v>
      </c>
      <c r="G31" s="42">
        <v>390</v>
      </c>
      <c r="H31" s="42">
        <v>23983</v>
      </c>
      <c r="I31" s="42">
        <v>23065</v>
      </c>
      <c r="J31" s="30" t="s">
        <v>201</v>
      </c>
      <c r="K31" s="42">
        <v>23561</v>
      </c>
      <c r="L31" s="131" t="s">
        <v>51</v>
      </c>
      <c r="M31" s="132">
        <f t="shared" si="0"/>
        <v>-261.88799999999998</v>
      </c>
      <c r="N31" s="133" t="str">
        <f>VLOOKUP(C31,'Trips&amp;Operators'!$C$1:$G$99999,5,FALSE)</f>
        <v>MACDONALD THOMAS</v>
      </c>
      <c r="O31" s="203" t="s">
        <v>180</v>
      </c>
      <c r="P31" s="134"/>
      <c r="Q31" s="30"/>
      <c r="R31" s="81" t="str">
        <f>VLOOKUP(C31,'Train Runs'!$A$13:$AE$9934,31,0)</f>
        <v>aws s3 cp s3://rtdc.mdm.uploadarchive.raw/RTDC4025/ "%USERPROFILE%\AppData\Local\Temp\OnboardLogs"\RTDC4025\2017-06-24 --exclude "*" --recursive --include "*20170624*" &amp; "%USERPROFILE%\Documents\GitHub\mrs-test-scripts\Headless Mode &amp; Sideloading\WalkAndUnGZ.bat" "%USERPROFILE%\AppData\Local\Temp\OnboardLogs"\RTDC4025\2017-06-24 &amp; 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</v>
      </c>
      <c r="S31" s="84" t="str">
        <f>VLOOKUP(C31,'Train Runs'!$A$13:$AE$9934,22,0)</f>
        <v>https://d0f6bd738d7f1b3e5a7ca70fe4ff75f0.us-east-1.aws.found.io/app/kibana#/discover/Steve-Slow-Train-Analysis-(2080s-and-2083s)?_g=(refreshInterval:(display:Off,pause:!f,section:0,value:0),time:(from:'2017-06-24T06:36:10-0600',mode:absolute,to:'2017-06-24T08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1" s="86" t="str">
        <f t="shared" si="1"/>
        <v>"C:\Program Files (x86)\AstroGrep\AstroGrep.exe" /e /r /s /spath="%USERPROFILE%\AppData\Local\Temp\OnboardLogs" /stypes="*4025*201706241*" /stext=" 13:.+((SYSTEM_STATE.+slice.+state.+changed )|(ment ac)|(multiple cpu faults)|(system.+state.+changed )|(\[timeout)|(PRM\|1\|D)|(kpr)|(kdp)|(train st.+moving)|(\|lc)|(penalty))"</v>
      </c>
      <c r="U31" s="9" t="str">
        <f t="shared" si="2"/>
        <v>4025</v>
      </c>
      <c r="V31" s="31">
        <f t="shared" si="3"/>
        <v>42910.575601851851</v>
      </c>
      <c r="W31" s="45" t="str">
        <f t="shared" si="4"/>
        <v>NW</v>
      </c>
      <c r="X31" s="22">
        <f t="shared" si="5"/>
        <v>1804</v>
      </c>
      <c r="Y31" s="96" t="str">
        <f t="shared" si="6"/>
        <v>echo {"issue":{"subject":"","project_id":79,"tracker_id":40,"status_id":1,"priority_id":2,"assigned_to_id":23,"start_date":"2017-06-24","description":"","custom_fields":[{"id":1,"name":"Subdivision","value":"NW"},{"id":4,"name":"Milepost","value":"2.3561"},{"id":17,"name":"Train ID","value":"1804-24"},{"id":16,"name":"Locomotive ID","value":"4025"},{"id":130,"name":"Impact","value":""},{"id":150,"name":"Time of Event (Mountain Time)","value":"07:48:52"},{"id":151,"name":"Denver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/c/Users/stu/AppData/Local/Temp/OnboardLogs/RTDC4025 --include="*4025*201706241*"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"%USERPROFILE%\AppData\Local\Temp\OnboardLogs"\RTDC4025\*4025*201706241* &gt;&gt; 2017-06-24-SliceDisagreementCheck.txt</v>
      </c>
      <c r="AE31" s="145" t="str">
        <f t="shared" si="9"/>
        <v>start /low /b %USERPROFILE%\Documents\GitHub\eaglep3\Utilities\DownloadLogsFromS3.py --loco 4025 --day 2017-06-24</v>
      </c>
      <c r="AF31" s="1"/>
    </row>
    <row r="32" spans="1:32" s="20" customFormat="1" x14ac:dyDescent="0.25">
      <c r="A32" s="31">
        <v>42910.408807870372</v>
      </c>
      <c r="B32" s="30" t="s">
        <v>502</v>
      </c>
      <c r="C32" s="30" t="s">
        <v>639</v>
      </c>
      <c r="D32" s="30" t="s">
        <v>49</v>
      </c>
      <c r="E32" s="30" t="s">
        <v>200</v>
      </c>
      <c r="F32" s="42">
        <v>300</v>
      </c>
      <c r="G32" s="42">
        <v>371</v>
      </c>
      <c r="H32" s="42">
        <v>24457</v>
      </c>
      <c r="I32" s="42">
        <v>23438</v>
      </c>
      <c r="J32" s="30" t="s">
        <v>201</v>
      </c>
      <c r="K32" s="42">
        <v>23561</v>
      </c>
      <c r="L32" s="131" t="s">
        <v>51</v>
      </c>
      <c r="M32" s="132">
        <f t="shared" si="0"/>
        <v>-64.944000000000003</v>
      </c>
      <c r="N32" s="133" t="str">
        <f>VLOOKUP(C32,'Trips&amp;Operators'!$C$1:$G$99999,5,FALSE)</f>
        <v>MACDONALD THOMAS</v>
      </c>
      <c r="O32" s="203" t="s">
        <v>180</v>
      </c>
      <c r="P32" s="134"/>
      <c r="Q32" s="30"/>
      <c r="R32" s="81" t="str">
        <f>VLOOKUP(C32,'Train Runs'!$A$13:$AE$9934,31,0)</f>
        <v>aws s3 cp s3://rtdc.mdm.uploadarchive.raw/RTDC4025/ "%USERPROFILE%\AppData\Local\Temp\OnboardLogs"\RTDC4025\2017-06-24 --exclude "*" --recursive --include "*20170624*" &amp; "%USERPROFILE%\Documents\GitHub\mrs-test-scripts\Headless Mode &amp; Sideloading\WalkAndUnGZ.bat" "%USERPROFILE%\AppData\Local\Temp\OnboardLogs"\RTDC4025\2017-06-24 &amp; 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</v>
      </c>
      <c r="S32" s="84" t="str">
        <f>VLOOKUP(C32,'Train Runs'!$A$13:$AE$9934,22,0)</f>
        <v>https://d0f6bd738d7f1b3e5a7ca70fe4ff75f0.us-east-1.aws.found.io/app/kibana#/discover/Steve-Slow-Train-Analysis-(2080s-and-2083s)?_g=(refreshInterval:(display:Off,pause:!f,section:0,value:0),time:(from:'2017-06-24T08:36:19-0600',mode:absolute,to:'2017-06-24T10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2" s="86" t="str">
        <f t="shared" si="1"/>
        <v>"C:\Program Files (x86)\AstroGrep\AstroGrep.exe" /e /r /s /spath="%USERPROFILE%\AppData\Local\Temp\OnboardLogs" /stypes="*4025*201706241*" /stext=" 15:.+((SYSTEM_STATE.+slice.+state.+changed )|(ment ac)|(multiple cpu faults)|(system.+state.+changed )|(\[timeout)|(PRM\|1\|D)|(kpr)|(kdp)|(train st.+moving)|(\|lc)|(penalty))"</v>
      </c>
      <c r="U32" s="9" t="str">
        <f t="shared" si="2"/>
        <v>4025</v>
      </c>
      <c r="V32" s="31">
        <f t="shared" si="3"/>
        <v>42910.658807870372</v>
      </c>
      <c r="W32" s="45" t="str">
        <f t="shared" si="4"/>
        <v>NW</v>
      </c>
      <c r="X32" s="22">
        <f t="shared" si="5"/>
        <v>1808</v>
      </c>
      <c r="Y32" s="96" t="str">
        <f t="shared" si="6"/>
        <v>echo {"issue":{"subject":"","project_id":79,"tracker_id":40,"status_id":1,"priority_id":2,"assigned_to_id":23,"start_date":"2017-06-24","description":"","custom_fields":[{"id":1,"name":"Subdivision","value":"NW"},{"id":4,"name":"Milepost","value":"2.3561"},{"id":17,"name":"Train ID","value":"1808-24"},{"id":16,"name":"Locomotive ID","value":"4025"},{"id":130,"name":"Impact","value":""},{"id":150,"name":"Time of Event (Mountain Time)","value":"09:48:41"},{"id":151,"name":"Denver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/c/Users/stu/AppData/Local/Temp/OnboardLogs/RTDC4025 --include="*4025*201706241*"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"%USERPROFILE%\AppData\Local\Temp\OnboardLogs"\RTDC4025\*4025*201706241* &gt;&gt; 2017-06-24-SliceDisagreementCheck.txt</v>
      </c>
      <c r="AE32" s="145" t="str">
        <f t="shared" si="9"/>
        <v>start /low /b %USERPROFILE%\Documents\GitHub\eaglep3\Utilities\DownloadLogsFromS3.py --loco 4025 --day 2017-06-24</v>
      </c>
      <c r="AF32" s="1"/>
    </row>
    <row r="33" spans="1:32" x14ac:dyDescent="0.25">
      <c r="A33" s="31">
        <v>42910.35429398148</v>
      </c>
      <c r="B33" s="30" t="s">
        <v>510</v>
      </c>
      <c r="C33" s="30" t="s">
        <v>634</v>
      </c>
      <c r="D33" s="30" t="s">
        <v>96</v>
      </c>
      <c r="E33" s="30" t="s">
        <v>200</v>
      </c>
      <c r="F33" s="42">
        <v>400</v>
      </c>
      <c r="G33" s="42">
        <v>454</v>
      </c>
      <c r="H33" s="42">
        <v>43978</v>
      </c>
      <c r="I33" s="42">
        <v>45601</v>
      </c>
      <c r="J33" s="30" t="s">
        <v>201</v>
      </c>
      <c r="K33" s="42">
        <v>41797</v>
      </c>
      <c r="L33" s="131" t="s">
        <v>50</v>
      </c>
      <c r="M33" s="132">
        <f t="shared" si="0"/>
        <v>-2008.5119999999999</v>
      </c>
      <c r="N33" s="133" t="str">
        <f>VLOOKUP(C33,'Trips&amp;Operators'!$C$1:$G$99999,5,FALSE)</f>
        <v>MACDONALD THOMAS</v>
      </c>
      <c r="O33" s="203" t="s">
        <v>180</v>
      </c>
      <c r="P33" s="134"/>
      <c r="Q33" s="30"/>
      <c r="R33" s="81" t="str">
        <f>VLOOKUP(C33,'Train Runs'!$A$13:$AE$9934,31,0)</f>
        <v>aws s3 cp s3://rtdc.mdm.uploadarchive.raw/RTDC4026/ "%USERPROFILE%\AppData\Local\Temp\OnboardLogs"\RTDC4026\2017-06-24 --exclude "*" --recursive --include "*20170624*" &amp; "%USERPROFILE%\Documents\GitHub\mrs-test-scripts\Headless Mode &amp; Sideloading\WalkAndUnGZ.bat" "%USERPROFILE%\AppData\Local\Temp\OnboardLogs"\RTDC4026\2017-06-24 &amp; 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</v>
      </c>
      <c r="S33" s="84" t="str">
        <f>VLOOKUP(C33,'Train Runs'!$A$13:$AE$9934,22,0)</f>
        <v>https://d0f6bd738d7f1b3e5a7ca70fe4ff75f0.us-east-1.aws.found.io/app/kibana#/discover/Steve-Slow-Train-Analysis-(2080s-and-2083s)?_g=(refreshInterval:(display:Off,pause:!f,section:0,value:0),time:(from:'2017-06-24T06:57:16-0600',mode:absolute,to:'2017-06-24T09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3" s="86" t="str">
        <f t="shared" si="1"/>
        <v>"C:\Program Files (x86)\AstroGrep\AstroGrep.exe" /e /r /s /spath="%USERPROFILE%\AppData\Local\Temp\OnboardLogs" /stypes="*4026*201706241*" /stext=" 14:.+((SYSTEM_STATE.+slice.+state.+changed )|(ment ac)|(multiple cpu faults)|(system.+state.+changed )|(\[timeout)|(PRM\|1\|D)|(kpr)|(kdp)|(train st.+moving)|(\|lc)|(penalty))"</v>
      </c>
      <c r="U33" s="9" t="str">
        <f t="shared" si="2"/>
        <v>4026</v>
      </c>
      <c r="V33" s="31">
        <f t="shared" si="3"/>
        <v>42910.60429398148</v>
      </c>
      <c r="W33" s="45" t="str">
        <f t="shared" si="4"/>
        <v>NW</v>
      </c>
      <c r="X33" s="22">
        <f t="shared" si="5"/>
        <v>1805</v>
      </c>
      <c r="Y33" s="96" t="str">
        <f t="shared" si="6"/>
        <v>echo {"issue":{"subject":"","project_id":79,"tracker_id":40,"status_id":1,"priority_id":2,"assigned_to_id":23,"start_date":"2017-06-24","description":"","custom_fields":[{"id":1,"name":"Subdivision","value":"NW"},{"id":4,"name":"Milepost","value":"4.1797"},{"id":17,"name":"Train ID","value":"1805-24"},{"id":16,"name":"Locomotive ID","value":"4026"},{"id":130,"name":"Impact","value":""},{"id":150,"name":"Time of Event (Mountain Time)","value":"08:30:11"},{"id":151,"name":"Denver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/c/Users/stu/AppData/Local/Temp/OnboardLogs/RTDC4026 --include="*4026*201706241*"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"%USERPROFILE%\AppData\Local\Temp\OnboardLogs"\RTDC4026\*4026*201706241* &gt;&gt; 2017-06-24-SliceDisagreementCheck.txt</v>
      </c>
      <c r="AE33" s="145" t="str">
        <f t="shared" si="9"/>
        <v>start /low /b %USERPROFILE%\Documents\GitHub\eaglep3\Utilities\DownloadLogsFromS3.py --loco 4026 --day 2017-06-24</v>
      </c>
      <c r="AF33" s="1"/>
    </row>
    <row r="34" spans="1:32" x14ac:dyDescent="0.25">
      <c r="A34" s="31">
        <v>42910.371458333335</v>
      </c>
      <c r="B34" s="30" t="s">
        <v>502</v>
      </c>
      <c r="C34" s="30" t="s">
        <v>637</v>
      </c>
      <c r="D34" s="30" t="s">
        <v>49</v>
      </c>
      <c r="E34" s="30" t="s">
        <v>181</v>
      </c>
      <c r="F34" s="42">
        <v>0</v>
      </c>
      <c r="G34" s="42">
        <v>163</v>
      </c>
      <c r="H34" s="42">
        <v>1338</v>
      </c>
      <c r="I34" s="42">
        <v>1126</v>
      </c>
      <c r="J34" s="30" t="s">
        <v>182</v>
      </c>
      <c r="K34" s="42">
        <v>575</v>
      </c>
      <c r="L34" s="131" t="s">
        <v>51</v>
      </c>
      <c r="M34" s="132">
        <f t="shared" si="0"/>
        <v>290.928</v>
      </c>
      <c r="N34" s="133" t="str">
        <f>VLOOKUP(C34,'Trips&amp;Operators'!$C$1:$G$99999,5,FALSE)</f>
        <v>MACDONALD THOMAS</v>
      </c>
      <c r="O34" s="203" t="s">
        <v>180</v>
      </c>
      <c r="P34" s="134"/>
      <c r="Q34" s="30"/>
      <c r="R34" s="81" t="str">
        <f>VLOOKUP(C34,'Train Runs'!$A$13:$AE$9934,31,0)</f>
        <v>aws s3 cp s3://rtdc.mdm.uploadarchive.raw/RTDC4025/ "%USERPROFILE%\AppData\Local\Temp\OnboardLogs"\RTDC4025\2017-06-24 --exclude "*" --recursive --include "*20170624*" &amp; "%USERPROFILE%\Documents\GitHub\mrs-test-scripts\Headless Mode &amp; Sideloading\WalkAndUnGZ.bat" "%USERPROFILE%\AppData\Local\Temp\OnboardLogs"\RTDC4025\2017-06-24 &amp; aws s3 cp s3://rtdc.mdm.uploadarchive.raw/RTDC4025/ "%USERPROFILE%\AppData\Local\Temp\OnboardLogs"\RTDC4025\2017-06-25 --exclude "*" --recursive --include "*20170625*" &amp; "%USERPROFILE%\Documents\GitHub\mrs-test-scripts\Headless Mode &amp; Sideloading\WalkAndUnGZ.bat" "%USERPROFILE%\AppData\Local\Temp\OnboardLogs"\RTDC4025\2017-06-25</v>
      </c>
      <c r="S34" s="84" t="str">
        <f>VLOOKUP(C34,'Train Runs'!$A$13:$AE$9934,22,0)</f>
        <v>https://d0f6bd738d7f1b3e5a7ca70fe4ff75f0.us-east-1.aws.found.io/app/kibana#/discover/Steve-Slow-Train-Analysis-(2080s-and-2083s)?_g=(refreshInterval:(display:Off,pause:!f,section:0,value:0),time:(from:'2017-06-24T07:37:00-0600',mode:absolute,to:'2017-06-24T09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4" s="86" t="str">
        <f t="shared" si="1"/>
        <v>"C:\Program Files (x86)\AstroGrep\AstroGrep.exe" /e /r /s /spath="%USERPROFILE%\AppData\Local\Temp\OnboardLogs" /stypes="*4025*201706241*" /stext=" 14:.+((SYSTEM_STATE.+slice.+state.+changed )|(ment ac)|(multiple cpu faults)|(system.+state.+changed )|(\[timeout)|(PRM\|1\|D)|(kpr)|(kdp)|(train st.+moving)|(\|lc)|(penalty))"</v>
      </c>
      <c r="U34" s="9" t="str">
        <f t="shared" si="2"/>
        <v>4025</v>
      </c>
      <c r="V34" s="31">
        <f t="shared" si="3"/>
        <v>42910.621458333335</v>
      </c>
      <c r="W34" s="45" t="str">
        <f t="shared" si="4"/>
        <v>NW</v>
      </c>
      <c r="X34" s="22">
        <f t="shared" si="5"/>
        <v>1806</v>
      </c>
      <c r="Y34" s="96" t="str">
        <f t="shared" si="6"/>
        <v>echo {"issue":{"subject":"","project_id":79,"tracker_id":40,"status_id":1,"priority_id":2,"assigned_to_id":23,"start_date":"2017-06-24","description":"","custom_fields":[{"id":1,"name":"Subdivision","value":"NW"},{"id":4,"name":"Milepost","value":"0.0575"},{"id":17,"name":"Train ID","value":"1806-24"},{"id":16,"name":"Locomotive ID","value":"4025"},{"id":130,"name":"Impact","value":""},{"id":150,"name":"Time of Event (Mountain Time)","value":"08:54:54"},{"id":151,"name":"Denver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/c/Users/stu/AppData/Local/Temp/OnboardLogs/RTDC4025 --include="*4025*201706241*"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"%USERPROFILE%\AppData\Local\Temp\OnboardLogs"\RTDC4025\*4025*201706241* &gt;&gt; 2017-06-24-SliceDisagreementCheck.txt</v>
      </c>
      <c r="AE34" s="145" t="str">
        <f t="shared" si="9"/>
        <v>start /low /b %USERPROFILE%\Documents\GitHub\eaglep3\Utilities\DownloadLogsFromS3.py --loco 4025 --day 2017-06-24</v>
      </c>
      <c r="AF34" s="1"/>
    </row>
    <row r="35" spans="1:32" x14ac:dyDescent="0.25">
      <c r="A35" s="31">
        <v>42910.48238425926</v>
      </c>
      <c r="B35" s="30" t="s">
        <v>510</v>
      </c>
      <c r="C35" s="30" t="s">
        <v>641</v>
      </c>
      <c r="D35" s="30" t="s">
        <v>49</v>
      </c>
      <c r="E35" s="30" t="s">
        <v>181</v>
      </c>
      <c r="F35" s="42">
        <v>0</v>
      </c>
      <c r="G35" s="42">
        <v>36</v>
      </c>
      <c r="H35" s="42">
        <v>58935</v>
      </c>
      <c r="I35" s="42">
        <v>58948</v>
      </c>
      <c r="J35" s="30" t="s">
        <v>182</v>
      </c>
      <c r="K35" s="42">
        <v>59048</v>
      </c>
      <c r="L35" s="131" t="s">
        <v>50</v>
      </c>
      <c r="M35" s="132">
        <f t="shared" si="0"/>
        <v>52.8</v>
      </c>
      <c r="N35" s="133" t="str">
        <f>VLOOKUP(C35,'Trips&amp;Operators'!$C$1:$G$99999,5,FALSE)</f>
        <v>MACDONALD THOMAS</v>
      </c>
      <c r="O35" s="203" t="s">
        <v>180</v>
      </c>
      <c r="P35" s="134"/>
      <c r="Q35" s="30"/>
      <c r="R35" s="81" t="str">
        <f>VLOOKUP(C35,'Train Runs'!$A$13:$AE$9934,31,0)</f>
        <v>aws s3 cp s3://rtdc.mdm.uploadarchive.raw/RTDC4026/ "%USERPROFILE%\AppData\Local\Temp\OnboardLogs"\RTDC4026\2017-06-24 --exclude "*" --recursive --include "*20170624*" &amp; "%USERPROFILE%\Documents\GitHub\mrs-test-scripts\Headless Mode &amp; Sideloading\WalkAndUnGZ.bat" "%USERPROFILE%\AppData\Local\Temp\OnboardLogs"\RTDC4026\2017-06-24 &amp; aws s3 cp s3://rtdc.mdm.uploadarchive.raw/RTDC4026/ "%USERPROFILE%\AppData\Local\Temp\OnboardLogs"\RTDC4026\2017-06-25 --exclude "*" --recursive --include "*20170625*" &amp; "%USERPROFILE%\Documents\GitHub\mrs-test-scripts\Headless Mode &amp; Sideloading\WalkAndUnGZ.bat" "%USERPROFILE%\AppData\Local\Temp\OnboardLogs"\RTDC4026\2017-06-25</v>
      </c>
      <c r="S35" s="84" t="str">
        <f>VLOOKUP(C35,'Train Runs'!$A$13:$AE$9934,22,0)</f>
        <v>https://d0f6bd738d7f1b3e5a7ca70fe4ff75f0.us-east-1.aws.found.io/app/kibana#/discover/Steve-Slow-Train-Analysis-(2080s-and-2083s)?_g=(refreshInterval:(display:Off,pause:!f,section:0,value:0),time:(from:'2017-06-24T09:56:17-0600',mode:absolute,to:'2017-06-24T12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5" s="86" t="str">
        <f t="shared" si="1"/>
        <v>"C:\Program Files (x86)\AstroGrep\AstroGrep.exe" /e /r /s /spath="%USERPROFILE%\AppData\Local\Temp\OnboardLogs" /stypes="*4026*201706241*" /stext=" 17:.+((SYSTEM_STATE.+slice.+state.+changed )|(ment ac)|(multiple cpu faults)|(system.+state.+changed )|(\[timeout)|(PRM\|1\|D)|(kpr)|(kdp)|(train st.+moving)|(\|lc)|(penalty))"</v>
      </c>
      <c r="U35" s="9" t="str">
        <f t="shared" si="2"/>
        <v>4026</v>
      </c>
      <c r="V35" s="31">
        <f t="shared" si="3"/>
        <v>42910.73238425926</v>
      </c>
      <c r="W35" s="45" t="str">
        <f t="shared" si="4"/>
        <v>NW</v>
      </c>
      <c r="X35" s="22">
        <f t="shared" si="5"/>
        <v>1811</v>
      </c>
      <c r="Y35" s="96" t="str">
        <f t="shared" si="6"/>
        <v>echo {"issue":{"subject":"","project_id":79,"tracker_id":40,"status_id":1,"priority_id":2,"assigned_to_id":23,"start_date":"2017-06-24","description":"","custom_fields":[{"id":1,"name":"Subdivision","value":"NW"},{"id":4,"name":"Milepost","value":"5.9048"},{"id":17,"name":"Train ID","value":"1811-24"},{"id":16,"name":"Locomotive ID","value":"4026"},{"id":130,"name":"Impact","value":""},{"id":150,"name":"Time of Event (Mountain Time)","value":"11:34:38"},{"id":151,"name":"Denver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/c/Users/stu/AppData/Local/Temp/OnboardLogs/RTDC4026 --include="*4026*201706241*"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"%USERPROFILE%\AppData\Local\Temp\OnboardLogs"\RTDC4026\*4026*201706241* &gt;&gt; 2017-06-24-SliceDisagreementCheck.txt</v>
      </c>
      <c r="AE35" s="145" t="str">
        <f t="shared" si="9"/>
        <v>start /low /b %USERPROFILE%\Documents\GitHub\eaglep3\Utilities\DownloadLogsFromS3.py --loco 4026 --day 2017-06-24</v>
      </c>
      <c r="AF35" s="1"/>
    </row>
    <row r="36" spans="1:32" x14ac:dyDescent="0.25">
      <c r="A36" s="31">
        <v>42910.773946759262</v>
      </c>
      <c r="B36" s="30" t="s">
        <v>497</v>
      </c>
      <c r="C36" s="30" t="s">
        <v>656</v>
      </c>
      <c r="D36" s="30" t="s">
        <v>49</v>
      </c>
      <c r="E36" s="30" t="s">
        <v>181</v>
      </c>
      <c r="F36" s="42">
        <v>0</v>
      </c>
      <c r="G36" s="42">
        <v>137</v>
      </c>
      <c r="H36" s="42">
        <v>57844</v>
      </c>
      <c r="I36" s="42">
        <v>58019</v>
      </c>
      <c r="J36" s="30" t="s">
        <v>182</v>
      </c>
      <c r="K36" s="42">
        <v>59048</v>
      </c>
      <c r="L36" s="131" t="s">
        <v>50</v>
      </c>
      <c r="M36" s="132">
        <f t="shared" si="0"/>
        <v>543.31200000000001</v>
      </c>
      <c r="N36" s="133" t="str">
        <f>VLOOKUP(C36,'Trips&amp;Operators'!$C$1:$G$99999,5,FALSE)</f>
        <v>MCREYNOLDS KYLE</v>
      </c>
      <c r="O36" s="203" t="s">
        <v>180</v>
      </c>
      <c r="P36" s="134"/>
      <c r="Q36" s="30"/>
      <c r="R36" s="81" t="str">
        <f>VLOOKUP(C36,'Train Runs'!$A$13:$AE$9934,31,0)</f>
        <v>aws s3 cp s3://rtdc.mdm.uploadarchive.raw/RTDC4018/ "%USERPROFILE%\AppData\Local\Temp\OnboardLogs"\RTDC4018\2017-06-24 --exclude "*" --recursive --include "*20170624*" &amp; "%USERPROFILE%\Documents\GitHub\mrs-test-scripts\Headless Mode &amp; Sideloading\WalkAndUnGZ.bat" "%USERPROFILE%\AppData\Local\Temp\OnboardLogs"\RTDC4018\2017-06-24 &amp; aws s3 cp s3://rtdc.mdm.uploadarchive.raw/RTDC4018/ "%USERPROFILE%\AppData\Local\Temp\OnboardLogs"\RTDC4018\2017-06-25 --exclude "*" --recursive --include "*20170625*" &amp; "%USERPROFILE%\Documents\GitHub\mrs-test-scripts\Headless Mode &amp; Sideloading\WalkAndUnGZ.bat" "%USERPROFILE%\AppData\Local\Temp\OnboardLogs"\RTDC4018\2017-06-25</v>
      </c>
      <c r="S36" s="84" t="str">
        <f>VLOOKUP(C36,'Train Runs'!$A$13:$AE$9934,22,0)</f>
        <v>https://d0f6bd738d7f1b3e5a7ca70fe4ff75f0.us-east-1.aws.found.io/app/kibana#/discover/Steve-Slow-Train-Analysis-(2080s-and-2083s)?_g=(refreshInterval:(display:Off,pause:!f,section:0,value:0),time:(from:'2017-06-24T16:58:12-0600',mode:absolute,to:'2017-06-24T19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6" s="86" t="str">
        <f t="shared" si="1"/>
        <v>"C:\Program Files (x86)\AstroGrep\AstroGrep.exe" /e /r /s /spath="%USERPROFILE%\AppData\Local\Temp\OnboardLogs" /stypes="*4018*201706250*" /stext=" 00:.+((SYSTEM_STATE.+slice.+state.+changed )|(ment ac)|(multiple cpu faults)|(system.+state.+changed )|(\[timeout)|(PRM\|1\|D)|(kpr)|(kdp)|(train st.+moving)|(\|lc)|(penalty))"</v>
      </c>
      <c r="U36" s="9" t="str">
        <f t="shared" si="2"/>
        <v>4018</v>
      </c>
      <c r="V36" s="31">
        <f t="shared" si="3"/>
        <v>42911.023946759262</v>
      </c>
      <c r="W36" s="45" t="str">
        <f t="shared" si="4"/>
        <v>NW</v>
      </c>
      <c r="X36" s="22">
        <f t="shared" si="5"/>
        <v>1825</v>
      </c>
      <c r="Y36" s="96" t="str">
        <f t="shared" si="6"/>
        <v>echo {"issue":{"subject":"","project_id":79,"tracker_id":40,"status_id":1,"priority_id":2,"assigned_to_id":23,"start_date":"2017-06-24","description":"","custom_fields":[{"id":1,"name":"Subdivision","value":"NW"},{"id":4,"name":"Milepost","value":"5.9048"},{"id":17,"name":"Train ID","value":"1825-24"},{"id":16,"name":"Locomotive ID","value":"4018"},{"id":130,"name":"Impact","value":""},{"id":150,"name":"Time of Event (Mountain Time)","value":"18:34:29"},{"id":151,"name":"Denver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/c/Users/stu/AppData/Local/Temp/OnboardLogs/RTDC4018 --include="*4018*201706250*"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"%USERPROFILE%\AppData\Local\Temp\OnboardLogs"\RTDC4018\*4018*201706250* &gt;&gt; 2017-06-24-SliceDisagreementCheck.txt</v>
      </c>
      <c r="AE36" s="145" t="str">
        <f t="shared" si="9"/>
        <v>start /low /b %USERPROFILE%\Documents\GitHub\eaglep3\Utilities\DownloadLogsFromS3.py --loco 4018 --day 2017-06-25</v>
      </c>
      <c r="AF36" s="1"/>
    </row>
    <row r="37" spans="1:32" x14ac:dyDescent="0.25">
      <c r="A37" s="31">
        <v>42910.822442129633</v>
      </c>
      <c r="B37" s="30" t="s">
        <v>658</v>
      </c>
      <c r="C37" s="30" t="s">
        <v>659</v>
      </c>
      <c r="D37" s="30" t="s">
        <v>96</v>
      </c>
      <c r="E37" s="30" t="s">
        <v>187</v>
      </c>
      <c r="F37" s="42">
        <v>210</v>
      </c>
      <c r="G37" s="42">
        <v>272</v>
      </c>
      <c r="H37" s="42">
        <v>10854</v>
      </c>
      <c r="I37" s="42">
        <v>11682</v>
      </c>
      <c r="J37" s="30" t="s">
        <v>188</v>
      </c>
      <c r="K37" s="42">
        <v>10716</v>
      </c>
      <c r="L37" s="131" t="s">
        <v>50</v>
      </c>
      <c r="M37" s="132">
        <f t="shared" si="0"/>
        <v>-510.048</v>
      </c>
      <c r="N37" s="133" t="str">
        <f>VLOOKUP(C37,'Trips&amp;Operators'!$C$1:$G$99999,5,FALSE)</f>
        <v>HART KEVIN</v>
      </c>
      <c r="O37" s="203" t="s">
        <v>180</v>
      </c>
      <c r="P37" s="134"/>
      <c r="Q37" s="30"/>
      <c r="R37" s="81" t="str">
        <f>VLOOKUP(C37,'Train Runs'!$A$13:$AE$9934,31,0)</f>
        <v>aws s3 cp s3://rtdc.mdm.uploadarchive.raw/RTDC4016/ "%USERPROFILE%\AppData\Local\Temp\OnboardLogs"\RTDC4016\2017-06-24 --exclude "*" --recursive --include "*20170624*" &amp; "%USERPROFILE%\Documents\GitHub\mrs-test-scripts\Headless Mode &amp; Sideloading\WalkAndUnGZ.bat" "%USERPROFILE%\AppData\Local\Temp\OnboardLogs"\RTDC4016\2017-06-24 &amp; aws s3 cp s3://rtdc.mdm.uploadarchive.raw/RTDC4016/ "%USERPROFILE%\AppData\Local\Temp\OnboardLogs"\RTDC4016\2017-06-25 --exclude "*" --recursive --include "*20170625*" &amp; "%USERPROFILE%\Documents\GitHub\mrs-test-scripts\Headless Mode &amp; Sideloading\WalkAndUnGZ.bat" "%USERPROFILE%\AppData\Local\Temp\OnboardLogs"\RTDC4016\2017-06-25</v>
      </c>
      <c r="S37" s="84" t="str">
        <f>VLOOKUP(C37,'Train Runs'!$A$13:$AE$9934,22,0)</f>
        <v>https://d0f6bd738d7f1b3e5a7ca70fe4ff75f0.us-east-1.aws.found.io/app/kibana#/discover/Steve-Slow-Train-Analysis-(2080s-and-2083s)?_g=(refreshInterval:(display:Off,pause:!f,section:0,value:0),time:(from:'2017-06-24T18:36:54-0600',mode:absolute,to:'2017-06-24T20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7" s="86" t="str">
        <f t="shared" si="1"/>
        <v>"C:\Program Files (x86)\AstroGrep\AstroGrep.exe" /e /r /s /spath="%USERPROFILE%\AppData\Local\Temp\OnboardLogs" /stypes="*4016*201706250*" /stext=" 01:.+((SYSTEM_STATE.+slice.+state.+changed )|(ment ac)|(multiple cpu faults)|(system.+state.+changed )|(\[timeout)|(PRM\|1\|D)|(kpr)|(kdp)|(train st.+moving)|(\|lc)|(penalty))"</v>
      </c>
      <c r="U37" s="9" t="str">
        <f t="shared" si="2"/>
        <v>4016</v>
      </c>
      <c r="V37" s="31">
        <f t="shared" si="3"/>
        <v>42911.072442129633</v>
      </c>
      <c r="W37" s="45" t="str">
        <f t="shared" si="4"/>
        <v>Other</v>
      </c>
      <c r="X37" s="22">
        <f t="shared" si="5"/>
        <v>305</v>
      </c>
      <c r="Y37" s="96" t="str">
        <f t="shared" si="6"/>
        <v>echo {"issue":{"subject":"","project_id":79,"tracker_id":40,"status_id":1,"priority_id":2,"assigned_to_id":23,"start_date":"2017-06-24","description":"","custom_fields":[{"id":1,"name":"Subdivision","value":"Other"},{"id":4,"name":"Milepost","value":"1.0716"},{"id":17,"name":"Train ID","value":"305-24"},{"id":16,"name":"Locomotive ID","value":"4016"},{"id":130,"name":"Impact","value":""},{"id":150,"name":"Time of Event (Mountain Time)","value":"19:44:19"},{"id":151,"name":"Denver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/c/Users/stu/AppData/Local/Temp/OnboardLogs/RTDC4016 --include="*4016*201706250*"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"%USERPROFILE%\AppData\Local\Temp\OnboardLogs"\RTDC4016\*4016*201706250* &gt;&gt; 2017-06-24-SliceDisagreementCheck.txt</v>
      </c>
      <c r="AE37" s="145" t="str">
        <f t="shared" si="9"/>
        <v>start /low /b %USERPROFILE%\Documents\GitHub\eaglep3\Utilities\DownloadLogsFromS3.py --loco 4016 --day 2017-06-25</v>
      </c>
      <c r="AF37" s="1"/>
    </row>
    <row r="38" spans="1:32" x14ac:dyDescent="0.25">
      <c r="A38" s="31">
        <v>42910.202222222222</v>
      </c>
      <c r="B38" s="30" t="s">
        <v>368</v>
      </c>
      <c r="C38" s="30" t="s">
        <v>631</v>
      </c>
      <c r="D38" s="30" t="s">
        <v>96</v>
      </c>
      <c r="E38" s="30" t="s">
        <v>524</v>
      </c>
      <c r="F38" s="42">
        <v>0</v>
      </c>
      <c r="G38" s="42">
        <v>125</v>
      </c>
      <c r="H38" s="42">
        <v>22074</v>
      </c>
      <c r="I38" s="42">
        <v>21894</v>
      </c>
      <c r="J38" s="30" t="s">
        <v>525</v>
      </c>
      <c r="K38" s="42">
        <v>24235</v>
      </c>
      <c r="L38" s="131" t="s">
        <v>51</v>
      </c>
      <c r="M38" s="132">
        <f t="shared" si="0"/>
        <v>-1236.048</v>
      </c>
      <c r="N38" s="133" t="str">
        <f>VLOOKUP(C38,'Trips&amp;Operators'!$C$1:$G$99999,5,FALSE)</f>
        <v>DAVIDSON DAVID</v>
      </c>
      <c r="O38" s="203" t="s">
        <v>180</v>
      </c>
      <c r="P38" s="134"/>
      <c r="Q38" s="30"/>
      <c r="R38" s="81" t="str">
        <f>VLOOKUP(C38,'Train Runs'!$A$13:$AE$9934,31,0)</f>
        <v>aws s3 cp s3://rtdc.mdm.uploadarchive.raw/RTDC4013/ "%USERPROFILE%\AppData\Local\Temp\OnboardLogs"\RTDC4013\2017-06-24 --exclude "*" --recursive --include "*20170624*" &amp; "%USERPROFILE%\Documents\GitHub\mrs-test-scripts\Headless Mode &amp; Sideloading\WalkAndUnGZ.bat" "%USERPROFILE%\AppData\Local\Temp\OnboardLogs"\RTDC4013\2017-06-24 &amp; aws s3 cp s3://rtdc.mdm.uploadarchive.raw/RTDC4013/ "%USERPROFILE%\AppData\Local\Temp\OnboardLogs"\RTDC4013\2017-06-25 --exclude "*" --recursive --include "*20170625*" &amp; "%USERPROFILE%\Documents\GitHub\mrs-test-scripts\Headless Mode &amp; Sideloading\WalkAndUnGZ.bat" "%USERPROFILE%\AppData\Local\Temp\OnboardLogs"\RTDC4013\2017-06-25</v>
      </c>
      <c r="S38" s="84" t="str">
        <f>VLOOKUP(C38,'Train Runs'!$A$13:$AE$9934,22,0)</f>
        <v>https://d0f6bd738d7f1b3e5a7ca70fe4ff75f0.us-east-1.aws.found.io/app/kibana#/discover/Steve-Slow-Train-Analysis-(2080s-and-2083s)?_g=(refreshInterval:(display:Off,pause:!f,section:0,value:0),time:(from:'2017-06-24T03:46:31-0600',mode:absolute,to:'2017-06-24T06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8" s="86" t="str">
        <f t="shared" si="1"/>
        <v>"C:\Program Files (x86)\AstroGrep\AstroGrep.exe" /e /r /s /spath="%USERPROFILE%\AppData\Local\Temp\OnboardLogs" /stypes="*4013*201706241*" /stext=" 10:.+((SYSTEM_STATE.+slice.+state.+changed )|(ment ac)|(multiple cpu faults)|(system.+state.+changed )|(\[timeout)|(PRM\|1\|D)|(kpr)|(kdp)|(train st.+moving)|(\|lc)|(penalty))"</v>
      </c>
      <c r="U38" s="9" t="str">
        <f t="shared" si="2"/>
        <v>4013</v>
      </c>
      <c r="V38" s="31">
        <f t="shared" si="3"/>
        <v>42910.452222222222</v>
      </c>
      <c r="W38" s="45" t="str">
        <f t="shared" si="4"/>
        <v>Other</v>
      </c>
      <c r="X38" s="22">
        <f t="shared" si="5"/>
        <v>310</v>
      </c>
      <c r="Y38" s="96" t="str">
        <f t="shared" si="6"/>
        <v>echo {"issue":{"subject":"","project_id":79,"tracker_id":40,"status_id":1,"priority_id":2,"assigned_to_id":23,"start_date":"2017-06-24","description":"","custom_fields":[{"id":1,"name":"Subdivision","value":"Other"},{"id":4,"name":"Milepost","value":"2.4235"},{"id":17,"name":"Train ID","value":"310-24"},{"id":16,"name":"Locomotive ID","value":"4013"},{"id":130,"name":"Impact","value":""},{"id":150,"name":"Time of Event (Mountain Time)","value":"04:51:12"},{"id":151,"name":"Denver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/c/Users/stu/AppData/Local/Temp/OnboardLogs/RTDC4013 --include="*4013*201706241*"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"%USERPROFILE%\AppData\Local\Temp\OnboardLogs"\RTDC4013\*4013*201706241* &gt;&gt; 2017-06-24-SliceDisagreementCheck.txt</v>
      </c>
      <c r="AE38" s="145" t="str">
        <f t="shared" si="9"/>
        <v>start /low /b %USERPROFILE%\Documents\GitHub\eaglep3\Utilities\DownloadLogsFromS3.py --loco 4013 --day 2017-06-24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X76"/>
      <c r="Z76"/>
      <c r="AC76"/>
      <c r="AE76"/>
    </row>
  </sheetData>
  <autoFilter ref="A6:AC76">
    <sortState ref="A7:AC76">
      <sortCondition ref="W7:W38"/>
      <sortCondition ref="E7:E38"/>
      <sortCondition ref="K7:K38"/>
      <sortCondition ref="F7:F38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2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2017-06-24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-24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5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" s="30" t="e">
        <f>VLOOKUP(B3,'Train Runs'!$A$13:$A$99931,1,FALSE)</f>
        <v>#N/A</v>
      </c>
    </row>
    <row r="4" spans="1:10" x14ac:dyDescent="0.25">
      <c r="A4" s="195"/>
      <c r="B4" s="42" t="str">
        <f>A4&amp;"-"&amp;IF(DAY(Variables!$A$2)&lt;10,0,"")&amp;DAY(Variables!$A$2)</f>
        <v>-24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" s="30" t="e">
        <f>VLOOKUP(B4,'Train Runs'!$A$13:$A$99931,1,FALSE)</f>
        <v>#N/A</v>
      </c>
    </row>
    <row r="5" spans="1:10" x14ac:dyDescent="0.25">
      <c r="A5" s="195"/>
      <c r="B5" s="42" t="str">
        <f>A5&amp;"-"&amp;IF(DAY(Variables!$A$2)&lt;10,0,"")&amp;DAY(Variables!$A$2)</f>
        <v>-24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" s="30" t="e">
        <f>VLOOKUP(B5,'Train Runs'!$A$13:$A$99931,1,FALSE)</f>
        <v>#N/A</v>
      </c>
    </row>
    <row r="6" spans="1:10" x14ac:dyDescent="0.25">
      <c r="A6" s="195"/>
      <c r="B6" s="42" t="str">
        <f>A6&amp;"-"&amp;IF(DAY(Variables!$A$2)&lt;10,0,"")&amp;DAY(Variables!$A$2)</f>
        <v>-24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" s="30" t="e">
        <f>VLOOKUP(B6,'Train Runs'!$A$13:$A$99931,1,FALSE)</f>
        <v>#N/A</v>
      </c>
    </row>
    <row r="7" spans="1:10" x14ac:dyDescent="0.25">
      <c r="A7" s="195"/>
      <c r="B7" s="42" t="str">
        <f>A7&amp;"-"&amp;IF(DAY(Variables!$A$2)&lt;10,0,"")&amp;DAY(Variables!$A$2)</f>
        <v>-24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" s="30" t="e">
        <f>VLOOKUP(B7,'Train Runs'!$A$13:$A$99931,1,FALSE)</f>
        <v>#N/A</v>
      </c>
    </row>
    <row r="8" spans="1:10" x14ac:dyDescent="0.25">
      <c r="A8" s="195"/>
      <c r="B8" s="42" t="str">
        <f>A8&amp;"-"&amp;IF(DAY(Variables!$A$2)&lt;10,0,"")&amp;DAY(Variables!$A$2)</f>
        <v>-24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" s="30" t="e">
        <f>VLOOKUP(B8,'Train Runs'!$A$13:$A$99931,1,FALSE)</f>
        <v>#N/A</v>
      </c>
    </row>
    <row r="9" spans="1:10" x14ac:dyDescent="0.25">
      <c r="A9" s="195"/>
      <c r="B9" s="42" t="str">
        <f>A9&amp;"-"&amp;IF(DAY(Variables!$A$2)&lt;10,0,"")&amp;DAY(Variables!$A$2)</f>
        <v>-24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" s="30" t="e">
        <f>VLOOKUP(B9,'Train Runs'!$A$13:$A$99931,1,FALSE)</f>
        <v>#N/A</v>
      </c>
    </row>
    <row r="10" spans="1:10" x14ac:dyDescent="0.25">
      <c r="A10" s="195"/>
      <c r="B10" s="42" t="str">
        <f>A10&amp;"-"&amp;IF(DAY(Variables!$A$2)&lt;10,0,"")&amp;DAY(Variables!$A$2)</f>
        <v>-24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" s="30" t="e">
        <f>VLOOKUP(B10,'Train Runs'!$A$13:$A$99931,1,FALSE)</f>
        <v>#N/A</v>
      </c>
    </row>
    <row r="11" spans="1:10" x14ac:dyDescent="0.25">
      <c r="A11" s="195"/>
      <c r="B11" s="42" t="str">
        <f>A11&amp;"-"&amp;IF(DAY(Variables!$A$2)&lt;10,0,"")&amp;DAY(Variables!$A$2)</f>
        <v>-24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" s="30" t="e">
        <f>VLOOKUP(B11,'Train Runs'!$A$13:$A$99931,1,FALSE)</f>
        <v>#N/A</v>
      </c>
    </row>
    <row r="12" spans="1:10" x14ac:dyDescent="0.25">
      <c r="A12" s="195"/>
      <c r="B12" s="42" t="str">
        <f>A12&amp;"-"&amp;IF(DAY(Variables!$A$2)&lt;10,0,"")&amp;DAY(Variables!$A$2)</f>
        <v>-24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" s="30" t="e">
        <f>VLOOKUP(B12,'Train Runs'!$A$13:$A$99931,1,FALSE)</f>
        <v>#N/A</v>
      </c>
    </row>
    <row r="13" spans="1:10" x14ac:dyDescent="0.25">
      <c r="A13" s="195"/>
      <c r="B13" s="42" t="str">
        <f>A13&amp;"-"&amp;IF(DAY(Variables!$A$2)&lt;10,0,"")&amp;DAY(Variables!$A$2)</f>
        <v>-24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3" s="30" t="e">
        <f>VLOOKUP(B13,'Train Runs'!$A$13:$A$99931,1,FALSE)</f>
        <v>#N/A</v>
      </c>
    </row>
    <row r="14" spans="1:10" x14ac:dyDescent="0.25">
      <c r="A14" s="195"/>
      <c r="B14" s="42" t="str">
        <f>A14&amp;"-"&amp;IF(DAY(Variables!$A$2)&lt;10,0,"")&amp;DAY(Variables!$A$2)</f>
        <v>-24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4" s="30" t="e">
        <f>VLOOKUP(B14,'Train Runs'!$A$13:$A$99931,1,FALSE)</f>
        <v>#N/A</v>
      </c>
    </row>
    <row r="15" spans="1:10" x14ac:dyDescent="0.25">
      <c r="A15" s="195"/>
      <c r="B15" s="42" t="str">
        <f>A15&amp;"-"&amp;IF(DAY(Variables!$A$2)&lt;10,0,"")&amp;DAY(Variables!$A$2)</f>
        <v>-24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5" s="30" t="e">
        <f>VLOOKUP(B15,'Train Runs'!$A$13:$A$99931,1,FALSE)</f>
        <v>#N/A</v>
      </c>
    </row>
    <row r="16" spans="1:10" x14ac:dyDescent="0.25">
      <c r="A16" s="195"/>
      <c r="B16" s="42" t="str">
        <f>A16&amp;"-"&amp;IF(DAY(Variables!$A$2)&lt;10,0,"")&amp;DAY(Variables!$A$2)</f>
        <v>-24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6" s="30" t="e">
        <f>VLOOKUP(B16,'Train Runs'!$A$13:$A$99931,1,FALSE)</f>
        <v>#N/A</v>
      </c>
    </row>
    <row r="17" spans="1:10" x14ac:dyDescent="0.25">
      <c r="A17" s="195"/>
      <c r="B17" s="42" t="str">
        <f>A17&amp;"-"&amp;IF(DAY(Variables!$A$2)&lt;10,0,"")&amp;DAY(Variables!$A$2)</f>
        <v>-24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7" s="30" t="e">
        <f>VLOOKUP(B17,'Train Runs'!$A$13:$A$99931,1,FALSE)</f>
        <v>#N/A</v>
      </c>
    </row>
    <row r="18" spans="1:10" x14ac:dyDescent="0.25">
      <c r="A18" s="195"/>
      <c r="B18" s="42" t="str">
        <f>A18&amp;"-"&amp;IF(DAY(Variables!$A$2)&lt;10,0,"")&amp;DAY(Variables!$A$2)</f>
        <v>-24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8" s="30" t="e">
        <f>VLOOKUP(B18,'Train Runs'!$A$13:$A$99931,1,FALSE)</f>
        <v>#N/A</v>
      </c>
    </row>
    <row r="19" spans="1:10" x14ac:dyDescent="0.25">
      <c r="A19" s="195"/>
      <c r="B19" s="42" t="str">
        <f>A19&amp;"-"&amp;IF(DAY(Variables!$A$2)&lt;10,0,"")&amp;DAY(Variables!$A$2)</f>
        <v>-24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9" s="30" t="e">
        <f>VLOOKUP(B19,'Train Runs'!$A$13:$A$99931,1,FALSE)</f>
        <v>#N/A</v>
      </c>
    </row>
    <row r="20" spans="1:10" x14ac:dyDescent="0.25">
      <c r="A20" s="195"/>
      <c r="B20" s="42" t="str">
        <f>A20&amp;"-"&amp;IF(DAY(Variables!$A$2)&lt;10,0,"")&amp;DAY(Variables!$A$2)</f>
        <v>-24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0" s="30" t="e">
        <f>VLOOKUP(B20,'Train Runs'!$A$13:$A$99931,1,FALSE)</f>
        <v>#N/A</v>
      </c>
    </row>
    <row r="21" spans="1:10" x14ac:dyDescent="0.25">
      <c r="A21" s="195"/>
      <c r="B21" s="42" t="str">
        <f>A21&amp;"-"&amp;IF(DAY(Variables!$A$2)&lt;10,0,"")&amp;DAY(Variables!$A$2)</f>
        <v>-24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1" s="30" t="e">
        <f>VLOOKUP(B21,'Train Runs'!$A$13:$A$99931,1,FALSE)</f>
        <v>#N/A</v>
      </c>
    </row>
    <row r="22" spans="1:10" x14ac:dyDescent="0.25">
      <c r="A22" s="195"/>
      <c r="B22" s="42" t="str">
        <f>A22&amp;"-"&amp;IF(DAY(Variables!$A$2)&lt;10,0,"")&amp;DAY(Variables!$A$2)</f>
        <v>-24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2" s="30" t="e">
        <f>VLOOKUP(B22,'Train Runs'!$A$13:$A$99931,1,FALSE)</f>
        <v>#N/A</v>
      </c>
    </row>
    <row r="23" spans="1:10" x14ac:dyDescent="0.25">
      <c r="A23" s="195"/>
      <c r="B23" s="42" t="str">
        <f>A23&amp;"-"&amp;IF(DAY(Variables!$A$2)&lt;10,0,"")&amp;DAY(Variables!$A$2)</f>
        <v>-24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3" s="30" t="e">
        <f>VLOOKUP(B23,'Train Runs'!$A$13:$A$99931,1,FALSE)</f>
        <v>#N/A</v>
      </c>
    </row>
    <row r="24" spans="1:10" x14ac:dyDescent="0.25">
      <c r="A24" s="195"/>
      <c r="B24" s="42" t="str">
        <f>A24&amp;"-"&amp;IF(DAY(Variables!$A$2)&lt;10,0,"")&amp;DAY(Variables!$A$2)</f>
        <v>-24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4" s="30" t="e">
        <f>VLOOKUP(B24,'Train Runs'!$A$13:$A$99931,1,FALSE)</f>
        <v>#N/A</v>
      </c>
    </row>
    <row r="25" spans="1:10" x14ac:dyDescent="0.25">
      <c r="A25" s="195"/>
      <c r="B25" s="42" t="str">
        <f>A25&amp;"-"&amp;IF(DAY(Variables!$A$2)&lt;10,0,"")&amp;DAY(Variables!$A$2)</f>
        <v>-24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5" s="30" t="e">
        <f>VLOOKUP(B25,'Train Runs'!$A$13:$A$99931,1,FALSE)</f>
        <v>#N/A</v>
      </c>
    </row>
    <row r="26" spans="1:10" x14ac:dyDescent="0.25">
      <c r="A26" s="195"/>
      <c r="B26" s="42" t="str">
        <f>A26&amp;"-"&amp;IF(DAY(Variables!$A$2)&lt;10,0,"")&amp;DAY(Variables!$A$2)</f>
        <v>-24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ref="I26:I46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6" s="30" t="e">
        <f>VLOOKUP(B26,'Train Runs'!$A$13:$A$99931,1,FALSE)</f>
        <v>#N/A</v>
      </c>
    </row>
    <row r="27" spans="1:10" x14ac:dyDescent="0.25">
      <c r="A27" s="195"/>
      <c r="B27" s="42" t="str">
        <f>A27&amp;"-"&amp;IF(DAY(Variables!$A$2)&lt;10,0,"")&amp;DAY(Variables!$A$2)</f>
        <v>-24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7" s="30" t="e">
        <f>VLOOKUP(B27,'Train Runs'!$A$13:$A$99931,1,FALSE)</f>
        <v>#N/A</v>
      </c>
    </row>
    <row r="28" spans="1:10" x14ac:dyDescent="0.25">
      <c r="A28" s="195"/>
      <c r="B28" s="42" t="str">
        <f>A28&amp;"-"&amp;IF(DAY(Variables!$A$2)&lt;10,0,"")&amp;DAY(Variables!$A$2)</f>
        <v>-24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8" s="30" t="e">
        <f>VLOOKUP(B28,'Train Runs'!$A$13:$A$99931,1,FALSE)</f>
        <v>#N/A</v>
      </c>
    </row>
    <row r="29" spans="1:10" x14ac:dyDescent="0.25">
      <c r="A29" s="195"/>
      <c r="B29" s="42" t="str">
        <f>A29&amp;"-"&amp;IF(DAY(Variables!$A$2)&lt;10,0,"")&amp;DAY(Variables!$A$2)</f>
        <v>-24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29" s="30" t="e">
        <f>VLOOKUP(B29,'Train Runs'!$A$13:$A$99931,1,FALSE)</f>
        <v>#N/A</v>
      </c>
    </row>
    <row r="30" spans="1:10" x14ac:dyDescent="0.25">
      <c r="A30" s="195"/>
      <c r="B30" s="42" t="str">
        <f>A30&amp;"-"&amp;IF(DAY(Variables!$A$2)&lt;10,0,"")&amp;DAY(Variables!$A$2)</f>
        <v>-24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0" s="30" t="e">
        <f>VLOOKUP(B30,'Train Runs'!$A$13:$A$99931,1,FALSE)</f>
        <v>#N/A</v>
      </c>
    </row>
    <row r="31" spans="1:10" x14ac:dyDescent="0.25">
      <c r="A31" s="195"/>
      <c r="B31" s="42" t="str">
        <f>A31&amp;"-"&amp;IF(DAY(Variables!$A$2)&lt;10,0,"")&amp;DAY(Variables!$A$2)</f>
        <v>-24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1" s="30" t="e">
        <f>VLOOKUP(B31,'Train Runs'!$A$13:$A$99931,1,FALSE)</f>
        <v>#N/A</v>
      </c>
    </row>
    <row r="32" spans="1:10" x14ac:dyDescent="0.25">
      <c r="A32" s="195"/>
      <c r="B32" s="42" t="str">
        <f>A32&amp;"-"&amp;IF(DAY(Variables!$A$2)&lt;10,0,"")&amp;DAY(Variables!$A$2)</f>
        <v>-24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2" s="30" t="e">
        <f>VLOOKUP(B32,'Train Runs'!$A$13:$A$99931,1,FALSE)</f>
        <v>#N/A</v>
      </c>
    </row>
    <row r="33" spans="1:10" x14ac:dyDescent="0.25">
      <c r="A33" s="195"/>
      <c r="B33" s="42" t="str">
        <f>A33&amp;"-"&amp;IF(DAY(Variables!$A$2)&lt;10,0,"")&amp;DAY(Variables!$A$2)</f>
        <v>-24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3" s="30" t="e">
        <f>VLOOKUP(B33,'Train Runs'!$A$13:$A$99931,1,FALSE)</f>
        <v>#N/A</v>
      </c>
    </row>
    <row r="34" spans="1:10" x14ac:dyDescent="0.25">
      <c r="A34" s="195"/>
      <c r="B34" s="42" t="str">
        <f>A34&amp;"-"&amp;IF(DAY(Variables!$A$2)&lt;10,0,"")&amp;DAY(Variables!$A$2)</f>
        <v>-24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4" s="30" t="e">
        <f>VLOOKUP(B34,'Train Runs'!$A$13:$A$99931,1,FALSE)</f>
        <v>#N/A</v>
      </c>
    </row>
    <row r="35" spans="1:10" x14ac:dyDescent="0.25">
      <c r="A35" s="195"/>
      <c r="B35" s="42" t="str">
        <f>A35&amp;"-"&amp;IF(DAY(Variables!$A$2)&lt;10,0,"")&amp;DAY(Variables!$A$2)</f>
        <v>-24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5" s="30" t="e">
        <f>VLOOKUP(B35,'Train Runs'!$A$13:$A$99931,1,FALSE)</f>
        <v>#N/A</v>
      </c>
    </row>
    <row r="36" spans="1:10" x14ac:dyDescent="0.25">
      <c r="A36" s="195"/>
      <c r="B36" s="42" t="str">
        <f>A36&amp;"-"&amp;IF(DAY(Variables!$A$2)&lt;10,0,"")&amp;DAY(Variables!$A$2)</f>
        <v>-24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6" s="30" t="e">
        <f>VLOOKUP(B36,'Train Runs'!$A$13:$A$99931,1,FALSE)</f>
        <v>#N/A</v>
      </c>
    </row>
    <row r="37" spans="1:10" x14ac:dyDescent="0.25">
      <c r="A37" s="195"/>
      <c r="B37" s="42" t="str">
        <f>A37&amp;"-"&amp;IF(DAY(Variables!$A$2)&lt;10,0,"")&amp;DAY(Variables!$A$2)</f>
        <v>-24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7" s="30" t="e">
        <f>VLOOKUP(B37,'Train Runs'!$A$13:$A$99931,1,FALSE)</f>
        <v>#N/A</v>
      </c>
    </row>
    <row r="38" spans="1:10" x14ac:dyDescent="0.25">
      <c r="A38" s="195"/>
      <c r="B38" s="42" t="str">
        <f>A38&amp;"-"&amp;IF(DAY(Variables!$A$2)&lt;10,0,"")&amp;DAY(Variables!$A$2)</f>
        <v>-24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8" s="30" t="e">
        <f>VLOOKUP(B38,'Train Runs'!$A$13:$A$99931,1,FALSE)</f>
        <v>#N/A</v>
      </c>
    </row>
    <row r="39" spans="1:10" x14ac:dyDescent="0.25">
      <c r="A39" s="195"/>
      <c r="B39" s="42" t="str">
        <f>A39&amp;"-"&amp;IF(DAY(Variables!$A$2)&lt;10,0,"")&amp;DAY(Variables!$A$2)</f>
        <v>-24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9" s="30" t="e">
        <f>VLOOKUP(B39,'Train Runs'!$A$13:$A$99931,1,FALSE)</f>
        <v>#N/A</v>
      </c>
    </row>
    <row r="40" spans="1:10" x14ac:dyDescent="0.25">
      <c r="A40" s="195"/>
      <c r="B40" s="42" t="str">
        <f>A40&amp;"-"&amp;IF(DAY(Variables!$A$2)&lt;10,0,"")&amp;DAY(Variables!$A$2)</f>
        <v>-24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0" s="30" t="e">
        <f>VLOOKUP(B40,'Train Runs'!$A$13:$A$99931,1,FALSE)</f>
        <v>#N/A</v>
      </c>
    </row>
    <row r="41" spans="1:10" x14ac:dyDescent="0.25">
      <c r="A41" s="195"/>
      <c r="B41" s="42" t="str">
        <f>A41&amp;"-"&amp;IF(DAY(Variables!$A$2)&lt;10,0,"")&amp;DAY(Variables!$A$2)</f>
        <v>-24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1" s="30" t="e">
        <f>VLOOKUP(B41,'Train Runs'!$A$13:$A$99931,1,FALSE)</f>
        <v>#N/A</v>
      </c>
    </row>
    <row r="42" spans="1:10" x14ac:dyDescent="0.25">
      <c r="A42" s="195"/>
      <c r="B42" s="42" t="str">
        <f>A42&amp;"-"&amp;IF(DAY(Variables!$A$2)&lt;10,0,"")&amp;DAY(Variables!$A$2)</f>
        <v>-24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2" s="30" t="e">
        <f>VLOOKUP(B42,'Train Runs'!$A$13:$A$99931,1,FALSE)</f>
        <v>#N/A</v>
      </c>
    </row>
    <row r="43" spans="1:10" x14ac:dyDescent="0.25">
      <c r="A43" s="195"/>
      <c r="B43" s="42" t="str">
        <f>A43&amp;"-"&amp;IF(DAY(Variables!$A$2)&lt;10,0,"")&amp;DAY(Variables!$A$2)</f>
        <v>-24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3" s="30" t="e">
        <f>VLOOKUP(B43,'Train Runs'!$A$13:$A$99931,1,FALSE)</f>
        <v>#N/A</v>
      </c>
    </row>
    <row r="44" spans="1:10" x14ac:dyDescent="0.25">
      <c r="A44" s="195"/>
      <c r="B44" s="42" t="str">
        <f>A44&amp;"-"&amp;IF(DAY(Variables!$A$2)&lt;10,0,"")&amp;DAY(Variables!$A$2)</f>
        <v>-24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4" s="30" t="e">
        <f>VLOOKUP(B44,'Train Runs'!$A$13:$A$99931,1,FALSE)</f>
        <v>#N/A</v>
      </c>
    </row>
    <row r="45" spans="1:10" x14ac:dyDescent="0.25">
      <c r="A45" s="195"/>
      <c r="B45" s="42" t="str">
        <f>A45&amp;"-"&amp;IF(DAY(Variables!$A$2)&lt;10,0,"")&amp;DAY(Variables!$A$2)</f>
        <v>-24</v>
      </c>
      <c r="C45" s="135"/>
      <c r="D45" s="153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5" s="30" t="e">
        <f>VLOOKUP(B45,'Train Runs'!$A$13:$A$99931,1,FALSE)</f>
        <v>#N/A</v>
      </c>
    </row>
    <row r="46" spans="1:10" x14ac:dyDescent="0.25">
      <c r="A46" s="195"/>
      <c r="B46" s="42" t="str">
        <f>A46&amp;"-"&amp;IF(DAY(Variables!$A$2)&lt;10,0,"")&amp;DAY(Variables!$A$2)</f>
        <v>-24</v>
      </c>
      <c r="C46" s="135"/>
      <c r="D46" s="153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6" s="30" t="e">
        <f>VLOOKUP(B46,'Train Runs'!$A$13:$A$99931,1,FALSE)</f>
        <v>#N/A</v>
      </c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  <row r="101" spans="1:10" x14ac:dyDescent="0.25">
      <c r="A101" s="195"/>
      <c r="B101" s="42"/>
      <c r="C101" s="135"/>
      <c r="D101" s="153"/>
      <c r="E101" s="30"/>
      <c r="F101" s="21"/>
      <c r="G101" s="21"/>
      <c r="H101" s="29"/>
      <c r="I101" s="45"/>
      <c r="J101" s="30"/>
    </row>
    <row r="102" spans="1:10" x14ac:dyDescent="0.25">
      <c r="A102" s="195"/>
      <c r="B102" s="42"/>
      <c r="C102" s="135"/>
      <c r="D102" s="153"/>
      <c r="E102" s="30"/>
      <c r="F102" s="21"/>
      <c r="G102" s="21"/>
      <c r="H102" s="29"/>
      <c r="I102" s="45"/>
      <c r="J102" s="30"/>
    </row>
  </sheetData>
  <autoFilter ref="A2:J54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42910.036041666666</v>
      </c>
      <c r="B2" s="20" t="s">
        <v>513</v>
      </c>
      <c r="C2" s="20" t="s">
        <v>666</v>
      </c>
      <c r="D2" s="138">
        <v>3090000</v>
      </c>
      <c r="E2" s="20" t="s">
        <v>375</v>
      </c>
      <c r="F2" s="20" t="s">
        <v>376</v>
      </c>
      <c r="G2" s="8" t="str">
        <f>E2&amp;" "&amp;F2</f>
        <v>LAMAR NEKESHA</v>
      </c>
    </row>
    <row r="3" spans="1:7" x14ac:dyDescent="0.25">
      <c r="A3" s="8">
        <v>42910.036238425928</v>
      </c>
      <c r="B3" s="20" t="s">
        <v>402</v>
      </c>
      <c r="C3" s="20" t="s">
        <v>667</v>
      </c>
      <c r="D3" s="138">
        <v>3030000</v>
      </c>
      <c r="E3" s="20" t="s">
        <v>381</v>
      </c>
      <c r="F3" s="20" t="s">
        <v>366</v>
      </c>
      <c r="G3" s="8" t="str">
        <f t="shared" ref="G3:G66" si="0">E3&amp;" "&amp;F3</f>
        <v>BIRENBAUM THOMAS</v>
      </c>
    </row>
    <row r="4" spans="1:7" x14ac:dyDescent="0.25">
      <c r="A4" s="8">
        <v>42910.036736111113</v>
      </c>
      <c r="B4" s="20" t="s">
        <v>668</v>
      </c>
      <c r="C4" s="20" t="s">
        <v>428</v>
      </c>
      <c r="D4" s="138">
        <v>2620000</v>
      </c>
      <c r="E4" s="20" t="s">
        <v>560</v>
      </c>
      <c r="F4" s="20" t="s">
        <v>561</v>
      </c>
      <c r="G4" s="8" t="str">
        <f t="shared" si="0"/>
        <v>PERKINS DARREN</v>
      </c>
    </row>
    <row r="5" spans="1:7" x14ac:dyDescent="0.25">
      <c r="A5" s="8">
        <v>42910.048518518517</v>
      </c>
      <c r="B5" s="20" t="s">
        <v>437</v>
      </c>
      <c r="C5" s="20" t="s">
        <v>430</v>
      </c>
      <c r="D5" s="138">
        <v>3000000</v>
      </c>
      <c r="E5" s="20" t="s">
        <v>422</v>
      </c>
      <c r="F5" s="20" t="s">
        <v>423</v>
      </c>
      <c r="G5" s="8" t="str">
        <f t="shared" si="0"/>
        <v>FORTUNATO FRANK</v>
      </c>
    </row>
    <row r="6" spans="1:7" x14ac:dyDescent="0.25">
      <c r="A6" s="8">
        <v>42910.049687500003</v>
      </c>
      <c r="B6" s="20" t="s">
        <v>439</v>
      </c>
      <c r="C6" s="20" t="s">
        <v>427</v>
      </c>
      <c r="D6" s="138">
        <v>1540000</v>
      </c>
      <c r="E6" s="20" t="s">
        <v>498</v>
      </c>
      <c r="F6" s="20" t="s">
        <v>499</v>
      </c>
      <c r="G6" s="8" t="str">
        <f t="shared" si="0"/>
        <v>HELVIE ADAM</v>
      </c>
    </row>
    <row r="7" spans="1:7" x14ac:dyDescent="0.25">
      <c r="A7" s="8">
        <v>42910.068460648145</v>
      </c>
      <c r="B7" s="20" t="s">
        <v>669</v>
      </c>
      <c r="C7" s="20" t="s">
        <v>429</v>
      </c>
      <c r="D7" s="138">
        <v>2620000</v>
      </c>
      <c r="E7" s="20" t="s">
        <v>560</v>
      </c>
      <c r="F7" s="20" t="s">
        <v>561</v>
      </c>
      <c r="G7" s="8" t="str">
        <f t="shared" si="0"/>
        <v>PERKINS DARREN</v>
      </c>
    </row>
    <row r="8" spans="1:7" x14ac:dyDescent="0.25">
      <c r="A8" s="8">
        <v>42910.072928240741</v>
      </c>
      <c r="B8" s="20" t="s">
        <v>526</v>
      </c>
      <c r="C8" s="20" t="s">
        <v>670</v>
      </c>
      <c r="D8" s="138">
        <v>3090000</v>
      </c>
      <c r="E8" s="20" t="s">
        <v>375</v>
      </c>
      <c r="F8" s="20" t="s">
        <v>376</v>
      </c>
      <c r="G8" s="8" t="str">
        <f t="shared" si="0"/>
        <v>LAMAR NEKESHA</v>
      </c>
    </row>
    <row r="9" spans="1:7" ht="15.75" thickBot="1" x14ac:dyDescent="0.3">
      <c r="A9" s="24">
        <v>42910.091226851851</v>
      </c>
      <c r="B9" s="20" t="s">
        <v>438</v>
      </c>
      <c r="C9" s="20" t="s">
        <v>431</v>
      </c>
      <c r="D9" s="138">
        <v>3000000</v>
      </c>
      <c r="E9" s="20" t="s">
        <v>422</v>
      </c>
      <c r="F9" s="20" t="s">
        <v>423</v>
      </c>
      <c r="G9" s="8" t="str">
        <f t="shared" si="0"/>
        <v>FORTUNATO FRANK</v>
      </c>
    </row>
    <row r="10" spans="1:7" x14ac:dyDescent="0.25">
      <c r="A10" s="8">
        <v>42910.110289351855</v>
      </c>
      <c r="B10" s="20" t="s">
        <v>513</v>
      </c>
      <c r="C10" s="20" t="s">
        <v>432</v>
      </c>
      <c r="D10" s="138">
        <v>3090000</v>
      </c>
      <c r="E10" s="20" t="s">
        <v>375</v>
      </c>
      <c r="F10" s="20" t="s">
        <v>376</v>
      </c>
      <c r="G10" s="8" t="str">
        <f t="shared" si="0"/>
        <v>LAMAR NEKESHA</v>
      </c>
    </row>
    <row r="11" spans="1:7" x14ac:dyDescent="0.25">
      <c r="A11" s="8">
        <v>42910.115717592591</v>
      </c>
      <c r="B11" s="20" t="s">
        <v>365</v>
      </c>
      <c r="C11" s="20" t="s">
        <v>671</v>
      </c>
      <c r="D11" s="138">
        <v>2010000</v>
      </c>
      <c r="E11" s="20" t="s">
        <v>672</v>
      </c>
      <c r="F11" s="20" t="s">
        <v>673</v>
      </c>
      <c r="G11" s="8" t="str">
        <f t="shared" si="0"/>
        <v>MAELZER KURT</v>
      </c>
    </row>
    <row r="12" spans="1:7" x14ac:dyDescent="0.25">
      <c r="A12" s="8">
        <v>42910.117037037038</v>
      </c>
      <c r="B12" s="20" t="s">
        <v>365</v>
      </c>
      <c r="C12" s="20" t="s">
        <v>671</v>
      </c>
      <c r="D12" s="138">
        <v>2010000</v>
      </c>
      <c r="E12" s="20" t="s">
        <v>672</v>
      </c>
      <c r="F12" s="20" t="s">
        <v>673</v>
      </c>
      <c r="G12" s="8" t="str">
        <f t="shared" si="0"/>
        <v>MAELZER KURT</v>
      </c>
    </row>
    <row r="13" spans="1:7" x14ac:dyDescent="0.25">
      <c r="A13" s="8">
        <v>42910.131099537037</v>
      </c>
      <c r="B13" s="20" t="s">
        <v>470</v>
      </c>
      <c r="C13" s="20" t="s">
        <v>674</v>
      </c>
      <c r="D13" s="138">
        <v>2010000</v>
      </c>
      <c r="E13" s="20" t="s">
        <v>672</v>
      </c>
      <c r="F13" s="20" t="s">
        <v>673</v>
      </c>
      <c r="G13" s="8" t="str">
        <f t="shared" si="0"/>
        <v>MAELZER KURT</v>
      </c>
    </row>
    <row r="14" spans="1:7" x14ac:dyDescent="0.25">
      <c r="A14" s="8">
        <v>42910.133622685185</v>
      </c>
      <c r="B14" s="20" t="s">
        <v>341</v>
      </c>
      <c r="C14" s="20" t="s">
        <v>675</v>
      </c>
      <c r="D14" s="138">
        <v>1240000</v>
      </c>
      <c r="E14" s="20" t="s">
        <v>554</v>
      </c>
      <c r="F14" s="20" t="s">
        <v>555</v>
      </c>
      <c r="G14" s="8" t="str">
        <f t="shared" si="0"/>
        <v>GRASTON MATHEU</v>
      </c>
    </row>
    <row r="15" spans="1:7" x14ac:dyDescent="0.25">
      <c r="A15" s="8">
        <v>42910.133680555555</v>
      </c>
      <c r="B15" s="20" t="s">
        <v>549</v>
      </c>
      <c r="C15" s="20" t="s">
        <v>676</v>
      </c>
      <c r="D15" s="138">
        <v>3040000</v>
      </c>
      <c r="E15" s="20" t="s">
        <v>382</v>
      </c>
      <c r="F15" s="20" t="s">
        <v>383</v>
      </c>
      <c r="G15" s="8" t="str">
        <f t="shared" si="0"/>
        <v>WILLIAMS DONTE</v>
      </c>
    </row>
    <row r="16" spans="1:7" x14ac:dyDescent="0.25">
      <c r="A16" s="8">
        <v>42910.140208333331</v>
      </c>
      <c r="B16" s="20" t="s">
        <v>365</v>
      </c>
      <c r="C16" s="20" t="s">
        <v>677</v>
      </c>
      <c r="D16" s="138">
        <v>1240000</v>
      </c>
      <c r="E16" s="20" t="s">
        <v>554</v>
      </c>
      <c r="F16" s="20" t="s">
        <v>555</v>
      </c>
      <c r="G16" s="8" t="str">
        <f t="shared" si="0"/>
        <v>GRASTON MATHEU</v>
      </c>
    </row>
    <row r="17" spans="1:7" x14ac:dyDescent="0.25">
      <c r="A17" s="8">
        <v>42910.149456018517</v>
      </c>
      <c r="B17" s="20" t="s">
        <v>357</v>
      </c>
      <c r="C17" s="20" t="s">
        <v>678</v>
      </c>
      <c r="D17" s="138">
        <v>3040000</v>
      </c>
      <c r="E17" s="20" t="s">
        <v>382</v>
      </c>
      <c r="F17" s="20" t="s">
        <v>383</v>
      </c>
      <c r="G17" s="8" t="str">
        <f t="shared" si="0"/>
        <v>WILLIAMS DONTE</v>
      </c>
    </row>
    <row r="18" spans="1:7" x14ac:dyDescent="0.25">
      <c r="A18" s="8">
        <v>42910.157650462963</v>
      </c>
      <c r="B18" s="20" t="s">
        <v>679</v>
      </c>
      <c r="C18" s="20" t="s">
        <v>680</v>
      </c>
      <c r="D18" s="138">
        <v>1990000</v>
      </c>
      <c r="E18" s="20" t="s">
        <v>411</v>
      </c>
      <c r="F18" s="20" t="s">
        <v>527</v>
      </c>
      <c r="G18" s="8" t="str">
        <f t="shared" si="0"/>
        <v>DAVIS WENDY</v>
      </c>
    </row>
    <row r="19" spans="1:7" x14ac:dyDescent="0.25">
      <c r="A19" s="8">
        <v>42910.16642361111</v>
      </c>
      <c r="B19" s="20" t="s">
        <v>469</v>
      </c>
      <c r="C19" s="20" t="s">
        <v>681</v>
      </c>
      <c r="D19" s="138">
        <v>2010000</v>
      </c>
      <c r="E19" s="20" t="s">
        <v>672</v>
      </c>
      <c r="F19" s="20" t="s">
        <v>673</v>
      </c>
      <c r="G19" s="8" t="str">
        <f t="shared" si="0"/>
        <v>MAELZER KURT</v>
      </c>
    </row>
    <row r="20" spans="1:7" x14ac:dyDescent="0.25">
      <c r="A20" s="8">
        <v>42910.170011574075</v>
      </c>
      <c r="B20" s="20" t="s">
        <v>682</v>
      </c>
      <c r="C20" s="20" t="s">
        <v>683</v>
      </c>
      <c r="D20" s="138">
        <v>1990000</v>
      </c>
      <c r="E20" s="20" t="s">
        <v>411</v>
      </c>
      <c r="F20" s="20" t="s">
        <v>527</v>
      </c>
      <c r="G20" s="8" t="str">
        <f t="shared" si="0"/>
        <v>DAVIS WENDY</v>
      </c>
    </row>
    <row r="21" spans="1:7" x14ac:dyDescent="0.25">
      <c r="A21" s="8">
        <v>42910.171863425923</v>
      </c>
      <c r="B21" s="20" t="s">
        <v>682</v>
      </c>
      <c r="C21" s="20" t="s">
        <v>683</v>
      </c>
      <c r="D21" s="138">
        <v>1990000</v>
      </c>
      <c r="E21" s="20" t="s">
        <v>411</v>
      </c>
      <c r="F21" s="20" t="s">
        <v>527</v>
      </c>
      <c r="G21" s="8" t="str">
        <f t="shared" si="0"/>
        <v>DAVIS WENDY</v>
      </c>
    </row>
    <row r="22" spans="1:7" x14ac:dyDescent="0.25">
      <c r="A22" s="26">
        <v>42910.172835648147</v>
      </c>
      <c r="B22" s="20" t="s">
        <v>417</v>
      </c>
      <c r="C22" s="20" t="s">
        <v>684</v>
      </c>
      <c r="D22" s="138">
        <v>1100000</v>
      </c>
      <c r="E22" s="20" t="s">
        <v>528</v>
      </c>
      <c r="F22" s="20" t="s">
        <v>529</v>
      </c>
      <c r="G22" s="8" t="str">
        <f t="shared" si="0"/>
        <v>GEBRETEKLE DAGNEW</v>
      </c>
    </row>
    <row r="23" spans="1:7" x14ac:dyDescent="0.25">
      <c r="A23" s="8">
        <v>42910.177256944444</v>
      </c>
      <c r="B23" s="20" t="s">
        <v>418</v>
      </c>
      <c r="C23" s="20" t="s">
        <v>685</v>
      </c>
      <c r="D23" s="138">
        <v>2530000</v>
      </c>
      <c r="E23" s="20" t="s">
        <v>686</v>
      </c>
      <c r="F23" s="20" t="s">
        <v>687</v>
      </c>
      <c r="G23" s="8" t="str">
        <f t="shared" si="0"/>
        <v>LALONDE GREGORY</v>
      </c>
    </row>
    <row r="24" spans="1:7" x14ac:dyDescent="0.25">
      <c r="A24" s="8">
        <v>42910.185648148145</v>
      </c>
      <c r="B24" s="20" t="s">
        <v>421</v>
      </c>
      <c r="C24" s="20" t="s">
        <v>688</v>
      </c>
      <c r="D24" s="138">
        <v>1100000</v>
      </c>
      <c r="E24" s="20" t="s">
        <v>528</v>
      </c>
      <c r="F24" s="20" t="s">
        <v>529</v>
      </c>
      <c r="G24" s="8" t="str">
        <f t="shared" si="0"/>
        <v>GEBRETEKLE DAGNEW</v>
      </c>
    </row>
    <row r="25" spans="1:7" x14ac:dyDescent="0.25">
      <c r="A25" s="8">
        <v>42910.186145833337</v>
      </c>
      <c r="B25" s="20" t="s">
        <v>549</v>
      </c>
      <c r="C25" s="20" t="s">
        <v>689</v>
      </c>
      <c r="D25" s="138">
        <v>3040000</v>
      </c>
      <c r="E25" s="20" t="s">
        <v>382</v>
      </c>
      <c r="F25" s="20" t="s">
        <v>383</v>
      </c>
      <c r="G25" s="8" t="str">
        <f t="shared" si="0"/>
        <v>WILLIAMS DONTE</v>
      </c>
    </row>
    <row r="26" spans="1:7" x14ac:dyDescent="0.25">
      <c r="A26" s="8">
        <v>42910.194282407407</v>
      </c>
      <c r="B26" s="20" t="s">
        <v>420</v>
      </c>
      <c r="C26" s="20" t="s">
        <v>690</v>
      </c>
      <c r="D26" s="138">
        <v>2530000</v>
      </c>
      <c r="E26" s="20" t="s">
        <v>686</v>
      </c>
      <c r="F26" s="20" t="s">
        <v>687</v>
      </c>
      <c r="G26" s="8" t="str">
        <f t="shared" si="0"/>
        <v>LALONDE GREGORY</v>
      </c>
    </row>
    <row r="27" spans="1:7" x14ac:dyDescent="0.25">
      <c r="A27" s="8">
        <v>42910.199525462966</v>
      </c>
      <c r="B27" s="20" t="s">
        <v>368</v>
      </c>
      <c r="C27" s="20" t="s">
        <v>631</v>
      </c>
      <c r="D27" s="138">
        <v>2600000</v>
      </c>
      <c r="E27" s="20" t="s">
        <v>691</v>
      </c>
      <c r="F27" s="20" t="s">
        <v>692</v>
      </c>
      <c r="G27" s="8" t="str">
        <f t="shared" si="0"/>
        <v>DAVIDSON DAVID</v>
      </c>
    </row>
    <row r="28" spans="1:7" x14ac:dyDescent="0.25">
      <c r="A28" s="8">
        <v>42910.204722222225</v>
      </c>
      <c r="B28" s="20" t="s">
        <v>470</v>
      </c>
      <c r="C28" s="20" t="s">
        <v>693</v>
      </c>
      <c r="D28" s="138">
        <v>2010000</v>
      </c>
      <c r="E28" s="20" t="s">
        <v>672</v>
      </c>
      <c r="F28" s="20" t="s">
        <v>673</v>
      </c>
      <c r="G28" s="8" t="str">
        <f t="shared" si="0"/>
        <v>MAELZER KURT</v>
      </c>
    </row>
    <row r="29" spans="1:7" x14ac:dyDescent="0.25">
      <c r="A29" s="8">
        <v>42910.214722222219</v>
      </c>
      <c r="B29" s="20" t="s">
        <v>374</v>
      </c>
      <c r="C29" s="20" t="s">
        <v>694</v>
      </c>
      <c r="D29" s="138">
        <v>2600000</v>
      </c>
      <c r="E29" s="20" t="s">
        <v>691</v>
      </c>
      <c r="F29" s="20" t="s">
        <v>692</v>
      </c>
      <c r="G29" s="8" t="str">
        <f t="shared" si="0"/>
        <v>DAVIDSON DAVID</v>
      </c>
    </row>
    <row r="30" spans="1:7" x14ac:dyDescent="0.25">
      <c r="A30" s="8">
        <v>42910.215057870373</v>
      </c>
      <c r="B30" s="20" t="s">
        <v>417</v>
      </c>
      <c r="C30" s="20" t="s">
        <v>695</v>
      </c>
      <c r="D30" s="138">
        <v>1100000</v>
      </c>
      <c r="E30" s="20" t="s">
        <v>528</v>
      </c>
      <c r="F30" s="20" t="s">
        <v>529</v>
      </c>
      <c r="G30" s="8" t="str">
        <f t="shared" si="0"/>
        <v>GEBRETEKLE DAGNEW</v>
      </c>
    </row>
    <row r="31" spans="1:7" x14ac:dyDescent="0.25">
      <c r="A31" s="8">
        <v>42910.218032407407</v>
      </c>
      <c r="B31" s="20" t="s">
        <v>646</v>
      </c>
      <c r="C31" s="20" t="s">
        <v>696</v>
      </c>
      <c r="D31" s="138">
        <v>2970000</v>
      </c>
      <c r="E31" s="20" t="s">
        <v>379</v>
      </c>
      <c r="F31" s="20" t="s">
        <v>380</v>
      </c>
      <c r="G31" s="8" t="str">
        <f t="shared" si="0"/>
        <v>GUZMAN DANNY</v>
      </c>
    </row>
    <row r="32" spans="1:7" x14ac:dyDescent="0.25">
      <c r="A32" s="8">
        <v>42910.220543981479</v>
      </c>
      <c r="B32" s="20" t="s">
        <v>679</v>
      </c>
      <c r="C32" s="20" t="s">
        <v>697</v>
      </c>
      <c r="D32" s="138">
        <v>1990000</v>
      </c>
      <c r="E32" s="20" t="s">
        <v>411</v>
      </c>
      <c r="F32" s="20" t="s">
        <v>527</v>
      </c>
      <c r="G32" s="8" t="str">
        <f t="shared" si="0"/>
        <v>DAVIS WENDY</v>
      </c>
    </row>
    <row r="33" spans="1:7" x14ac:dyDescent="0.25">
      <c r="A33" s="8">
        <v>42910.221365740741</v>
      </c>
      <c r="B33" s="20" t="s">
        <v>679</v>
      </c>
      <c r="C33" s="20" t="s">
        <v>698</v>
      </c>
      <c r="D33" s="138">
        <v>1990000</v>
      </c>
      <c r="E33" s="20" t="s">
        <v>411</v>
      </c>
      <c r="F33" s="20" t="s">
        <v>527</v>
      </c>
      <c r="G33" s="8" t="str">
        <f t="shared" si="0"/>
        <v>DAVIS WENDY</v>
      </c>
    </row>
    <row r="34" spans="1:7" x14ac:dyDescent="0.25">
      <c r="A34" s="8">
        <v>42910.222673611112</v>
      </c>
      <c r="B34" s="20" t="s">
        <v>510</v>
      </c>
      <c r="C34" s="20" t="s">
        <v>699</v>
      </c>
      <c r="D34" s="138">
        <v>2560000</v>
      </c>
      <c r="E34" s="20" t="s">
        <v>700</v>
      </c>
      <c r="F34" s="20" t="s">
        <v>366</v>
      </c>
      <c r="G34" s="8" t="str">
        <f t="shared" si="0"/>
        <v>MACDONALD THOMAS</v>
      </c>
    </row>
    <row r="35" spans="1:7" x14ac:dyDescent="0.25">
      <c r="A35" s="8">
        <v>42910.227789351855</v>
      </c>
      <c r="B35" s="20" t="s">
        <v>357</v>
      </c>
      <c r="C35" s="20" t="s">
        <v>701</v>
      </c>
      <c r="D35" s="138">
        <v>3040000</v>
      </c>
      <c r="E35" s="20" t="s">
        <v>382</v>
      </c>
      <c r="F35" s="20" t="s">
        <v>383</v>
      </c>
      <c r="G35" s="8" t="str">
        <f t="shared" si="0"/>
        <v>WILLIAMS DONTE</v>
      </c>
    </row>
    <row r="36" spans="1:7" x14ac:dyDescent="0.25">
      <c r="A36" s="8">
        <v>42910.231516203705</v>
      </c>
      <c r="B36" s="20" t="s">
        <v>658</v>
      </c>
      <c r="C36" s="20" t="s">
        <v>702</v>
      </c>
      <c r="D36" s="138">
        <v>2970000</v>
      </c>
      <c r="E36" s="20" t="s">
        <v>379</v>
      </c>
      <c r="F36" s="20" t="s">
        <v>380</v>
      </c>
      <c r="G36" s="8" t="str">
        <f t="shared" si="0"/>
        <v>GUZMAN DANNY</v>
      </c>
    </row>
    <row r="37" spans="1:7" x14ac:dyDescent="0.25">
      <c r="A37" s="8">
        <v>42910.2340625</v>
      </c>
      <c r="B37" s="20" t="s">
        <v>418</v>
      </c>
      <c r="C37" s="20" t="s">
        <v>703</v>
      </c>
      <c r="D37" s="138">
        <v>2530000</v>
      </c>
      <c r="E37" s="20" t="s">
        <v>686</v>
      </c>
      <c r="F37" s="20" t="s">
        <v>687</v>
      </c>
      <c r="G37" s="8" t="str">
        <f t="shared" si="0"/>
        <v>LALONDE GREGORY</v>
      </c>
    </row>
    <row r="38" spans="1:7" x14ac:dyDescent="0.25">
      <c r="A38" s="8">
        <v>42910.234525462962</v>
      </c>
      <c r="B38" s="20" t="s">
        <v>502</v>
      </c>
      <c r="C38" s="20" t="s">
        <v>704</v>
      </c>
      <c r="D38" s="138">
        <v>2560000</v>
      </c>
      <c r="E38" s="20" t="s">
        <v>700</v>
      </c>
      <c r="F38" s="20" t="s">
        <v>366</v>
      </c>
      <c r="G38" s="8" t="str">
        <f t="shared" si="0"/>
        <v>MACDONALD THOMAS</v>
      </c>
    </row>
    <row r="39" spans="1:7" x14ac:dyDescent="0.25">
      <c r="A39" s="8">
        <v>42910.235509259262</v>
      </c>
      <c r="B39" s="20" t="s">
        <v>341</v>
      </c>
      <c r="C39" s="20" t="s">
        <v>675</v>
      </c>
      <c r="D39" s="138">
        <v>1240000</v>
      </c>
      <c r="E39" s="20" t="s">
        <v>554</v>
      </c>
      <c r="F39" s="20" t="s">
        <v>555</v>
      </c>
      <c r="G39" s="8" t="str">
        <f t="shared" si="0"/>
        <v>GRASTON MATHEU</v>
      </c>
    </row>
    <row r="40" spans="1:7" x14ac:dyDescent="0.25">
      <c r="A40" s="8">
        <v>42910.242743055554</v>
      </c>
      <c r="B40" s="25" t="s">
        <v>469</v>
      </c>
      <c r="C40" s="20" t="s">
        <v>705</v>
      </c>
      <c r="D40" s="138">
        <v>2010000</v>
      </c>
      <c r="E40" s="20" t="s">
        <v>672</v>
      </c>
      <c r="F40" s="20" t="s">
        <v>673</v>
      </c>
      <c r="G40" s="8" t="str">
        <f t="shared" si="0"/>
        <v>MAELZER KURT</v>
      </c>
    </row>
    <row r="41" spans="1:7" x14ac:dyDescent="0.25">
      <c r="A41" s="8">
        <v>42910.24560185185</v>
      </c>
      <c r="B41" s="20" t="s">
        <v>365</v>
      </c>
      <c r="C41" s="20" t="s">
        <v>677</v>
      </c>
      <c r="D41" s="138">
        <v>1240000</v>
      </c>
      <c r="E41" s="20" t="s">
        <v>554</v>
      </c>
      <c r="F41" s="20" t="s">
        <v>555</v>
      </c>
      <c r="G41" s="8" t="str">
        <f t="shared" si="0"/>
        <v>GRASTON MATHEU</v>
      </c>
    </row>
    <row r="42" spans="1:7" x14ac:dyDescent="0.25">
      <c r="A42" s="8">
        <v>42910.246944444443</v>
      </c>
      <c r="B42" s="20" t="s">
        <v>368</v>
      </c>
      <c r="C42" s="20" t="s">
        <v>706</v>
      </c>
      <c r="D42" s="138">
        <v>2600000</v>
      </c>
      <c r="E42" s="20" t="s">
        <v>691</v>
      </c>
      <c r="F42" s="20" t="s">
        <v>692</v>
      </c>
      <c r="G42" s="8" t="str">
        <f t="shared" si="0"/>
        <v>DAVIDSON DAVID</v>
      </c>
    </row>
    <row r="43" spans="1:7" x14ac:dyDescent="0.25">
      <c r="A43" s="8">
        <v>42910.248807870368</v>
      </c>
      <c r="B43" s="20" t="s">
        <v>341</v>
      </c>
      <c r="C43" s="20" t="s">
        <v>697</v>
      </c>
      <c r="D43" s="138">
        <v>1240000</v>
      </c>
      <c r="E43" s="20" t="s">
        <v>554</v>
      </c>
      <c r="F43" s="20" t="s">
        <v>555</v>
      </c>
      <c r="G43" s="8" t="str">
        <f t="shared" si="0"/>
        <v>GRASTON MATHEU</v>
      </c>
    </row>
    <row r="44" spans="1:7" x14ac:dyDescent="0.25">
      <c r="A44" s="8">
        <v>42910.250509259262</v>
      </c>
      <c r="B44" s="20" t="s">
        <v>510</v>
      </c>
      <c r="C44" s="20" t="s">
        <v>707</v>
      </c>
      <c r="D44" s="138">
        <v>2560000</v>
      </c>
      <c r="E44" s="20" t="s">
        <v>700</v>
      </c>
      <c r="F44" s="20" t="s">
        <v>366</v>
      </c>
      <c r="G44" s="8" t="str">
        <f t="shared" si="0"/>
        <v>MACDONALD THOMAS</v>
      </c>
    </row>
    <row r="45" spans="1:7" x14ac:dyDescent="0.25">
      <c r="A45" s="8">
        <v>42910.252685185187</v>
      </c>
      <c r="B45" s="20" t="s">
        <v>421</v>
      </c>
      <c r="C45" s="20" t="s">
        <v>632</v>
      </c>
      <c r="D45" s="138">
        <v>1100000</v>
      </c>
      <c r="E45" s="20" t="s">
        <v>528</v>
      </c>
      <c r="F45" s="20" t="s">
        <v>529</v>
      </c>
      <c r="G45" s="8" t="str">
        <f t="shared" si="0"/>
        <v>GEBRETEKLE DAGNEW</v>
      </c>
    </row>
    <row r="46" spans="1:7" x14ac:dyDescent="0.25">
      <c r="A46" s="8">
        <v>42910.253171296295</v>
      </c>
      <c r="B46" s="20" t="s">
        <v>658</v>
      </c>
      <c r="C46" s="20" t="s">
        <v>702</v>
      </c>
      <c r="D46" s="138">
        <v>2970000</v>
      </c>
      <c r="E46" s="20" t="s">
        <v>379</v>
      </c>
      <c r="F46" s="20" t="s">
        <v>380</v>
      </c>
      <c r="G46" s="8" t="str">
        <f t="shared" si="0"/>
        <v>GUZMAN DANNY</v>
      </c>
    </row>
    <row r="47" spans="1:7" x14ac:dyDescent="0.25">
      <c r="A47" s="8">
        <v>42910.258344907408</v>
      </c>
      <c r="B47" s="20" t="s">
        <v>549</v>
      </c>
      <c r="C47" s="20" t="s">
        <v>708</v>
      </c>
      <c r="D47" s="138">
        <v>3040000</v>
      </c>
      <c r="E47" s="20" t="s">
        <v>382</v>
      </c>
      <c r="F47" s="20" t="s">
        <v>383</v>
      </c>
      <c r="G47" s="8" t="str">
        <f t="shared" si="0"/>
        <v>WILLIAMS DONTE</v>
      </c>
    </row>
    <row r="48" spans="1:7" x14ac:dyDescent="0.25">
      <c r="A48" s="8">
        <v>42910.265983796293</v>
      </c>
      <c r="B48" s="20" t="s">
        <v>420</v>
      </c>
      <c r="C48" s="20" t="s">
        <v>709</v>
      </c>
      <c r="D48" s="138">
        <v>2530000</v>
      </c>
      <c r="E48" s="20" t="s">
        <v>686</v>
      </c>
      <c r="F48" s="20" t="s">
        <v>687</v>
      </c>
      <c r="G48" s="8" t="str">
        <f t="shared" si="0"/>
        <v>LALONDE GREGORY</v>
      </c>
    </row>
    <row r="49" spans="1:7" x14ac:dyDescent="0.25">
      <c r="A49" s="8">
        <v>42910.266250000001</v>
      </c>
      <c r="B49" s="20" t="s">
        <v>682</v>
      </c>
      <c r="C49" s="20" t="s">
        <v>710</v>
      </c>
      <c r="D49" s="138">
        <v>1800000</v>
      </c>
      <c r="E49" s="20" t="s">
        <v>377</v>
      </c>
      <c r="F49" s="20" t="s">
        <v>378</v>
      </c>
      <c r="G49" s="8" t="str">
        <f t="shared" si="0"/>
        <v>CHANDLER KELVIN</v>
      </c>
    </row>
    <row r="50" spans="1:7" x14ac:dyDescent="0.25">
      <c r="A50" s="8">
        <v>42910.26972222222</v>
      </c>
      <c r="B50" s="20" t="s">
        <v>646</v>
      </c>
      <c r="C50" s="20" t="s">
        <v>711</v>
      </c>
      <c r="D50" s="138">
        <v>2970000</v>
      </c>
      <c r="E50" s="20" t="s">
        <v>379</v>
      </c>
      <c r="F50" s="20" t="s">
        <v>380</v>
      </c>
      <c r="G50" s="8" t="str">
        <f t="shared" si="0"/>
        <v>GUZMAN DANNY</v>
      </c>
    </row>
    <row r="51" spans="1:7" x14ac:dyDescent="0.25">
      <c r="A51" s="8">
        <v>42910.275173611109</v>
      </c>
      <c r="B51" s="20" t="s">
        <v>502</v>
      </c>
      <c r="C51" s="20" t="s">
        <v>712</v>
      </c>
      <c r="D51" s="138">
        <v>2560000</v>
      </c>
      <c r="E51" s="20" t="s">
        <v>700</v>
      </c>
      <c r="F51" s="20" t="s">
        <v>366</v>
      </c>
      <c r="G51" s="8" t="str">
        <f t="shared" si="0"/>
        <v>MACDONALD THOMAS</v>
      </c>
    </row>
    <row r="52" spans="1:7" x14ac:dyDescent="0.25">
      <c r="A52" s="8">
        <v>42910.277465277781</v>
      </c>
      <c r="B52" s="20" t="s">
        <v>365</v>
      </c>
      <c r="C52" s="20" t="s">
        <v>713</v>
      </c>
      <c r="D52" s="138">
        <v>1240000</v>
      </c>
      <c r="E52" s="20" t="s">
        <v>554</v>
      </c>
      <c r="F52" s="20" t="s">
        <v>555</v>
      </c>
      <c r="G52" s="8" t="str">
        <f t="shared" si="0"/>
        <v>GRASTON MATHEU</v>
      </c>
    </row>
    <row r="53" spans="1:7" x14ac:dyDescent="0.25">
      <c r="A53" s="8">
        <v>42910.278645833336</v>
      </c>
      <c r="B53" s="20" t="s">
        <v>470</v>
      </c>
      <c r="C53" s="20" t="s">
        <v>714</v>
      </c>
      <c r="D53" s="138">
        <v>2010000</v>
      </c>
      <c r="E53" s="20" t="s">
        <v>672</v>
      </c>
      <c r="F53" s="20" t="s">
        <v>673</v>
      </c>
      <c r="G53" s="8" t="str">
        <f t="shared" si="0"/>
        <v>MAELZER KURT</v>
      </c>
    </row>
    <row r="54" spans="1:7" x14ac:dyDescent="0.25">
      <c r="A54" s="8">
        <v>42910.285914351851</v>
      </c>
      <c r="B54" s="20" t="s">
        <v>523</v>
      </c>
      <c r="C54" s="20" t="s">
        <v>710</v>
      </c>
      <c r="D54" s="138">
        <v>1800000</v>
      </c>
      <c r="E54" s="20" t="s">
        <v>377</v>
      </c>
      <c r="F54" s="20" t="s">
        <v>378</v>
      </c>
      <c r="G54" s="8" t="str">
        <f t="shared" si="0"/>
        <v>CHANDLER KELVIN</v>
      </c>
    </row>
    <row r="55" spans="1:7" x14ac:dyDescent="0.25">
      <c r="A55" s="8">
        <v>42910.288645833331</v>
      </c>
      <c r="B55" s="20" t="s">
        <v>374</v>
      </c>
      <c r="C55" s="20" t="s">
        <v>715</v>
      </c>
      <c r="D55" s="138">
        <v>2600000</v>
      </c>
      <c r="E55" s="20" t="s">
        <v>691</v>
      </c>
      <c r="F55" s="20" t="s">
        <v>692</v>
      </c>
      <c r="G55" s="8" t="str">
        <f t="shared" si="0"/>
        <v>DAVIDSON DAVID</v>
      </c>
    </row>
    <row r="56" spans="1:7" x14ac:dyDescent="0.25">
      <c r="A56" s="8">
        <v>42910.289259259262</v>
      </c>
      <c r="B56" s="20" t="s">
        <v>417</v>
      </c>
      <c r="C56" s="20" t="s">
        <v>716</v>
      </c>
      <c r="D56" s="138">
        <v>1100000</v>
      </c>
      <c r="E56" s="20" t="s">
        <v>528</v>
      </c>
      <c r="F56" s="20" t="s">
        <v>529</v>
      </c>
      <c r="G56" s="8" t="str">
        <f t="shared" si="0"/>
        <v>GEBRETEKLE DAGNEW</v>
      </c>
    </row>
    <row r="57" spans="1:7" x14ac:dyDescent="0.25">
      <c r="A57" s="8">
        <v>42910.289618055554</v>
      </c>
      <c r="B57" s="20" t="s">
        <v>510</v>
      </c>
      <c r="C57" s="20" t="s">
        <v>717</v>
      </c>
      <c r="D57" s="138">
        <v>2560000</v>
      </c>
      <c r="E57" s="20" t="s">
        <v>700</v>
      </c>
      <c r="F57" s="20" t="s">
        <v>366</v>
      </c>
      <c r="G57" s="8" t="str">
        <f t="shared" si="0"/>
        <v>MACDONALD THOMAS</v>
      </c>
    </row>
    <row r="58" spans="1:7" x14ac:dyDescent="0.25">
      <c r="A58" s="8">
        <v>42910.298344907409</v>
      </c>
      <c r="B58" s="20" t="s">
        <v>357</v>
      </c>
      <c r="C58" s="20" t="s">
        <v>718</v>
      </c>
      <c r="D58" s="138">
        <v>3040000</v>
      </c>
      <c r="E58" s="20" t="s">
        <v>382</v>
      </c>
      <c r="F58" s="20" t="s">
        <v>383</v>
      </c>
      <c r="G58" s="8" t="str">
        <f t="shared" si="0"/>
        <v>WILLIAMS DONTE</v>
      </c>
    </row>
    <row r="59" spans="1:7" x14ac:dyDescent="0.25">
      <c r="A59" s="8">
        <v>42910.299664351849</v>
      </c>
      <c r="B59" s="20" t="s">
        <v>418</v>
      </c>
      <c r="C59" s="20" t="s">
        <v>719</v>
      </c>
      <c r="D59" s="138">
        <v>2530000</v>
      </c>
      <c r="E59" s="20" t="s">
        <v>686</v>
      </c>
      <c r="F59" s="20" t="s">
        <v>687</v>
      </c>
      <c r="G59" s="8" t="str">
        <f t="shared" si="0"/>
        <v>LALONDE GREGORY</v>
      </c>
    </row>
    <row r="60" spans="1:7" x14ac:dyDescent="0.25">
      <c r="A60" s="8">
        <v>42910.308310185188</v>
      </c>
      <c r="B60" s="20" t="s">
        <v>658</v>
      </c>
      <c r="C60" s="20" t="s">
        <v>720</v>
      </c>
      <c r="D60" s="138">
        <v>2970000</v>
      </c>
      <c r="E60" s="20" t="s">
        <v>379</v>
      </c>
      <c r="F60" s="20" t="s">
        <v>380</v>
      </c>
      <c r="G60" s="8" t="str">
        <f t="shared" si="0"/>
        <v>GUZMAN DANNY</v>
      </c>
    </row>
    <row r="61" spans="1:7" x14ac:dyDescent="0.25">
      <c r="A61" s="8">
        <v>42910.313703703701</v>
      </c>
      <c r="B61" s="20" t="s">
        <v>469</v>
      </c>
      <c r="C61" s="20" t="s">
        <v>721</v>
      </c>
      <c r="D61" s="138">
        <v>2010000</v>
      </c>
      <c r="E61" s="20" t="s">
        <v>672</v>
      </c>
      <c r="F61" s="20" t="s">
        <v>673</v>
      </c>
      <c r="G61" s="8" t="str">
        <f t="shared" si="0"/>
        <v>MAELZER KURT</v>
      </c>
    </row>
    <row r="62" spans="1:7" x14ac:dyDescent="0.25">
      <c r="A62" s="8">
        <v>42910.317326388889</v>
      </c>
      <c r="B62" s="20" t="s">
        <v>502</v>
      </c>
      <c r="C62" s="20" t="s">
        <v>633</v>
      </c>
      <c r="D62" s="138">
        <v>2560000</v>
      </c>
      <c r="E62" s="20" t="s">
        <v>700</v>
      </c>
      <c r="F62" s="20" t="s">
        <v>366</v>
      </c>
      <c r="G62" s="8" t="str">
        <f t="shared" si="0"/>
        <v>MACDONALD THOMAS</v>
      </c>
    </row>
    <row r="63" spans="1:7" x14ac:dyDescent="0.25">
      <c r="A63" s="8">
        <v>42910.318842592591</v>
      </c>
      <c r="B63" s="20" t="s">
        <v>341</v>
      </c>
      <c r="C63" s="20" t="s">
        <v>722</v>
      </c>
      <c r="D63" s="138">
        <v>1990000</v>
      </c>
      <c r="E63" s="20" t="s">
        <v>411</v>
      </c>
      <c r="F63" s="20" t="s">
        <v>527</v>
      </c>
      <c r="G63" s="8" t="str">
        <f t="shared" si="0"/>
        <v>DAVIS WENDY</v>
      </c>
    </row>
    <row r="64" spans="1:7" x14ac:dyDescent="0.25">
      <c r="A64" s="26">
        <v>42910.31994212963</v>
      </c>
      <c r="B64" s="20" t="s">
        <v>368</v>
      </c>
      <c r="C64" s="20" t="s">
        <v>635</v>
      </c>
      <c r="D64" s="138">
        <v>2600000</v>
      </c>
      <c r="E64" s="20" t="s">
        <v>691</v>
      </c>
      <c r="F64" s="20" t="s">
        <v>692</v>
      </c>
      <c r="G64" s="8" t="str">
        <f t="shared" si="0"/>
        <v>DAVIDSON DAVID</v>
      </c>
    </row>
    <row r="65" spans="1:7" x14ac:dyDescent="0.25">
      <c r="A65" s="8">
        <v>42910.331712962965</v>
      </c>
      <c r="B65" s="20" t="s">
        <v>510</v>
      </c>
      <c r="C65" s="20" t="s">
        <v>634</v>
      </c>
      <c r="D65" s="138">
        <v>2560000</v>
      </c>
      <c r="E65" s="20" t="s">
        <v>700</v>
      </c>
      <c r="F65" s="20" t="s">
        <v>366</v>
      </c>
      <c r="G65" s="8" t="str">
        <f t="shared" si="0"/>
        <v>MACDONALD THOMAS</v>
      </c>
    </row>
    <row r="66" spans="1:7" x14ac:dyDescent="0.25">
      <c r="A66" s="8">
        <v>42910.331747685188</v>
      </c>
      <c r="B66" s="20" t="s">
        <v>549</v>
      </c>
      <c r="C66" s="20" t="s">
        <v>723</v>
      </c>
      <c r="D66" s="138">
        <v>3040000</v>
      </c>
      <c r="E66" s="20" t="s">
        <v>382</v>
      </c>
      <c r="F66" s="20" t="s">
        <v>383</v>
      </c>
      <c r="G66" s="8" t="str">
        <f t="shared" si="0"/>
        <v>WILLIAMS DONTE</v>
      </c>
    </row>
    <row r="67" spans="1:7" x14ac:dyDescent="0.25">
      <c r="A67" s="8">
        <v>42910.331793981481</v>
      </c>
      <c r="B67" s="20" t="s">
        <v>421</v>
      </c>
      <c r="C67" s="20" t="s">
        <v>724</v>
      </c>
      <c r="D67" s="138">
        <v>1800000</v>
      </c>
      <c r="E67" s="20" t="s">
        <v>377</v>
      </c>
      <c r="F67" s="20" t="s">
        <v>378</v>
      </c>
      <c r="G67" s="8" t="str">
        <f t="shared" ref="G67:G130" si="1">E67&amp;" "&amp;F67</f>
        <v>CHANDLER KELVIN</v>
      </c>
    </row>
    <row r="68" spans="1:7" x14ac:dyDescent="0.25">
      <c r="A68" s="8">
        <v>42910.33792824074</v>
      </c>
      <c r="B68" s="20" t="s">
        <v>420</v>
      </c>
      <c r="C68" s="20" t="s">
        <v>725</v>
      </c>
      <c r="D68" s="138">
        <v>2530000</v>
      </c>
      <c r="E68" s="20" t="s">
        <v>686</v>
      </c>
      <c r="F68" s="20" t="s">
        <v>687</v>
      </c>
      <c r="G68" s="8" t="str">
        <f t="shared" si="1"/>
        <v>LALONDE GREGORY</v>
      </c>
    </row>
    <row r="69" spans="1:7" x14ac:dyDescent="0.25">
      <c r="A69" s="8">
        <v>42910.340937499997</v>
      </c>
      <c r="B69" s="20" t="s">
        <v>646</v>
      </c>
      <c r="C69" s="20" t="s">
        <v>726</v>
      </c>
      <c r="D69" s="138">
        <v>2970000</v>
      </c>
      <c r="E69" s="20" t="s">
        <v>379</v>
      </c>
      <c r="F69" s="20" t="s">
        <v>380</v>
      </c>
      <c r="G69" s="8" t="str">
        <f t="shared" si="1"/>
        <v>GUZMAN DANNY</v>
      </c>
    </row>
    <row r="70" spans="1:7" x14ac:dyDescent="0.25">
      <c r="A70" s="8">
        <v>42910.350243055553</v>
      </c>
      <c r="B70" s="20" t="s">
        <v>470</v>
      </c>
      <c r="C70" s="20" t="s">
        <v>727</v>
      </c>
      <c r="D70" s="138">
        <v>2010000</v>
      </c>
      <c r="E70" s="20" t="s">
        <v>672</v>
      </c>
      <c r="F70" s="20" t="s">
        <v>673</v>
      </c>
      <c r="G70" s="8" t="str">
        <f t="shared" si="1"/>
        <v>MAELZER KURT</v>
      </c>
    </row>
    <row r="71" spans="1:7" x14ac:dyDescent="0.25">
      <c r="A71" s="8">
        <v>42910.359386574077</v>
      </c>
      <c r="B71" s="20" t="s">
        <v>502</v>
      </c>
      <c r="C71" s="20" t="s">
        <v>637</v>
      </c>
      <c r="D71" s="138">
        <v>2560000</v>
      </c>
      <c r="E71" s="20" t="s">
        <v>700</v>
      </c>
      <c r="F71" s="20" t="s">
        <v>366</v>
      </c>
      <c r="G71" s="8" t="str">
        <f t="shared" si="1"/>
        <v>MACDONALD THOMAS</v>
      </c>
    </row>
    <row r="72" spans="1:7" x14ac:dyDescent="0.25">
      <c r="A72" s="8">
        <v>42910.360717592594</v>
      </c>
      <c r="B72" s="20" t="s">
        <v>374</v>
      </c>
      <c r="C72" s="20" t="s">
        <v>728</v>
      </c>
      <c r="D72" s="138">
        <v>2600000</v>
      </c>
      <c r="E72" s="20" t="s">
        <v>691</v>
      </c>
      <c r="F72" s="20" t="s">
        <v>692</v>
      </c>
      <c r="G72" s="8" t="str">
        <f t="shared" si="1"/>
        <v>DAVIDSON DAVID</v>
      </c>
    </row>
    <row r="73" spans="1:7" x14ac:dyDescent="0.25">
      <c r="A73" s="8">
        <v>42910.361180555556</v>
      </c>
      <c r="B73" s="20" t="s">
        <v>365</v>
      </c>
      <c r="C73" s="20" t="s">
        <v>636</v>
      </c>
      <c r="D73" s="138">
        <v>1990000</v>
      </c>
      <c r="E73" s="20" t="s">
        <v>411</v>
      </c>
      <c r="F73" s="20" t="s">
        <v>527</v>
      </c>
      <c r="G73" s="8" t="str">
        <f t="shared" si="1"/>
        <v>DAVIS WENDY</v>
      </c>
    </row>
    <row r="74" spans="1:7" x14ac:dyDescent="0.25">
      <c r="A74" s="8">
        <v>42910.370046296295</v>
      </c>
      <c r="B74" s="20" t="s">
        <v>418</v>
      </c>
      <c r="C74" s="20" t="s">
        <v>729</v>
      </c>
      <c r="D74" s="138">
        <v>2530000</v>
      </c>
      <c r="E74" s="20" t="s">
        <v>686</v>
      </c>
      <c r="F74" s="20" t="s">
        <v>687</v>
      </c>
      <c r="G74" s="8" t="str">
        <f t="shared" si="1"/>
        <v>LALONDE GREGORY</v>
      </c>
    </row>
    <row r="75" spans="1:7" x14ac:dyDescent="0.25">
      <c r="A75" s="8">
        <v>42910.37127314815</v>
      </c>
      <c r="B75" s="20" t="s">
        <v>417</v>
      </c>
      <c r="C75" s="20" t="s">
        <v>638</v>
      </c>
      <c r="D75" s="138">
        <v>1800000</v>
      </c>
      <c r="E75" s="20" t="s">
        <v>377</v>
      </c>
      <c r="F75" s="20" t="s">
        <v>378</v>
      </c>
      <c r="G75" s="8" t="str">
        <f t="shared" si="1"/>
        <v>CHANDLER KELVIN</v>
      </c>
    </row>
    <row r="76" spans="1:7" x14ac:dyDescent="0.25">
      <c r="A76" s="8">
        <v>42910.372835648152</v>
      </c>
      <c r="B76" s="20" t="s">
        <v>357</v>
      </c>
      <c r="C76" s="20" t="s">
        <v>730</v>
      </c>
      <c r="D76" s="138">
        <v>3040000</v>
      </c>
      <c r="E76" s="20" t="s">
        <v>382</v>
      </c>
      <c r="F76" s="20" t="s">
        <v>383</v>
      </c>
      <c r="G76" s="8" t="str">
        <f t="shared" si="1"/>
        <v>WILLIAMS DONTE</v>
      </c>
    </row>
    <row r="77" spans="1:7" x14ac:dyDescent="0.25">
      <c r="A77" s="8">
        <v>42910.373344907406</v>
      </c>
      <c r="B77" s="20" t="s">
        <v>510</v>
      </c>
      <c r="C77" s="20" t="s">
        <v>731</v>
      </c>
      <c r="D77" s="138">
        <v>2560000</v>
      </c>
      <c r="E77" s="20" t="s">
        <v>700</v>
      </c>
      <c r="F77" s="20" t="s">
        <v>366</v>
      </c>
      <c r="G77" s="8" t="str">
        <f t="shared" si="1"/>
        <v>MACDONALD THOMAS</v>
      </c>
    </row>
    <row r="78" spans="1:7" x14ac:dyDescent="0.25">
      <c r="A78" s="8">
        <v>42910.380844907406</v>
      </c>
      <c r="B78" s="20" t="s">
        <v>658</v>
      </c>
      <c r="C78" s="20" t="s">
        <v>732</v>
      </c>
      <c r="D78" s="138">
        <v>2970000</v>
      </c>
      <c r="E78" s="20" t="s">
        <v>379</v>
      </c>
      <c r="F78" s="20" t="s">
        <v>380</v>
      </c>
      <c r="G78" s="8" t="str">
        <f t="shared" si="1"/>
        <v>GUZMAN DANNY</v>
      </c>
    </row>
    <row r="79" spans="1:7" x14ac:dyDescent="0.25">
      <c r="A79" s="8">
        <v>42910.385763888888</v>
      </c>
      <c r="B79" s="20" t="s">
        <v>469</v>
      </c>
      <c r="C79" s="20" t="s">
        <v>733</v>
      </c>
      <c r="D79" s="138">
        <v>2010000</v>
      </c>
      <c r="E79" s="20" t="s">
        <v>672</v>
      </c>
      <c r="F79" s="20" t="s">
        <v>673</v>
      </c>
      <c r="G79" s="8" t="str">
        <f t="shared" si="1"/>
        <v>MAELZER KURT</v>
      </c>
    </row>
    <row r="80" spans="1:7" x14ac:dyDescent="0.25">
      <c r="A80" s="8">
        <v>42910.391921296294</v>
      </c>
      <c r="B80" s="20" t="s">
        <v>341</v>
      </c>
      <c r="C80" s="20" t="s">
        <v>734</v>
      </c>
      <c r="D80" s="138">
        <v>1990000</v>
      </c>
      <c r="E80" s="20" t="s">
        <v>411</v>
      </c>
      <c r="F80" s="20" t="s">
        <v>527</v>
      </c>
      <c r="G80" s="8" t="str">
        <f t="shared" si="1"/>
        <v>DAVIS WENDY</v>
      </c>
    </row>
    <row r="81" spans="1:7" x14ac:dyDescent="0.25">
      <c r="A81" s="8">
        <v>42910.392905092594</v>
      </c>
      <c r="B81" s="20" t="s">
        <v>368</v>
      </c>
      <c r="C81" s="20" t="s">
        <v>735</v>
      </c>
      <c r="D81" s="138">
        <v>2600000</v>
      </c>
      <c r="E81" s="20" t="s">
        <v>691</v>
      </c>
      <c r="F81" s="20" t="s">
        <v>692</v>
      </c>
      <c r="G81" s="8" t="str">
        <f t="shared" si="1"/>
        <v>DAVIDSON DAVID</v>
      </c>
    </row>
    <row r="82" spans="1:7" x14ac:dyDescent="0.25">
      <c r="A82" s="8">
        <v>42910.400625000002</v>
      </c>
      <c r="B82" s="20" t="s">
        <v>502</v>
      </c>
      <c r="C82" s="20" t="s">
        <v>639</v>
      </c>
      <c r="D82" s="138">
        <v>2560000</v>
      </c>
      <c r="E82" s="20" t="s">
        <v>700</v>
      </c>
      <c r="F82" s="20" t="s">
        <v>366</v>
      </c>
      <c r="G82" s="8" t="str">
        <f t="shared" si="1"/>
        <v>MACDONALD THOMAS</v>
      </c>
    </row>
    <row r="83" spans="1:7" x14ac:dyDescent="0.25">
      <c r="A83" s="8">
        <v>42910.403622685182</v>
      </c>
      <c r="B83" s="20" t="s">
        <v>421</v>
      </c>
      <c r="C83" s="20" t="s">
        <v>736</v>
      </c>
      <c r="D83" s="138">
        <v>1100000</v>
      </c>
      <c r="E83" s="20" t="s">
        <v>528</v>
      </c>
      <c r="F83" s="20" t="s">
        <v>529</v>
      </c>
      <c r="G83" s="8" t="str">
        <f t="shared" si="1"/>
        <v>GEBRETEKLE DAGNEW</v>
      </c>
    </row>
    <row r="84" spans="1:7" x14ac:dyDescent="0.25">
      <c r="A84" s="8">
        <v>42910.405312499999</v>
      </c>
      <c r="B84" s="20" t="s">
        <v>549</v>
      </c>
      <c r="C84" s="20" t="s">
        <v>737</v>
      </c>
      <c r="D84" s="138">
        <v>3040000</v>
      </c>
      <c r="E84" s="20" t="s">
        <v>382</v>
      </c>
      <c r="F84" s="20" t="s">
        <v>383</v>
      </c>
      <c r="G84" s="8" t="str">
        <f t="shared" si="1"/>
        <v>WILLIAMS DONTE</v>
      </c>
    </row>
    <row r="85" spans="1:7" x14ac:dyDescent="0.25">
      <c r="A85" s="8">
        <v>42910.413043981483</v>
      </c>
      <c r="B85" s="20" t="s">
        <v>646</v>
      </c>
      <c r="C85" s="20" t="s">
        <v>738</v>
      </c>
      <c r="D85" s="138">
        <v>2970000</v>
      </c>
      <c r="E85" s="20" t="s">
        <v>379</v>
      </c>
      <c r="F85" s="20" t="s">
        <v>380</v>
      </c>
      <c r="G85" s="8" t="str">
        <f t="shared" si="1"/>
        <v>GUZMAN DANNY</v>
      </c>
    </row>
    <row r="86" spans="1:7" x14ac:dyDescent="0.25">
      <c r="A86" s="8">
        <v>42910.41375</v>
      </c>
      <c r="B86" s="20" t="s">
        <v>420</v>
      </c>
      <c r="C86" s="20" t="s">
        <v>739</v>
      </c>
      <c r="D86" s="138">
        <v>2530000</v>
      </c>
      <c r="E86" s="20" t="s">
        <v>686</v>
      </c>
      <c r="F86" s="20" t="s">
        <v>687</v>
      </c>
      <c r="G86" s="8" t="str">
        <f t="shared" si="1"/>
        <v>LALONDE GREGORY</v>
      </c>
    </row>
    <row r="87" spans="1:7" x14ac:dyDescent="0.25">
      <c r="A87" s="8">
        <v>42910.415682870371</v>
      </c>
      <c r="B87" s="20" t="s">
        <v>510</v>
      </c>
      <c r="C87" s="20" t="s">
        <v>740</v>
      </c>
      <c r="D87" s="138">
        <v>2560000</v>
      </c>
      <c r="E87" s="20" t="s">
        <v>700</v>
      </c>
      <c r="F87" s="20" t="s">
        <v>366</v>
      </c>
      <c r="G87" s="8" t="str">
        <f t="shared" si="1"/>
        <v>MACDONALD THOMAS</v>
      </c>
    </row>
    <row r="88" spans="1:7" x14ac:dyDescent="0.25">
      <c r="A88" s="8">
        <v>42910.425046296295</v>
      </c>
      <c r="B88" s="20" t="s">
        <v>470</v>
      </c>
      <c r="C88" s="20" t="s">
        <v>741</v>
      </c>
      <c r="D88" s="138">
        <v>3010000</v>
      </c>
      <c r="E88" s="20" t="s">
        <v>392</v>
      </c>
      <c r="F88" s="20" t="s">
        <v>393</v>
      </c>
      <c r="G88" s="8" t="str">
        <f t="shared" si="1"/>
        <v>SULLIVAN BRANDON</v>
      </c>
    </row>
    <row r="89" spans="1:7" x14ac:dyDescent="0.25">
      <c r="A89" s="8">
        <v>42910.432476851849</v>
      </c>
      <c r="B89" s="20" t="s">
        <v>417</v>
      </c>
      <c r="C89" s="20" t="s">
        <v>742</v>
      </c>
      <c r="D89" s="138">
        <v>1100000</v>
      </c>
      <c r="E89" s="20" t="s">
        <v>528</v>
      </c>
      <c r="F89" s="20" t="s">
        <v>529</v>
      </c>
      <c r="G89" s="8" t="str">
        <f t="shared" si="1"/>
        <v>GEBRETEKLE DAGNEW</v>
      </c>
    </row>
    <row r="90" spans="1:7" x14ac:dyDescent="0.25">
      <c r="A90" s="8">
        <v>42910.432557870372</v>
      </c>
      <c r="B90" s="20" t="s">
        <v>365</v>
      </c>
      <c r="C90" s="20" t="s">
        <v>640</v>
      </c>
      <c r="D90" s="138">
        <v>1990000</v>
      </c>
      <c r="E90" s="20" t="s">
        <v>411</v>
      </c>
      <c r="F90" s="20" t="s">
        <v>527</v>
      </c>
      <c r="G90" s="8" t="str">
        <f t="shared" si="1"/>
        <v>DAVIS WENDY</v>
      </c>
    </row>
    <row r="91" spans="1:7" x14ac:dyDescent="0.25">
      <c r="A91" s="8">
        <v>42910.434282407405</v>
      </c>
      <c r="B91" s="20" t="s">
        <v>374</v>
      </c>
      <c r="C91" s="20" t="s">
        <v>743</v>
      </c>
      <c r="D91" s="138">
        <v>2600000</v>
      </c>
      <c r="E91" s="20" t="s">
        <v>691</v>
      </c>
      <c r="F91" s="20" t="s">
        <v>692</v>
      </c>
      <c r="G91" s="8" t="str">
        <f t="shared" si="1"/>
        <v>DAVIDSON DAVID</v>
      </c>
    </row>
    <row r="92" spans="1:7" x14ac:dyDescent="0.25">
      <c r="A92" s="8">
        <v>42910.442719907405</v>
      </c>
      <c r="B92" s="20" t="s">
        <v>502</v>
      </c>
      <c r="C92" s="20" t="s">
        <v>744</v>
      </c>
      <c r="D92" s="138">
        <v>2560000</v>
      </c>
      <c r="E92" s="20" t="s">
        <v>700</v>
      </c>
      <c r="F92" s="20" t="s">
        <v>366</v>
      </c>
      <c r="G92" s="8" t="str">
        <f t="shared" si="1"/>
        <v>MACDONALD THOMAS</v>
      </c>
    </row>
    <row r="93" spans="1:7" x14ac:dyDescent="0.25">
      <c r="A93" s="8">
        <v>42910.445</v>
      </c>
      <c r="B93" s="20" t="s">
        <v>418</v>
      </c>
      <c r="C93" s="20" t="s">
        <v>745</v>
      </c>
      <c r="D93" s="138">
        <v>2530000</v>
      </c>
      <c r="E93" s="20" t="s">
        <v>686</v>
      </c>
      <c r="F93" s="20" t="s">
        <v>687</v>
      </c>
      <c r="G93" s="8" t="str">
        <f t="shared" si="1"/>
        <v>LALONDE GREGORY</v>
      </c>
    </row>
    <row r="94" spans="1:7" x14ac:dyDescent="0.25">
      <c r="A94" s="8">
        <v>42910.445300925923</v>
      </c>
      <c r="B94" s="20" t="s">
        <v>357</v>
      </c>
      <c r="C94" s="20" t="s">
        <v>746</v>
      </c>
      <c r="D94" s="138">
        <v>2270000</v>
      </c>
      <c r="E94" s="20" t="s">
        <v>747</v>
      </c>
      <c r="F94" s="20" t="s">
        <v>748</v>
      </c>
      <c r="G94" s="8" t="str">
        <f t="shared" si="1"/>
        <v>BROWN JACOB</v>
      </c>
    </row>
    <row r="95" spans="1:7" x14ac:dyDescent="0.25">
      <c r="A95" s="8">
        <v>42910.453993055555</v>
      </c>
      <c r="B95" s="20" t="s">
        <v>658</v>
      </c>
      <c r="C95" s="20" t="s">
        <v>749</v>
      </c>
      <c r="D95" s="138">
        <v>2970000</v>
      </c>
      <c r="E95" s="20" t="s">
        <v>379</v>
      </c>
      <c r="F95" s="20" t="s">
        <v>380</v>
      </c>
      <c r="G95" s="8" t="str">
        <f t="shared" si="1"/>
        <v>GUZMAN DANNY</v>
      </c>
    </row>
    <row r="96" spans="1:7" x14ac:dyDescent="0.25">
      <c r="A96" s="8">
        <v>42910.456006944441</v>
      </c>
      <c r="B96" s="20" t="s">
        <v>510</v>
      </c>
      <c r="C96" s="20" t="s">
        <v>641</v>
      </c>
      <c r="D96" s="138">
        <v>2560000</v>
      </c>
      <c r="E96" s="20" t="s">
        <v>700</v>
      </c>
      <c r="F96" s="20" t="s">
        <v>366</v>
      </c>
      <c r="G96" s="8" t="str">
        <f t="shared" si="1"/>
        <v>MACDONALD THOMAS</v>
      </c>
    </row>
    <row r="97" spans="1:7" x14ac:dyDescent="0.25">
      <c r="A97" s="8">
        <v>42910.45994212963</v>
      </c>
      <c r="B97" s="20" t="s">
        <v>469</v>
      </c>
      <c r="C97" s="20" t="s">
        <v>750</v>
      </c>
      <c r="D97" s="138">
        <v>3010000</v>
      </c>
      <c r="E97" s="20" t="s">
        <v>392</v>
      </c>
      <c r="F97" s="20" t="s">
        <v>393</v>
      </c>
      <c r="G97" s="8" t="str">
        <f t="shared" si="1"/>
        <v>SULLIVAN BRANDON</v>
      </c>
    </row>
    <row r="98" spans="1:7" x14ac:dyDescent="0.25">
      <c r="A98" s="8">
        <v>42910.466134259259</v>
      </c>
      <c r="B98" s="20" t="s">
        <v>341</v>
      </c>
      <c r="C98" s="20" t="s">
        <v>751</v>
      </c>
      <c r="D98" s="138">
        <v>920000</v>
      </c>
      <c r="E98" s="20" t="s">
        <v>411</v>
      </c>
      <c r="F98" s="20" t="s">
        <v>192</v>
      </c>
      <c r="G98" s="8" t="str">
        <f t="shared" si="1"/>
        <v>DAVIS MICHAEL</v>
      </c>
    </row>
    <row r="99" spans="1:7" x14ac:dyDescent="0.25">
      <c r="A99" s="8">
        <v>42910.466539351852</v>
      </c>
      <c r="B99" s="20" t="s">
        <v>368</v>
      </c>
      <c r="C99" s="20" t="s">
        <v>752</v>
      </c>
      <c r="D99" s="138">
        <v>2600000</v>
      </c>
      <c r="E99" s="20" t="s">
        <v>691</v>
      </c>
      <c r="F99" s="20" t="s">
        <v>692</v>
      </c>
      <c r="G99" s="8" t="str">
        <f t="shared" si="1"/>
        <v>DAVIDSON DAVID</v>
      </c>
    </row>
    <row r="100" spans="1:7" x14ac:dyDescent="0.25">
      <c r="A100" s="8">
        <v>42910.475636574076</v>
      </c>
      <c r="B100" s="20" t="s">
        <v>421</v>
      </c>
      <c r="C100" s="20" t="s">
        <v>753</v>
      </c>
      <c r="D100" s="138">
        <v>2360000</v>
      </c>
      <c r="E100" s="20" t="s">
        <v>754</v>
      </c>
      <c r="F100" s="20" t="s">
        <v>755</v>
      </c>
      <c r="G100" s="8" t="str">
        <f t="shared" si="1"/>
        <v>BRANDNER MELINDA</v>
      </c>
    </row>
    <row r="101" spans="1:7" x14ac:dyDescent="0.25">
      <c r="A101" s="8">
        <v>42910.479212962964</v>
      </c>
      <c r="B101" s="20" t="s">
        <v>549</v>
      </c>
      <c r="C101" s="20" t="s">
        <v>642</v>
      </c>
      <c r="D101" s="138">
        <v>2270000</v>
      </c>
      <c r="E101" s="20" t="s">
        <v>747</v>
      </c>
      <c r="F101" s="20" t="s">
        <v>748</v>
      </c>
      <c r="G101" s="8" t="str">
        <f t="shared" si="1"/>
        <v>BROWN JACOB</v>
      </c>
    </row>
    <row r="102" spans="1:7" x14ac:dyDescent="0.25">
      <c r="A102" s="8">
        <v>42910.48333333333</v>
      </c>
      <c r="B102" s="20" t="s">
        <v>502</v>
      </c>
      <c r="C102" s="20" t="s">
        <v>756</v>
      </c>
      <c r="D102" s="138">
        <v>2560000</v>
      </c>
      <c r="E102" s="20" t="s">
        <v>700</v>
      </c>
      <c r="F102" s="20" t="s">
        <v>366</v>
      </c>
      <c r="G102" s="8" t="str">
        <f t="shared" si="1"/>
        <v>MACDONALD THOMAS</v>
      </c>
    </row>
    <row r="103" spans="1:7" x14ac:dyDescent="0.25">
      <c r="A103" s="8">
        <v>42910.486157407409</v>
      </c>
      <c r="B103" s="20" t="s">
        <v>646</v>
      </c>
      <c r="C103" s="20" t="s">
        <v>757</v>
      </c>
      <c r="D103" s="138">
        <v>2970000</v>
      </c>
      <c r="E103" s="20" t="s">
        <v>379</v>
      </c>
      <c r="F103" s="20" t="s">
        <v>380</v>
      </c>
      <c r="G103" s="8" t="str">
        <f t="shared" si="1"/>
        <v>GUZMAN DANNY</v>
      </c>
    </row>
    <row r="104" spans="1:7" x14ac:dyDescent="0.25">
      <c r="A104" s="8">
        <v>42910.486712962964</v>
      </c>
      <c r="B104" s="20" t="s">
        <v>420</v>
      </c>
      <c r="C104" s="20" t="s">
        <v>758</v>
      </c>
      <c r="D104" s="138">
        <v>1770000</v>
      </c>
      <c r="E104" s="20" t="s">
        <v>759</v>
      </c>
      <c r="F104" s="20" t="s">
        <v>760</v>
      </c>
      <c r="G104" s="8" t="str">
        <f t="shared" si="1"/>
        <v>BRUDER RICHARD</v>
      </c>
    </row>
    <row r="105" spans="1:7" x14ac:dyDescent="0.25">
      <c r="A105" s="8">
        <v>42910.495706018519</v>
      </c>
      <c r="B105" s="20" t="s">
        <v>470</v>
      </c>
      <c r="C105" s="20" t="s">
        <v>761</v>
      </c>
      <c r="D105" s="138">
        <v>3010000</v>
      </c>
      <c r="E105" s="20" t="s">
        <v>392</v>
      </c>
      <c r="F105" s="20" t="s">
        <v>393</v>
      </c>
      <c r="G105" s="8" t="str">
        <f t="shared" si="1"/>
        <v>SULLIVAN BRANDON</v>
      </c>
    </row>
    <row r="106" spans="1:7" x14ac:dyDescent="0.25">
      <c r="A106" s="8">
        <v>42910.499189814815</v>
      </c>
      <c r="B106" s="20" t="s">
        <v>510</v>
      </c>
      <c r="C106" s="20" t="s">
        <v>762</v>
      </c>
      <c r="D106" s="138">
        <v>2560000</v>
      </c>
      <c r="E106" s="20" t="s">
        <v>700</v>
      </c>
      <c r="F106" s="20" t="s">
        <v>366</v>
      </c>
      <c r="G106" s="8" t="str">
        <f t="shared" si="1"/>
        <v>MACDONALD THOMAS</v>
      </c>
    </row>
    <row r="107" spans="1:7" x14ac:dyDescent="0.25">
      <c r="A107" s="8">
        <v>42910.506273148145</v>
      </c>
      <c r="B107" s="20" t="s">
        <v>374</v>
      </c>
      <c r="C107" s="20" t="s">
        <v>763</v>
      </c>
      <c r="D107" s="138">
        <v>2370000</v>
      </c>
      <c r="E107" s="20" t="s">
        <v>530</v>
      </c>
      <c r="F107" s="20" t="s">
        <v>531</v>
      </c>
      <c r="G107" s="8" t="str">
        <f t="shared" si="1"/>
        <v>DELGADO DIANAH</v>
      </c>
    </row>
    <row r="108" spans="1:7" x14ac:dyDescent="0.25">
      <c r="A108" s="8">
        <v>42910.507071759261</v>
      </c>
      <c r="B108" s="20" t="s">
        <v>365</v>
      </c>
      <c r="C108" s="20" t="s">
        <v>764</v>
      </c>
      <c r="D108" s="138">
        <v>920000</v>
      </c>
      <c r="E108" s="20" t="s">
        <v>411</v>
      </c>
      <c r="F108" s="20" t="s">
        <v>192</v>
      </c>
      <c r="G108" s="8" t="str">
        <f t="shared" si="1"/>
        <v>DAVIS MICHAEL</v>
      </c>
    </row>
    <row r="109" spans="1:7" x14ac:dyDescent="0.25">
      <c r="A109" s="8">
        <v>42910.517164351855</v>
      </c>
      <c r="B109" s="20" t="s">
        <v>357</v>
      </c>
      <c r="C109" s="20" t="s">
        <v>643</v>
      </c>
      <c r="D109" s="138">
        <v>2270000</v>
      </c>
      <c r="E109" s="20" t="s">
        <v>747</v>
      </c>
      <c r="F109" s="20" t="s">
        <v>748</v>
      </c>
      <c r="G109" s="8" t="str">
        <f t="shared" si="1"/>
        <v>BROWN JACOB</v>
      </c>
    </row>
    <row r="110" spans="1:7" x14ac:dyDescent="0.25">
      <c r="A110" s="8">
        <v>42910.517314814817</v>
      </c>
      <c r="B110" s="20" t="s">
        <v>417</v>
      </c>
      <c r="C110" s="20" t="s">
        <v>765</v>
      </c>
      <c r="D110" s="138">
        <v>2360000</v>
      </c>
      <c r="E110" s="20" t="s">
        <v>754</v>
      </c>
      <c r="F110" s="20" t="s">
        <v>755</v>
      </c>
      <c r="G110" s="8" t="str">
        <f t="shared" si="1"/>
        <v>BRANDNER MELINDA</v>
      </c>
    </row>
    <row r="111" spans="1:7" x14ac:dyDescent="0.25">
      <c r="A111" s="8">
        <v>42910.526412037034</v>
      </c>
      <c r="B111" s="20" t="s">
        <v>502</v>
      </c>
      <c r="C111" s="20" t="s">
        <v>766</v>
      </c>
      <c r="D111" s="138">
        <v>2560000</v>
      </c>
      <c r="E111" s="20" t="s">
        <v>700</v>
      </c>
      <c r="F111" s="20" t="s">
        <v>366</v>
      </c>
      <c r="G111" s="8" t="str">
        <f t="shared" si="1"/>
        <v>MACDONALD THOMAS</v>
      </c>
    </row>
    <row r="112" spans="1:7" x14ac:dyDescent="0.25">
      <c r="A112" s="8">
        <v>42910.526678240742</v>
      </c>
      <c r="B112" s="20" t="s">
        <v>418</v>
      </c>
      <c r="C112" s="20" t="s">
        <v>767</v>
      </c>
      <c r="D112" s="138">
        <v>1770000</v>
      </c>
      <c r="E112" s="20" t="s">
        <v>759</v>
      </c>
      <c r="F112" s="20" t="s">
        <v>760</v>
      </c>
      <c r="G112" s="8" t="str">
        <f t="shared" si="1"/>
        <v>BRUDER RICHARD</v>
      </c>
    </row>
    <row r="113" spans="1:7" x14ac:dyDescent="0.25">
      <c r="A113" s="8">
        <v>42910.529270833336</v>
      </c>
      <c r="B113" s="20" t="s">
        <v>658</v>
      </c>
      <c r="C113" s="20" t="s">
        <v>768</v>
      </c>
      <c r="D113" s="138">
        <v>3190000</v>
      </c>
      <c r="E113" s="20" t="s">
        <v>500</v>
      </c>
      <c r="F113" s="20" t="s">
        <v>501</v>
      </c>
      <c r="G113" s="8" t="str">
        <f t="shared" si="1"/>
        <v>HART KEVIN</v>
      </c>
    </row>
    <row r="114" spans="1:7" x14ac:dyDescent="0.25">
      <c r="A114" s="8">
        <v>42910.534768518519</v>
      </c>
      <c r="B114" s="20" t="s">
        <v>469</v>
      </c>
      <c r="C114" s="20" t="s">
        <v>769</v>
      </c>
      <c r="D114" s="138">
        <v>3010000</v>
      </c>
      <c r="E114" s="20" t="s">
        <v>392</v>
      </c>
      <c r="F114" s="20" t="s">
        <v>393</v>
      </c>
      <c r="G114" s="8" t="str">
        <f t="shared" si="1"/>
        <v>SULLIVAN BRANDON</v>
      </c>
    </row>
    <row r="115" spans="1:7" x14ac:dyDescent="0.25">
      <c r="A115" s="8">
        <v>42910.539502314816</v>
      </c>
      <c r="B115" s="20" t="s">
        <v>497</v>
      </c>
      <c r="C115" s="20" t="s">
        <v>770</v>
      </c>
      <c r="D115" s="138">
        <v>2440000</v>
      </c>
      <c r="E115" s="20" t="s">
        <v>771</v>
      </c>
      <c r="F115" s="20" t="s">
        <v>772</v>
      </c>
      <c r="G115" s="8" t="str">
        <f t="shared" si="1"/>
        <v>LOPES KIMBERLY</v>
      </c>
    </row>
    <row r="116" spans="1:7" x14ac:dyDescent="0.25">
      <c r="A116" s="8">
        <v>42910.539918981478</v>
      </c>
      <c r="B116" s="20" t="s">
        <v>341</v>
      </c>
      <c r="C116" s="20" t="s">
        <v>773</v>
      </c>
      <c r="D116" s="138">
        <v>920000</v>
      </c>
      <c r="E116" s="20" t="s">
        <v>411</v>
      </c>
      <c r="F116" s="20" t="s">
        <v>192</v>
      </c>
      <c r="G116" s="8" t="str">
        <f t="shared" si="1"/>
        <v>DAVIS MICHAEL</v>
      </c>
    </row>
    <row r="117" spans="1:7" x14ac:dyDescent="0.25">
      <c r="A117" s="8">
        <v>42910.547615740739</v>
      </c>
      <c r="B117" s="20" t="s">
        <v>368</v>
      </c>
      <c r="C117" s="20" t="s">
        <v>644</v>
      </c>
      <c r="D117" s="138">
        <v>2370000</v>
      </c>
      <c r="E117" s="20" t="s">
        <v>530</v>
      </c>
      <c r="F117" s="20" t="s">
        <v>531</v>
      </c>
      <c r="G117" s="8" t="str">
        <f t="shared" si="1"/>
        <v>DELGADO DIANAH</v>
      </c>
    </row>
    <row r="118" spans="1:7" x14ac:dyDescent="0.25">
      <c r="A118" s="8">
        <v>42910.548414351855</v>
      </c>
      <c r="B118" s="20" t="s">
        <v>523</v>
      </c>
      <c r="C118" s="20" t="s">
        <v>770</v>
      </c>
      <c r="D118" s="138">
        <v>2440000</v>
      </c>
      <c r="E118" s="20" t="s">
        <v>771</v>
      </c>
      <c r="F118" s="20" t="s">
        <v>772</v>
      </c>
      <c r="G118" s="8" t="str">
        <f t="shared" si="1"/>
        <v>LOPES KIMBERLY</v>
      </c>
    </row>
    <row r="119" spans="1:7" x14ac:dyDescent="0.25">
      <c r="A119" s="8">
        <v>42910.549664351849</v>
      </c>
      <c r="B119" s="20" t="s">
        <v>421</v>
      </c>
      <c r="C119" s="20" t="s">
        <v>774</v>
      </c>
      <c r="D119" s="138">
        <v>2630000</v>
      </c>
      <c r="E119" s="20" t="s">
        <v>558</v>
      </c>
      <c r="F119" s="20" t="s">
        <v>559</v>
      </c>
      <c r="G119" s="8" t="str">
        <f t="shared" si="1"/>
        <v>SAFIEF AEIMEN</v>
      </c>
    </row>
    <row r="120" spans="1:7" x14ac:dyDescent="0.25">
      <c r="A120" s="8">
        <v>42910.554375</v>
      </c>
      <c r="B120" s="20" t="s">
        <v>497</v>
      </c>
      <c r="C120" s="20" t="s">
        <v>775</v>
      </c>
      <c r="D120" s="138">
        <v>2560000</v>
      </c>
      <c r="E120" s="20" t="s">
        <v>700</v>
      </c>
      <c r="F120" s="20" t="s">
        <v>366</v>
      </c>
      <c r="G120" s="8" t="str">
        <f t="shared" si="1"/>
        <v>MACDONALD THOMAS</v>
      </c>
    </row>
    <row r="121" spans="1:7" x14ac:dyDescent="0.25">
      <c r="A121" s="8">
        <v>42910.555937500001</v>
      </c>
      <c r="B121" s="20" t="s">
        <v>549</v>
      </c>
      <c r="C121" s="20" t="s">
        <v>776</v>
      </c>
      <c r="D121" s="138">
        <v>2270000</v>
      </c>
      <c r="E121" s="20" t="s">
        <v>747</v>
      </c>
      <c r="F121" s="20" t="s">
        <v>748</v>
      </c>
      <c r="G121" s="8" t="str">
        <f t="shared" si="1"/>
        <v>BROWN JACOB</v>
      </c>
    </row>
    <row r="122" spans="1:7" x14ac:dyDescent="0.25">
      <c r="A122" s="8">
        <v>42910.558171296296</v>
      </c>
      <c r="B122" s="25" t="s">
        <v>420</v>
      </c>
      <c r="C122" s="20" t="s">
        <v>645</v>
      </c>
      <c r="D122" s="138">
        <v>1770000</v>
      </c>
      <c r="E122" s="20" t="s">
        <v>759</v>
      </c>
      <c r="F122" s="20" t="s">
        <v>760</v>
      </c>
      <c r="G122" s="8" t="str">
        <f t="shared" si="1"/>
        <v>BRUDER RICHARD</v>
      </c>
    </row>
    <row r="123" spans="1:7" x14ac:dyDescent="0.25">
      <c r="A123" s="8">
        <v>42910.568414351852</v>
      </c>
      <c r="B123" s="20" t="s">
        <v>470</v>
      </c>
      <c r="C123" s="20" t="s">
        <v>777</v>
      </c>
      <c r="D123" s="138">
        <v>3010000</v>
      </c>
      <c r="E123" s="20" t="s">
        <v>392</v>
      </c>
      <c r="F123" s="20" t="s">
        <v>393</v>
      </c>
      <c r="G123" s="8" t="str">
        <f t="shared" si="1"/>
        <v>SULLIVAN BRANDON</v>
      </c>
    </row>
    <row r="124" spans="1:7" x14ac:dyDescent="0.25">
      <c r="A124" s="8">
        <v>42910.56863425926</v>
      </c>
      <c r="B124" s="20" t="s">
        <v>523</v>
      </c>
      <c r="C124" s="20" t="s">
        <v>778</v>
      </c>
      <c r="D124" s="138">
        <v>2560000</v>
      </c>
      <c r="E124" s="20" t="s">
        <v>700</v>
      </c>
      <c r="F124" s="20" t="s">
        <v>366</v>
      </c>
      <c r="G124" s="8" t="str">
        <f t="shared" si="1"/>
        <v>MACDONALD THOMAS</v>
      </c>
    </row>
    <row r="125" spans="1:7" x14ac:dyDescent="0.25">
      <c r="A125" s="8">
        <v>42910.568784722222</v>
      </c>
      <c r="B125" s="20" t="s">
        <v>646</v>
      </c>
      <c r="C125" s="20" t="s">
        <v>647</v>
      </c>
      <c r="D125" s="138">
        <v>3190000</v>
      </c>
      <c r="E125" s="20" t="s">
        <v>500</v>
      </c>
      <c r="F125" s="20" t="s">
        <v>501</v>
      </c>
      <c r="G125" s="8" t="str">
        <f t="shared" si="1"/>
        <v>HART KEVIN</v>
      </c>
    </row>
    <row r="126" spans="1:7" x14ac:dyDescent="0.25">
      <c r="A126" s="8">
        <v>42910.579062500001</v>
      </c>
      <c r="B126" s="20" t="s">
        <v>365</v>
      </c>
      <c r="C126" s="20" t="s">
        <v>779</v>
      </c>
      <c r="D126" s="138">
        <v>920000</v>
      </c>
      <c r="E126" s="20" t="s">
        <v>411</v>
      </c>
      <c r="F126" s="20" t="s">
        <v>192</v>
      </c>
      <c r="G126" s="8" t="str">
        <f t="shared" si="1"/>
        <v>DAVIS MICHAEL</v>
      </c>
    </row>
    <row r="127" spans="1:7" x14ac:dyDescent="0.25">
      <c r="A127" s="8">
        <v>42910.579409722224</v>
      </c>
      <c r="B127" s="20" t="s">
        <v>374</v>
      </c>
      <c r="C127" s="20" t="s">
        <v>780</v>
      </c>
      <c r="D127" s="138">
        <v>2370000</v>
      </c>
      <c r="E127" s="20" t="s">
        <v>530</v>
      </c>
      <c r="F127" s="20" t="s">
        <v>531</v>
      </c>
      <c r="G127" s="8" t="str">
        <f t="shared" si="1"/>
        <v>DELGADO DIANAH</v>
      </c>
    </row>
    <row r="128" spans="1:7" x14ac:dyDescent="0.25">
      <c r="A128" s="8">
        <v>42910.580243055556</v>
      </c>
      <c r="B128" s="20" t="s">
        <v>417</v>
      </c>
      <c r="C128" s="20" t="s">
        <v>781</v>
      </c>
      <c r="D128" s="138">
        <v>2630000</v>
      </c>
      <c r="E128" s="20" t="s">
        <v>558</v>
      </c>
      <c r="F128" s="20" t="s">
        <v>559</v>
      </c>
      <c r="G128" s="8" t="str">
        <f t="shared" si="1"/>
        <v>SAFIEF AEIMEN</v>
      </c>
    </row>
    <row r="129" spans="1:7" x14ac:dyDescent="0.25">
      <c r="A129" s="8">
        <v>42910.583402777775</v>
      </c>
      <c r="B129" s="20" t="s">
        <v>497</v>
      </c>
      <c r="C129" s="20" t="s">
        <v>648</v>
      </c>
      <c r="D129" s="138">
        <v>2540000</v>
      </c>
      <c r="E129" s="20" t="s">
        <v>782</v>
      </c>
      <c r="F129" s="20" t="s">
        <v>783</v>
      </c>
      <c r="G129" s="8" t="str">
        <f t="shared" si="1"/>
        <v>MCREYNOLDS KYLE</v>
      </c>
    </row>
    <row r="130" spans="1:7" x14ac:dyDescent="0.25">
      <c r="A130" s="8">
        <v>42910.591006944444</v>
      </c>
      <c r="B130" s="20" t="s">
        <v>357</v>
      </c>
      <c r="C130" s="20" t="s">
        <v>784</v>
      </c>
      <c r="D130" s="138">
        <v>2270000</v>
      </c>
      <c r="E130" s="20" t="s">
        <v>747</v>
      </c>
      <c r="F130" s="20" t="s">
        <v>748</v>
      </c>
      <c r="G130" s="8" t="str">
        <f t="shared" si="1"/>
        <v>BROWN JACOB</v>
      </c>
    </row>
    <row r="131" spans="1:7" x14ac:dyDescent="0.25">
      <c r="A131" s="8">
        <v>42910.598182870373</v>
      </c>
      <c r="B131" s="20" t="s">
        <v>418</v>
      </c>
      <c r="C131" s="20" t="s">
        <v>785</v>
      </c>
      <c r="D131" s="138">
        <v>1770000</v>
      </c>
      <c r="E131" s="20" t="s">
        <v>759</v>
      </c>
      <c r="F131" s="20" t="s">
        <v>760</v>
      </c>
      <c r="G131" s="8" t="str">
        <f t="shared" ref="G131:G194" si="2">E131&amp;" "&amp;F131</f>
        <v>BRUDER RICHARD</v>
      </c>
    </row>
    <row r="132" spans="1:7" x14ac:dyDescent="0.25">
      <c r="A132" s="8">
        <v>42910.601168981484</v>
      </c>
      <c r="B132" s="20" t="s">
        <v>658</v>
      </c>
      <c r="C132" s="20" t="s">
        <v>786</v>
      </c>
      <c r="D132" s="138">
        <v>3190000</v>
      </c>
      <c r="E132" s="20" t="s">
        <v>500</v>
      </c>
      <c r="F132" s="20" t="s">
        <v>501</v>
      </c>
      <c r="G132" s="8" t="str">
        <f t="shared" si="2"/>
        <v>HART KEVIN</v>
      </c>
    </row>
    <row r="133" spans="1:7" x14ac:dyDescent="0.25">
      <c r="A133" s="8">
        <v>42910.605358796296</v>
      </c>
      <c r="B133" s="20" t="s">
        <v>469</v>
      </c>
      <c r="C133" s="20" t="s">
        <v>787</v>
      </c>
      <c r="D133" s="138">
        <v>3010000</v>
      </c>
      <c r="E133" s="20" t="s">
        <v>392</v>
      </c>
      <c r="F133" s="20" t="s">
        <v>393</v>
      </c>
      <c r="G133" s="8" t="str">
        <f t="shared" si="2"/>
        <v>SULLIVAN BRANDON</v>
      </c>
    </row>
    <row r="134" spans="1:7" x14ac:dyDescent="0.25">
      <c r="A134" s="8">
        <v>42910.610694444447</v>
      </c>
      <c r="B134" s="20" t="s">
        <v>523</v>
      </c>
      <c r="C134" s="20" t="s">
        <v>788</v>
      </c>
      <c r="D134" s="138">
        <v>2540000</v>
      </c>
      <c r="E134" s="20" t="s">
        <v>782</v>
      </c>
      <c r="F134" s="20" t="s">
        <v>783</v>
      </c>
      <c r="G134" s="8" t="str">
        <f t="shared" si="2"/>
        <v>MCREYNOLDS KYLE</v>
      </c>
    </row>
    <row r="135" spans="1:7" x14ac:dyDescent="0.25">
      <c r="A135" s="8">
        <v>42910.614247685182</v>
      </c>
      <c r="B135" s="20" t="s">
        <v>341</v>
      </c>
      <c r="C135" s="20" t="s">
        <v>789</v>
      </c>
      <c r="D135" s="138">
        <v>920000</v>
      </c>
      <c r="E135" s="20" t="s">
        <v>411</v>
      </c>
      <c r="F135" s="20" t="s">
        <v>192</v>
      </c>
      <c r="G135" s="8" t="str">
        <f t="shared" si="2"/>
        <v>DAVIS MICHAEL</v>
      </c>
    </row>
    <row r="136" spans="1:7" x14ac:dyDescent="0.25">
      <c r="A136" s="8">
        <v>42910.619606481479</v>
      </c>
      <c r="B136" s="20" t="s">
        <v>368</v>
      </c>
      <c r="C136" s="20" t="s">
        <v>790</v>
      </c>
      <c r="D136" s="138">
        <v>2370000</v>
      </c>
      <c r="E136" s="20" t="s">
        <v>530</v>
      </c>
      <c r="F136" s="20" t="s">
        <v>531</v>
      </c>
      <c r="G136" s="8" t="str">
        <f t="shared" si="2"/>
        <v>DELGADO DIANAH</v>
      </c>
    </row>
    <row r="137" spans="1:7" x14ac:dyDescent="0.25">
      <c r="A137" s="8">
        <v>42910.623402777775</v>
      </c>
      <c r="B137" s="20" t="s">
        <v>497</v>
      </c>
      <c r="C137" s="20" t="s">
        <v>791</v>
      </c>
      <c r="D137" s="138">
        <v>2540000</v>
      </c>
      <c r="E137" s="20" t="s">
        <v>782</v>
      </c>
      <c r="F137" s="20" t="s">
        <v>783</v>
      </c>
      <c r="G137" s="8" t="str">
        <f t="shared" si="2"/>
        <v>MCREYNOLDS KYLE</v>
      </c>
    </row>
    <row r="138" spans="1:7" x14ac:dyDescent="0.25">
      <c r="A138" s="8">
        <v>42910.623969907407</v>
      </c>
      <c r="B138" s="20" t="s">
        <v>421</v>
      </c>
      <c r="C138" s="20" t="s">
        <v>792</v>
      </c>
      <c r="D138" s="138">
        <v>2630000</v>
      </c>
      <c r="E138" s="20" t="s">
        <v>558</v>
      </c>
      <c r="F138" s="20" t="s">
        <v>559</v>
      </c>
      <c r="G138" s="8" t="str">
        <f t="shared" si="2"/>
        <v>SAFIEF AEIMEN</v>
      </c>
    </row>
    <row r="139" spans="1:7" x14ac:dyDescent="0.25">
      <c r="A139" s="8">
        <v>42910.630173611113</v>
      </c>
      <c r="B139" s="20" t="s">
        <v>549</v>
      </c>
      <c r="C139" s="20" t="s">
        <v>649</v>
      </c>
      <c r="D139" s="138">
        <v>2270000</v>
      </c>
      <c r="E139" s="20" t="s">
        <v>747</v>
      </c>
      <c r="F139" s="20" t="s">
        <v>748</v>
      </c>
      <c r="G139" s="8" t="str">
        <f t="shared" si="2"/>
        <v>BROWN JACOB</v>
      </c>
    </row>
    <row r="140" spans="1:7" x14ac:dyDescent="0.25">
      <c r="A140" s="8">
        <v>42910.63453703704</v>
      </c>
      <c r="B140" s="20" t="s">
        <v>420</v>
      </c>
      <c r="C140" s="20" t="s">
        <v>793</v>
      </c>
      <c r="D140" s="138">
        <v>1770000</v>
      </c>
      <c r="E140" s="20" t="s">
        <v>759</v>
      </c>
      <c r="F140" s="20" t="s">
        <v>760</v>
      </c>
      <c r="G140" s="8" t="str">
        <f t="shared" si="2"/>
        <v>BRUDER RICHARD</v>
      </c>
    </row>
    <row r="141" spans="1:7" x14ac:dyDescent="0.25">
      <c r="A141" s="8">
        <v>42910.641562500001</v>
      </c>
      <c r="B141" s="20" t="s">
        <v>646</v>
      </c>
      <c r="C141" s="20" t="s">
        <v>794</v>
      </c>
      <c r="D141" s="138">
        <v>3190000</v>
      </c>
      <c r="E141" s="20" t="s">
        <v>500</v>
      </c>
      <c r="F141" s="20" t="s">
        <v>501</v>
      </c>
      <c r="G141" s="8" t="str">
        <f t="shared" si="2"/>
        <v>HART KEVIN</v>
      </c>
    </row>
    <row r="142" spans="1:7" x14ac:dyDescent="0.25">
      <c r="A142" s="8">
        <v>42910.642418981479</v>
      </c>
      <c r="B142" s="20" t="s">
        <v>470</v>
      </c>
      <c r="C142" s="20" t="s">
        <v>795</v>
      </c>
      <c r="D142" s="138">
        <v>3010000</v>
      </c>
      <c r="E142" s="20" t="s">
        <v>392</v>
      </c>
      <c r="F142" s="20" t="s">
        <v>393</v>
      </c>
      <c r="G142" s="8" t="str">
        <f t="shared" si="2"/>
        <v>SULLIVAN BRANDON</v>
      </c>
    </row>
    <row r="143" spans="1:7" x14ac:dyDescent="0.25">
      <c r="A143" s="8">
        <v>42910.65148148148</v>
      </c>
      <c r="B143" s="20" t="s">
        <v>523</v>
      </c>
      <c r="C143" s="20" t="s">
        <v>796</v>
      </c>
      <c r="D143" s="138">
        <v>2540000</v>
      </c>
      <c r="E143" s="20" t="s">
        <v>782</v>
      </c>
      <c r="F143" s="20" t="s">
        <v>783</v>
      </c>
      <c r="G143" s="8" t="str">
        <f t="shared" si="2"/>
        <v>MCREYNOLDS KYLE</v>
      </c>
    </row>
    <row r="144" spans="1:7" x14ac:dyDescent="0.25">
      <c r="A144" s="8">
        <v>42910.653101851851</v>
      </c>
      <c r="B144" s="20" t="s">
        <v>365</v>
      </c>
      <c r="C144" s="20" t="s">
        <v>797</v>
      </c>
      <c r="D144" s="138">
        <v>920000</v>
      </c>
      <c r="E144" s="20" t="s">
        <v>411</v>
      </c>
      <c r="F144" s="20" t="s">
        <v>192</v>
      </c>
      <c r="G144" s="8" t="str">
        <f t="shared" si="2"/>
        <v>DAVIS MICHAEL</v>
      </c>
    </row>
    <row r="145" spans="1:7" x14ac:dyDescent="0.25">
      <c r="A145" s="8">
        <v>42910.653425925928</v>
      </c>
      <c r="B145" s="20" t="s">
        <v>374</v>
      </c>
      <c r="C145" s="20" t="s">
        <v>798</v>
      </c>
      <c r="D145" s="138">
        <v>2370000</v>
      </c>
      <c r="E145" s="20" t="s">
        <v>530</v>
      </c>
      <c r="F145" s="20" t="s">
        <v>531</v>
      </c>
      <c r="G145" s="8" t="str">
        <f t="shared" si="2"/>
        <v>DELGADO DIANAH</v>
      </c>
    </row>
    <row r="146" spans="1:7" x14ac:dyDescent="0.25">
      <c r="A146" s="8">
        <v>42910.65421296296</v>
      </c>
      <c r="B146" s="20" t="s">
        <v>417</v>
      </c>
      <c r="C146" s="20" t="s">
        <v>799</v>
      </c>
      <c r="D146" s="138">
        <v>2630000</v>
      </c>
      <c r="E146" s="20" t="s">
        <v>558</v>
      </c>
      <c r="F146" s="20" t="s">
        <v>559</v>
      </c>
      <c r="G146" s="8" t="str">
        <f t="shared" si="2"/>
        <v>SAFIEF AEIMEN</v>
      </c>
    </row>
    <row r="147" spans="1:7" x14ac:dyDescent="0.25">
      <c r="A147" s="8">
        <v>42910.664918981478</v>
      </c>
      <c r="B147" s="20" t="s">
        <v>357</v>
      </c>
      <c r="C147" s="20" t="s">
        <v>800</v>
      </c>
      <c r="D147" s="138">
        <v>2270000</v>
      </c>
      <c r="E147" s="20" t="s">
        <v>747</v>
      </c>
      <c r="F147" s="20" t="s">
        <v>748</v>
      </c>
      <c r="G147" s="8" t="str">
        <f t="shared" si="2"/>
        <v>BROWN JACOB</v>
      </c>
    </row>
    <row r="148" spans="1:7" x14ac:dyDescent="0.25">
      <c r="A148" s="8">
        <v>42910.665185185186</v>
      </c>
      <c r="B148" s="20" t="s">
        <v>497</v>
      </c>
      <c r="C148" s="20" t="s">
        <v>801</v>
      </c>
      <c r="D148" s="138">
        <v>2540000</v>
      </c>
      <c r="E148" s="20" t="s">
        <v>782</v>
      </c>
      <c r="F148" s="20" t="s">
        <v>783</v>
      </c>
      <c r="G148" s="8" t="str">
        <f t="shared" si="2"/>
        <v>MCREYNOLDS KYLE</v>
      </c>
    </row>
    <row r="149" spans="1:7" x14ac:dyDescent="0.25">
      <c r="A149" s="8">
        <v>42910.671076388891</v>
      </c>
      <c r="B149" s="20" t="s">
        <v>418</v>
      </c>
      <c r="C149" s="20" t="s">
        <v>802</v>
      </c>
      <c r="D149" s="138">
        <v>1770000</v>
      </c>
      <c r="E149" s="20" t="s">
        <v>759</v>
      </c>
      <c r="F149" s="20" t="s">
        <v>760</v>
      </c>
      <c r="G149" s="8" t="str">
        <f t="shared" si="2"/>
        <v>BRUDER RICHARD</v>
      </c>
    </row>
    <row r="150" spans="1:7" x14ac:dyDescent="0.25">
      <c r="A150" s="8">
        <v>42910.674317129633</v>
      </c>
      <c r="B150" s="20" t="s">
        <v>658</v>
      </c>
      <c r="C150" s="20" t="s">
        <v>803</v>
      </c>
      <c r="D150" s="138">
        <v>3190000</v>
      </c>
      <c r="E150" s="20" t="s">
        <v>500</v>
      </c>
      <c r="F150" s="20" t="s">
        <v>501</v>
      </c>
      <c r="G150" s="8" t="str">
        <f t="shared" si="2"/>
        <v>HART KEVIN</v>
      </c>
    </row>
    <row r="151" spans="1:7" x14ac:dyDescent="0.25">
      <c r="A151" s="8">
        <v>42910.678923611114</v>
      </c>
      <c r="B151" s="20" t="s">
        <v>469</v>
      </c>
      <c r="C151" s="20" t="s">
        <v>650</v>
      </c>
      <c r="D151" s="138">
        <v>3010000</v>
      </c>
      <c r="E151" s="20" t="s">
        <v>392</v>
      </c>
      <c r="F151" s="20" t="s">
        <v>393</v>
      </c>
      <c r="G151" s="8" t="str">
        <f t="shared" si="2"/>
        <v>SULLIVAN BRANDON</v>
      </c>
    </row>
    <row r="152" spans="1:7" x14ac:dyDescent="0.25">
      <c r="A152" s="8">
        <v>42910.685532407406</v>
      </c>
      <c r="B152" s="20" t="s">
        <v>341</v>
      </c>
      <c r="C152" s="20" t="s">
        <v>804</v>
      </c>
      <c r="D152" s="138">
        <v>920000</v>
      </c>
      <c r="E152" s="20" t="s">
        <v>411</v>
      </c>
      <c r="F152" s="20" t="s">
        <v>192</v>
      </c>
      <c r="G152" s="8" t="str">
        <f t="shared" si="2"/>
        <v>DAVIS MICHAEL</v>
      </c>
    </row>
    <row r="153" spans="1:7" x14ac:dyDescent="0.25">
      <c r="A153" s="8">
        <v>42910.687418981484</v>
      </c>
      <c r="B153" s="20" t="s">
        <v>368</v>
      </c>
      <c r="C153" s="20" t="s">
        <v>805</v>
      </c>
      <c r="D153" s="138">
        <v>2370000</v>
      </c>
      <c r="E153" s="20" t="s">
        <v>530</v>
      </c>
      <c r="F153" s="20" t="s">
        <v>531</v>
      </c>
      <c r="G153" s="8" t="str">
        <f t="shared" si="2"/>
        <v>DELGADO DIANAH</v>
      </c>
    </row>
    <row r="154" spans="1:7" x14ac:dyDescent="0.25">
      <c r="A154" s="8">
        <v>42910.693831018521</v>
      </c>
      <c r="B154" s="20" t="s">
        <v>523</v>
      </c>
      <c r="C154" s="20" t="s">
        <v>806</v>
      </c>
      <c r="D154" s="138">
        <v>2540000</v>
      </c>
      <c r="E154" s="20" t="s">
        <v>782</v>
      </c>
      <c r="F154" s="20" t="s">
        <v>783</v>
      </c>
      <c r="G154" s="8" t="str">
        <f t="shared" si="2"/>
        <v>MCREYNOLDS KYLE</v>
      </c>
    </row>
    <row r="155" spans="1:7" x14ac:dyDescent="0.25">
      <c r="A155" s="8">
        <v>42910.695879629631</v>
      </c>
      <c r="B155" s="20" t="s">
        <v>421</v>
      </c>
      <c r="C155" s="20" t="s">
        <v>807</v>
      </c>
      <c r="D155" s="138">
        <v>2630000</v>
      </c>
      <c r="E155" s="20" t="s">
        <v>558</v>
      </c>
      <c r="F155" s="20" t="s">
        <v>559</v>
      </c>
      <c r="G155" s="8" t="str">
        <f t="shared" si="2"/>
        <v>SAFIEF AEIMEN</v>
      </c>
    </row>
    <row r="156" spans="1:7" x14ac:dyDescent="0.25">
      <c r="A156" s="8">
        <v>42910.701967592591</v>
      </c>
      <c r="B156" s="20" t="s">
        <v>549</v>
      </c>
      <c r="C156" s="20" t="s">
        <v>808</v>
      </c>
      <c r="D156" s="138">
        <v>2270000</v>
      </c>
      <c r="E156" s="20" t="s">
        <v>747</v>
      </c>
      <c r="F156" s="20" t="s">
        <v>748</v>
      </c>
      <c r="G156" s="8" t="str">
        <f t="shared" si="2"/>
        <v>BROWN JACOB</v>
      </c>
    </row>
    <row r="157" spans="1:7" x14ac:dyDescent="0.25">
      <c r="A157" s="8">
        <v>42910.70385416667</v>
      </c>
      <c r="B157" s="20" t="s">
        <v>420</v>
      </c>
      <c r="C157" s="20" t="s">
        <v>809</v>
      </c>
      <c r="D157" s="138">
        <v>1770000</v>
      </c>
      <c r="E157" s="20" t="s">
        <v>759</v>
      </c>
      <c r="F157" s="20" t="s">
        <v>760</v>
      </c>
      <c r="G157" s="8" t="str">
        <f t="shared" si="2"/>
        <v>BRUDER RICHARD</v>
      </c>
    </row>
    <row r="158" spans="1:7" x14ac:dyDescent="0.25">
      <c r="A158" s="8">
        <v>42910.705706018518</v>
      </c>
      <c r="B158" s="20" t="s">
        <v>339</v>
      </c>
      <c r="C158" s="20" t="s">
        <v>810</v>
      </c>
      <c r="D158" s="138">
        <v>2260000</v>
      </c>
      <c r="E158" s="20" t="s">
        <v>811</v>
      </c>
      <c r="F158" s="20" t="s">
        <v>812</v>
      </c>
      <c r="G158" s="8" t="str">
        <f t="shared" si="2"/>
        <v>ARVIDSON DANIEL</v>
      </c>
    </row>
    <row r="159" spans="1:7" x14ac:dyDescent="0.25">
      <c r="A159" s="8">
        <v>42910.706250000003</v>
      </c>
      <c r="B159" s="20" t="s">
        <v>339</v>
      </c>
      <c r="C159" s="20" t="s">
        <v>810</v>
      </c>
      <c r="D159" s="138">
        <v>2260000</v>
      </c>
      <c r="E159" s="20" t="s">
        <v>811</v>
      </c>
      <c r="F159" s="20" t="s">
        <v>812</v>
      </c>
      <c r="G159" s="8" t="str">
        <f t="shared" si="2"/>
        <v>ARVIDSON DANIEL</v>
      </c>
    </row>
    <row r="160" spans="1:7" x14ac:dyDescent="0.25">
      <c r="A160" s="8">
        <v>42910.70652777778</v>
      </c>
      <c r="B160" s="20" t="s">
        <v>510</v>
      </c>
      <c r="C160" s="20" t="s">
        <v>813</v>
      </c>
      <c r="D160" s="138">
        <v>2350000</v>
      </c>
      <c r="E160" s="20" t="s">
        <v>556</v>
      </c>
      <c r="F160" s="20" t="s">
        <v>557</v>
      </c>
      <c r="G160" s="8" t="str">
        <f t="shared" si="2"/>
        <v>BERLING GARY</v>
      </c>
    </row>
    <row r="161" spans="1:7" x14ac:dyDescent="0.25">
      <c r="A161" s="8">
        <v>42910.707118055558</v>
      </c>
      <c r="B161" s="20" t="s">
        <v>339</v>
      </c>
      <c r="C161" s="20" t="s">
        <v>810</v>
      </c>
      <c r="D161" s="138">
        <v>2260000</v>
      </c>
      <c r="E161" s="20" t="s">
        <v>811</v>
      </c>
      <c r="F161" s="20" t="s">
        <v>812</v>
      </c>
      <c r="G161" s="8" t="str">
        <f t="shared" si="2"/>
        <v>ARVIDSON DANIEL</v>
      </c>
    </row>
    <row r="162" spans="1:7" x14ac:dyDescent="0.25">
      <c r="A162" s="8">
        <v>42910.708749999998</v>
      </c>
      <c r="B162" s="20" t="s">
        <v>339</v>
      </c>
      <c r="C162" s="20" t="s">
        <v>814</v>
      </c>
      <c r="D162" s="138">
        <v>2260000</v>
      </c>
      <c r="E162" s="20" t="s">
        <v>811</v>
      </c>
      <c r="F162" s="20" t="s">
        <v>812</v>
      </c>
      <c r="G162" s="8" t="str">
        <f t="shared" si="2"/>
        <v>ARVIDSON DANIEL</v>
      </c>
    </row>
    <row r="163" spans="1:7" x14ac:dyDescent="0.25">
      <c r="A163" s="8">
        <v>42910.714895833335</v>
      </c>
      <c r="B163" s="20" t="s">
        <v>646</v>
      </c>
      <c r="C163" s="20" t="s">
        <v>652</v>
      </c>
      <c r="D163" s="138">
        <v>3190000</v>
      </c>
      <c r="E163" s="20" t="s">
        <v>500</v>
      </c>
      <c r="F163" s="20" t="s">
        <v>501</v>
      </c>
      <c r="G163" s="8" t="str">
        <f t="shared" si="2"/>
        <v>HART KEVIN</v>
      </c>
    </row>
    <row r="164" spans="1:7" x14ac:dyDescent="0.25">
      <c r="A164" s="8">
        <v>42910.716134259259</v>
      </c>
      <c r="B164" s="20" t="s">
        <v>470</v>
      </c>
      <c r="C164" s="20" t="s">
        <v>815</v>
      </c>
      <c r="D164" s="138">
        <v>3010000</v>
      </c>
      <c r="E164" s="20" t="s">
        <v>392</v>
      </c>
      <c r="F164" s="20" t="s">
        <v>393</v>
      </c>
      <c r="G164" s="8" t="str">
        <f t="shared" si="2"/>
        <v>SULLIVAN BRANDON</v>
      </c>
    </row>
    <row r="165" spans="1:7" x14ac:dyDescent="0.25">
      <c r="A165" s="8">
        <v>42910.718009259261</v>
      </c>
      <c r="B165" s="20" t="s">
        <v>497</v>
      </c>
      <c r="C165" s="20" t="s">
        <v>816</v>
      </c>
      <c r="D165" s="138">
        <v>2540000</v>
      </c>
      <c r="E165" s="20" t="s">
        <v>782</v>
      </c>
      <c r="F165" s="20" t="s">
        <v>783</v>
      </c>
      <c r="G165" s="8" t="str">
        <f t="shared" si="2"/>
        <v>MCREYNOLDS KYLE</v>
      </c>
    </row>
    <row r="166" spans="1:7" x14ac:dyDescent="0.25">
      <c r="A166" s="8">
        <v>42910.724641203706</v>
      </c>
      <c r="B166" s="20" t="s">
        <v>374</v>
      </c>
      <c r="C166" s="20" t="s">
        <v>653</v>
      </c>
      <c r="D166" s="138">
        <v>2370000</v>
      </c>
      <c r="E166" s="20" t="s">
        <v>530</v>
      </c>
      <c r="F166" s="20" t="s">
        <v>531</v>
      </c>
      <c r="G166" s="8" t="str">
        <f t="shared" si="2"/>
        <v>DELGADO DIANAH</v>
      </c>
    </row>
    <row r="167" spans="1:7" x14ac:dyDescent="0.25">
      <c r="A167" s="8">
        <v>42910.724930555552</v>
      </c>
      <c r="B167" s="20" t="s">
        <v>365</v>
      </c>
      <c r="C167" s="20" t="s">
        <v>817</v>
      </c>
      <c r="D167" s="138">
        <v>920000</v>
      </c>
      <c r="E167" s="20" t="s">
        <v>411</v>
      </c>
      <c r="F167" s="20" t="s">
        <v>192</v>
      </c>
      <c r="G167" s="8" t="str">
        <f t="shared" si="2"/>
        <v>DAVIS MICHAEL</v>
      </c>
    </row>
    <row r="168" spans="1:7" x14ac:dyDescent="0.25">
      <c r="A168" s="8">
        <v>42910.727129629631</v>
      </c>
      <c r="B168" s="20" t="s">
        <v>417</v>
      </c>
      <c r="C168" s="20" t="s">
        <v>818</v>
      </c>
      <c r="D168" s="138">
        <v>2630000</v>
      </c>
      <c r="E168" s="20" t="s">
        <v>558</v>
      </c>
      <c r="F168" s="20" t="s">
        <v>559</v>
      </c>
      <c r="G168" s="8" t="str">
        <f t="shared" si="2"/>
        <v>SAFIEF AEIMEN</v>
      </c>
    </row>
    <row r="169" spans="1:7" x14ac:dyDescent="0.25">
      <c r="A169" s="8">
        <v>42910.734976851854</v>
      </c>
      <c r="B169" s="20" t="s">
        <v>523</v>
      </c>
      <c r="C169" s="20" t="s">
        <v>819</v>
      </c>
      <c r="D169" s="138">
        <v>2540000</v>
      </c>
      <c r="E169" s="20" t="s">
        <v>782</v>
      </c>
      <c r="F169" s="20" t="s">
        <v>783</v>
      </c>
      <c r="G169" s="8" t="str">
        <f t="shared" si="2"/>
        <v>MCREYNOLDS KYLE</v>
      </c>
    </row>
    <row r="170" spans="1:7" x14ac:dyDescent="0.25">
      <c r="A170" s="8">
        <v>42910.737962962965</v>
      </c>
      <c r="B170" s="20" t="s">
        <v>357</v>
      </c>
      <c r="C170" s="20" t="s">
        <v>654</v>
      </c>
      <c r="D170" s="138">
        <v>2730000</v>
      </c>
      <c r="E170" s="20" t="s">
        <v>511</v>
      </c>
      <c r="F170" s="20" t="s">
        <v>512</v>
      </c>
      <c r="G170" s="8" t="str">
        <f t="shared" si="2"/>
        <v>YANG JAN</v>
      </c>
    </row>
    <row r="171" spans="1:7" x14ac:dyDescent="0.25">
      <c r="A171" s="8">
        <v>42910.742743055554</v>
      </c>
      <c r="B171" s="20" t="s">
        <v>418</v>
      </c>
      <c r="C171" s="20" t="s">
        <v>820</v>
      </c>
      <c r="D171" s="138">
        <v>1770000</v>
      </c>
      <c r="E171" s="20" t="s">
        <v>759</v>
      </c>
      <c r="F171" s="20" t="s">
        <v>760</v>
      </c>
      <c r="G171" s="8" t="str">
        <f t="shared" si="2"/>
        <v>BRUDER RICHARD</v>
      </c>
    </row>
    <row r="172" spans="1:7" x14ac:dyDescent="0.25">
      <c r="A172" s="8">
        <v>42910.743483796294</v>
      </c>
      <c r="B172" s="20" t="s">
        <v>821</v>
      </c>
      <c r="C172" s="20" t="s">
        <v>822</v>
      </c>
      <c r="D172" s="138">
        <v>3030000</v>
      </c>
      <c r="E172" s="20" t="s">
        <v>381</v>
      </c>
      <c r="F172" s="20" t="s">
        <v>366</v>
      </c>
      <c r="G172" s="8" t="str">
        <f t="shared" si="2"/>
        <v>BIRENBAUM THOMAS</v>
      </c>
    </row>
    <row r="173" spans="1:7" x14ac:dyDescent="0.25">
      <c r="A173" s="8">
        <v>42910.748599537037</v>
      </c>
      <c r="B173" s="20" t="s">
        <v>658</v>
      </c>
      <c r="C173" s="20" t="s">
        <v>823</v>
      </c>
      <c r="D173" s="138">
        <v>3190000</v>
      </c>
      <c r="E173" s="20" t="s">
        <v>500</v>
      </c>
      <c r="F173" s="20" t="s">
        <v>501</v>
      </c>
      <c r="G173" s="8" t="str">
        <f t="shared" si="2"/>
        <v>HART KEVIN</v>
      </c>
    </row>
    <row r="174" spans="1:7" x14ac:dyDescent="0.25">
      <c r="A174" s="8">
        <v>42910.749074074076</v>
      </c>
      <c r="B174" s="20" t="s">
        <v>497</v>
      </c>
      <c r="C174" s="20" t="s">
        <v>656</v>
      </c>
      <c r="D174" s="138">
        <v>2540000</v>
      </c>
      <c r="E174" s="20" t="s">
        <v>782</v>
      </c>
      <c r="F174" s="20" t="s">
        <v>783</v>
      </c>
      <c r="G174" s="8" t="str">
        <f t="shared" si="2"/>
        <v>MCREYNOLDS KYLE</v>
      </c>
    </row>
    <row r="175" spans="1:7" x14ac:dyDescent="0.25">
      <c r="A175" s="8">
        <v>42910.749722222223</v>
      </c>
      <c r="B175" s="20" t="s">
        <v>469</v>
      </c>
      <c r="C175" s="20" t="s">
        <v>655</v>
      </c>
      <c r="D175" s="138">
        <v>3010000</v>
      </c>
      <c r="E175" s="20" t="s">
        <v>392</v>
      </c>
      <c r="F175" s="20" t="s">
        <v>393</v>
      </c>
      <c r="G175" s="8" t="str">
        <f t="shared" si="2"/>
        <v>SULLIVAN BRANDON</v>
      </c>
    </row>
    <row r="176" spans="1:7" x14ac:dyDescent="0.25">
      <c r="A176" s="8">
        <v>42910.757071759261</v>
      </c>
      <c r="B176" s="20" t="s">
        <v>357</v>
      </c>
      <c r="C176" s="20" t="s">
        <v>654</v>
      </c>
      <c r="D176" s="138">
        <v>2730000</v>
      </c>
      <c r="E176" s="20" t="s">
        <v>511</v>
      </c>
      <c r="F176" s="20" t="s">
        <v>512</v>
      </c>
      <c r="G176" s="8" t="str">
        <f t="shared" si="2"/>
        <v>YANG JAN</v>
      </c>
    </row>
    <row r="177" spans="1:7" x14ac:dyDescent="0.25">
      <c r="A177" s="8">
        <v>42910.757314814815</v>
      </c>
      <c r="B177" s="20" t="s">
        <v>341</v>
      </c>
      <c r="C177" s="20" t="s">
        <v>824</v>
      </c>
      <c r="D177" s="138">
        <v>2620000</v>
      </c>
      <c r="E177" s="20" t="s">
        <v>560</v>
      </c>
      <c r="F177" s="20" t="s">
        <v>561</v>
      </c>
      <c r="G177" s="8" t="str">
        <f t="shared" si="2"/>
        <v>PERKINS DARREN</v>
      </c>
    </row>
    <row r="178" spans="1:7" x14ac:dyDescent="0.25">
      <c r="A178" s="8">
        <v>42910.760960648149</v>
      </c>
      <c r="B178" s="20" t="s">
        <v>368</v>
      </c>
      <c r="C178" s="20" t="s">
        <v>825</v>
      </c>
      <c r="D178" s="138">
        <v>2370000</v>
      </c>
      <c r="E178" s="20" t="s">
        <v>530</v>
      </c>
      <c r="F178" s="20" t="s">
        <v>531</v>
      </c>
      <c r="G178" s="8" t="str">
        <f t="shared" si="2"/>
        <v>DELGADO DIANAH</v>
      </c>
    </row>
    <row r="179" spans="1:7" x14ac:dyDescent="0.25">
      <c r="A179" s="8">
        <v>42910.767418981479</v>
      </c>
      <c r="B179" s="20" t="s">
        <v>421</v>
      </c>
      <c r="C179" s="20" t="s">
        <v>826</v>
      </c>
      <c r="D179" s="138">
        <v>3000000</v>
      </c>
      <c r="E179" s="20" t="s">
        <v>422</v>
      </c>
      <c r="F179" s="20" t="s">
        <v>423</v>
      </c>
      <c r="G179" s="8" t="str">
        <f t="shared" si="2"/>
        <v>FORTUNATO FRANK</v>
      </c>
    </row>
    <row r="180" spans="1:7" x14ac:dyDescent="0.25">
      <c r="A180" s="8">
        <v>42910.776134259257</v>
      </c>
      <c r="B180" s="20" t="s">
        <v>549</v>
      </c>
      <c r="C180" s="20" t="s">
        <v>827</v>
      </c>
      <c r="D180" s="138">
        <v>2730000</v>
      </c>
      <c r="E180" s="20" t="s">
        <v>511</v>
      </c>
      <c r="F180" s="20" t="s">
        <v>512</v>
      </c>
      <c r="G180" s="8" t="str">
        <f t="shared" si="2"/>
        <v>YANG JAN</v>
      </c>
    </row>
    <row r="181" spans="1:7" x14ac:dyDescent="0.25">
      <c r="A181" s="8">
        <v>42910.776689814818</v>
      </c>
      <c r="B181" s="20" t="s">
        <v>523</v>
      </c>
      <c r="C181" s="20" t="s">
        <v>828</v>
      </c>
      <c r="D181" s="138">
        <v>2540000</v>
      </c>
      <c r="E181" s="20" t="s">
        <v>782</v>
      </c>
      <c r="F181" s="20" t="s">
        <v>783</v>
      </c>
      <c r="G181" s="8" t="str">
        <f t="shared" si="2"/>
        <v>MCREYNOLDS KYLE</v>
      </c>
    </row>
    <row r="182" spans="1:7" x14ac:dyDescent="0.25">
      <c r="A182" s="8">
        <v>42910.777118055557</v>
      </c>
      <c r="B182" s="20" t="s">
        <v>420</v>
      </c>
      <c r="C182" s="20" t="s">
        <v>829</v>
      </c>
      <c r="D182" s="138">
        <v>1770000</v>
      </c>
      <c r="E182" s="20" t="s">
        <v>759</v>
      </c>
      <c r="F182" s="20" t="s">
        <v>760</v>
      </c>
      <c r="G182" s="8" t="str">
        <f t="shared" si="2"/>
        <v>BRUDER RICHARD</v>
      </c>
    </row>
    <row r="183" spans="1:7" x14ac:dyDescent="0.25">
      <c r="A183" s="8">
        <v>42910.778148148151</v>
      </c>
      <c r="B183" s="20" t="s">
        <v>549</v>
      </c>
      <c r="C183" s="20" t="s">
        <v>827</v>
      </c>
      <c r="D183" s="138">
        <v>2730000</v>
      </c>
      <c r="E183" s="20" t="s">
        <v>511</v>
      </c>
      <c r="F183" s="20" t="s">
        <v>512</v>
      </c>
      <c r="G183" s="8" t="str">
        <f t="shared" si="2"/>
        <v>YANG JAN</v>
      </c>
    </row>
    <row r="184" spans="1:7" x14ac:dyDescent="0.25">
      <c r="A184" s="8">
        <v>42910.788148148145</v>
      </c>
      <c r="B184" s="20" t="s">
        <v>646</v>
      </c>
      <c r="C184" s="20" t="s">
        <v>830</v>
      </c>
      <c r="D184" s="138">
        <v>3190000</v>
      </c>
      <c r="E184" s="20" t="s">
        <v>500</v>
      </c>
      <c r="F184" s="20" t="s">
        <v>501</v>
      </c>
      <c r="G184" s="8" t="str">
        <f t="shared" si="2"/>
        <v>HART KEVIN</v>
      </c>
    </row>
    <row r="185" spans="1:7" x14ac:dyDescent="0.25">
      <c r="A185" s="8">
        <v>42910.790902777779</v>
      </c>
      <c r="B185" s="20" t="s">
        <v>497</v>
      </c>
      <c r="C185" s="20" t="s">
        <v>831</v>
      </c>
      <c r="D185" s="138">
        <v>2540000</v>
      </c>
      <c r="E185" s="20" t="s">
        <v>782</v>
      </c>
      <c r="F185" s="20" t="s">
        <v>783</v>
      </c>
      <c r="G185" s="8" t="str">
        <f t="shared" si="2"/>
        <v>MCREYNOLDS KYLE</v>
      </c>
    </row>
    <row r="186" spans="1:7" x14ac:dyDescent="0.25">
      <c r="A186" s="8">
        <v>42910.79178240741</v>
      </c>
      <c r="B186" s="20" t="s">
        <v>470</v>
      </c>
      <c r="C186" s="20" t="s">
        <v>832</v>
      </c>
      <c r="D186" s="138">
        <v>3090000</v>
      </c>
      <c r="E186" s="20" t="s">
        <v>375</v>
      </c>
      <c r="F186" s="20" t="s">
        <v>376</v>
      </c>
      <c r="G186" s="8" t="str">
        <f t="shared" si="2"/>
        <v>LAMAR NEKESHA</v>
      </c>
    </row>
    <row r="187" spans="1:7" x14ac:dyDescent="0.25">
      <c r="A187" s="8">
        <v>42910.794652777775</v>
      </c>
      <c r="B187" s="20" t="s">
        <v>365</v>
      </c>
      <c r="C187" s="20" t="s">
        <v>657</v>
      </c>
      <c r="D187" s="138">
        <v>2620000</v>
      </c>
      <c r="E187" s="20" t="s">
        <v>560</v>
      </c>
      <c r="F187" s="20" t="s">
        <v>561</v>
      </c>
      <c r="G187" s="8" t="str">
        <f t="shared" si="2"/>
        <v>PERKINS DARREN</v>
      </c>
    </row>
    <row r="188" spans="1:7" x14ac:dyDescent="0.25">
      <c r="A188" s="8">
        <v>42910.797673611109</v>
      </c>
      <c r="B188" s="20" t="s">
        <v>374</v>
      </c>
      <c r="C188" s="20" t="s">
        <v>833</v>
      </c>
      <c r="D188" s="138">
        <v>2370000</v>
      </c>
      <c r="E188" s="20" t="s">
        <v>530</v>
      </c>
      <c r="F188" s="20" t="s">
        <v>531</v>
      </c>
      <c r="G188" s="8" t="str">
        <f t="shared" si="2"/>
        <v>DELGADO DIANAH</v>
      </c>
    </row>
    <row r="189" spans="1:7" x14ac:dyDescent="0.25">
      <c r="A189" s="8">
        <v>42910.807268518518</v>
      </c>
      <c r="B189" s="20" t="s">
        <v>417</v>
      </c>
      <c r="C189" s="20" t="s">
        <v>834</v>
      </c>
      <c r="D189" s="138">
        <v>3000000</v>
      </c>
      <c r="E189" s="20" t="s">
        <v>422</v>
      </c>
      <c r="F189" s="20" t="s">
        <v>423</v>
      </c>
      <c r="G189" s="8" t="str">
        <f t="shared" si="2"/>
        <v>FORTUNATO FRANK</v>
      </c>
    </row>
    <row r="190" spans="1:7" x14ac:dyDescent="0.25">
      <c r="A190" s="8">
        <v>42910.809328703705</v>
      </c>
      <c r="B190" s="20" t="s">
        <v>357</v>
      </c>
      <c r="C190" s="20" t="s">
        <v>835</v>
      </c>
      <c r="D190" s="138">
        <v>2730000</v>
      </c>
      <c r="E190" s="20" t="s">
        <v>511</v>
      </c>
      <c r="F190" s="20" t="s">
        <v>512</v>
      </c>
      <c r="G190" s="8" t="str">
        <f t="shared" si="2"/>
        <v>YANG JAN</v>
      </c>
    </row>
    <row r="191" spans="1:7" x14ac:dyDescent="0.25">
      <c r="A191" s="8">
        <v>42910.817569444444</v>
      </c>
      <c r="B191" s="20" t="s">
        <v>658</v>
      </c>
      <c r="C191" s="20" t="s">
        <v>659</v>
      </c>
      <c r="D191" s="138">
        <v>3190000</v>
      </c>
      <c r="E191" s="20" t="s">
        <v>500</v>
      </c>
      <c r="F191" s="20" t="s">
        <v>501</v>
      </c>
      <c r="G191" s="8" t="str">
        <f t="shared" si="2"/>
        <v>HART KEVIN</v>
      </c>
    </row>
    <row r="192" spans="1:7" x14ac:dyDescent="0.25">
      <c r="A192" s="8">
        <v>42910.819062499999</v>
      </c>
      <c r="B192" s="20" t="s">
        <v>523</v>
      </c>
      <c r="C192" s="20" t="s">
        <v>836</v>
      </c>
      <c r="D192" s="138">
        <v>2540000</v>
      </c>
      <c r="E192" s="20" t="s">
        <v>782</v>
      </c>
      <c r="F192" s="20" t="s">
        <v>783</v>
      </c>
      <c r="G192" s="8" t="str">
        <f t="shared" si="2"/>
        <v>MCREYNOLDS KYLE</v>
      </c>
    </row>
    <row r="193" spans="1:7" x14ac:dyDescent="0.25">
      <c r="A193" s="8">
        <v>42910.824340277781</v>
      </c>
      <c r="B193" s="20" t="s">
        <v>469</v>
      </c>
      <c r="C193" s="20" t="s">
        <v>837</v>
      </c>
      <c r="D193" s="138">
        <v>3090000</v>
      </c>
      <c r="E193" s="20" t="s">
        <v>375</v>
      </c>
      <c r="F193" s="20" t="s">
        <v>376</v>
      </c>
      <c r="G193" s="8" t="str">
        <f t="shared" si="2"/>
        <v>LAMAR NEKESHA</v>
      </c>
    </row>
    <row r="194" spans="1:7" x14ac:dyDescent="0.25">
      <c r="A194" s="8">
        <v>42910.830613425926</v>
      </c>
      <c r="B194" s="20" t="s">
        <v>341</v>
      </c>
      <c r="C194" s="20" t="s">
        <v>838</v>
      </c>
      <c r="D194" s="138">
        <v>2620000</v>
      </c>
      <c r="E194" s="20" t="s">
        <v>560</v>
      </c>
      <c r="F194" s="20" t="s">
        <v>561</v>
      </c>
      <c r="G194" s="8" t="str">
        <f t="shared" si="2"/>
        <v>PERKINS DARREN</v>
      </c>
    </row>
    <row r="195" spans="1:7" x14ac:dyDescent="0.25">
      <c r="A195" s="8">
        <v>42910.832291666666</v>
      </c>
      <c r="B195" s="20" t="s">
        <v>497</v>
      </c>
      <c r="C195" s="20" t="s">
        <v>839</v>
      </c>
      <c r="D195" s="138">
        <v>2540000</v>
      </c>
      <c r="E195" s="20" t="s">
        <v>782</v>
      </c>
      <c r="F195" s="20" t="s">
        <v>783</v>
      </c>
      <c r="G195" s="8" t="str">
        <f t="shared" ref="G195:G258" si="3">E195&amp;" "&amp;F195</f>
        <v>MCREYNOLDS KYLE</v>
      </c>
    </row>
    <row r="196" spans="1:7" x14ac:dyDescent="0.25">
      <c r="A196" s="8">
        <v>42910.842731481483</v>
      </c>
      <c r="B196" s="20" t="s">
        <v>421</v>
      </c>
      <c r="C196" s="20" t="s">
        <v>840</v>
      </c>
      <c r="D196" s="138">
        <v>3000000</v>
      </c>
      <c r="E196" s="20" t="s">
        <v>422</v>
      </c>
      <c r="F196" s="20" t="s">
        <v>423</v>
      </c>
      <c r="G196" s="8" t="str">
        <f t="shared" si="3"/>
        <v>FORTUNATO FRANK</v>
      </c>
    </row>
    <row r="197" spans="1:7" x14ac:dyDescent="0.25">
      <c r="A197" s="8">
        <v>42910.848668981482</v>
      </c>
      <c r="B197" s="20" t="s">
        <v>549</v>
      </c>
      <c r="C197" s="20" t="s">
        <v>841</v>
      </c>
      <c r="D197" s="138">
        <v>2730000</v>
      </c>
      <c r="E197" s="20" t="s">
        <v>511</v>
      </c>
      <c r="F197" s="20" t="s">
        <v>512</v>
      </c>
      <c r="G197" s="8" t="str">
        <f t="shared" si="3"/>
        <v>YANG JAN</v>
      </c>
    </row>
    <row r="198" spans="1:7" x14ac:dyDescent="0.25">
      <c r="A198" s="8">
        <v>42910.860347222224</v>
      </c>
      <c r="B198" s="20" t="s">
        <v>523</v>
      </c>
      <c r="C198" s="20" t="s">
        <v>842</v>
      </c>
      <c r="D198" s="138">
        <v>2540000</v>
      </c>
      <c r="E198" s="20" t="s">
        <v>782</v>
      </c>
      <c r="F198" s="20" t="s">
        <v>783</v>
      </c>
      <c r="G198" s="8" t="str">
        <f t="shared" si="3"/>
        <v>MCREYNOLDS KYLE</v>
      </c>
    </row>
    <row r="199" spans="1:7" x14ac:dyDescent="0.25">
      <c r="A199" s="8">
        <v>42910.866261574076</v>
      </c>
      <c r="B199" s="20" t="s">
        <v>365</v>
      </c>
      <c r="C199" s="20" t="s">
        <v>843</v>
      </c>
      <c r="D199" s="138">
        <v>2620000</v>
      </c>
      <c r="E199" s="20" t="s">
        <v>560</v>
      </c>
      <c r="F199" s="20" t="s">
        <v>561</v>
      </c>
      <c r="G199" s="8" t="str">
        <f t="shared" si="3"/>
        <v>PERKINS DARREN</v>
      </c>
    </row>
    <row r="200" spans="1:7" x14ac:dyDescent="0.25">
      <c r="A200" s="8">
        <v>42910.87096064815</v>
      </c>
      <c r="B200" s="20" t="s">
        <v>470</v>
      </c>
      <c r="C200" s="20" t="s">
        <v>844</v>
      </c>
      <c r="D200" s="138">
        <v>3090000</v>
      </c>
      <c r="E200" s="20" t="s">
        <v>375</v>
      </c>
      <c r="F200" s="20" t="s">
        <v>376</v>
      </c>
      <c r="G200" s="8" t="str">
        <f t="shared" si="3"/>
        <v>LAMAR NEKESHA</v>
      </c>
    </row>
    <row r="201" spans="1:7" x14ac:dyDescent="0.25">
      <c r="A201" s="8">
        <v>42910.881909722222</v>
      </c>
      <c r="B201" s="20" t="s">
        <v>357</v>
      </c>
      <c r="C201" s="20" t="s">
        <v>845</v>
      </c>
      <c r="D201" s="138">
        <v>2730000</v>
      </c>
      <c r="E201" s="20" t="s">
        <v>511</v>
      </c>
      <c r="F201" s="20" t="s">
        <v>512</v>
      </c>
      <c r="G201" s="8" t="str">
        <f t="shared" si="3"/>
        <v>YANG JAN</v>
      </c>
    </row>
    <row r="202" spans="1:7" x14ac:dyDescent="0.25">
      <c r="A202" s="26">
        <v>42910.885208333333</v>
      </c>
      <c r="B202" s="20" t="s">
        <v>417</v>
      </c>
      <c r="C202" s="20" t="s">
        <v>660</v>
      </c>
      <c r="D202" s="138">
        <v>3000000</v>
      </c>
      <c r="E202" s="20" t="s">
        <v>422</v>
      </c>
      <c r="F202" s="20" t="s">
        <v>423</v>
      </c>
      <c r="G202" s="8" t="str">
        <f t="shared" si="3"/>
        <v>FORTUNATO FRANK</v>
      </c>
    </row>
    <row r="203" spans="1:7" x14ac:dyDescent="0.25">
      <c r="A203" s="8">
        <v>42910.885937500003</v>
      </c>
      <c r="B203" s="20" t="s">
        <v>497</v>
      </c>
      <c r="C203" s="20" t="s">
        <v>846</v>
      </c>
      <c r="D203" s="138">
        <v>2540000</v>
      </c>
      <c r="E203" s="20" t="s">
        <v>782</v>
      </c>
      <c r="F203" s="20" t="s">
        <v>783</v>
      </c>
      <c r="G203" s="8" t="str">
        <f t="shared" si="3"/>
        <v>MCREYNOLDS KYLE</v>
      </c>
    </row>
    <row r="204" spans="1:7" x14ac:dyDescent="0.25">
      <c r="A204" s="8">
        <v>42910.900983796295</v>
      </c>
      <c r="B204" s="20" t="s">
        <v>523</v>
      </c>
      <c r="C204" s="20" t="s">
        <v>847</v>
      </c>
      <c r="D204" s="138">
        <v>2540000</v>
      </c>
      <c r="E204" s="20" t="s">
        <v>782</v>
      </c>
      <c r="F204" s="20" t="s">
        <v>783</v>
      </c>
      <c r="G204" s="8" t="str">
        <f t="shared" si="3"/>
        <v>MCREYNOLDS KYLE</v>
      </c>
    </row>
    <row r="205" spans="1:7" x14ac:dyDescent="0.25">
      <c r="A205" s="8">
        <v>42910.903726851851</v>
      </c>
      <c r="B205" s="20" t="s">
        <v>341</v>
      </c>
      <c r="C205" s="20" t="s">
        <v>848</v>
      </c>
      <c r="D205" s="138">
        <v>2620000</v>
      </c>
      <c r="E205" s="20" t="s">
        <v>560</v>
      </c>
      <c r="F205" s="20" t="s">
        <v>561</v>
      </c>
      <c r="G205" s="8" t="str">
        <f t="shared" si="3"/>
        <v>PERKINS DARREN</v>
      </c>
    </row>
    <row r="206" spans="1:7" x14ac:dyDescent="0.25">
      <c r="A206" s="8">
        <v>42910.909756944442</v>
      </c>
      <c r="B206" s="20" t="s">
        <v>469</v>
      </c>
      <c r="C206" s="20" t="s">
        <v>849</v>
      </c>
      <c r="D206" s="138">
        <v>3090000</v>
      </c>
      <c r="E206" s="20" t="s">
        <v>375</v>
      </c>
      <c r="F206" s="20" t="s">
        <v>376</v>
      </c>
      <c r="G206" s="8" t="str">
        <f t="shared" si="3"/>
        <v>LAMAR NEKESHA</v>
      </c>
    </row>
    <row r="207" spans="1:7" x14ac:dyDescent="0.25">
      <c r="A207" s="8">
        <v>42910.915092592593</v>
      </c>
      <c r="B207" s="20" t="s">
        <v>497</v>
      </c>
      <c r="C207" s="20" t="s">
        <v>850</v>
      </c>
      <c r="D207" s="138">
        <v>2540000</v>
      </c>
      <c r="E207" s="20" t="s">
        <v>782</v>
      </c>
      <c r="F207" s="20" t="s">
        <v>783</v>
      </c>
      <c r="G207" s="8" t="str">
        <f t="shared" si="3"/>
        <v>MCREYNOLDS KYLE</v>
      </c>
    </row>
    <row r="208" spans="1:7" x14ac:dyDescent="0.25">
      <c r="A208" s="8">
        <v>42910.929594907408</v>
      </c>
      <c r="B208" s="20" t="s">
        <v>421</v>
      </c>
      <c r="C208" s="20" t="s">
        <v>661</v>
      </c>
      <c r="D208" s="138">
        <v>3000000</v>
      </c>
      <c r="E208" s="20" t="s">
        <v>422</v>
      </c>
      <c r="F208" s="20" t="s">
        <v>423</v>
      </c>
      <c r="G208" s="8" t="str">
        <f t="shared" si="3"/>
        <v>FORTUNATO FRANK</v>
      </c>
    </row>
    <row r="209" spans="1:7" x14ac:dyDescent="0.25">
      <c r="A209" s="8">
        <v>42910.930914351855</v>
      </c>
      <c r="B209" s="20" t="s">
        <v>549</v>
      </c>
      <c r="C209" s="20" t="s">
        <v>851</v>
      </c>
      <c r="D209" s="138">
        <v>2730000</v>
      </c>
      <c r="E209" s="20" t="s">
        <v>511</v>
      </c>
      <c r="F209" s="20" t="s">
        <v>512</v>
      </c>
      <c r="G209" s="8" t="str">
        <f t="shared" si="3"/>
        <v>YANG JAN</v>
      </c>
    </row>
    <row r="210" spans="1:7" x14ac:dyDescent="0.25">
      <c r="A210" s="8">
        <v>42910.943865740737</v>
      </c>
      <c r="B210" s="20" t="s">
        <v>523</v>
      </c>
      <c r="C210" s="20" t="s">
        <v>852</v>
      </c>
      <c r="D210" s="138">
        <v>2540000</v>
      </c>
      <c r="E210" s="20" t="s">
        <v>782</v>
      </c>
      <c r="F210" s="20" t="s">
        <v>783</v>
      </c>
      <c r="G210" s="8" t="str">
        <f t="shared" si="3"/>
        <v>MCREYNOLDS KYLE</v>
      </c>
    </row>
    <row r="211" spans="1:7" x14ac:dyDescent="0.25">
      <c r="A211" s="8">
        <v>42910.949328703704</v>
      </c>
      <c r="B211" s="20" t="s">
        <v>365</v>
      </c>
      <c r="C211" s="20" t="s">
        <v>853</v>
      </c>
      <c r="D211" s="138">
        <v>2620000</v>
      </c>
      <c r="E211" s="20" t="s">
        <v>560</v>
      </c>
      <c r="F211" s="20" t="s">
        <v>561</v>
      </c>
      <c r="G211" s="8" t="str">
        <f t="shared" si="3"/>
        <v>PERKINS DARREN</v>
      </c>
    </row>
    <row r="212" spans="1:7" x14ac:dyDescent="0.25">
      <c r="A212" s="8">
        <v>42910.954930555556</v>
      </c>
      <c r="B212" s="20" t="s">
        <v>470</v>
      </c>
      <c r="C212" s="20" t="s">
        <v>854</v>
      </c>
      <c r="D212" s="138">
        <v>3090000</v>
      </c>
      <c r="E212" s="20" t="s">
        <v>375</v>
      </c>
      <c r="F212" s="20" t="s">
        <v>376</v>
      </c>
      <c r="G212" s="8" t="str">
        <f t="shared" si="3"/>
        <v>LAMAR NEKESHA</v>
      </c>
    </row>
    <row r="213" spans="1:7" x14ac:dyDescent="0.25">
      <c r="A213" s="8">
        <v>42910.966863425929</v>
      </c>
      <c r="B213" s="20" t="s">
        <v>357</v>
      </c>
      <c r="C213" s="20" t="s">
        <v>855</v>
      </c>
      <c r="D213" s="138">
        <v>2730000</v>
      </c>
      <c r="E213" s="20" t="s">
        <v>511</v>
      </c>
      <c r="F213" s="20" t="s">
        <v>512</v>
      </c>
      <c r="G213" s="8" t="str">
        <f t="shared" si="3"/>
        <v>YANG JAN</v>
      </c>
    </row>
    <row r="214" spans="1:7" x14ac:dyDescent="0.25">
      <c r="A214" s="8">
        <v>42910.970555555556</v>
      </c>
      <c r="B214" s="20" t="s">
        <v>417</v>
      </c>
      <c r="C214" s="20" t="s">
        <v>662</v>
      </c>
      <c r="D214" s="138">
        <v>3000000</v>
      </c>
      <c r="E214" s="20" t="s">
        <v>422</v>
      </c>
      <c r="F214" s="20" t="s">
        <v>423</v>
      </c>
      <c r="G214" s="8" t="str">
        <f t="shared" si="3"/>
        <v>FORTUNATO FRANK</v>
      </c>
    </row>
    <row r="215" spans="1:7" x14ac:dyDescent="0.25">
      <c r="A215" s="8">
        <v>42910.986979166664</v>
      </c>
      <c r="B215" s="20" t="s">
        <v>341</v>
      </c>
      <c r="C215" s="20" t="s">
        <v>663</v>
      </c>
      <c r="D215" s="138">
        <v>2620000</v>
      </c>
      <c r="E215" s="20" t="s">
        <v>560</v>
      </c>
      <c r="F215" s="20" t="s">
        <v>561</v>
      </c>
      <c r="G215" s="8" t="str">
        <f t="shared" si="3"/>
        <v>PERKINS DARREN</v>
      </c>
    </row>
    <row r="216" spans="1:7" x14ac:dyDescent="0.25">
      <c r="A216" s="8">
        <v>42910.994004629632</v>
      </c>
      <c r="B216" s="20" t="s">
        <v>469</v>
      </c>
      <c r="C216" s="20" t="s">
        <v>856</v>
      </c>
      <c r="D216" s="138">
        <v>3090000</v>
      </c>
      <c r="E216" s="20" t="s">
        <v>375</v>
      </c>
      <c r="F216" s="20" t="s">
        <v>376</v>
      </c>
      <c r="G216" s="8" t="str">
        <f t="shared" si="3"/>
        <v>LAMAR NEKESHA</v>
      </c>
    </row>
    <row r="217" spans="1:7" x14ac:dyDescent="0.25">
      <c r="A217" s="8">
        <v>42911.007650462961</v>
      </c>
      <c r="B217" s="20" t="s">
        <v>421</v>
      </c>
      <c r="C217" s="20" t="s">
        <v>857</v>
      </c>
      <c r="D217" s="138">
        <v>3000000</v>
      </c>
      <c r="E217" s="20" t="s">
        <v>422</v>
      </c>
      <c r="F217" s="20" t="s">
        <v>423</v>
      </c>
      <c r="G217" s="8" t="str">
        <f t="shared" si="3"/>
        <v>FORTUNATO FRANK</v>
      </c>
    </row>
    <row r="218" spans="1:7" x14ac:dyDescent="0.25">
      <c r="A218" s="8">
        <v>42911.014108796298</v>
      </c>
      <c r="B218" s="20" t="s">
        <v>549</v>
      </c>
      <c r="C218" s="20" t="s">
        <v>858</v>
      </c>
      <c r="D218" s="138">
        <v>2730000</v>
      </c>
      <c r="E218" s="20" t="s">
        <v>511</v>
      </c>
      <c r="F218" s="20" t="s">
        <v>512</v>
      </c>
      <c r="G218" s="8" t="str">
        <f t="shared" si="3"/>
        <v>YANG JAN</v>
      </c>
    </row>
    <row r="219" spans="1:7" x14ac:dyDescent="0.25">
      <c r="A219" s="8">
        <v>42911.02988425926</v>
      </c>
      <c r="B219" s="20" t="s">
        <v>365</v>
      </c>
      <c r="C219" s="20" t="s">
        <v>664</v>
      </c>
      <c r="D219" s="138">
        <v>2620000</v>
      </c>
      <c r="E219" s="20" t="s">
        <v>560</v>
      </c>
      <c r="F219" s="20" t="s">
        <v>561</v>
      </c>
      <c r="G219" s="8" t="str">
        <f t="shared" si="3"/>
        <v>PERKINS DARREN</v>
      </c>
    </row>
    <row r="220" spans="1:7" x14ac:dyDescent="0.25">
      <c r="A220" s="8">
        <v>42911.036469907405</v>
      </c>
      <c r="B220" s="20" t="s">
        <v>470</v>
      </c>
      <c r="C220" s="20" t="s">
        <v>859</v>
      </c>
      <c r="D220" s="138">
        <v>3090000</v>
      </c>
      <c r="E220" s="20" t="s">
        <v>375</v>
      </c>
      <c r="F220" s="20" t="s">
        <v>376</v>
      </c>
      <c r="G220" s="8" t="str">
        <f t="shared" si="3"/>
        <v>LAMAR NEKESHA</v>
      </c>
    </row>
    <row r="221" spans="1:7" x14ac:dyDescent="0.25">
      <c r="A221" s="8">
        <v>42911.047372685185</v>
      </c>
      <c r="B221" s="20" t="s">
        <v>357</v>
      </c>
      <c r="C221" s="20" t="s">
        <v>860</v>
      </c>
      <c r="D221" s="138">
        <v>2730000</v>
      </c>
      <c r="E221" s="20" t="s">
        <v>511</v>
      </c>
      <c r="F221" s="20" t="s">
        <v>512</v>
      </c>
      <c r="G221" s="8" t="str">
        <f t="shared" si="3"/>
        <v>YANG JAN</v>
      </c>
    </row>
    <row r="222" spans="1:7" x14ac:dyDescent="0.25">
      <c r="A222" s="8">
        <v>42911.052731481483</v>
      </c>
      <c r="B222" s="20" t="s">
        <v>417</v>
      </c>
      <c r="C222" s="20" t="s">
        <v>665</v>
      </c>
      <c r="D222" s="138">
        <v>3000000</v>
      </c>
      <c r="E222" s="20" t="s">
        <v>422</v>
      </c>
      <c r="F222" s="20" t="s">
        <v>423</v>
      </c>
      <c r="G222" s="8" t="str">
        <f t="shared" si="3"/>
        <v>FORTUNATO FRANK</v>
      </c>
    </row>
    <row r="223" spans="1:7" x14ac:dyDescent="0.25">
      <c r="A223" s="8">
        <v>42911.068414351852</v>
      </c>
      <c r="B223" s="20" t="s">
        <v>341</v>
      </c>
      <c r="C223" s="20" t="s">
        <v>861</v>
      </c>
      <c r="D223" s="138">
        <v>2620000</v>
      </c>
      <c r="E223" s="20" t="s">
        <v>560</v>
      </c>
      <c r="F223" s="20" t="s">
        <v>561</v>
      </c>
      <c r="G223" s="8" t="str">
        <f t="shared" si="3"/>
        <v>PERKINS DARREN</v>
      </c>
    </row>
    <row r="224" spans="1:7" x14ac:dyDescent="0.25">
      <c r="A224" s="8">
        <v>42911.077905092592</v>
      </c>
      <c r="B224" t="s">
        <v>469</v>
      </c>
      <c r="C224" t="s">
        <v>862</v>
      </c>
      <c r="D224" s="138">
        <v>3090000</v>
      </c>
      <c r="E224" t="s">
        <v>375</v>
      </c>
      <c r="F224" s="20" t="s">
        <v>376</v>
      </c>
      <c r="G224" s="8" t="str">
        <f t="shared" si="3"/>
        <v>LAMAR NEKESHA</v>
      </c>
    </row>
    <row r="225" spans="1:7" x14ac:dyDescent="0.25">
      <c r="A225" s="8">
        <v>42911.089409722219</v>
      </c>
      <c r="B225" t="s">
        <v>421</v>
      </c>
      <c r="C225" t="s">
        <v>863</v>
      </c>
      <c r="D225" s="138">
        <v>3000000</v>
      </c>
      <c r="E225" t="s">
        <v>422</v>
      </c>
      <c r="F225" s="20" t="s">
        <v>423</v>
      </c>
      <c r="G225" s="8" t="str">
        <f t="shared" si="3"/>
        <v>FORTUNATO FRANK</v>
      </c>
    </row>
    <row r="226" spans="1:7" x14ac:dyDescent="0.25">
      <c r="A226" s="8">
        <v>42911.110763888886</v>
      </c>
      <c r="B226" t="s">
        <v>470</v>
      </c>
      <c r="C226" t="s">
        <v>864</v>
      </c>
      <c r="D226" s="138">
        <v>3090000</v>
      </c>
      <c r="E226" t="s">
        <v>375</v>
      </c>
      <c r="F226" s="20" t="s">
        <v>376</v>
      </c>
      <c r="G226" s="8" t="str">
        <f t="shared" si="3"/>
        <v>LAMAR NEKESHA</v>
      </c>
    </row>
    <row r="227" spans="1:7" x14ac:dyDescent="0.25">
      <c r="A227" s="8">
        <v>42908.890879629631</v>
      </c>
      <c r="B227" t="s">
        <v>420</v>
      </c>
      <c r="C227" t="s">
        <v>562</v>
      </c>
      <c r="D227" s="138">
        <v>2230000</v>
      </c>
      <c r="E227" t="s">
        <v>342</v>
      </c>
      <c r="F227" s="20" t="s">
        <v>192</v>
      </c>
      <c r="G227" s="8" t="str">
        <f t="shared" si="3"/>
        <v>SMITH MICHAEL</v>
      </c>
    </row>
    <row r="228" spans="1:7" x14ac:dyDescent="0.25">
      <c r="A228" s="8">
        <v>42908.900601851848</v>
      </c>
      <c r="B228" t="s">
        <v>340</v>
      </c>
      <c r="C228" t="s">
        <v>563</v>
      </c>
      <c r="D228" s="138">
        <v>2090000</v>
      </c>
      <c r="E228" t="s">
        <v>448</v>
      </c>
      <c r="F228" s="20" t="s">
        <v>192</v>
      </c>
      <c r="G228" s="8" t="str">
        <f t="shared" si="3"/>
        <v>HAITHCOX MICHAEL</v>
      </c>
    </row>
    <row r="229" spans="1:7" x14ac:dyDescent="0.25">
      <c r="A229" s="8">
        <v>42908.902303240742</v>
      </c>
      <c r="B229" t="s">
        <v>372</v>
      </c>
      <c r="C229" t="s">
        <v>564</v>
      </c>
      <c r="D229" s="138">
        <v>2620000</v>
      </c>
      <c r="E229" t="s">
        <v>560</v>
      </c>
      <c r="F229" s="20" t="s">
        <v>561</v>
      </c>
      <c r="G229" s="8" t="str">
        <f t="shared" si="3"/>
        <v>PERKINS DARREN</v>
      </c>
    </row>
    <row r="230" spans="1:7" x14ac:dyDescent="0.25">
      <c r="A230" s="8">
        <v>42908.91</v>
      </c>
      <c r="B230" t="s">
        <v>365</v>
      </c>
      <c r="C230" t="s">
        <v>565</v>
      </c>
      <c r="D230" s="138">
        <v>3090000</v>
      </c>
      <c r="E230" t="s">
        <v>375</v>
      </c>
      <c r="F230" s="20" t="s">
        <v>376</v>
      </c>
      <c r="G230" s="8" t="str">
        <f t="shared" si="3"/>
        <v>LAMAR NEKESHA</v>
      </c>
    </row>
    <row r="231" spans="1:7" x14ac:dyDescent="0.25">
      <c r="A231" s="8">
        <v>42908.914942129632</v>
      </c>
      <c r="B231" t="s">
        <v>339</v>
      </c>
      <c r="C231" t="s">
        <v>566</v>
      </c>
      <c r="D231" s="138">
        <v>2090000</v>
      </c>
      <c r="E231" t="s">
        <v>448</v>
      </c>
      <c r="F231" s="20" t="s">
        <v>192</v>
      </c>
      <c r="G231" s="8" t="str">
        <f t="shared" si="3"/>
        <v>HAITHCOX MICHAEL</v>
      </c>
    </row>
    <row r="232" spans="1:7" x14ac:dyDescent="0.25">
      <c r="A232" s="8">
        <v>42908.923159722224</v>
      </c>
      <c r="B232" t="s">
        <v>470</v>
      </c>
      <c r="C232" t="s">
        <v>550</v>
      </c>
      <c r="D232" s="138">
        <v>3000000</v>
      </c>
      <c r="E232" t="s">
        <v>422</v>
      </c>
      <c r="F232" s="20" t="s">
        <v>423</v>
      </c>
      <c r="G232" s="8" t="str">
        <f t="shared" si="3"/>
        <v>FORTUNATO FRANK</v>
      </c>
    </row>
    <row r="233" spans="1:7" x14ac:dyDescent="0.25">
      <c r="A233" s="8">
        <v>42908.929236111115</v>
      </c>
      <c r="B233" t="s">
        <v>418</v>
      </c>
      <c r="C233" t="s">
        <v>567</v>
      </c>
      <c r="D233" s="138">
        <v>2230000</v>
      </c>
      <c r="E233" t="s">
        <v>342</v>
      </c>
      <c r="F233" s="20" t="s">
        <v>192</v>
      </c>
      <c r="G233" s="8" t="str">
        <f t="shared" si="3"/>
        <v>SMITH MICHAEL</v>
      </c>
    </row>
    <row r="234" spans="1:7" x14ac:dyDescent="0.25">
      <c r="A234" s="8">
        <v>42908.942824074074</v>
      </c>
      <c r="B234" t="s">
        <v>340</v>
      </c>
      <c r="C234" t="s">
        <v>568</v>
      </c>
      <c r="D234" s="138">
        <v>2090000</v>
      </c>
      <c r="E234" t="s">
        <v>448</v>
      </c>
      <c r="F234" s="20" t="s">
        <v>192</v>
      </c>
      <c r="G234" s="8" t="str">
        <f t="shared" si="3"/>
        <v>HAITHCOX MICHAEL</v>
      </c>
    </row>
    <row r="235" spans="1:7" x14ac:dyDescent="0.25">
      <c r="A235" s="8">
        <v>42908.950659722221</v>
      </c>
      <c r="B235" t="s">
        <v>369</v>
      </c>
      <c r="C235" t="s">
        <v>569</v>
      </c>
      <c r="D235" s="138">
        <v>2620000</v>
      </c>
      <c r="E235" t="s">
        <v>560</v>
      </c>
      <c r="F235" s="20" t="s">
        <v>561</v>
      </c>
      <c r="G235" s="8" t="str">
        <f t="shared" si="3"/>
        <v>PERKINS DARREN</v>
      </c>
    </row>
    <row r="236" spans="1:7" x14ac:dyDescent="0.25">
      <c r="A236" s="8">
        <v>42908.95553240741</v>
      </c>
      <c r="B236" t="s">
        <v>341</v>
      </c>
      <c r="C236" t="s">
        <v>570</v>
      </c>
      <c r="D236" s="138">
        <v>3090000</v>
      </c>
      <c r="E236" t="s">
        <v>375</v>
      </c>
      <c r="F236" s="20" t="s">
        <v>376</v>
      </c>
      <c r="G236" s="8" t="str">
        <f t="shared" si="3"/>
        <v>LAMAR NEKESHA</v>
      </c>
    </row>
    <row r="237" spans="1:7" x14ac:dyDescent="0.25">
      <c r="A237" s="8">
        <v>42908.969050925924</v>
      </c>
      <c r="B237" t="s">
        <v>420</v>
      </c>
      <c r="C237" t="s">
        <v>571</v>
      </c>
      <c r="D237" s="138">
        <v>2230000</v>
      </c>
      <c r="E237" t="s">
        <v>342</v>
      </c>
      <c r="F237" s="20" t="s">
        <v>192</v>
      </c>
      <c r="G237" s="8" t="str">
        <f t="shared" si="3"/>
        <v>SMITH MICHAEL</v>
      </c>
    </row>
    <row r="238" spans="1:7" x14ac:dyDescent="0.25">
      <c r="A238" s="8">
        <v>42908.971805555557</v>
      </c>
      <c r="B238" t="s">
        <v>469</v>
      </c>
      <c r="C238" t="s">
        <v>551</v>
      </c>
      <c r="D238" s="138">
        <v>3000000</v>
      </c>
      <c r="E238" t="s">
        <v>422</v>
      </c>
      <c r="F238" s="20" t="s">
        <v>423</v>
      </c>
      <c r="G238" s="8" t="str">
        <f t="shared" si="3"/>
        <v>FORTUNATO FRANK</v>
      </c>
    </row>
    <row r="239" spans="1:7" x14ac:dyDescent="0.25">
      <c r="A239" s="8">
        <v>42908.985081018516</v>
      </c>
      <c r="B239" t="s">
        <v>372</v>
      </c>
      <c r="C239" t="s">
        <v>552</v>
      </c>
      <c r="D239" s="138">
        <v>2620000</v>
      </c>
      <c r="E239" t="s">
        <v>560</v>
      </c>
      <c r="F239" s="20" t="s">
        <v>561</v>
      </c>
      <c r="G239" s="8" t="str">
        <f t="shared" si="3"/>
        <v>PERKINS DARREN</v>
      </c>
    </row>
    <row r="240" spans="1:7" x14ac:dyDescent="0.25">
      <c r="A240" s="8">
        <v>42908.994456018518</v>
      </c>
      <c r="B240" t="s">
        <v>365</v>
      </c>
      <c r="C240" t="s">
        <v>572</v>
      </c>
      <c r="D240" s="138">
        <v>3090000</v>
      </c>
      <c r="E240" t="s">
        <v>375</v>
      </c>
      <c r="F240" s="20" t="s">
        <v>376</v>
      </c>
      <c r="G240" s="8" t="str">
        <f t="shared" si="3"/>
        <v>LAMAR NEKESHA</v>
      </c>
    </row>
    <row r="241" spans="1:7" x14ac:dyDescent="0.25">
      <c r="A241" s="8">
        <v>42909.006284722222</v>
      </c>
      <c r="B241" t="s">
        <v>470</v>
      </c>
      <c r="C241" t="s">
        <v>573</v>
      </c>
      <c r="D241" s="138">
        <v>3000000</v>
      </c>
      <c r="E241" t="s">
        <v>422</v>
      </c>
      <c r="F241" s="20" t="s">
        <v>423</v>
      </c>
      <c r="G241" s="8" t="str">
        <f t="shared" si="3"/>
        <v>FORTUNATO FRANK</v>
      </c>
    </row>
    <row r="242" spans="1:7" x14ac:dyDescent="0.25">
      <c r="A242" s="8">
        <v>42909.007025462961</v>
      </c>
      <c r="B242" t="s">
        <v>574</v>
      </c>
      <c r="C242" t="s">
        <v>575</v>
      </c>
      <c r="D242" s="138">
        <v>3030000</v>
      </c>
      <c r="E242" t="s">
        <v>381</v>
      </c>
      <c r="F242" s="20" t="s">
        <v>366</v>
      </c>
      <c r="G242" s="8" t="str">
        <f t="shared" si="3"/>
        <v>BIRENBAUM THOMAS</v>
      </c>
    </row>
    <row r="243" spans="1:7" x14ac:dyDescent="0.25">
      <c r="A243" s="8">
        <v>42909.011319444442</v>
      </c>
      <c r="B243" t="s">
        <v>418</v>
      </c>
      <c r="C243" t="s">
        <v>576</v>
      </c>
      <c r="D243" s="138">
        <v>2230000</v>
      </c>
      <c r="E243" t="s">
        <v>342</v>
      </c>
      <c r="F243" s="20" t="s">
        <v>192</v>
      </c>
      <c r="G243" s="8" t="str">
        <f t="shared" si="3"/>
        <v>SMITH MICHAEL</v>
      </c>
    </row>
    <row r="244" spans="1:7" x14ac:dyDescent="0.25">
      <c r="A244" s="8">
        <v>42909.011458333334</v>
      </c>
      <c r="B244" t="s">
        <v>577</v>
      </c>
      <c r="C244" t="s">
        <v>578</v>
      </c>
      <c r="D244" s="138">
        <v>3030000</v>
      </c>
      <c r="E244" t="s">
        <v>381</v>
      </c>
      <c r="F244" s="20" t="s">
        <v>366</v>
      </c>
      <c r="G244" s="8" t="str">
        <f t="shared" si="3"/>
        <v>BIRENBAUM THOMAS</v>
      </c>
    </row>
    <row r="245" spans="1:7" x14ac:dyDescent="0.25">
      <c r="A245" s="8">
        <v>42909.027997685182</v>
      </c>
      <c r="B245" t="s">
        <v>341</v>
      </c>
      <c r="C245" t="s">
        <v>579</v>
      </c>
      <c r="D245" s="138">
        <v>3090000</v>
      </c>
      <c r="E245" t="s">
        <v>375</v>
      </c>
      <c r="F245" s="20" t="s">
        <v>376</v>
      </c>
      <c r="G245" s="8" t="str">
        <f t="shared" si="3"/>
        <v>LAMAR NEKESHA</v>
      </c>
    </row>
    <row r="246" spans="1:7" x14ac:dyDescent="0.25">
      <c r="A246" s="8">
        <v>42909.028865740744</v>
      </c>
      <c r="B246" t="s">
        <v>341</v>
      </c>
      <c r="C246" t="s">
        <v>579</v>
      </c>
      <c r="D246" s="138">
        <v>3090000</v>
      </c>
      <c r="E246" t="s">
        <v>375</v>
      </c>
      <c r="F246" s="20" t="s">
        <v>376</v>
      </c>
      <c r="G246" s="8" t="str">
        <f t="shared" si="3"/>
        <v>LAMAR NEKESHA</v>
      </c>
    </row>
    <row r="247" spans="1:7" x14ac:dyDescent="0.25">
      <c r="A247" s="8">
        <v>42909.029456018521</v>
      </c>
      <c r="B247" t="s">
        <v>341</v>
      </c>
      <c r="C247" t="s">
        <v>579</v>
      </c>
      <c r="D247" s="138">
        <v>3090000</v>
      </c>
      <c r="E247" t="s">
        <v>375</v>
      </c>
      <c r="F247" s="20" t="s">
        <v>376</v>
      </c>
      <c r="G247" s="8" t="str">
        <f t="shared" si="3"/>
        <v>LAMAR NEKESHA</v>
      </c>
    </row>
    <row r="248" spans="1:7" x14ac:dyDescent="0.25">
      <c r="A248" s="8">
        <v>42909.030451388891</v>
      </c>
      <c r="B248" t="s">
        <v>341</v>
      </c>
      <c r="C248" t="s">
        <v>579</v>
      </c>
      <c r="D248" s="138">
        <v>3090000</v>
      </c>
      <c r="E248" t="s">
        <v>375</v>
      </c>
      <c r="F248" s="20" t="s">
        <v>376</v>
      </c>
      <c r="G248" s="8" t="str">
        <f t="shared" si="3"/>
        <v>LAMAR NEKESHA</v>
      </c>
    </row>
    <row r="249" spans="1:7" x14ac:dyDescent="0.25">
      <c r="A249" s="8">
        <v>42909.032534722224</v>
      </c>
      <c r="B249" t="s">
        <v>369</v>
      </c>
      <c r="C249" t="s">
        <v>580</v>
      </c>
      <c r="D249" s="138">
        <v>2620000</v>
      </c>
      <c r="E249" t="s">
        <v>560</v>
      </c>
      <c r="F249" s="20" t="s">
        <v>561</v>
      </c>
      <c r="G249" s="8" t="str">
        <f t="shared" si="3"/>
        <v>PERKINS DARREN</v>
      </c>
    </row>
    <row r="250" spans="1:7" x14ac:dyDescent="0.25">
      <c r="A250" s="8">
        <v>42909.048067129632</v>
      </c>
      <c r="B250" t="s">
        <v>469</v>
      </c>
      <c r="C250" t="s">
        <v>553</v>
      </c>
      <c r="D250" s="138">
        <v>3000000</v>
      </c>
      <c r="E250" t="s">
        <v>422</v>
      </c>
      <c r="F250" s="20" t="s">
        <v>423</v>
      </c>
      <c r="G250" s="8" t="str">
        <f t="shared" si="3"/>
        <v>FORTUNATO FRANK</v>
      </c>
    </row>
    <row r="251" spans="1:7" x14ac:dyDescent="0.25">
      <c r="A251" s="8">
        <v>42909.049641203703</v>
      </c>
      <c r="B251" t="s">
        <v>420</v>
      </c>
      <c r="C251" t="s">
        <v>581</v>
      </c>
      <c r="D251" s="138">
        <v>2230000</v>
      </c>
      <c r="E251" t="s">
        <v>342</v>
      </c>
      <c r="F251" s="20" t="s">
        <v>192</v>
      </c>
      <c r="G251" s="8" t="str">
        <f t="shared" si="3"/>
        <v>SMITH MICHAEL</v>
      </c>
    </row>
    <row r="252" spans="1:7" x14ac:dyDescent="0.25">
      <c r="A252" s="8">
        <v>42909.07068287037</v>
      </c>
      <c r="B252" t="s">
        <v>372</v>
      </c>
      <c r="C252" t="s">
        <v>582</v>
      </c>
      <c r="D252" s="138">
        <v>2620000</v>
      </c>
      <c r="E252" t="s">
        <v>560</v>
      </c>
      <c r="F252" s="20" t="s">
        <v>561</v>
      </c>
      <c r="G252" s="8" t="str">
        <f t="shared" si="3"/>
        <v>PERKINS DARREN</v>
      </c>
    </row>
    <row r="253" spans="1:7" x14ac:dyDescent="0.25">
      <c r="A253" s="8">
        <v>42909.071400462963</v>
      </c>
      <c r="B253" t="s">
        <v>372</v>
      </c>
      <c r="C253" t="s">
        <v>582</v>
      </c>
      <c r="D253" s="138">
        <v>2620000</v>
      </c>
      <c r="E253" t="s">
        <v>560</v>
      </c>
      <c r="F253" s="20" t="s">
        <v>561</v>
      </c>
      <c r="G253" s="8" t="str">
        <f t="shared" si="3"/>
        <v>PERKINS DARREN</v>
      </c>
    </row>
    <row r="254" spans="1:7" x14ac:dyDescent="0.25">
      <c r="A254" s="8">
        <v>42909.072731481479</v>
      </c>
      <c r="B254" t="s">
        <v>372</v>
      </c>
      <c r="C254" t="s">
        <v>582</v>
      </c>
      <c r="D254" s="138">
        <v>2620000</v>
      </c>
      <c r="E254" t="s">
        <v>560</v>
      </c>
      <c r="F254" s="20" t="s">
        <v>561</v>
      </c>
      <c r="G254" s="8" t="str">
        <f t="shared" si="3"/>
        <v>PERKINS DARREN</v>
      </c>
    </row>
    <row r="255" spans="1:7" x14ac:dyDescent="0.25">
      <c r="A255" s="8">
        <v>42909.092615740738</v>
      </c>
      <c r="B255" t="s">
        <v>470</v>
      </c>
      <c r="C255" t="s">
        <v>583</v>
      </c>
      <c r="D255" s="138">
        <v>3000000</v>
      </c>
      <c r="E255" t="s">
        <v>422</v>
      </c>
      <c r="F255" s="20" t="s">
        <v>423</v>
      </c>
      <c r="G255" s="8" t="str">
        <f t="shared" si="3"/>
        <v>FORTUNATO FRANK</v>
      </c>
    </row>
    <row r="256" spans="1:7" x14ac:dyDescent="0.25">
      <c r="A256" s="8">
        <v>42900.010150462964</v>
      </c>
      <c r="B256" t="s">
        <v>437</v>
      </c>
      <c r="C256" t="s">
        <v>461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42900.016539351855</v>
      </c>
      <c r="B257" t="s">
        <v>439</v>
      </c>
      <c r="C257" t="s">
        <v>462</v>
      </c>
      <c r="D257" s="138">
        <v>3090000</v>
      </c>
      <c r="E257" t="s">
        <v>375</v>
      </c>
      <c r="F257" s="20" t="s">
        <v>376</v>
      </c>
      <c r="G257" s="8" t="str">
        <f t="shared" si="3"/>
        <v>LAMAR NEKESHA</v>
      </c>
    </row>
    <row r="258" spans="1:7" x14ac:dyDescent="0.25">
      <c r="A258" s="8">
        <v>42900.027777777781</v>
      </c>
      <c r="B258" t="s">
        <v>460</v>
      </c>
      <c r="C258" t="s">
        <v>463</v>
      </c>
      <c r="D258" s="138">
        <v>2090000</v>
      </c>
      <c r="E258" t="s">
        <v>448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42900.027824074074</v>
      </c>
      <c r="B259" t="s">
        <v>451</v>
      </c>
      <c r="C259" t="s">
        <v>464</v>
      </c>
      <c r="D259" s="138">
        <v>3000000</v>
      </c>
      <c r="E259" t="s">
        <v>422</v>
      </c>
      <c r="F259" s="20" t="s">
        <v>423</v>
      </c>
      <c r="G259" s="8" t="str">
        <f t="shared" ref="G259:G322" si="4">E259&amp;" "&amp;F259</f>
        <v>FORTUNATO FRANK</v>
      </c>
    </row>
    <row r="260" spans="1:7" x14ac:dyDescent="0.25">
      <c r="A260" s="8">
        <v>42900.030798611115</v>
      </c>
      <c r="B260" t="s">
        <v>460</v>
      </c>
      <c r="C260" t="s">
        <v>463</v>
      </c>
      <c r="D260" s="138">
        <v>2090000</v>
      </c>
      <c r="E260" t="s">
        <v>448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460</v>
      </c>
      <c r="C261" t="s">
        <v>463</v>
      </c>
      <c r="D261" s="138">
        <v>2090000</v>
      </c>
      <c r="E261" t="s">
        <v>448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460</v>
      </c>
      <c r="C262" t="s">
        <v>463</v>
      </c>
      <c r="D262" s="138">
        <v>2090000</v>
      </c>
      <c r="E262" t="s">
        <v>448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440</v>
      </c>
      <c r="C263" t="s">
        <v>465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438</v>
      </c>
      <c r="C264" t="s">
        <v>466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438</v>
      </c>
      <c r="C265" t="s">
        <v>466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450</v>
      </c>
      <c r="C266" t="s">
        <v>467</v>
      </c>
      <c r="D266" s="138">
        <v>3000000</v>
      </c>
      <c r="E266" t="s">
        <v>422</v>
      </c>
      <c r="F266" s="20" t="s">
        <v>423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439</v>
      </c>
      <c r="C267" t="s">
        <v>468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395</v>
      </c>
      <c r="C268" t="s">
        <v>419</v>
      </c>
      <c r="D268" s="138">
        <v>2680000</v>
      </c>
      <c r="E268" t="s">
        <v>412</v>
      </c>
      <c r="F268" s="20" t="s">
        <v>413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425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421</v>
      </c>
      <c r="C270" t="s">
        <v>426</v>
      </c>
      <c r="D270" s="138">
        <v>2610000</v>
      </c>
      <c r="E270" t="s">
        <v>414</v>
      </c>
      <c r="F270" s="20" t="s">
        <v>415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427</v>
      </c>
      <c r="D271" s="138">
        <v>2140000</v>
      </c>
      <c r="E271" t="s">
        <v>409</v>
      </c>
      <c r="F271" s="20" t="s">
        <v>410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418</v>
      </c>
      <c r="C272" t="s">
        <v>428</v>
      </c>
      <c r="D272" s="138">
        <v>3000000</v>
      </c>
      <c r="E272" t="s">
        <v>422</v>
      </c>
      <c r="F272" s="20" t="s">
        <v>423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396</v>
      </c>
      <c r="C273" t="s">
        <v>424</v>
      </c>
      <c r="D273" s="138">
        <v>2680000</v>
      </c>
      <c r="E273" t="s">
        <v>412</v>
      </c>
      <c r="F273" s="20" t="s">
        <v>413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429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417</v>
      </c>
      <c r="C275" t="s">
        <v>430</v>
      </c>
      <c r="D275" s="138">
        <v>2610000</v>
      </c>
      <c r="E275" t="s">
        <v>414</v>
      </c>
      <c r="F275" s="20" t="s">
        <v>415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420</v>
      </c>
      <c r="C276" t="s">
        <v>431</v>
      </c>
      <c r="D276" s="138">
        <v>3000000</v>
      </c>
      <c r="E276" t="s">
        <v>422</v>
      </c>
      <c r="F276" s="20" t="s">
        <v>423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421</v>
      </c>
      <c r="C277" t="s">
        <v>432</v>
      </c>
      <c r="D277" s="138">
        <v>2610000</v>
      </c>
      <c r="E277" t="s">
        <v>414</v>
      </c>
      <c r="F277" s="20" t="s">
        <v>415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399</v>
      </c>
      <c r="C278" t="s">
        <v>400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398</v>
      </c>
      <c r="C279" t="s">
        <v>404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405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396</v>
      </c>
      <c r="C281" t="s">
        <v>401</v>
      </c>
      <c r="D281" s="138">
        <v>3010000</v>
      </c>
      <c r="E281" t="s">
        <v>392</v>
      </c>
      <c r="F281" s="20" t="s">
        <v>393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402</v>
      </c>
      <c r="C282" t="s">
        <v>403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395</v>
      </c>
      <c r="C283" t="s">
        <v>401</v>
      </c>
      <c r="D283" s="138">
        <v>3010000</v>
      </c>
      <c r="E283" t="s">
        <v>392</v>
      </c>
      <c r="F283" s="20" t="s">
        <v>393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397</v>
      </c>
      <c r="C284" t="s">
        <v>406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395</v>
      </c>
      <c r="C285" t="s">
        <v>401</v>
      </c>
      <c r="D285" s="138">
        <v>3010000</v>
      </c>
      <c r="E285" t="s">
        <v>392</v>
      </c>
      <c r="F285" s="20" t="s">
        <v>393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399</v>
      </c>
      <c r="C286" t="s">
        <v>400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402</v>
      </c>
      <c r="C287" t="s">
        <v>403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407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399</v>
      </c>
      <c r="C289" t="s">
        <v>400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396</v>
      </c>
      <c r="C290" t="s">
        <v>401</v>
      </c>
      <c r="D290" s="138">
        <v>3010000</v>
      </c>
      <c r="E290" t="s">
        <v>392</v>
      </c>
      <c r="F290" s="20" t="s">
        <v>393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396</v>
      </c>
      <c r="C291" t="s">
        <v>401</v>
      </c>
      <c r="D291" s="138">
        <v>3010000</v>
      </c>
      <c r="E291" t="s">
        <v>392</v>
      </c>
      <c r="F291" s="20" t="s">
        <v>393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396</v>
      </c>
      <c r="C292" t="s">
        <v>401</v>
      </c>
      <c r="D292" s="138">
        <v>3010000</v>
      </c>
      <c r="E292" t="s">
        <v>392</v>
      </c>
      <c r="F292" s="20" t="s">
        <v>393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396</v>
      </c>
      <c r="C293" t="s">
        <v>401</v>
      </c>
      <c r="D293" s="138">
        <v>3010000</v>
      </c>
      <c r="E293" t="s">
        <v>392</v>
      </c>
      <c r="F293" s="20" t="s">
        <v>393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402</v>
      </c>
      <c r="C294" t="s">
        <v>403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471</v>
      </c>
      <c r="O1" s="171" t="s">
        <v>156</v>
      </c>
      <c r="P1" s="171" t="s">
        <v>163</v>
      </c>
      <c r="Q1" s="171" t="s">
        <v>472</v>
      </c>
      <c r="R1" s="171" t="s">
        <v>160</v>
      </c>
      <c r="S1"/>
    </row>
    <row r="2" spans="1:19" x14ac:dyDescent="0.25">
      <c r="A2" s="172">
        <v>55.31</v>
      </c>
      <c r="B2" s="172">
        <v>0.05</v>
      </c>
      <c r="C2" s="172">
        <v>47.02</v>
      </c>
      <c r="D2" s="8">
        <v>42910</v>
      </c>
      <c r="E2" s="172">
        <v>0.71</v>
      </c>
      <c r="F2" s="172" t="s">
        <v>452</v>
      </c>
      <c r="G2" s="172">
        <v>290.08</v>
      </c>
      <c r="H2" s="172">
        <v>0</v>
      </c>
      <c r="I2" s="172">
        <v>0</v>
      </c>
      <c r="J2" s="172">
        <v>1021.46</v>
      </c>
      <c r="K2" s="172" t="s">
        <v>453</v>
      </c>
      <c r="L2" s="172">
        <v>56.43</v>
      </c>
      <c r="M2" s="172">
        <v>1498284000</v>
      </c>
      <c r="N2" s="172">
        <v>0</v>
      </c>
      <c r="O2" s="172">
        <v>9.89</v>
      </c>
      <c r="P2" s="172">
        <v>190</v>
      </c>
      <c r="Q2" s="172">
        <v>2.88</v>
      </c>
      <c r="R2" s="172">
        <v>2.27</v>
      </c>
      <c r="S2"/>
    </row>
    <row r="3" spans="1:19" x14ac:dyDescent="0.25">
      <c r="A3" s="172">
        <v>54.46</v>
      </c>
      <c r="B3" s="172">
        <v>0.1</v>
      </c>
      <c r="C3" s="172">
        <v>46.91</v>
      </c>
      <c r="D3" s="8">
        <v>42910.041666666664</v>
      </c>
      <c r="E3" s="172">
        <v>0.72</v>
      </c>
      <c r="F3" s="172" t="s">
        <v>452</v>
      </c>
      <c r="G3" s="172">
        <v>290.2</v>
      </c>
      <c r="H3" s="172">
        <v>0</v>
      </c>
      <c r="I3" s="172">
        <v>0</v>
      </c>
      <c r="J3" s="172">
        <v>1021.37</v>
      </c>
      <c r="K3" s="172" t="s">
        <v>453</v>
      </c>
      <c r="L3" s="172">
        <v>55.77</v>
      </c>
      <c r="M3" s="172">
        <v>1498287600</v>
      </c>
      <c r="N3" s="172">
        <v>0</v>
      </c>
      <c r="O3" s="172">
        <v>9.91</v>
      </c>
      <c r="P3" s="172">
        <v>191</v>
      </c>
      <c r="Q3" s="172">
        <v>3.49</v>
      </c>
      <c r="R3" s="172">
        <v>2.5299999999999998</v>
      </c>
      <c r="S3"/>
    </row>
    <row r="4" spans="1:19" x14ac:dyDescent="0.25">
      <c r="A4" s="172">
        <v>53.49</v>
      </c>
      <c r="B4" s="172">
        <v>0.16</v>
      </c>
      <c r="C4" s="172">
        <v>46.62</v>
      </c>
      <c r="D4" s="8">
        <v>42910.083333333336</v>
      </c>
      <c r="E4" s="172">
        <v>0.73</v>
      </c>
      <c r="F4" s="172" t="s">
        <v>452</v>
      </c>
      <c r="G4" s="172">
        <v>290.2</v>
      </c>
      <c r="H4" s="172">
        <v>0</v>
      </c>
      <c r="I4" s="172">
        <v>0</v>
      </c>
      <c r="J4" s="172">
        <v>1021.29</v>
      </c>
      <c r="K4" s="172" t="s">
        <v>453</v>
      </c>
      <c r="L4" s="172">
        <v>55.17</v>
      </c>
      <c r="M4" s="172">
        <v>1498291200</v>
      </c>
      <c r="N4" s="172">
        <v>0</v>
      </c>
      <c r="O4" s="172">
        <v>9.81</v>
      </c>
      <c r="P4" s="172">
        <v>183</v>
      </c>
      <c r="Q4" s="172">
        <v>4.8600000000000003</v>
      </c>
      <c r="R4" s="172">
        <v>3.13</v>
      </c>
      <c r="S4"/>
    </row>
    <row r="5" spans="1:19" x14ac:dyDescent="0.25">
      <c r="A5" s="172">
        <v>52.55</v>
      </c>
      <c r="B5" s="172">
        <v>0.18</v>
      </c>
      <c r="C5" s="172">
        <v>45.81</v>
      </c>
      <c r="D5" s="8">
        <v>42910.125</v>
      </c>
      <c r="E5" s="172">
        <v>0.73</v>
      </c>
      <c r="F5" s="172" t="s">
        <v>452</v>
      </c>
      <c r="G5" s="172">
        <v>290.08999999999997</v>
      </c>
      <c r="H5" s="172">
        <v>0</v>
      </c>
      <c r="I5" s="172">
        <v>0</v>
      </c>
      <c r="J5" s="172">
        <v>1021.46</v>
      </c>
      <c r="K5" s="172" t="s">
        <v>453</v>
      </c>
      <c r="L5" s="172">
        <v>54.18</v>
      </c>
      <c r="M5" s="172">
        <v>1498294800</v>
      </c>
      <c r="N5" s="172">
        <v>0</v>
      </c>
      <c r="O5" s="172">
        <v>10</v>
      </c>
      <c r="P5" s="172">
        <v>174</v>
      </c>
      <c r="Q5" s="172">
        <v>4.91</v>
      </c>
      <c r="R5" s="172">
        <v>2.75</v>
      </c>
      <c r="S5"/>
    </row>
    <row r="6" spans="1:19" x14ac:dyDescent="0.25">
      <c r="A6" s="172">
        <v>51.88</v>
      </c>
      <c r="B6" s="172">
        <v>0.13</v>
      </c>
      <c r="C6" s="172">
        <v>45.31</v>
      </c>
      <c r="D6" s="8">
        <v>42910.166666666664</v>
      </c>
      <c r="E6" s="172">
        <v>0.74</v>
      </c>
      <c r="F6" s="172" t="s">
        <v>452</v>
      </c>
      <c r="G6" s="172">
        <v>289.86</v>
      </c>
      <c r="H6" s="172">
        <v>0</v>
      </c>
      <c r="I6" s="172">
        <v>0</v>
      </c>
      <c r="J6" s="172">
        <v>1021.08</v>
      </c>
      <c r="K6" s="172" t="s">
        <v>453</v>
      </c>
      <c r="L6" s="172">
        <v>53.39</v>
      </c>
      <c r="M6" s="172">
        <v>1498298400</v>
      </c>
      <c r="N6" s="172">
        <v>0</v>
      </c>
      <c r="O6" s="172">
        <v>10</v>
      </c>
      <c r="P6" s="172">
        <v>161</v>
      </c>
      <c r="Q6" s="172">
        <v>3.68</v>
      </c>
      <c r="R6" s="172">
        <v>2.31</v>
      </c>
      <c r="S6"/>
    </row>
    <row r="7" spans="1:19" x14ac:dyDescent="0.25">
      <c r="A7" s="172">
        <v>50.93</v>
      </c>
      <c r="B7" s="172">
        <v>0.1</v>
      </c>
      <c r="C7" s="172">
        <v>44.9</v>
      </c>
      <c r="D7" s="8">
        <v>42910.208333333336</v>
      </c>
      <c r="E7" s="172">
        <v>0.75</v>
      </c>
      <c r="F7" s="172" t="s">
        <v>452</v>
      </c>
      <c r="G7" s="172">
        <v>289.39999999999998</v>
      </c>
      <c r="H7" s="172">
        <v>0</v>
      </c>
      <c r="I7" s="172">
        <v>0</v>
      </c>
      <c r="J7" s="172">
        <v>1020.59</v>
      </c>
      <c r="K7" s="172" t="s">
        <v>453</v>
      </c>
      <c r="L7" s="172">
        <v>52.58</v>
      </c>
      <c r="M7" s="172">
        <v>1498302000</v>
      </c>
      <c r="N7" s="172">
        <v>0</v>
      </c>
      <c r="O7" s="172">
        <v>9.9700000000000006</v>
      </c>
      <c r="P7" s="172">
        <v>50</v>
      </c>
      <c r="Q7" s="172">
        <v>4.21</v>
      </c>
      <c r="R7" s="172">
        <v>2.39</v>
      </c>
      <c r="S7"/>
    </row>
    <row r="8" spans="1:19" x14ac:dyDescent="0.25">
      <c r="A8" s="172">
        <v>51.06</v>
      </c>
      <c r="B8" s="172">
        <v>7.0000000000000007E-2</v>
      </c>
      <c r="C8" s="172">
        <v>45.79</v>
      </c>
      <c r="D8" s="8">
        <v>42910.25</v>
      </c>
      <c r="E8" s="172">
        <v>0.76</v>
      </c>
      <c r="F8" s="172" t="s">
        <v>454</v>
      </c>
      <c r="G8" s="172">
        <v>290.54000000000002</v>
      </c>
      <c r="H8" s="172">
        <v>0</v>
      </c>
      <c r="I8" s="172">
        <v>0</v>
      </c>
      <c r="J8" s="172">
        <v>1020.88</v>
      </c>
      <c r="K8" s="172" t="s">
        <v>453</v>
      </c>
      <c r="L8" s="172">
        <v>53.12</v>
      </c>
      <c r="M8" s="172">
        <v>1498305600</v>
      </c>
      <c r="N8" s="172">
        <v>0</v>
      </c>
      <c r="O8" s="172">
        <v>9.8800000000000008</v>
      </c>
      <c r="P8" s="172">
        <v>7</v>
      </c>
      <c r="Q8" s="172">
        <v>7.1</v>
      </c>
      <c r="R8" s="172">
        <v>3.46</v>
      </c>
      <c r="S8"/>
    </row>
    <row r="9" spans="1:19" x14ac:dyDescent="0.25">
      <c r="A9" s="172">
        <v>52.66</v>
      </c>
      <c r="B9" s="172">
        <v>0.09</v>
      </c>
      <c r="C9" s="172">
        <v>46.52</v>
      </c>
      <c r="D9" s="8">
        <v>42910.291666666664</v>
      </c>
      <c r="E9" s="172">
        <v>0.73</v>
      </c>
      <c r="F9" s="172" t="s">
        <v>454</v>
      </c>
      <c r="G9" s="172">
        <v>289.62</v>
      </c>
      <c r="H9" s="172">
        <v>0</v>
      </c>
      <c r="I9" s="172">
        <v>0</v>
      </c>
      <c r="J9" s="172">
        <v>1020.88</v>
      </c>
      <c r="K9" s="172" t="s">
        <v>453</v>
      </c>
      <c r="L9" s="172">
        <v>54.84</v>
      </c>
      <c r="M9" s="172">
        <v>1498309200</v>
      </c>
      <c r="N9" s="172">
        <v>1</v>
      </c>
      <c r="O9" s="172">
        <v>10</v>
      </c>
      <c r="P9" s="172">
        <v>353</v>
      </c>
      <c r="Q9" s="172">
        <v>6.07</v>
      </c>
      <c r="R9" s="172">
        <v>4.03</v>
      </c>
      <c r="S9"/>
    </row>
    <row r="10" spans="1:19" x14ac:dyDescent="0.25">
      <c r="A10" s="172">
        <v>55.33</v>
      </c>
      <c r="B10" s="172">
        <v>0.19</v>
      </c>
      <c r="C10" s="172">
        <v>47.63</v>
      </c>
      <c r="D10" s="8">
        <v>42910.333333333336</v>
      </c>
      <c r="E10" s="172">
        <v>0.69</v>
      </c>
      <c r="F10" s="172" t="s">
        <v>454</v>
      </c>
      <c r="G10" s="172">
        <v>288.47000000000003</v>
      </c>
      <c r="H10" s="172">
        <v>0</v>
      </c>
      <c r="I10" s="172">
        <v>0</v>
      </c>
      <c r="J10" s="172">
        <v>1020.92</v>
      </c>
      <c r="K10" s="172" t="s">
        <v>453</v>
      </c>
      <c r="L10" s="172">
        <v>57.58</v>
      </c>
      <c r="M10" s="172">
        <v>1498312800</v>
      </c>
      <c r="N10" s="172">
        <v>1</v>
      </c>
      <c r="O10" s="172">
        <v>10</v>
      </c>
      <c r="P10" s="172">
        <v>8</v>
      </c>
      <c r="Q10" s="172">
        <v>6.98</v>
      </c>
      <c r="R10" s="172">
        <v>4.68</v>
      </c>
      <c r="S10"/>
    </row>
    <row r="11" spans="1:19" x14ac:dyDescent="0.25">
      <c r="A11" s="172">
        <v>57.76</v>
      </c>
      <c r="B11" s="172">
        <v>0.25</v>
      </c>
      <c r="C11" s="172">
        <v>48.88</v>
      </c>
      <c r="D11" s="8">
        <v>42910.375</v>
      </c>
      <c r="E11" s="172">
        <v>0.66</v>
      </c>
      <c r="F11" s="172" t="s">
        <v>485</v>
      </c>
      <c r="G11" s="172">
        <v>287.33</v>
      </c>
      <c r="H11" s="172">
        <v>0</v>
      </c>
      <c r="I11" s="172">
        <v>0</v>
      </c>
      <c r="J11" s="172">
        <v>1021.16</v>
      </c>
      <c r="K11" s="172" t="s">
        <v>486</v>
      </c>
      <c r="L11" s="172">
        <v>60.24</v>
      </c>
      <c r="M11" s="172">
        <v>1498316400</v>
      </c>
      <c r="N11" s="172">
        <v>3</v>
      </c>
      <c r="O11" s="172">
        <v>10</v>
      </c>
      <c r="P11" s="172">
        <v>15</v>
      </c>
      <c r="Q11" s="172">
        <v>7.18</v>
      </c>
      <c r="R11" s="172">
        <v>5.72</v>
      </c>
      <c r="S11"/>
    </row>
    <row r="12" spans="1:19" x14ac:dyDescent="0.25">
      <c r="A12" s="172">
        <v>60.22</v>
      </c>
      <c r="B12" s="172">
        <v>0.28999999999999998</v>
      </c>
      <c r="C12" s="172">
        <v>49.24</v>
      </c>
      <c r="D12" s="8">
        <v>42910.416666666664</v>
      </c>
      <c r="E12" s="172">
        <v>0.62</v>
      </c>
      <c r="F12" s="172" t="s">
        <v>485</v>
      </c>
      <c r="G12" s="172">
        <v>286.63</v>
      </c>
      <c r="H12" s="172">
        <v>0</v>
      </c>
      <c r="I12" s="172">
        <v>0</v>
      </c>
      <c r="J12" s="172">
        <v>1020.67</v>
      </c>
      <c r="K12" s="172" t="s">
        <v>486</v>
      </c>
      <c r="L12" s="172">
        <v>62.57</v>
      </c>
      <c r="M12" s="172">
        <v>1498320000</v>
      </c>
      <c r="N12" s="172">
        <v>5</v>
      </c>
      <c r="O12" s="172">
        <v>10</v>
      </c>
      <c r="P12" s="172">
        <v>17</v>
      </c>
      <c r="Q12" s="172">
        <v>5.64</v>
      </c>
      <c r="R12" s="172">
        <v>5.74</v>
      </c>
      <c r="S12"/>
    </row>
    <row r="13" spans="1:19" x14ac:dyDescent="0.25">
      <c r="A13" s="172">
        <v>62.37</v>
      </c>
      <c r="B13" s="172">
        <v>0.35</v>
      </c>
      <c r="C13" s="172">
        <v>49</v>
      </c>
      <c r="D13" s="8">
        <v>42910.458333333336</v>
      </c>
      <c r="E13" s="172">
        <v>0.56999999999999995</v>
      </c>
      <c r="F13" s="172" t="s">
        <v>485</v>
      </c>
      <c r="G13" s="172">
        <v>286.17</v>
      </c>
      <c r="H13" s="172">
        <v>0</v>
      </c>
      <c r="I13" s="172">
        <v>0</v>
      </c>
      <c r="J13" s="172">
        <v>1020.18</v>
      </c>
      <c r="K13" s="172" t="s">
        <v>486</v>
      </c>
      <c r="L13" s="172">
        <v>64.8</v>
      </c>
      <c r="M13" s="172">
        <v>1498323600</v>
      </c>
      <c r="N13" s="172">
        <v>7</v>
      </c>
      <c r="O13" s="172">
        <v>10</v>
      </c>
      <c r="P13" s="172">
        <v>23</v>
      </c>
      <c r="Q13" s="172">
        <v>6.52</v>
      </c>
      <c r="R13" s="172">
        <v>5.99</v>
      </c>
      <c r="S13"/>
    </row>
    <row r="14" spans="1:19" x14ac:dyDescent="0.25">
      <c r="A14" s="172">
        <v>64.63</v>
      </c>
      <c r="B14" s="172">
        <v>0.35</v>
      </c>
      <c r="C14" s="172">
        <v>49.24</v>
      </c>
      <c r="D14" s="8">
        <v>42910.5</v>
      </c>
      <c r="E14" s="172">
        <v>0.54</v>
      </c>
      <c r="F14" s="172" t="s">
        <v>485</v>
      </c>
      <c r="G14" s="172">
        <v>285.93</v>
      </c>
      <c r="H14" s="172">
        <v>0</v>
      </c>
      <c r="I14" s="172">
        <v>0</v>
      </c>
      <c r="J14" s="172">
        <v>1019.82</v>
      </c>
      <c r="K14" s="172" t="s">
        <v>486</v>
      </c>
      <c r="L14" s="172">
        <v>66.56</v>
      </c>
      <c r="M14" s="172">
        <v>1498327200</v>
      </c>
      <c r="N14" s="172">
        <v>10</v>
      </c>
      <c r="O14" s="172">
        <v>10</v>
      </c>
      <c r="P14" s="172">
        <v>27</v>
      </c>
      <c r="Q14" s="172">
        <v>5.3</v>
      </c>
      <c r="R14" s="172">
        <v>5.24</v>
      </c>
      <c r="S14"/>
    </row>
    <row r="15" spans="1:19" x14ac:dyDescent="0.25">
      <c r="A15" s="172">
        <v>66.510000000000005</v>
      </c>
      <c r="B15" s="172">
        <v>0.33</v>
      </c>
      <c r="C15" s="172">
        <v>49.01</v>
      </c>
      <c r="D15" s="8">
        <v>42910.541666666664</v>
      </c>
      <c r="E15" s="172">
        <v>0.49</v>
      </c>
      <c r="F15" s="172" t="s">
        <v>485</v>
      </c>
      <c r="G15" s="172">
        <v>285.81</v>
      </c>
      <c r="H15" s="172">
        <v>0</v>
      </c>
      <c r="I15" s="172">
        <v>0</v>
      </c>
      <c r="J15" s="172">
        <v>1019.11</v>
      </c>
      <c r="K15" s="172" t="s">
        <v>486</v>
      </c>
      <c r="L15" s="172">
        <v>68.83</v>
      </c>
      <c r="M15" s="172">
        <v>1498330800</v>
      </c>
      <c r="N15" s="172">
        <v>11</v>
      </c>
      <c r="O15" s="172">
        <v>10</v>
      </c>
      <c r="P15" s="172">
        <v>23</v>
      </c>
      <c r="Q15" s="172">
        <v>5.98</v>
      </c>
      <c r="R15" s="172">
        <v>6.09</v>
      </c>
      <c r="S15"/>
    </row>
    <row r="16" spans="1:19" x14ac:dyDescent="0.25">
      <c r="A16" s="172">
        <v>68.63</v>
      </c>
      <c r="B16" s="172">
        <v>0.22</v>
      </c>
      <c r="C16" s="172">
        <v>47.87</v>
      </c>
      <c r="D16" s="8">
        <v>42910.583333333336</v>
      </c>
      <c r="E16" s="172">
        <v>0.43</v>
      </c>
      <c r="F16" s="172" t="s">
        <v>454</v>
      </c>
      <c r="G16" s="172">
        <v>285.82</v>
      </c>
      <c r="H16" s="172">
        <v>0</v>
      </c>
      <c r="I16" s="172">
        <v>0</v>
      </c>
      <c r="J16" s="172">
        <v>1018.39</v>
      </c>
      <c r="K16" s="172" t="s">
        <v>453</v>
      </c>
      <c r="L16" s="172">
        <v>71.319999999999993</v>
      </c>
      <c r="M16" s="172">
        <v>1498334400</v>
      </c>
      <c r="N16" s="172">
        <v>11</v>
      </c>
      <c r="O16" s="172">
        <v>10</v>
      </c>
      <c r="P16" s="172">
        <v>29</v>
      </c>
      <c r="Q16" s="172">
        <v>6.49</v>
      </c>
      <c r="R16" s="172">
        <v>6.64</v>
      </c>
      <c r="S16"/>
    </row>
    <row r="17" spans="1:19" x14ac:dyDescent="0.25">
      <c r="A17" s="172">
        <v>69.459999999999994</v>
      </c>
      <c r="B17" s="172">
        <v>0.15</v>
      </c>
      <c r="C17" s="172">
        <v>47.51</v>
      </c>
      <c r="D17" s="8">
        <v>42910.625</v>
      </c>
      <c r="E17" s="172">
        <v>0.41</v>
      </c>
      <c r="F17" s="172" t="s">
        <v>454</v>
      </c>
      <c r="G17" s="172">
        <v>285.93</v>
      </c>
      <c r="H17" s="172">
        <v>0</v>
      </c>
      <c r="I17" s="172">
        <v>0</v>
      </c>
      <c r="J17" s="172">
        <v>1018.16</v>
      </c>
      <c r="K17" s="172" t="s">
        <v>453</v>
      </c>
      <c r="L17" s="172">
        <v>72.41</v>
      </c>
      <c r="M17" s="172">
        <v>1498338000</v>
      </c>
      <c r="N17" s="172">
        <v>8</v>
      </c>
      <c r="O17" s="172">
        <v>10</v>
      </c>
      <c r="P17" s="172">
        <v>27</v>
      </c>
      <c r="Q17" s="172">
        <v>7.53</v>
      </c>
      <c r="R17" s="172">
        <v>7.14</v>
      </c>
      <c r="S17"/>
    </row>
    <row r="18" spans="1:19" x14ac:dyDescent="0.25">
      <c r="A18" s="172">
        <v>70.47</v>
      </c>
      <c r="B18" s="172">
        <v>0.14000000000000001</v>
      </c>
      <c r="C18" s="172">
        <v>47.15</v>
      </c>
      <c r="D18" s="8">
        <v>42910.666666666664</v>
      </c>
      <c r="E18" s="172">
        <v>0.39</v>
      </c>
      <c r="F18" s="172" t="s">
        <v>454</v>
      </c>
      <c r="G18" s="172">
        <v>286.05</v>
      </c>
      <c r="H18" s="172">
        <v>0</v>
      </c>
      <c r="I18" s="172">
        <v>0</v>
      </c>
      <c r="J18" s="172">
        <v>1017.57</v>
      </c>
      <c r="K18" s="172" t="s">
        <v>453</v>
      </c>
      <c r="L18" s="172">
        <v>73.319999999999993</v>
      </c>
      <c r="M18" s="172">
        <v>1498341600</v>
      </c>
      <c r="N18" s="172">
        <v>5</v>
      </c>
      <c r="O18" s="172">
        <v>10</v>
      </c>
      <c r="P18" s="172">
        <v>30</v>
      </c>
      <c r="Q18" s="172">
        <v>8.27</v>
      </c>
      <c r="R18" s="172">
        <v>6.92</v>
      </c>
      <c r="S18"/>
    </row>
    <row r="19" spans="1:19" x14ac:dyDescent="0.25">
      <c r="A19" s="172">
        <v>70.8</v>
      </c>
      <c r="B19" s="172">
        <v>0.16</v>
      </c>
      <c r="C19" s="172">
        <v>46.78</v>
      </c>
      <c r="D19" s="8">
        <v>42910.708333333336</v>
      </c>
      <c r="E19" s="172">
        <v>0.38</v>
      </c>
      <c r="F19" s="172" t="s">
        <v>454</v>
      </c>
      <c r="G19" s="172">
        <v>286.17</v>
      </c>
      <c r="H19" s="172">
        <v>0</v>
      </c>
      <c r="I19" s="172">
        <v>0</v>
      </c>
      <c r="J19" s="172">
        <v>1017.03</v>
      </c>
      <c r="K19" s="172" t="s">
        <v>453</v>
      </c>
      <c r="L19" s="172">
        <v>73.83</v>
      </c>
      <c r="M19" s="172">
        <v>1498345200</v>
      </c>
      <c r="N19" s="172">
        <v>3</v>
      </c>
      <c r="O19" s="172">
        <v>10</v>
      </c>
      <c r="P19" s="172">
        <v>36</v>
      </c>
      <c r="Q19" s="172">
        <v>7.77</v>
      </c>
      <c r="R19" s="172">
        <v>7.17</v>
      </c>
      <c r="S19"/>
    </row>
    <row r="20" spans="1:19" x14ac:dyDescent="0.25">
      <c r="A20" s="172">
        <v>69.569999999999993</v>
      </c>
      <c r="B20" s="172">
        <v>0.09</v>
      </c>
      <c r="C20" s="172">
        <v>46.46</v>
      </c>
      <c r="D20" s="8">
        <v>42910.75</v>
      </c>
      <c r="E20" s="172">
        <v>0.38</v>
      </c>
      <c r="F20" s="172" t="s">
        <v>454</v>
      </c>
      <c r="G20" s="172">
        <v>286.52</v>
      </c>
      <c r="H20" s="172">
        <v>0</v>
      </c>
      <c r="I20" s="172">
        <v>0</v>
      </c>
      <c r="J20" s="172">
        <v>1016.72</v>
      </c>
      <c r="K20" s="172" t="s">
        <v>453</v>
      </c>
      <c r="L20" s="172">
        <v>73.86</v>
      </c>
      <c r="M20" s="172">
        <v>1498348800</v>
      </c>
      <c r="N20" s="172">
        <v>1</v>
      </c>
      <c r="O20" s="172">
        <v>10</v>
      </c>
      <c r="P20" s="172">
        <v>32</v>
      </c>
      <c r="Q20" s="172">
        <v>10.53</v>
      </c>
      <c r="R20" s="172">
        <v>9.49</v>
      </c>
      <c r="S20"/>
    </row>
    <row r="21" spans="1:19" x14ac:dyDescent="0.25">
      <c r="A21" s="172">
        <v>68.08</v>
      </c>
      <c r="B21" s="172">
        <v>0.17</v>
      </c>
      <c r="C21" s="172">
        <v>46.46</v>
      </c>
      <c r="D21" s="8">
        <v>42910.791666666664</v>
      </c>
      <c r="E21" s="172">
        <v>0.4</v>
      </c>
      <c r="F21" s="172" t="s">
        <v>454</v>
      </c>
      <c r="G21" s="172">
        <v>287.67</v>
      </c>
      <c r="H21" s="172">
        <v>0</v>
      </c>
      <c r="I21" s="172">
        <v>0</v>
      </c>
      <c r="J21" s="172">
        <v>1017.54</v>
      </c>
      <c r="K21" s="172" t="s">
        <v>453</v>
      </c>
      <c r="L21" s="172">
        <v>72.36</v>
      </c>
      <c r="M21" s="172">
        <v>1498352400</v>
      </c>
      <c r="N21" s="172">
        <v>1</v>
      </c>
      <c r="O21" s="172">
        <v>10</v>
      </c>
      <c r="P21" s="172">
        <v>36</v>
      </c>
      <c r="Q21" s="172">
        <v>11.72</v>
      </c>
      <c r="R21" s="172">
        <v>9.3699999999999992</v>
      </c>
      <c r="S21"/>
    </row>
    <row r="22" spans="1:19" x14ac:dyDescent="0.25">
      <c r="A22" s="172">
        <v>65.91</v>
      </c>
      <c r="B22" s="172">
        <v>0.38</v>
      </c>
      <c r="C22" s="172">
        <v>46.67</v>
      </c>
      <c r="D22" s="8">
        <v>42910.833333333336</v>
      </c>
      <c r="E22" s="172">
        <v>0.43</v>
      </c>
      <c r="F22" s="172" t="s">
        <v>485</v>
      </c>
      <c r="G22" s="172">
        <v>289.16000000000003</v>
      </c>
      <c r="H22" s="172">
        <v>0</v>
      </c>
      <c r="I22" s="172">
        <v>0</v>
      </c>
      <c r="J22" s="172">
        <v>1018.8</v>
      </c>
      <c r="K22" s="172" t="s">
        <v>486</v>
      </c>
      <c r="L22" s="172">
        <v>70.03</v>
      </c>
      <c r="M22" s="172">
        <v>1498356000</v>
      </c>
      <c r="N22" s="172">
        <v>0</v>
      </c>
      <c r="O22" s="172">
        <v>10</v>
      </c>
      <c r="P22" s="172">
        <v>42</v>
      </c>
      <c r="Q22" s="172">
        <v>12.98</v>
      </c>
      <c r="R22" s="172">
        <v>8.9499999999999993</v>
      </c>
      <c r="S22"/>
    </row>
    <row r="23" spans="1:19" x14ac:dyDescent="0.25">
      <c r="A23" s="172">
        <v>63.69</v>
      </c>
      <c r="B23" s="172">
        <v>0.42</v>
      </c>
      <c r="C23" s="172">
        <v>46.79</v>
      </c>
      <c r="D23" s="8">
        <v>42910.875</v>
      </c>
      <c r="E23" s="172">
        <v>0.48</v>
      </c>
      <c r="F23" s="172" t="s">
        <v>514</v>
      </c>
      <c r="G23" s="172">
        <v>290.64</v>
      </c>
      <c r="H23" s="172">
        <v>0</v>
      </c>
      <c r="I23" s="172">
        <v>0</v>
      </c>
      <c r="J23" s="172">
        <v>1020.18</v>
      </c>
      <c r="K23" s="172" t="s">
        <v>486</v>
      </c>
      <c r="L23" s="172">
        <v>67.3</v>
      </c>
      <c r="M23" s="172">
        <v>1498359600</v>
      </c>
      <c r="N23" s="172">
        <v>0</v>
      </c>
      <c r="O23" s="172">
        <v>10</v>
      </c>
      <c r="P23" s="172">
        <v>45</v>
      </c>
      <c r="Q23" s="172">
        <v>14.6</v>
      </c>
      <c r="R23" s="172">
        <v>7.8</v>
      </c>
      <c r="S23"/>
    </row>
    <row r="24" spans="1:19" x14ac:dyDescent="0.25">
      <c r="A24" s="172">
        <v>61.85</v>
      </c>
      <c r="B24" s="172">
        <v>0.32</v>
      </c>
      <c r="C24" s="172">
        <v>46.85</v>
      </c>
      <c r="D24" s="8">
        <v>42910.916666666664</v>
      </c>
      <c r="E24" s="172">
        <v>0.52</v>
      </c>
      <c r="F24" s="172" t="s">
        <v>514</v>
      </c>
      <c r="G24" s="172">
        <v>292.22000000000003</v>
      </c>
      <c r="H24" s="172">
        <v>0</v>
      </c>
      <c r="I24" s="172">
        <v>0</v>
      </c>
      <c r="J24" s="172">
        <v>1021.04</v>
      </c>
      <c r="K24" s="172" t="s">
        <v>486</v>
      </c>
      <c r="L24" s="172">
        <v>65.14</v>
      </c>
      <c r="M24" s="172">
        <v>1498363200</v>
      </c>
      <c r="N24" s="172">
        <v>0</v>
      </c>
      <c r="O24" s="172">
        <v>10</v>
      </c>
      <c r="P24" s="172">
        <v>41</v>
      </c>
      <c r="Q24" s="172">
        <v>15.01</v>
      </c>
      <c r="R24" s="172">
        <v>7.04</v>
      </c>
      <c r="S24"/>
    </row>
    <row r="25" spans="1:19" x14ac:dyDescent="0.25">
      <c r="A25" s="172">
        <v>60.15</v>
      </c>
      <c r="B25" s="172">
        <v>0.3</v>
      </c>
      <c r="C25" s="172">
        <v>46.97</v>
      </c>
      <c r="D25" s="8">
        <v>42910.958333333336</v>
      </c>
      <c r="E25" s="172">
        <v>0.56000000000000005</v>
      </c>
      <c r="F25" s="172" t="s">
        <v>514</v>
      </c>
      <c r="G25" s="172">
        <v>293.8</v>
      </c>
      <c r="H25" s="172">
        <v>0</v>
      </c>
      <c r="I25" s="172">
        <v>0</v>
      </c>
      <c r="J25" s="172">
        <v>1021.67</v>
      </c>
      <c r="K25" s="172" t="s">
        <v>486</v>
      </c>
      <c r="L25" s="172">
        <v>62.77</v>
      </c>
      <c r="M25" s="172">
        <v>1498366800</v>
      </c>
      <c r="N25" s="172">
        <v>0</v>
      </c>
      <c r="O25" s="172">
        <v>10</v>
      </c>
      <c r="P25" s="172">
        <v>35</v>
      </c>
      <c r="Q25" s="172">
        <v>11.1</v>
      </c>
      <c r="R25" s="172">
        <v>5.59</v>
      </c>
      <c r="S25"/>
    </row>
    <row r="26" spans="1:19" x14ac:dyDescent="0.25">
      <c r="A26" s="172">
        <v>58.98</v>
      </c>
      <c r="B26" s="172">
        <v>0.48</v>
      </c>
      <c r="C26" s="172">
        <v>47.28</v>
      </c>
      <c r="D26" s="8">
        <v>42911</v>
      </c>
      <c r="E26" s="172">
        <v>0.61</v>
      </c>
      <c r="F26" s="172" t="s">
        <v>514</v>
      </c>
      <c r="G26" s="172">
        <v>294.92</v>
      </c>
      <c r="H26" s="172">
        <v>0</v>
      </c>
      <c r="I26" s="172">
        <v>0</v>
      </c>
      <c r="J26" s="172">
        <v>1022.01</v>
      </c>
      <c r="K26" s="172" t="s">
        <v>486</v>
      </c>
      <c r="L26" s="172">
        <v>61.02</v>
      </c>
      <c r="M26" s="172">
        <v>1498370400</v>
      </c>
      <c r="N26" s="172">
        <v>0</v>
      </c>
      <c r="O26" s="172">
        <v>10</v>
      </c>
      <c r="P26" s="172">
        <v>29</v>
      </c>
      <c r="Q26" s="172">
        <v>7.72</v>
      </c>
      <c r="R26" s="172">
        <v>4.43</v>
      </c>
      <c r="S26"/>
    </row>
    <row r="27" spans="1:19" x14ac:dyDescent="0.25">
      <c r="A27" s="172">
        <v>57.56</v>
      </c>
      <c r="B27" s="172">
        <v>0.33</v>
      </c>
      <c r="C27" s="172">
        <v>47.28</v>
      </c>
      <c r="D27" s="8">
        <v>42911.041666666664</v>
      </c>
      <c r="E27" s="172">
        <v>0.64</v>
      </c>
      <c r="F27" s="172" t="s">
        <v>514</v>
      </c>
      <c r="G27" s="172">
        <v>295.26</v>
      </c>
      <c r="H27" s="172">
        <v>0</v>
      </c>
      <c r="I27" s="172">
        <v>0</v>
      </c>
      <c r="J27" s="172">
        <v>1022.18</v>
      </c>
      <c r="K27" s="172" t="s">
        <v>486</v>
      </c>
      <c r="L27" s="172">
        <v>59.39</v>
      </c>
      <c r="M27" s="172">
        <v>1498374000</v>
      </c>
      <c r="N27" s="172">
        <v>0</v>
      </c>
      <c r="O27" s="172">
        <v>10</v>
      </c>
      <c r="P27" s="172">
        <v>23</v>
      </c>
      <c r="Q27" s="172">
        <v>6.67</v>
      </c>
      <c r="R27" s="172">
        <v>3.93</v>
      </c>
      <c r="S27"/>
    </row>
    <row r="28" spans="1:19" x14ac:dyDescent="0.25">
      <c r="A28" s="172">
        <v>56.68</v>
      </c>
      <c r="B28" s="172">
        <v>0.24</v>
      </c>
      <c r="C28" s="172">
        <v>46.98</v>
      </c>
      <c r="D28" s="8">
        <v>42911.083333333336</v>
      </c>
      <c r="E28" s="172">
        <v>0.66</v>
      </c>
      <c r="F28" s="172" t="s">
        <v>452</v>
      </c>
      <c r="G28" s="172">
        <v>295.14</v>
      </c>
      <c r="H28" s="172">
        <v>0</v>
      </c>
      <c r="I28" s="172">
        <v>0</v>
      </c>
      <c r="J28" s="172">
        <v>1022.27</v>
      </c>
      <c r="K28" s="172" t="s">
        <v>453</v>
      </c>
      <c r="L28" s="172">
        <v>58.23</v>
      </c>
      <c r="M28" s="172">
        <v>1498377600</v>
      </c>
      <c r="N28" s="172">
        <v>0</v>
      </c>
      <c r="O28" s="172">
        <v>10</v>
      </c>
      <c r="P28" s="172">
        <v>16</v>
      </c>
      <c r="Q28" s="172">
        <v>5.09</v>
      </c>
      <c r="R28" s="172">
        <v>3.21</v>
      </c>
      <c r="S28"/>
    </row>
    <row r="29" spans="1:19" x14ac:dyDescent="0.25">
      <c r="A29" s="172">
        <v>55.79</v>
      </c>
      <c r="B29" s="172">
        <v>0.15</v>
      </c>
      <c r="C29" s="172">
        <v>46.83</v>
      </c>
      <c r="D29" s="8">
        <v>42911.125</v>
      </c>
      <c r="E29" s="172">
        <v>0.68</v>
      </c>
      <c r="F29" s="172" t="s">
        <v>452</v>
      </c>
      <c r="G29" s="172">
        <v>295.25</v>
      </c>
      <c r="H29" s="172">
        <v>0</v>
      </c>
      <c r="I29" s="172">
        <v>0</v>
      </c>
      <c r="J29" s="172">
        <v>1022.27</v>
      </c>
      <c r="K29" s="172" t="s">
        <v>453</v>
      </c>
      <c r="L29" s="172">
        <v>57.37</v>
      </c>
      <c r="M29" s="172">
        <v>1498381200</v>
      </c>
      <c r="N29" s="172">
        <v>0</v>
      </c>
      <c r="O29" s="172">
        <v>10</v>
      </c>
      <c r="P29" s="172">
        <v>12</v>
      </c>
      <c r="Q29" s="172">
        <v>4.54</v>
      </c>
      <c r="R29" s="172">
        <v>3.17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topLeftCell="A2"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42910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478</v>
      </c>
      <c r="AE2" s="56" t="s">
        <v>481</v>
      </c>
      <c r="AF2" s="56" t="s">
        <v>482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479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480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483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979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980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981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982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983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984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985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986</v>
      </c>
      <c r="J25" s="140" t="s">
        <v>146</v>
      </c>
      <c r="M25" s="154" t="b">
        <v>1</v>
      </c>
    </row>
    <row r="26" spans="3:24" x14ac:dyDescent="0.25">
      <c r="C26" t="s">
        <v>987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C:\Users\stu\Documents\GitHub\eaglep3-reporting\EC\2017-06-24-refined-times.txt</v>
      </c>
    </row>
    <row r="27" spans="3:24" x14ac:dyDescent="0.25">
      <c r="C27" t="s">
        <v>988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C:\Users\stu\Documents\GitHub\eaglep3-reporting\EC\2017-06-24-Enforcements.txt</v>
      </c>
    </row>
    <row r="28" spans="3:24" x14ac:dyDescent="0.25">
      <c r="C28" t="s">
        <v>989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C:\Users\stu\Documents\GitHub\eaglep3-reporting\EC\2017-06-24-Runs-refined.txt</v>
      </c>
    </row>
    <row r="29" spans="3:24" x14ac:dyDescent="0.25">
      <c r="C29" t="s">
        <v>990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C:\Users\stu\Documents\GitHub\eaglep3-reporting\EC\2017-06-24-Trips.txt</v>
      </c>
    </row>
    <row r="30" spans="3:24" x14ac:dyDescent="0.25">
      <c r="C30" t="s">
        <v>991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C:\Users\stu\Documents\GitHub\eaglep3-reporting\EC\2017-06-24-Weather.txt</v>
      </c>
    </row>
    <row r="31" spans="3:24" x14ac:dyDescent="0.25">
      <c r="C31" t="s">
        <v>992</v>
      </c>
      <c r="J31" s="140" t="s">
        <v>196</v>
      </c>
      <c r="M31" s="154" t="s">
        <v>197</v>
      </c>
    </row>
    <row r="32" spans="3:24" x14ac:dyDescent="0.25">
      <c r="C32" t="s">
        <v>993</v>
      </c>
    </row>
    <row r="33" spans="3:3" x14ac:dyDescent="0.25">
      <c r="C33" t="s">
        <v>994</v>
      </c>
    </row>
    <row r="34" spans="3:3" x14ac:dyDescent="0.25">
      <c r="C34" t="s">
        <v>995</v>
      </c>
    </row>
    <row r="35" spans="3:3" x14ac:dyDescent="0.25">
      <c r="C35" t="s">
        <v>996</v>
      </c>
    </row>
    <row r="36" spans="3:3" x14ac:dyDescent="0.25">
      <c r="C36" t="s">
        <v>997</v>
      </c>
    </row>
    <row r="37" spans="3:3" x14ac:dyDescent="0.25">
      <c r="C37" t="s">
        <v>998</v>
      </c>
    </row>
    <row r="38" spans="3:3" x14ac:dyDescent="0.25">
      <c r="C38" t="s">
        <v>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2017-06-26T15:56:36Z</dcterms:modified>
</cp:coreProperties>
</file>