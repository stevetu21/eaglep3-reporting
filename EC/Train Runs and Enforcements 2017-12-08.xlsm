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1" i="1" l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18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7" i="3" s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20" i="3" s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4" i="1"/>
  <c r="L64" i="1"/>
  <c r="M64" i="1"/>
  <c r="V64" i="1"/>
  <c r="S21" i="3" s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P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S14" i="3" s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P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S15" i="3" s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V96" i="1"/>
  <c r="S16" i="3" s="1"/>
  <c r="Y96" i="1"/>
  <c r="Z96" i="1"/>
  <c r="AB96" i="1"/>
  <c r="AC96" i="1"/>
  <c r="AD96" i="1"/>
  <c r="AE96" i="1"/>
  <c r="R16" i="3" s="1"/>
  <c r="AF96" i="1"/>
  <c r="AH96" i="1"/>
  <c r="AM96" i="1"/>
  <c r="AN96" i="1"/>
  <c r="AO96" i="1"/>
  <c r="K97" i="1"/>
  <c r="L97" i="1"/>
  <c r="M97" i="1"/>
  <c r="P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S11" i="3" s="1"/>
  <c r="Y101" i="1"/>
  <c r="Z101" i="1"/>
  <c r="AB101" i="1"/>
  <c r="AC101" i="1"/>
  <c r="AD101" i="1"/>
  <c r="AE101" i="1"/>
  <c r="R13" i="3" s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AA118" i="1" s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AA122" i="1" s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S12" i="3" s="1"/>
  <c r="Y125" i="1"/>
  <c r="Z125" i="1"/>
  <c r="AB125" i="1"/>
  <c r="AC125" i="1"/>
  <c r="AD125" i="1"/>
  <c r="AE125" i="1"/>
  <c r="R12" i="3" s="1"/>
  <c r="AF125" i="1"/>
  <c r="AH125" i="1"/>
  <c r="AM125" i="1"/>
  <c r="AN125" i="1"/>
  <c r="AO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AA128" i="1" s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T131" i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A135" i="1" s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X140" i="1"/>
  <c r="Y140" i="1"/>
  <c r="Z140" i="1"/>
  <c r="AB140" i="1"/>
  <c r="AC140" i="1"/>
  <c r="AD140" i="1"/>
  <c r="T140" i="1" s="1"/>
  <c r="AE140" i="1"/>
  <c r="R7" i="3" s="1"/>
  <c r="AF140" i="1"/>
  <c r="AH140" i="1"/>
  <c r="AM140" i="1"/>
  <c r="AN140" i="1"/>
  <c r="AO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/>
  <c r="V142" i="1"/>
  <c r="Y142" i="1"/>
  <c r="Z142" i="1"/>
  <c r="AA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A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A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V156" i="1"/>
  <c r="Y156" i="1"/>
  <c r="Z156" i="1"/>
  <c r="AA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T157" i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0" i="1"/>
  <c r="L160" i="1"/>
  <c r="M160" i="1"/>
  <c r="N160" i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AO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69" i="1"/>
  <c r="AM169" i="1"/>
  <c r="AN169" i="1"/>
  <c r="AO16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0" i="1"/>
  <c r="AM170" i="1"/>
  <c r="AN170" i="1"/>
  <c r="AO17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1" i="1"/>
  <c r="AM171" i="1"/>
  <c r="AN171" i="1"/>
  <c r="AO17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2" i="1"/>
  <c r="AM172" i="1"/>
  <c r="AN172" i="1"/>
  <c r="AO172" i="1"/>
  <c r="K223" i="1"/>
  <c r="L223" i="1"/>
  <c r="M223" i="1"/>
  <c r="N223" i="1" s="1"/>
  <c r="V223" i="1"/>
  <c r="Y223" i="1"/>
  <c r="Z223" i="1"/>
  <c r="AA223" i="1" s="1"/>
  <c r="AB223" i="1"/>
  <c r="AC223" i="1"/>
  <c r="AD223" i="1"/>
  <c r="AE223" i="1"/>
  <c r="AF223" i="1"/>
  <c r="AH173" i="1"/>
  <c r="AM173" i="1"/>
  <c r="AN173" i="1"/>
  <c r="AO17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4" i="1"/>
  <c r="AM174" i="1"/>
  <c r="AN174" i="1"/>
  <c r="AO174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175" i="1"/>
  <c r="AM175" i="1"/>
  <c r="AN175" i="1"/>
  <c r="AO175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6" i="1"/>
  <c r="AM176" i="1"/>
  <c r="AN176" i="1"/>
  <c r="AO176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A234" i="1" s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AO179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180" i="1"/>
  <c r="AM180" i="1"/>
  <c r="AN180" i="1"/>
  <c r="AO180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1" i="1"/>
  <c r="AM181" i="1"/>
  <c r="AN181" i="1"/>
  <c r="AO181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182" i="1"/>
  <c r="AM182" i="1"/>
  <c r="AN182" i="1"/>
  <c r="AO18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3" i="1"/>
  <c r="AM183" i="1"/>
  <c r="AN183" i="1"/>
  <c r="AO183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4" i="1"/>
  <c r="AM184" i="1"/>
  <c r="AN184" i="1"/>
  <c r="AO18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5" i="1"/>
  <c r="AM185" i="1"/>
  <c r="AN185" i="1"/>
  <c r="AO185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6" i="1"/>
  <c r="AM186" i="1"/>
  <c r="AN186" i="1"/>
  <c r="AO18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7" i="1"/>
  <c r="AM187" i="1"/>
  <c r="AN187" i="1"/>
  <c r="AO187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88" i="1"/>
  <c r="AM188" i="1"/>
  <c r="AN188" i="1"/>
  <c r="AO188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89" i="1"/>
  <c r="AM189" i="1"/>
  <c r="AN189" i="1"/>
  <c r="AO189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190" i="1"/>
  <c r="AM190" i="1"/>
  <c r="AN190" i="1"/>
  <c r="AO19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1" i="1"/>
  <c r="AM191" i="1"/>
  <c r="AN191" i="1"/>
  <c r="AO191" i="1"/>
  <c r="K176" i="1"/>
  <c r="L176" i="1"/>
  <c r="M176" i="1"/>
  <c r="N176" i="1"/>
  <c r="V176" i="1"/>
  <c r="Y176" i="1"/>
  <c r="Z176" i="1"/>
  <c r="AB176" i="1"/>
  <c r="AC176" i="1"/>
  <c r="AD176" i="1"/>
  <c r="X176" i="1" s="1"/>
  <c r="AE176" i="1"/>
  <c r="AF176" i="1"/>
  <c r="AH192" i="1"/>
  <c r="AM192" i="1"/>
  <c r="AN192" i="1"/>
  <c r="AO19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3" i="1"/>
  <c r="AM193" i="1"/>
  <c r="AN193" i="1"/>
  <c r="AO19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4" i="1"/>
  <c r="AM194" i="1"/>
  <c r="AN194" i="1"/>
  <c r="AO19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5" i="1"/>
  <c r="AM195" i="1"/>
  <c r="AN195" i="1"/>
  <c r="AO195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AF180" i="1"/>
  <c r="AH196" i="1"/>
  <c r="AM196" i="1"/>
  <c r="AN196" i="1"/>
  <c r="AO196" i="1"/>
  <c r="K181" i="1"/>
  <c r="L181" i="1"/>
  <c r="M181" i="1"/>
  <c r="N181" i="1" s="1"/>
  <c r="V181" i="1"/>
  <c r="S24" i="3" s="1"/>
  <c r="Y181" i="1"/>
  <c r="Z181" i="1"/>
  <c r="AB181" i="1"/>
  <c r="AC181" i="1"/>
  <c r="AD181" i="1"/>
  <c r="T181" i="1" s="1"/>
  <c r="AE181" i="1"/>
  <c r="AF181" i="1"/>
  <c r="AH197" i="1"/>
  <c r="AM197" i="1"/>
  <c r="AN197" i="1"/>
  <c r="AO197" i="1"/>
  <c r="K182" i="1"/>
  <c r="L182" i="1"/>
  <c r="M182" i="1"/>
  <c r="V182" i="1"/>
  <c r="Y182" i="1"/>
  <c r="Z182" i="1"/>
  <c r="AB182" i="1"/>
  <c r="AC182" i="1"/>
  <c r="AD182" i="1"/>
  <c r="AE182" i="1"/>
  <c r="AF182" i="1"/>
  <c r="AH198" i="1"/>
  <c r="AM198" i="1"/>
  <c r="AN198" i="1"/>
  <c r="AO19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9" i="1"/>
  <c r="AM199" i="1"/>
  <c r="AN199" i="1"/>
  <c r="AO199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0" i="1"/>
  <c r="AM200" i="1"/>
  <c r="AN200" i="1"/>
  <c r="AO200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01" i="1"/>
  <c r="AM201" i="1"/>
  <c r="AN201" i="1"/>
  <c r="AO20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2" i="1"/>
  <c r="AM202" i="1"/>
  <c r="AN202" i="1"/>
  <c r="AO202" i="1"/>
  <c r="K187" i="1"/>
  <c r="L187" i="1"/>
  <c r="M187" i="1"/>
  <c r="N187" i="1" s="1"/>
  <c r="V187" i="1"/>
  <c r="Y187" i="1"/>
  <c r="AA187" i="1" s="1"/>
  <c r="Z187" i="1"/>
  <c r="AB187" i="1"/>
  <c r="AC187" i="1"/>
  <c r="AD187" i="1"/>
  <c r="T187" i="1" s="1"/>
  <c r="AE187" i="1"/>
  <c r="AF187" i="1"/>
  <c r="AH203" i="1"/>
  <c r="AM203" i="1"/>
  <c r="AN203" i="1"/>
  <c r="AO203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4" i="1"/>
  <c r="AM204" i="1"/>
  <c r="AN204" i="1"/>
  <c r="AO20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5" i="1"/>
  <c r="AM205" i="1"/>
  <c r="AN205" i="1"/>
  <c r="AO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AM206" i="1"/>
  <c r="AN206" i="1"/>
  <c r="AO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AM207" i="1"/>
  <c r="AN207" i="1"/>
  <c r="AO207" i="1"/>
  <c r="K192" i="1"/>
  <c r="L192" i="1"/>
  <c r="M192" i="1"/>
  <c r="P192" i="1" s="1"/>
  <c r="V192" i="1"/>
  <c r="Y192" i="1"/>
  <c r="Z192" i="1"/>
  <c r="AB192" i="1"/>
  <c r="AC192" i="1"/>
  <c r="AD192" i="1"/>
  <c r="T192" i="1" s="1"/>
  <c r="AE192" i="1"/>
  <c r="AF192" i="1"/>
  <c r="AH208" i="1"/>
  <c r="AM208" i="1"/>
  <c r="AN208" i="1"/>
  <c r="AO20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09" i="1"/>
  <c r="AM209" i="1"/>
  <c r="AN209" i="1"/>
  <c r="AO20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0" i="1"/>
  <c r="AM210" i="1"/>
  <c r="AN210" i="1"/>
  <c r="AO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AM211" i="1"/>
  <c r="AN211" i="1"/>
  <c r="AO211" i="1"/>
  <c r="K196" i="1"/>
  <c r="L196" i="1"/>
  <c r="M196" i="1"/>
  <c r="N196" i="1" s="1"/>
  <c r="V196" i="1"/>
  <c r="S22" i="3" s="1"/>
  <c r="Y196" i="1"/>
  <c r="Z196" i="1"/>
  <c r="AB196" i="1"/>
  <c r="AC196" i="1"/>
  <c r="AD196" i="1"/>
  <c r="T196" i="1" s="1"/>
  <c r="AE196" i="1"/>
  <c r="R22" i="3" s="1"/>
  <c r="AF196" i="1"/>
  <c r="AH212" i="1"/>
  <c r="AM212" i="1"/>
  <c r="AN212" i="1"/>
  <c r="AO21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3" i="1"/>
  <c r="AM213" i="1"/>
  <c r="AN213" i="1"/>
  <c r="AO213" i="1"/>
  <c r="K198" i="1"/>
  <c r="L198" i="1"/>
  <c r="M198" i="1"/>
  <c r="N198" i="1" s="1"/>
  <c r="V198" i="1"/>
  <c r="S23" i="3" s="1"/>
  <c r="Y198" i="1"/>
  <c r="Z198" i="1"/>
  <c r="AB198" i="1"/>
  <c r="AC198" i="1"/>
  <c r="AD198" i="1"/>
  <c r="AE198" i="1"/>
  <c r="R23" i="3" s="1"/>
  <c r="AF198" i="1"/>
  <c r="AH214" i="1"/>
  <c r="AM214" i="1"/>
  <c r="AN214" i="1"/>
  <c r="AO21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5" i="1"/>
  <c r="AM215" i="1"/>
  <c r="AN215" i="1"/>
  <c r="AO215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6" i="1"/>
  <c r="AM216" i="1"/>
  <c r="AN216" i="1"/>
  <c r="AO21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7" i="1"/>
  <c r="AM217" i="1"/>
  <c r="AN217" i="1"/>
  <c r="AO21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8" i="1"/>
  <c r="AM218" i="1"/>
  <c r="AN218" i="1"/>
  <c r="AO21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9" i="1"/>
  <c r="AM219" i="1"/>
  <c r="AN219" i="1"/>
  <c r="AO21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0" i="1"/>
  <c r="AM220" i="1"/>
  <c r="AN220" i="1"/>
  <c r="AO22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1" i="1"/>
  <c r="AM221" i="1"/>
  <c r="AN221" i="1"/>
  <c r="AO221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2" i="1"/>
  <c r="AM222" i="1"/>
  <c r="AN222" i="1"/>
  <c r="AO22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3" i="1"/>
  <c r="AM223" i="1"/>
  <c r="AN223" i="1"/>
  <c r="AO223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24" i="1"/>
  <c r="AM224" i="1"/>
  <c r="AN224" i="1"/>
  <c r="AO224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5" i="1"/>
  <c r="AM225" i="1"/>
  <c r="AN225" i="1"/>
  <c r="AO225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26" i="1"/>
  <c r="AM226" i="1"/>
  <c r="AN226" i="1"/>
  <c r="AO226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27" i="1"/>
  <c r="AM227" i="1"/>
  <c r="AN227" i="1"/>
  <c r="AO227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28" i="1"/>
  <c r="AM228" i="1"/>
  <c r="AN228" i="1"/>
  <c r="AO228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9" i="1"/>
  <c r="AM229" i="1"/>
  <c r="AN229" i="1"/>
  <c r="AO229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230" i="1"/>
  <c r="AM230" i="1"/>
  <c r="AN230" i="1"/>
  <c r="AO23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31" i="1"/>
  <c r="AM231" i="1"/>
  <c r="AN231" i="1"/>
  <c r="AO231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32" i="1"/>
  <c r="AM232" i="1"/>
  <c r="AN232" i="1"/>
  <c r="AO232" i="1"/>
  <c r="K229" i="1"/>
  <c r="L229" i="1"/>
  <c r="M229" i="1"/>
  <c r="N229" i="1" s="1"/>
  <c r="V229" i="1"/>
  <c r="S26" i="3" s="1"/>
  <c r="Y229" i="1"/>
  <c r="Z229" i="1"/>
  <c r="AB229" i="1"/>
  <c r="AC229" i="1"/>
  <c r="AD229" i="1"/>
  <c r="T229" i="1" s="1"/>
  <c r="AE229" i="1"/>
  <c r="R26" i="3" s="1"/>
  <c r="AF229" i="1"/>
  <c r="AH233" i="1"/>
  <c r="AM233" i="1"/>
  <c r="AN233" i="1"/>
  <c r="AO23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34" i="1"/>
  <c r="AM234" i="1"/>
  <c r="AN234" i="1"/>
  <c r="AO23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5" i="1"/>
  <c r="AM235" i="1"/>
  <c r="AN235" i="1"/>
  <c r="AO23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6" i="1"/>
  <c r="AM236" i="1"/>
  <c r="AN236" i="1"/>
  <c r="AO236" i="1"/>
  <c r="M18" i="3"/>
  <c r="S18" i="3"/>
  <c r="U18" i="3"/>
  <c r="T18" i="3" s="1"/>
  <c r="V18" i="3"/>
  <c r="X18" i="3"/>
  <c r="M17" i="3"/>
  <c r="R17" i="3"/>
  <c r="U17" i="3"/>
  <c r="V17" i="3"/>
  <c r="X17" i="3"/>
  <c r="M10" i="3"/>
  <c r="R10" i="3"/>
  <c r="S10" i="3"/>
  <c r="T10" i="3"/>
  <c r="U10" i="3"/>
  <c r="AC10" i="3" s="1"/>
  <c r="V10" i="3"/>
  <c r="AE10" i="3" s="1"/>
  <c r="X10" i="3"/>
  <c r="M26" i="3"/>
  <c r="U26" i="3"/>
  <c r="AC26" i="3" s="1"/>
  <c r="V26" i="3"/>
  <c r="X26" i="3"/>
  <c r="M9" i="3"/>
  <c r="R9" i="3"/>
  <c r="S9" i="3"/>
  <c r="U9" i="3"/>
  <c r="T9" i="3" s="1"/>
  <c r="V9" i="3"/>
  <c r="X9" i="3"/>
  <c r="M20" i="3"/>
  <c r="R20" i="3"/>
  <c r="U20" i="3"/>
  <c r="AD20" i="3" s="1"/>
  <c r="V20" i="3"/>
  <c r="X20" i="3"/>
  <c r="M21" i="3"/>
  <c r="R21" i="3"/>
  <c r="U21" i="3"/>
  <c r="AC21" i="3" s="1"/>
  <c r="V21" i="3"/>
  <c r="X21" i="3"/>
  <c r="M24" i="3"/>
  <c r="R24" i="3"/>
  <c r="U24" i="3"/>
  <c r="T24" i="3" s="1"/>
  <c r="V24" i="3"/>
  <c r="X24" i="3"/>
  <c r="M14" i="3"/>
  <c r="R14" i="3"/>
  <c r="U14" i="3"/>
  <c r="AD17" i="3" s="1"/>
  <c r="V14" i="3"/>
  <c r="X14" i="3"/>
  <c r="M15" i="3"/>
  <c r="R15" i="3"/>
  <c r="U15" i="3"/>
  <c r="AC15" i="3" s="1"/>
  <c r="V15" i="3"/>
  <c r="X15" i="3"/>
  <c r="M16" i="3"/>
  <c r="U16" i="3"/>
  <c r="AC16" i="3" s="1"/>
  <c r="V16" i="3"/>
  <c r="X16" i="3"/>
  <c r="M8" i="3"/>
  <c r="U8" i="3"/>
  <c r="T8" i="3" s="1"/>
  <c r="V8" i="3"/>
  <c r="X8" i="3"/>
  <c r="M11" i="3"/>
  <c r="R11" i="3"/>
  <c r="U11" i="3"/>
  <c r="AD11" i="3" s="1"/>
  <c r="V11" i="3"/>
  <c r="X11" i="3"/>
  <c r="M13" i="3"/>
  <c r="U13" i="3"/>
  <c r="AC13" i="3" s="1"/>
  <c r="V13" i="3"/>
  <c r="X13" i="3"/>
  <c r="M19" i="3"/>
  <c r="R19" i="3"/>
  <c r="S19" i="3"/>
  <c r="U19" i="3"/>
  <c r="T19" i="3" s="1"/>
  <c r="V19" i="3"/>
  <c r="X19" i="3"/>
  <c r="M22" i="3"/>
  <c r="U22" i="3"/>
  <c r="V22" i="3"/>
  <c r="X22" i="3"/>
  <c r="M23" i="3"/>
  <c r="U23" i="3"/>
  <c r="AC23" i="3" s="1"/>
  <c r="V23" i="3"/>
  <c r="X23" i="3"/>
  <c r="M12" i="3"/>
  <c r="U12" i="3"/>
  <c r="T12" i="3" s="1"/>
  <c r="V12" i="3"/>
  <c r="X12" i="3"/>
  <c r="M7" i="3"/>
  <c r="S7" i="3"/>
  <c r="U7" i="3"/>
  <c r="V7" i="3"/>
  <c r="X7" i="3"/>
  <c r="W20" i="3"/>
  <c r="W7" i="3"/>
  <c r="W15" i="3"/>
  <c r="W21" i="3"/>
  <c r="W24" i="3"/>
  <c r="W17" i="3"/>
  <c r="W22" i="3"/>
  <c r="W26" i="3"/>
  <c r="W9" i="3"/>
  <c r="W12" i="3"/>
  <c r="W14" i="3"/>
  <c r="W16" i="3"/>
  <c r="W13" i="3"/>
  <c r="W8" i="3"/>
  <c r="W11" i="3"/>
  <c r="W10" i="3"/>
  <c r="W23" i="3"/>
  <c r="W18" i="3"/>
  <c r="W19" i="3"/>
  <c r="AG63" i="1"/>
  <c r="AG29" i="1"/>
  <c r="AG45" i="1"/>
  <c r="AG61" i="1"/>
  <c r="AG82" i="1"/>
  <c r="AG98" i="1"/>
  <c r="AG114" i="1"/>
  <c r="AG130" i="1"/>
  <c r="AG146" i="1"/>
  <c r="AG70" i="1"/>
  <c r="AG225" i="1"/>
  <c r="AG175" i="1"/>
  <c r="AG191" i="1"/>
  <c r="AG207" i="1"/>
  <c r="AG14" i="1"/>
  <c r="AG30" i="1"/>
  <c r="AG46" i="1"/>
  <c r="AG23" i="1"/>
  <c r="AG39" i="1"/>
  <c r="AG55" i="1"/>
  <c r="AG76" i="1"/>
  <c r="AG92" i="1"/>
  <c r="AG108" i="1"/>
  <c r="AG124" i="1"/>
  <c r="AG140" i="1"/>
  <c r="AG156" i="1"/>
  <c r="AG219" i="1"/>
  <c r="AG169" i="1"/>
  <c r="AG185" i="1"/>
  <c r="AG201" i="1"/>
  <c r="AG229" i="1"/>
  <c r="AG58" i="1"/>
  <c r="AG95" i="1"/>
  <c r="AG127" i="1"/>
  <c r="AG159" i="1"/>
  <c r="AG172" i="1"/>
  <c r="AG204" i="1"/>
  <c r="AG36" i="1"/>
  <c r="AG81" i="1"/>
  <c r="AG113" i="1"/>
  <c r="AG145" i="1"/>
  <c r="AG224" i="1"/>
  <c r="AG190" i="1"/>
  <c r="AG24" i="1"/>
  <c r="AG75" i="1"/>
  <c r="AG107" i="1"/>
  <c r="AG17" i="1"/>
  <c r="AG37" i="1"/>
  <c r="AG57" i="1"/>
  <c r="AG86" i="1"/>
  <c r="AG106" i="1"/>
  <c r="AG126" i="1"/>
  <c r="AG150" i="1"/>
  <c r="AG217" i="1"/>
  <c r="AG171" i="1"/>
  <c r="AG195" i="1"/>
  <c r="AG227" i="1"/>
  <c r="AG26" i="1"/>
  <c r="AG54" i="1"/>
  <c r="AG31" i="1"/>
  <c r="AG51" i="1"/>
  <c r="AG80" i="1"/>
  <c r="AG100" i="1"/>
  <c r="AG120" i="1"/>
  <c r="AG144" i="1"/>
  <c r="AG160" i="1"/>
  <c r="AG165" i="1"/>
  <c r="AG189" i="1"/>
  <c r="AG209" i="1"/>
  <c r="AG48" i="1"/>
  <c r="AG103" i="1"/>
  <c r="AG143" i="1"/>
  <c r="AG164" i="1"/>
  <c r="AG212" i="1"/>
  <c r="AG60" i="1"/>
  <c r="AG105" i="1"/>
  <c r="AG153" i="1"/>
  <c r="AG174" i="1"/>
  <c r="AG236" i="1"/>
  <c r="AG83" i="1"/>
  <c r="AG123" i="1"/>
  <c r="AG155" i="1"/>
  <c r="AG168" i="1"/>
  <c r="AG200" i="1"/>
  <c r="AG44" i="1"/>
  <c r="AG93" i="1"/>
  <c r="AG141" i="1"/>
  <c r="AG194" i="1"/>
  <c r="AG133" i="1"/>
  <c r="AG170" i="1"/>
  <c r="AG49" i="1"/>
  <c r="AG74" i="1"/>
  <c r="AG118" i="1"/>
  <c r="AG158" i="1"/>
  <c r="AG183" i="1"/>
  <c r="AG18" i="1"/>
  <c r="AG19" i="1"/>
  <c r="AG64" i="1"/>
  <c r="AG112" i="1"/>
  <c r="AG223" i="1"/>
  <c r="AG197" i="1"/>
  <c r="AG119" i="1"/>
  <c r="AG188" i="1"/>
  <c r="AG129" i="1"/>
  <c r="AG198" i="1"/>
  <c r="AG139" i="1"/>
  <c r="AG228" i="1"/>
  <c r="AG220" i="1"/>
  <c r="AG202" i="1"/>
  <c r="AG161" i="1"/>
  <c r="AG33" i="1"/>
  <c r="AG78" i="1"/>
  <c r="AG102" i="1"/>
  <c r="AG122" i="1"/>
  <c r="AG163" i="1"/>
  <c r="AG167" i="1"/>
  <c r="AG211" i="1"/>
  <c r="AG22" i="1"/>
  <c r="AG27" i="1"/>
  <c r="AG71" i="1"/>
  <c r="AG116" i="1"/>
  <c r="AG66" i="1"/>
  <c r="AG205" i="1"/>
  <c r="AG87" i="1"/>
  <c r="AG222" i="1"/>
  <c r="AG97" i="1"/>
  <c r="AG206" i="1"/>
  <c r="AG147" i="1"/>
  <c r="AG125" i="1"/>
  <c r="AG230" i="1"/>
  <c r="AG21" i="1"/>
  <c r="AG41" i="1"/>
  <c r="AG67" i="1"/>
  <c r="AG90" i="1"/>
  <c r="AG110" i="1"/>
  <c r="AG134" i="1"/>
  <c r="AG154" i="1"/>
  <c r="AG221" i="1"/>
  <c r="AG179" i="1"/>
  <c r="AG199" i="1"/>
  <c r="AG231" i="1"/>
  <c r="AG34" i="1"/>
  <c r="AG15" i="1"/>
  <c r="AG35" i="1"/>
  <c r="AG59" i="1"/>
  <c r="AG84" i="1"/>
  <c r="AG104" i="1"/>
  <c r="AG128" i="1"/>
  <c r="AG148" i="1"/>
  <c r="AG215" i="1"/>
  <c r="AG173" i="1"/>
  <c r="AG193" i="1"/>
  <c r="AG213" i="1"/>
  <c r="AG69" i="1"/>
  <c r="AG111" i="1"/>
  <c r="AG151" i="1"/>
  <c r="AG180" i="1"/>
  <c r="AG232" i="1"/>
  <c r="AG73" i="1"/>
  <c r="AG121" i="1"/>
  <c r="AG68" i="1"/>
  <c r="AG182" i="1"/>
  <c r="AG40" i="1"/>
  <c r="AG91" i="1"/>
  <c r="AG131" i="1"/>
  <c r="AG72" i="1"/>
  <c r="AG176" i="1"/>
  <c r="AG208" i="1"/>
  <c r="AG56" i="1"/>
  <c r="AG101" i="1"/>
  <c r="AG157" i="1"/>
  <c r="AG210" i="1"/>
  <c r="AG149" i="1"/>
  <c r="AG186" i="1"/>
  <c r="AG25" i="1"/>
  <c r="AG94" i="1"/>
  <c r="AG138" i="1"/>
  <c r="AG235" i="1"/>
  <c r="AG203" i="1"/>
  <c r="AG38" i="1"/>
  <c r="AG43" i="1"/>
  <c r="AG88" i="1"/>
  <c r="AG132" i="1"/>
  <c r="AG177" i="1"/>
  <c r="AG16" i="1"/>
  <c r="AG79" i="1"/>
  <c r="AG214" i="1"/>
  <c r="AG89" i="1"/>
  <c r="AG52" i="1"/>
  <c r="AG218" i="1"/>
  <c r="AG65" i="1"/>
  <c r="AG77" i="1"/>
  <c r="AG53" i="1"/>
  <c r="AG142" i="1"/>
  <c r="AG187" i="1"/>
  <c r="AG42" i="1"/>
  <c r="AG47" i="1"/>
  <c r="AG96" i="1"/>
  <c r="AG136" i="1"/>
  <c r="AG233" i="1"/>
  <c r="AG32" i="1"/>
  <c r="AG135" i="1"/>
  <c r="AG196" i="1"/>
  <c r="AG50" i="1"/>
  <c r="AG166" i="1"/>
  <c r="AG115" i="1"/>
  <c r="AG226" i="1"/>
  <c r="AG28" i="1"/>
  <c r="AG178" i="1"/>
  <c r="AG234" i="1"/>
  <c r="AG152" i="1"/>
  <c r="AG20" i="1"/>
  <c r="AG216" i="1"/>
  <c r="AG99" i="1"/>
  <c r="AG184" i="1"/>
  <c r="AG117" i="1"/>
  <c r="AG162" i="1"/>
  <c r="AG181" i="1"/>
  <c r="AG137" i="1"/>
  <c r="AG62" i="1"/>
  <c r="AG192" i="1"/>
  <c r="AG85" i="1"/>
  <c r="AG109" i="1"/>
  <c r="AA230" i="1" l="1"/>
  <c r="AA236" i="1"/>
  <c r="AA210" i="1"/>
  <c r="AA206" i="1"/>
  <c r="AA202" i="1"/>
  <c r="AA198" i="1"/>
  <c r="X197" i="1"/>
  <c r="X196" i="1"/>
  <c r="X190" i="1"/>
  <c r="AA184" i="1"/>
  <c r="X160" i="1"/>
  <c r="X158" i="1"/>
  <c r="AA153" i="1"/>
  <c r="AA125" i="1"/>
  <c r="AA104" i="1"/>
  <c r="AA100" i="1"/>
  <c r="AA86" i="1"/>
  <c r="AA82" i="1"/>
  <c r="AA77" i="1"/>
  <c r="AA50" i="1"/>
  <c r="AA49" i="1"/>
  <c r="X64" i="1"/>
  <c r="AA231" i="1"/>
  <c r="AA150" i="1"/>
  <c r="AA105" i="1"/>
  <c r="AA92" i="1"/>
  <c r="AA88" i="1"/>
  <c r="AA84" i="1"/>
  <c r="AA61" i="1"/>
  <c r="AA51" i="1"/>
  <c r="AA232" i="1"/>
  <c r="X194" i="1"/>
  <c r="AA189" i="1"/>
  <c r="X182" i="1"/>
  <c r="X178" i="1"/>
  <c r="X155" i="1"/>
  <c r="AA102" i="1"/>
  <c r="AA98" i="1"/>
  <c r="AA182" i="1"/>
  <c r="AA178" i="1"/>
  <c r="W178" i="1" s="1"/>
  <c r="AA149" i="1"/>
  <c r="AA108" i="1"/>
  <c r="X149" i="1"/>
  <c r="T149" i="1"/>
  <c r="U149" i="1" s="1"/>
  <c r="S149" i="1" s="1"/>
  <c r="X193" i="1"/>
  <c r="X192" i="1"/>
  <c r="X150" i="1"/>
  <c r="AA181" i="1"/>
  <c r="W181" i="1" s="1"/>
  <c r="AA177" i="1"/>
  <c r="AA172" i="1"/>
  <c r="AA168" i="1"/>
  <c r="AA164" i="1"/>
  <c r="W164" i="1" s="1"/>
  <c r="AA226" i="1"/>
  <c r="AA222" i="1"/>
  <c r="AA218" i="1"/>
  <c r="AA152" i="1"/>
  <c r="AA130" i="1"/>
  <c r="AA138" i="1"/>
  <c r="AA134" i="1"/>
  <c r="AA71" i="1"/>
  <c r="W71" i="1" s="1"/>
  <c r="AA39" i="1"/>
  <c r="AA18" i="1"/>
  <c r="AA14" i="1"/>
  <c r="AA63" i="1"/>
  <c r="W63" i="1" s="1"/>
  <c r="X148" i="1"/>
  <c r="X139" i="1"/>
  <c r="AA112" i="1"/>
  <c r="AA96" i="1"/>
  <c r="AA80" i="1"/>
  <c r="AA73" i="1"/>
  <c r="AA67" i="1"/>
  <c r="AA64" i="1"/>
  <c r="AA59" i="1"/>
  <c r="AA52" i="1"/>
  <c r="AA41" i="1"/>
  <c r="AA35" i="1"/>
  <c r="W35" i="1" s="1"/>
  <c r="AA228" i="1"/>
  <c r="AA212" i="1"/>
  <c r="AA208" i="1"/>
  <c r="AA204" i="1"/>
  <c r="W204" i="1" s="1"/>
  <c r="AA200" i="1"/>
  <c r="AA196" i="1"/>
  <c r="AA194" i="1"/>
  <c r="AA192" i="1"/>
  <c r="W192" i="1" s="1"/>
  <c r="AA190" i="1"/>
  <c r="AA188" i="1"/>
  <c r="AA186" i="1"/>
  <c r="X174" i="1"/>
  <c r="AA171" i="1"/>
  <c r="X170" i="1"/>
  <c r="AA167" i="1"/>
  <c r="X166" i="1"/>
  <c r="AA235" i="1"/>
  <c r="X234" i="1"/>
  <c r="X224" i="1"/>
  <c r="X220" i="1"/>
  <c r="X216" i="1"/>
  <c r="AA123" i="1"/>
  <c r="AA119" i="1"/>
  <c r="AA109" i="1"/>
  <c r="AA107" i="1"/>
  <c r="AA103" i="1"/>
  <c r="AA93" i="1"/>
  <c r="AA91" i="1"/>
  <c r="AA87" i="1"/>
  <c r="AA60" i="1"/>
  <c r="AA43" i="1"/>
  <c r="AA36" i="1"/>
  <c r="W36" i="1" s="1"/>
  <c r="AA32" i="1"/>
  <c r="AI161" i="1"/>
  <c r="U161" i="1"/>
  <c r="S161" i="1" s="1"/>
  <c r="W161" i="1"/>
  <c r="X161" i="1"/>
  <c r="AC18" i="3"/>
  <c r="R8" i="3"/>
  <c r="AD24" i="3"/>
  <c r="AI63" i="1"/>
  <c r="U63" i="1"/>
  <c r="S63" i="1" s="1"/>
  <c r="X63" i="1"/>
  <c r="S13" i="3"/>
  <c r="S8" i="3"/>
  <c r="T26" i="3"/>
  <c r="AD26" i="3"/>
  <c r="AE20" i="3"/>
  <c r="AA229" i="1"/>
  <c r="X228" i="1"/>
  <c r="AA213" i="1"/>
  <c r="W213" i="1" s="1"/>
  <c r="X212" i="1"/>
  <c r="AA209" i="1"/>
  <c r="X208" i="1"/>
  <c r="AA205" i="1"/>
  <c r="W205" i="1" s="1"/>
  <c r="X204" i="1"/>
  <c r="AA201" i="1"/>
  <c r="X200" i="1"/>
  <c r="AA197" i="1"/>
  <c r="W197" i="1" s="1"/>
  <c r="T197" i="1"/>
  <c r="X195" i="1"/>
  <c r="AA193" i="1"/>
  <c r="T193" i="1"/>
  <c r="U193" i="1" s="1"/>
  <c r="S193" i="1" s="1"/>
  <c r="X191" i="1"/>
  <c r="T188" i="1"/>
  <c r="T184" i="1"/>
  <c r="AA180" i="1"/>
  <c r="W180" i="1" s="1"/>
  <c r="AA179" i="1"/>
  <c r="AA225" i="1"/>
  <c r="AA221" i="1"/>
  <c r="AA217" i="1"/>
  <c r="W217" i="1" s="1"/>
  <c r="AA139" i="1"/>
  <c r="AA117" i="1"/>
  <c r="AA115" i="1"/>
  <c r="AA101" i="1"/>
  <c r="W101" i="1" s="1"/>
  <c r="AA99" i="1"/>
  <c r="AA85" i="1"/>
  <c r="AA83" i="1"/>
  <c r="AA72" i="1"/>
  <c r="W72" i="1" s="1"/>
  <c r="AA57" i="1"/>
  <c r="AA44" i="1"/>
  <c r="AA42" i="1"/>
  <c r="AA28" i="1"/>
  <c r="AA24" i="1"/>
  <c r="AA20" i="1"/>
  <c r="AA16" i="1"/>
  <c r="AA121" i="1"/>
  <c r="W121" i="1" s="1"/>
  <c r="AA68" i="1"/>
  <c r="AA48" i="1"/>
  <c r="AA46" i="1"/>
  <c r="AA45" i="1"/>
  <c r="W45" i="1" s="1"/>
  <c r="AA33" i="1"/>
  <c r="AA29" i="1"/>
  <c r="AA25" i="1"/>
  <c r="AA21" i="1"/>
  <c r="W21" i="1" s="1"/>
  <c r="AA17" i="1"/>
  <c r="X230" i="1"/>
  <c r="AA227" i="1"/>
  <c r="AA211" i="1"/>
  <c r="X210" i="1"/>
  <c r="AA207" i="1"/>
  <c r="X206" i="1"/>
  <c r="AA203" i="1"/>
  <c r="X202" i="1"/>
  <c r="AA199" i="1"/>
  <c r="X198" i="1"/>
  <c r="AA195" i="1"/>
  <c r="AA191" i="1"/>
  <c r="AA183" i="1"/>
  <c r="AA176" i="1"/>
  <c r="AA175" i="1"/>
  <c r="W175" i="1" s="1"/>
  <c r="X226" i="1"/>
  <c r="X222" i="1"/>
  <c r="X218" i="1"/>
  <c r="AA106" i="1"/>
  <c r="W106" i="1" s="1"/>
  <c r="AA90" i="1"/>
  <c r="AA74" i="1"/>
  <c r="X59" i="1"/>
  <c r="X186" i="1"/>
  <c r="AA224" i="1"/>
  <c r="X223" i="1"/>
  <c r="AA220" i="1"/>
  <c r="AA216" i="1"/>
  <c r="W216" i="1" s="1"/>
  <c r="AA159" i="1"/>
  <c r="AA158" i="1"/>
  <c r="AA157" i="1"/>
  <c r="AA155" i="1"/>
  <c r="W155" i="1" s="1"/>
  <c r="AA148" i="1"/>
  <c r="AA140" i="1"/>
  <c r="AA137" i="1"/>
  <c r="AA136" i="1"/>
  <c r="X135" i="1"/>
  <c r="AA133" i="1"/>
  <c r="AA132" i="1"/>
  <c r="AA131" i="1"/>
  <c r="W131" i="1" s="1"/>
  <c r="AA129" i="1"/>
  <c r="AA127" i="1"/>
  <c r="AA126" i="1"/>
  <c r="AA113" i="1"/>
  <c r="W113" i="1" s="1"/>
  <c r="AA111" i="1"/>
  <c r="AA110" i="1"/>
  <c r="AA97" i="1"/>
  <c r="AA95" i="1"/>
  <c r="W95" i="1" s="1"/>
  <c r="AA94" i="1"/>
  <c r="AA81" i="1"/>
  <c r="AA79" i="1"/>
  <c r="AA78" i="1"/>
  <c r="AA56" i="1"/>
  <c r="AA54" i="1"/>
  <c r="AA53" i="1"/>
  <c r="AA40" i="1"/>
  <c r="W40" i="1" s="1"/>
  <c r="AA38" i="1"/>
  <c r="AA37" i="1"/>
  <c r="AA31" i="1"/>
  <c r="AA27" i="1"/>
  <c r="AA23" i="1"/>
  <c r="AA19" i="1"/>
  <c r="AA15" i="1"/>
  <c r="AA215" i="1"/>
  <c r="W215" i="1" s="1"/>
  <c r="AA214" i="1"/>
  <c r="AA163" i="1"/>
  <c r="AA162" i="1"/>
  <c r="X156" i="1"/>
  <c r="T155" i="1"/>
  <c r="X154" i="1"/>
  <c r="X151" i="1"/>
  <c r="T151" i="1"/>
  <c r="U151" i="1" s="1"/>
  <c r="S151" i="1" s="1"/>
  <c r="T150" i="1"/>
  <c r="X137" i="1"/>
  <c r="T137" i="1"/>
  <c r="U137" i="1" s="1"/>
  <c r="S137" i="1" s="1"/>
  <c r="X214" i="1"/>
  <c r="T158" i="1"/>
  <c r="X136" i="1"/>
  <c r="T132" i="1"/>
  <c r="U132" i="1" s="1"/>
  <c r="S132" i="1" s="1"/>
  <c r="X232" i="1"/>
  <c r="X189" i="1"/>
  <c r="X187" i="1"/>
  <c r="X185" i="1"/>
  <c r="X183" i="1"/>
  <c r="X181" i="1"/>
  <c r="X179" i="1"/>
  <c r="X177" i="1"/>
  <c r="X175" i="1"/>
  <c r="X173" i="1"/>
  <c r="X171" i="1"/>
  <c r="X169" i="1"/>
  <c r="X167" i="1"/>
  <c r="X165" i="1"/>
  <c r="X235" i="1"/>
  <c r="X233" i="1"/>
  <c r="AA154" i="1"/>
  <c r="W154" i="1" s="1"/>
  <c r="X152" i="1"/>
  <c r="T58" i="1"/>
  <c r="X58" i="1"/>
  <c r="T182" i="1"/>
  <c r="U182" i="1" s="1"/>
  <c r="T180" i="1"/>
  <c r="T178" i="1"/>
  <c r="T176" i="1"/>
  <c r="U176" i="1" s="1"/>
  <c r="S176" i="1" s="1"/>
  <c r="T174" i="1"/>
  <c r="U174" i="1" s="1"/>
  <c r="S174" i="1" s="1"/>
  <c r="T172" i="1"/>
  <c r="T170" i="1"/>
  <c r="T168" i="1"/>
  <c r="U168" i="1" s="1"/>
  <c r="S168" i="1" s="1"/>
  <c r="T166" i="1"/>
  <c r="U166" i="1" s="1"/>
  <c r="S166" i="1" s="1"/>
  <c r="T164" i="1"/>
  <c r="T234" i="1"/>
  <c r="T162" i="1"/>
  <c r="U162" i="1" s="1"/>
  <c r="S162" i="1" s="1"/>
  <c r="X159" i="1"/>
  <c r="X145" i="1"/>
  <c r="X146" i="1"/>
  <c r="X143" i="1"/>
  <c r="X144" i="1"/>
  <c r="X141" i="1"/>
  <c r="X142" i="1"/>
  <c r="X138" i="1"/>
  <c r="X133" i="1"/>
  <c r="T133" i="1"/>
  <c r="X134" i="1"/>
  <c r="X130" i="1"/>
  <c r="AA141" i="1"/>
  <c r="W141" i="1" s="1"/>
  <c r="T138" i="1"/>
  <c r="T130" i="1"/>
  <c r="AA66" i="1"/>
  <c r="W66" i="1" s="1"/>
  <c r="AA65" i="1"/>
  <c r="W65" i="1" s="1"/>
  <c r="AA62" i="1"/>
  <c r="X153" i="1"/>
  <c r="X131" i="1"/>
  <c r="AA70" i="1"/>
  <c r="W70" i="1" s="1"/>
  <c r="AA69" i="1"/>
  <c r="X62" i="1"/>
  <c r="AA58" i="1"/>
  <c r="U232" i="1"/>
  <c r="S232" i="1" s="1"/>
  <c r="AI236" i="1"/>
  <c r="U231" i="1"/>
  <c r="S231" i="1"/>
  <c r="AI235" i="1"/>
  <c r="AI234" i="1"/>
  <c r="AI233" i="1"/>
  <c r="U229" i="1"/>
  <c r="S229" i="1" s="1"/>
  <c r="AI232" i="1"/>
  <c r="AI231" i="1"/>
  <c r="U227" i="1"/>
  <c r="S227" i="1" s="1"/>
  <c r="AI230" i="1"/>
  <c r="AI229" i="1"/>
  <c r="U213" i="1"/>
  <c r="S213" i="1" s="1"/>
  <c r="AI228" i="1"/>
  <c r="AI227" i="1"/>
  <c r="U211" i="1"/>
  <c r="S211" i="1" s="1"/>
  <c r="AI226" i="1"/>
  <c r="AI225" i="1"/>
  <c r="U209" i="1"/>
  <c r="S209" i="1" s="1"/>
  <c r="AI224" i="1"/>
  <c r="AI223" i="1"/>
  <c r="U207" i="1"/>
  <c r="S207" i="1" s="1"/>
  <c r="AI222" i="1"/>
  <c r="S205" i="1"/>
  <c r="AI221" i="1"/>
  <c r="U205" i="1"/>
  <c r="AI220" i="1"/>
  <c r="AI219" i="1"/>
  <c r="U203" i="1"/>
  <c r="S203" i="1" s="1"/>
  <c r="AI218" i="1"/>
  <c r="AI217" i="1"/>
  <c r="U201" i="1"/>
  <c r="S201" i="1" s="1"/>
  <c r="AI216" i="1"/>
  <c r="AI215" i="1"/>
  <c r="U199" i="1"/>
  <c r="S199" i="1" s="1"/>
  <c r="AI214" i="1"/>
  <c r="AI213" i="1"/>
  <c r="U197" i="1"/>
  <c r="S197" i="1" s="1"/>
  <c r="AI212" i="1"/>
  <c r="U196" i="1"/>
  <c r="S196" i="1" s="1"/>
  <c r="AI211" i="1"/>
  <c r="U195" i="1"/>
  <c r="S195" i="1" s="1"/>
  <c r="AI210" i="1"/>
  <c r="U194" i="1"/>
  <c r="S194" i="1" s="1"/>
  <c r="AI209" i="1"/>
  <c r="AI208" i="1"/>
  <c r="U192" i="1"/>
  <c r="S192" i="1" s="1"/>
  <c r="AI207" i="1"/>
  <c r="U191" i="1"/>
  <c r="S191" i="1" s="1"/>
  <c r="AI206" i="1"/>
  <c r="U190" i="1"/>
  <c r="S190" i="1" s="1"/>
  <c r="U189" i="1"/>
  <c r="S189" i="1" s="1"/>
  <c r="AI205" i="1"/>
  <c r="U188" i="1"/>
  <c r="S188" i="1" s="1"/>
  <c r="AI204" i="1"/>
  <c r="U187" i="1"/>
  <c r="S187" i="1" s="1"/>
  <c r="AI203" i="1"/>
  <c r="U186" i="1"/>
  <c r="S186" i="1" s="1"/>
  <c r="AI202" i="1"/>
  <c r="U185" i="1"/>
  <c r="S185" i="1" s="1"/>
  <c r="AI201" i="1"/>
  <c r="U184" i="1"/>
  <c r="S184" i="1" s="1"/>
  <c r="AI200" i="1"/>
  <c r="U183" i="1"/>
  <c r="S183" i="1" s="1"/>
  <c r="AI199" i="1"/>
  <c r="AI198" i="1"/>
  <c r="U181" i="1"/>
  <c r="S181" i="1" s="1"/>
  <c r="AI197" i="1"/>
  <c r="U180" i="1"/>
  <c r="S180" i="1" s="1"/>
  <c r="AI196" i="1"/>
  <c r="U179" i="1"/>
  <c r="S179" i="1" s="1"/>
  <c r="AI195" i="1"/>
  <c r="U178" i="1"/>
  <c r="S178" i="1" s="1"/>
  <c r="AI194" i="1"/>
  <c r="U177" i="1"/>
  <c r="S177" i="1" s="1"/>
  <c r="AI193" i="1"/>
  <c r="AI192" i="1"/>
  <c r="U175" i="1"/>
  <c r="S175" i="1" s="1"/>
  <c r="AI191" i="1"/>
  <c r="AI190" i="1"/>
  <c r="U173" i="1"/>
  <c r="S173" i="1" s="1"/>
  <c r="AI189" i="1"/>
  <c r="U172" i="1"/>
  <c r="S172" i="1" s="1"/>
  <c r="AI188" i="1"/>
  <c r="U171" i="1"/>
  <c r="S171" i="1" s="1"/>
  <c r="AI187" i="1"/>
  <c r="U170" i="1"/>
  <c r="S170" i="1" s="1"/>
  <c r="AI186" i="1"/>
  <c r="U169" i="1"/>
  <c r="S169" i="1" s="1"/>
  <c r="AI185" i="1"/>
  <c r="AI184" i="1"/>
  <c r="U167" i="1"/>
  <c r="S167" i="1" s="1"/>
  <c r="AI183" i="1"/>
  <c r="AI182" i="1"/>
  <c r="U165" i="1"/>
  <c r="S165" i="1" s="1"/>
  <c r="AI181" i="1"/>
  <c r="U164" i="1"/>
  <c r="S164" i="1" s="1"/>
  <c r="AI180" i="1"/>
  <c r="U235" i="1"/>
  <c r="S235" i="1" s="1"/>
  <c r="AI179" i="1"/>
  <c r="U234" i="1"/>
  <c r="S234" i="1" s="1"/>
  <c r="AI178" i="1"/>
  <c r="U233" i="1"/>
  <c r="S233" i="1" s="1"/>
  <c r="AI177" i="1"/>
  <c r="AI176" i="1"/>
  <c r="AI175" i="1"/>
  <c r="AI174" i="1"/>
  <c r="AI173" i="1"/>
  <c r="AI172" i="1"/>
  <c r="U221" i="1"/>
  <c r="S221" i="1" s="1"/>
  <c r="AI171" i="1"/>
  <c r="AI170" i="1"/>
  <c r="U219" i="1"/>
  <c r="S219" i="1" s="1"/>
  <c r="AI169" i="1"/>
  <c r="AI168" i="1"/>
  <c r="U217" i="1"/>
  <c r="S217" i="1" s="1"/>
  <c r="AI167" i="1"/>
  <c r="AI166" i="1"/>
  <c r="U215" i="1"/>
  <c r="S215" i="1" s="1"/>
  <c r="AI165" i="1"/>
  <c r="AI164" i="1"/>
  <c r="U163" i="1"/>
  <c r="S163" i="1" s="1"/>
  <c r="AI163" i="1"/>
  <c r="AI162" i="1"/>
  <c r="U160" i="1"/>
  <c r="S160" i="1" s="1"/>
  <c r="AI160" i="1"/>
  <c r="AI72" i="1"/>
  <c r="AI70" i="1"/>
  <c r="AI68" i="1"/>
  <c r="AI66" i="1"/>
  <c r="U159" i="1"/>
  <c r="S159" i="1" s="1"/>
  <c r="AI159" i="1"/>
  <c r="W159" i="1"/>
  <c r="U158" i="1"/>
  <c r="S158" i="1" s="1"/>
  <c r="AI158" i="1"/>
  <c r="U157" i="1"/>
  <c r="S157" i="1" s="1"/>
  <c r="AI157" i="1"/>
  <c r="W157" i="1"/>
  <c r="U156" i="1"/>
  <c r="AI156" i="1"/>
  <c r="U155" i="1"/>
  <c r="S155" i="1" s="1"/>
  <c r="AI155" i="1"/>
  <c r="U154" i="1"/>
  <c r="S154" i="1" s="1"/>
  <c r="AI154" i="1"/>
  <c r="U153" i="1"/>
  <c r="S153" i="1" s="1"/>
  <c r="AI153" i="1"/>
  <c r="U152" i="1"/>
  <c r="S152" i="1" s="1"/>
  <c r="AI152" i="1"/>
  <c r="AI151" i="1"/>
  <c r="U150" i="1"/>
  <c r="S150" i="1" s="1"/>
  <c r="AI150" i="1"/>
  <c r="AI149" i="1"/>
  <c r="U148" i="1"/>
  <c r="S148" i="1" s="1"/>
  <c r="AI148" i="1"/>
  <c r="AI147" i="1"/>
  <c r="U146" i="1"/>
  <c r="S146" i="1" s="1"/>
  <c r="AI146" i="1"/>
  <c r="AI145" i="1"/>
  <c r="U144" i="1"/>
  <c r="S144" i="1" s="1"/>
  <c r="AI144" i="1"/>
  <c r="AI143" i="1"/>
  <c r="U142" i="1"/>
  <c r="S142" i="1" s="1"/>
  <c r="AI142" i="1"/>
  <c r="AI141" i="1"/>
  <c r="U140" i="1"/>
  <c r="S140" i="1" s="1"/>
  <c r="AI140" i="1"/>
  <c r="AI139" i="1"/>
  <c r="U138" i="1"/>
  <c r="S138" i="1" s="1"/>
  <c r="AI138" i="1"/>
  <c r="AI137" i="1"/>
  <c r="W137" i="1"/>
  <c r="U136" i="1"/>
  <c r="S136" i="1" s="1"/>
  <c r="AI136" i="1"/>
  <c r="U135" i="1"/>
  <c r="S135" i="1" s="1"/>
  <c r="AI135" i="1"/>
  <c r="W135" i="1"/>
  <c r="U134" i="1"/>
  <c r="AI134" i="1"/>
  <c r="U133" i="1"/>
  <c r="S133" i="1" s="1"/>
  <c r="AI133" i="1"/>
  <c r="AI132" i="1"/>
  <c r="U131" i="1"/>
  <c r="S131" i="1" s="1"/>
  <c r="AI131" i="1"/>
  <c r="U130" i="1"/>
  <c r="S130" i="1" s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1" i="1"/>
  <c r="AI69" i="1"/>
  <c r="AI67" i="1"/>
  <c r="W67" i="1"/>
  <c r="AI65" i="1"/>
  <c r="U64" i="1"/>
  <c r="AI64" i="1"/>
  <c r="U62" i="1"/>
  <c r="S62" i="1" s="1"/>
  <c r="AI62" i="1"/>
  <c r="U61" i="1"/>
  <c r="S61" i="1" s="1"/>
  <c r="AI61" i="1"/>
  <c r="AI60" i="1"/>
  <c r="U59" i="1"/>
  <c r="S59" i="1" s="1"/>
  <c r="AI59" i="1"/>
  <c r="U58" i="1"/>
  <c r="S58" i="1" s="1"/>
  <c r="AI58" i="1"/>
  <c r="U57" i="1"/>
  <c r="S57" i="1" s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AI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31" i="1"/>
  <c r="W232" i="1"/>
  <c r="W230" i="1"/>
  <c r="T230" i="1"/>
  <c r="U230" i="1" s="1"/>
  <c r="S230" i="1" s="1"/>
  <c r="X229" i="1"/>
  <c r="W228" i="1"/>
  <c r="T228" i="1"/>
  <c r="U228" i="1" s="1"/>
  <c r="S228" i="1" s="1"/>
  <c r="X227" i="1"/>
  <c r="W236" i="1"/>
  <c r="T236" i="1"/>
  <c r="U236" i="1" s="1"/>
  <c r="S236" i="1" s="1"/>
  <c r="X213" i="1"/>
  <c r="W212" i="1"/>
  <c r="T212" i="1"/>
  <c r="U212" i="1" s="1"/>
  <c r="S212" i="1" s="1"/>
  <c r="X211" i="1"/>
  <c r="W210" i="1"/>
  <c r="T210" i="1"/>
  <c r="U210" i="1" s="1"/>
  <c r="S210" i="1" s="1"/>
  <c r="X209" i="1"/>
  <c r="W208" i="1"/>
  <c r="T208" i="1"/>
  <c r="U208" i="1" s="1"/>
  <c r="S208" i="1" s="1"/>
  <c r="X207" i="1"/>
  <c r="W206" i="1"/>
  <c r="T206" i="1"/>
  <c r="U206" i="1" s="1"/>
  <c r="S206" i="1" s="1"/>
  <c r="X205" i="1"/>
  <c r="T204" i="1"/>
  <c r="U204" i="1" s="1"/>
  <c r="S204" i="1" s="1"/>
  <c r="X203" i="1"/>
  <c r="W202" i="1"/>
  <c r="T202" i="1"/>
  <c r="U202" i="1" s="1"/>
  <c r="S202" i="1" s="1"/>
  <c r="X201" i="1"/>
  <c r="W200" i="1"/>
  <c r="T200" i="1"/>
  <c r="U200" i="1" s="1"/>
  <c r="S200" i="1" s="1"/>
  <c r="X199" i="1"/>
  <c r="W198" i="1"/>
  <c r="T198" i="1"/>
  <c r="U198" i="1" s="1"/>
  <c r="S198" i="1" s="1"/>
  <c r="W196" i="1"/>
  <c r="W194" i="1"/>
  <c r="W190" i="1"/>
  <c r="W188" i="1"/>
  <c r="W186" i="1"/>
  <c r="W184" i="1"/>
  <c r="W182" i="1"/>
  <c r="W176" i="1"/>
  <c r="W174" i="1"/>
  <c r="W172" i="1"/>
  <c r="W170" i="1"/>
  <c r="W168" i="1"/>
  <c r="W166" i="1"/>
  <c r="W234" i="1"/>
  <c r="W226" i="1"/>
  <c r="W225" i="1"/>
  <c r="W224" i="1"/>
  <c r="W223" i="1"/>
  <c r="W158" i="1"/>
  <c r="X231" i="1"/>
  <c r="W229" i="1"/>
  <c r="W227" i="1"/>
  <c r="W211" i="1"/>
  <c r="W209" i="1"/>
  <c r="W207" i="1"/>
  <c r="W203" i="1"/>
  <c r="W201" i="1"/>
  <c r="W199" i="1"/>
  <c r="W195" i="1"/>
  <c r="W193" i="1"/>
  <c r="W191" i="1"/>
  <c r="W189" i="1"/>
  <c r="W187" i="1"/>
  <c r="W185" i="1"/>
  <c r="W183" i="1"/>
  <c r="W179" i="1"/>
  <c r="W177" i="1"/>
  <c r="W173" i="1"/>
  <c r="W171" i="1"/>
  <c r="W169" i="1"/>
  <c r="W167" i="1"/>
  <c r="W165" i="1"/>
  <c r="W235" i="1"/>
  <c r="W233" i="1"/>
  <c r="T225" i="1"/>
  <c r="U225" i="1" s="1"/>
  <c r="S225" i="1" s="1"/>
  <c r="T223" i="1"/>
  <c r="U223" i="1" s="1"/>
  <c r="S223" i="1" s="1"/>
  <c r="W222" i="1"/>
  <c r="T222" i="1"/>
  <c r="U222" i="1" s="1"/>
  <c r="S222" i="1" s="1"/>
  <c r="X221" i="1"/>
  <c r="W220" i="1"/>
  <c r="T220" i="1"/>
  <c r="U220" i="1" s="1"/>
  <c r="S220" i="1" s="1"/>
  <c r="X219" i="1"/>
  <c r="W218" i="1"/>
  <c r="T218" i="1"/>
  <c r="U218" i="1" s="1"/>
  <c r="S218" i="1" s="1"/>
  <c r="X217" i="1"/>
  <c r="T216" i="1"/>
  <c r="U216" i="1" s="1"/>
  <c r="S216" i="1" s="1"/>
  <c r="X215" i="1"/>
  <c r="W214" i="1"/>
  <c r="T214" i="1"/>
  <c r="U214" i="1" s="1"/>
  <c r="S214" i="1" s="1"/>
  <c r="X163" i="1"/>
  <c r="W162" i="1"/>
  <c r="W152" i="1"/>
  <c r="W149" i="1"/>
  <c r="W139" i="1"/>
  <c r="W138" i="1"/>
  <c r="W130" i="1"/>
  <c r="W150" i="1"/>
  <c r="W147" i="1"/>
  <c r="W145" i="1"/>
  <c r="W143" i="1"/>
  <c r="W140" i="1"/>
  <c r="W136" i="1"/>
  <c r="W133" i="1"/>
  <c r="T226" i="1"/>
  <c r="U226" i="1" s="1"/>
  <c r="S226" i="1" s="1"/>
  <c r="T224" i="1"/>
  <c r="U224" i="1" s="1"/>
  <c r="S224" i="1" s="1"/>
  <c r="W221" i="1"/>
  <c r="W219" i="1"/>
  <c r="W163" i="1"/>
  <c r="W160" i="1"/>
  <c r="W156" i="1"/>
  <c r="W153" i="1"/>
  <c r="W148" i="1"/>
  <c r="W146" i="1"/>
  <c r="W144" i="1"/>
  <c r="W142" i="1"/>
  <c r="W134" i="1"/>
  <c r="W151" i="1"/>
  <c r="W132" i="1"/>
  <c r="W126" i="1"/>
  <c r="W122" i="1"/>
  <c r="W118" i="1"/>
  <c r="W114" i="1"/>
  <c r="W110" i="1"/>
  <c r="W102" i="1"/>
  <c r="W98" i="1"/>
  <c r="W94" i="1"/>
  <c r="W90" i="1"/>
  <c r="W86" i="1"/>
  <c r="W82" i="1"/>
  <c r="W78" i="1"/>
  <c r="W74" i="1"/>
  <c r="W55" i="1"/>
  <c r="W51" i="1"/>
  <c r="T147" i="1"/>
  <c r="U147" i="1" s="1"/>
  <c r="S147" i="1" s="1"/>
  <c r="T145" i="1"/>
  <c r="U145" i="1" s="1"/>
  <c r="S145" i="1" s="1"/>
  <c r="T143" i="1"/>
  <c r="U143" i="1" s="1"/>
  <c r="W129" i="1"/>
  <c r="W125" i="1"/>
  <c r="W117" i="1"/>
  <c r="W109" i="1"/>
  <c r="W105" i="1"/>
  <c r="W97" i="1"/>
  <c r="W93" i="1"/>
  <c r="W89" i="1"/>
  <c r="W85" i="1"/>
  <c r="W81" i="1"/>
  <c r="W77" i="1"/>
  <c r="W73" i="1"/>
  <c r="T141" i="1"/>
  <c r="U141" i="1" s="1"/>
  <c r="S141" i="1" s="1"/>
  <c r="W128" i="1"/>
  <c r="W124" i="1"/>
  <c r="W120" i="1"/>
  <c r="W116" i="1"/>
  <c r="W112" i="1"/>
  <c r="W108" i="1"/>
  <c r="W104" i="1"/>
  <c r="W100" i="1"/>
  <c r="W96" i="1"/>
  <c r="W92" i="1"/>
  <c r="W88" i="1"/>
  <c r="W84" i="1"/>
  <c r="W80" i="1"/>
  <c r="W76" i="1"/>
  <c r="W69" i="1"/>
  <c r="T66" i="1"/>
  <c r="U66" i="1" s="1"/>
  <c r="S66" i="1" s="1"/>
  <c r="X66" i="1"/>
  <c r="T139" i="1"/>
  <c r="U139" i="1" s="1"/>
  <c r="S139" i="1" s="1"/>
  <c r="W127" i="1"/>
  <c r="W123" i="1"/>
  <c r="W119" i="1"/>
  <c r="W115" i="1"/>
  <c r="W111" i="1"/>
  <c r="W107" i="1"/>
  <c r="W103" i="1"/>
  <c r="W99" i="1"/>
  <c r="W91" i="1"/>
  <c r="W87" i="1"/>
  <c r="W83" i="1"/>
  <c r="W79" i="1"/>
  <c r="W75" i="1"/>
  <c r="W47" i="1"/>
  <c r="W43" i="1"/>
  <c r="W39" i="1"/>
  <c r="T72" i="1"/>
  <c r="U72" i="1" s="1"/>
  <c r="S72" i="1" s="1"/>
  <c r="X72" i="1"/>
  <c r="X73" i="1"/>
  <c r="T60" i="1"/>
  <c r="U60" i="1" s="1"/>
  <c r="S60" i="1" s="1"/>
  <c r="X60" i="1"/>
  <c r="T56" i="1"/>
  <c r="U56" i="1" s="1"/>
  <c r="S56" i="1" s="1"/>
  <c r="X56" i="1"/>
  <c r="T70" i="1"/>
  <c r="U70" i="1" s="1"/>
  <c r="S70" i="1" s="1"/>
  <c r="X70" i="1"/>
  <c r="W68" i="1"/>
  <c r="W61" i="1"/>
  <c r="W57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68" i="1"/>
  <c r="U68" i="1" s="1"/>
  <c r="S68" i="1" s="1"/>
  <c r="X68" i="1"/>
  <c r="W62" i="1"/>
  <c r="W58" i="1"/>
  <c r="W54" i="1"/>
  <c r="W50" i="1"/>
  <c r="W46" i="1"/>
  <c r="W42" i="1"/>
  <c r="W38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W64" i="1"/>
  <c r="X61" i="1"/>
  <c r="W59" i="1"/>
  <c r="X57" i="1"/>
  <c r="W53" i="1"/>
  <c r="W49" i="1"/>
  <c r="W41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W60" i="1"/>
  <c r="W56" i="1"/>
  <c r="W52" i="1"/>
  <c r="W48" i="1"/>
  <c r="W44" i="1"/>
  <c r="W33" i="1"/>
  <c r="W32" i="1"/>
  <c r="W31" i="1"/>
  <c r="W30" i="1"/>
  <c r="W29" i="1"/>
  <c r="W28" i="1"/>
  <c r="W27" i="1"/>
  <c r="W26" i="1"/>
  <c r="W25" i="1"/>
  <c r="W24" i="1"/>
  <c r="W23" i="1"/>
  <c r="W22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E22" i="3"/>
  <c r="AE19" i="3"/>
  <c r="AD23" i="3"/>
  <c r="AD16" i="3"/>
  <c r="AE15" i="3"/>
  <c r="AD22" i="3"/>
  <c r="AD19" i="3"/>
  <c r="T16" i="3"/>
  <c r="AD15" i="3"/>
  <c r="T21" i="3"/>
  <c r="AC9" i="3"/>
  <c r="AE11" i="3"/>
  <c r="AD12" i="3"/>
  <c r="AE23" i="3"/>
  <c r="AE16" i="3"/>
  <c r="AD9" i="3"/>
  <c r="AD21" i="3"/>
  <c r="AD13" i="3"/>
  <c r="AE12" i="3"/>
  <c r="AD8" i="3"/>
  <c r="T23" i="3"/>
  <c r="AE18" i="3"/>
  <c r="T15" i="3"/>
  <c r="AE14" i="3"/>
  <c r="T13" i="3"/>
  <c r="AC12" i="3"/>
  <c r="AC19" i="3"/>
  <c r="AC8" i="3"/>
  <c r="AC24" i="3"/>
  <c r="Y12" i="3"/>
  <c r="Y19" i="3"/>
  <c r="Y8" i="3"/>
  <c r="Y24" i="3"/>
  <c r="Y9" i="3"/>
  <c r="Y18" i="3"/>
  <c r="Y21" i="3"/>
  <c r="Y26" i="3"/>
  <c r="Y23" i="3"/>
  <c r="Y13" i="3"/>
  <c r="Y15" i="3"/>
  <c r="Y10" i="3"/>
  <c r="Y16" i="3"/>
  <c r="Y7" i="3"/>
  <c r="Y22" i="3"/>
  <c r="Y11" i="3"/>
  <c r="Y14" i="3"/>
  <c r="Y20" i="3"/>
  <c r="Y17" i="3"/>
  <c r="AC7" i="3"/>
  <c r="AC22" i="3"/>
  <c r="AC11" i="3"/>
  <c r="AC14" i="3"/>
  <c r="AC20" i="3"/>
  <c r="AC17" i="3"/>
  <c r="AE26" i="3"/>
  <c r="T7" i="3"/>
  <c r="AE24" i="3"/>
  <c r="T22" i="3"/>
  <c r="AE21" i="3"/>
  <c r="T11" i="3"/>
  <c r="AD18" i="3"/>
  <c r="AE17" i="3"/>
  <c r="T14" i="3"/>
  <c r="AD14" i="3"/>
  <c r="AE13" i="3"/>
  <c r="T20" i="3"/>
  <c r="AD10" i="3"/>
  <c r="AE9" i="3"/>
  <c r="T17" i="3"/>
  <c r="AE8" i="3"/>
  <c r="S25" i="3"/>
  <c r="R25" i="3"/>
  <c r="M25" i="3"/>
  <c r="U25" i="3"/>
  <c r="V25" i="3"/>
  <c r="X25" i="3"/>
  <c r="W25" i="3"/>
  <c r="AC25" i="3" l="1"/>
  <c r="AD25" i="3"/>
  <c r="AE25" i="3"/>
  <c r="Y25" i="3"/>
  <c r="T25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18" i="3" s="1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17" i="3" s="1"/>
  <c r="G46" i="4"/>
  <c r="G47" i="4"/>
  <c r="G48" i="4"/>
  <c r="G49" i="4"/>
  <c r="G50" i="4"/>
  <c r="G51" i="4"/>
  <c r="G52" i="4"/>
  <c r="G53" i="4"/>
  <c r="G54" i="4"/>
  <c r="G55" i="4"/>
  <c r="G56" i="4"/>
  <c r="G57" i="4"/>
  <c r="N10" i="3" s="1"/>
  <c r="G58" i="4"/>
  <c r="G59" i="4"/>
  <c r="G60" i="4"/>
  <c r="G61" i="4"/>
  <c r="G62" i="4"/>
  <c r="G63" i="4"/>
  <c r="G64" i="4"/>
  <c r="G65" i="4"/>
  <c r="N26" i="3" s="1"/>
  <c r="G66" i="4"/>
  <c r="G67" i="4"/>
  <c r="N9" i="3" s="1"/>
  <c r="G68" i="4"/>
  <c r="G69" i="4"/>
  <c r="G70" i="4"/>
  <c r="G71" i="4"/>
  <c r="G72" i="4"/>
  <c r="G73" i="4"/>
  <c r="G74" i="4"/>
  <c r="G75" i="4"/>
  <c r="G76" i="4"/>
  <c r="G77" i="4"/>
  <c r="N20" i="3" s="1"/>
  <c r="G78" i="4"/>
  <c r="G79" i="4"/>
  <c r="G80" i="4"/>
  <c r="G81" i="4"/>
  <c r="G82" i="4"/>
  <c r="G83" i="4"/>
  <c r="G84" i="4"/>
  <c r="G85" i="4"/>
  <c r="G86" i="4"/>
  <c r="G87" i="4"/>
  <c r="G88" i="4"/>
  <c r="N21" i="3" s="1"/>
  <c r="G89" i="4"/>
  <c r="G90" i="4"/>
  <c r="N24" i="3" s="1"/>
  <c r="G91" i="4"/>
  <c r="G92" i="4"/>
  <c r="G93" i="4"/>
  <c r="G94" i="4"/>
  <c r="G95" i="4"/>
  <c r="G96" i="4"/>
  <c r="G97" i="4"/>
  <c r="G98" i="4"/>
  <c r="N14" i="3" s="1"/>
  <c r="G99" i="4"/>
  <c r="G100" i="4"/>
  <c r="G101" i="4"/>
  <c r="G102" i="4"/>
  <c r="G103" i="4"/>
  <c r="G104" i="4"/>
  <c r="G105" i="4"/>
  <c r="G106" i="4"/>
  <c r="G107" i="4"/>
  <c r="G108" i="4"/>
  <c r="G109" i="4"/>
  <c r="N15" i="3" s="1"/>
  <c r="G110" i="4"/>
  <c r="G111" i="4"/>
  <c r="G112" i="4"/>
  <c r="G113" i="4"/>
  <c r="G114" i="4"/>
  <c r="G115" i="4"/>
  <c r="G116" i="4"/>
  <c r="G117" i="4"/>
  <c r="G118" i="4"/>
  <c r="G119" i="4"/>
  <c r="G120" i="4"/>
  <c r="G121" i="4"/>
  <c r="N16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9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22" i="3" s="1"/>
  <c r="G155" i="4"/>
  <c r="G156" i="4"/>
  <c r="G157" i="4"/>
  <c r="G158" i="4"/>
  <c r="G159" i="4"/>
  <c r="N23" i="3" s="1"/>
  <c r="G160" i="4"/>
  <c r="G161" i="4"/>
  <c r="G162" i="4"/>
  <c r="G163" i="4"/>
  <c r="G164" i="4"/>
  <c r="G165" i="4"/>
  <c r="N12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7" i="3" s="1"/>
  <c r="G195" i="4"/>
  <c r="G196" i="4"/>
  <c r="G197" i="4"/>
  <c r="G198" i="4"/>
  <c r="G199" i="4"/>
  <c r="G200" i="4"/>
  <c r="G201" i="4"/>
  <c r="N25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3" i="3" l="1"/>
  <c r="N11" i="3"/>
  <c r="N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<sst xmlns="http://schemas.openxmlformats.org/spreadsheetml/2006/main" count="2760" uniqueCount="1115">
  <si>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</si>
  <si>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</si>
  <si>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</si>
  <si>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</si>
  <si>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</si>
  <si>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</si>
  <si>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</si>
  <si>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</si>
  <si>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</si>
  <si>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</si>
  <si>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</si>
  <si>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</si>
  <si>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</si>
  <si>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</si>
  <si>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</si>
  <si>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</si>
  <si>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</si>
  <si>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</si>
  <si>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</si>
  <si>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</si>
  <si>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</si>
  <si>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</si>
  <si>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</si>
  <si>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</si>
  <si>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</si>
  <si>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</si>
  <si>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</si>
  <si>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</si>
  <si>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</si>
  <si>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</si>
  <si>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</si>
  <si>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</si>
  <si>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</si>
  <si>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</si>
  <si>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</si>
  <si>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</si>
  <si>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</si>
  <si>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</si>
  <si>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</si>
  <si>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</si>
  <si>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</si>
  <si>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</si>
  <si>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</si>
  <si>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</si>
  <si>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</si>
  <si>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</si>
  <si>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</si>
  <si>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</si>
  <si>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</si>
  <si>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</si>
  <si>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</si>
  <si>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</si>
  <si>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</si>
  <si>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</si>
  <si>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</si>
  <si>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</si>
  <si>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</si>
  <si>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</si>
  <si>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</si>
  <si>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</si>
  <si>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</si>
  <si>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</si>
  <si>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</si>
  <si>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</si>
  <si>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</si>
  <si>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</si>
  <si>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</si>
  <si>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</si>
  <si>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</si>
  <si>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</si>
  <si>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</si>
  <si>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</si>
  <si>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</si>
  <si>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</si>
  <si>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</si>
  <si>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</si>
  <si>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</si>
  <si>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</si>
  <si>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</si>
  <si>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</si>
  <si>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</si>
  <si>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</si>
  <si>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</si>
  <si>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</si>
  <si>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</si>
  <si>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</si>
  <si>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</si>
  <si>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</si>
  <si>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</si>
  <si>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</si>
  <si>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</si>
  <si>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</si>
  <si>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</si>
  <si>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</si>
  <si>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</si>
  <si>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</si>
  <si>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</si>
  <si>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</si>
  <si>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</si>
  <si>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</si>
  <si>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</si>
  <si>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</si>
  <si>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</si>
  <si>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</si>
  <si>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</si>
  <si>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</si>
  <si>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</si>
  <si>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</si>
  <si>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</si>
  <si>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</si>
  <si>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</si>
  <si>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</si>
  <si>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</si>
  <si>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</si>
  <si>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</si>
  <si>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</si>
  <si>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</si>
  <si>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</si>
  <si>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</si>
  <si>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</si>
  <si>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</si>
  <si>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</si>
  <si>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</si>
  <si>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</si>
  <si>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</si>
  <si>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</si>
  <si>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</si>
  <si>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</si>
  <si>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</si>
  <si>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</si>
  <si>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</si>
  <si>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</si>
  <si>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</si>
  <si>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</si>
  <si>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</si>
  <si>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</si>
  <si>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</si>
  <si>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</si>
  <si>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</si>
  <si>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</si>
  <si>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</si>
  <si>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</si>
  <si>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</si>
  <si>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</si>
  <si>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</si>
  <si>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</si>
  <si>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</si>
  <si>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</si>
  <si>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</si>
  <si>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</si>
  <si>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</si>
  <si>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</si>
  <si>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</si>
  <si>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</si>
  <si>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</si>
  <si>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</si>
  <si>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</si>
  <si>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</si>
  <si>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</si>
  <si>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</si>
  <si>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</si>
  <si>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</si>
  <si>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</si>
  <si>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</si>
  <si>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</si>
  <si>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</si>
  <si>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</si>
  <si>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</si>
  <si>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</si>
  <si>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</si>
  <si>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</si>
  <si>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</si>
  <si>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</si>
  <si>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</si>
  <si>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</si>
  <si>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</si>
  <si>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</si>
  <si>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</si>
  <si>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</si>
  <si>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</si>
  <si>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</si>
  <si>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</si>
  <si>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</si>
  <si>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</si>
  <si>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</si>
  <si>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</si>
  <si>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</si>
  <si>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</si>
  <si>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</si>
  <si>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</si>
  <si>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</si>
  <si>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</si>
  <si>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</si>
  <si>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</si>
  <si>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</si>
  <si>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</si>
  <si>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</si>
  <si>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</si>
  <si>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</si>
  <si>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</si>
  <si>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</si>
  <si>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</si>
  <si>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</si>
  <si>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</si>
  <si>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</si>
  <si>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</si>
  <si>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</si>
  <si>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</si>
  <si>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</si>
  <si>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</si>
  <si>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</si>
  <si>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</si>
  <si>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</si>
  <si>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</si>
  <si>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</si>
  <si>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</si>
  <si>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</si>
  <si>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</si>
  <si>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</si>
  <si>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</si>
  <si>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</si>
  <si>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</si>
  <si>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</si>
  <si>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</si>
  <si>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</si>
  <si>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</si>
  <si>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</si>
  <si>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</si>
  <si>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</si>
  <si>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</si>
  <si>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</si>
  <si>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</si>
  <si>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</si>
  <si>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</si>
  <si>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</si>
  <si>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</si>
  <si>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</si>
  <si>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</si>
  <si>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</si>
  <si>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</si>
  <si>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</si>
  <si>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</si>
  <si>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</si>
  <si>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</si>
  <si>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</si>
  <si>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</si>
  <si>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</si>
  <si>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</si>
  <si>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</si>
  <si>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</si>
  <si>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</si>
  <si>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</si>
  <si>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</si>
  <si>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</si>
  <si>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</si>
  <si>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</si>
  <si>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</si>
  <si>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</si>
  <si>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</si>
  <si>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</si>
  <si>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</si>
  <si>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</si>
  <si>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</si>
  <si>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</si>
  <si>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</si>
  <si>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</si>
  <si>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</si>
  <si>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</si>
  <si>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</si>
  <si>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</si>
  <si>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</si>
  <si>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</si>
  <si>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</si>
  <si>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</si>
  <si>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</si>
  <si>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</si>
  <si>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</si>
  <si>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</si>
  <si>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</si>
  <si>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</si>
  <si>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</si>
  <si>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</si>
  <si>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</si>
  <si>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</si>
  <si>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</si>
  <si>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</si>
  <si>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</si>
  <si>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</si>
  <si>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</si>
  <si>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</si>
  <si>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</si>
  <si>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</si>
  <si>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</si>
  <si>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</si>
  <si>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</si>
  <si>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</si>
  <si>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</si>
  <si>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</si>
  <si>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</si>
  <si>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</si>
  <si>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</si>
  <si>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</si>
  <si>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</si>
  <si>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</si>
  <si>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</si>
  <si>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</si>
  <si>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</si>
  <si>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</si>
  <si>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</si>
  <si>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</si>
  <si>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</si>
  <si>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</si>
  <si>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</si>
  <si>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</si>
  <si>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</si>
  <si>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</si>
  <si>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</si>
  <si>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</si>
  <si>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</si>
  <si>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</si>
  <si>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</si>
  <si>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</si>
  <si>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</si>
  <si>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</si>
  <si>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</si>
  <si>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</si>
  <si>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</si>
  <si>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</si>
  <si>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</si>
  <si>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</si>
  <si>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</si>
  <si>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</si>
  <si>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</si>
  <si>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</si>
  <si>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</si>
  <si>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</si>
  <si>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</si>
  <si>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</si>
  <si>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</si>
  <si>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</si>
  <si>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</si>
  <si>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</si>
  <si>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</si>
  <si>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</si>
  <si>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</si>
  <si>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</si>
  <si>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</si>
  <si>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</si>
  <si>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</si>
  <si>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</si>
  <si>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</si>
  <si>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</si>
  <si>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</si>
  <si>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</si>
  <si>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</si>
  <si>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</si>
  <si>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</si>
  <si>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</si>
  <si>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</si>
  <si>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</si>
  <si>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</si>
  <si>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</si>
  <si>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</si>
  <si>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</si>
  <si>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</si>
  <si>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</si>
  <si>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</si>
  <si>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</si>
  <si>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</si>
  <si>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</si>
  <si>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</si>
  <si>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</si>
  <si>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</si>
  <si>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</si>
  <si>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</si>
  <si>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</si>
  <si>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</si>
  <si>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</si>
  <si>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</si>
  <si>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</si>
  <si>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</si>
  <si>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</si>
  <si>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</si>
  <si>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</si>
  <si>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</si>
  <si>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</si>
  <si>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</si>
  <si>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</si>
  <si>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</si>
  <si>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</si>
  <si>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</si>
  <si>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</si>
  <si>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</si>
  <si>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</si>
  <si>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</si>
  <si>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</si>
  <si>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</si>
  <si>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</si>
  <si>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</si>
  <si>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</si>
  <si>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</si>
  <si>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</si>
  <si>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</si>
  <si>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</si>
  <si>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</si>
  <si>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</si>
  <si>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</si>
  <si>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</si>
  <si>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</si>
  <si>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</si>
  <si>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</si>
  <si>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204:212</t>
  </si>
  <si>
    <t>rtdc.l.rtdc.4056:itc</t>
  </si>
  <si>
    <t>204:508</t>
  </si>
  <si>
    <t>204:540</t>
  </si>
  <si>
    <t>rtdc.l.rtdc.4025:itc</t>
  </si>
  <si>
    <t>rtdc.l.rtdc.4026:itc</t>
  </si>
  <si>
    <t>DONTE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</si>
  <si>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</si>
  <si>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</si>
  <si>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</si>
  <si>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</si>
  <si>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</si>
  <si>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</si>
  <si>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</si>
  <si>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</si>
  <si>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</si>
  <si>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</si>
  <si>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</si>
  <si>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</si>
  <si>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</si>
  <si>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</si>
  <si>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</si>
  <si>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</si>
  <si>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</si>
  <si>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</si>
  <si>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</si>
  <si>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</si>
  <si>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</si>
  <si>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</si>
  <si>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Wi-MAX data drop</t>
  </si>
  <si>
    <t>rtdc.l.rtdc.4058:itc</t>
  </si>
  <si>
    <t>ANDERS</t>
  </si>
  <si>
    <t>STEVEN</t>
  </si>
  <si>
    <t>204:216</t>
  </si>
  <si>
    <t>204:158</t>
  </si>
  <si>
    <t>204:520</t>
  </si>
  <si>
    <t>204:517</t>
  </si>
  <si>
    <t>rtdc.l.rtdc.4031:itc</t>
  </si>
  <si>
    <t>rtdc.l.rtdc.4032:itc</t>
  </si>
  <si>
    <t>rtdc.l.rtdc.4006:itc</t>
  </si>
  <si>
    <t>311-29</t>
  </si>
  <si>
    <t>204:209</t>
  </si>
  <si>
    <t>204:519</t>
  </si>
  <si>
    <t>204:232930</t>
  </si>
  <si>
    <t>204:484</t>
  </si>
  <si>
    <t>204:233266</t>
  </si>
  <si>
    <t>204:444</t>
  </si>
  <si>
    <t>204:506</t>
  </si>
  <si>
    <t>rtdc.l.rtdc.4009:itc</t>
  </si>
  <si>
    <t>rtdc.l.rtdc.4010:itc</t>
  </si>
  <si>
    <t>rtdc.l.rtdc.4063:itc</t>
  </si>
  <si>
    <t>204:513</t>
  </si>
  <si>
    <t>204:233255</t>
  </si>
  <si>
    <t>204:232969</t>
  </si>
  <si>
    <t>204:524</t>
  </si>
  <si>
    <t>204:232966</t>
  </si>
  <si>
    <t>204:150</t>
  </si>
  <si>
    <t>204:466</t>
  </si>
  <si>
    <t>204:528</t>
  </si>
  <si>
    <t>204:471</t>
  </si>
  <si>
    <t>SWITCH UNKNOWN</t>
  </si>
  <si>
    <t>Track device (7)</t>
  </si>
  <si>
    <t>SPECTOR</t>
  </si>
  <si>
    <t>HAMMOND</t>
  </si>
  <si>
    <t>JUSTYNN</t>
  </si>
  <si>
    <t>rtdc.l.rtdc.4057:itc</t>
  </si>
  <si>
    <t>DAVIDSON</t>
  </si>
  <si>
    <t>rtdc.l.rtdc.4064:itc</t>
  </si>
  <si>
    <t>LONG</t>
  </si>
  <si>
    <t>FULLER</t>
  </si>
  <si>
    <t>LEVIN</t>
  </si>
  <si>
    <t>SCOTT</t>
  </si>
  <si>
    <t>204:229</t>
  </si>
  <si>
    <t>204:551</t>
  </si>
  <si>
    <t>204:531</t>
  </si>
  <si>
    <t>204:555</t>
  </si>
  <si>
    <t>204:450</t>
  </si>
  <si>
    <t>300:58609</t>
  </si>
  <si>
    <t>300:58619</t>
  </si>
  <si>
    <t>300:58941</t>
  </si>
  <si>
    <t>Early Arrival</t>
  </si>
  <si>
    <t>rtdc.l.rtdc.4015:itc</t>
  </si>
  <si>
    <t>rtdc.l.rtdc.4016:itc</t>
  </si>
  <si>
    <t>FORTUNATO</t>
  </si>
  <si>
    <t>FRANK</t>
  </si>
  <si>
    <t>BRUDER</t>
  </si>
  <si>
    <t>RICHARD</t>
  </si>
  <si>
    <t>ZEWDU</t>
  </si>
  <si>
    <t>DEREJE</t>
  </si>
  <si>
    <t>204:220</t>
  </si>
  <si>
    <t>204:187</t>
  </si>
  <si>
    <t>204:223</t>
  </si>
  <si>
    <t>204:232977</t>
  </si>
  <si>
    <t>204:149</t>
  </si>
  <si>
    <t>204:183</t>
  </si>
  <si>
    <t>204:232957</t>
  </si>
  <si>
    <t>204:549</t>
  </si>
  <si>
    <t>204:221</t>
  </si>
  <si>
    <t>204:233257</t>
  </si>
  <si>
    <t>204:232886</t>
  </si>
  <si>
    <t>204:533</t>
  </si>
  <si>
    <t>204:233251</t>
  </si>
  <si>
    <t>204:459</t>
  </si>
  <si>
    <t>300:58933</t>
  </si>
  <si>
    <t>204:162</t>
  </si>
  <si>
    <t>300:58632</t>
  </si>
  <si>
    <t>rtdc.l.rtdc.4041:itc</t>
  </si>
  <si>
    <t>rtdc.l.rtdc.4050:itc</t>
  </si>
  <si>
    <t>845-06</t>
  </si>
  <si>
    <t>226-06</t>
  </si>
  <si>
    <t>228-06</t>
  </si>
  <si>
    <t>236-06</t>
  </si>
  <si>
    <t>LOPES</t>
  </si>
  <si>
    <t>KIMBERLY</t>
  </si>
  <si>
    <t>rtdc.l.rtdc.4049:itc</t>
  </si>
  <si>
    <t>71-06</t>
  </si>
  <si>
    <t>LEVERE</t>
  </si>
  <si>
    <t>CRAIG</t>
  </si>
  <si>
    <t>70-06</t>
  </si>
  <si>
    <t>CUSHING</t>
  </si>
  <si>
    <t>HARRY</t>
  </si>
  <si>
    <t>MCREYNOLDS</t>
  </si>
  <si>
    <t>KYLE</t>
  </si>
  <si>
    <t>225-06</t>
  </si>
  <si>
    <t>843-06</t>
  </si>
  <si>
    <t>227-06</t>
  </si>
  <si>
    <t>224-06</t>
  </si>
  <si>
    <t>842-06</t>
  </si>
  <si>
    <t>229-06</t>
  </si>
  <si>
    <t>231-06</t>
  </si>
  <si>
    <t>844-06</t>
  </si>
  <si>
    <t>230-06</t>
  </si>
  <si>
    <t>233-06</t>
  </si>
  <si>
    <t>847-06</t>
  </si>
  <si>
    <t>235-06</t>
  </si>
  <si>
    <t>232-06</t>
  </si>
  <si>
    <t>846-06</t>
  </si>
  <si>
    <t>234-06</t>
  </si>
  <si>
    <t>237-06</t>
  </si>
  <si>
    <t>849-06</t>
  </si>
  <si>
    <t>239-06</t>
  </si>
  <si>
    <t>908-06</t>
  </si>
  <si>
    <t>238-06</t>
  </si>
  <si>
    <t>241-06</t>
  </si>
  <si>
    <t>243-06</t>
  </si>
  <si>
    <t>240-06</t>
  </si>
  <si>
    <t>313-06</t>
  </si>
  <si>
    <t>242-06</t>
  </si>
  <si>
    <t>307-06</t>
  </si>
  <si>
    <t>244-06</t>
  </si>
  <si>
    <t>309-06</t>
  </si>
  <si>
    <t>311-06</t>
  </si>
  <si>
    <t>partly-cloudy-night</t>
  </si>
  <si>
    <t>Partly Cloudy</t>
  </si>
  <si>
    <t>Mostly Cloudy</t>
  </si>
  <si>
    <t>partly-cloudy-day</t>
  </si>
  <si>
    <t>204:225</t>
  </si>
  <si>
    <t>204:233295</t>
  </si>
  <si>
    <t>204:232998</t>
  </si>
  <si>
    <t>204:442</t>
  </si>
  <si>
    <t>204:232940</t>
  </si>
  <si>
    <t>204:453</t>
  </si>
  <si>
    <t>204:203</t>
  </si>
  <si>
    <t>204:233293</t>
  </si>
  <si>
    <t>204:211</t>
  </si>
  <si>
    <t>204:232980</t>
  </si>
  <si>
    <t>204:196</t>
  </si>
  <si>
    <t>204:451</t>
  </si>
  <si>
    <t>204:462</t>
  </si>
  <si>
    <t>204:233268</t>
  </si>
  <si>
    <t>204:167</t>
  </si>
  <si>
    <t>204:258</t>
  </si>
  <si>
    <t>204:232985</t>
  </si>
  <si>
    <t>204:515</t>
  </si>
  <si>
    <t>204:147</t>
  </si>
  <si>
    <t>204:232904</t>
  </si>
  <si>
    <t>204:240</t>
  </si>
  <si>
    <t>204:232955</t>
  </si>
  <si>
    <t>204:495</t>
  </si>
  <si>
    <t>204:156</t>
  </si>
  <si>
    <t>204:480</t>
  </si>
  <si>
    <t>300:58608</t>
  </si>
  <si>
    <t>204:455</t>
  </si>
  <si>
    <t>204:437</t>
  </si>
  <si>
    <t>rtdc.l.rtdc.4024:itc</t>
  </si>
  <si>
    <t>rtdc.l.rtdc.4023:itc</t>
  </si>
  <si>
    <t>MAELZER</t>
  </si>
  <si>
    <t>KURT</t>
  </si>
  <si>
    <t>PAGE</t>
  </si>
  <si>
    <t>MARCUS</t>
  </si>
  <si>
    <t>BADERTSCHER</t>
  </si>
  <si>
    <t>DIANE</t>
  </si>
  <si>
    <t>ROBINSON</t>
  </si>
  <si>
    <t>KADDIBA</t>
  </si>
  <si>
    <t>SANTIZO</t>
  </si>
  <si>
    <t>D. EDY</t>
  </si>
  <si>
    <t>307-07</t>
  </si>
  <si>
    <t>244-07</t>
  </si>
  <si>
    <t>50-08</t>
  </si>
  <si>
    <t>precipType</t>
  </si>
  <si>
    <t>cloudy</t>
  </si>
  <si>
    <t>Overcast</t>
  </si>
  <si>
    <t>204:233305</t>
  </si>
  <si>
    <t>204:174</t>
  </si>
  <si>
    <t>204:233289</t>
  </si>
  <si>
    <t>204:467</t>
  </si>
  <si>
    <t>204:232970</t>
  </si>
  <si>
    <t>204:232986</t>
  </si>
  <si>
    <t>204:152</t>
  </si>
  <si>
    <t>204:232938</t>
  </si>
  <si>
    <t>204:218</t>
  </si>
  <si>
    <t>204:511</t>
  </si>
  <si>
    <t>204:233315</t>
  </si>
  <si>
    <t>204:233015</t>
  </si>
  <si>
    <t>204:233334</t>
  </si>
  <si>
    <t>204:509</t>
  </si>
  <si>
    <t>204:233308</t>
  </si>
  <si>
    <t>204:232975</t>
  </si>
  <si>
    <t>204:233238</t>
  </si>
  <si>
    <t>204:232905</t>
  </si>
  <si>
    <t>204:181</t>
  </si>
  <si>
    <t>204:233006</t>
  </si>
  <si>
    <t>204:489</t>
  </si>
  <si>
    <t>204:233270</t>
  </si>
  <si>
    <t>204:238</t>
  </si>
  <si>
    <t>204:537</t>
  </si>
  <si>
    <t>204:232882</t>
  </si>
  <si>
    <t>204:493</t>
  </si>
  <si>
    <t>204:535</t>
  </si>
  <si>
    <t>204:233247</t>
  </si>
  <si>
    <t>204:233209</t>
  </si>
  <si>
    <t>204:194</t>
  </si>
  <si>
    <t>204:896</t>
  </si>
  <si>
    <t>204:247</t>
  </si>
  <si>
    <t>204:491</t>
  </si>
  <si>
    <t>204:233249</t>
  </si>
  <si>
    <t>204:245</t>
  </si>
  <si>
    <t>204:233203</t>
  </si>
  <si>
    <t>204:233234</t>
  </si>
  <si>
    <t>204:234</t>
  </si>
  <si>
    <t>204:232991</t>
  </si>
  <si>
    <t>204:265</t>
  </si>
  <si>
    <t>204:553</t>
  </si>
  <si>
    <t>204:232927</t>
  </si>
  <si>
    <t>204:233217</t>
  </si>
  <si>
    <t>204:232925</t>
  </si>
  <si>
    <t>204:232936</t>
  </si>
  <si>
    <t>204:189</t>
  </si>
  <si>
    <t>204:231</t>
  </si>
  <si>
    <t>204:500</t>
  </si>
  <si>
    <t>204:562</t>
  </si>
  <si>
    <t>204:557</t>
  </si>
  <si>
    <t>204:198</t>
  </si>
  <si>
    <t>204:236</t>
  </si>
  <si>
    <t>204:227</t>
  </si>
  <si>
    <t>204:548</t>
  </si>
  <si>
    <t>300:58960</t>
  </si>
  <si>
    <t>300:58971</t>
  </si>
  <si>
    <t>300:58645</t>
  </si>
  <si>
    <t>300:58975</t>
  </si>
  <si>
    <t>204:439</t>
  </si>
  <si>
    <t>300:58662</t>
  </si>
  <si>
    <t>300:58643</t>
  </si>
  <si>
    <t>204:146</t>
  </si>
  <si>
    <t>300:58928</t>
  </si>
  <si>
    <t>300:58613</t>
  </si>
  <si>
    <t>300:58920</t>
  </si>
  <si>
    <t>Brief Wi-MAX data drop caused unhealthy banner</t>
  </si>
  <si>
    <t>308-08</t>
  </si>
  <si>
    <t>115-08</t>
  </si>
  <si>
    <t>120-08</t>
  </si>
  <si>
    <t>135-08</t>
  </si>
  <si>
    <t>rtdc.l.rtdc.4004:itc</t>
  </si>
  <si>
    <t>903-08</t>
  </si>
  <si>
    <t>134-08</t>
  </si>
  <si>
    <t>149-08</t>
  </si>
  <si>
    <t>151-08</t>
  </si>
  <si>
    <t>152-08</t>
  </si>
  <si>
    <t>817-08</t>
  </si>
  <si>
    <t>TEMPORARY SPEED RESTRICTION</t>
  </si>
  <si>
    <t>158-08</t>
  </si>
  <si>
    <t>168-08</t>
  </si>
  <si>
    <t>rtdc.l.rtdc.4020:itc</t>
  </si>
  <si>
    <t>183-08</t>
  </si>
  <si>
    <t>187-08</t>
  </si>
  <si>
    <t>825-08</t>
  </si>
  <si>
    <t>190-08</t>
  </si>
  <si>
    <t>831-08</t>
  </si>
  <si>
    <t>833-08</t>
  </si>
  <si>
    <t>835-08</t>
  </si>
  <si>
    <t>211-08</t>
  </si>
  <si>
    <t>225-08</t>
  </si>
  <si>
    <t>300-08</t>
  </si>
  <si>
    <t>101-08</t>
  </si>
  <si>
    <t>57-08</t>
  </si>
  <si>
    <t>ROCHA</t>
  </si>
  <si>
    <t>YAOTL</t>
  </si>
  <si>
    <t>302-08</t>
  </si>
  <si>
    <t>103-08</t>
  </si>
  <si>
    <t>304-08</t>
  </si>
  <si>
    <t>STARKS</t>
  </si>
  <si>
    <t>ANGELINA</t>
  </si>
  <si>
    <t>102-08</t>
  </si>
  <si>
    <t>306-08</t>
  </si>
  <si>
    <t>GEBRETEKLE</t>
  </si>
  <si>
    <t>DAGNEW</t>
  </si>
  <si>
    <t>105-08</t>
  </si>
  <si>
    <t>107-08</t>
  </si>
  <si>
    <t>104-08</t>
  </si>
  <si>
    <t>109-08</t>
  </si>
  <si>
    <t>901-08</t>
  </si>
  <si>
    <t>111-08</t>
  </si>
  <si>
    <t>rtdc.l.rtdc.4019:itc</t>
  </si>
  <si>
    <t>310-08</t>
  </si>
  <si>
    <t>BIRENBAUM</t>
  </si>
  <si>
    <t>THOMAS</t>
  </si>
  <si>
    <t>rtdc.l.rtdc.4003:itc</t>
  </si>
  <si>
    <t>800-08</t>
  </si>
  <si>
    <t>108-08</t>
  </si>
  <si>
    <t>113-08</t>
  </si>
  <si>
    <t>106-08</t>
  </si>
  <si>
    <t>312-08</t>
  </si>
  <si>
    <t>110-08</t>
  </si>
  <si>
    <t>801-08</t>
  </si>
  <si>
    <t>112-08</t>
  </si>
  <si>
    <t>117-08</t>
  </si>
  <si>
    <t>902-08</t>
  </si>
  <si>
    <t>DELGADO</t>
  </si>
  <si>
    <t>DIANAH</t>
  </si>
  <si>
    <t>114-08</t>
  </si>
  <si>
    <t>119-08</t>
  </si>
  <si>
    <t>802-08</t>
  </si>
  <si>
    <t>803-08</t>
  </si>
  <si>
    <t>121-08</t>
  </si>
  <si>
    <t>116-08</t>
  </si>
  <si>
    <t>123-08</t>
  </si>
  <si>
    <t>804-08</t>
  </si>
  <si>
    <t>805-08</t>
  </si>
  <si>
    <t>125-08</t>
  </si>
  <si>
    <t>118-08</t>
  </si>
  <si>
    <t>122-08</t>
  </si>
  <si>
    <t>127-08</t>
  </si>
  <si>
    <t>806-08</t>
  </si>
  <si>
    <t>807-08</t>
  </si>
  <si>
    <t>129-08</t>
  </si>
  <si>
    <t>126-08</t>
  </si>
  <si>
    <t>131-08</t>
  </si>
  <si>
    <t>124-08</t>
  </si>
  <si>
    <t>808-08</t>
  </si>
  <si>
    <t>809-08</t>
  </si>
  <si>
    <t>128-08</t>
  </si>
  <si>
    <t>133-08</t>
  </si>
  <si>
    <t>810-08</t>
  </si>
  <si>
    <t>811-08</t>
  </si>
  <si>
    <t>130-08</t>
  </si>
  <si>
    <t>137-08</t>
  </si>
  <si>
    <t>132-08</t>
  </si>
  <si>
    <t>139-08</t>
  </si>
  <si>
    <t>812-08</t>
  </si>
  <si>
    <t>136-08</t>
  </si>
  <si>
    <t>141-08</t>
  </si>
  <si>
    <t>143-08</t>
  </si>
  <si>
    <t>813-08</t>
  </si>
  <si>
    <t>138-08</t>
  </si>
  <si>
    <t>145-08</t>
  </si>
  <si>
    <t>142-08</t>
  </si>
  <si>
    <t>814-08</t>
  </si>
  <si>
    <t>140-08</t>
  </si>
  <si>
    <t>147-08</t>
  </si>
  <si>
    <t>144-08</t>
  </si>
  <si>
    <t>815-08</t>
  </si>
  <si>
    <t>146-08</t>
  </si>
  <si>
    <t>153-08</t>
  </si>
  <si>
    <t>150-08</t>
  </si>
  <si>
    <t>155-08</t>
  </si>
  <si>
    <t>816-08</t>
  </si>
  <si>
    <t>148-08</t>
  </si>
  <si>
    <t>157-08</t>
  </si>
  <si>
    <t>159-08</t>
  </si>
  <si>
    <t>154-08</t>
  </si>
  <si>
    <t>156-08</t>
  </si>
  <si>
    <t>161-08</t>
  </si>
  <si>
    <t>SAFIEF</t>
  </si>
  <si>
    <t>AEIMEN</t>
  </si>
  <si>
    <t>163-08</t>
  </si>
  <si>
    <t>818-08</t>
  </si>
  <si>
    <t>160-08</t>
  </si>
  <si>
    <t>165-08</t>
  </si>
  <si>
    <t>GONZALEZ</t>
  </si>
  <si>
    <t>ARMANDO</t>
  </si>
  <si>
    <t>167-08</t>
  </si>
  <si>
    <t>162-08</t>
  </si>
  <si>
    <t>819-08</t>
  </si>
  <si>
    <t>169-08</t>
  </si>
  <si>
    <t>164-08</t>
  </si>
  <si>
    <t>171-08</t>
  </si>
  <si>
    <t>820-08</t>
  </si>
  <si>
    <t>166-08</t>
  </si>
  <si>
    <t>173-08</t>
  </si>
  <si>
    <t>175-08</t>
  </si>
  <si>
    <t>821-08</t>
  </si>
  <si>
    <t>170-08</t>
  </si>
  <si>
    <t>177-08</t>
  </si>
  <si>
    <t>172-08</t>
  </si>
  <si>
    <t>822-08</t>
  </si>
  <si>
    <t>179-08</t>
  </si>
  <si>
    <t>174-08</t>
  </si>
  <si>
    <t>181-08</t>
  </si>
  <si>
    <t>STRICKLAND</t>
  </si>
  <si>
    <t>EVAN</t>
  </si>
  <si>
    <t>176-08</t>
  </si>
  <si>
    <t>823-08</t>
  </si>
  <si>
    <t>178-08</t>
  </si>
  <si>
    <t>185-08</t>
  </si>
  <si>
    <t>180-08</t>
  </si>
  <si>
    <t>182-08</t>
  </si>
  <si>
    <t>824-08</t>
  </si>
  <si>
    <t>189-08</t>
  </si>
  <si>
    <t>184-08</t>
  </si>
  <si>
    <t>191-08</t>
  </si>
  <si>
    <t>186-08</t>
  </si>
  <si>
    <t>193-08</t>
  </si>
  <si>
    <t>904-08</t>
  </si>
  <si>
    <t>195-08</t>
  </si>
  <si>
    <t>188-08</t>
  </si>
  <si>
    <t>826-08</t>
  </si>
  <si>
    <t>827-08</t>
  </si>
  <si>
    <t>197-08</t>
  </si>
  <si>
    <t>192-08</t>
  </si>
  <si>
    <t>194-08</t>
  </si>
  <si>
    <t>199-08</t>
  </si>
  <si>
    <t>829-08</t>
  </si>
  <si>
    <t>828-08</t>
  </si>
  <si>
    <t>196-08</t>
  </si>
  <si>
    <t>201-08</t>
  </si>
  <si>
    <t>HOLCOMB</t>
  </si>
  <si>
    <t>KAMDEN</t>
  </si>
  <si>
    <t>rtdc.l.rtdc.4042:itc</t>
  </si>
  <si>
    <t>75-08</t>
  </si>
  <si>
    <t>203-08</t>
  </si>
  <si>
    <t>198-08</t>
  </si>
  <si>
    <t>830-08</t>
  </si>
  <si>
    <t>205-08</t>
  </si>
  <si>
    <t>200-08</t>
  </si>
  <si>
    <t>207-08</t>
  </si>
  <si>
    <t>832-08</t>
  </si>
  <si>
    <t>202-08</t>
  </si>
  <si>
    <t>209-08</t>
  </si>
  <si>
    <t>204-08</t>
  </si>
  <si>
    <t>rtdc.l.rtdc.4034:itc</t>
  </si>
  <si>
    <t>77-08</t>
  </si>
  <si>
    <t>834-08</t>
  </si>
  <si>
    <t>206-08</t>
  </si>
  <si>
    <t>213-08</t>
  </si>
  <si>
    <t>208-08</t>
  </si>
  <si>
    <t>215-08</t>
  </si>
  <si>
    <t>210-08</t>
  </si>
  <si>
    <t>836-08</t>
  </si>
  <si>
    <t>837-08</t>
  </si>
  <si>
    <t>88-08</t>
  </si>
  <si>
    <t>217-08</t>
  </si>
  <si>
    <t>212-08</t>
  </si>
  <si>
    <t>219-08</t>
  </si>
  <si>
    <t>214-08</t>
  </si>
  <si>
    <t>838-08</t>
  </si>
  <si>
    <t>839-08</t>
  </si>
  <si>
    <t>301-08</t>
  </si>
  <si>
    <t>216-08</t>
  </si>
  <si>
    <t>221-08</t>
  </si>
  <si>
    <t>906-08</t>
  </si>
  <si>
    <t>218-08</t>
  </si>
  <si>
    <t>841-08</t>
  </si>
  <si>
    <t>220-08</t>
  </si>
  <si>
    <t>303-08</t>
  </si>
  <si>
    <t>223-08</t>
  </si>
  <si>
    <t>840-08</t>
  </si>
  <si>
    <t>222-08</t>
  </si>
  <si>
    <t>305-08</t>
  </si>
  <si>
    <t>843-08</t>
  </si>
  <si>
    <t>227-08</t>
  </si>
  <si>
    <t>224-08</t>
  </si>
  <si>
    <t>842-08</t>
  </si>
  <si>
    <t>229-08</t>
  </si>
  <si>
    <t>226-08</t>
  </si>
  <si>
    <t>845-08</t>
  </si>
  <si>
    <t>231-08</t>
  </si>
  <si>
    <t>228-08</t>
  </si>
  <si>
    <t>844-08</t>
  </si>
  <si>
    <t>233-08</t>
  </si>
  <si>
    <t>230-08</t>
  </si>
  <si>
    <t>847-08</t>
  </si>
  <si>
    <t>235-08</t>
  </si>
  <si>
    <t>232-08</t>
  </si>
  <si>
    <t>846-08</t>
  </si>
  <si>
    <t>237-08</t>
  </si>
  <si>
    <t>234-08</t>
  </si>
  <si>
    <t>849-08</t>
  </si>
  <si>
    <t>239-08</t>
  </si>
  <si>
    <t>236-08</t>
  </si>
  <si>
    <t>908-08</t>
  </si>
  <si>
    <t>238-08</t>
  </si>
  <si>
    <t>241-08</t>
  </si>
  <si>
    <t>240-08</t>
  </si>
  <si>
    <t>243-08</t>
  </si>
  <si>
    <t>245-08</t>
  </si>
  <si>
    <t>242-08</t>
  </si>
  <si>
    <t>244-08</t>
  </si>
  <si>
    <t>307-08</t>
  </si>
  <si>
    <t>309-08</t>
  </si>
  <si>
    <t>246-08</t>
  </si>
  <si>
    <t>311-08</t>
  </si>
  <si>
    <t>313-08</t>
  </si>
  <si>
    <t>rain</t>
  </si>
  <si>
    <t>204:233282</t>
  </si>
  <si>
    <t>204:165</t>
  </si>
  <si>
    <t>204:233299</t>
  </si>
  <si>
    <t>204:232988</t>
  </si>
  <si>
    <t>204:407</t>
  </si>
  <si>
    <t>204:161</t>
  </si>
  <si>
    <t>204:233321</t>
  </si>
  <si>
    <t>204:233010</t>
  </si>
  <si>
    <t>204:180</t>
  </si>
  <si>
    <t>204:447</t>
  </si>
  <si>
    <t>204:143</t>
  </si>
  <si>
    <t>204:233259</t>
  </si>
  <si>
    <t>204:232934</t>
  </si>
  <si>
    <t>204:233310</t>
  </si>
  <si>
    <t>204:232989</t>
  </si>
  <si>
    <t>204:233314</t>
  </si>
  <si>
    <t>204:233303</t>
  </si>
  <si>
    <t>204:482</t>
  </si>
  <si>
    <t>204:233019</t>
  </si>
  <si>
    <t>204:449</t>
  </si>
  <si>
    <t>204:169</t>
  </si>
  <si>
    <t>204:232982</t>
  </si>
  <si>
    <t>204:233336</t>
  </si>
  <si>
    <t>204:232973</t>
  </si>
  <si>
    <t>204:145</t>
  </si>
  <si>
    <t>204:233306</t>
  </si>
  <si>
    <t>204:526</t>
  </si>
  <si>
    <t>204:233211</t>
  </si>
  <si>
    <t>204:232890</t>
  </si>
  <si>
    <t>204:232953</t>
  </si>
  <si>
    <t>204:469</t>
  </si>
  <si>
    <t>204:233205</t>
  </si>
  <si>
    <t>204:232907</t>
  </si>
  <si>
    <t>204:192</t>
  </si>
  <si>
    <t>204:232976</t>
  </si>
  <si>
    <t>204:191</t>
  </si>
  <si>
    <t>204:139</t>
  </si>
  <si>
    <t>204:233322</t>
  </si>
  <si>
    <t>204:233072</t>
  </si>
  <si>
    <t>204:191625</t>
  </si>
  <si>
    <t>204:133643</t>
  </si>
  <si>
    <t>204:233280</t>
  </si>
  <si>
    <t>204:233272</t>
  </si>
  <si>
    <t>204:233253</t>
  </si>
  <si>
    <t>204:233340</t>
  </si>
  <si>
    <t>204:233219</t>
  </si>
  <si>
    <t>204:232887</t>
  </si>
  <si>
    <t>204:232961</t>
  </si>
  <si>
    <t>204:18747</t>
  </si>
  <si>
    <t>204:233191</t>
  </si>
  <si>
    <t>204:232883</t>
  </si>
  <si>
    <t>204:232967</t>
  </si>
  <si>
    <t>204:233195</t>
  </si>
  <si>
    <t>204:232871</t>
  </si>
  <si>
    <t>204:233242</t>
  </si>
  <si>
    <t>204:232884</t>
  </si>
  <si>
    <t>204:2575</t>
  </si>
  <si>
    <t>204:20645</t>
  </si>
  <si>
    <t>204:233304</t>
  </si>
  <si>
    <t>204:233004</t>
  </si>
  <si>
    <t>204:232965</t>
  </si>
  <si>
    <t>204:475</t>
  </si>
  <si>
    <t>204:233207</t>
  </si>
  <si>
    <t>204:232879</t>
  </si>
  <si>
    <t>204:21018</t>
  </si>
  <si>
    <t>204:232881</t>
  </si>
  <si>
    <t>204:176</t>
  </si>
  <si>
    <t>204:233202</t>
  </si>
  <si>
    <t>204:1025</t>
  </si>
  <si>
    <t>204:566</t>
  </si>
  <si>
    <t>204:233190</t>
  </si>
  <si>
    <t>204:232854</t>
  </si>
  <si>
    <t>204:502</t>
  </si>
  <si>
    <t>204:233204</t>
  </si>
  <si>
    <t>204:232875</t>
  </si>
  <si>
    <t>204:233180</t>
  </si>
  <si>
    <t>204:232863</t>
  </si>
  <si>
    <t>204:249</t>
  </si>
  <si>
    <t>204:263</t>
  </si>
  <si>
    <t>204:577</t>
  </si>
  <si>
    <t>204:559</t>
  </si>
  <si>
    <t>204:529</t>
  </si>
  <si>
    <t>204:233168</t>
  </si>
  <si>
    <t>204:232865</t>
  </si>
  <si>
    <t>204:233286</t>
  </si>
  <si>
    <t>204:546</t>
  </si>
  <si>
    <t>204:232943</t>
  </si>
  <si>
    <t>204:233261</t>
  </si>
  <si>
    <t>204:233167</t>
  </si>
  <si>
    <t>204:597</t>
  </si>
  <si>
    <t>300:19857</t>
  </si>
  <si>
    <t>300:23299</t>
  </si>
  <si>
    <t>300:19425</t>
  </si>
  <si>
    <t>204:1341</t>
  </si>
  <si>
    <t>300:23310</t>
  </si>
  <si>
    <t>300:26097</t>
  </si>
  <si>
    <t>300:23308</t>
  </si>
  <si>
    <t>300:23402</t>
  </si>
  <si>
    <t>300:23260</t>
  </si>
  <si>
    <t>204:200</t>
  </si>
  <si>
    <t>204:544</t>
  </si>
  <si>
    <t>300:23306</t>
  </si>
  <si>
    <t>300:23372</t>
  </si>
  <si>
    <t>300:23060</t>
  </si>
  <si>
    <t>300:23220</t>
  </si>
  <si>
    <t>300:23302</t>
  </si>
  <si>
    <t>204:1492</t>
  </si>
  <si>
    <t>204:1156</t>
  </si>
  <si>
    <t>300:23314</t>
  </si>
  <si>
    <t>300:58623</t>
  </si>
  <si>
    <t>204:111</t>
  </si>
  <si>
    <t>204:386</t>
  </si>
  <si>
    <t>300:58929</t>
  </si>
  <si>
    <t>300:58628</t>
  </si>
  <si>
    <t>204:100</t>
  </si>
  <si>
    <t>204:413</t>
  </si>
  <si>
    <t>300:58965</t>
  </si>
  <si>
    <t>204:128</t>
  </si>
  <si>
    <t>204:404</t>
  </si>
  <si>
    <t>300:58931</t>
  </si>
  <si>
    <t>204:126</t>
  </si>
  <si>
    <t>204:421</t>
  </si>
  <si>
    <t>204:133</t>
  </si>
  <si>
    <t>204:430</t>
  </si>
  <si>
    <t>300:58615</t>
  </si>
  <si>
    <t>204:124</t>
  </si>
  <si>
    <t>300:58658</t>
  </si>
  <si>
    <t>204:131</t>
  </si>
  <si>
    <t>204:417</t>
  </si>
  <si>
    <t>300:58944</t>
  </si>
  <si>
    <t>300:58634</t>
  </si>
  <si>
    <t>204:1622</t>
  </si>
  <si>
    <t>300:58958</t>
  </si>
  <si>
    <t>300:58638</t>
  </si>
  <si>
    <t>204:142</t>
  </si>
  <si>
    <t>300:58624</t>
  </si>
  <si>
    <t>204:412</t>
  </si>
  <si>
    <t>300:58992</t>
  </si>
  <si>
    <t>300:58672</t>
  </si>
  <si>
    <t>204:120</t>
  </si>
  <si>
    <t>204:403</t>
  </si>
  <si>
    <t>300:58952</t>
  </si>
  <si>
    <t>204:401</t>
  </si>
  <si>
    <t>300:58912</t>
  </si>
  <si>
    <t>300:58596</t>
  </si>
  <si>
    <t>204:122</t>
  </si>
  <si>
    <t>204:428</t>
  </si>
  <si>
    <t>204:102</t>
  </si>
  <si>
    <t>300:58924</t>
  </si>
  <si>
    <t>300:58594</t>
  </si>
  <si>
    <t>204:424</t>
  </si>
  <si>
    <t>300:58617</t>
  </si>
  <si>
    <t>300:58937</t>
  </si>
  <si>
    <t>204:119</t>
  </si>
  <si>
    <t>204:117</t>
  </si>
  <si>
    <t>300:58943</t>
  </si>
  <si>
    <t>204:137</t>
  </si>
  <si>
    <t>300:58625</t>
  </si>
  <si>
    <t>204:155</t>
  </si>
  <si>
    <t>204:468</t>
  </si>
  <si>
    <t>300:22301</t>
  </si>
  <si>
    <t>204:994</t>
  </si>
  <si>
    <t>300:29859</t>
  </si>
  <si>
    <t>300:23237</t>
  </si>
  <si>
    <t>300:24218</t>
  </si>
  <si>
    <t>300:23345</t>
  </si>
  <si>
    <t>300:28753</t>
  </si>
  <si>
    <t>300:58630</t>
  </si>
  <si>
    <t>300:28776</t>
  </si>
  <si>
    <t>start /low /b %USERPROFILE%\Documents\GitHub\eaglep3\Utilities\DownloadLogsFromS3.py --loco 4049 --day 2017-12-08</t>
  </si>
  <si>
    <t>start /low /b %USERPROFILE%\Documents\GitHub\eaglep3\Utilities\DownloadLogsFromS3.py --loco 4020 --day 2017-12-08</t>
  </si>
  <si>
    <t>start /low /b %USERPROFILE%\Documents\GitHub\eaglep3\Utilities\DownloadLogsFromS3.py --loco 4019 --day 2017-12-08</t>
  </si>
  <si>
    <t>start /low /b %USERPROFILE%\Documents\GitHub\eaglep3\Utilities\DownloadLogsFromS3.py --loco 4024 --day 2017-12-08</t>
  </si>
  <si>
    <t>start /low /b %USERPROFILE%\Documents\GitHub\eaglep3\Utilities\DownloadLogsFromS3.py --loco 4031 --day 2017-12-09</t>
  </si>
  <si>
    <t>start /low /b %USERPROFILE%\Documents\GitHub\eaglep3\Utilities\DownloadLogsFromS3.py --loco 4008 --day 2017-12-08</t>
  </si>
  <si>
    <t>start /low /b %USERPROFILE%\Documents\GitHub\eaglep3\Utilities\DownloadLogsFromS3.py --loco 4004 --day 2017-12-08</t>
  </si>
  <si>
    <t>start /low /b %USERPROFILE%\Documents\GitHub\eaglep3\Utilities\DownloadLogsFromS3.py --loco 4064 --day 2017-12-09</t>
  </si>
  <si>
    <t>start /low /b %USERPROFILE%\Documents\GitHub\eaglep3\Utilities\DownloadLogsFromS3.py --loco 4016 --day 2017-12-08</t>
  </si>
  <si>
    <t>start /low /b %USERPROFILE%\Documents\GitHub\eaglep3\Utilities\DownloadLogsFromS3.py --loco 4063 --day 2017-12-08</t>
  </si>
  <si>
    <t>start /low /b %USERPROFILE%\Documents\GitHub\eaglep3\Utilities\DownloadLogsFromS3.py --loco 4020 --day 2017-12-09</t>
  </si>
  <si>
    <t>start /low /b %USERPROFILE%\Documents\GitHub\eaglep3\Utilities\DownloadLogsFromS3.py --loco 4031 --day 2017-12-08</t>
  </si>
  <si>
    <t>start /low /b %USERPROFILE%\Documents\GitHub\eaglep3\Utilities\DownloadLogsFromS3.py --loco 4009 --day 2017-12-08</t>
  </si>
  <si>
    <t>start /low /b %USERPROFILE%\Documents\GitHub\eaglep3\Utilities\DownloadLogsFromS3.py --loco 4032 --day 2017-12-08</t>
  </si>
  <si>
    <t>start /low /b %USERPROFILE%\Documents\GitHub\eaglep3\Utilities\DownloadLogsFromS3.py --loco 4008 --day 2017-12-09</t>
  </si>
  <si>
    <t>Power outage @ DUS, kept Bright 4S stuck at stop</t>
  </si>
  <si>
    <t>Premature downgrade @ DUS 20N (likely UPS issue)</t>
  </si>
  <si>
    <t>Onboard in-route failure</t>
  </si>
  <si>
    <t>Restricting aspect</t>
  </si>
  <si>
    <t>Delayed by ATC issue (no issues found in PTC) (58259)</t>
  </si>
  <si>
    <t>No red fences found in Onboard/Wi-MAX logs</t>
  </si>
  <si>
    <t>Brief Wi-MAX data drop caused red fence, no enforcement/cutout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</si>
</sst>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4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0" borderId="5" xfId="0" applyNumberFormat="1" applyFill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169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0" fillId="0" borderId="0" xfId="2" applyNumberFormat="1" applyFont="1"/>
    <xf numFmtId="0" fontId="5" fillId="0" borderId="0" xfId="0" applyNumberFormat="1" applyFont="1" applyFill="1"/>
    <xf numFmtId="0" fontId="5" fillId="0" borderId="0" xfId="0" applyNumberFormat="1" applyFont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5" fillId="0" borderId="0" xfId="0" applyNumberFormat="1" applyFont="1" applyAlignment="1">
      <alignment horizontal="left"/>
    </xf>
    <xf numFmtId="0" fontId="9" fillId="0" borderId="0" xfId="0" applyNumberFormat="1" applyFont="1" applyBorder="1" applyAlignment="1">
      <alignment horizontal="left" vertical="center" wrapText="1"/>
    </xf>
    <xf numFmtId="0" fontId="9" fillId="0" borderId="0" xfId="0" applyNumberFormat="1" applyFont="1" applyFill="1" applyBorder="1" applyAlignment="1">
      <alignment horizontal="left"/>
    </xf>
    <xf numFmtId="0" fontId="9" fillId="0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37"/>
  <sheetViews>
    <sheetView tabSelected="1" zoomScaleNormal="100" workbookViewId="0">
      <selection activeCell="Y1" sqref="Y1:AD104857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4" customWidth="1"/>
    <col min="19" max="19" width="6" style="228" customWidth="1"/>
    <col min="20" max="20" width="3.85546875" style="213" customWidth="1"/>
    <col min="21" max="21" width="5" style="213" customWidth="1"/>
    <col min="22" max="22" width="5.7109375" style="239" customWidth="1"/>
    <col min="23" max="23" width="3.85546875" style="230" customWidth="1"/>
    <col min="24" max="24" width="6.5703125" style="230" customWidth="1"/>
    <col min="25" max="25" width="8.85546875" style="230" customWidth="1"/>
    <col min="26" max="26" width="7.28515625" style="230" customWidth="1"/>
    <col min="27" max="27" width="9.140625" style="230"/>
    <col min="28" max="28" width="10.7109375" style="240" hidden="1" customWidth="1"/>
    <col min="29" max="29" width="9.42578125" style="240" hidden="1" customWidth="1"/>
    <col min="30" max="30" width="7.85546875" style="213" customWidth="1"/>
    <col min="31" max="31" width="4.5703125" style="69" customWidth="1"/>
    <col min="32" max="32" width="6.28515625" style="66" customWidth="1"/>
    <col min="33" max="33" width="3.7109375" style="160" customWidth="1"/>
    <col min="34" max="34" width="5" style="72" customWidth="1"/>
    <col min="35" max="35" width="5.7109375" style="85" customWidth="1"/>
    <col min="36" max="36" width="9.85546875" customWidth="1"/>
    <col min="37" max="37" width="5" customWidth="1"/>
    <col min="38" max="38" width="4.140625" customWidth="1"/>
    <col min="39" max="39" width="9.140625" style="135"/>
    <col min="41" max="41" width="3.7109375" style="160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1"/>
      <c r="M1" s="35"/>
      <c r="N1" s="36"/>
      <c r="O1" s="2"/>
      <c r="P1" s="2"/>
      <c r="R1" s="153" t="s">
        <v>103</v>
      </c>
      <c r="S1" s="210"/>
      <c r="T1" s="211"/>
      <c r="U1" s="211"/>
      <c r="V1" s="212"/>
      <c r="W1" s="211"/>
      <c r="X1" s="213"/>
      <c r="Y1" s="230"/>
      <c r="Z1" s="230"/>
      <c r="AA1" s="230"/>
      <c r="AB1" s="240"/>
      <c r="AC1" s="240"/>
      <c r="AD1" s="213"/>
      <c r="AE1" s="1"/>
      <c r="AF1" s="1"/>
      <c r="AG1" s="171"/>
      <c r="AH1" s="47"/>
      <c r="AI1" s="1"/>
      <c r="AM1" s="135"/>
      <c r="AO1" s="160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1">
        <f>Variables!$A$2</f>
        <v>43077</v>
      </c>
      <c r="J2" s="52"/>
      <c r="K2" s="53"/>
      <c r="L2" s="162"/>
      <c r="M2" s="54" t="s">
        <v>8</v>
      </c>
      <c r="N2" s="55"/>
      <c r="O2" s="56"/>
      <c r="P2" s="2"/>
      <c r="R2" s="51">
        <f>Variables!$A$2</f>
        <v>43077</v>
      </c>
      <c r="S2" s="214"/>
      <c r="T2" s="215"/>
      <c r="U2" s="215"/>
      <c r="V2" s="216" t="s">
        <v>8</v>
      </c>
      <c r="W2" s="217"/>
      <c r="X2" s="218"/>
      <c r="Y2" s="230"/>
      <c r="Z2" s="230"/>
      <c r="AA2" s="230"/>
      <c r="AB2" s="240"/>
      <c r="AC2" s="240"/>
      <c r="AD2" s="213"/>
      <c r="AE2" s="1"/>
      <c r="AF2" s="1"/>
      <c r="AG2" s="171"/>
      <c r="AH2" s="47"/>
      <c r="AI2" s="1"/>
      <c r="AM2" s="135"/>
      <c r="AO2" s="160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57" t="s">
        <v>10</v>
      </c>
      <c r="J3" s="58"/>
      <c r="K3" s="59"/>
      <c r="L3" s="163"/>
      <c r="M3" s="37" t="s">
        <v>11</v>
      </c>
      <c r="N3" s="38" t="s">
        <v>12</v>
      </c>
      <c r="O3" s="3" t="s">
        <v>13</v>
      </c>
      <c r="P3" s="2"/>
      <c r="R3" s="155" t="s">
        <v>10</v>
      </c>
      <c r="S3" s="219"/>
      <c r="T3" s="220"/>
      <c r="U3" s="220"/>
      <c r="V3" s="221" t="s">
        <v>11</v>
      </c>
      <c r="W3" s="222" t="s">
        <v>12</v>
      </c>
      <c r="X3" s="223" t="s">
        <v>13</v>
      </c>
      <c r="Y3" s="230"/>
      <c r="Z3" s="230"/>
      <c r="AA3" s="230"/>
      <c r="AB3" s="240"/>
      <c r="AC3" s="240"/>
      <c r="AD3" s="213"/>
      <c r="AE3" s="1"/>
      <c r="AF3" s="1"/>
      <c r="AG3" s="171"/>
      <c r="AH3" s="47"/>
      <c r="AI3" s="1"/>
      <c r="AM3" s="135"/>
      <c r="AO3" s="160"/>
    </row>
    <row r="4" spans="1:91" s="20" customFormat="1" ht="15.75" thickBot="1" x14ac:dyDescent="0.3">
      <c r="A4" s="34"/>
      <c r="B4" s="36"/>
      <c r="C4" s="27"/>
      <c r="D4" s="27"/>
      <c r="E4" s="33"/>
      <c r="F4" s="153"/>
      <c r="G4" s="36"/>
      <c r="H4" s="33"/>
      <c r="I4" s="60" t="s">
        <v>14</v>
      </c>
      <c r="J4" s="48">
        <f>SUM(J5:J7)</f>
        <v>146</v>
      </c>
      <c r="K4" s="39"/>
      <c r="L4" s="164"/>
      <c r="M4" s="40" t="s">
        <v>15</v>
      </c>
      <c r="N4" s="38" t="s">
        <v>15</v>
      </c>
      <c r="O4" s="3" t="s">
        <v>15</v>
      </c>
      <c r="P4" s="2"/>
      <c r="R4" s="156" t="s">
        <v>14</v>
      </c>
      <c r="S4" s="224">
        <f>SUM(S5:S7)</f>
        <v>49</v>
      </c>
      <c r="T4" s="225"/>
      <c r="U4" s="225"/>
      <c r="V4" s="221" t="s">
        <v>15</v>
      </c>
      <c r="W4" s="222" t="s">
        <v>15</v>
      </c>
      <c r="X4" s="223" t="s">
        <v>15</v>
      </c>
      <c r="Y4" s="230"/>
      <c r="Z4" s="230"/>
      <c r="AA4" s="230"/>
      <c r="AB4" s="240"/>
      <c r="AC4" s="240"/>
      <c r="AD4" s="213"/>
      <c r="AE4" s="1"/>
      <c r="AF4" s="1"/>
      <c r="AG4" s="171"/>
      <c r="AH4" s="47"/>
      <c r="AI4" s="1"/>
      <c r="AM4" s="135"/>
      <c r="AO4" s="160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0" t="s">
        <v>17</v>
      </c>
      <c r="J5" s="48">
        <f>COUNTIFS($N$13:$N$9580,"&gt;0",$AG$13:$AG$9580,I1)</f>
        <v>142</v>
      </c>
      <c r="K5" s="39"/>
      <c r="L5" s="164"/>
      <c r="M5" s="40">
        <f>AVERAGEIFS($N$13:$N$9580,$AG$13:$AG$9580,I1)</f>
        <v>36.867370892637474</v>
      </c>
      <c r="N5" s="38">
        <f t="array" ref="N5">MIN(IF($AG$13:$AG$9580=I1,IF(ISNUMBER($N$13:$N$9580),IF($N$13:$N$9580&gt;0,$N$13:$N$9580))))</f>
        <v>33.666666668141261</v>
      </c>
      <c r="O5" s="3">
        <f t="array" ref="O5">MAX(IF($AG$13:$AG$9580=I1,IF(ISNUMBER($N$13:$N$9580),IF($N$13:$N$9580&gt;0,$N$13:$N$9580))))</f>
        <v>41.000000007916242</v>
      </c>
      <c r="P5" s="2"/>
      <c r="R5" s="156" t="s">
        <v>17</v>
      </c>
      <c r="S5" s="224">
        <f>COUNTIFS($N$13:$N$9580,"&gt;0",$AG$13:$AG$9580,R1)</f>
        <v>48</v>
      </c>
      <c r="T5" s="225"/>
      <c r="U5" s="225"/>
      <c r="V5" s="221">
        <f>AVERAGEIFS($N$13:$N$9580,$AG$13:$AG$9580,R1)</f>
        <v>14.276041667253594</v>
      </c>
      <c r="W5" s="222">
        <f t="array" ref="W5">MIN(IF($AG$13:$AG$9580=R1,IF(ISNUMBER($N$13:$N$9580),IF($N$13:$N$9580&gt;0,$N$13:$N$9580))))</f>
        <v>12.416666666977108</v>
      </c>
      <c r="X5" s="223">
        <f t="array" ref="X5">MAX(IF($AG$13:$AG$9580=R1,IF(ISNUMBER($N$13:$N$9580),IF($N$13:$N$9580&gt;0,$N$13:$N$9580))))</f>
        <v>20.700000008800998</v>
      </c>
      <c r="Y5" s="230"/>
      <c r="Z5" s="230"/>
      <c r="AA5" s="230"/>
      <c r="AB5" s="240"/>
      <c r="AC5" s="240"/>
      <c r="AD5" s="213"/>
      <c r="AE5" s="1"/>
      <c r="AF5" s="1"/>
      <c r="AG5" s="171"/>
      <c r="AH5" s="47"/>
      <c r="AI5" s="1"/>
      <c r="AM5" s="135"/>
      <c r="AO5" s="160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1" t="s">
        <v>43</v>
      </c>
      <c r="J6" s="48">
        <f>COUNT($O$13:$O$338)</f>
        <v>0</v>
      </c>
      <c r="K6" s="39"/>
      <c r="L6" s="164"/>
      <c r="M6" s="40">
        <f>IFERROR(AVERAGE($O$13:$O$338),0)</f>
        <v>0</v>
      </c>
      <c r="N6" s="38">
        <f>MIN($O$13:$O$338)</f>
        <v>0</v>
      </c>
      <c r="O6" s="3">
        <f>MAX($O$13:$O$338)</f>
        <v>0</v>
      </c>
      <c r="P6" s="2"/>
      <c r="R6" s="157" t="s">
        <v>43</v>
      </c>
      <c r="S6" s="224">
        <f>COUNT($O$13:$O$338)</f>
        <v>0</v>
      </c>
      <c r="T6" s="225"/>
      <c r="U6" s="225"/>
      <c r="V6" s="221">
        <f>IFERROR(AVERAGE($O$13:$O$338),0)</f>
        <v>0</v>
      </c>
      <c r="W6" s="222">
        <f>MIN($O$13:$O$338)</f>
        <v>0</v>
      </c>
      <c r="X6" s="223">
        <f>MAX($O$13:$O$338)</f>
        <v>0</v>
      </c>
      <c r="Y6" s="230"/>
      <c r="Z6" s="230"/>
      <c r="AA6" s="230"/>
      <c r="AB6" s="240"/>
      <c r="AC6" s="240"/>
      <c r="AD6" s="213"/>
      <c r="AE6" s="1"/>
      <c r="AF6" s="1"/>
      <c r="AG6" s="171"/>
      <c r="AH6" s="47"/>
      <c r="AI6" s="1"/>
      <c r="AM6" s="135"/>
      <c r="AO6" s="160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2" t="s">
        <v>9</v>
      </c>
      <c r="J7" s="48">
        <f>COUNTIFS($P$13:$P$9580,"&gt;0",$AG$13:$AG$9580,I1)</f>
        <v>4</v>
      </c>
      <c r="K7" s="39"/>
      <c r="L7" s="164"/>
      <c r="M7" s="38" t="s">
        <v>15</v>
      </c>
      <c r="N7" s="38" t="s">
        <v>15</v>
      </c>
      <c r="O7" s="3" t="s">
        <v>15</v>
      </c>
      <c r="P7" s="2"/>
      <c r="R7" s="158" t="s">
        <v>9</v>
      </c>
      <c r="S7" s="224">
        <f>COUNTIFS($P$13:$P$9580,"&gt;0",$AG$13:$AG$9580,R1)</f>
        <v>1</v>
      </c>
      <c r="T7" s="225"/>
      <c r="U7" s="225"/>
      <c r="V7" s="221" t="s">
        <v>15</v>
      </c>
      <c r="W7" s="222" t="s">
        <v>15</v>
      </c>
      <c r="X7" s="223" t="s">
        <v>15</v>
      </c>
      <c r="Y7" s="230"/>
      <c r="Z7" s="230"/>
      <c r="AA7" s="230"/>
      <c r="AB7" s="240"/>
      <c r="AC7" s="240"/>
      <c r="AD7" s="213"/>
      <c r="AE7" s="1"/>
      <c r="AF7" s="1"/>
      <c r="AG7" s="171"/>
      <c r="AH7" s="47"/>
      <c r="AI7" s="1"/>
      <c r="AM7" s="135"/>
      <c r="AO7" s="160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0" t="s">
        <v>16</v>
      </c>
      <c r="J8" s="48">
        <f>J5</f>
        <v>142</v>
      </c>
      <c r="K8" s="39"/>
      <c r="L8" s="164"/>
      <c r="M8" s="40">
        <f>M5</f>
        <v>36.867370892637474</v>
      </c>
      <c r="N8" s="38">
        <f>N5</f>
        <v>33.666666668141261</v>
      </c>
      <c r="O8" s="3">
        <f>O5</f>
        <v>41.000000007916242</v>
      </c>
      <c r="P8" s="2"/>
      <c r="R8" s="156" t="s">
        <v>16</v>
      </c>
      <c r="S8" s="224">
        <f>S5</f>
        <v>48</v>
      </c>
      <c r="T8" s="225"/>
      <c r="U8" s="225"/>
      <c r="V8" s="221">
        <f>V5</f>
        <v>14.276041667253594</v>
      </c>
      <c r="W8" s="222">
        <f>W5</f>
        <v>12.416666666977108</v>
      </c>
      <c r="X8" s="223">
        <f>X5</f>
        <v>20.700000008800998</v>
      </c>
      <c r="Y8" s="230"/>
      <c r="Z8" s="230"/>
      <c r="AA8" s="230"/>
      <c r="AB8" s="240"/>
      <c r="AC8" s="240"/>
      <c r="AD8" s="213"/>
      <c r="AE8" s="1"/>
      <c r="AF8" s="1"/>
      <c r="AG8" s="171"/>
      <c r="AH8" s="47"/>
      <c r="AI8" s="1"/>
      <c r="AM8" s="135"/>
      <c r="AO8" s="160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0" t="s">
        <v>19</v>
      </c>
      <c r="J9" s="117">
        <f>J8/J4</f>
        <v>0.9726027397260274</v>
      </c>
      <c r="K9" s="41"/>
      <c r="L9" s="161"/>
      <c r="M9" s="63"/>
      <c r="N9" s="36"/>
      <c r="O9" s="64"/>
      <c r="P9" s="2"/>
      <c r="R9" s="156" t="s">
        <v>19</v>
      </c>
      <c r="S9" s="210">
        <f>S8/S4</f>
        <v>0.97959183673469385</v>
      </c>
      <c r="T9" s="211"/>
      <c r="U9" s="211"/>
      <c r="V9" s="226"/>
      <c r="W9" s="211"/>
      <c r="X9" s="227"/>
      <c r="Y9" s="230"/>
      <c r="Z9" s="230"/>
      <c r="AA9" s="230"/>
      <c r="AB9" s="240"/>
      <c r="AC9" s="240"/>
      <c r="AD9" s="213"/>
      <c r="AE9" s="1"/>
      <c r="AF9" s="1"/>
      <c r="AG9" s="171"/>
      <c r="AH9" s="47"/>
      <c r="AI9" s="1"/>
      <c r="AM9" s="135"/>
      <c r="AO9" s="160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1"/>
      <c r="M10" s="35"/>
      <c r="N10" s="36"/>
      <c r="O10" s="2"/>
      <c r="P10" s="2"/>
      <c r="R10" s="154"/>
      <c r="S10" s="228"/>
      <c r="T10" s="213"/>
      <c r="U10" s="213"/>
      <c r="V10" s="229"/>
      <c r="W10" s="230"/>
      <c r="X10" s="230"/>
      <c r="Y10" s="230"/>
      <c r="Z10" s="230"/>
      <c r="AA10" s="230"/>
      <c r="AB10" s="240"/>
      <c r="AC10" s="240"/>
      <c r="AD10" s="213"/>
      <c r="AE10" s="1"/>
      <c r="AF10" s="1"/>
      <c r="AG10" s="171"/>
      <c r="AH10" s="47"/>
      <c r="AI10" s="1"/>
      <c r="AM10" s="135"/>
      <c r="AO10" s="160"/>
    </row>
    <row r="11" spans="1:91" ht="16.5" thickBot="1" x14ac:dyDescent="0.3">
      <c r="A11" s="208" t="str">
        <f>"Eagle P3 System Performance - "&amp;TEXT(Variables!A2,"yyyy-mm-dd")</f>
        <v>Eagle P3 System Performance - 2017-12-08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28">
        <f>AVERAGE(S13:S139)</f>
        <v>0.99193548387096775</v>
      </c>
      <c r="V11" s="229"/>
      <c r="AE11" s="1"/>
      <c r="AF11" s="1"/>
      <c r="AG11" s="17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5" t="s">
        <v>54</v>
      </c>
      <c r="L12" s="17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9" t="s">
        <v>24</v>
      </c>
      <c r="S12" s="231" t="s">
        <v>63</v>
      </c>
      <c r="T12" s="232" t="s">
        <v>64</v>
      </c>
      <c r="U12" s="232" t="s">
        <v>65</v>
      </c>
      <c r="V12" s="233" t="s">
        <v>45</v>
      </c>
      <c r="W12" s="234" t="s">
        <v>23</v>
      </c>
      <c r="X12" s="234" t="s">
        <v>48</v>
      </c>
      <c r="Y12" s="234" t="s">
        <v>20</v>
      </c>
      <c r="Z12" s="234" t="s">
        <v>21</v>
      </c>
      <c r="AA12" s="234" t="s">
        <v>22</v>
      </c>
      <c r="AB12" s="241" t="s">
        <v>39</v>
      </c>
      <c r="AC12" s="241" t="s">
        <v>40</v>
      </c>
      <c r="AD12" s="234" t="s">
        <v>82</v>
      </c>
      <c r="AE12" s="70" t="s">
        <v>89</v>
      </c>
      <c r="AF12" s="67" t="s">
        <v>93</v>
      </c>
      <c r="AG12" s="168" t="s">
        <v>104</v>
      </c>
      <c r="AH12" s="73" t="s">
        <v>106</v>
      </c>
      <c r="AI12" s="89" t="s">
        <v>141</v>
      </c>
      <c r="AJ12" s="46" t="s">
        <v>142</v>
      </c>
      <c r="AK12" s="46" t="s">
        <v>115</v>
      </c>
      <c r="AL12" s="46" t="s">
        <v>143</v>
      </c>
      <c r="AM12" s="136" t="s">
        <v>186</v>
      </c>
      <c r="AN12" s="46" t="s">
        <v>328</v>
      </c>
      <c r="AO12" s="168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704</v>
      </c>
      <c r="B13" s="7">
        <v>4010</v>
      </c>
      <c r="C13" s="21" t="s">
        <v>191</v>
      </c>
      <c r="D13" s="21" t="s">
        <v>579</v>
      </c>
      <c r="E13" s="13">
        <v>43077.128576388888</v>
      </c>
      <c r="F13" s="13">
        <v>43077.135671296295</v>
      </c>
      <c r="G13" s="7">
        <v>61</v>
      </c>
      <c r="H13" s="21" t="s">
        <v>924</v>
      </c>
      <c r="I13" s="13">
        <v>43077.159155092595</v>
      </c>
      <c r="J13" s="7">
        <v>0</v>
      </c>
      <c r="K13" s="83" t="str">
        <f t="shared" ref="K13:K76" si="0">IF(ISEVEN(B13),(B13-1)&amp;"/"&amp;B13,B13&amp;"/"&amp;(B13+1))</f>
        <v>4009/4010</v>
      </c>
      <c r="L13" s="174" t="str">
        <f>VLOOKUP(A13,'Trips&amp;Operators'!$C$1:$G$99911,5,FALSE)</f>
        <v>YORK EDGAR</v>
      </c>
      <c r="M13" s="6">
        <f t="shared" ref="M13:M76" si="1">I13-F13</f>
        <v>2.3483796299842652E-2</v>
      </c>
      <c r="N13" s="7">
        <f t="shared" ref="N13:N44" si="2">24*60*SUM($M13:$M13)</f>
        <v>33.816666671773419</v>
      </c>
      <c r="O13" s="7"/>
      <c r="P13" s="190"/>
      <c r="Q13" s="22"/>
      <c r="R13" s="205"/>
      <c r="S13" s="235">
        <f t="shared" ref="S13:S44" si="3">1/IF(AG13="EC",12,1)*SUM(U13:U13)</f>
        <v>1</v>
      </c>
      <c r="T13" s="236" t="str">
        <f t="shared" ref="T13:T76" si="4">IF(ISEVEN(LEFT(AD13,4)),"Southbound","NorthBound")</f>
        <v>NorthBound</v>
      </c>
      <c r="U13" s="23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3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-08T02:05:09-0700',mode:absolute,to:'2017-12-08T04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38" t="str">
        <f>IF(AA13&lt;VLOOKUP(AG13,Variables!$AC$3:$AD$8,2,FALSE),"Y","N")</f>
        <v>N</v>
      </c>
      <c r="X13" s="238" t="e">
        <f t="shared" ref="X13:X76" si="6">VALUE(LEFT(AD13,4))-VALUE(LEFT(AD12,4))</f>
        <v>#VALUE!</v>
      </c>
      <c r="Y13" s="238">
        <f t="shared" ref="Y13:Y44" si="7">RIGHT(D13,LEN(D13)-4)/10000</f>
        <v>4.6199999999999998E-2</v>
      </c>
      <c r="Z13" s="238">
        <f t="shared" ref="Z13:Z44" si="8">RIGHT(H13,LEN(H13)-4)/10000</f>
        <v>23.328199999999999</v>
      </c>
      <c r="AA13" s="238">
        <f t="shared" ref="AA13:AA76" si="9">ABS(Z13-Y13)</f>
        <v>23.282</v>
      </c>
      <c r="AB13" s="242" t="e">
        <f>VLOOKUP(A13,Enforcements!$C$7:$K$9,8,0)</f>
        <v>#N/A</v>
      </c>
      <c r="AC13" s="242" t="e">
        <f>VLOOKUP(A13,Enforcements!$C$7:$E$9,3,0)</f>
        <v>#N/A</v>
      </c>
      <c r="AD13" s="243">
        <f t="shared" ref="AD13:AD76" si="10">VALUE(LEFT(A13,LEN(A13)-3))</f>
        <v>101</v>
      </c>
      <c r="AE13" s="71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3" s="68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/stypes="app*4010*20171208*" /stext=" 10:.+((SYSTEM_STATE.+slice.+state.+changed )|(ment ac)|(multiple cpu faults)|(system.+state.+changed )|(\[timeout)|(PRM\|1\|D)|(kpr)|(kdp)|(train st.+moving)|(\|lc)|(penalty))"</v>
      </c>
      <c r="AG13" s="171" t="str">
        <f t="shared" ref="AG13:AG76" si="13">DetSubdiv(A13)</f>
        <v>EC</v>
      </c>
      <c r="AH13" s="7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4010 --swversion DE.1.0.9.0 --startMP 204:462 --initTime 2017-12-08T03:05:09 --startdatetime 2017-12-08T03:15:22 --delay 61 --endMP 204:233282 --enddatetime 2017-12-08T03:49:11 --enforcementcount 0 &gt;&gt;%USERPROFILE%\Documents\GitHub\eaglep3-reporting\EC\2017-12-08-refined-times.txt</v>
      </c>
      <c r="AI13" s="9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{"issue":{"subject":"","project_id":79,"tracker_id":40,"status_id":1,"priority_id":2,"assigned_to_id":338,"start_date":"2017-12-08","description":"","custom_fields":[{"id":1,"name":"Subdivision","value":"EC"},{"id":4,"name":"Milepost","value":"23.3282"},{"id":17,"name":"Train ID","value":"101-08"},{"id":16,"name":"Locomotive ID","value":"4010"},{"id":130,"name":"Impact","value":""},{"id":150,"name":"Time of Event (Mountain Time)","value":"03:49:11"},{"id":151,"name":"Denver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35" t="str">
        <f t="shared" ref="AM13" si="16">"start /low /b "&amp;dls3logs&amp;" --loco "&amp;B13&amp;" --day "&amp;TEXT(F13,"YYYY-MM-DD")</f>
        <v>start /low /b %USERPROFILE%\Documents\GitHub\eaglep3\Utilities\DownloadLogsFromS3.py --loco 4010 --day 2017-12-08</v>
      </c>
      <c r="AN13" s="14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0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-08T02:05:09-0700',mode:absolute,to:'2017-12-08T04:49:11-0700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194" t="s">
        <v>713</v>
      </c>
      <c r="B14" s="190">
        <v>4009</v>
      </c>
      <c r="C14" s="192" t="s">
        <v>191</v>
      </c>
      <c r="D14" s="192" t="s">
        <v>628</v>
      </c>
      <c r="E14" s="191">
        <v>43077.160208333335</v>
      </c>
      <c r="F14" s="191">
        <v>43077.175497685188</v>
      </c>
      <c r="G14" s="190">
        <v>49</v>
      </c>
      <c r="H14" s="192" t="s">
        <v>925</v>
      </c>
      <c r="I14" s="191">
        <v>43077.200972222221</v>
      </c>
      <c r="J14" s="190">
        <v>0</v>
      </c>
      <c r="K14" s="200" t="str">
        <f t="shared" si="0"/>
        <v>4009/4010</v>
      </c>
      <c r="L14" s="207" t="str">
        <f>VLOOKUP(A14,'Trips&amp;Operators'!$C$1:$G$99911,5,FALSE)</f>
        <v>YORK EDGAR</v>
      </c>
      <c r="M14" s="189">
        <f t="shared" si="1"/>
        <v>2.5474537033005618E-2</v>
      </c>
      <c r="N14" s="190">
        <f t="shared" si="2"/>
        <v>36.683333327528089</v>
      </c>
      <c r="O14" s="190"/>
      <c r="P14" s="190"/>
      <c r="Q14" s="193"/>
      <c r="R14" s="205"/>
      <c r="S14" s="235">
        <f t="shared" si="3"/>
        <v>1</v>
      </c>
      <c r="T14" s="236" t="str">
        <f t="shared" si="4"/>
        <v>Southbound</v>
      </c>
      <c r="U14" s="23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37" t="str">
        <f t="shared" si="5"/>
        <v>https://d0f6bd738d7f1b3e5a7ca70fe4ff75f0.us-east-1.aws.found.io/app/kibana#/discover/Steve-Slow-Train-Analysis-(2080s-and-2083s)?_g=(refreshInterval:(display:Off,pause:!f,section:0,value:0),time:(from:'2017-12-08T02:50:42-0700',mode:absolute,to:'2017-12-08T05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38" t="str">
        <f>IF(AA14&lt;VLOOKUP(AG14,Variables!$AC$3:$AD$8,2,FALSE),"Y","N")</f>
        <v>N</v>
      </c>
      <c r="X14" s="238">
        <f t="shared" si="6"/>
        <v>1</v>
      </c>
      <c r="Y14" s="238">
        <f t="shared" si="7"/>
        <v>23.297499999999999</v>
      </c>
      <c r="Z14" s="238">
        <f t="shared" si="8"/>
        <v>1.6500000000000001E-2</v>
      </c>
      <c r="AA14" s="238">
        <f t="shared" si="9"/>
        <v>23.280999999999999</v>
      </c>
      <c r="AB14" s="242" t="e">
        <f>VLOOKUP(A14,Enforcements!$C$7:$K$9,8,0)</f>
        <v>#N/A</v>
      </c>
      <c r="AC14" s="242" t="e">
        <f>VLOOKUP(A14,Enforcements!$C$7:$E$9,3,0)</f>
        <v>#N/A</v>
      </c>
      <c r="AD14" s="243">
        <f t="shared" si="10"/>
        <v>102</v>
      </c>
      <c r="AE14" s="198" t="str">
        <f t="shared" si="11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4" s="197" t="str">
        <f t="shared" si="12"/>
        <v>"C:\Program Files (x86)\AstroGrep\AstroGrep.exe" /e /r /s /spath="%USERPROFILE%\AppData\Local\Temp\OnboardLogs" /stypes="app*4009*20171208*" /stext=" 11:.+((SYSTEM_STATE.+slice.+state.+changed )|(ment ac)|(multiple cpu faults)|(system.+state.+changed )|(\[timeout)|(PRM\|1\|D)|(kpr)|(kdp)|(train st.+moving)|(\|lc)|(penalty))"</v>
      </c>
      <c r="AG14" s="206" t="str">
        <f t="shared" si="13"/>
        <v>EC</v>
      </c>
      <c r="AH14" s="199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4009 --swversion DE.1.0.9.0 --startMP 204:232975 --initTime 2017-12-08T03:50:42 --startdatetime 2017-12-08T04:12:43 --delay 49 --endMP 204:165 --enddatetime 2017-12-08T04:49:24 --enforcementcount 0 &gt;&gt;%USERPROFILE%\Documents\GitHub\eaglep3-reporting\EC\2017-12-08-refined-times.txt</v>
      </c>
      <c r="AI14" s="201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{"issue":{"subject":"","project_id":79,"tracker_id":40,"status_id":1,"priority_id":2,"assigned_to_id":338,"start_date":"2017-12-08","description":"","custom_fields":[{"id":1,"name":"Subdivision","value":"EC"},{"id":4,"name":"Milepost","value":"0.0165"},{"id":17,"name":"Train ID","value":"102-08"},{"id":16,"name":"Locomotive ID","value":"4009"},{"id":130,"name":"Impact","value":""},{"id":150,"name":"Time of Event (Mountain Time)","value":"04:49:24"},{"id":151,"name":"Denver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8"/>
      <c r="AK14" s="196"/>
      <c r="AL14" s="196"/>
      <c r="AM14" s="203" t="str">
        <f t="shared" ref="AM14:AM78" si="21">"start /low /b "&amp;dls3logs&amp;" --loco "&amp;B14&amp;" --day "&amp;TEXT(F14,"YYYY-MM-DD")</f>
        <v>start /low /b %USERPROFILE%\Documents\GitHub\eaglep3\Utilities\DownloadLogsFromS3.py --loco 4009 --day 2017-12-08</v>
      </c>
      <c r="AN14" s="204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95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-08T02:50:42-0700',mode:absolute,to:'2017-12-08T05:49:24-0700'))&amp;_a=(columns:!('Message%20ID',Summary),filters:!(),index:'emp_*',interval:auto,query:(query_string:(analyze_wildcard:!t,query:'%22rtdc.l.rtdc.4009%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194" t="s">
        <v>709</v>
      </c>
      <c r="B15" s="190">
        <v>4032</v>
      </c>
      <c r="C15" s="192" t="s">
        <v>191</v>
      </c>
      <c r="D15" s="192" t="s">
        <v>633</v>
      </c>
      <c r="E15" s="191">
        <v>43077.149039351854</v>
      </c>
      <c r="F15" s="191">
        <v>43077.156481481485</v>
      </c>
      <c r="G15" s="190">
        <v>57</v>
      </c>
      <c r="H15" s="192" t="s">
        <v>926</v>
      </c>
      <c r="I15" s="191">
        <v>43077.180937500001</v>
      </c>
      <c r="J15" s="190">
        <v>0</v>
      </c>
      <c r="K15" s="200" t="str">
        <f t="shared" si="0"/>
        <v>4031/4032</v>
      </c>
      <c r="L15" s="207" t="str">
        <f>VLOOKUP(A15,'Trips&amp;Operators'!$C$1:$G$99911,5,FALSE)</f>
        <v>MAELZER KURT</v>
      </c>
      <c r="M15" s="189">
        <f t="shared" si="1"/>
        <v>2.4456018516502809E-2</v>
      </c>
      <c r="N15" s="190">
        <f t="shared" si="2"/>
        <v>35.216666663764045</v>
      </c>
      <c r="O15" s="190"/>
      <c r="P15" s="190"/>
      <c r="Q15" s="193"/>
      <c r="R15" s="205"/>
      <c r="S15" s="235">
        <f t="shared" si="3"/>
        <v>1</v>
      </c>
      <c r="T15" s="236" t="str">
        <f t="shared" si="4"/>
        <v>NorthBound</v>
      </c>
      <c r="U15" s="23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37" t="str">
        <f t="shared" si="5"/>
        <v>https://d0f6bd738d7f1b3e5a7ca70fe4ff75f0.us-east-1.aws.found.io/app/kibana#/discover/Steve-Slow-Train-Analysis-(2080s-and-2083s)?_g=(refreshInterval:(display:Off,pause:!f,section:0,value:0),time:(from:'2017-12-08T02:34:37-0700',mode:absolute,to:'2017-12-08T05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238" t="str">
        <f>IF(AA15&lt;VLOOKUP(AG15,Variables!$AC$3:$AD$8,2,FALSE),"Y","N")</f>
        <v>N</v>
      </c>
      <c r="X15" s="238">
        <f t="shared" si="6"/>
        <v>1</v>
      </c>
      <c r="Y15" s="238">
        <f t="shared" si="7"/>
        <v>4.8899999999999999E-2</v>
      </c>
      <c r="Z15" s="238">
        <f t="shared" si="8"/>
        <v>23.329899999999999</v>
      </c>
      <c r="AA15" s="238">
        <f t="shared" si="9"/>
        <v>23.280999999999999</v>
      </c>
      <c r="AB15" s="242" t="e">
        <f>VLOOKUP(A15,Enforcements!$C$7:$K$9,8,0)</f>
        <v>#N/A</v>
      </c>
      <c r="AC15" s="242" t="e">
        <f>VLOOKUP(A15,Enforcements!$C$7:$E$9,3,0)</f>
        <v>#N/A</v>
      </c>
      <c r="AD15" s="243">
        <f t="shared" si="10"/>
        <v>103</v>
      </c>
      <c r="AE15" s="198" t="str">
        <f t="shared" si="11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5" s="197" t="str">
        <f t="shared" si="12"/>
        <v>"C:\Program Files (x86)\AstroGrep\AstroGrep.exe" /e /r /s /spath="%USERPROFILE%\AppData\Local\Temp\OnboardLogs" /stypes="app*4032*20171208*" /stext=" 11:.+((SYSTEM_STATE.+slice.+state.+changed )|(ment ac)|(multiple cpu faults)|(system.+state.+changed )|(\[timeout)|(PRM\|1\|D)|(kpr)|(kdp)|(train st.+moving)|(\|lc)|(penalty))"</v>
      </c>
      <c r="AG15" s="206" t="str">
        <f t="shared" si="13"/>
        <v>EC</v>
      </c>
      <c r="AH15" s="199" t="str">
        <f t="shared" si="19"/>
        <v>"%USERPROFILE%\Documents\GitHub\eaglep3\Utilities\RefineRTDCRunTimes.py" --tripid 103-08 --locoid 4032 --swversion DE.1.0.9.0 --startMP 204:489 --initTime 2017-12-08T03:34:37 --startdatetime 2017-12-08T03:45:20 --delay 57 --endMP 204:233299 --enddatetime 2017-12-08T04:20:33 --enforcementcount 0 &gt;&gt;%USERPROFILE%\Documents\GitHub\eaglep3-reporting\EC\2017-12-08-refined-times.txt</v>
      </c>
      <c r="AI1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{"issue":{"subject":"","project_id":79,"tracker_id":40,"status_id":1,"priority_id":2,"assigned_to_id":338,"start_date":"2017-12-08","description":"","custom_fields":[{"id":1,"name":"Subdivision","value":"EC"},{"id":4,"name":"Milepost","value":"23.3299"},{"id":17,"name":"Train ID","value":"103-08"},{"id":16,"name":"Locomotive ID","value":"4032"},{"id":130,"name":"Impact","value":""},{"id":150,"name":"Time of Event (Mountain Time)","value":"04:20:33"},{"id":151,"name":"Denver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8"/>
      <c r="AK15" s="196"/>
      <c r="AL15" s="196"/>
      <c r="AM15" s="203" t="str">
        <f t="shared" si="21"/>
        <v>start /low /b %USERPROFILE%\Documents\GitHub\eaglep3\Utilities\DownloadLogsFromS3.py --loco 4032 --day 2017-12-08</v>
      </c>
      <c r="AN1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11:20:33"},{"id":29,"name":"Sharepoint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95" t="str">
        <f t="shared" si="23"/>
        <v>https://d0f6bd738d7f1b3e5a7ca70fe4ff75f0.us-east-1.aws.found.io/app/kibana#/discover/Steve-Slow-Train-Analysis-(2080s-and-2083s)?_g=(refreshInterval:(display:Off,pause:!f,section:0,value:0),time:(from:'2017-12-08T02:34:37-0700',mode:absolute,to:'2017-12-08T05:20:33-0700'))&amp;_a=(columns:!('Message%20ID',Summary),filters:!(),index:'emp_*',interval:auto,query:(query_string:(analyze_wildcard:!t,query:'%22rtdc.l.rtdc.4032%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194" t="s">
        <v>719</v>
      </c>
      <c r="B16" s="190">
        <v>4031</v>
      </c>
      <c r="C16" s="192" t="s">
        <v>191</v>
      </c>
      <c r="D16" s="192" t="s">
        <v>927</v>
      </c>
      <c r="E16" s="191">
        <v>43077.18582175926</v>
      </c>
      <c r="F16" s="191">
        <v>43077.196018518516</v>
      </c>
      <c r="G16" s="190">
        <v>47</v>
      </c>
      <c r="H16" s="192" t="s">
        <v>505</v>
      </c>
      <c r="I16" s="191">
        <v>43077.222500000003</v>
      </c>
      <c r="J16" s="190">
        <v>0</v>
      </c>
      <c r="K16" s="200" t="str">
        <f t="shared" si="0"/>
        <v>4031/4032</v>
      </c>
      <c r="L16" s="207" t="str">
        <f>VLOOKUP(A16,'Trips&amp;Operators'!$C$1:$G$99911,5,FALSE)</f>
        <v>MAELZER KURT</v>
      </c>
      <c r="M16" s="189">
        <f t="shared" si="1"/>
        <v>2.6481481487280689E-2</v>
      </c>
      <c r="N16" s="190">
        <f t="shared" si="2"/>
        <v>38.133333341684192</v>
      </c>
      <c r="O16" s="190"/>
      <c r="P16" s="190"/>
      <c r="Q16" s="193"/>
      <c r="R16" s="205"/>
      <c r="S16" s="235">
        <f t="shared" si="3"/>
        <v>1</v>
      </c>
      <c r="T16" s="236" t="str">
        <f t="shared" si="4"/>
        <v>Southbound</v>
      </c>
      <c r="U16" s="23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37" t="str">
        <f t="shared" si="5"/>
        <v>https://d0f6bd738d7f1b3e5a7ca70fe4ff75f0.us-east-1.aws.found.io/app/kibana#/discover/Steve-Slow-Train-Analysis-(2080s-and-2083s)?_g=(refreshInterval:(display:Off,pause:!f,section:0,value:0),time:(from:'2017-12-08T03:27:35-0700',mode:absolute,to:'2017-12-08T06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238" t="str">
        <f>IF(AA16&lt;VLOOKUP(AG16,Variables!$AC$3:$AD$8,2,FALSE),"Y","N")</f>
        <v>N</v>
      </c>
      <c r="X16" s="238">
        <f t="shared" si="6"/>
        <v>1</v>
      </c>
      <c r="Y16" s="238">
        <f t="shared" si="7"/>
        <v>23.2988</v>
      </c>
      <c r="Z16" s="238">
        <f t="shared" si="8"/>
        <v>1.83E-2</v>
      </c>
      <c r="AA16" s="238">
        <f t="shared" si="9"/>
        <v>23.2805</v>
      </c>
      <c r="AB16" s="242" t="e">
        <f>VLOOKUP(A16,Enforcements!$C$7:$K$9,8,0)</f>
        <v>#N/A</v>
      </c>
      <c r="AC16" s="242" t="e">
        <f>VLOOKUP(A16,Enforcements!$C$7:$E$9,3,0)</f>
        <v>#N/A</v>
      </c>
      <c r="AD16" s="243">
        <f t="shared" si="10"/>
        <v>104</v>
      </c>
      <c r="AE16" s="198" t="str">
        <f t="shared" si="11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6" s="197" t="str">
        <f t="shared" si="12"/>
        <v>"C:\Program Files (x86)\AstroGrep\AstroGrep.exe" /e /r /s /spath="%USERPROFILE%\AppData\Local\Temp\OnboardLogs" /stypes="app*4031*20171208*" /stext=" 12:.+((SYSTEM_STATE.+slice.+state.+changed )|(ment ac)|(multiple cpu faults)|(system.+state.+changed )|(\[timeout)|(PRM\|1\|D)|(kpr)|(kdp)|(train st.+moving)|(\|lc)|(penalty))"</v>
      </c>
      <c r="AG16" s="206" t="str">
        <f t="shared" si="13"/>
        <v>EC</v>
      </c>
      <c r="AH16" s="199" t="str">
        <f t="shared" si="19"/>
        <v>"%USERPROFILE%\Documents\GitHub\eaglep3\Utilities\RefineRTDCRunTimes.py" --tripid 104-08 --locoid 4031 --swversion DE.1.0.9.0 --startMP 204:232988 --initTime 2017-12-08T04:27:35 --startdatetime 2017-12-08T04:42:16 --delay 47 --endMP 204:183 --enddatetime 2017-12-08T05:20:24 --enforcementcount 0 &gt;&gt;%USERPROFILE%\Documents\GitHub\eaglep3-reporting\EC\2017-12-08-refined-times.txt</v>
      </c>
      <c r="AI1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{"issue":{"subject":"","project_id":79,"tracker_id":40,"status_id":1,"priority_id":2,"assigned_to_id":338,"start_date":"2017-12-08","description":"","custom_fields":[{"id":1,"name":"Subdivision","value":"EC"},{"id":4,"name":"Milepost","value":"0.0183"},{"id":17,"name":"Train ID","value":"104-08"},{"id":16,"name":"Locomotive ID","value":"4031"},{"id":130,"name":"Impact","value":""},{"id":150,"name":"Time of Event (Mountain Time)","value":"05:20:24"},{"id":151,"name":"Denver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8"/>
      <c r="AK16" s="196"/>
      <c r="AL16" s="196"/>
      <c r="AM16" s="203" t="str">
        <f t="shared" si="21"/>
        <v>start /low /b %USERPROFILE%\Documents\GitHub\eaglep3\Utilities\DownloadLogsFromS3.py --loco 4031 --day 2017-12-08</v>
      </c>
      <c r="AN1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95" t="str">
        <f t="shared" si="23"/>
        <v>https://d0f6bd738d7f1b3e5a7ca70fe4ff75f0.us-east-1.aws.found.io/app/kibana#/discover/Steve-Slow-Train-Analysis-(2080s-and-2083s)?_g=(refreshInterval:(display:Off,pause:!f,section:0,value:0),time:(from:'2017-12-08T03:27:35-0700',mode:absolute,to:'2017-12-08T06:20:24-0700'))&amp;_a=(columns:!('Message%20ID',Summary),filters:!(),index:'emp_*',interval:auto,query:(query_string:(analyze_wildcard:!t,query:'%22rtdc.l.rtdc.4031%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194" t="s">
        <v>717</v>
      </c>
      <c r="B17" s="190">
        <v>4064</v>
      </c>
      <c r="C17" s="192" t="s">
        <v>191</v>
      </c>
      <c r="D17" s="192" t="s">
        <v>928</v>
      </c>
      <c r="E17" s="191">
        <v>43077.1719212963</v>
      </c>
      <c r="F17" s="191">
        <v>43077.17728009259</v>
      </c>
      <c r="G17" s="190">
        <v>93</v>
      </c>
      <c r="H17" s="192" t="s">
        <v>568</v>
      </c>
      <c r="I17" s="191">
        <v>43077.202222222222</v>
      </c>
      <c r="J17" s="190">
        <v>0</v>
      </c>
      <c r="K17" s="200" t="str">
        <f t="shared" si="0"/>
        <v>4063/4064</v>
      </c>
      <c r="L17" s="207" t="str">
        <f>VLOOKUP(A17,'Trips&amp;Operators'!$C$1:$G$99911,5,FALSE)</f>
        <v>STARKS ANGELINA</v>
      </c>
      <c r="M17" s="189">
        <f t="shared" si="1"/>
        <v>2.4942129632108845E-2</v>
      </c>
      <c r="N17" s="190">
        <f t="shared" si="2"/>
        <v>35.916666670236737</v>
      </c>
      <c r="O17" s="190"/>
      <c r="P17" s="190"/>
      <c r="Q17" s="193"/>
      <c r="R17" s="205"/>
      <c r="S17" s="235">
        <f t="shared" si="3"/>
        <v>1</v>
      </c>
      <c r="T17" s="236" t="str">
        <f t="shared" si="4"/>
        <v>NorthBound</v>
      </c>
      <c r="U17" s="23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37" t="str">
        <f t="shared" si="5"/>
        <v>https://d0f6bd738d7f1b3e5a7ca70fe4ff75f0.us-east-1.aws.found.io/app/kibana#/discover/Steve-Slow-Train-Analysis-(2080s-and-2083s)?_g=(refreshInterval:(display:Off,pause:!f,section:0,value:0),time:(from:'2017-12-08T03:07:34-0700',mode:absolute,to:'2017-12-08T05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238" t="str">
        <f>IF(AA17&lt;VLOOKUP(AG17,Variables!$AC$3:$AD$8,2,FALSE),"Y","N")</f>
        <v>N</v>
      </c>
      <c r="X17" s="238">
        <f t="shared" si="6"/>
        <v>1</v>
      </c>
      <c r="Y17" s="238">
        <f t="shared" si="7"/>
        <v>4.07E-2</v>
      </c>
      <c r="Z17" s="238">
        <f t="shared" si="8"/>
        <v>23.329499999999999</v>
      </c>
      <c r="AA17" s="238">
        <f t="shared" si="9"/>
        <v>23.288799999999998</v>
      </c>
      <c r="AB17" s="242" t="e">
        <f>VLOOKUP(A17,Enforcements!$C$7:$K$9,8,0)</f>
        <v>#N/A</v>
      </c>
      <c r="AC17" s="242" t="e">
        <f>VLOOKUP(A17,Enforcements!$C$7:$E$9,3,0)</f>
        <v>#N/A</v>
      </c>
      <c r="AD17" s="243">
        <f t="shared" si="10"/>
        <v>105</v>
      </c>
      <c r="AE17" s="198" t="str">
        <f t="shared" si="11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7" s="197" t="str">
        <f t="shared" si="12"/>
        <v>"C:\Program Files (x86)\AstroGrep\AstroGrep.exe" /e /r /s /spath="%USERPROFILE%\AppData\Local\Temp\OnboardLogs" /stypes="app*4064*20171208*" /stext=" 11:.+((SYSTEM_STATE.+slice.+state.+changed )|(ment ac)|(multiple cpu faults)|(system.+state.+changed )|(\[timeout)|(PRM\|1\|D)|(kpr)|(kdp)|(train st.+moving)|(\|lc)|(penalty))"</v>
      </c>
      <c r="AG17" s="206" t="str">
        <f t="shared" si="13"/>
        <v>EC</v>
      </c>
      <c r="AH17" s="199" t="str">
        <f t="shared" si="19"/>
        <v>"%USERPROFILE%\Documents\GitHub\eaglep3\Utilities\RefineRTDCRunTimes.py" --tripid 105-08 --locoid 4064 --swversion DE.1.0.9.0 --startMP 204:407 --initTime 2017-12-08T04:07:34 --startdatetime 2017-12-08T04:15:17 --delay 93 --endMP 204:233295 --enddatetime 2017-12-08T04:51:12 --enforcementcount 0 &gt;&gt;%USERPROFILE%\Documents\GitHub\eaglep3-reporting\EC\2017-12-08-refined-times.txt</v>
      </c>
      <c r="AI1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{"issue":{"subject":"","project_id":79,"tracker_id":40,"status_id":1,"priority_id":2,"assigned_to_id":338,"start_date":"2017-12-08","description":"","custom_fields":[{"id":1,"name":"Subdivision","value":"EC"},{"id":4,"name":"Milepost","value":"23.3295"},{"id":17,"name":"Train ID","value":"105-08"},{"id":16,"name":"Locomotive ID","value":"4064"},{"id":130,"name":"Impact","value":""},{"id":150,"name":"Time of Event (Mountain Time)","value":"04:51:12"},{"id":151,"name":"Denver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8"/>
      <c r="AK17" s="196"/>
      <c r="AL17" s="196"/>
      <c r="AM17" s="203" t="str">
        <f t="shared" si="21"/>
        <v>start /low /b %USERPROFILE%\Documents\GitHub\eaglep3\Utilities\DownloadLogsFromS3.py --loco 4064 --day 2017-12-08</v>
      </c>
      <c r="AN1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95" t="str">
        <f t="shared" si="23"/>
        <v>https://d0f6bd738d7f1b3e5a7ca70fe4ff75f0.us-east-1.aws.found.io/app/kibana#/discover/Steve-Slow-Train-Analysis-(2080s-and-2083s)?_g=(refreshInterval:(display:Off,pause:!f,section:0,value:0),time:(from:'2017-12-08T03:07:34-0700',mode:absolute,to:'2017-12-08T05:51:12-0700'))&amp;_a=(columns:!('Message%20ID',Summary),filters:!(),index:'emp_*',interval:auto,query:(query_string:(analyze_wildcard:!t,query:'%22rtdc.l.rtdc.4064%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194" t="s">
        <v>731</v>
      </c>
      <c r="B18" s="190">
        <v>4063</v>
      </c>
      <c r="C18" s="192" t="s">
        <v>191</v>
      </c>
      <c r="D18" s="192" t="s">
        <v>464</v>
      </c>
      <c r="E18" s="191">
        <v>43077.215057870373</v>
      </c>
      <c r="F18" s="191">
        <v>43077.216979166667</v>
      </c>
      <c r="G18" s="190">
        <v>60</v>
      </c>
      <c r="H18" s="192" t="s">
        <v>929</v>
      </c>
      <c r="I18" s="191">
        <v>43077.244710648149</v>
      </c>
      <c r="J18" s="190">
        <v>0</v>
      </c>
      <c r="K18" s="200" t="str">
        <f t="shared" si="0"/>
        <v>4063/4064</v>
      </c>
      <c r="L18" s="207" t="str">
        <f>VLOOKUP(A18,'Trips&amp;Operators'!$C$1:$G$99911,5,FALSE)</f>
        <v>STARKS ANGELINA</v>
      </c>
      <c r="M18" s="189">
        <f t="shared" si="1"/>
        <v>2.7731481481168885E-2</v>
      </c>
      <c r="N18" s="190">
        <f t="shared" si="2"/>
        <v>39.933333332883194</v>
      </c>
      <c r="O18" s="190"/>
      <c r="P18" s="190"/>
      <c r="Q18" s="193"/>
      <c r="R18" s="205"/>
      <c r="S18" s="235">
        <f t="shared" si="3"/>
        <v>1</v>
      </c>
      <c r="T18" s="236" t="str">
        <f t="shared" si="4"/>
        <v>Southbound</v>
      </c>
      <c r="U18" s="23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37" t="str">
        <f t="shared" si="5"/>
        <v>https://d0f6bd738d7f1b3e5a7ca70fe4ff75f0.us-east-1.aws.found.io/app/kibana#/discover/Steve-Slow-Train-Analysis-(2080s-and-2083s)?_g=(refreshInterval:(display:Off,pause:!f,section:0,value:0),time:(from:'2017-12-08T04:09:41-0700',mode:absolute,to:'2017-12-08T06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238" t="str">
        <f>IF(AA18&lt;VLOOKUP(AG18,Variables!$AC$3:$AD$8,2,FALSE),"Y","N")</f>
        <v>N</v>
      </c>
      <c r="X18" s="238">
        <f t="shared" si="6"/>
        <v>1</v>
      </c>
      <c r="Y18" s="238">
        <f t="shared" si="7"/>
        <v>23.296900000000001</v>
      </c>
      <c r="Z18" s="238">
        <f t="shared" si="8"/>
        <v>1.61E-2</v>
      </c>
      <c r="AA18" s="238">
        <f t="shared" si="9"/>
        <v>23.280799999999999</v>
      </c>
      <c r="AB18" s="242" t="e">
        <f>VLOOKUP(A18,Enforcements!$C$7:$K$9,8,0)</f>
        <v>#N/A</v>
      </c>
      <c r="AC18" s="242" t="e">
        <f>VLOOKUP(A18,Enforcements!$C$7:$E$9,3,0)</f>
        <v>#N/A</v>
      </c>
      <c r="AD18" s="243">
        <f t="shared" si="10"/>
        <v>106</v>
      </c>
      <c r="AE18" s="198" t="str">
        <f t="shared" si="11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8" s="197" t="str">
        <f t="shared" si="12"/>
        <v>"C:\Program Files (x86)\AstroGrep\AstroGrep.exe" /e /r /s /spath="%USERPROFILE%\AppData\Local\Temp\OnboardLogs" /stypes="app*4063*20171208*" /stext=" 12:.+((SYSTEM_STATE.+slice.+state.+changed )|(ment ac)|(multiple cpu faults)|(system.+state.+changed )|(\[timeout)|(PRM\|1\|D)|(kpr)|(kdp)|(train st.+moving)|(\|lc)|(penalty))"</v>
      </c>
      <c r="AG18" s="206" t="str">
        <f t="shared" si="13"/>
        <v>EC</v>
      </c>
      <c r="AH18" s="199" t="str">
        <f t="shared" si="19"/>
        <v>"%USERPROFILE%\Documents\GitHub\eaglep3\Utilities\RefineRTDCRunTimes.py" --tripid 106-08 --locoid 4063 --swversion DE.1.0.9.0 --startMP 204:232969 --initTime 2017-12-08T05:09:41 --startdatetime 2017-12-08T05:12:27 --delay 60 --endMP 204:161 --enddatetime 2017-12-08T05:52:23 --enforcementcount 0 &gt;&gt;%USERPROFILE%\Documents\GitHub\eaglep3-reporting\EC\2017-12-08-refined-times.txt</v>
      </c>
      <c r="AI1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{"issue":{"subject":"","project_id":79,"tracker_id":40,"status_id":1,"priority_id":2,"assigned_to_id":338,"start_date":"2017-12-08","description":"","custom_fields":[{"id":1,"name":"Subdivision","value":"EC"},{"id":4,"name":"Milepost","value":"0.0161"},{"id":17,"name":"Train ID","value":"106-08"},{"id":16,"name":"Locomotive ID","value":"4063"},{"id":130,"name":"Impact","value":""},{"id":150,"name":"Time of Event (Mountain Time)","value":"05:52:23"},{"id":151,"name":"Denver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8"/>
      <c r="AK18" s="196"/>
      <c r="AL18" s="196"/>
      <c r="AM18" s="203" t="str">
        <f t="shared" si="21"/>
        <v>start /low /b %USERPROFILE%\Documents\GitHub\eaglep3\Utilities\DownloadLogsFromS3.py --loco 4063 --day 2017-12-08</v>
      </c>
      <c r="AN1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95" t="str">
        <f t="shared" si="23"/>
        <v>https://d0f6bd738d7f1b3e5a7ca70fe4ff75f0.us-east-1.aws.found.io/app/kibana#/discover/Steve-Slow-Train-Analysis-(2080s-and-2083s)?_g=(refreshInterval:(display:Off,pause:!f,section:0,value:0),time:(from:'2017-12-08T04:09:41-0700',mode:absolute,to:'2017-12-08T06:52:23-0700'))&amp;_a=(columns:!('Message%20ID',Summary),filters:!(),index:'emp_*',interval:auto,query:(query_string:(analyze_wildcard:!t,query:'%22rtdc.l.rtdc.4063%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194" t="s">
        <v>718</v>
      </c>
      <c r="B19" s="190">
        <v>4024</v>
      </c>
      <c r="C19" s="192" t="s">
        <v>191</v>
      </c>
      <c r="D19" s="192" t="s">
        <v>593</v>
      </c>
      <c r="E19" s="191">
        <v>43077.185312499998</v>
      </c>
      <c r="F19" s="191">
        <v>43077.187777777777</v>
      </c>
      <c r="G19" s="190">
        <v>73</v>
      </c>
      <c r="H19" s="192" t="s">
        <v>930</v>
      </c>
      <c r="I19" s="191">
        <v>43077.212233796294</v>
      </c>
      <c r="J19" s="190">
        <v>0</v>
      </c>
      <c r="K19" s="200" t="str">
        <f t="shared" si="0"/>
        <v>4023/4024</v>
      </c>
      <c r="L19" s="207" t="str">
        <f>VLOOKUP(A19,'Trips&amp;Operators'!$C$1:$G$99911,5,FALSE)</f>
        <v>GEBRETEKLE DAGNEW</v>
      </c>
      <c r="M19" s="189">
        <f t="shared" si="1"/>
        <v>2.4456018516502809E-2</v>
      </c>
      <c r="N19" s="190">
        <f t="shared" si="2"/>
        <v>35.216666663764045</v>
      </c>
      <c r="O19" s="190"/>
      <c r="P19" s="190"/>
      <c r="Q19" s="193"/>
      <c r="R19" s="205"/>
      <c r="S19" s="235">
        <f t="shared" si="3"/>
        <v>1</v>
      </c>
      <c r="T19" s="236" t="str">
        <f t="shared" si="4"/>
        <v>NorthBound</v>
      </c>
      <c r="U19" s="23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37" t="str">
        <f t="shared" si="5"/>
        <v>https://d0f6bd738d7f1b3e5a7ca70fe4ff75f0.us-east-1.aws.found.io/app/kibana#/discover/Steve-Slow-Train-Analysis-(2080s-and-2083s)?_g=(refreshInterval:(display:Off,pause:!f,section:0,value:0),time:(from:'2017-12-08T03:26:51-0700',mode:absolute,to:'2017-12-08T06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38" t="str">
        <f>IF(AA19&lt;VLOOKUP(AG19,Variables!$AC$3:$AD$8,2,FALSE),"Y","N")</f>
        <v>N</v>
      </c>
      <c r="X19" s="238">
        <f t="shared" si="6"/>
        <v>1</v>
      </c>
      <c r="Y19" s="238">
        <f t="shared" si="7"/>
        <v>4.5499999999999999E-2</v>
      </c>
      <c r="Z19" s="238">
        <f t="shared" si="8"/>
        <v>23.332100000000001</v>
      </c>
      <c r="AA19" s="238">
        <f t="shared" si="9"/>
        <v>23.2866</v>
      </c>
      <c r="AB19" s="242" t="e">
        <f>VLOOKUP(A19,Enforcements!$C$7:$K$9,8,0)</f>
        <v>#N/A</v>
      </c>
      <c r="AC19" s="242" t="e">
        <f>VLOOKUP(A19,Enforcements!$C$7:$E$9,3,0)</f>
        <v>#N/A</v>
      </c>
      <c r="AD19" s="243">
        <f t="shared" si="10"/>
        <v>107</v>
      </c>
      <c r="AE19" s="198" t="str">
        <f t="shared" si="11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9" s="197" t="str">
        <f t="shared" si="12"/>
        <v>"C:\Program Files (x86)\AstroGrep\AstroGrep.exe" /e /r /s /spath="%USERPROFILE%\AppData\Local\Temp\OnboardLogs" /stypes="app*4024*20171208*" /stext=" 12:.+((SYSTEM_STATE.+slice.+state.+changed )|(ment ac)|(multiple cpu faults)|(system.+state.+changed )|(\[timeout)|(PRM\|1\|D)|(kpr)|(kdp)|(train st.+moving)|(\|lc)|(penalty))"</v>
      </c>
      <c r="AG19" s="206" t="str">
        <f t="shared" si="13"/>
        <v>EC</v>
      </c>
      <c r="AH19" s="199" t="str">
        <f t="shared" si="19"/>
        <v>"%USERPROFILE%\Documents\GitHub\eaglep3\Utilities\RefineRTDCRunTimes.py" --tripid 107-08 --locoid 4024 --swversion DE.1.0.9.0 --startMP 204:455 --initTime 2017-12-08T04:26:51 --startdatetime 2017-12-08T04:30:24 --delay 73 --endMP 204:233321 --enddatetime 2017-12-08T05:05:37 --enforcementcount 0 &gt;&gt;%USERPROFILE%\Documents\GitHub\eaglep3-reporting\EC\2017-12-08-refined-times.txt</v>
      </c>
      <c r="AI1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{"issue":{"subject":"","project_id":79,"tracker_id":40,"status_id":1,"priority_id":2,"assigned_to_id":338,"start_date":"2017-12-08","description":"","custom_fields":[{"id":1,"name":"Subdivision","value":"EC"},{"id":4,"name":"Milepost","value":"23.3321"},{"id":17,"name":"Train ID","value":"107-08"},{"id":16,"name":"Locomotive ID","value":"4024"},{"id":130,"name":"Impact","value":""},{"id":150,"name":"Time of Event (Mountain Time)","value":"05:05:37"},{"id":151,"name":"Denver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8"/>
      <c r="AK19" s="196"/>
      <c r="AL19" s="196"/>
      <c r="AM19" s="203" t="str">
        <f t="shared" si="21"/>
        <v>start /low /b %USERPROFILE%\Documents\GitHub\eaglep3\Utilities\DownloadLogsFromS3.py --loco 4024 --day 2017-12-08</v>
      </c>
      <c r="AN1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95" t="str">
        <f t="shared" si="23"/>
        <v>https://d0f6bd738d7f1b3e5a7ca70fe4ff75f0.us-east-1.aws.found.io/app/kibana#/discover/Steve-Slow-Train-Analysis-(2080s-and-2083s)?_g=(refreshInterval:(display:Off,pause:!f,section:0,value:0),time:(from:'2017-12-08T03:26:51-0700',mode:absolute,to:'2017-12-08T06:05:37-0700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194" t="s">
        <v>729</v>
      </c>
      <c r="B20" s="190">
        <v>4023</v>
      </c>
      <c r="C20" s="192" t="s">
        <v>191</v>
      </c>
      <c r="D20" s="192" t="s">
        <v>931</v>
      </c>
      <c r="E20" s="191">
        <v>43077.213750000003</v>
      </c>
      <c r="F20" s="191">
        <v>43077.227326388886</v>
      </c>
      <c r="G20" s="190">
        <v>52</v>
      </c>
      <c r="H20" s="192" t="s">
        <v>501</v>
      </c>
      <c r="I20" s="191">
        <v>43077.253020833334</v>
      </c>
      <c r="J20" s="190">
        <v>0</v>
      </c>
      <c r="K20" s="200" t="str">
        <f t="shared" si="0"/>
        <v>4023/4024</v>
      </c>
      <c r="L20" s="207" t="str">
        <f>VLOOKUP(A20,'Trips&amp;Operators'!$C$1:$G$99911,5,FALSE)</f>
        <v>GEBRETEKLE DAGNEW</v>
      </c>
      <c r="M20" s="189">
        <f t="shared" si="1"/>
        <v>2.5694444448163267E-2</v>
      </c>
      <c r="N20" s="190">
        <f t="shared" si="2"/>
        <v>37.000000005355105</v>
      </c>
      <c r="O20" s="190"/>
      <c r="P20" s="190"/>
      <c r="Q20" s="193"/>
      <c r="R20" s="205"/>
      <c r="S20" s="235">
        <f t="shared" si="3"/>
        <v>1</v>
      </c>
      <c r="T20" s="236" t="str">
        <f t="shared" si="4"/>
        <v>Southbound</v>
      </c>
      <c r="U20" s="23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37" t="str">
        <f t="shared" si="5"/>
        <v>https://d0f6bd738d7f1b3e5a7ca70fe4ff75f0.us-east-1.aws.found.io/app/kibana#/discover/Steve-Slow-Train-Analysis-(2080s-and-2083s)?_g=(refreshInterval:(display:Off,pause:!f,section:0,value:0),time:(from:'2017-12-08T04:07:48-0700',mode:absolute,to:'2017-12-08T07:04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38" t="str">
        <f>IF(AA20&lt;VLOOKUP(AG20,Variables!$AC$3:$AD$8,2,FALSE),"Y","N")</f>
        <v>N</v>
      </c>
      <c r="X20" s="238">
        <f t="shared" si="6"/>
        <v>1</v>
      </c>
      <c r="Y20" s="238">
        <f t="shared" si="7"/>
        <v>23.300999999999998</v>
      </c>
      <c r="Z20" s="238">
        <f t="shared" si="8"/>
        <v>1.8700000000000001E-2</v>
      </c>
      <c r="AA20" s="238">
        <f t="shared" si="9"/>
        <v>23.282299999999999</v>
      </c>
      <c r="AB20" s="242" t="e">
        <f>VLOOKUP(A20,Enforcements!$C$7:$K$9,8,0)</f>
        <v>#N/A</v>
      </c>
      <c r="AC20" s="242" t="e">
        <f>VLOOKUP(A20,Enforcements!$C$7:$E$9,3,0)</f>
        <v>#N/A</v>
      </c>
      <c r="AD20" s="243">
        <f t="shared" si="10"/>
        <v>108</v>
      </c>
      <c r="AE20" s="198" t="str">
        <f t="shared" si="11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20" s="197" t="str">
        <f t="shared" si="12"/>
        <v>"C:\Program Files (x86)\AstroGrep\AstroGrep.exe" /e /r /s /spath="%USERPROFILE%\AppData\Local\Temp\OnboardLogs" /stypes="app*4023*20171208*" /stext=" 13:.+((SYSTEM_STATE.+slice.+state.+changed )|(ment ac)|(multiple cpu faults)|(system.+state.+changed )|(\[timeout)|(PRM\|1\|D)|(kpr)|(kdp)|(train st.+moving)|(\|lc)|(penalty))"</v>
      </c>
      <c r="AG20" s="206" t="str">
        <f t="shared" si="13"/>
        <v>EC</v>
      </c>
      <c r="AH20" s="199" t="str">
        <f t="shared" si="19"/>
        <v>"%USERPROFILE%\Documents\GitHub\eaglep3\Utilities\RefineRTDCRunTimes.py" --tripid 108-08 --locoid 4023 --swversion DE.1.0.9.0 --startMP 204:233010 --initTime 2017-12-08T05:07:48 --startdatetime 2017-12-08T05:27:21 --delay 52 --endMP 204:187 --enddatetime 2017-12-08T06:04:21 --enforcementcount 0 &gt;&gt;%USERPROFILE%\Documents\GitHub\eaglep3-reporting\EC\2017-12-08-refined-times.txt</v>
      </c>
      <c r="AI2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{"issue":{"subject":"","project_id":79,"tracker_id":40,"status_id":1,"priority_id":2,"assigned_to_id":338,"start_date":"2017-12-08","description":"","custom_fields":[{"id":1,"name":"Subdivision","value":"EC"},{"id":4,"name":"Milepost","value":"0.0187"},{"id":17,"name":"Train ID","value":"108-08"},{"id":16,"name":"Locomotive ID","value":"4023"},{"id":130,"name":"Impact","value":""},{"id":150,"name":"Time of Event (Mountain Time)","value":"06:04:21"},{"id":151,"name":"Denver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8"/>
      <c r="AK20" s="196"/>
      <c r="AL20" s="196"/>
      <c r="AM20" s="203" t="str">
        <f t="shared" si="21"/>
        <v>start /low /b %USERPROFILE%\Documents\GitHub\eaglep3\Utilities\DownloadLogsFromS3.py --loco 4023 --day 2017-12-08</v>
      </c>
      <c r="AN2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95" t="str">
        <f t="shared" si="23"/>
        <v>https://d0f6bd738d7f1b3e5a7ca70fe4ff75f0.us-east-1.aws.found.io/app/kibana#/discover/Steve-Slow-Train-Analysis-(2080s-and-2083s)?_g=(refreshInterval:(display:Off,pause:!f,section:0,value:0),time:(from:'2017-12-08T04:07:48-0700',mode:absolute,to:'2017-12-08T07:04:21-0700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194" t="s">
        <v>720</v>
      </c>
      <c r="B21" s="190">
        <v>4050</v>
      </c>
      <c r="C21" s="192" t="s">
        <v>191</v>
      </c>
      <c r="D21" s="192" t="s">
        <v>660</v>
      </c>
      <c r="E21" s="191">
        <v>43077.193541666667</v>
      </c>
      <c r="F21" s="191">
        <v>43077.198078703703</v>
      </c>
      <c r="G21" s="190">
        <v>85</v>
      </c>
      <c r="H21" s="192" t="s">
        <v>926</v>
      </c>
      <c r="I21" s="191">
        <v>43077.22215277778</v>
      </c>
      <c r="J21" s="190">
        <v>0</v>
      </c>
      <c r="K21" s="200" t="str">
        <f t="shared" si="0"/>
        <v>4049/4050</v>
      </c>
      <c r="L21" s="207" t="str">
        <f>VLOOKUP(A21,'Trips&amp;Operators'!$C$1:$G$99911,5,FALSE)</f>
        <v>LOPES KIMBERLY</v>
      </c>
      <c r="M21" s="189">
        <f t="shared" si="1"/>
        <v>2.4074074077361729E-2</v>
      </c>
      <c r="N21" s="190">
        <f t="shared" si="2"/>
        <v>34.66666667140089</v>
      </c>
      <c r="O21" s="190"/>
      <c r="P21" s="190"/>
      <c r="Q21" s="193"/>
      <c r="R21" s="205"/>
      <c r="S21" s="235">
        <f t="shared" si="3"/>
        <v>1</v>
      </c>
      <c r="T21" s="236" t="str">
        <f t="shared" si="4"/>
        <v>NorthBound</v>
      </c>
      <c r="U21" s="23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37" t="str">
        <f t="shared" si="5"/>
        <v>https://d0f6bd738d7f1b3e5a7ca70fe4ff75f0.us-east-1.aws.found.io/app/kibana#/discover/Steve-Slow-Train-Analysis-(2080s-and-2083s)?_g=(refreshInterval:(display:Off,pause:!f,section:0,value:0),time:(from:'2017-12-08T03:38:42-0700',mode:absolute,to:'2017-12-08T06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" s="238" t="str">
        <f>IF(AA21&lt;VLOOKUP(AG21,Variables!$AC$3:$AD$8,2,FALSE),"Y","N")</f>
        <v>N</v>
      </c>
      <c r="X21" s="238">
        <f t="shared" si="6"/>
        <v>1</v>
      </c>
      <c r="Y21" s="238">
        <f t="shared" si="7"/>
        <v>0.05</v>
      </c>
      <c r="Z21" s="238">
        <f t="shared" si="8"/>
        <v>23.329899999999999</v>
      </c>
      <c r="AA21" s="238">
        <f t="shared" si="9"/>
        <v>23.279899999999998</v>
      </c>
      <c r="AB21" s="242" t="e">
        <f>VLOOKUP(A21,Enforcements!$C$7:$K$9,8,0)</f>
        <v>#N/A</v>
      </c>
      <c r="AC21" s="242" t="e">
        <f>VLOOKUP(A21,Enforcements!$C$7:$E$9,3,0)</f>
        <v>#N/A</v>
      </c>
      <c r="AD21" s="243">
        <f t="shared" si="10"/>
        <v>109</v>
      </c>
      <c r="AE21" s="198" t="str">
        <f t="shared" si="11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21" s="197" t="str">
        <f t="shared" si="12"/>
        <v>"C:\Program Files (x86)\AstroGrep\AstroGrep.exe" /e /r /s /spath="%USERPROFILE%\AppData\Local\Temp\OnboardLogs" /stypes="app*4050*20171208*" /stext=" 12:.+((SYSTEM_STATE.+slice.+state.+changed )|(ment ac)|(multiple cpu faults)|(system.+state.+changed )|(\[timeout)|(PRM\|1\|D)|(kpr)|(kdp)|(train st.+moving)|(\|lc)|(penalty))"</v>
      </c>
      <c r="AG21" s="206" t="str">
        <f t="shared" si="13"/>
        <v>EC</v>
      </c>
      <c r="AH21" s="199" t="str">
        <f t="shared" si="19"/>
        <v>"%USERPROFILE%\Documents\GitHub\eaglep3\Utilities\RefineRTDCRunTimes.py" --tripid 109-08 --locoid 4050 --swversion DE.1.0.9.0 --startMP 204:500 --initTime 2017-12-08T04:38:42 --startdatetime 2017-12-08T04:45:14 --delay 85 --endMP 204:233299 --enddatetime 2017-12-08T05:19:54 --enforcementcount 0 &gt;&gt;%USERPROFILE%\Documents\GitHub\eaglep3-reporting\EC\2017-12-08-refined-times.txt</v>
      </c>
      <c r="AI2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{"issue":{"subject":"","project_id":79,"tracker_id":40,"status_id":1,"priority_id":2,"assigned_to_id":338,"start_date":"2017-12-08","description":"","custom_fields":[{"id":1,"name":"Subdivision","value":"EC"},{"id":4,"name":"Milepost","value":"23.3299"},{"id":17,"name":"Train ID","value":"109-08"},{"id":16,"name":"Locomotive ID","value":"4050"},{"id":130,"name":"Impact","value":""},{"id":150,"name":"Time of Event (Mountain Time)","value":"05:19:54"},{"id":151,"name":"Denver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8"/>
      <c r="AK21" s="196"/>
      <c r="AL21" s="196"/>
      <c r="AM21" s="203" t="str">
        <f t="shared" si="21"/>
        <v>start /low /b %USERPROFILE%\Documents\GitHub\eaglep3\Utilities\DownloadLogsFromS3.py --loco 4050 --day 2017-12-08</v>
      </c>
      <c r="AN2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95" t="str">
        <f t="shared" si="23"/>
        <v>https://d0f6bd738d7f1b3e5a7ca70fe4ff75f0.us-east-1.aws.found.io/app/kibana#/discover/Steve-Slow-Train-Analysis-(2080s-and-2083s)?_g=(refreshInterval:(display:Off,pause:!f,section:0,value:0),time:(from:'2017-12-08T03:38:42-0700',mode:absolute,to:'2017-12-08T06:19:54-0700'))&amp;_a=(columns:!('Message%20ID',Summary),filters:!(),index:'emp_*',interval:auto,query:(query_string:(analyze_wildcard:!t,query:'%22rtdc.l.rtdc.4050%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194" t="s">
        <v>733</v>
      </c>
      <c r="B22" s="190">
        <v>4049</v>
      </c>
      <c r="C22" s="192" t="s">
        <v>191</v>
      </c>
      <c r="D22" s="192" t="s">
        <v>628</v>
      </c>
      <c r="E22" s="191">
        <v>43077.229884259257</v>
      </c>
      <c r="F22" s="191">
        <v>43077.237685185188</v>
      </c>
      <c r="G22" s="190">
        <v>88</v>
      </c>
      <c r="H22" s="192" t="s">
        <v>932</v>
      </c>
      <c r="I22" s="191">
        <v>43077.263807870368</v>
      </c>
      <c r="J22" s="190">
        <v>0</v>
      </c>
      <c r="K22" s="200" t="str">
        <f t="shared" si="0"/>
        <v>4049/4050</v>
      </c>
      <c r="L22" s="207" t="str">
        <f>VLOOKUP(A22,'Trips&amp;Operators'!$C$1:$G$99911,5,FALSE)</f>
        <v>LOPES KIMBERLY</v>
      </c>
      <c r="M22" s="189">
        <f t="shared" si="1"/>
        <v>2.6122685179871041E-2</v>
      </c>
      <c r="N22" s="190">
        <f t="shared" si="2"/>
        <v>37.6166666590143</v>
      </c>
      <c r="O22" s="190"/>
      <c r="P22" s="190"/>
      <c r="Q22" s="193"/>
      <c r="R22" s="205"/>
      <c r="S22" s="235">
        <f t="shared" si="3"/>
        <v>1</v>
      </c>
      <c r="T22" s="236" t="str">
        <f t="shared" si="4"/>
        <v>Southbound</v>
      </c>
      <c r="U22" s="23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37" t="str">
        <f t="shared" si="5"/>
        <v>https://d0f6bd738d7f1b3e5a7ca70fe4ff75f0.us-east-1.aws.found.io/app/kibana#/discover/Steve-Slow-Train-Analysis-(2080s-and-2083s)?_g=(refreshInterval:(display:Off,pause:!f,section:0,value:0),time:(from:'2017-12-08T04:31:02-0700',mode:absolute,to:'2017-12-08T07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" s="238" t="str">
        <f>IF(AA22&lt;VLOOKUP(AG22,Variables!$AC$3:$AD$8,2,FALSE),"Y","N")</f>
        <v>N</v>
      </c>
      <c r="X22" s="238">
        <f t="shared" si="6"/>
        <v>1</v>
      </c>
      <c r="Y22" s="238">
        <f t="shared" si="7"/>
        <v>23.297499999999999</v>
      </c>
      <c r="Z22" s="238">
        <f t="shared" si="8"/>
        <v>1.7999999999999999E-2</v>
      </c>
      <c r="AA22" s="238">
        <f t="shared" si="9"/>
        <v>23.279499999999999</v>
      </c>
      <c r="AB22" s="242" t="e">
        <f>VLOOKUP(A22,Enforcements!$C$7:$K$9,8,0)</f>
        <v>#N/A</v>
      </c>
      <c r="AC22" s="242" t="e">
        <f>VLOOKUP(A22,Enforcements!$C$7:$E$9,3,0)</f>
        <v>#N/A</v>
      </c>
      <c r="AD22" s="243">
        <f t="shared" si="10"/>
        <v>110</v>
      </c>
      <c r="AE22" s="198" t="str">
        <f t="shared" si="11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22" s="197" t="str">
        <f t="shared" si="12"/>
        <v>"C:\Program Files (x86)\AstroGrep\AstroGrep.exe" /e /r /s /spath="%USERPROFILE%\AppData\Local\Temp\OnboardLogs" /stypes="app*4049*20171208*" /stext=" 13:.+((SYSTEM_STATE.+slice.+state.+changed )|(ment ac)|(multiple cpu faults)|(system.+state.+changed )|(\[timeout)|(PRM\|1\|D)|(kpr)|(kdp)|(train st.+moving)|(\|lc)|(penalty))"</v>
      </c>
      <c r="AG22" s="206" t="str">
        <f t="shared" si="13"/>
        <v>EC</v>
      </c>
      <c r="AH22" s="199" t="str">
        <f t="shared" si="19"/>
        <v>"%USERPROFILE%\Documents\GitHub\eaglep3\Utilities\RefineRTDCRunTimes.py" --tripid 110-08 --locoid 4049 --swversion DE.1.0.9.0 --startMP 204:232975 --initTime 2017-12-08T05:31:02 --startdatetime 2017-12-08T05:42:16 --delay 88 --endMP 204:180 --enddatetime 2017-12-08T06:19:53 --enforcementcount 0 &gt;&gt;%USERPROFILE%\Documents\GitHub\eaglep3-reporting\EC\2017-12-08-refined-times.txt</v>
      </c>
      <c r="AI2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{"issue":{"subject":"","project_id":79,"tracker_id":40,"status_id":1,"priority_id":2,"assigned_to_id":338,"start_date":"2017-12-08","description":"","custom_fields":[{"id":1,"name":"Subdivision","value":"EC"},{"id":4,"name":"Milepost","value":"0.018"},{"id":17,"name":"Train ID","value":"110-08"},{"id":16,"name":"Locomotive ID","value":"4049"},{"id":130,"name":"Impact","value":""},{"id":150,"name":"Time of Event (Mountain Time)","value":"06:19:53"},{"id":151,"name":"Denver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8"/>
      <c r="AK22" s="196"/>
      <c r="AL22" s="196"/>
      <c r="AM22" s="203" t="str">
        <f t="shared" si="21"/>
        <v>start /low /b %USERPROFILE%\Documents\GitHub\eaglep3\Utilities\DownloadLogsFromS3.py --loco 4049 --day 2017-12-08</v>
      </c>
      <c r="AN2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95" t="str">
        <f t="shared" si="23"/>
        <v>https://d0f6bd738d7f1b3e5a7ca70fe4ff75f0.us-east-1.aws.found.io/app/kibana#/discover/Steve-Slow-Train-Analysis-(2080s-and-2083s)?_g=(refreshInterval:(display:Off,pause:!f,section:0,value:0),time:(from:'2017-12-08T04:31:02-0700',mode:absolute,to:'2017-12-08T07:19:53-0700'))&amp;_a=(columns:!('Message%20ID',Summary),filters:!(),index:'emp_*',interval:auto,query:(query_string:(analyze_wildcard:!t,query:'%22rtdc.l.rtdc.4049%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194" t="s">
        <v>722</v>
      </c>
      <c r="B23" s="190">
        <v>4010</v>
      </c>
      <c r="C23" s="192" t="s">
        <v>191</v>
      </c>
      <c r="D23" s="192" t="s">
        <v>933</v>
      </c>
      <c r="E23" s="191">
        <v>43077.202743055554</v>
      </c>
      <c r="F23" s="191">
        <v>43077.208587962959</v>
      </c>
      <c r="G23" s="190">
        <v>51</v>
      </c>
      <c r="H23" s="192" t="s">
        <v>574</v>
      </c>
      <c r="I23" s="191">
        <v>43077.233564814815</v>
      </c>
      <c r="J23" s="190">
        <v>0</v>
      </c>
      <c r="K23" s="200" t="str">
        <f t="shared" si="0"/>
        <v>4009/4010</v>
      </c>
      <c r="L23" s="207" t="str">
        <f>VLOOKUP(A23,'Trips&amp;Operators'!$C$1:$G$99911,5,FALSE)</f>
        <v>YORK EDGAR</v>
      </c>
      <c r="M23" s="189">
        <f t="shared" si="1"/>
        <v>2.4976851855171844E-2</v>
      </c>
      <c r="N23" s="190">
        <f t="shared" si="2"/>
        <v>35.966666671447456</v>
      </c>
      <c r="O23" s="190"/>
      <c r="P23" s="190"/>
      <c r="Q23" s="193"/>
      <c r="R23" s="205"/>
      <c r="S23" s="235">
        <f t="shared" si="3"/>
        <v>1</v>
      </c>
      <c r="T23" s="236" t="str">
        <f t="shared" si="4"/>
        <v>NorthBound</v>
      </c>
      <c r="U23" s="23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37" t="str">
        <f t="shared" si="5"/>
        <v>https://d0f6bd738d7f1b3e5a7ca70fe4ff75f0.us-east-1.aws.found.io/app/kibana#/discover/Steve-Slow-Train-Analysis-(2080s-and-2083s)?_g=(refreshInterval:(display:Off,pause:!f,section:0,value:0),time:(from:'2017-12-08T03:51:57-0700',mode:absolute,to:'2017-12-08T06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38" t="str">
        <f>IF(AA23&lt;VLOOKUP(AG23,Variables!$AC$3:$AD$8,2,FALSE),"Y","N")</f>
        <v>N</v>
      </c>
      <c r="X23" s="238">
        <f t="shared" si="6"/>
        <v>1</v>
      </c>
      <c r="Y23" s="238">
        <f t="shared" si="7"/>
        <v>4.4699999999999997E-2</v>
      </c>
      <c r="Z23" s="238">
        <f t="shared" si="8"/>
        <v>23.3293</v>
      </c>
      <c r="AA23" s="238">
        <f t="shared" si="9"/>
        <v>23.284600000000001</v>
      </c>
      <c r="AB23" s="242" t="e">
        <f>VLOOKUP(A23,Enforcements!$C$7:$K$9,8,0)</f>
        <v>#N/A</v>
      </c>
      <c r="AC23" s="242" t="e">
        <f>VLOOKUP(A23,Enforcements!$C$7:$E$9,3,0)</f>
        <v>#N/A</v>
      </c>
      <c r="AD23" s="243">
        <f t="shared" si="10"/>
        <v>111</v>
      </c>
      <c r="AE23" s="198" t="str">
        <f t="shared" si="11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23" s="197" t="str">
        <f t="shared" si="12"/>
        <v>"C:\Program Files (x86)\AstroGrep\AstroGrep.exe" /e /r /s /spath="%USERPROFILE%\AppData\Local\Temp\OnboardLogs" /stypes="app*4010*20171208*" /stext=" 12:.+((SYSTEM_STATE.+slice.+state.+changed )|(ment ac)|(multiple cpu faults)|(system.+state.+changed )|(\[timeout)|(PRM\|1\|D)|(kpr)|(kdp)|(train st.+moving)|(\|lc)|(penalty))"</v>
      </c>
      <c r="AG23" s="206" t="str">
        <f t="shared" si="13"/>
        <v>EC</v>
      </c>
      <c r="AH23" s="199" t="str">
        <f t="shared" si="19"/>
        <v>"%USERPROFILE%\Documents\GitHub\eaglep3\Utilities\RefineRTDCRunTimes.py" --tripid 111-08 --locoid 4010 --swversion DE.1.0.9.0 --startMP 204:447 --initTime 2017-12-08T04:51:57 --startdatetime 2017-12-08T05:00:22 --delay 51 --endMP 204:233293 --enddatetime 2017-12-08T05:36:20 --enforcementcount 0 &gt;&gt;%USERPROFILE%\Documents\GitHub\eaglep3-reporting\EC\2017-12-08-refined-times.txt</v>
      </c>
      <c r="AI23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{"issue":{"subject":"","project_id":79,"tracker_id":40,"status_id":1,"priority_id":2,"assigned_to_id":338,"start_date":"2017-12-08","description":"","custom_fields":[{"id":1,"name":"Subdivision","value":"EC"},{"id":4,"name":"Milepost","value":"23.3293"},{"id":17,"name":"Train ID","value":"111-08"},{"id":16,"name":"Locomotive ID","value":"4010"},{"id":130,"name":"Impact","value":""},{"id":150,"name":"Time of Event (Mountain Time)","value":"05:36:20"},{"id":151,"name":"Denver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8"/>
      <c r="AK23" s="196"/>
      <c r="AL23" s="196"/>
      <c r="AM23" s="203" t="str">
        <f t="shared" si="21"/>
        <v>start /low /b %USERPROFILE%\Documents\GitHub\eaglep3\Utilities\DownloadLogsFromS3.py --loco 4010 --day 2017-12-08</v>
      </c>
      <c r="AN23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95" t="str">
        <f t="shared" si="23"/>
        <v>https://d0f6bd738d7f1b3e5a7ca70fe4ff75f0.us-east-1.aws.found.io/app/kibana#/discover/Steve-Slow-Train-Analysis-(2080s-and-2083s)?_g=(refreshInterval:(display:Off,pause:!f,section:0,value:0),time:(from:'2017-12-08T03:51:57-0700',mode:absolute,to:'2017-12-08T06:36:20-0700'))&amp;_a=(columns:!('Message%20ID',Summary),filters:!(),index:'emp_*',interval:auto,query:(query_string:(analyze_wildcard:!t,query:'%22rtdc.l.rtdc.4010%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194" t="s">
        <v>735</v>
      </c>
      <c r="B24" s="190">
        <v>4009</v>
      </c>
      <c r="C24" s="192" t="s">
        <v>191</v>
      </c>
      <c r="D24" s="192" t="s">
        <v>617</v>
      </c>
      <c r="E24" s="191">
        <v>43077.234756944446</v>
      </c>
      <c r="F24" s="191">
        <v>43077.248090277775</v>
      </c>
      <c r="G24" s="190">
        <v>54</v>
      </c>
      <c r="H24" s="192" t="s">
        <v>934</v>
      </c>
      <c r="I24" s="191">
        <v>43077.274039351854</v>
      </c>
      <c r="J24" s="190">
        <v>0</v>
      </c>
      <c r="K24" s="200" t="str">
        <f t="shared" si="0"/>
        <v>4009/4010</v>
      </c>
      <c r="L24" s="207" t="str">
        <f>VLOOKUP(A24,'Trips&amp;Operators'!$C$1:$G$99911,5,FALSE)</f>
        <v>YORK EDGAR</v>
      </c>
      <c r="M24" s="189">
        <f t="shared" si="1"/>
        <v>2.5949074079107959E-2</v>
      </c>
      <c r="N24" s="190">
        <f t="shared" si="2"/>
        <v>37.366666673915461</v>
      </c>
      <c r="O24" s="190"/>
      <c r="P24" s="190"/>
      <c r="Q24" s="193"/>
      <c r="R24" s="205"/>
      <c r="S24" s="235">
        <f t="shared" si="3"/>
        <v>1</v>
      </c>
      <c r="T24" s="236" t="str">
        <f t="shared" si="4"/>
        <v>Southbound</v>
      </c>
      <c r="U24" s="23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37" t="str">
        <f t="shared" si="5"/>
        <v>https://d0f6bd738d7f1b3e5a7ca70fe4ff75f0.us-east-1.aws.found.io/app/kibana#/discover/Steve-Slow-Train-Analysis-(2080s-and-2083s)?_g=(refreshInterval:(display:Off,pause:!f,section:0,value:0),time:(from:'2017-12-08T04:38:03-0700',mode:absolute,to:'2017-12-08T07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38" t="str">
        <f>IF(AA24&lt;VLOOKUP(AG24,Variables!$AC$3:$AD$8,2,FALSE),"Y","N")</f>
        <v>N</v>
      </c>
      <c r="X24" s="238">
        <f t="shared" si="6"/>
        <v>1</v>
      </c>
      <c r="Y24" s="238">
        <f t="shared" si="7"/>
        <v>23.297000000000001</v>
      </c>
      <c r="Z24" s="238">
        <f t="shared" si="8"/>
        <v>1.43E-2</v>
      </c>
      <c r="AA24" s="238">
        <f t="shared" si="9"/>
        <v>23.282700000000002</v>
      </c>
      <c r="AB24" s="242" t="e">
        <f>VLOOKUP(A24,Enforcements!$C$7:$K$9,8,0)</f>
        <v>#N/A</v>
      </c>
      <c r="AC24" s="242" t="e">
        <f>VLOOKUP(A24,Enforcements!$C$7:$E$9,3,0)</f>
        <v>#N/A</v>
      </c>
      <c r="AD24" s="243">
        <f t="shared" si="10"/>
        <v>112</v>
      </c>
      <c r="AE24" s="198" t="str">
        <f t="shared" si="11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24" s="197" t="str">
        <f t="shared" si="12"/>
        <v>"C:\Program Files (x86)\AstroGrep\AstroGrep.exe" /e /r /s /spath="%USERPROFILE%\AppData\Local\Temp\OnboardLogs" /stypes="app*4009*20171208*" /stext=" 13:.+((SYSTEM_STATE.+slice.+state.+changed )|(ment ac)|(multiple cpu faults)|(system.+state.+changed )|(\[timeout)|(PRM\|1\|D)|(kpr)|(kdp)|(train st.+moving)|(\|lc)|(penalty))"</v>
      </c>
      <c r="AG24" s="206" t="str">
        <f t="shared" si="13"/>
        <v>EC</v>
      </c>
      <c r="AH24" s="199" t="str">
        <f t="shared" si="19"/>
        <v>"%USERPROFILE%\Documents\GitHub\eaglep3\Utilities\RefineRTDCRunTimes.py" --tripid 112-08 --locoid 4009 --swversion DE.1.0.9.0 --startMP 204:232970 --initTime 2017-12-08T05:38:03 --startdatetime 2017-12-08T05:57:15 --delay 54 --endMP 204:143 --enddatetime 2017-12-08T06:34:37 --enforcementcount 0 &gt;&gt;%USERPROFILE%\Documents\GitHub\eaglep3-reporting\EC\2017-12-08-refined-times.txt</v>
      </c>
      <c r="AI2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{"issue":{"subject":"","project_id":79,"tracker_id":40,"status_id":1,"priority_id":2,"assigned_to_id":338,"start_date":"2017-12-08","description":"","custom_fields":[{"id":1,"name":"Subdivision","value":"EC"},{"id":4,"name":"Milepost","value":"0.0143"},{"id":17,"name":"Train ID","value":"112-08"},{"id":16,"name":"Locomotive ID","value":"4009"},{"id":130,"name":"Impact","value":""},{"id":150,"name":"Time of Event (Mountain Time)","value":"06:34:37"},{"id":151,"name":"Denver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8"/>
      <c r="AK24" s="196"/>
      <c r="AL24" s="196"/>
      <c r="AM24" s="203" t="str">
        <f t="shared" si="21"/>
        <v>start /low /b %USERPROFILE%\Documents\GitHub\eaglep3\Utilities\DownloadLogsFromS3.py --loco 4009 --day 2017-12-08</v>
      </c>
      <c r="AN2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95" t="str">
        <f t="shared" si="23"/>
        <v>https://d0f6bd738d7f1b3e5a7ca70fe4ff75f0.us-east-1.aws.found.io/app/kibana#/discover/Steve-Slow-Train-Analysis-(2080s-and-2083s)?_g=(refreshInterval:(display:Off,pause:!f,section:0,value:0),time:(from:'2017-12-08T04:38:03-0700',mode:absolute,to:'2017-12-08T07:34:37-0700'))&amp;_a=(columns:!('Message%20ID',Summary),filters:!(),index:'emp_*',interval:auto,query:(query_string:(analyze_wildcard:!t,query:'%22rtdc.l.rtdc.4009%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194" t="s">
        <v>730</v>
      </c>
      <c r="B25" s="190">
        <v>4020</v>
      </c>
      <c r="C25" s="192" t="s">
        <v>191</v>
      </c>
      <c r="D25" s="192" t="s">
        <v>470</v>
      </c>
      <c r="E25" s="191">
        <v>43077.21497685185</v>
      </c>
      <c r="F25" s="191">
        <v>43077.219351851854</v>
      </c>
      <c r="G25" s="190">
        <v>58</v>
      </c>
      <c r="H25" s="192" t="s">
        <v>935</v>
      </c>
      <c r="I25" s="191">
        <v>43077.24287037037</v>
      </c>
      <c r="J25" s="190">
        <v>0</v>
      </c>
      <c r="K25" s="200" t="str">
        <f t="shared" si="0"/>
        <v>4019/4020</v>
      </c>
      <c r="L25" s="207" t="str">
        <f>VLOOKUP(A25,'Trips&amp;Operators'!$C$1:$G$99911,5,FALSE)</f>
        <v>BIRENBAUM THOMAS</v>
      </c>
      <c r="M25" s="189">
        <f t="shared" si="1"/>
        <v>2.3518518515629694E-2</v>
      </c>
      <c r="N25" s="190">
        <f t="shared" si="2"/>
        <v>33.866666662506759</v>
      </c>
      <c r="O25" s="190"/>
      <c r="P25" s="190"/>
      <c r="Q25" s="193"/>
      <c r="R25" s="205"/>
      <c r="S25" s="235">
        <f t="shared" si="3"/>
        <v>1</v>
      </c>
      <c r="T25" s="236" t="str">
        <f t="shared" si="4"/>
        <v>NorthBound</v>
      </c>
      <c r="U25" s="23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37" t="str">
        <f t="shared" si="5"/>
        <v>https://d0f6bd738d7f1b3e5a7ca70fe4ff75f0.us-east-1.aws.found.io/app/kibana#/discover/Steve-Slow-Train-Analysis-(2080s-and-2083s)?_g=(refreshInterval:(display:Off,pause:!f,section:0,value:0),time:(from:'2017-12-08T04:09:34-0700',mode:absolute,to:'2017-12-08T06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238" t="str">
        <f>IF(AA25&lt;VLOOKUP(AG25,Variables!$AC$3:$AD$8,2,FALSE),"Y","N")</f>
        <v>N</v>
      </c>
      <c r="X25" s="238">
        <f t="shared" si="6"/>
        <v>1</v>
      </c>
      <c r="Y25" s="238">
        <f t="shared" si="7"/>
        <v>4.7100000000000003E-2</v>
      </c>
      <c r="Z25" s="238">
        <f t="shared" si="8"/>
        <v>23.325900000000001</v>
      </c>
      <c r="AA25" s="238">
        <f t="shared" si="9"/>
        <v>23.2788</v>
      </c>
      <c r="AB25" s="242" t="e">
        <f>VLOOKUP(A25,Enforcements!$C$7:$K$9,8,0)</f>
        <v>#N/A</v>
      </c>
      <c r="AC25" s="242" t="e">
        <f>VLOOKUP(A25,Enforcements!$C$7:$E$9,3,0)</f>
        <v>#N/A</v>
      </c>
      <c r="AD25" s="243">
        <f t="shared" si="10"/>
        <v>113</v>
      </c>
      <c r="AE25" s="198" t="str">
        <f t="shared" si="11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25" s="197" t="str">
        <f t="shared" si="12"/>
        <v>"C:\Program Files (x86)\AstroGrep\AstroGrep.exe" /e /r /s /spath="%USERPROFILE%\AppData\Local\Temp\OnboardLogs" /stypes="app*4020*20171208*" /stext=" 12:.+((SYSTEM_STATE.+slice.+state.+changed )|(ment ac)|(multiple cpu faults)|(system.+state.+changed )|(\[timeout)|(PRM\|1\|D)|(kpr)|(kdp)|(train st.+moving)|(\|lc)|(penalty))"</v>
      </c>
      <c r="AG25" s="206" t="str">
        <f t="shared" si="13"/>
        <v>EC</v>
      </c>
      <c r="AH25" s="199" t="str">
        <f t="shared" si="19"/>
        <v>"%USERPROFILE%\Documents\GitHub\eaglep3\Utilities\RefineRTDCRunTimes.py" --tripid 113-08 --locoid 4020 --swversion DE.1.0.9.0 --startMP 204:471 --initTime 2017-12-08T05:09:34 --startdatetime 2017-12-08T05:15:52 --delay 58 --endMP 204:233259 --enddatetime 2017-12-08T05:49:44 --enforcementcount 0 &gt;&gt;%USERPROFILE%\Documents\GitHub\eaglep3-reporting\EC\2017-12-08-refined-times.txt</v>
      </c>
      <c r="AI2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{"issue":{"subject":"","project_id":79,"tracker_id":40,"status_id":1,"priority_id":2,"assigned_to_id":338,"start_date":"2017-12-08","description":"","custom_fields":[{"id":1,"name":"Subdivision","value":"EC"},{"id":4,"name":"Milepost","value":"23.3259"},{"id":17,"name":"Train ID","value":"113-08"},{"id":16,"name":"Locomotive ID","value":"4020"},{"id":130,"name":"Impact","value":""},{"id":150,"name":"Time of Event (Mountain Time)","value":"05:49:44"},{"id":151,"name":"Denver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8"/>
      <c r="AK25" s="196"/>
      <c r="AL25" s="196"/>
      <c r="AM25" s="203" t="str">
        <f t="shared" si="21"/>
        <v>start /low /b %USERPROFILE%\Documents\GitHub\eaglep3\Utilities\DownloadLogsFromS3.py --loco 4020 --day 2017-12-08</v>
      </c>
      <c r="AN2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95" t="str">
        <f t="shared" si="23"/>
        <v>https://d0f6bd738d7f1b3e5a7ca70fe4ff75f0.us-east-1.aws.found.io/app/kibana#/discover/Steve-Slow-Train-Analysis-(2080s-and-2083s)?_g=(refreshInterval:(display:Off,pause:!f,section:0,value:0),time:(from:'2017-12-08T04:09:34-0700',mode:absolute,to:'2017-12-08T06:49:44-0700'))&amp;_a=(columns:!('Message%20ID',Summary),filters:!(),index:'emp_*',interval:auto,query:(query_string:(analyze_wildcard:!t,query:'%22rtdc.l.rtdc.4020%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194" t="s">
        <v>740</v>
      </c>
      <c r="B26" s="190">
        <v>4019</v>
      </c>
      <c r="C26" s="192" t="s">
        <v>191</v>
      </c>
      <c r="D26" s="192" t="s">
        <v>936</v>
      </c>
      <c r="E26" s="191">
        <v>43077.244687500002</v>
      </c>
      <c r="F26" s="191">
        <v>43077.258483796293</v>
      </c>
      <c r="G26" s="190">
        <v>50</v>
      </c>
      <c r="H26" s="192" t="s">
        <v>467</v>
      </c>
      <c r="I26" s="191">
        <v>43077.28402777778</v>
      </c>
      <c r="J26" s="190">
        <v>0</v>
      </c>
      <c r="K26" s="200" t="str">
        <f t="shared" si="0"/>
        <v>4019/4020</v>
      </c>
      <c r="L26" s="207" t="str">
        <f>VLOOKUP(A26,'Trips&amp;Operators'!$C$1:$G$99911,5,FALSE)</f>
        <v>BIRENBAUM THOMAS</v>
      </c>
      <c r="M26" s="189">
        <f t="shared" si="1"/>
        <v>2.5543981486407574E-2</v>
      </c>
      <c r="N26" s="190">
        <f t="shared" si="2"/>
        <v>36.783333340426907</v>
      </c>
      <c r="O26" s="190"/>
      <c r="P26" s="190"/>
      <c r="Q26" s="193"/>
      <c r="R26" s="205"/>
      <c r="S26" s="235">
        <f t="shared" si="3"/>
        <v>1</v>
      </c>
      <c r="T26" s="236" t="str">
        <f t="shared" si="4"/>
        <v>Southbound</v>
      </c>
      <c r="U26" s="23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37" t="str">
        <f t="shared" si="5"/>
        <v>https://d0f6bd738d7f1b3e5a7ca70fe4ff75f0.us-east-1.aws.found.io/app/kibana#/discover/Steve-Slow-Train-Analysis-(2080s-and-2083s)?_g=(refreshInterval:(display:Off,pause:!f,section:0,value:0),time:(from:'2017-12-08T04:52:21-0700',mode:absolute,to:'2017-12-08T07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238" t="str">
        <f>IF(AA26&lt;VLOOKUP(AG26,Variables!$AC$3:$AD$8,2,FALSE),"Y","N")</f>
        <v>N</v>
      </c>
      <c r="X26" s="238">
        <f t="shared" si="6"/>
        <v>1</v>
      </c>
      <c r="Y26" s="238">
        <f t="shared" si="7"/>
        <v>23.293399999999998</v>
      </c>
      <c r="Z26" s="238">
        <f t="shared" si="8"/>
        <v>1.4999999999999999E-2</v>
      </c>
      <c r="AA26" s="238">
        <f t="shared" si="9"/>
        <v>23.278399999999998</v>
      </c>
      <c r="AB26" s="242" t="e">
        <f>VLOOKUP(A26,Enforcements!$C$7:$K$9,8,0)</f>
        <v>#N/A</v>
      </c>
      <c r="AC26" s="242" t="e">
        <f>VLOOKUP(A26,Enforcements!$C$7:$E$9,3,0)</f>
        <v>#N/A</v>
      </c>
      <c r="AD26" s="243">
        <f t="shared" si="10"/>
        <v>114</v>
      </c>
      <c r="AE26" s="198" t="str">
        <f t="shared" si="11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26" s="197" t="str">
        <f t="shared" si="12"/>
        <v>"C:\Program Files (x86)\AstroGrep\AstroGrep.exe" /e /r /s /spath="%USERPROFILE%\AppData\Local\Temp\OnboardLogs" /stypes="app*4019*20171208*" /stext=" 13:.+((SYSTEM_STATE.+slice.+state.+changed )|(ment ac)|(multiple cpu faults)|(system.+state.+changed )|(\[timeout)|(PRM\|1\|D)|(kpr)|(kdp)|(train st.+moving)|(\|lc)|(penalty))"</v>
      </c>
      <c r="AG26" s="206" t="str">
        <f t="shared" si="13"/>
        <v>EC</v>
      </c>
      <c r="AH26" s="199" t="str">
        <f t="shared" si="19"/>
        <v>"%USERPROFILE%\Documents\GitHub\eaglep3\Utilities\RefineRTDCRunTimes.py" --tripid 114-08 --locoid 4019 --swversion DE.1.0.9.0 --startMP 204:232934 --initTime 2017-12-08T05:52:21 --startdatetime 2017-12-08T06:12:13 --delay 50 --endMP 204:150 --enddatetime 2017-12-08T06:49:00 --enforcementcount 0 &gt;&gt;%USERPROFILE%\Documents\GitHub\eaglep3-reporting\EC\2017-12-08-refined-times.txt</v>
      </c>
      <c r="AI2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{"issue":{"subject":"","project_id":79,"tracker_id":40,"status_id":1,"priority_id":2,"assigned_to_id":338,"start_date":"2017-12-08","description":"","custom_fields":[{"id":1,"name":"Subdivision","value":"EC"},{"id":4,"name":"Milepost","value":"0.015"},{"id":17,"name":"Train ID","value":"114-08"},{"id":16,"name":"Locomotive ID","value":"4019"},{"id":130,"name":"Impact","value":""},{"id":150,"name":"Time of Event (Mountain Time)","value":"06:49:00"},{"id":151,"name":"Denver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8"/>
      <c r="AK26" s="196"/>
      <c r="AL26" s="196"/>
      <c r="AM26" s="203" t="str">
        <f t="shared" si="21"/>
        <v>start /low /b %USERPROFILE%\Documents\GitHub\eaglep3\Utilities\DownloadLogsFromS3.py --loco 4019 --day 2017-12-08</v>
      </c>
      <c r="AN2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95" t="str">
        <f t="shared" si="23"/>
        <v>https://d0f6bd738d7f1b3e5a7ca70fe4ff75f0.us-east-1.aws.found.io/app/kibana#/discover/Steve-Slow-Train-Analysis-(2080s-and-2083s)?_g=(refreshInterval:(display:Off,pause:!f,section:0,value:0),time:(from:'2017-12-08T04:52:21-0700',mode:absolute,to:'2017-12-08T07:49:00-0700'))&amp;_a=(columns:!('Message%20ID',Summary),filters:!(),index:'emp_*',interval:auto,query:(query_string:(analyze_wildcard:!t,query:'%22rtdc.l.rtdc.4019%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194" t="s">
        <v>680</v>
      </c>
      <c r="B27" s="190">
        <v>4032</v>
      </c>
      <c r="C27" s="192" t="s">
        <v>191</v>
      </c>
      <c r="D27" s="192" t="s">
        <v>633</v>
      </c>
      <c r="E27" s="191">
        <v>43077.226597222223</v>
      </c>
      <c r="F27" s="191">
        <v>43077.229375000003</v>
      </c>
      <c r="G27" s="190">
        <v>47</v>
      </c>
      <c r="H27" s="192" t="s">
        <v>937</v>
      </c>
      <c r="I27" s="191">
        <v>43077.255578703705</v>
      </c>
      <c r="J27" s="190">
        <v>0</v>
      </c>
      <c r="K27" s="200" t="str">
        <f t="shared" si="0"/>
        <v>4031/4032</v>
      </c>
      <c r="L27" s="207" t="str">
        <f>VLOOKUP(A27,'Trips&amp;Operators'!$C$1:$G$99911,5,FALSE)</f>
        <v>MAELZER KURT</v>
      </c>
      <c r="M27" s="189">
        <f t="shared" si="1"/>
        <v>2.6203703702776693E-2</v>
      </c>
      <c r="N27" s="190">
        <f t="shared" si="2"/>
        <v>37.733333331998438</v>
      </c>
      <c r="O27" s="190"/>
      <c r="P27" s="190"/>
      <c r="Q27" s="193"/>
      <c r="R27" s="205"/>
      <c r="S27" s="235">
        <f t="shared" si="3"/>
        <v>1</v>
      </c>
      <c r="T27" s="236" t="str">
        <f t="shared" si="4"/>
        <v>NorthBound</v>
      </c>
      <c r="U27" s="23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37" t="str">
        <f t="shared" si="5"/>
        <v>https://d0f6bd738d7f1b3e5a7ca70fe4ff75f0.us-east-1.aws.found.io/app/kibana#/discover/Steve-Slow-Train-Analysis-(2080s-and-2083s)?_g=(refreshInterval:(display:Off,pause:!f,section:0,value:0),time:(from:'2017-12-08T04:26:18-0700',mode:absolute,to:'2017-12-08T07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238" t="str">
        <f>IF(AA27&lt;VLOOKUP(AG27,Variables!$AC$3:$AD$8,2,FALSE),"Y","N")</f>
        <v>N</v>
      </c>
      <c r="X27" s="238">
        <f t="shared" si="6"/>
        <v>1</v>
      </c>
      <c r="Y27" s="238">
        <f t="shared" si="7"/>
        <v>4.8899999999999999E-2</v>
      </c>
      <c r="Z27" s="238">
        <f t="shared" si="8"/>
        <v>23.331</v>
      </c>
      <c r="AA27" s="238">
        <f t="shared" si="9"/>
        <v>23.2821</v>
      </c>
      <c r="AB27" s="242" t="e">
        <f>VLOOKUP(A27,Enforcements!$C$7:$K$9,8,0)</f>
        <v>#N/A</v>
      </c>
      <c r="AC27" s="242" t="e">
        <f>VLOOKUP(A27,Enforcements!$C$7:$E$9,3,0)</f>
        <v>#N/A</v>
      </c>
      <c r="AD27" s="243">
        <f t="shared" si="10"/>
        <v>115</v>
      </c>
      <c r="AE27" s="198" t="str">
        <f t="shared" si="11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27" s="197" t="str">
        <f t="shared" si="12"/>
        <v>"C:\Program Files (x86)\AstroGrep\AstroGrep.exe" /e /r /s /spath="%USERPROFILE%\AppData\Local\Temp\OnboardLogs" /stypes="app*4032*20171208*" /stext=" 13:.+((SYSTEM_STATE.+slice.+state.+changed )|(ment ac)|(multiple cpu faults)|(system.+state.+changed )|(\[timeout)|(PRM\|1\|D)|(kpr)|(kdp)|(train st.+moving)|(\|lc)|(penalty))"</v>
      </c>
      <c r="AG27" s="206" t="str">
        <f t="shared" si="13"/>
        <v>EC</v>
      </c>
      <c r="AH27" s="199" t="str">
        <f t="shared" si="19"/>
        <v>"%USERPROFILE%\Documents\GitHub\eaglep3\Utilities\RefineRTDCRunTimes.py" --tripid 115-08 --locoid 4032 --swversion DE.1.0.9.0 --startMP 204:489 --initTime 2017-12-08T05:26:18 --startdatetime 2017-12-08T05:30:18 --delay 47 --endMP 204:233310 --enddatetime 2017-12-08T06:08:02 --enforcementcount 0 &gt;&gt;%USERPROFILE%\Documents\GitHub\eaglep3-reporting\EC\2017-12-08-refined-times.txt</v>
      </c>
      <c r="AI2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{"issue":{"subject":"","project_id":79,"tracker_id":40,"status_id":1,"priority_id":2,"assigned_to_id":338,"start_date":"2017-12-08","description":"","custom_fields":[{"id":1,"name":"Subdivision","value":"EC"},{"id":4,"name":"Milepost","value":"23.331"},{"id":17,"name":"Train ID","value":"115-08"},{"id":16,"name":"Locomotive ID","value":"4032"},{"id":130,"name":"Impact","value":""},{"id":150,"name":"Time of Event (Mountain Time)","value":"06:08:02"},{"id":151,"name":"Denver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8"/>
      <c r="AK27" s="196"/>
      <c r="AL27" s="196"/>
      <c r="AM27" s="203" t="str">
        <f t="shared" si="21"/>
        <v>start /low /b %USERPROFILE%\Documents\GitHub\eaglep3\Utilities\DownloadLogsFromS3.py --loco 4032 --day 2017-12-08</v>
      </c>
      <c r="AN2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95" t="str">
        <f t="shared" si="23"/>
        <v>https://d0f6bd738d7f1b3e5a7ca70fe4ff75f0.us-east-1.aws.found.io/app/kibana#/discover/Steve-Slow-Train-Analysis-(2080s-and-2083s)?_g=(refreshInterval:(display:Off,pause:!f,section:0,value:0),time:(from:'2017-12-08T04:26:18-0700',mode:absolute,to:'2017-12-08T07:08:02-0700'))&amp;_a=(columns:!('Message%20ID',Summary),filters:!(),index:'emp_*',interval:auto,query:(query_string:(analyze_wildcard:!t,query:'%22rtdc.l.rtdc.4032%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194" t="s">
        <v>745</v>
      </c>
      <c r="B28" s="190">
        <v>4031</v>
      </c>
      <c r="C28" s="192" t="s">
        <v>191</v>
      </c>
      <c r="D28" s="192" t="s">
        <v>938</v>
      </c>
      <c r="E28" s="191">
        <v>43077.262106481481</v>
      </c>
      <c r="F28" s="191">
        <v>43077.268993055557</v>
      </c>
      <c r="G28" s="190">
        <v>48</v>
      </c>
      <c r="H28" s="192" t="s">
        <v>631</v>
      </c>
      <c r="I28" s="191">
        <v>43077.295046296298</v>
      </c>
      <c r="J28" s="190">
        <v>0</v>
      </c>
      <c r="K28" s="200" t="str">
        <f t="shared" si="0"/>
        <v>4031/4032</v>
      </c>
      <c r="L28" s="207" t="str">
        <f>VLOOKUP(A28,'Trips&amp;Operators'!$C$1:$G$99911,5,FALSE)</f>
        <v>MAELZER KURT</v>
      </c>
      <c r="M28" s="189">
        <f t="shared" si="1"/>
        <v>2.6053240741021E-2</v>
      </c>
      <c r="N28" s="190">
        <f t="shared" si="2"/>
        <v>37.51666666707024</v>
      </c>
      <c r="O28" s="190"/>
      <c r="P28" s="190"/>
      <c r="Q28" s="193"/>
      <c r="R28" s="205"/>
      <c r="S28" s="235">
        <f t="shared" si="3"/>
        <v>1</v>
      </c>
      <c r="T28" s="236" t="str">
        <f t="shared" si="4"/>
        <v>Southbound</v>
      </c>
      <c r="U28" s="23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37" t="str">
        <f t="shared" si="5"/>
        <v>https://d0f6bd738d7f1b3e5a7ca70fe4ff75f0.us-east-1.aws.found.io/app/kibana#/discover/Steve-Slow-Train-Analysis-(2080s-and-2083s)?_g=(refreshInterval:(display:Off,pause:!f,section:0,value:0),time:(from:'2017-12-08T05:17:26-0700',mode:absolute,to:'2017-12-08T08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238" t="str">
        <f>IF(AA28&lt;VLOOKUP(AG28,Variables!$AC$3:$AD$8,2,FALSE),"Y","N")</f>
        <v>N</v>
      </c>
      <c r="X28" s="238">
        <f t="shared" si="6"/>
        <v>1</v>
      </c>
      <c r="Y28" s="238">
        <f t="shared" si="7"/>
        <v>23.2989</v>
      </c>
      <c r="Z28" s="238">
        <f t="shared" si="8"/>
        <v>1.8100000000000002E-2</v>
      </c>
      <c r="AA28" s="238">
        <f t="shared" si="9"/>
        <v>23.280799999999999</v>
      </c>
      <c r="AB28" s="242" t="e">
        <f>VLOOKUP(A28,Enforcements!$C$7:$K$9,8,0)</f>
        <v>#N/A</v>
      </c>
      <c r="AC28" s="242" t="e">
        <f>VLOOKUP(A28,Enforcements!$C$7:$E$9,3,0)</f>
        <v>#N/A</v>
      </c>
      <c r="AD28" s="243">
        <f t="shared" si="10"/>
        <v>116</v>
      </c>
      <c r="AE28" s="198" t="str">
        <f t="shared" si="11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28" s="197" t="str">
        <f t="shared" si="12"/>
        <v>"C:\Program Files (x86)\AstroGrep\AstroGrep.exe" /e /r /s /spath="%USERPROFILE%\AppData\Local\Temp\OnboardLogs" /stypes="app*4031*20171208*" /stext=" 14:.+((SYSTEM_STATE.+slice.+state.+changed )|(ment ac)|(multiple cpu faults)|(system.+state.+changed )|(\[timeout)|(PRM\|1\|D)|(kpr)|(kdp)|(train st.+moving)|(\|lc)|(penalty))"</v>
      </c>
      <c r="AG28" s="206" t="str">
        <f t="shared" si="13"/>
        <v>EC</v>
      </c>
      <c r="AH28" s="199" t="str">
        <f t="shared" si="19"/>
        <v>"%USERPROFILE%\Documents\GitHub\eaglep3\Utilities\RefineRTDCRunTimes.py" --tripid 116-08 --locoid 4031 --swversion DE.1.0.9.0 --startMP 204:232989 --initTime 2017-12-08T06:17:26 --startdatetime 2017-12-08T06:27:21 --delay 48 --endMP 204:181 --enddatetime 2017-12-08T07:04:52 --enforcementcount 0 &gt;&gt;%USERPROFILE%\Documents\GitHub\eaglep3-reporting\EC\2017-12-08-refined-times.txt</v>
      </c>
      <c r="AI2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{"issue":{"subject":"","project_id":79,"tracker_id":40,"status_id":1,"priority_id":2,"assigned_to_id":338,"start_date":"2017-12-08","description":"","custom_fields":[{"id":1,"name":"Subdivision","value":"EC"},{"id":4,"name":"Milepost","value":"0.0181"},{"id":17,"name":"Train ID","value":"116-08"},{"id":16,"name":"Locomotive ID","value":"4031"},{"id":130,"name":"Impact","value":""},{"id":150,"name":"Time of Event (Mountain Time)","value":"07:04:52"},{"id":151,"name":"Denver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8"/>
      <c r="AK28" s="196"/>
      <c r="AL28" s="196"/>
      <c r="AM28" s="203" t="str">
        <f t="shared" si="21"/>
        <v>start /low /b %USERPROFILE%\Documents\GitHub\eaglep3\Utilities\DownloadLogsFromS3.py --loco 4031 --day 2017-12-08</v>
      </c>
      <c r="AN2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95" t="str">
        <f t="shared" si="23"/>
        <v>https://d0f6bd738d7f1b3e5a7ca70fe4ff75f0.us-east-1.aws.found.io/app/kibana#/discover/Steve-Slow-Train-Analysis-(2080s-and-2083s)?_g=(refreshInterval:(display:Off,pause:!f,section:0,value:0),time:(from:'2017-12-08T05:17:26-0700',mode:absolute,to:'2017-12-08T08:04:52-0700'))&amp;_a=(columns:!('Message%20ID',Summary),filters:!(),index:'emp_*',interval:auto,query:(query_string:(analyze_wildcard:!t,query:'%22rtdc.l.rtdc.4031%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194" t="s">
        <v>736</v>
      </c>
      <c r="B29" s="190">
        <v>4016</v>
      </c>
      <c r="C29" s="192" t="s">
        <v>191</v>
      </c>
      <c r="D29" s="192" t="s">
        <v>413</v>
      </c>
      <c r="E29" s="191">
        <v>43077.235115740739</v>
      </c>
      <c r="F29" s="191">
        <v>43077.240046296298</v>
      </c>
      <c r="G29" s="190">
        <v>126</v>
      </c>
      <c r="H29" s="192" t="s">
        <v>615</v>
      </c>
      <c r="I29" s="191">
        <v>43077.265208333331</v>
      </c>
      <c r="J29" s="190">
        <v>0</v>
      </c>
      <c r="K29" s="200" t="str">
        <f t="shared" si="0"/>
        <v>4015/4016</v>
      </c>
      <c r="L29" s="207" t="str">
        <f>VLOOKUP(A29,'Trips&amp;Operators'!$C$1:$G$99911,5,FALSE)</f>
        <v>HAMMOND JUSTYNN</v>
      </c>
      <c r="M29" s="189">
        <f t="shared" si="1"/>
        <v>2.5162037032714579E-2</v>
      </c>
      <c r="N29" s="190">
        <f t="shared" si="2"/>
        <v>36.233333327108994</v>
      </c>
      <c r="O29" s="190"/>
      <c r="P29" s="190"/>
      <c r="Q29" s="193"/>
      <c r="R29" s="205"/>
      <c r="S29" s="235">
        <f t="shared" si="3"/>
        <v>1</v>
      </c>
      <c r="T29" s="236" t="str">
        <f t="shared" si="4"/>
        <v>NorthBound</v>
      </c>
      <c r="U29" s="23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37" t="str">
        <f t="shared" si="5"/>
        <v>https://d0f6bd738d7f1b3e5a7ca70fe4ff75f0.us-east-1.aws.found.io/app/kibana#/discover/Steve-Slow-Train-Analysis-(2080s-and-2083s)?_g=(refreshInterval:(display:Off,pause:!f,section:0,value:0),time:(from:'2017-12-08T04:38:34-0700',mode:absolute,to:'2017-12-08T07:21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38" t="str">
        <f>IF(AA29&lt;VLOOKUP(AG29,Variables!$AC$3:$AD$8,2,FALSE),"Y","N")</f>
        <v>N</v>
      </c>
      <c r="X29" s="238">
        <f t="shared" si="6"/>
        <v>1</v>
      </c>
      <c r="Y29" s="238">
        <f t="shared" si="7"/>
        <v>5.0799999999999998E-2</v>
      </c>
      <c r="Z29" s="238">
        <f t="shared" si="8"/>
        <v>23.328900000000001</v>
      </c>
      <c r="AA29" s="238">
        <f t="shared" si="9"/>
        <v>23.278100000000002</v>
      </c>
      <c r="AB29" s="242" t="e">
        <f>VLOOKUP(A29,Enforcements!$C$7:$K$9,8,0)</f>
        <v>#N/A</v>
      </c>
      <c r="AC29" s="242" t="e">
        <f>VLOOKUP(A29,Enforcements!$C$7:$E$9,3,0)</f>
        <v>#N/A</v>
      </c>
      <c r="AD29" s="243">
        <f t="shared" si="10"/>
        <v>117</v>
      </c>
      <c r="AE29" s="198" t="str">
        <f t="shared" si="11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29" s="197" t="str">
        <f t="shared" si="12"/>
        <v>"C:\Program Files (x86)\AstroGrep\AstroGrep.exe" /e /r /s /spath="%USERPROFILE%\AppData\Local\Temp\OnboardLogs" /stypes="app*4016*20171208*" /stext=" 13:.+((SYSTEM_STATE.+slice.+state.+changed )|(ment ac)|(multiple cpu faults)|(system.+state.+changed )|(\[timeout)|(PRM\|1\|D)|(kpr)|(kdp)|(train st.+moving)|(\|lc)|(penalty))"</v>
      </c>
      <c r="AG29" s="206" t="str">
        <f t="shared" si="13"/>
        <v>EC</v>
      </c>
      <c r="AH29" s="199" t="str">
        <f t="shared" si="19"/>
        <v>"%USERPROFILE%\Documents\GitHub\eaglep3\Utilities\RefineRTDCRunTimes.py" --tripid 117-08 --locoid 4016 --swversion DE.1.0.9.0 --startMP 204:508 --initTime 2017-12-08T05:38:34 --startdatetime 2017-12-08T05:45:40 --delay 126 --endMP 204:233289 --enddatetime 2017-12-08T06:21:54 --enforcementcount 0 &gt;&gt;%USERPROFILE%\Documents\GitHub\eaglep3-reporting\EC\2017-12-08-refined-times.txt</v>
      </c>
      <c r="AI2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{"issue":{"subject":"","project_id":79,"tracker_id":40,"status_id":1,"priority_id":2,"assigned_to_id":338,"start_date":"2017-12-08","description":"","custom_fields":[{"id":1,"name":"Subdivision","value":"EC"},{"id":4,"name":"Milepost","value":"23.3289"},{"id":17,"name":"Train ID","value":"117-08"},{"id":16,"name":"Locomotive ID","value":"4016"},{"id":130,"name":"Impact","value":""},{"id":150,"name":"Time of Event (Mountain Time)","value":"06:21:54"},{"id":151,"name":"Denver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8"/>
      <c r="AK29" s="196"/>
      <c r="AL29" s="196"/>
      <c r="AM29" s="203" t="str">
        <f t="shared" si="21"/>
        <v>start /low /b %USERPROFILE%\Documents\GitHub\eaglep3\Utilities\DownloadLogsFromS3.py --loco 4016 --day 2017-12-08</v>
      </c>
      <c r="AN2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95" t="str">
        <f t="shared" si="23"/>
        <v>https://d0f6bd738d7f1b3e5a7ca70fe4ff75f0.us-east-1.aws.found.io/app/kibana#/discover/Steve-Slow-Train-Analysis-(2080s-and-2083s)?_g=(refreshInterval:(display:Off,pause:!f,section:0,value:0),time:(from:'2017-12-08T04:38:34-0700',mode:absolute,to:'2017-12-08T07:21:54-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194" t="s">
        <v>750</v>
      </c>
      <c r="B30" s="190">
        <v>4015</v>
      </c>
      <c r="C30" s="192" t="s">
        <v>191</v>
      </c>
      <c r="D30" s="192" t="s">
        <v>464</v>
      </c>
      <c r="E30" s="191">
        <v>43077.27584490741</v>
      </c>
      <c r="F30" s="191">
        <v>43077.279351851852</v>
      </c>
      <c r="G30" s="190">
        <v>68</v>
      </c>
      <c r="H30" s="192" t="s">
        <v>575</v>
      </c>
      <c r="I30" s="191">
        <v>43077.30568287037</v>
      </c>
      <c r="J30" s="190">
        <v>0</v>
      </c>
      <c r="K30" s="200" t="str">
        <f t="shared" si="0"/>
        <v>4015/4016</v>
      </c>
      <c r="L30" s="207" t="str">
        <f>VLOOKUP(A30,'Trips&amp;Operators'!$C$1:$G$99911,5,FALSE)</f>
        <v>HAMMOND JUSTYNN</v>
      </c>
      <c r="M30" s="189">
        <f t="shared" si="1"/>
        <v>2.6331018518249039E-2</v>
      </c>
      <c r="N30" s="190">
        <f t="shared" si="2"/>
        <v>37.916666666278616</v>
      </c>
      <c r="O30" s="190"/>
      <c r="P30" s="190"/>
      <c r="Q30" s="193"/>
      <c r="R30" s="205"/>
      <c r="S30" s="235">
        <f t="shared" si="3"/>
        <v>1</v>
      </c>
      <c r="T30" s="236" t="str">
        <f t="shared" si="4"/>
        <v>Southbound</v>
      </c>
      <c r="U30" s="23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37" t="str">
        <f t="shared" si="5"/>
        <v>https://d0f6bd738d7f1b3e5a7ca70fe4ff75f0.us-east-1.aws.found.io/app/kibana#/discover/Steve-Slow-Train-Analysis-(2080s-and-2083s)?_g=(refreshInterval:(display:Off,pause:!f,section:0,value:0),time:(from:'2017-12-08T05:37:13-0700',mode:absolute,to:'2017-12-08T08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38" t="str">
        <f>IF(AA30&lt;VLOOKUP(AG30,Variables!$AC$3:$AD$8,2,FALSE),"Y","N")</f>
        <v>N</v>
      </c>
      <c r="X30" s="238">
        <f t="shared" si="6"/>
        <v>1</v>
      </c>
      <c r="Y30" s="238">
        <f t="shared" si="7"/>
        <v>23.296900000000001</v>
      </c>
      <c r="Z30" s="238">
        <f t="shared" si="8"/>
        <v>2.1100000000000001E-2</v>
      </c>
      <c r="AA30" s="238">
        <f t="shared" si="9"/>
        <v>23.2758</v>
      </c>
      <c r="AB30" s="242" t="e">
        <f>VLOOKUP(A30,Enforcements!$C$7:$K$9,8,0)</f>
        <v>#N/A</v>
      </c>
      <c r="AC30" s="242" t="e">
        <f>VLOOKUP(A30,Enforcements!$C$7:$E$9,3,0)</f>
        <v>#N/A</v>
      </c>
      <c r="AD30" s="243">
        <f t="shared" si="10"/>
        <v>118</v>
      </c>
      <c r="AE30" s="198" t="str">
        <f t="shared" si="11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30" s="197" t="str">
        <f t="shared" si="12"/>
        <v>"C:\Program Files (x86)\AstroGrep\AstroGrep.exe" /e /r /s /spath="%USERPROFILE%\AppData\Local\Temp\OnboardLogs" /stypes="app*4015*20171208*" /stext=" 14:.+((SYSTEM_STATE.+slice.+state.+changed )|(ment ac)|(multiple cpu faults)|(system.+state.+changed )|(\[timeout)|(PRM\|1\|D)|(kpr)|(kdp)|(train st.+moving)|(\|lc)|(penalty))"</v>
      </c>
      <c r="AG30" s="206" t="str">
        <f t="shared" si="13"/>
        <v>EC</v>
      </c>
      <c r="AH30" s="199" t="str">
        <f t="shared" si="19"/>
        <v>"%USERPROFILE%\Documents\GitHub\eaglep3\Utilities\RefineRTDCRunTimes.py" --tripid 118-08 --locoid 4015 --swversion DE.1.0.9.0 --startMP 204:232969 --initTime 2017-12-08T06:37:13 --startdatetime 2017-12-08T06:42:16 --delay 68 --endMP 204:211 --enddatetime 2017-12-08T07:20:11 --enforcementcount 0 &gt;&gt;%USERPROFILE%\Documents\GitHub\eaglep3-reporting\EC\2017-12-08-refined-times.txt</v>
      </c>
      <c r="AI3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{"issue":{"subject":"","project_id":79,"tracker_id":40,"status_id":1,"priority_id":2,"assigned_to_id":338,"start_date":"2017-12-08","description":"","custom_fields":[{"id":1,"name":"Subdivision","value":"EC"},{"id":4,"name":"Milepost","value":"0.0211"},{"id":17,"name":"Train ID","value":"118-08"},{"id":16,"name":"Locomotive ID","value":"4015"},{"id":130,"name":"Impact","value":""},{"id":150,"name":"Time of Event (Mountain Time)","value":"07:20:11"},{"id":151,"name":"Denver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8"/>
      <c r="AK30" s="196"/>
      <c r="AL30" s="196"/>
      <c r="AM30" s="203" t="str">
        <f t="shared" si="21"/>
        <v>start /low /b %USERPROFILE%\Documents\GitHub\eaglep3\Utilities\DownloadLogsFromS3.py --loco 4015 --day 2017-12-08</v>
      </c>
      <c r="AN3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95" t="str">
        <f t="shared" si="23"/>
        <v>https://d0f6bd738d7f1b3e5a7ca70fe4ff75f0.us-east-1.aws.found.io/app/kibana#/discover/Steve-Slow-Train-Analysis-(2080s-and-2083s)?_g=(refreshInterval:(display:Off,pause:!f,section:0,value:0),time:(from:'2017-12-08T05:37:13-0700',mode:absolute,to:'2017-12-08T08:20:11-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194" t="s">
        <v>741</v>
      </c>
      <c r="B31" s="190">
        <v>4064</v>
      </c>
      <c r="C31" s="192" t="s">
        <v>191</v>
      </c>
      <c r="D31" s="192" t="s">
        <v>468</v>
      </c>
      <c r="E31" s="191">
        <v>43077.24491898148</v>
      </c>
      <c r="F31" s="191">
        <v>43077.250243055554</v>
      </c>
      <c r="G31" s="190">
        <v>90</v>
      </c>
      <c r="H31" s="192" t="s">
        <v>939</v>
      </c>
      <c r="I31" s="191">
        <v>43077.274664351855</v>
      </c>
      <c r="J31" s="190">
        <v>0</v>
      </c>
      <c r="K31" s="200" t="str">
        <f t="shared" si="0"/>
        <v>4063/4064</v>
      </c>
      <c r="L31" s="207" t="str">
        <f>VLOOKUP(A31,'Trips&amp;Operators'!$C$1:$G$99911,5,FALSE)</f>
        <v>ROCHA YAOTL</v>
      </c>
      <c r="M31" s="189">
        <f t="shared" si="1"/>
        <v>2.4421296300715767E-2</v>
      </c>
      <c r="N31" s="190">
        <f t="shared" si="2"/>
        <v>35.166666673030704</v>
      </c>
      <c r="O31" s="190"/>
      <c r="P31" s="190"/>
      <c r="Q31" s="193"/>
      <c r="R31" s="205"/>
      <c r="S31" s="235">
        <f t="shared" si="3"/>
        <v>1</v>
      </c>
      <c r="T31" s="236" t="str">
        <f t="shared" si="4"/>
        <v>NorthBound</v>
      </c>
      <c r="U31" s="23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37" t="str">
        <f t="shared" si="5"/>
        <v>https://d0f6bd738d7f1b3e5a7ca70fe4ff75f0.us-east-1.aws.found.io/app/kibana#/discover/Steve-Slow-Train-Analysis-(2080s-and-2083s)?_g=(refreshInterval:(display:Off,pause:!f,section:0,value:0),time:(from:'2017-12-08T04:52:41-0700',mode:absolute,to:'2017-12-08T07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38" t="str">
        <f>IF(AA31&lt;VLOOKUP(AG31,Variables!$AC$3:$AD$8,2,FALSE),"Y","N")</f>
        <v>N</v>
      </c>
      <c r="X31" s="238">
        <f t="shared" si="6"/>
        <v>1</v>
      </c>
      <c r="Y31" s="238">
        <f t="shared" si="7"/>
        <v>4.6600000000000003E-2</v>
      </c>
      <c r="Z31" s="238">
        <f t="shared" si="8"/>
        <v>23.331399999999999</v>
      </c>
      <c r="AA31" s="238">
        <f t="shared" si="9"/>
        <v>23.284799999999997</v>
      </c>
      <c r="AB31" s="242" t="e">
        <f>VLOOKUP(A31,Enforcements!$C$7:$K$9,8,0)</f>
        <v>#N/A</v>
      </c>
      <c r="AC31" s="242" t="e">
        <f>VLOOKUP(A31,Enforcements!$C$7:$E$9,3,0)</f>
        <v>#N/A</v>
      </c>
      <c r="AD31" s="243">
        <f t="shared" si="10"/>
        <v>119</v>
      </c>
      <c r="AE31" s="198" t="str">
        <f t="shared" si="11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31" s="197" t="str">
        <f t="shared" si="12"/>
        <v>"C:\Program Files (x86)\AstroGrep\AstroGrep.exe" /e /r /s /spath="%USERPROFILE%\AppData\Local\Temp\OnboardLogs" /stypes="app*4064*20171208*" /stext=" 13:.+((SYSTEM_STATE.+slice.+state.+changed )|(ment ac)|(multiple cpu faults)|(system.+state.+changed )|(\[timeout)|(PRM\|1\|D)|(kpr)|(kdp)|(train st.+moving)|(\|lc)|(penalty))"</v>
      </c>
      <c r="AG31" s="206" t="str">
        <f t="shared" si="13"/>
        <v>EC</v>
      </c>
      <c r="AH31" s="199" t="str">
        <f t="shared" si="19"/>
        <v>"%USERPROFILE%\Documents\GitHub\eaglep3\Utilities\RefineRTDCRunTimes.py" --tripid 119-08 --locoid 4064 --swversion DE.1.0.9.0 --startMP 204:466 --initTime 2017-12-08T05:52:41 --startdatetime 2017-12-08T06:00:21 --delay 90 --endMP 204:233314 --enddatetime 2017-12-08T06:35:31 --enforcementcount 0 &gt;&gt;%USERPROFILE%\Documents\GitHub\eaglep3-reporting\EC\2017-12-08-refined-times.txt</v>
      </c>
      <c r="AI3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{"issue":{"subject":"","project_id":79,"tracker_id":40,"status_id":1,"priority_id":2,"assigned_to_id":338,"start_date":"2017-12-08","description":"","custom_fields":[{"id":1,"name":"Subdivision","value":"EC"},{"id":4,"name":"Milepost","value":"23.3314"},{"id":17,"name":"Train ID","value":"119-08"},{"id":16,"name":"Locomotive ID","value":"4064"},{"id":130,"name":"Impact","value":""},{"id":150,"name":"Time of Event (Mountain Time)","value":"06:35:31"},{"id":151,"name":"Denver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8"/>
      <c r="AK31" s="196"/>
      <c r="AL31" s="196"/>
      <c r="AM31" s="203" t="str">
        <f t="shared" si="21"/>
        <v>start /low /b %USERPROFILE%\Documents\GitHub\eaglep3\Utilities\DownloadLogsFromS3.py --loco 4064 --day 2017-12-08</v>
      </c>
      <c r="AN3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95" t="str">
        <f t="shared" si="23"/>
        <v>https://d0f6bd738d7f1b3e5a7ca70fe4ff75f0.us-east-1.aws.found.io/app/kibana#/discover/Steve-Slow-Train-Analysis-(2080s-and-2083s)?_g=(refreshInterval:(display:Off,pause:!f,section:0,value:0),time:(from:'2017-12-08T04:52:41-0700',mode:absolute,to:'2017-12-08T07:35:31-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194" t="s">
        <v>681</v>
      </c>
      <c r="B32" s="190">
        <v>4063</v>
      </c>
      <c r="C32" s="192" t="s">
        <v>191</v>
      </c>
      <c r="D32" s="192" t="s">
        <v>569</v>
      </c>
      <c r="E32" s="191">
        <v>43077.287800925929</v>
      </c>
      <c r="F32" s="191">
        <v>43077.289768518516</v>
      </c>
      <c r="G32" s="190">
        <v>74</v>
      </c>
      <c r="H32" s="192" t="s">
        <v>590</v>
      </c>
      <c r="I32" s="191">
        <v>43077.316342592596</v>
      </c>
      <c r="J32" s="190">
        <v>0</v>
      </c>
      <c r="K32" s="200" t="str">
        <f t="shared" si="0"/>
        <v>4063/4064</v>
      </c>
      <c r="L32" s="207" t="str">
        <f>VLOOKUP(A32,'Trips&amp;Operators'!$C$1:$G$99911,5,FALSE)</f>
        <v>ROCHA YAOTL</v>
      </c>
      <c r="M32" s="189">
        <f t="shared" si="1"/>
        <v>2.6574074079690035E-2</v>
      </c>
      <c r="N32" s="190">
        <f t="shared" si="2"/>
        <v>38.266666674753651</v>
      </c>
      <c r="O32" s="190"/>
      <c r="P32" s="190"/>
      <c r="Q32" s="193"/>
      <c r="R32" s="205"/>
      <c r="S32" s="235">
        <f t="shared" si="3"/>
        <v>1</v>
      </c>
      <c r="T32" s="236" t="str">
        <f t="shared" si="4"/>
        <v>Southbound</v>
      </c>
      <c r="U32" s="23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37" t="str">
        <f t="shared" si="5"/>
        <v>https://d0f6bd738d7f1b3e5a7ca70fe4ff75f0.us-east-1.aws.found.io/app/kibana#/discover/Steve-Slow-Train-Analysis-(2080s-and-2083s)?_g=(refreshInterval:(display:Off,pause:!f,section:0,value:0),time:(from:'2017-12-08T05:54:26-0700',mode:absolute,to:'2017-12-08T08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38" t="str">
        <f>IF(AA32&lt;VLOOKUP(AG32,Variables!$AC$3:$AD$8,2,FALSE),"Y","N")</f>
        <v>N</v>
      </c>
      <c r="X32" s="238">
        <f t="shared" si="6"/>
        <v>1</v>
      </c>
      <c r="Y32" s="238">
        <f t="shared" si="7"/>
        <v>23.299800000000001</v>
      </c>
      <c r="Z32" s="238">
        <f t="shared" si="8"/>
        <v>1.5599999999999999E-2</v>
      </c>
      <c r="AA32" s="238">
        <f t="shared" si="9"/>
        <v>23.284200000000002</v>
      </c>
      <c r="AB32" s="242" t="e">
        <f>VLOOKUP(A32,Enforcements!$C$7:$K$9,8,0)</f>
        <v>#N/A</v>
      </c>
      <c r="AC32" s="242" t="e">
        <f>VLOOKUP(A32,Enforcements!$C$7:$E$9,3,0)</f>
        <v>#N/A</v>
      </c>
      <c r="AD32" s="243">
        <f t="shared" si="10"/>
        <v>120</v>
      </c>
      <c r="AE32" s="198" t="str">
        <f t="shared" si="11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32" s="197" t="str">
        <f t="shared" si="12"/>
        <v>"C:\Program Files (x86)\AstroGrep\AstroGrep.exe" /e /r /s /spath="%USERPROFILE%\AppData\Local\Temp\OnboardLogs" /stypes="app*4063*20171208*" /stext=" 14:.+((SYSTEM_STATE.+slice.+state.+changed )|(ment ac)|(multiple cpu faults)|(system.+state.+changed )|(\[timeout)|(PRM\|1\|D)|(kpr)|(kdp)|(train st.+moving)|(\|lc)|(penalty))"</v>
      </c>
      <c r="AG32" s="206" t="str">
        <f t="shared" si="13"/>
        <v>EC</v>
      </c>
      <c r="AH32" s="199" t="str">
        <f t="shared" si="19"/>
        <v>"%USERPROFILE%\Documents\GitHub\eaglep3\Utilities\RefineRTDCRunTimes.py" --tripid 120-08 --locoid 4063 --swversion DE.1.0.9.0 --startMP 204:232998 --initTime 2017-12-08T06:54:26 --startdatetime 2017-12-08T06:57:16 --delay 74 --endMP 204:156 --enddatetime 2017-12-08T07:35:32 --enforcementcount 0 &gt;&gt;%USERPROFILE%\Documents\GitHub\eaglep3-reporting\EC\2017-12-08-refined-times.txt</v>
      </c>
      <c r="AI3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{"issue":{"subject":"","project_id":79,"tracker_id":40,"status_id":1,"priority_id":2,"assigned_to_id":338,"start_date":"2017-12-08","description":"","custom_fields":[{"id":1,"name":"Subdivision","value":"EC"},{"id":4,"name":"Milepost","value":"0.0156"},{"id":17,"name":"Train ID","value":"120-08"},{"id":16,"name":"Locomotive ID","value":"4063"},{"id":130,"name":"Impact","value":""},{"id":150,"name":"Time of Event (Mountain Time)","value":"07:35:32"},{"id":151,"name":"Denver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8"/>
      <c r="AK32" s="196"/>
      <c r="AL32" s="196"/>
      <c r="AM32" s="203" t="str">
        <f t="shared" si="21"/>
        <v>start /low /b %USERPROFILE%\Documents\GitHub\eaglep3\Utilities\DownloadLogsFromS3.py --loco 4063 --day 2017-12-08</v>
      </c>
      <c r="AN3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95" t="str">
        <f t="shared" si="23"/>
        <v>https://d0f6bd738d7f1b3e5a7ca70fe4ff75f0.us-east-1.aws.found.io/app/kibana#/discover/Steve-Slow-Train-Analysis-(2080s-and-2083s)?_g=(refreshInterval:(display:Off,pause:!f,section:0,value:0),time:(from:'2017-12-08T05:54:26-0700',mode:absolute,to:'2017-12-08T08:35:32-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194" t="s">
        <v>744</v>
      </c>
      <c r="B33" s="190">
        <v>4024</v>
      </c>
      <c r="C33" s="192" t="s">
        <v>191</v>
      </c>
      <c r="D33" s="192" t="s">
        <v>589</v>
      </c>
      <c r="E33" s="191">
        <v>43077.255532407406</v>
      </c>
      <c r="F33" s="191">
        <v>43077.260625000003</v>
      </c>
      <c r="G33" s="190">
        <v>58</v>
      </c>
      <c r="H33" s="192" t="s">
        <v>940</v>
      </c>
      <c r="I33" s="191">
        <v>43077.284803240742</v>
      </c>
      <c r="J33" s="190">
        <v>0</v>
      </c>
      <c r="K33" s="200" t="str">
        <f t="shared" si="0"/>
        <v>4023/4024</v>
      </c>
      <c r="L33" s="207" t="str">
        <f>VLOOKUP(A33,'Trips&amp;Operators'!$C$1:$G$99911,5,FALSE)</f>
        <v>GEBRETEKLE DAGNEW</v>
      </c>
      <c r="M33" s="189">
        <f t="shared" si="1"/>
        <v>2.417824073927477E-2</v>
      </c>
      <c r="N33" s="190">
        <f t="shared" si="2"/>
        <v>34.816666664555669</v>
      </c>
      <c r="O33" s="190"/>
      <c r="P33" s="190"/>
      <c r="Q33" s="193"/>
      <c r="R33" s="205"/>
      <c r="S33" s="235">
        <f t="shared" si="3"/>
        <v>1</v>
      </c>
      <c r="T33" s="236" t="str">
        <f t="shared" si="4"/>
        <v>NorthBound</v>
      </c>
      <c r="U33" s="23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37" t="str">
        <f t="shared" si="5"/>
        <v>https://d0f6bd738d7f1b3e5a7ca70fe4ff75f0.us-east-1.aws.found.io/app/kibana#/discover/Steve-Slow-Train-Analysis-(2080s-and-2083s)?_g=(refreshInterval:(display:Off,pause:!f,section:0,value:0),time:(from:'2017-12-08T05:07:58-0700',mode:absolute,to:'2017-12-08T07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38" t="str">
        <f>IF(AA33&lt;VLOOKUP(AG33,Variables!$AC$3:$AD$8,2,FALSE),"Y","N")</f>
        <v>N</v>
      </c>
      <c r="X33" s="238">
        <f t="shared" si="6"/>
        <v>1</v>
      </c>
      <c r="Y33" s="238">
        <f t="shared" si="7"/>
        <v>4.9500000000000002E-2</v>
      </c>
      <c r="Z33" s="238">
        <f t="shared" si="8"/>
        <v>23.330300000000001</v>
      </c>
      <c r="AA33" s="238">
        <f t="shared" si="9"/>
        <v>23.280800000000003</v>
      </c>
      <c r="AB33" s="242" t="e">
        <f>VLOOKUP(A33,Enforcements!$C$7:$K$9,8,0)</f>
        <v>#N/A</v>
      </c>
      <c r="AC33" s="242" t="e">
        <f>VLOOKUP(A33,Enforcements!$C$7:$E$9,3,0)</f>
        <v>#N/A</v>
      </c>
      <c r="AD33" s="243">
        <f t="shared" si="10"/>
        <v>121</v>
      </c>
      <c r="AE33" s="198" t="str">
        <f t="shared" si="11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33" s="197" t="str">
        <f t="shared" si="12"/>
        <v>"C:\Program Files (x86)\AstroGrep\AstroGrep.exe" /e /r /s /spath="%USERPROFILE%\AppData\Local\Temp\OnboardLogs" /stypes="app*4024*20171208*" /stext=" 13:.+((SYSTEM_STATE.+slice.+state.+changed )|(ment ac)|(multiple cpu faults)|(system.+state.+changed )|(\[timeout)|(PRM\|1\|D)|(kpr)|(kdp)|(train st.+moving)|(\|lc)|(penalty))"</v>
      </c>
      <c r="AG33" s="206" t="str">
        <f t="shared" si="13"/>
        <v>EC</v>
      </c>
      <c r="AH33" s="199" t="str">
        <f t="shared" si="19"/>
        <v>"%USERPROFILE%\Documents\GitHub\eaglep3\Utilities\RefineRTDCRunTimes.py" --tripid 121-08 --locoid 4024 --swversion DE.1.0.9.0 --startMP 204:495 --initTime 2017-12-08T06:07:58 --startdatetime 2017-12-08T06:15:18 --delay 58 --endMP 204:233303 --enddatetime 2017-12-08T06:50:07 --enforcementcount 0 &gt;&gt;%USERPROFILE%\Documents\GitHub\eaglep3-reporting\EC\2017-12-08-refined-times.txt</v>
      </c>
      <c r="AI33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{"issue":{"subject":"","project_id":79,"tracker_id":40,"status_id":1,"priority_id":2,"assigned_to_id":338,"start_date":"2017-12-08","description":"","custom_fields":[{"id":1,"name":"Subdivision","value":"EC"},{"id":4,"name":"Milepost","value":"23.3303"},{"id":17,"name":"Train ID","value":"121-08"},{"id":16,"name":"Locomotive ID","value":"4024"},{"id":130,"name":"Impact","value":""},{"id":150,"name":"Time of Event (Mountain Time)","value":"06:50:07"},{"id":151,"name":"Denver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8"/>
      <c r="AK33" s="196"/>
      <c r="AL33" s="196"/>
      <c r="AM33" s="203" t="str">
        <f t="shared" si="21"/>
        <v>start /low /b %USERPROFILE%\Documents\GitHub\eaglep3\Utilities\DownloadLogsFromS3.py --loco 4024 --day 2017-12-08</v>
      </c>
      <c r="AN33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95" t="str">
        <f t="shared" si="23"/>
        <v>https://d0f6bd738d7f1b3e5a7ca70fe4ff75f0.us-east-1.aws.found.io/app/kibana#/discover/Steve-Slow-Train-Analysis-(2080s-and-2083s)?_g=(refreshInterval:(display:Off,pause:!f,section:0,value:0),time:(from:'2017-12-08T05:07:58-0700',mode:absolute,to:'2017-12-08T07:50:07-0700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194" t="s">
        <v>751</v>
      </c>
      <c r="B34" s="190">
        <v>4023</v>
      </c>
      <c r="C34" s="192" t="s">
        <v>191</v>
      </c>
      <c r="D34" s="192" t="s">
        <v>618</v>
      </c>
      <c r="E34" s="191">
        <v>43077.286296296297</v>
      </c>
      <c r="F34" s="191">
        <v>43077.300208333334</v>
      </c>
      <c r="G34" s="190">
        <v>49</v>
      </c>
      <c r="H34" s="192" t="s">
        <v>929</v>
      </c>
      <c r="I34" s="191">
        <v>43077.32644675926</v>
      </c>
      <c r="J34" s="190">
        <v>0</v>
      </c>
      <c r="K34" s="200" t="str">
        <f t="shared" si="0"/>
        <v>4023/4024</v>
      </c>
      <c r="L34" s="207" t="str">
        <f>VLOOKUP(A34,'Trips&amp;Operators'!$C$1:$G$99911,5,FALSE)</f>
        <v>GEBRETEKLE DAGNEW</v>
      </c>
      <c r="M34" s="189">
        <f t="shared" si="1"/>
        <v>2.6238425925839692E-2</v>
      </c>
      <c r="N34" s="190">
        <f t="shared" si="2"/>
        <v>37.783333333209157</v>
      </c>
      <c r="O34" s="190"/>
      <c r="P34" s="190"/>
      <c r="Q34" s="193"/>
      <c r="R34" s="205"/>
      <c r="S34" s="235">
        <f t="shared" si="3"/>
        <v>1</v>
      </c>
      <c r="T34" s="236" t="str">
        <f t="shared" si="4"/>
        <v>Southbound</v>
      </c>
      <c r="U34" s="23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37" t="str">
        <f t="shared" si="5"/>
        <v>https://d0f6bd738d7f1b3e5a7ca70fe4ff75f0.us-east-1.aws.found.io/app/kibana#/discover/Steve-Slow-Train-Analysis-(2080s-and-2083s)?_g=(refreshInterval:(display:Off,pause:!f,section:0,value:0),time:(from:'2017-12-08T05:52:16-0700',mode:absolute,to:'2017-12-08T08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38" t="str">
        <f>IF(AA34&lt;VLOOKUP(AG34,Variables!$AC$3:$AD$8,2,FALSE),"Y","N")</f>
        <v>N</v>
      </c>
      <c r="X34" s="238">
        <f t="shared" si="6"/>
        <v>1</v>
      </c>
      <c r="Y34" s="238">
        <f t="shared" si="7"/>
        <v>23.2986</v>
      </c>
      <c r="Z34" s="238">
        <f t="shared" si="8"/>
        <v>1.61E-2</v>
      </c>
      <c r="AA34" s="238">
        <f t="shared" si="9"/>
        <v>23.282499999999999</v>
      </c>
      <c r="AB34" s="242" t="e">
        <f>VLOOKUP(A34,Enforcements!$C$7:$K$9,8,0)</f>
        <v>#N/A</v>
      </c>
      <c r="AC34" s="242" t="e">
        <f>VLOOKUP(A34,Enforcements!$C$7:$E$9,3,0)</f>
        <v>#N/A</v>
      </c>
      <c r="AD34" s="243">
        <f t="shared" si="10"/>
        <v>122</v>
      </c>
      <c r="AE34" s="198" t="str">
        <f t="shared" si="11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34" s="197" t="str">
        <f t="shared" si="12"/>
        <v>"C:\Program Files (x86)\AstroGrep\AstroGrep.exe" /e /r /s /spath="%USERPROFILE%\AppData\Local\Temp\OnboardLogs" /stypes="app*4023*20171208*" /stext=" 14:.+((SYSTEM_STATE.+slice.+state.+changed )|(ment ac)|(multiple cpu faults)|(system.+state.+changed )|(\[timeout)|(PRM\|1\|D)|(kpr)|(kdp)|(train st.+moving)|(\|lc)|(penalty))"</v>
      </c>
      <c r="AG34" s="206" t="str">
        <f t="shared" si="13"/>
        <v>EC</v>
      </c>
      <c r="AH34" s="199" t="str">
        <f t="shared" si="19"/>
        <v>"%USERPROFILE%\Documents\GitHub\eaglep3\Utilities\RefineRTDCRunTimes.py" --tripid 122-08 --locoid 4023 --swversion DE.1.0.9.0 --startMP 204:232986 --initTime 2017-12-08T06:52:16 --startdatetime 2017-12-08T07:12:18 --delay 49 --endMP 204:161 --enddatetime 2017-12-08T07:50:05 --enforcementcount 0 &gt;&gt;%USERPROFILE%\Documents\GitHub\eaglep3-reporting\EC\2017-12-08-refined-times.txt</v>
      </c>
      <c r="AI3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{"issue":{"subject":"","project_id":79,"tracker_id":40,"status_id":1,"priority_id":2,"assigned_to_id":338,"start_date":"2017-12-08","description":"","custom_fields":[{"id":1,"name":"Subdivision","value":"EC"},{"id":4,"name":"Milepost","value":"0.0161"},{"id":17,"name":"Train ID","value":"122-08"},{"id":16,"name":"Locomotive ID","value":"4023"},{"id":130,"name":"Impact","value":""},{"id":150,"name":"Time of Event (Mountain Time)","value":"07:50:05"},{"id":151,"name":"Denver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8"/>
      <c r="AK34" s="196"/>
      <c r="AL34" s="196"/>
      <c r="AM34" s="203" t="str">
        <f t="shared" si="21"/>
        <v>start /low /b %USERPROFILE%\Documents\GitHub\eaglep3\Utilities\DownloadLogsFromS3.py --loco 4023 --day 2017-12-08</v>
      </c>
      <c r="AN3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95" t="str">
        <f t="shared" si="23"/>
        <v>https://d0f6bd738d7f1b3e5a7ca70fe4ff75f0.us-east-1.aws.found.io/app/kibana#/discover/Steve-Slow-Train-Analysis-(2080s-and-2083s)?_g=(refreshInterval:(display:Off,pause:!f,section:0,value:0),time:(from:'2017-12-08T05:52:16-0700',mode:absolute,to:'2017-12-08T08:50:05-0700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194" t="s">
        <v>746</v>
      </c>
      <c r="B35" s="190">
        <v>4050</v>
      </c>
      <c r="C35" s="192" t="s">
        <v>191</v>
      </c>
      <c r="D35" s="192" t="s">
        <v>941</v>
      </c>
      <c r="E35" s="191">
        <v>43077.265208333331</v>
      </c>
      <c r="F35" s="191">
        <v>43077.271574074075</v>
      </c>
      <c r="G35" s="190">
        <v>83</v>
      </c>
      <c r="H35" s="192" t="s">
        <v>625</v>
      </c>
      <c r="I35" s="191">
        <v>43077.295451388891</v>
      </c>
      <c r="J35" s="190">
        <v>0</v>
      </c>
      <c r="K35" s="200" t="str">
        <f t="shared" si="0"/>
        <v>4049/4050</v>
      </c>
      <c r="L35" s="207" t="str">
        <f>VLOOKUP(A35,'Trips&amp;Operators'!$C$1:$G$99911,5,FALSE)</f>
        <v>LOPES KIMBERLY</v>
      </c>
      <c r="M35" s="189">
        <f t="shared" si="1"/>
        <v>2.3877314815763384E-2</v>
      </c>
      <c r="N35" s="190">
        <f t="shared" si="2"/>
        <v>34.383333334699273</v>
      </c>
      <c r="O35" s="190"/>
      <c r="P35" s="190"/>
      <c r="Q35" s="193"/>
      <c r="R35" s="205"/>
      <c r="S35" s="235">
        <f t="shared" si="3"/>
        <v>1</v>
      </c>
      <c r="T35" s="236" t="str">
        <f t="shared" si="4"/>
        <v>NorthBound</v>
      </c>
      <c r="U35" s="23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37" t="str">
        <f t="shared" si="5"/>
        <v>https://d0f6bd738d7f1b3e5a7ca70fe4ff75f0.us-east-1.aws.found.io/app/kibana#/discover/Steve-Slow-Train-Analysis-(2080s-and-2083s)?_g=(refreshInterval:(display:Off,pause:!f,section:0,value:0),time:(from:'2017-12-08T05:21:54-0700',mode:absolute,to:'2017-12-08T08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5" s="238" t="str">
        <f>IF(AA35&lt;VLOOKUP(AG35,Variables!$AC$3:$AD$8,2,FALSE),"Y","N")</f>
        <v>N</v>
      </c>
      <c r="X35" s="238">
        <f t="shared" si="6"/>
        <v>1</v>
      </c>
      <c r="Y35" s="238">
        <f t="shared" si="7"/>
        <v>4.82E-2</v>
      </c>
      <c r="Z35" s="238">
        <f t="shared" si="8"/>
        <v>23.333400000000001</v>
      </c>
      <c r="AA35" s="238">
        <f t="shared" si="9"/>
        <v>23.2852</v>
      </c>
      <c r="AB35" s="242" t="e">
        <f>VLOOKUP(A35,Enforcements!$C$7:$K$9,8,0)</f>
        <v>#N/A</v>
      </c>
      <c r="AC35" s="242" t="e">
        <f>VLOOKUP(A35,Enforcements!$C$7:$E$9,3,0)</f>
        <v>#N/A</v>
      </c>
      <c r="AD35" s="243">
        <f t="shared" si="10"/>
        <v>123</v>
      </c>
      <c r="AE35" s="198" t="str">
        <f t="shared" si="11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35" s="197" t="str">
        <f t="shared" si="12"/>
        <v>"C:\Program Files (x86)\AstroGrep\AstroGrep.exe" /e /r /s /spath="%USERPROFILE%\AppData\Local\Temp\OnboardLogs" /stypes="app*4050*20171208*" /stext=" 14:.+((SYSTEM_STATE.+slice.+state.+changed )|(ment ac)|(multiple cpu faults)|(system.+state.+changed )|(\[timeout)|(PRM\|1\|D)|(kpr)|(kdp)|(train st.+moving)|(\|lc)|(penalty))"</v>
      </c>
      <c r="AG35" s="206" t="str">
        <f t="shared" si="13"/>
        <v>EC</v>
      </c>
      <c r="AH35" s="199" t="str">
        <f t="shared" si="19"/>
        <v>"%USERPROFILE%\Documents\GitHub\eaglep3\Utilities\RefineRTDCRunTimes.py" --tripid 123-08 --locoid 4050 --swversion DE.1.0.9.0 --startMP 204:482 --initTime 2017-12-08T06:21:54 --startdatetime 2017-12-08T06:31:04 --delay 83 --endMP 204:233334 --enddatetime 2017-12-08T07:05:27 --enforcementcount 0 &gt;&gt;%USERPROFILE%\Documents\GitHub\eaglep3-reporting\EC\2017-12-08-refined-times.txt</v>
      </c>
      <c r="AI3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{"issue":{"subject":"","project_id":79,"tracker_id":40,"status_id":1,"priority_id":2,"assigned_to_id":338,"start_date":"2017-12-08","description":"","custom_fields":[{"id":1,"name":"Subdivision","value":"EC"},{"id":4,"name":"Milepost","value":"23.3334"},{"id":17,"name":"Train ID","value":"123-08"},{"id":16,"name":"Locomotive ID","value":"4050"},{"id":130,"name":"Impact","value":""},{"id":150,"name":"Time of Event (Mountain Time)","value":"07:05:27"},{"id":151,"name":"Denver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8"/>
      <c r="AK35" s="196"/>
      <c r="AL35" s="196"/>
      <c r="AM35" s="203" t="str">
        <f t="shared" si="21"/>
        <v>start /low /b %USERPROFILE%\Documents\GitHub\eaglep3\Utilities\DownloadLogsFromS3.py --loco 4050 --day 2017-12-08</v>
      </c>
      <c r="AN3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95" t="str">
        <f t="shared" si="23"/>
        <v>https://d0f6bd738d7f1b3e5a7ca70fe4ff75f0.us-east-1.aws.found.io/app/kibana#/discover/Steve-Slow-Train-Analysis-(2080s-and-2083s)?_g=(refreshInterval:(display:Off,pause:!f,section:0,value:0),time:(from:'2017-12-08T05:21:54-0700',mode:absolute,to:'2017-12-08T08:05:27-0700'))&amp;_a=(columns:!('Message%20ID',Summary),filters:!(),index:'emp_*',interval:auto,query:(query_string:(analyze_wildcard:!t,query:'%22rtdc.l.rtdc.4050%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194" t="s">
        <v>758</v>
      </c>
      <c r="B36" s="190">
        <v>4049</v>
      </c>
      <c r="C36" s="192" t="s">
        <v>191</v>
      </c>
      <c r="D36" s="192" t="s">
        <v>942</v>
      </c>
      <c r="E36" s="191">
        <v>43077.307870370372</v>
      </c>
      <c r="F36" s="191">
        <v>43077.310578703706</v>
      </c>
      <c r="G36" s="190">
        <v>66</v>
      </c>
      <c r="H36" s="192" t="s">
        <v>452</v>
      </c>
      <c r="I36" s="191">
        <v>43077.336608796293</v>
      </c>
      <c r="J36" s="190">
        <v>0</v>
      </c>
      <c r="K36" s="200" t="str">
        <f t="shared" si="0"/>
        <v>4049/4050</v>
      </c>
      <c r="L36" s="207" t="str">
        <f>VLOOKUP(A36,'Trips&amp;Operators'!$C$1:$G$99911,5,FALSE)</f>
        <v>LOPES KIMBERLY</v>
      </c>
      <c r="M36" s="189">
        <f t="shared" si="1"/>
        <v>2.6030092587461695E-2</v>
      </c>
      <c r="N36" s="190">
        <f t="shared" si="2"/>
        <v>37.483333325944841</v>
      </c>
      <c r="O36" s="190"/>
      <c r="P36" s="190"/>
      <c r="Q36" s="193"/>
      <c r="R36" s="205"/>
      <c r="S36" s="235">
        <f t="shared" si="3"/>
        <v>1</v>
      </c>
      <c r="T36" s="236" t="str">
        <f t="shared" si="4"/>
        <v>Southbound</v>
      </c>
      <c r="U36" s="23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37" t="str">
        <f t="shared" si="5"/>
        <v>https://d0f6bd738d7f1b3e5a7ca70fe4ff75f0.us-east-1.aws.found.io/app/kibana#/discover/Steve-Slow-Train-Analysis-(2080s-and-2083s)?_g=(refreshInterval:(display:Off,pause:!f,section:0,value:0),time:(from:'2017-12-08T06:23:20-0700',mode:absolute,to:'2017-12-08T09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6" s="238" t="str">
        <f>IF(AA36&lt;VLOOKUP(AG36,Variables!$AC$3:$AD$8,2,FALSE),"Y","N")</f>
        <v>N</v>
      </c>
      <c r="X36" s="238">
        <f t="shared" si="6"/>
        <v>1</v>
      </c>
      <c r="Y36" s="238">
        <f t="shared" si="7"/>
        <v>23.3019</v>
      </c>
      <c r="Z36" s="238">
        <f t="shared" si="8"/>
        <v>2.0899999999999998E-2</v>
      </c>
      <c r="AA36" s="238">
        <f t="shared" si="9"/>
        <v>23.280999999999999</v>
      </c>
      <c r="AB36" s="242" t="e">
        <f>VLOOKUP(A36,Enforcements!$C$7:$K$9,8,0)</f>
        <v>#N/A</v>
      </c>
      <c r="AC36" s="242" t="e">
        <f>VLOOKUP(A36,Enforcements!$C$7:$E$9,3,0)</f>
        <v>#N/A</v>
      </c>
      <c r="AD36" s="243">
        <f t="shared" si="10"/>
        <v>124</v>
      </c>
      <c r="AE36" s="198" t="str">
        <f t="shared" si="11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36" s="197" t="str">
        <f t="shared" si="12"/>
        <v>"C:\Program Files (x86)\AstroGrep\AstroGrep.exe" /e /r /s /spath="%USERPROFILE%\AppData\Local\Temp\OnboardLogs" /stypes="app*4049*20171208*" /stext=" 15:.+((SYSTEM_STATE.+slice.+state.+changed )|(ment ac)|(multiple cpu faults)|(system.+state.+changed )|(\[timeout)|(PRM\|1\|D)|(kpr)|(kdp)|(train st.+moving)|(\|lc)|(penalty))"</v>
      </c>
      <c r="AG36" s="206" t="str">
        <f t="shared" si="13"/>
        <v>EC</v>
      </c>
      <c r="AH36" s="199" t="str">
        <f t="shared" si="19"/>
        <v>"%USERPROFILE%\Documents\GitHub\eaglep3\Utilities\RefineRTDCRunTimes.py" --tripid 124-08 --locoid 4049 --swversion DE.1.0.9.0 --startMP 204:233019 --initTime 2017-12-08T07:23:20 --startdatetime 2017-12-08T07:27:14 --delay 66 --endMP 204:209 --enddatetime 2017-12-08T08:04:43 --enforcementcount 0 &gt;&gt;%USERPROFILE%\Documents\GitHub\eaglep3-reporting\EC\2017-12-08-refined-times.txt</v>
      </c>
      <c r="AI3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{"issue":{"subject":"","project_id":79,"tracker_id":40,"status_id":1,"priority_id":2,"assigned_to_id":338,"start_date":"2017-12-08","description":"","custom_fields":[{"id":1,"name":"Subdivision","value":"EC"},{"id":4,"name":"Milepost","value":"0.0209"},{"id":17,"name":"Train ID","value":"124-08"},{"id":16,"name":"Locomotive ID","value":"4049"},{"id":130,"name":"Impact","value":""},{"id":150,"name":"Time of Event (Mountain Time)","value":"08:04:43"},{"id":151,"name":"Denver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8"/>
      <c r="AK36" s="196"/>
      <c r="AL36" s="196"/>
      <c r="AM36" s="203" t="str">
        <f t="shared" si="21"/>
        <v>start /low /b %USERPROFILE%\Documents\GitHub\eaglep3\Utilities\DownloadLogsFromS3.py --loco 4049 --day 2017-12-08</v>
      </c>
      <c r="AN3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95" t="str">
        <f t="shared" si="23"/>
        <v>https://d0f6bd738d7f1b3e5a7ca70fe4ff75f0.us-east-1.aws.found.io/app/kibana#/discover/Steve-Slow-Train-Analysis-(2080s-and-2083s)?_g=(refreshInterval:(display:Off,pause:!f,section:0,value:0),time:(from:'2017-12-08T06:23:20-0700',mode:absolute,to:'2017-12-08T09:04:43-0700'))&amp;_a=(columns:!('Message%20ID',Summary),filters:!(),index:'emp_*',interval:auto,query:(query_string:(analyze_wildcard:!t,query:'%22rtdc.l.rtdc.4049%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194" t="s">
        <v>749</v>
      </c>
      <c r="B37" s="190">
        <v>4010</v>
      </c>
      <c r="C37" s="192" t="s">
        <v>191</v>
      </c>
      <c r="D37" s="192" t="s">
        <v>943</v>
      </c>
      <c r="E37" s="191">
        <v>43077.275451388887</v>
      </c>
      <c r="F37" s="191">
        <v>43077.281458333331</v>
      </c>
      <c r="G37" s="190">
        <v>41</v>
      </c>
      <c r="H37" s="192" t="s">
        <v>574</v>
      </c>
      <c r="I37" s="191">
        <v>43077.305266203701</v>
      </c>
      <c r="J37" s="190">
        <v>0</v>
      </c>
      <c r="K37" s="200" t="str">
        <f t="shared" si="0"/>
        <v>4009/4010</v>
      </c>
      <c r="L37" s="207" t="str">
        <f>VLOOKUP(A37,'Trips&amp;Operators'!$C$1:$G$99911,5,FALSE)</f>
        <v>YORK EDGAR</v>
      </c>
      <c r="M37" s="189">
        <f t="shared" si="1"/>
        <v>2.3807870369637385E-2</v>
      </c>
      <c r="N37" s="190">
        <f t="shared" si="2"/>
        <v>34.283333332277834</v>
      </c>
      <c r="O37" s="190"/>
      <c r="P37" s="190"/>
      <c r="Q37" s="193"/>
      <c r="R37" s="205"/>
      <c r="S37" s="235">
        <f t="shared" si="3"/>
        <v>1</v>
      </c>
      <c r="T37" s="236" t="str">
        <f t="shared" si="4"/>
        <v>NorthBound</v>
      </c>
      <c r="U37" s="23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37" t="str">
        <f t="shared" si="5"/>
        <v>https://d0f6bd738d7f1b3e5a7ca70fe4ff75f0.us-east-1.aws.found.io/app/kibana#/discover/Steve-Slow-Train-Analysis-(2080s-and-2083s)?_g=(refreshInterval:(display:Off,pause:!f,section:0,value:0),time:(from:'2017-12-08T05:36:39-0700',mode:absolute,to:'2017-12-08T08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38" t="str">
        <f>IF(AA37&lt;VLOOKUP(AG37,Variables!$AC$3:$AD$8,2,FALSE),"Y","N")</f>
        <v>N</v>
      </c>
      <c r="X37" s="238">
        <f t="shared" si="6"/>
        <v>1</v>
      </c>
      <c r="Y37" s="238">
        <f t="shared" si="7"/>
        <v>4.4900000000000002E-2</v>
      </c>
      <c r="Z37" s="238">
        <f t="shared" si="8"/>
        <v>23.3293</v>
      </c>
      <c r="AA37" s="238">
        <f t="shared" si="9"/>
        <v>23.284400000000002</v>
      </c>
      <c r="AB37" s="242" t="e">
        <f>VLOOKUP(A37,Enforcements!$C$7:$K$9,8,0)</f>
        <v>#N/A</v>
      </c>
      <c r="AC37" s="242" t="e">
        <f>VLOOKUP(A37,Enforcements!$C$7:$E$9,3,0)</f>
        <v>#N/A</v>
      </c>
      <c r="AD37" s="243">
        <f t="shared" si="10"/>
        <v>125</v>
      </c>
      <c r="AE37" s="198" t="str">
        <f t="shared" si="11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37" s="197" t="str">
        <f t="shared" si="12"/>
        <v>"C:\Program Files (x86)\AstroGrep\AstroGrep.exe" /e /r /s /spath="%USERPROFILE%\AppData\Local\Temp\OnboardLogs" /stypes="app*4010*20171208*" /stext=" 14:.+((SYSTEM_STATE.+slice.+state.+changed )|(ment ac)|(multiple cpu faults)|(system.+state.+changed )|(\[timeout)|(PRM\|1\|D)|(kpr)|(kdp)|(train st.+moving)|(\|lc)|(penalty))"</v>
      </c>
      <c r="AG37" s="206" t="str">
        <f t="shared" si="13"/>
        <v>EC</v>
      </c>
      <c r="AH37" s="199" t="str">
        <f t="shared" si="19"/>
        <v>"%USERPROFILE%\Documents\GitHub\eaglep3\Utilities\RefineRTDCRunTimes.py" --tripid 125-08 --locoid 4010 --swversion DE.1.0.9.0 --startMP 204:449 --initTime 2017-12-08T06:36:39 --startdatetime 2017-12-08T06:45:18 --delay 41 --endMP 204:233293 --enddatetime 2017-12-08T07:19:35 --enforcementcount 0 &gt;&gt;%USERPROFILE%\Documents\GitHub\eaglep3-reporting\EC\2017-12-08-refined-times.txt</v>
      </c>
      <c r="AI3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{"issue":{"subject":"","project_id":79,"tracker_id":40,"status_id":1,"priority_id":2,"assigned_to_id":338,"start_date":"2017-12-08","description":"","custom_fields":[{"id":1,"name":"Subdivision","value":"EC"},{"id":4,"name":"Milepost","value":"23.3293"},{"id":17,"name":"Train ID","value":"125-08"},{"id":16,"name":"Locomotive ID","value":"4010"},{"id":130,"name":"Impact","value":""},{"id":150,"name":"Time of Event (Mountain Time)","value":"07:19:35"},{"id":151,"name":"Denver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8"/>
      <c r="AK37" s="196"/>
      <c r="AL37" s="196"/>
      <c r="AM37" s="203" t="str">
        <f t="shared" si="21"/>
        <v>start /low /b %USERPROFILE%\Documents\GitHub\eaglep3\Utilities\DownloadLogsFromS3.py --loco 4010 --day 2017-12-08</v>
      </c>
      <c r="AN3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95" t="str">
        <f t="shared" si="23"/>
        <v>https://d0f6bd738d7f1b3e5a7ca70fe4ff75f0.us-east-1.aws.found.io/app/kibana#/discover/Steve-Slow-Train-Analysis-(2080s-and-2083s)?_g=(refreshInterval:(display:Off,pause:!f,section:0,value:0),time:(from:'2017-12-08T05:36:39-0700',mode:absolute,to:'2017-12-08T08:19:35-0700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194" t="s">
        <v>756</v>
      </c>
      <c r="B38" s="190">
        <v>4009</v>
      </c>
      <c r="C38" s="192" t="s">
        <v>191</v>
      </c>
      <c r="D38" s="192" t="s">
        <v>628</v>
      </c>
      <c r="E38" s="191">
        <v>43077.306423611109</v>
      </c>
      <c r="F38" s="191">
        <v>43077.321157407408</v>
      </c>
      <c r="G38" s="190">
        <v>56</v>
      </c>
      <c r="H38" s="192" t="s">
        <v>929</v>
      </c>
      <c r="I38" s="191">
        <v>43077.347048611111</v>
      </c>
      <c r="J38" s="190">
        <v>0</v>
      </c>
      <c r="K38" s="200" t="str">
        <f t="shared" si="0"/>
        <v>4009/4010</v>
      </c>
      <c r="L38" s="207" t="str">
        <f>VLOOKUP(A38,'Trips&amp;Operators'!$C$1:$G$99911,5,FALSE)</f>
        <v>YORK EDGAR</v>
      </c>
      <c r="M38" s="189">
        <f t="shared" si="1"/>
        <v>2.5891203702485655E-2</v>
      </c>
      <c r="N38" s="190">
        <f t="shared" si="2"/>
        <v>37.283333331579342</v>
      </c>
      <c r="O38" s="190"/>
      <c r="P38" s="190"/>
      <c r="Q38" s="193"/>
      <c r="R38" s="205"/>
      <c r="S38" s="235">
        <f t="shared" si="3"/>
        <v>1</v>
      </c>
      <c r="T38" s="236" t="str">
        <f t="shared" si="4"/>
        <v>Southbound</v>
      </c>
      <c r="U38" s="23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37" t="str">
        <f t="shared" si="5"/>
        <v>https://d0f6bd738d7f1b3e5a7ca70fe4ff75f0.us-east-1.aws.found.io/app/kibana#/discover/Steve-Slow-Train-Analysis-(2080s-and-2083s)?_g=(refreshInterval:(display:Off,pause:!f,section:0,value:0),time:(from:'2017-12-08T06:21:15-0700',mode:absolute,to:'2017-12-08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38" t="str">
        <f>IF(AA38&lt;VLOOKUP(AG38,Variables!$AC$3:$AD$8,2,FALSE),"Y","N")</f>
        <v>N</v>
      </c>
      <c r="X38" s="238">
        <f t="shared" si="6"/>
        <v>1</v>
      </c>
      <c r="Y38" s="238">
        <f t="shared" si="7"/>
        <v>23.297499999999999</v>
      </c>
      <c r="Z38" s="238">
        <f t="shared" si="8"/>
        <v>1.61E-2</v>
      </c>
      <c r="AA38" s="238">
        <f t="shared" si="9"/>
        <v>23.281399999999998</v>
      </c>
      <c r="AB38" s="242" t="e">
        <f>VLOOKUP(A38,Enforcements!$C$7:$K$9,8,0)</f>
        <v>#N/A</v>
      </c>
      <c r="AC38" s="242" t="e">
        <f>VLOOKUP(A38,Enforcements!$C$7:$E$9,3,0)</f>
        <v>#N/A</v>
      </c>
      <c r="AD38" s="243">
        <f t="shared" si="10"/>
        <v>126</v>
      </c>
      <c r="AE38" s="198" t="str">
        <f t="shared" si="11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38" s="197" t="str">
        <f t="shared" si="12"/>
        <v>"C:\Program Files (x86)\AstroGrep\AstroGrep.exe" /e /r /s /spath="%USERPROFILE%\AppData\Local\Temp\OnboardLogs" /stypes="app*4009*20171208*" /stext=" 15:.+((SYSTEM_STATE.+slice.+state.+changed )|(ment ac)|(multiple cpu faults)|(system.+state.+changed )|(\[timeout)|(PRM\|1\|D)|(kpr)|(kdp)|(train st.+moving)|(\|lc)|(penalty))"</v>
      </c>
      <c r="AG38" s="206" t="str">
        <f t="shared" si="13"/>
        <v>EC</v>
      </c>
      <c r="AH38" s="199" t="str">
        <f t="shared" si="19"/>
        <v>"%USERPROFILE%\Documents\GitHub\eaglep3\Utilities\RefineRTDCRunTimes.py" --tripid 126-08 --locoid 4009 --swversion DE.1.0.9.0 --startMP 204:232975 --initTime 2017-12-08T07:21:15 --startdatetime 2017-12-08T07:42:28 --delay 56 --endMP 204:161 --enddatetime 2017-12-08T08:19:45 --enforcementcount 0 &gt;&gt;%USERPROFILE%\Documents\GitHub\eaglep3-reporting\EC\2017-12-08-refined-times.txt</v>
      </c>
      <c r="AI3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{"issue":{"subject":"","project_id":79,"tracker_id":40,"status_id":1,"priority_id":2,"assigned_to_id":338,"start_date":"2017-12-08","description":"","custom_fields":[{"id":1,"name":"Subdivision","value":"EC"},{"id":4,"name":"Milepost","value":"0.0161"},{"id":17,"name":"Train ID","value":"126-08"},{"id":16,"name":"Locomotive ID","value":"4009"},{"id":130,"name":"Impact","value":""},{"id":150,"name":"Time of Event (Mountain Time)","value":"08:19:45"},{"id":151,"name":"Denver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8"/>
      <c r="AK38" s="196"/>
      <c r="AL38" s="196"/>
      <c r="AM38" s="203" t="str">
        <f t="shared" si="21"/>
        <v>start /low /b %USERPROFILE%\Documents\GitHub\eaglep3\Utilities\DownloadLogsFromS3.py --loco 4009 --day 2017-12-08</v>
      </c>
      <c r="AN3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95" t="str">
        <f t="shared" si="23"/>
        <v>https://d0f6bd738d7f1b3e5a7ca70fe4ff75f0.us-east-1.aws.found.io/app/kibana#/discover/Steve-Slow-Train-Analysis-(2080s-and-2083s)?_g=(refreshInterval:(display:Off,pause:!f,section:0,value:0),time:(from:'2017-12-08T06:21:15-0700',mode:absolute,to:'2017-12-08T09:19:45-0700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194" t="s">
        <v>752</v>
      </c>
      <c r="B39" s="190">
        <v>4020</v>
      </c>
      <c r="C39" s="192" t="s">
        <v>191</v>
      </c>
      <c r="D39" s="192" t="s">
        <v>943</v>
      </c>
      <c r="E39" s="191">
        <v>43077.288831018515</v>
      </c>
      <c r="F39" s="191">
        <v>43077.291817129626</v>
      </c>
      <c r="G39" s="190">
        <v>46</v>
      </c>
      <c r="H39" s="192" t="s">
        <v>574</v>
      </c>
      <c r="I39" s="191">
        <v>43077.315972222219</v>
      </c>
      <c r="J39" s="190">
        <v>0</v>
      </c>
      <c r="K39" s="200" t="str">
        <f t="shared" si="0"/>
        <v>4019/4020</v>
      </c>
      <c r="L39" s="207" t="str">
        <f>VLOOKUP(A39,'Trips&amp;Operators'!$C$1:$G$99911,5,FALSE)</f>
        <v>BIRENBAUM THOMAS</v>
      </c>
      <c r="M39" s="189">
        <f t="shared" si="1"/>
        <v>2.4155092592991423E-2</v>
      </c>
      <c r="N39" s="190">
        <f t="shared" si="2"/>
        <v>34.783333333907649</v>
      </c>
      <c r="O39" s="190"/>
      <c r="P39" s="190"/>
      <c r="Q39" s="193"/>
      <c r="R39" s="205"/>
      <c r="S39" s="235">
        <f t="shared" si="3"/>
        <v>1</v>
      </c>
      <c r="T39" s="236" t="str">
        <f t="shared" si="4"/>
        <v>NorthBound</v>
      </c>
      <c r="U39" s="23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37" t="str">
        <f t="shared" si="5"/>
        <v>https://d0f6bd738d7f1b3e5a7ca70fe4ff75f0.us-east-1.aws.found.io/app/kibana#/discover/Steve-Slow-Train-Analysis-(2080s-and-2083s)?_g=(refreshInterval:(display:Off,pause:!f,section:0,value:0),time:(from:'2017-12-08T05:55:55-0700',mode:absolute,to:'2017-12-08T08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238" t="str">
        <f>IF(AA39&lt;VLOOKUP(AG39,Variables!$AC$3:$AD$8,2,FALSE),"Y","N")</f>
        <v>N</v>
      </c>
      <c r="X39" s="238">
        <f t="shared" si="6"/>
        <v>1</v>
      </c>
      <c r="Y39" s="238">
        <f t="shared" si="7"/>
        <v>4.4900000000000002E-2</v>
      </c>
      <c r="Z39" s="238">
        <f t="shared" si="8"/>
        <v>23.3293</v>
      </c>
      <c r="AA39" s="238">
        <f t="shared" si="9"/>
        <v>23.284400000000002</v>
      </c>
      <c r="AB39" s="242" t="e">
        <f>VLOOKUP(A39,Enforcements!$C$7:$K$9,8,0)</f>
        <v>#N/A</v>
      </c>
      <c r="AC39" s="242" t="e">
        <f>VLOOKUP(A39,Enforcements!$C$7:$E$9,3,0)</f>
        <v>#N/A</v>
      </c>
      <c r="AD39" s="243">
        <f t="shared" si="10"/>
        <v>127</v>
      </c>
      <c r="AE39" s="198" t="str">
        <f t="shared" si="11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39" s="197" t="str">
        <f t="shared" si="12"/>
        <v>"C:\Program Files (x86)\AstroGrep\AstroGrep.exe" /e /r /s /spath="%USERPROFILE%\AppData\Local\Temp\OnboardLogs" /stypes="app*4020*20171208*" /stext=" 14:.+((SYSTEM_STATE.+slice.+state.+changed )|(ment ac)|(multiple cpu faults)|(system.+state.+changed )|(\[timeout)|(PRM\|1\|D)|(kpr)|(kdp)|(train st.+moving)|(\|lc)|(penalty))"</v>
      </c>
      <c r="AG39" s="206" t="str">
        <f t="shared" si="13"/>
        <v>EC</v>
      </c>
      <c r="AH39" s="199" t="str">
        <f t="shared" si="19"/>
        <v>"%USERPROFILE%\Documents\GitHub\eaglep3\Utilities\RefineRTDCRunTimes.py" --tripid 127-08 --locoid 4020 --swversion DE.1.0.9.0 --startMP 204:449 --initTime 2017-12-08T06:55:55 --startdatetime 2017-12-08T07:00:13 --delay 46 --endMP 204:233293 --enddatetime 2017-12-08T07:35:00 --enforcementcount 0 &gt;&gt;%USERPROFILE%\Documents\GitHub\eaglep3-reporting\EC\2017-12-08-refined-times.txt</v>
      </c>
      <c r="AI3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{"issue":{"subject":"","project_id":79,"tracker_id":40,"status_id":1,"priority_id":2,"assigned_to_id":338,"start_date":"2017-12-08","description":"","custom_fields":[{"id":1,"name":"Subdivision","value":"EC"},{"id":4,"name":"Milepost","value":"23.3293"},{"id":17,"name":"Train ID","value":"127-08"},{"id":16,"name":"Locomotive ID","value":"4020"},{"id":130,"name":"Impact","value":""},{"id":150,"name":"Time of Event (Mountain Time)","value":"07:35:00"},{"id":151,"name":"Denver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8"/>
      <c r="AK39" s="196"/>
      <c r="AL39" s="196"/>
      <c r="AM39" s="203" t="str">
        <f t="shared" si="21"/>
        <v>start /low /b %USERPROFILE%\Documents\GitHub\eaglep3\Utilities\DownloadLogsFromS3.py --loco 4020 --day 2017-12-08</v>
      </c>
      <c r="AN3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95" t="str">
        <f t="shared" si="23"/>
        <v>https://d0f6bd738d7f1b3e5a7ca70fe4ff75f0.us-east-1.aws.found.io/app/kibana#/discover/Steve-Slow-Train-Analysis-(2080s-and-2083s)?_g=(refreshInterval:(display:Off,pause:!f,section:0,value:0),time:(from:'2017-12-08T05:55:55-0700',mode:absolute,to:'2017-12-08T08:35:00-0700'))&amp;_a=(columns:!('Message%20ID',Summary),filters:!(),index:'emp_*',interval:auto,query:(query_string:(analyze_wildcard:!t,query:'%22rtdc.l.rtdc.4020%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194" t="s">
        <v>761</v>
      </c>
      <c r="B40" s="190">
        <v>4019</v>
      </c>
      <c r="C40" s="192" t="s">
        <v>191</v>
      </c>
      <c r="D40" s="192" t="s">
        <v>466</v>
      </c>
      <c r="E40" s="191">
        <v>43077.317141203705</v>
      </c>
      <c r="F40" s="191">
        <v>43077.331412037034</v>
      </c>
      <c r="G40" s="190">
        <v>49</v>
      </c>
      <c r="H40" s="192" t="s">
        <v>944</v>
      </c>
      <c r="I40" s="191">
        <v>43077.356481481482</v>
      </c>
      <c r="J40" s="190">
        <v>0</v>
      </c>
      <c r="K40" s="200" t="str">
        <f t="shared" si="0"/>
        <v>4019/4020</v>
      </c>
      <c r="L40" s="207" t="str">
        <f>VLOOKUP(A40,'Trips&amp;Operators'!$C$1:$G$99911,5,FALSE)</f>
        <v>BIRENBAUM THOMAS</v>
      </c>
      <c r="M40" s="189">
        <f t="shared" si="1"/>
        <v>2.5069444447581191E-2</v>
      </c>
      <c r="N40" s="190">
        <f t="shared" si="2"/>
        <v>36.100000004516914</v>
      </c>
      <c r="O40" s="190"/>
      <c r="P40" s="190"/>
      <c r="Q40" s="193"/>
      <c r="R40" s="205"/>
      <c r="S40" s="235">
        <f t="shared" si="3"/>
        <v>1</v>
      </c>
      <c r="T40" s="236" t="str">
        <f t="shared" si="4"/>
        <v>Southbound</v>
      </c>
      <c r="U40" s="23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37" t="str">
        <f t="shared" si="5"/>
        <v>https://d0f6bd738d7f1b3e5a7ca70fe4ff75f0.us-east-1.aws.found.io/app/kibana#/discover/Steve-Slow-Train-Analysis-(2080s-and-2083s)?_g=(refreshInterval:(display:Off,pause:!f,section:0,value:0),time:(from:'2017-12-08T06:36:41-0700',mode:absolute,to:'2017-12-08T09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238" t="str">
        <f>IF(AA40&lt;VLOOKUP(AG40,Variables!$AC$3:$AD$8,2,FALSE),"Y","N")</f>
        <v>N</v>
      </c>
      <c r="X40" s="238">
        <f t="shared" si="6"/>
        <v>1</v>
      </c>
      <c r="Y40" s="238">
        <f t="shared" si="7"/>
        <v>23.296600000000002</v>
      </c>
      <c r="Z40" s="238">
        <f t="shared" si="8"/>
        <v>1.6899999999999998E-2</v>
      </c>
      <c r="AA40" s="238">
        <f t="shared" si="9"/>
        <v>23.279700000000002</v>
      </c>
      <c r="AB40" s="242" t="e">
        <f>VLOOKUP(A40,Enforcements!$C$7:$K$9,8,0)</f>
        <v>#N/A</v>
      </c>
      <c r="AC40" s="242" t="e">
        <f>VLOOKUP(A40,Enforcements!$C$7:$E$9,3,0)</f>
        <v>#N/A</v>
      </c>
      <c r="AD40" s="243">
        <f t="shared" si="10"/>
        <v>128</v>
      </c>
      <c r="AE40" s="198" t="str">
        <f t="shared" si="11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40" s="197" t="str">
        <f t="shared" si="12"/>
        <v>"C:\Program Files (x86)\AstroGrep\AstroGrep.exe" /e /r /s /spath="%USERPROFILE%\AppData\Local\Temp\OnboardLogs" /stypes="app*4019*20171208*" /stext=" 15:.+((SYSTEM_STATE.+slice.+state.+changed )|(ment ac)|(multiple cpu faults)|(system.+state.+changed )|(\[timeout)|(PRM\|1\|D)|(kpr)|(kdp)|(train st.+moving)|(\|lc)|(penalty))"</v>
      </c>
      <c r="AG40" s="206" t="str">
        <f t="shared" si="13"/>
        <v>EC</v>
      </c>
      <c r="AH40" s="199" t="str">
        <f t="shared" si="19"/>
        <v>"%USERPROFILE%\Documents\GitHub\eaglep3\Utilities\RefineRTDCRunTimes.py" --tripid 128-08 --locoid 4019 --swversion DE.1.0.9.0 --startMP 204:232966 --initTime 2017-12-08T07:36:41 --startdatetime 2017-12-08T07:57:14 --delay 49 --endMP 204:169 --enddatetime 2017-12-08T08:33:20 --enforcementcount 0 &gt;&gt;%USERPROFILE%\Documents\GitHub\eaglep3-reporting\EC\2017-12-08-refined-times.txt</v>
      </c>
      <c r="AI4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{"issue":{"subject":"","project_id":79,"tracker_id":40,"status_id":1,"priority_id":2,"assigned_to_id":338,"start_date":"2017-12-08","description":"","custom_fields":[{"id":1,"name":"Subdivision","value":"EC"},{"id":4,"name":"Milepost","value":"0.0169"},{"id":17,"name":"Train ID","value":"128-08"},{"id":16,"name":"Locomotive ID","value":"4019"},{"id":130,"name":"Impact","value":""},{"id":150,"name":"Time of Event (Mountain Time)","value":"08:33:20"},{"id":151,"name":"Denver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8"/>
      <c r="AK40" s="196"/>
      <c r="AL40" s="196"/>
      <c r="AM40" s="203" t="str">
        <f t="shared" si="21"/>
        <v>start /low /b %USERPROFILE%\Documents\GitHub\eaglep3\Utilities\DownloadLogsFromS3.py --loco 4019 --day 2017-12-08</v>
      </c>
      <c r="AN4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95" t="str">
        <f t="shared" si="23"/>
        <v>https://d0f6bd738d7f1b3e5a7ca70fe4ff75f0.us-east-1.aws.found.io/app/kibana#/discover/Steve-Slow-Train-Analysis-(2080s-and-2083s)?_g=(refreshInterval:(display:Off,pause:!f,section:0,value:0),time:(from:'2017-12-08T06:36:41-0700',mode:absolute,to:'2017-12-08T09:33:20-0700'))&amp;_a=(columns:!('Message%20ID',Summary),filters:!(),index:'emp_*',interval:auto,query:(query_string:(analyze_wildcard:!t,query:'%22rtdc.l.rtdc.4019%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194" t="s">
        <v>755</v>
      </c>
      <c r="B41" s="190">
        <v>4032</v>
      </c>
      <c r="C41" s="192" t="s">
        <v>191</v>
      </c>
      <c r="D41" s="192" t="s">
        <v>626</v>
      </c>
      <c r="E41" s="191">
        <v>43077.29886574074</v>
      </c>
      <c r="F41" s="191">
        <v>43077.302303240744</v>
      </c>
      <c r="G41" s="190">
        <v>51</v>
      </c>
      <c r="H41" s="192" t="s">
        <v>613</v>
      </c>
      <c r="I41" s="191">
        <v>43077.327048611114</v>
      </c>
      <c r="J41" s="190">
        <v>0</v>
      </c>
      <c r="K41" s="200" t="str">
        <f t="shared" si="0"/>
        <v>4031/4032</v>
      </c>
      <c r="L41" s="207" t="str">
        <f>VLOOKUP(A41,'Trips&amp;Operators'!$C$1:$G$99911,5,FALSE)</f>
        <v>MAELZER KURT</v>
      </c>
      <c r="M41" s="189">
        <f t="shared" si="1"/>
        <v>2.47453703705105E-2</v>
      </c>
      <c r="N41" s="190">
        <f t="shared" si="2"/>
        <v>35.63333333353512</v>
      </c>
      <c r="O41" s="190"/>
      <c r="P41" s="190"/>
      <c r="Q41" s="193"/>
      <c r="R41" s="205"/>
      <c r="S41" s="235">
        <f t="shared" si="3"/>
        <v>1</v>
      </c>
      <c r="T41" s="236" t="str">
        <f t="shared" si="4"/>
        <v>NorthBound</v>
      </c>
      <c r="U41" s="23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37" t="str">
        <f t="shared" si="5"/>
        <v>https://d0f6bd738d7f1b3e5a7ca70fe4ff75f0.us-east-1.aws.found.io/app/kibana#/discover/Steve-Slow-Train-Analysis-(2080s-and-2083s)?_g=(refreshInterval:(display:Off,pause:!f,section:0,value:0),time:(from:'2017-12-08T06:10:22-0700',mode:absolute,to:'2017-12-08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238" t="str">
        <f>IF(AA41&lt;VLOOKUP(AG41,Variables!$AC$3:$AD$8,2,FALSE),"Y","N")</f>
        <v>N</v>
      </c>
      <c r="X41" s="238">
        <f t="shared" si="6"/>
        <v>1</v>
      </c>
      <c r="Y41" s="238">
        <f t="shared" si="7"/>
        <v>5.0900000000000001E-2</v>
      </c>
      <c r="Z41" s="238">
        <f t="shared" si="8"/>
        <v>23.330500000000001</v>
      </c>
      <c r="AA41" s="238">
        <f t="shared" si="9"/>
        <v>23.279600000000002</v>
      </c>
      <c r="AB41" s="242" t="e">
        <f>VLOOKUP(A41,Enforcements!$C$7:$K$9,8,0)</f>
        <v>#N/A</v>
      </c>
      <c r="AC41" s="242" t="e">
        <f>VLOOKUP(A41,Enforcements!$C$7:$E$9,3,0)</f>
        <v>#N/A</v>
      </c>
      <c r="AD41" s="243">
        <f t="shared" si="10"/>
        <v>129</v>
      </c>
      <c r="AE41" s="198" t="str">
        <f t="shared" si="11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41" s="197" t="str">
        <f t="shared" si="12"/>
        <v>"C:\Program Files (x86)\AstroGrep\AstroGrep.exe" /e /r /s /spath="%USERPROFILE%\AppData\Local\Temp\OnboardLogs" /stypes="app*4032*20171208*" /stext=" 14:.+((SYSTEM_STATE.+slice.+state.+changed )|(ment ac)|(multiple cpu faults)|(system.+state.+changed )|(\[timeout)|(PRM\|1\|D)|(kpr)|(kdp)|(train st.+moving)|(\|lc)|(penalty))"</v>
      </c>
      <c r="AG41" s="206" t="str">
        <f t="shared" si="13"/>
        <v>EC</v>
      </c>
      <c r="AH41" s="199" t="str">
        <f t="shared" si="19"/>
        <v>"%USERPROFILE%\Documents\GitHub\eaglep3\Utilities\RefineRTDCRunTimes.py" --tripid 129-08 --locoid 4032 --swversion DE.1.0.9.0 --startMP 204:509 --initTime 2017-12-08T07:10:22 --startdatetime 2017-12-08T07:15:19 --delay 51 --endMP 204:233305 --enddatetime 2017-12-08T07:50:57 --enforcementcount 0 &gt;&gt;%USERPROFILE%\Documents\GitHub\eaglep3-reporting\EC\2017-12-08-refined-times.txt</v>
      </c>
      <c r="AI4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{"issue":{"subject":"","project_id":79,"tracker_id":40,"status_id":1,"priority_id":2,"assigned_to_id":338,"start_date":"2017-12-08","description":"","custom_fields":[{"id":1,"name":"Subdivision","value":"EC"},{"id":4,"name":"Milepost","value":"23.3305"},{"id":17,"name":"Train ID","value":"129-08"},{"id":16,"name":"Locomotive ID","value":"4032"},{"id":130,"name":"Impact","value":""},{"id":150,"name":"Time of Event (Mountain Time)","value":"07:50:57"},{"id":151,"name":"Denver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8"/>
      <c r="AK41" s="196"/>
      <c r="AL41" s="196"/>
      <c r="AM41" s="203" t="str">
        <f t="shared" si="21"/>
        <v>start /low /b %USERPROFILE%\Documents\GitHub\eaglep3\Utilities\DownloadLogsFromS3.py --loco 4032 --day 2017-12-08</v>
      </c>
      <c r="AN4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95" t="str">
        <f t="shared" si="23"/>
        <v>https://d0f6bd738d7f1b3e5a7ca70fe4ff75f0.us-east-1.aws.found.io/app/kibana#/discover/Steve-Slow-Train-Analysis-(2080s-and-2083s)?_g=(refreshInterval:(display:Off,pause:!f,section:0,value:0),time:(from:'2017-12-08T06:10:22-0700',mode:absolute,to:'2017-12-08T08:50:57-0700'))&amp;_a=(columns:!('Message%20ID',Summary),filters:!(),index:'emp_*',interval:auto,query:(query_string:(analyze_wildcard:!t,query:'%22rtdc.l.rtdc.4032%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194" t="s">
        <v>765</v>
      </c>
      <c r="B42" s="190">
        <v>4031</v>
      </c>
      <c r="C42" s="192" t="s">
        <v>191</v>
      </c>
      <c r="D42" s="192" t="s">
        <v>945</v>
      </c>
      <c r="E42" s="191">
        <v>43077.331979166665</v>
      </c>
      <c r="F42" s="191">
        <v>43077.341863425929</v>
      </c>
      <c r="G42" s="190">
        <v>70</v>
      </c>
      <c r="H42" s="192" t="s">
        <v>614</v>
      </c>
      <c r="I42" s="191">
        <v>43077.367766203701</v>
      </c>
      <c r="J42" s="190">
        <v>0</v>
      </c>
      <c r="K42" s="200" t="str">
        <f t="shared" si="0"/>
        <v>4031/4032</v>
      </c>
      <c r="L42" s="207" t="str">
        <f>VLOOKUP(A42,'Trips&amp;Operators'!$C$1:$G$99911,5,FALSE)</f>
        <v>MAELZER KURT</v>
      </c>
      <c r="M42" s="189">
        <f t="shared" si="1"/>
        <v>2.5902777771989349E-2</v>
      </c>
      <c r="N42" s="190">
        <f t="shared" si="2"/>
        <v>37.299999991664663</v>
      </c>
      <c r="O42" s="190"/>
      <c r="P42" s="190"/>
      <c r="Q42" s="193"/>
      <c r="R42" s="205"/>
      <c r="S42" s="235">
        <f t="shared" si="3"/>
        <v>1</v>
      </c>
      <c r="T42" s="236" t="str">
        <f t="shared" si="4"/>
        <v>Southbound</v>
      </c>
      <c r="U42" s="23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37" t="str">
        <f t="shared" si="5"/>
        <v>https://d0f6bd738d7f1b3e5a7ca70fe4ff75f0.us-east-1.aws.found.io/app/kibana#/discover/Steve-Slow-Train-Analysis-(2080s-and-2083s)?_g=(refreshInterval:(display:Off,pause:!f,section:0,value:0),time:(from:'2017-12-08T06:58:03-0700',mode:absolute,to:'2017-12-08T09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238" t="str">
        <f>IF(AA42&lt;VLOOKUP(AG42,Variables!$AC$3:$AD$8,2,FALSE),"Y","N")</f>
        <v>N</v>
      </c>
      <c r="X42" s="238">
        <f t="shared" si="6"/>
        <v>1</v>
      </c>
      <c r="Y42" s="238">
        <f t="shared" si="7"/>
        <v>23.298200000000001</v>
      </c>
      <c r="Z42" s="238">
        <f t="shared" si="8"/>
        <v>1.7399999999999999E-2</v>
      </c>
      <c r="AA42" s="238">
        <f t="shared" si="9"/>
        <v>23.280800000000003</v>
      </c>
      <c r="AB42" s="242" t="e">
        <f>VLOOKUP(A42,Enforcements!$C$7:$K$9,8,0)</f>
        <v>#N/A</v>
      </c>
      <c r="AC42" s="242" t="e">
        <f>VLOOKUP(A42,Enforcements!$C$7:$E$9,3,0)</f>
        <v>#N/A</v>
      </c>
      <c r="AD42" s="243">
        <f t="shared" si="10"/>
        <v>130</v>
      </c>
      <c r="AE42" s="198" t="str">
        <f t="shared" si="11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42" s="197" t="str">
        <f t="shared" si="12"/>
        <v>"C:\Program Files (x86)\AstroGrep\AstroGrep.exe" /e /r /s /spath="%USERPROFILE%\AppData\Local\Temp\OnboardLogs" /stypes="app*4031*20171208*" /stext=" 15:.+((SYSTEM_STATE.+slice.+state.+changed )|(ment ac)|(multiple cpu faults)|(system.+state.+changed )|(\[timeout)|(PRM\|1\|D)|(kpr)|(kdp)|(train st.+moving)|(\|lc)|(penalty))"</v>
      </c>
      <c r="AG42" s="206" t="str">
        <f t="shared" si="13"/>
        <v>EC</v>
      </c>
      <c r="AH42" s="199" t="str">
        <f t="shared" si="19"/>
        <v>"%USERPROFILE%\Documents\GitHub\eaglep3\Utilities\RefineRTDCRunTimes.py" --tripid 130-08 --locoid 4031 --swversion DE.1.0.9.0 --startMP 204:232982 --initTime 2017-12-08T07:58:03 --startdatetime 2017-12-08T08:12:17 --delay 70 --endMP 204:174 --enddatetime 2017-12-08T08:49:35 --enforcementcount 0 &gt;&gt;%USERPROFILE%\Documents\GitHub\eaglep3-reporting\EC\2017-12-08-refined-times.txt</v>
      </c>
      <c r="AI4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{"issue":{"subject":"","project_id":79,"tracker_id":40,"status_id":1,"priority_id":2,"assigned_to_id":338,"start_date":"2017-12-08","description":"","custom_fields":[{"id":1,"name":"Subdivision","value":"EC"},{"id":4,"name":"Milepost","value":"0.0174"},{"id":17,"name":"Train ID","value":"130-08"},{"id":16,"name":"Locomotive ID","value":"4031"},{"id":130,"name":"Impact","value":""},{"id":150,"name":"Time of Event (Mountain Time)","value":"08:49:35"},{"id":151,"name":"Denver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8"/>
      <c r="AK42" s="196"/>
      <c r="AL42" s="196"/>
      <c r="AM42" s="203" t="str">
        <f t="shared" si="21"/>
        <v>start /low /b %USERPROFILE%\Documents\GitHub\eaglep3\Utilities\DownloadLogsFromS3.py --loco 4031 --day 2017-12-08</v>
      </c>
      <c r="AN4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95" t="str">
        <f t="shared" si="23"/>
        <v>https://d0f6bd738d7f1b3e5a7ca70fe4ff75f0.us-east-1.aws.found.io/app/kibana#/discover/Steve-Slow-Train-Analysis-(2080s-and-2083s)?_g=(refreshInterval:(display:Off,pause:!f,section:0,value:0),time:(from:'2017-12-08T06:58:03-0700',mode:absolute,to:'2017-12-08T09:49:35-0700'))&amp;_a=(columns:!('Message%20ID',Summary),filters:!(),index:'emp_*',interval:auto,query:(query_string:(analyze_wildcard:!t,query:'%22rtdc.l.rtdc.4031%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194" t="s">
        <v>757</v>
      </c>
      <c r="B43" s="190">
        <v>4016</v>
      </c>
      <c r="C43" s="192" t="s">
        <v>191</v>
      </c>
      <c r="D43" s="192" t="s">
        <v>447</v>
      </c>
      <c r="E43" s="191">
        <v>43077.307881944442</v>
      </c>
      <c r="F43" s="191">
        <v>43077.312673611108</v>
      </c>
      <c r="G43" s="190">
        <v>67</v>
      </c>
      <c r="H43" s="192" t="s">
        <v>946</v>
      </c>
      <c r="I43" s="191">
        <v>43077.337731481479</v>
      </c>
      <c r="J43" s="190">
        <v>0</v>
      </c>
      <c r="K43" s="200" t="str">
        <f t="shared" si="0"/>
        <v>4015/4016</v>
      </c>
      <c r="L43" s="207" t="str">
        <f>VLOOKUP(A43,'Trips&amp;Operators'!$C$1:$G$99911,5,FALSE)</f>
        <v>HAMMOND JUSTYNN</v>
      </c>
      <c r="M43" s="189">
        <f t="shared" si="1"/>
        <v>2.5057870370801538E-2</v>
      </c>
      <c r="N43" s="190">
        <f t="shared" si="2"/>
        <v>36.083333333954215</v>
      </c>
      <c r="O43" s="190"/>
      <c r="P43" s="190"/>
      <c r="Q43" s="193"/>
      <c r="R43" s="205"/>
      <c r="S43" s="235">
        <f t="shared" si="3"/>
        <v>1</v>
      </c>
      <c r="T43" s="236" t="str">
        <f t="shared" si="4"/>
        <v>NorthBound</v>
      </c>
      <c r="U43" s="23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37" t="str">
        <f t="shared" si="5"/>
        <v>https://d0f6bd738d7f1b3e5a7ca70fe4ff75f0.us-east-1.aws.found.io/app/kibana#/discover/Steve-Slow-Train-Analysis-(2080s-and-2083s)?_g=(refreshInterval:(display:Off,pause:!f,section:0,value:0),time:(from:'2017-12-08T06:23:21-0700',mode:absolute,to:'2017-12-08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38" t="str">
        <f>IF(AA43&lt;VLOOKUP(AG43,Variables!$AC$3:$AD$8,2,FALSE),"Y","N")</f>
        <v>N</v>
      </c>
      <c r="X43" s="238">
        <f t="shared" si="6"/>
        <v>1</v>
      </c>
      <c r="Y43" s="238">
        <f t="shared" si="7"/>
        <v>5.1700000000000003E-2</v>
      </c>
      <c r="Z43" s="238">
        <f t="shared" si="8"/>
        <v>23.333600000000001</v>
      </c>
      <c r="AA43" s="238">
        <f t="shared" si="9"/>
        <v>23.2819</v>
      </c>
      <c r="AB43" s="242" t="e">
        <f>VLOOKUP(A43,Enforcements!$C$7:$K$9,8,0)</f>
        <v>#N/A</v>
      </c>
      <c r="AC43" s="242" t="e">
        <f>VLOOKUP(A43,Enforcements!$C$7:$E$9,3,0)</f>
        <v>#N/A</v>
      </c>
      <c r="AD43" s="243">
        <f t="shared" si="10"/>
        <v>131</v>
      </c>
      <c r="AE43" s="198" t="str">
        <f t="shared" si="11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43" s="197" t="str">
        <f t="shared" si="12"/>
        <v>"C:\Program Files (x86)\AstroGrep\AstroGrep.exe" /e /r /s /spath="%USERPROFILE%\AppData\Local\Temp\OnboardLogs" /stypes="app*4016*20171208*" /stext=" 15:.+((SYSTEM_STATE.+slice.+state.+changed )|(ment ac)|(multiple cpu faults)|(system.+state.+changed )|(\[timeout)|(PRM\|1\|D)|(kpr)|(kdp)|(train st.+moving)|(\|lc)|(penalty))"</v>
      </c>
      <c r="AG43" s="206" t="str">
        <f t="shared" si="13"/>
        <v>EC</v>
      </c>
      <c r="AH43" s="199" t="str">
        <f t="shared" si="19"/>
        <v>"%USERPROFILE%\Documents\GitHub\eaglep3\Utilities\RefineRTDCRunTimes.py" --tripid 131-08 --locoid 4016 --swversion DE.1.0.9.0 --startMP 204:517 --initTime 2017-12-08T07:23:21 --startdatetime 2017-12-08T07:30:15 --delay 67 --endMP 204:233336 --enddatetime 2017-12-08T08:06:20 --enforcementcount 0 &gt;&gt;%USERPROFILE%\Documents\GitHub\eaglep3-reporting\EC\2017-12-08-refined-times.txt</v>
      </c>
      <c r="AI43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{"issue":{"subject":"","project_id":79,"tracker_id":40,"status_id":1,"priority_id":2,"assigned_to_id":338,"start_date":"2017-12-08","description":"","custom_fields":[{"id":1,"name":"Subdivision","value":"EC"},{"id":4,"name":"Milepost","value":"23.3336"},{"id":17,"name":"Train ID","value":"131-08"},{"id":16,"name":"Locomotive ID","value":"4016"},{"id":130,"name":"Impact","value":""},{"id":150,"name":"Time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8"/>
      <c r="AK43" s="196"/>
      <c r="AL43" s="196"/>
      <c r="AM43" s="203" t="str">
        <f t="shared" si="21"/>
        <v>start /low /b %USERPROFILE%\Documents\GitHub\eaglep3\Utilities\DownloadLogsFromS3.py --loco 4016 --day 2017-12-08</v>
      </c>
      <c r="AN43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95" t="str">
        <f t="shared" si="23"/>
        <v>https://d0f6bd738d7f1b3e5a7ca70fe4ff75f0.us-east-1.aws.found.io/app/kibana#/discover/Steve-Slow-Train-Analysis-(2080s-and-2083s)?_g=(refreshInterval:(display:Off,pause:!f,section:0,value:0),time:(from:'2017-12-08T06:23:21-0700',mode:absolute,to:'2017-12-08T09:06:20-0700'))&amp;_a=(columns:!('Message%20ID',Summary),filters:!(),index:'emp_*',interval:auto,query:(query_string:(analyze_wildcard:!t,query:'%22rtdc.l.rtdc.4016%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194" t="s">
        <v>767</v>
      </c>
      <c r="B44" s="190">
        <v>4015</v>
      </c>
      <c r="C44" s="192" t="s">
        <v>191</v>
      </c>
      <c r="D44" s="192" t="s">
        <v>624</v>
      </c>
      <c r="E44" s="191">
        <v>43077.338935185187</v>
      </c>
      <c r="F44" s="191">
        <v>43077.35224537037</v>
      </c>
      <c r="G44" s="190">
        <v>45</v>
      </c>
      <c r="H44" s="192" t="s">
        <v>573</v>
      </c>
      <c r="I44" s="191">
        <v>43077.378171296295</v>
      </c>
      <c r="J44" s="190">
        <v>0</v>
      </c>
      <c r="K44" s="200" t="str">
        <f t="shared" si="0"/>
        <v>4015/4016</v>
      </c>
      <c r="L44" s="207" t="str">
        <f>VLOOKUP(A44,'Trips&amp;Operators'!$C$1:$G$99911,5,FALSE)</f>
        <v>HAMMOND JUSTYNN</v>
      </c>
      <c r="M44" s="189">
        <f t="shared" si="1"/>
        <v>2.5925925925548654E-2</v>
      </c>
      <c r="N44" s="190">
        <f t="shared" si="2"/>
        <v>37.333333332790062</v>
      </c>
      <c r="O44" s="190"/>
      <c r="P44" s="190"/>
      <c r="Q44" s="193"/>
      <c r="R44" s="205"/>
      <c r="S44" s="235">
        <f t="shared" si="3"/>
        <v>1</v>
      </c>
      <c r="T44" s="236" t="str">
        <f t="shared" si="4"/>
        <v>Southbound</v>
      </c>
      <c r="U44" s="23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37" t="str">
        <f t="shared" si="5"/>
        <v>https://d0f6bd738d7f1b3e5a7ca70fe4ff75f0.us-east-1.aws.found.io/app/kibana#/discover/Steve-Slow-Train-Analysis-(2080s-and-2083s)?_g=(refreshInterval:(display:Off,pause:!f,section:0,value:0),time:(from:'2017-12-08T07:08:04-0700',mode:absolute,to:'2017-12-08T10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38" t="str">
        <f>IF(AA44&lt;VLOOKUP(AG44,Variables!$AC$3:$AD$8,2,FALSE),"Y","N")</f>
        <v>N</v>
      </c>
      <c r="X44" s="238">
        <f t="shared" si="6"/>
        <v>1</v>
      </c>
      <c r="Y44" s="238">
        <f t="shared" si="7"/>
        <v>23.301500000000001</v>
      </c>
      <c r="Z44" s="238">
        <f t="shared" si="8"/>
        <v>2.0299999999999999E-2</v>
      </c>
      <c r="AA44" s="238">
        <f t="shared" si="9"/>
        <v>23.281200000000002</v>
      </c>
      <c r="AB44" s="242" t="e">
        <f>VLOOKUP(A44,Enforcements!$C$7:$K$9,8,0)</f>
        <v>#N/A</v>
      </c>
      <c r="AC44" s="242" t="e">
        <f>VLOOKUP(A44,Enforcements!$C$7:$E$9,3,0)</f>
        <v>#N/A</v>
      </c>
      <c r="AD44" s="243">
        <f t="shared" si="10"/>
        <v>132</v>
      </c>
      <c r="AE44" s="198" t="str">
        <f t="shared" si="11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44" s="197" t="str">
        <f t="shared" si="12"/>
        <v>"C:\Program Files (x86)\AstroGrep\AstroGrep.exe" /e /r /s /spath="%USERPROFILE%\AppData\Local\Temp\OnboardLogs" /stypes="app*4015*20171208*" /stext=" 16:.+((SYSTEM_STATE.+slice.+state.+changed )|(ment ac)|(multiple cpu faults)|(system.+state.+changed )|(\[timeout)|(PRM\|1\|D)|(kpr)|(kdp)|(train st.+moving)|(\|lc)|(penalty))"</v>
      </c>
      <c r="AG44" s="206" t="str">
        <f t="shared" si="13"/>
        <v>EC</v>
      </c>
      <c r="AH44" s="199" t="str">
        <f t="shared" si="19"/>
        <v>"%USERPROFILE%\Documents\GitHub\eaglep3\Utilities\RefineRTDCRunTimes.py" --tripid 132-08 --locoid 4015 --swversion DE.1.0.9.0 --startMP 204:233015 --initTime 2017-12-08T08:08:04 --startdatetime 2017-12-08T08:27:14 --delay 45 --endMP 204:203 --enddatetime 2017-12-08T09:04:34 --enforcementcount 0 &gt;&gt;%USERPROFILE%\Documents\GitHub\eaglep3-reporting\EC\2017-12-08-refined-times.txt</v>
      </c>
      <c r="AI4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{"issue":{"subject":"","project_id":79,"tracker_id":40,"status_id":1,"priority_id":2,"assigned_to_id":338,"start_date":"2017-12-08","description":"","custom_fields":[{"id":1,"name":"Subdivision","value":"EC"},{"id":4,"name":"Milepost","value":"0.0203"},{"id":17,"name":"Train ID","value":"132-08"},{"id":16,"name":"Locomotive ID","value":"4015"},{"id":130,"name":"Impact","value":""},{"id":150,"name":"Time of Event (Mountain Time)","value":"09:04:34"},{"id":151,"name":"Denver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8"/>
      <c r="AK44" s="196"/>
      <c r="AL44" s="196"/>
      <c r="AM44" s="203" t="str">
        <f t="shared" si="21"/>
        <v>start /low /b %USERPROFILE%\Documents\GitHub\eaglep3\Utilities\DownloadLogsFromS3.py --loco 4015 --day 2017-12-08</v>
      </c>
      <c r="AN4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95" t="str">
        <f t="shared" si="23"/>
        <v>https://d0f6bd738d7f1b3e5a7ca70fe4ff75f0.us-east-1.aws.found.io/app/kibana#/discover/Steve-Slow-Train-Analysis-(2080s-and-2083s)?_g=(refreshInterval:(display:Off,pause:!f,section:0,value:0),time:(from:'2017-12-08T07:08:04-0700',mode:absolute,to:'2017-12-08T10:04:34-0700'))&amp;_a=(columns:!('Message%20ID',Summary),filters:!(),index:'emp_*',interval:auto,query:(query_string:(analyze_wildcard:!t,query:'%22rtdc.l.rtdc.4015%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194" t="s">
        <v>762</v>
      </c>
      <c r="B45" s="190">
        <v>4064</v>
      </c>
      <c r="C45" s="192" t="s">
        <v>191</v>
      </c>
      <c r="D45" s="192" t="s">
        <v>933</v>
      </c>
      <c r="E45" s="191">
        <v>43077.321608796294</v>
      </c>
      <c r="F45" s="191">
        <v>43077.323113425926</v>
      </c>
      <c r="G45" s="190">
        <v>76</v>
      </c>
      <c r="H45" s="192" t="s">
        <v>613</v>
      </c>
      <c r="I45" s="191">
        <v>43077.348263888889</v>
      </c>
      <c r="J45" s="190">
        <v>0</v>
      </c>
      <c r="K45" s="200" t="str">
        <f t="shared" si="0"/>
        <v>4063/4064</v>
      </c>
      <c r="L45" s="207" t="str">
        <f>VLOOKUP(A45,'Trips&amp;Operators'!$C$1:$G$99911,5,FALSE)</f>
        <v>STARKS ANGELINA</v>
      </c>
      <c r="M45" s="189">
        <f t="shared" si="1"/>
        <v>2.5150462963210884E-2</v>
      </c>
      <c r="N45" s="190">
        <f t="shared" ref="N45:N63" si="24">24*60*SUM($M45:$M45)</f>
        <v>36.216666667023674</v>
      </c>
      <c r="O45" s="190"/>
      <c r="P45" s="190"/>
      <c r="Q45" s="193"/>
      <c r="R45" s="205"/>
      <c r="S45" s="235">
        <f t="shared" ref="S45:S63" si="25">1/IF(AG45="EC",12,1)*SUM(U45:U45)</f>
        <v>1</v>
      </c>
      <c r="T45" s="236" t="str">
        <f t="shared" si="4"/>
        <v>NorthBound</v>
      </c>
      <c r="U45" s="23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37" t="str">
        <f t="shared" si="5"/>
        <v>https://d0f6bd738d7f1b3e5a7ca70fe4ff75f0.us-east-1.aws.found.io/app/kibana#/discover/Steve-Slow-Train-Analysis-(2080s-and-2083s)?_g=(refreshInterval:(display:Off,pause:!f,section:0,value:0),time:(from:'2017-12-08T06:43:07-0700',mode:absolute,to:'2017-12-08T09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38" t="str">
        <f>IF(AA45&lt;VLOOKUP(AG45,Variables!$AC$3:$AD$8,2,FALSE),"Y","N")</f>
        <v>N</v>
      </c>
      <c r="X45" s="238">
        <f t="shared" si="6"/>
        <v>1</v>
      </c>
      <c r="Y45" s="238">
        <f t="shared" ref="Y45:Y76" si="26">RIGHT(D45,LEN(D45)-4)/10000</f>
        <v>4.4699999999999997E-2</v>
      </c>
      <c r="Z45" s="238">
        <f t="shared" ref="Z45:Z76" si="27">RIGHT(H45,LEN(H45)-4)/10000</f>
        <v>23.330500000000001</v>
      </c>
      <c r="AA45" s="238">
        <f t="shared" si="9"/>
        <v>23.285800000000002</v>
      </c>
      <c r="AB45" s="242" t="e">
        <f>VLOOKUP(A45,Enforcements!$C$7:$K$9,8,0)</f>
        <v>#N/A</v>
      </c>
      <c r="AC45" s="242" t="e">
        <f>VLOOKUP(A45,Enforcements!$C$7:$E$9,3,0)</f>
        <v>#N/A</v>
      </c>
      <c r="AD45" s="243">
        <f t="shared" si="10"/>
        <v>133</v>
      </c>
      <c r="AE45" s="198" t="str">
        <f t="shared" si="11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45" s="197" t="str">
        <f t="shared" si="12"/>
        <v>"C:\Program Files (x86)\AstroGrep\AstroGrep.exe" /e /r /s /spath="%USERPROFILE%\AppData\Local\Temp\OnboardLogs" /stypes="app*4064*20171208*" /stext=" 15:.+((SYSTEM_STATE.+slice.+state.+changed )|(ment ac)|(multiple cpu faults)|(system.+state.+changed )|(\[timeout)|(PRM\|1\|D)|(kpr)|(kdp)|(train st.+moving)|(\|lc)|(penalty))"</v>
      </c>
      <c r="AG45" s="206" t="str">
        <f t="shared" si="13"/>
        <v>EC</v>
      </c>
      <c r="AH45" s="199" t="str">
        <f t="shared" si="19"/>
        <v>"%USERPROFILE%\Documents\GitHub\eaglep3\Utilities\RefineRTDCRunTimes.py" --tripid 133-08 --locoid 4064 --swversion DE.1.0.9.0 --startMP 204:447 --initTime 2017-12-08T07:43:07 --startdatetime 2017-12-08T07:45:17 --delay 76 --endMP 204:233305 --enddatetime 2017-12-08T08:21:30 --enforcementcount 0 &gt;&gt;%USERPROFILE%\Documents\GitHub\eaglep3-reporting\EC\2017-12-08-refined-times.txt</v>
      </c>
      <c r="AI4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{"issue":{"subject":"","project_id":79,"tracker_id":40,"status_id":1,"priority_id":2,"assigned_to_id":338,"start_date":"2017-12-08","description":"","custom_fields":[{"id":1,"name":"Subdivision","value":"EC"},{"id":4,"name":"Milepost","value":"23.3305"},{"id":17,"name":"Train ID","value":"133-08"},{"id":16,"name":"Locomotive ID","value":"4064"},{"id":130,"name":"Impact","value":""},{"id":150,"name":"Time of Event (Mountain Time)","value":"08:21:30"},{"id":151,"name":"Denver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8"/>
      <c r="AK45" s="196"/>
      <c r="AL45" s="196"/>
      <c r="AM45" s="203" t="str">
        <f t="shared" si="21"/>
        <v>start /low /b %USERPROFILE%\Documents\GitHub\eaglep3\Utilities\DownloadLogsFromS3.py --loco 4064 --day 2017-12-08</v>
      </c>
      <c r="AN4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95" t="str">
        <f t="shared" si="23"/>
        <v>https://d0f6bd738d7f1b3e5a7ca70fe4ff75f0.us-east-1.aws.found.io/app/kibana#/discover/Steve-Slow-Train-Analysis-(2080s-and-2083s)?_g=(refreshInterval:(display:Off,pause:!f,section:0,value:0),time:(from:'2017-12-08T06:43:07-0700',mode:absolute,to:'2017-12-08T09:21:30-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194" t="s">
        <v>685</v>
      </c>
      <c r="B46" s="190">
        <v>4063</v>
      </c>
      <c r="C46" s="192" t="s">
        <v>191</v>
      </c>
      <c r="D46" s="192" t="s">
        <v>947</v>
      </c>
      <c r="E46" s="191">
        <v>43077.360844907409</v>
      </c>
      <c r="F46" s="191">
        <v>43077.363263888888</v>
      </c>
      <c r="G46" s="190">
        <v>90</v>
      </c>
      <c r="H46" s="192" t="s">
        <v>948</v>
      </c>
      <c r="I46" s="191">
        <v>43077.390601851854</v>
      </c>
      <c r="J46" s="190">
        <v>0</v>
      </c>
      <c r="K46" s="200" t="str">
        <f t="shared" si="0"/>
        <v>4063/4064</v>
      </c>
      <c r="L46" s="207" t="str">
        <f>VLOOKUP(A46,'Trips&amp;Operators'!$C$1:$G$99911,5,FALSE)</f>
        <v>STARKS ANGELINA</v>
      </c>
      <c r="M46" s="189">
        <f t="shared" si="1"/>
        <v>2.7337962965248153E-2</v>
      </c>
      <c r="N46" s="190">
        <f t="shared" si="24"/>
        <v>39.36666666995734</v>
      </c>
      <c r="O46" s="190"/>
      <c r="P46" s="190"/>
      <c r="Q46" s="193"/>
      <c r="R46" s="205"/>
      <c r="S46" s="235">
        <f t="shared" si="25"/>
        <v>1</v>
      </c>
      <c r="T46" s="236" t="str">
        <f t="shared" si="4"/>
        <v>Southbound</v>
      </c>
      <c r="U46" s="23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37" t="str">
        <f t="shared" si="5"/>
        <v>https://d0f6bd738d7f1b3e5a7ca70fe4ff75f0.us-east-1.aws.found.io/app/kibana#/discover/Steve-Slow-Train-Analysis-(2080s-and-2083s)?_g=(refreshInterval:(display:Off,pause:!f,section:0,value:0),time:(from:'2017-12-08T07:39:37-0700',mode:absolute,to:'2017-12-08T10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238" t="str">
        <f>IF(AA46&lt;VLOOKUP(AG46,Variables!$AC$3:$AD$8,2,FALSE),"Y","N")</f>
        <v>N</v>
      </c>
      <c r="X46" s="238">
        <f t="shared" si="6"/>
        <v>1</v>
      </c>
      <c r="Y46" s="238">
        <f t="shared" si="26"/>
        <v>23.2973</v>
      </c>
      <c r="Z46" s="238">
        <f t="shared" si="27"/>
        <v>1.4500000000000001E-2</v>
      </c>
      <c r="AA46" s="238">
        <f t="shared" si="9"/>
        <v>23.282799999999998</v>
      </c>
      <c r="AB46" s="242" t="str">
        <f>VLOOKUP(A46,Enforcements!$C$7:$K$9,8,0)</f>
        <v>Bulletin (2)</v>
      </c>
      <c r="AC46" s="242" t="str">
        <f>VLOOKUP(A46,Enforcements!$C$7:$E$9,3,0)</f>
        <v>GRADE CROSSING</v>
      </c>
      <c r="AD46" s="243">
        <f t="shared" si="10"/>
        <v>134</v>
      </c>
      <c r="AE46" s="198" t="str">
        <f t="shared" si="11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46" s="197" t="str">
        <f t="shared" si="12"/>
        <v>"C:\Program Files (x86)\AstroGrep\AstroGrep.exe" /e /r /s /spath="%USERPROFILE%\AppData\Local\Temp\OnboardLogs" /stypes="app*4063*20171208*" /stext=" 16:.+((SYSTEM_STATE.+slice.+state.+changed )|(ment ac)|(multiple cpu faults)|(system.+state.+changed )|(\[timeout)|(PRM\|1\|D)|(kpr)|(kdp)|(train st.+moving)|(\|lc)|(penalty))"</v>
      </c>
      <c r="AG46" s="206" t="str">
        <f t="shared" si="13"/>
        <v>EC</v>
      </c>
      <c r="AH46" s="199" t="str">
        <f t="shared" si="19"/>
        <v>"%USERPROFILE%\Documents\GitHub\eaglep3\Utilities\RefineRTDCRunTimes.py" --tripid 134-08 --locoid 4063 --swversion DE.1.0.9.0 --startMP 204:232973 --initTime 2017-12-08T08:39:37 --startdatetime 2017-12-08T08:43:06 --delay 90 --endMP 204:145 --enddatetime 2017-12-08T09:22:28 --enforcementcount 0 &gt;&gt;%USERPROFILE%\Documents\GitHub\eaglep3-reporting\EC\2017-12-08-refined-times.txt</v>
      </c>
      <c r="AI4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{"issue":{"subject":"","project_id":79,"tracker_id":40,"status_id":1,"priority_id":2,"assigned_to_id":338,"start_date":"2017-12-08","description":"","custom_fields":[{"id":1,"name":"Subdivision","value":"EC"},{"id":4,"name":"Milepost","value":"0.0145"},{"id":17,"name":"Train ID","value":"134-08"},{"id":16,"name":"Locomotive ID","value":"4063"},{"id":130,"name":"Impact","value":""},{"id":150,"name":"Time of Event (Mountain Time)","value":"09:22:28"},{"id":151,"name":"Denver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8"/>
      <c r="AK46" s="196"/>
      <c r="AL46" s="196"/>
      <c r="AM46" s="203" t="str">
        <f t="shared" si="21"/>
        <v>start /low /b %USERPROFILE%\Documents\GitHub\eaglep3\Utilities\DownloadLogsFromS3.py --loco 4063 --day 2017-12-08</v>
      </c>
      <c r="AN4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95" t="str">
        <f t="shared" si="23"/>
        <v>https://d0f6bd738d7f1b3e5a7ca70fe4ff75f0.us-east-1.aws.found.io/app/kibana#/discover/Steve-Slow-Train-Analysis-(2080s-and-2083s)?_g=(refreshInterval:(display:Off,pause:!f,section:0,value:0),time:(from:'2017-12-08T07:39:37-0700',mode:absolute,to:'2017-12-08T10:22:28-0700'))&amp;_a=(columns:!('Message%20ID',Summary),filters:!(),index:'emp_*',interval:auto,query:(query_string:(analyze_wildcard:!t,query:'%22rtdc.l.rtdc.4063%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194" t="s">
        <v>682</v>
      </c>
      <c r="B47" s="190">
        <v>4024</v>
      </c>
      <c r="C47" s="192" t="s">
        <v>191</v>
      </c>
      <c r="D47" s="192" t="s">
        <v>470</v>
      </c>
      <c r="E47" s="191">
        <v>43077.328935185185</v>
      </c>
      <c r="F47" s="191">
        <v>43077.333668981482</v>
      </c>
      <c r="G47" s="190">
        <v>74</v>
      </c>
      <c r="H47" s="192" t="s">
        <v>949</v>
      </c>
      <c r="I47" s="191">
        <v>43077.358761574076</v>
      </c>
      <c r="J47" s="190">
        <v>0</v>
      </c>
      <c r="K47" s="200" t="str">
        <f t="shared" si="0"/>
        <v>4023/4024</v>
      </c>
      <c r="L47" s="207" t="str">
        <f>VLOOKUP(A47,'Trips&amp;Operators'!$C$1:$G$99911,5,FALSE)</f>
        <v>PAGE MARCUS</v>
      </c>
      <c r="M47" s="189">
        <f t="shared" si="1"/>
        <v>2.5092592593864538E-2</v>
      </c>
      <c r="N47" s="190">
        <f t="shared" si="24"/>
        <v>36.133333335164934</v>
      </c>
      <c r="O47" s="190"/>
      <c r="P47" s="190"/>
      <c r="Q47" s="193"/>
      <c r="R47" s="205"/>
      <c r="S47" s="235">
        <f t="shared" si="25"/>
        <v>1</v>
      </c>
      <c r="T47" s="236" t="str">
        <f t="shared" si="4"/>
        <v>NorthBound</v>
      </c>
      <c r="U47" s="23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37" t="str">
        <f t="shared" si="5"/>
        <v>https://d0f6bd738d7f1b3e5a7ca70fe4ff75f0.us-east-1.aws.found.io/app/kibana#/discover/Steve-Slow-Train-Analysis-(2080s-and-2083s)?_g=(refreshInterval:(display:Off,pause:!f,section:0,value:0),time:(from:'2017-12-08T06:53:40-0700',mode:absolute,to:'2017-12-08T09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238" t="str">
        <f>IF(AA47&lt;VLOOKUP(AG47,Variables!$AC$3:$AD$8,2,FALSE),"Y","N")</f>
        <v>N</v>
      </c>
      <c r="X47" s="238">
        <f t="shared" si="6"/>
        <v>1</v>
      </c>
      <c r="Y47" s="238">
        <f t="shared" si="26"/>
        <v>4.7100000000000003E-2</v>
      </c>
      <c r="Z47" s="238">
        <f t="shared" si="27"/>
        <v>23.3306</v>
      </c>
      <c r="AA47" s="238">
        <f t="shared" si="9"/>
        <v>23.2835</v>
      </c>
      <c r="AB47" s="242" t="e">
        <f>VLOOKUP(A47,Enforcements!$C$7:$K$9,8,0)</f>
        <v>#N/A</v>
      </c>
      <c r="AC47" s="242" t="e">
        <f>VLOOKUP(A47,Enforcements!$C$7:$E$9,3,0)</f>
        <v>#N/A</v>
      </c>
      <c r="AD47" s="243">
        <f t="shared" si="10"/>
        <v>135</v>
      </c>
      <c r="AE47" s="198" t="str">
        <f t="shared" si="11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47" s="197" t="str">
        <f t="shared" si="12"/>
        <v>"C:\Program Files (x86)\AstroGrep\AstroGrep.exe" /e /r /s /spath="%USERPROFILE%\AppData\Local\Temp\OnboardLogs" /stypes="app*4024*20171208*" /stext=" 15:.+((SYSTEM_STATE.+slice.+state.+changed )|(ment ac)|(multiple cpu faults)|(system.+state.+changed )|(\[timeout)|(PRM\|1\|D)|(kpr)|(kdp)|(train st.+moving)|(\|lc)|(penalty))"</v>
      </c>
      <c r="AG47" s="206" t="str">
        <f t="shared" si="13"/>
        <v>EC</v>
      </c>
      <c r="AH47" s="199" t="str">
        <f t="shared" si="19"/>
        <v>"%USERPROFILE%\Documents\GitHub\eaglep3\Utilities\RefineRTDCRunTimes.py" --tripid 135-08 --locoid 4024 --swversion DE.1.0.9.0 --startMP 204:471 --initTime 2017-12-08T07:53:40 --startdatetime 2017-12-08T08:00:29 --delay 74 --endMP 204:233306 --enddatetime 2017-12-08T08:36:37 --enforcementcount 0 &gt;&gt;%USERPROFILE%\Documents\GitHub\eaglep3-reporting\EC\2017-12-08-refined-times.txt</v>
      </c>
      <c r="AI4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{"issue":{"subject":"","project_id":79,"tracker_id":40,"status_id":1,"priority_id":2,"assigned_to_id":338,"start_date":"2017-12-08","description":"","custom_fields":[{"id":1,"name":"Subdivision","value":"EC"},{"id":4,"name":"Milepost","value":"23.3306"},{"id":17,"name":"Train ID","value":"135-08"},{"id":16,"name":"Locomotive ID","value":"4024"},{"id":130,"name":"Impact","value":""},{"id":150,"name":"Time of Event (Mountain Time)","value":"08:36:37"},{"id":151,"name":"Denver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8"/>
      <c r="AK47" s="196"/>
      <c r="AL47" s="196"/>
      <c r="AM47" s="203" t="str">
        <f t="shared" si="21"/>
        <v>start /low /b %USERPROFILE%\Documents\GitHub\eaglep3\Utilities\DownloadLogsFromS3.py --loco 4024 --day 2017-12-08</v>
      </c>
      <c r="AN4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95" t="str">
        <f t="shared" si="23"/>
        <v>https://d0f6bd738d7f1b3e5a7ca70fe4ff75f0.us-east-1.aws.found.io/app/kibana#/discover/Steve-Slow-Train-Analysis-(2080s-and-2083s)?_g=(refreshInterval:(display:Off,pause:!f,section:0,value:0),time:(from:'2017-12-08T06:53:40-0700',mode:absolute,to:'2017-12-08T09:36:37-0700'))&amp;_a=(columns:!('Message%20ID',Summary),filters:!(),index:'emp_*',interval:auto,query:(query_string:(analyze_wildcard:!t,query:'%22rtdc.l.rtdc.4024%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194" t="s">
        <v>770</v>
      </c>
      <c r="B48" s="190">
        <v>4023</v>
      </c>
      <c r="C48" s="192" t="s">
        <v>191</v>
      </c>
      <c r="D48" s="192" t="s">
        <v>583</v>
      </c>
      <c r="E48" s="191">
        <v>43077.360671296294</v>
      </c>
      <c r="F48" s="191">
        <v>43077.373090277775</v>
      </c>
      <c r="G48" s="190">
        <v>67</v>
      </c>
      <c r="H48" s="192" t="s">
        <v>508</v>
      </c>
      <c r="I48" s="191">
        <v>43077.398518518516</v>
      </c>
      <c r="J48" s="190">
        <v>0</v>
      </c>
      <c r="K48" s="200" t="str">
        <f t="shared" si="0"/>
        <v>4023/4024</v>
      </c>
      <c r="L48" s="207" t="str">
        <f>VLOOKUP(A48,'Trips&amp;Operators'!$C$1:$G$99911,5,FALSE)</f>
        <v>PAGE MARCUS</v>
      </c>
      <c r="M48" s="189">
        <f t="shared" si="1"/>
        <v>2.5428240740438923E-2</v>
      </c>
      <c r="N48" s="190">
        <f t="shared" si="24"/>
        <v>36.616666666232049</v>
      </c>
      <c r="O48" s="190"/>
      <c r="P48" s="190"/>
      <c r="Q48" s="193"/>
      <c r="R48" s="205"/>
      <c r="S48" s="235">
        <f t="shared" si="25"/>
        <v>1</v>
      </c>
      <c r="T48" s="236" t="str">
        <f t="shared" si="4"/>
        <v>Southbound</v>
      </c>
      <c r="U48" s="23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37" t="str">
        <f t="shared" si="5"/>
        <v>https://d0f6bd738d7f1b3e5a7ca70fe4ff75f0.us-east-1.aws.found.io/app/kibana#/discover/Steve-Slow-Train-Analysis-(2080s-and-2083s)?_g=(refreshInterval:(display:Off,pause:!f,section:0,value:0),time:(from:'2017-12-08T07:39:22-0700',mode:absolute,to:'2017-12-08T10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238" t="str">
        <f>IF(AA48&lt;VLOOKUP(AG48,Variables!$AC$3:$AD$8,2,FALSE),"Y","N")</f>
        <v>N</v>
      </c>
      <c r="X48" s="238">
        <f t="shared" si="6"/>
        <v>1</v>
      </c>
      <c r="Y48" s="238">
        <f t="shared" si="26"/>
        <v>23.298500000000001</v>
      </c>
      <c r="Z48" s="238">
        <f t="shared" si="27"/>
        <v>2.2100000000000002E-2</v>
      </c>
      <c r="AA48" s="238">
        <f t="shared" si="9"/>
        <v>23.276400000000002</v>
      </c>
      <c r="AB48" s="242" t="e">
        <f>VLOOKUP(A48,Enforcements!$C$7:$K$9,8,0)</f>
        <v>#N/A</v>
      </c>
      <c r="AC48" s="242" t="e">
        <f>VLOOKUP(A48,Enforcements!$C$7:$E$9,3,0)</f>
        <v>#N/A</v>
      </c>
      <c r="AD48" s="243">
        <f t="shared" si="10"/>
        <v>136</v>
      </c>
      <c r="AE48" s="198" t="str">
        <f t="shared" si="11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48" s="197" t="str">
        <f t="shared" si="12"/>
        <v>"C:\Program Files (x86)\AstroGrep\AstroGrep.exe" /e /r /s /spath="%USERPROFILE%\AppData\Local\Temp\OnboardLogs" /stypes="app*4023*20171208*" /stext=" 16:.+((SYSTEM_STATE.+slice.+state.+changed )|(ment ac)|(multiple cpu faults)|(system.+state.+changed )|(\[timeout)|(PRM\|1\|D)|(kpr)|(kdp)|(train st.+moving)|(\|lc)|(penalty))"</v>
      </c>
      <c r="AG48" s="206" t="str">
        <f t="shared" si="13"/>
        <v>EC</v>
      </c>
      <c r="AH48" s="199" t="str">
        <f t="shared" si="19"/>
        <v>"%USERPROFILE%\Documents\GitHub\eaglep3\Utilities\RefineRTDCRunTimes.py" --tripid 136-08 --locoid 4023 --swversion DE.1.0.9.0 --startMP 204:232985 --initTime 2017-12-08T08:39:22 --startdatetime 2017-12-08T08:57:15 --delay 67 --endMP 204:221 --enddatetime 2017-12-08T09:33:52 --enforcementcount 0 &gt;&gt;%USERPROFILE%\Documents\GitHub\eaglep3-reporting\EC\2017-12-08-refined-times.txt</v>
      </c>
      <c r="AI4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{"issue":{"subject":"","project_id":79,"tracker_id":40,"status_id":1,"priority_id":2,"assigned_to_id":338,"start_date":"2017-12-08","description":"","custom_fields":[{"id":1,"name":"Subdivision","value":"EC"},{"id":4,"name":"Milepost","value":"0.0221"},{"id":17,"name":"Train ID","value":"136-08"},{"id":16,"name":"Locomotive ID","value":"4023"},{"id":130,"name":"Impact","value":""},{"id":150,"name":"Time of Event (Mountain Time)","value":"09:33:52"},{"id":151,"name":"Denver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8"/>
      <c r="AK48" s="196"/>
      <c r="AL48" s="196"/>
      <c r="AM48" s="203" t="str">
        <f t="shared" si="21"/>
        <v>start /low /b %USERPROFILE%\Documents\GitHub\eaglep3\Utilities\DownloadLogsFromS3.py --loco 4023 --day 2017-12-08</v>
      </c>
      <c r="AN4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95" t="str">
        <f t="shared" si="23"/>
        <v>https://d0f6bd738d7f1b3e5a7ca70fe4ff75f0.us-east-1.aws.found.io/app/kibana#/discover/Steve-Slow-Train-Analysis-(2080s-and-2083s)?_g=(refreshInterval:(display:Off,pause:!f,section:0,value:0),time:(from:'2017-12-08T07:39:22-0700',mode:absolute,to:'2017-12-08T10:33:52-0700'))&amp;_a=(columns:!('Message%20ID',Summary),filters:!(),index:'emp_*',interval:auto,query:(query_string:(analyze_wildcard:!t,query:'%22rtdc.l.rtdc.4023%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194" t="s">
        <v>766</v>
      </c>
      <c r="B49" s="190">
        <v>4050</v>
      </c>
      <c r="C49" s="192" t="s">
        <v>191</v>
      </c>
      <c r="D49" s="192" t="s">
        <v>950</v>
      </c>
      <c r="E49" s="191">
        <v>43077.338368055556</v>
      </c>
      <c r="F49" s="191">
        <v>43077.343923611108</v>
      </c>
      <c r="G49" s="190">
        <v>54</v>
      </c>
      <c r="H49" s="192" t="s">
        <v>951</v>
      </c>
      <c r="I49" s="191">
        <v>43077.367673611108</v>
      </c>
      <c r="J49" s="190">
        <v>0</v>
      </c>
      <c r="K49" s="200" t="str">
        <f t="shared" si="0"/>
        <v>4049/4050</v>
      </c>
      <c r="L49" s="207" t="str">
        <f>VLOOKUP(A49,'Trips&amp;Operators'!$C$1:$G$99911,5,FALSE)</f>
        <v>LOPES KIMBERLY</v>
      </c>
      <c r="M49" s="189">
        <f t="shared" si="1"/>
        <v>2.3750000000291038E-2</v>
      </c>
      <c r="N49" s="190">
        <f t="shared" si="24"/>
        <v>34.200000000419095</v>
      </c>
      <c r="O49" s="190"/>
      <c r="P49" s="190"/>
      <c r="Q49" s="193"/>
      <c r="R49" s="205"/>
      <c r="S49" s="235">
        <f t="shared" si="25"/>
        <v>1</v>
      </c>
      <c r="T49" s="236" t="str">
        <f t="shared" si="4"/>
        <v>NorthBound</v>
      </c>
      <c r="U49" s="23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37" t="str">
        <f t="shared" si="5"/>
        <v>https://d0f6bd738d7f1b3e5a7ca70fe4ff75f0.us-east-1.aws.found.io/app/kibana#/discover/Steve-Slow-Train-Analysis-(2080s-and-2083s)?_g=(refreshInterval:(display:Off,pause:!f,section:0,value:0),time:(from:'2017-12-08T07:07:15-0700',mode:absolute,to:'2017-12-08T09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9" s="238" t="str">
        <f>IF(AA49&lt;VLOOKUP(AG49,Variables!$AC$3:$AD$8,2,FALSE),"Y","N")</f>
        <v>N</v>
      </c>
      <c r="X49" s="238">
        <f t="shared" si="6"/>
        <v>1</v>
      </c>
      <c r="Y49" s="238">
        <f t="shared" si="26"/>
        <v>5.2600000000000001E-2</v>
      </c>
      <c r="Z49" s="238">
        <f t="shared" si="27"/>
        <v>23.321100000000001</v>
      </c>
      <c r="AA49" s="238">
        <f t="shared" si="9"/>
        <v>23.2685</v>
      </c>
      <c r="AB49" s="242" t="e">
        <f>VLOOKUP(A49,Enforcements!$C$7:$K$9,8,0)</f>
        <v>#N/A</v>
      </c>
      <c r="AC49" s="242" t="e">
        <f>VLOOKUP(A49,Enforcements!$C$7:$E$9,3,0)</f>
        <v>#N/A</v>
      </c>
      <c r="AD49" s="243">
        <f t="shared" si="10"/>
        <v>137</v>
      </c>
      <c r="AE49" s="198" t="str">
        <f t="shared" si="11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49" s="197" t="str">
        <f t="shared" si="12"/>
        <v>"C:\Program Files (x86)\AstroGrep\AstroGrep.exe" /e /r /s /spath="%USERPROFILE%\AppData\Local\Temp\OnboardLogs" /stypes="app*4050*20171208*" /stext=" 15:.+((SYSTEM_STATE.+slice.+state.+changed )|(ment ac)|(multiple cpu faults)|(system.+state.+changed )|(\[timeout)|(PRM\|1\|D)|(kpr)|(kdp)|(train st.+moving)|(\|lc)|(penalty))"</v>
      </c>
      <c r="AG49" s="206" t="str">
        <f t="shared" si="13"/>
        <v>EC</v>
      </c>
      <c r="AH49" s="199" t="str">
        <f t="shared" si="19"/>
        <v>"%USERPROFILE%\Documents\GitHub\eaglep3\Utilities\RefineRTDCRunTimes.py" --tripid 137-08 --locoid 4050 --swversion DE.1.0.9.0 --startMP 204:526 --initTime 2017-12-08T08:07:15 --startdatetime 2017-12-08T08:15:15 --delay 54 --endMP 204:233211 --enddatetime 2017-12-08T08:49:27 --enforcementcount 0 &gt;&gt;%USERPROFILE%\Documents\GitHub\eaglep3-reporting\EC\2017-12-08-refined-times.txt</v>
      </c>
      <c r="AI4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{"issue":{"subject":"","project_id":79,"tracker_id":40,"status_id":1,"priority_id":2,"assigned_to_id":338,"start_date":"2017-12-08","description":"","custom_fields":[{"id":1,"name":"Subdivision","value":"EC"},{"id":4,"name":"Milepost","value":"23.3211"},{"id":17,"name":"Train ID","value":"137-08"},{"id":16,"name":"Locomotive ID","value":"4050"},{"id":130,"name":"Impact","value":""},{"id":150,"name":"Time of Event (Mountain Time)","value":"08:49:27"},{"id":151,"name":"Denver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8"/>
      <c r="AK49" s="196"/>
      <c r="AL49" s="196"/>
      <c r="AM49" s="203" t="str">
        <f t="shared" si="21"/>
        <v>start /low /b %USERPROFILE%\Documents\GitHub\eaglep3\Utilities\DownloadLogsFromS3.py --loco 4050 --day 2017-12-08</v>
      </c>
      <c r="AN4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95" t="str">
        <f t="shared" si="23"/>
        <v>https://d0f6bd738d7f1b3e5a7ca70fe4ff75f0.us-east-1.aws.found.io/app/kibana#/discover/Steve-Slow-Train-Analysis-(2080s-and-2083s)?_g=(refreshInterval:(display:Off,pause:!f,section:0,value:0),time:(from:'2017-12-08T07:07:15-0700',mode:absolute,to:'2017-12-08T09:49:27-0700'))&amp;_a=(columns:!('Message%20ID',Summary),filters:!(),index:'emp_*',interval:auto,query:(query_string:(analyze_wildcard:!t,query:'%22rtdc.l.rtdc.4050%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194" t="s">
        <v>774</v>
      </c>
      <c r="B50" s="190">
        <v>4049</v>
      </c>
      <c r="C50" s="192" t="s">
        <v>191</v>
      </c>
      <c r="D50" s="192" t="s">
        <v>952</v>
      </c>
      <c r="E50" s="191">
        <v>43077.377465277779</v>
      </c>
      <c r="F50" s="191">
        <v>43077.38349537037</v>
      </c>
      <c r="G50" s="190">
        <v>58</v>
      </c>
      <c r="H50" s="192" t="s">
        <v>642</v>
      </c>
      <c r="I50" s="191">
        <v>43077.409155092595</v>
      </c>
      <c r="J50" s="190">
        <v>0</v>
      </c>
      <c r="K50" s="200" t="str">
        <f t="shared" si="0"/>
        <v>4049/4050</v>
      </c>
      <c r="L50" s="207" t="str">
        <f>VLOOKUP(A50,'Trips&amp;Operators'!$C$1:$G$99911,5,FALSE)</f>
        <v>LOPES KIMBERLY</v>
      </c>
      <c r="M50" s="189">
        <f t="shared" si="1"/>
        <v>2.5659722225100268E-2</v>
      </c>
      <c r="N50" s="190">
        <f t="shared" si="24"/>
        <v>36.950000004144385</v>
      </c>
      <c r="O50" s="190"/>
      <c r="P50" s="190"/>
      <c r="Q50" s="193"/>
      <c r="R50" s="205"/>
      <c r="S50" s="235">
        <f t="shared" si="25"/>
        <v>1</v>
      </c>
      <c r="T50" s="236" t="str">
        <f t="shared" si="4"/>
        <v>Southbound</v>
      </c>
      <c r="U50" s="23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37" t="str">
        <f t="shared" si="5"/>
        <v>https://d0f6bd738d7f1b3e5a7ca70fe4ff75f0.us-east-1.aws.found.io/app/kibana#/discover/Steve-Slow-Train-Analysis-(2080s-and-2083s)?_g=(refreshInterval:(display:Off,pause:!f,section:0,value:0),time:(from:'2017-12-08T08:03:33-0700',mode:absolute,to:'2017-12-08T10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0" s="238" t="str">
        <f>IF(AA50&lt;VLOOKUP(AG50,Variables!$AC$3:$AD$8,2,FALSE),"Y","N")</f>
        <v>N</v>
      </c>
      <c r="X50" s="238">
        <f t="shared" si="6"/>
        <v>1</v>
      </c>
      <c r="Y50" s="238">
        <f t="shared" si="26"/>
        <v>23.289000000000001</v>
      </c>
      <c r="Z50" s="238">
        <f t="shared" si="27"/>
        <v>1.9400000000000001E-2</v>
      </c>
      <c r="AA50" s="238">
        <f t="shared" si="9"/>
        <v>23.269600000000001</v>
      </c>
      <c r="AB50" s="242" t="e">
        <f>VLOOKUP(A50,Enforcements!$C$7:$K$9,8,0)</f>
        <v>#N/A</v>
      </c>
      <c r="AC50" s="242" t="e">
        <f>VLOOKUP(A50,Enforcements!$C$7:$E$9,3,0)</f>
        <v>#N/A</v>
      </c>
      <c r="AD50" s="243">
        <f t="shared" si="10"/>
        <v>138</v>
      </c>
      <c r="AE50" s="198" t="str">
        <f t="shared" si="11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50" s="197" t="str">
        <f t="shared" si="12"/>
        <v>"C:\Program Files (x86)\AstroGrep\AstroGrep.exe" /e /r /s /spath="%USERPROFILE%\AppData\Local\Temp\OnboardLogs" /stypes="app*4049*20171208*" /stext=" 16:.+((SYSTEM_STATE.+slice.+state.+changed )|(ment ac)|(multiple cpu faults)|(system.+state.+changed )|(\[timeout)|(PRM\|1\|D)|(kpr)|(kdp)|(train st.+moving)|(\|lc)|(penalty))"</v>
      </c>
      <c r="AG50" s="206" t="str">
        <f t="shared" si="13"/>
        <v>EC</v>
      </c>
      <c r="AH50" s="199" t="str">
        <f t="shared" si="19"/>
        <v>"%USERPROFILE%\Documents\GitHub\eaglep3\Utilities\RefineRTDCRunTimes.py" --tripid 138-08 --locoid 4049 --swversion DE.1.0.9.0 --startMP 204:232890 --initTime 2017-12-08T09:03:33 --startdatetime 2017-12-08T09:12:14 --delay 58 --endMP 204:194 --enddatetime 2017-12-08T09:49:11 --enforcementcount 0 &gt;&gt;%USERPROFILE%\Documents\GitHub\eaglep3-reporting\EC\2017-12-08-refined-times.txt</v>
      </c>
      <c r="AI5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{"issue":{"subject":"","project_id":79,"tracker_id":40,"status_id":1,"priority_id":2,"assigned_to_id":338,"start_date":"2017-12-08","description":"","custom_fields":[{"id":1,"name":"Subdivision","value":"EC"},{"id":4,"name":"Milepost","value":"0.0194"},{"id":17,"name":"Train ID","value":"138-08"},{"id":16,"name":"Locomotive ID","value":"4049"},{"id":130,"name":"Impact","value":""},{"id":150,"name":"Time of Event (Mountain Time)","value":"09:49:11"},{"id":151,"name":"Denver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8"/>
      <c r="AK50" s="196"/>
      <c r="AL50" s="196"/>
      <c r="AM50" s="203" t="str">
        <f t="shared" si="21"/>
        <v>start /low /b %USERPROFILE%\Documents\GitHub\eaglep3\Utilities\DownloadLogsFromS3.py --loco 4049 --day 2017-12-08</v>
      </c>
      <c r="AN5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95" t="str">
        <f t="shared" si="23"/>
        <v>https://d0f6bd738d7f1b3e5a7ca70fe4ff75f0.us-east-1.aws.found.io/app/kibana#/discover/Steve-Slow-Train-Analysis-(2080s-and-2083s)?_g=(refreshInterval:(display:Off,pause:!f,section:0,value:0),time:(from:'2017-12-08T08:03:33-0700',mode:absolute,to:'2017-12-08T10:49:11-0700'))&amp;_a=(columns:!('Message%20ID',Summary),filters:!(),index:'emp_*',interval:auto,query:(query_string:(analyze_wildcard:!t,query:'%22rtdc.l.rtdc.4049%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194" t="s">
        <v>768</v>
      </c>
      <c r="B51" s="190">
        <v>4010</v>
      </c>
      <c r="C51" s="192" t="s">
        <v>191</v>
      </c>
      <c r="D51" s="192" t="s">
        <v>578</v>
      </c>
      <c r="E51" s="191">
        <v>43077.348090277781</v>
      </c>
      <c r="F51" s="191">
        <v>43077.354409722226</v>
      </c>
      <c r="G51" s="190">
        <v>51</v>
      </c>
      <c r="H51" s="192" t="s">
        <v>634</v>
      </c>
      <c r="I51" s="191">
        <v>43077.378969907404</v>
      </c>
      <c r="J51" s="190">
        <v>0</v>
      </c>
      <c r="K51" s="200" t="str">
        <f t="shared" si="0"/>
        <v>4009/4010</v>
      </c>
      <c r="L51" s="207" t="str">
        <f>VLOOKUP(A51,'Trips&amp;Operators'!$C$1:$G$99911,5,FALSE)</f>
        <v>YORK EDGAR</v>
      </c>
      <c r="M51" s="189">
        <f t="shared" si="1"/>
        <v>2.456018517841585E-2</v>
      </c>
      <c r="N51" s="190">
        <f t="shared" si="24"/>
        <v>35.366666656918824</v>
      </c>
      <c r="O51" s="190"/>
      <c r="P51" s="190"/>
      <c r="Q51" s="193"/>
      <c r="R51" s="205"/>
      <c r="S51" s="235">
        <f t="shared" si="25"/>
        <v>1</v>
      </c>
      <c r="T51" s="236" t="str">
        <f t="shared" si="4"/>
        <v>NorthBound</v>
      </c>
      <c r="U51" s="23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37" t="str">
        <f t="shared" si="5"/>
        <v>https://d0f6bd738d7f1b3e5a7ca70fe4ff75f0.us-east-1.aws.found.io/app/kibana#/discover/Steve-Slow-Train-Analysis-(2080s-and-2083s)?_g=(refreshInterval:(display:Off,pause:!f,section:0,value:0),time:(from:'2017-12-08T07:21:15-0700',mode:absolute,to:'2017-12-08T10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238" t="str">
        <f>IF(AA51&lt;VLOOKUP(AG51,Variables!$AC$3:$AD$8,2,FALSE),"Y","N")</f>
        <v>N</v>
      </c>
      <c r="X51" s="238">
        <f t="shared" si="6"/>
        <v>1</v>
      </c>
      <c r="Y51" s="238">
        <f t="shared" si="26"/>
        <v>4.5100000000000001E-2</v>
      </c>
      <c r="Z51" s="238">
        <f t="shared" si="27"/>
        <v>23.327000000000002</v>
      </c>
      <c r="AA51" s="238">
        <f t="shared" si="9"/>
        <v>23.2819</v>
      </c>
      <c r="AB51" s="242" t="e">
        <f>VLOOKUP(A51,Enforcements!$C$7:$K$9,8,0)</f>
        <v>#N/A</v>
      </c>
      <c r="AC51" s="242" t="e">
        <f>VLOOKUP(A51,Enforcements!$C$7:$E$9,3,0)</f>
        <v>#N/A</v>
      </c>
      <c r="AD51" s="243">
        <f t="shared" si="10"/>
        <v>139</v>
      </c>
      <c r="AE51" s="198" t="str">
        <f t="shared" si="11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51" s="197" t="str">
        <f t="shared" si="12"/>
        <v>"C:\Program Files (x86)\AstroGrep\AstroGrep.exe" /e /r /s /spath="%USERPROFILE%\AppData\Local\Temp\OnboardLogs" /stypes="app*4010*20171208*" /stext=" 16:.+((SYSTEM_STATE.+slice.+state.+changed )|(ment ac)|(multiple cpu faults)|(system.+state.+changed )|(\[timeout)|(PRM\|1\|D)|(kpr)|(kdp)|(train st.+moving)|(\|lc)|(penalty))"</v>
      </c>
      <c r="AG51" s="206" t="str">
        <f t="shared" si="13"/>
        <v>EC</v>
      </c>
      <c r="AH51" s="199" t="str">
        <f t="shared" si="19"/>
        <v>"%USERPROFILE%\Documents\GitHub\eaglep3\Utilities\RefineRTDCRunTimes.py" --tripid 139-08 --locoid 4010 --swversion DE.1.0.9.0 --startMP 204:451 --initTime 2017-12-08T08:21:15 --startdatetime 2017-12-08T08:30:21 --delay 51 --endMP 204:233270 --enddatetime 2017-12-08T09:05:43 --enforcementcount 0 &gt;&gt;%USERPROFILE%\Documents\GitHub\eaglep3-reporting\EC\2017-12-08-refined-times.txt</v>
      </c>
      <c r="AI5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{"issue":{"subject":"","project_id":79,"tracker_id":40,"status_id":1,"priority_id":2,"assigned_to_id":338,"start_date":"2017-12-08","description":"","custom_fields":[{"id":1,"name":"Subdivision","value":"EC"},{"id":4,"name":"Milepost","value":"23.327"},{"id":17,"name":"Train ID","value":"139-08"},{"id":16,"name":"Locomotive ID","value":"4010"},{"id":130,"name":"Impact","value":""},{"id":150,"name":"Time of Event (Mountain Time)","value":"09:05:43"},{"id":151,"name":"Denver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8"/>
      <c r="AK51" s="196"/>
      <c r="AL51" s="196"/>
      <c r="AM51" s="203" t="str">
        <f t="shared" si="21"/>
        <v>start /low /b %USERPROFILE%\Documents\GitHub\eaglep3\Utilities\DownloadLogsFromS3.py --loco 4010 --day 2017-12-08</v>
      </c>
      <c r="AN5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95" t="str">
        <f t="shared" si="23"/>
        <v>https://d0f6bd738d7f1b3e5a7ca70fe4ff75f0.us-east-1.aws.found.io/app/kibana#/discover/Steve-Slow-Train-Analysis-(2080s-and-2083s)?_g=(refreshInterval:(display:Off,pause:!f,section:0,value:0),time:(from:'2017-12-08T07:21:15-0700',mode:absolute,to:'2017-12-08T10:05:43-0700'))&amp;_a=(columns:!('Message%20ID',Summary),filters:!(),index:'emp_*',interval:auto,query:(query_string:(analyze_wildcard:!t,query:'%22rtdc.l.rtdc.4010%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194" t="s">
        <v>778</v>
      </c>
      <c r="B52" s="190">
        <v>4009</v>
      </c>
      <c r="C52" s="192" t="s">
        <v>191</v>
      </c>
      <c r="D52" s="192" t="s">
        <v>953</v>
      </c>
      <c r="E52" s="191">
        <v>43077.392164351855</v>
      </c>
      <c r="F52" s="191">
        <v>43077.394224537034</v>
      </c>
      <c r="G52" s="190">
        <v>51</v>
      </c>
      <c r="H52" s="192" t="s">
        <v>504</v>
      </c>
      <c r="I52" s="191">
        <v>43077.419178240743</v>
      </c>
      <c r="J52" s="190">
        <v>0</v>
      </c>
      <c r="K52" s="200" t="str">
        <f t="shared" si="0"/>
        <v>4009/4010</v>
      </c>
      <c r="L52" s="207" t="str">
        <f>VLOOKUP(A52,'Trips&amp;Operators'!$C$1:$G$99911,5,FALSE)</f>
        <v>YORK EDGAR</v>
      </c>
      <c r="M52" s="189">
        <f t="shared" si="1"/>
        <v>2.4953703708888497E-2</v>
      </c>
      <c r="N52" s="190">
        <f t="shared" si="24"/>
        <v>35.933333340799436</v>
      </c>
      <c r="O52" s="190"/>
      <c r="P52" s="190"/>
      <c r="Q52" s="193"/>
      <c r="R52" s="205"/>
      <c r="S52" s="235">
        <f t="shared" si="25"/>
        <v>1</v>
      </c>
      <c r="T52" s="236" t="str">
        <f t="shared" si="4"/>
        <v>Southbound</v>
      </c>
      <c r="U52" s="23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37" t="str">
        <f t="shared" si="5"/>
        <v>https://d0f6bd738d7f1b3e5a7ca70fe4ff75f0.us-east-1.aws.found.io/app/kibana#/discover/Steve-Slow-Train-Analysis-(2080s-and-2083s)?_g=(refreshInterval:(display:Off,pause:!f,section:0,value:0),time:(from:'2017-12-08T08:24:43-0700',mode:absolute,to:'2017-12-08T11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238" t="str">
        <f>IF(AA52&lt;VLOOKUP(AG52,Variables!$AC$3:$AD$8,2,FALSE),"Y","N")</f>
        <v>N</v>
      </c>
      <c r="X52" s="238">
        <f t="shared" si="6"/>
        <v>1</v>
      </c>
      <c r="Y52" s="238">
        <f t="shared" si="26"/>
        <v>23.295300000000001</v>
      </c>
      <c r="Z52" s="238">
        <f t="shared" si="27"/>
        <v>1.49E-2</v>
      </c>
      <c r="AA52" s="238">
        <f t="shared" si="9"/>
        <v>23.2804</v>
      </c>
      <c r="AB52" s="242" t="e">
        <f>VLOOKUP(A52,Enforcements!$C$7:$K$9,8,0)</f>
        <v>#N/A</v>
      </c>
      <c r="AC52" s="242" t="e">
        <f>VLOOKUP(A52,Enforcements!$C$7:$E$9,3,0)</f>
        <v>#N/A</v>
      </c>
      <c r="AD52" s="243">
        <f t="shared" si="10"/>
        <v>140</v>
      </c>
      <c r="AE52" s="198" t="str">
        <f t="shared" si="11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52" s="197" t="str">
        <f t="shared" si="12"/>
        <v>"C:\Program Files (x86)\AstroGrep\AstroGrep.exe" /e /r /s /spath="%USERPROFILE%\AppData\Local\Temp\OnboardLogs" /stypes="app*4009*20171208*" /stext=" 17:.+((SYSTEM_STATE.+slice.+state.+changed )|(ment ac)|(multiple cpu faults)|(system.+state.+changed )|(\[timeout)|(PRM\|1\|D)|(kpr)|(kdp)|(train st.+moving)|(\|lc)|(penalty))"</v>
      </c>
      <c r="AG52" s="206" t="str">
        <f t="shared" si="13"/>
        <v>EC</v>
      </c>
      <c r="AH52" s="199" t="str">
        <f t="shared" si="19"/>
        <v>"%USERPROFILE%\Documents\GitHub\eaglep3\Utilities\RefineRTDCRunTimes.py" --tripid 140-08 --locoid 4009 --swversion DE.1.0.9.0 --startMP 204:232953 --initTime 2017-12-08T09:24:43 --startdatetime 2017-12-08T09:27:41 --delay 51 --endMP 204:149 --enddatetime 2017-12-08T10:03:37 --enforcementcount 0 &gt;&gt;%USERPROFILE%\Documents\GitHub\eaglep3-reporting\EC\2017-12-08-refined-times.txt</v>
      </c>
      <c r="AI5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{"issue":{"subject":"","project_id":79,"tracker_id":40,"status_id":1,"priority_id":2,"assigned_to_id":338,"start_date":"2017-12-08","description":"","custom_fields":[{"id":1,"name":"Subdivision","value":"EC"},{"id":4,"name":"Milepost","value":"0.0149"},{"id":17,"name":"Train ID","value":"140-08"},{"id":16,"name":"Locomotive ID","value":"4009"},{"id":130,"name":"Impact","value":""},{"id":150,"name":"Time of Event (Mountain Time)","value":"10:03:37"},{"id":151,"name":"Denver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8"/>
      <c r="AK52" s="196"/>
      <c r="AL52" s="196"/>
      <c r="AM52" s="203" t="str">
        <f t="shared" si="21"/>
        <v>start /low /b %USERPROFILE%\Documents\GitHub\eaglep3\Utilities\DownloadLogsFromS3.py --loco 4009 --day 2017-12-08</v>
      </c>
      <c r="AN5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95" t="str">
        <f t="shared" si="23"/>
        <v>https://d0f6bd738d7f1b3e5a7ca70fe4ff75f0.us-east-1.aws.found.io/app/kibana#/discover/Steve-Slow-Train-Analysis-(2080s-and-2083s)?_g=(refreshInterval:(display:Off,pause:!f,section:0,value:0),time:(from:'2017-12-08T08:24:43-0700',mode:absolute,to:'2017-12-08T11:03:37-0700'))&amp;_a=(columns:!('Message%20ID',Summary),filters:!(),index:'emp_*',interval:auto,query:(query_string:(analyze_wildcard:!t,query:'%22rtdc.l.rtdc.4009%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194" t="s">
        <v>771</v>
      </c>
      <c r="B53" s="190">
        <v>4020</v>
      </c>
      <c r="C53" s="192" t="s">
        <v>191</v>
      </c>
      <c r="D53" s="192" t="s">
        <v>954</v>
      </c>
      <c r="E53" s="191">
        <v>43077.361620370371</v>
      </c>
      <c r="F53" s="191">
        <v>43077.364837962959</v>
      </c>
      <c r="G53" s="190">
        <v>53</v>
      </c>
      <c r="H53" s="192" t="s">
        <v>955</v>
      </c>
      <c r="I53" s="191">
        <v>43077.38821759259</v>
      </c>
      <c r="J53" s="190">
        <v>0</v>
      </c>
      <c r="K53" s="200" t="str">
        <f t="shared" si="0"/>
        <v>4019/4020</v>
      </c>
      <c r="L53" s="207" t="str">
        <f>VLOOKUP(A53,'Trips&amp;Operators'!$C$1:$G$99911,5,FALSE)</f>
        <v>BIRENBAUM THOMAS</v>
      </c>
      <c r="M53" s="189">
        <f t="shared" si="1"/>
        <v>2.3379629630653653E-2</v>
      </c>
      <c r="N53" s="190">
        <f t="shared" si="24"/>
        <v>33.666666668141261</v>
      </c>
      <c r="O53" s="190"/>
      <c r="P53" s="190"/>
      <c r="Q53" s="193"/>
      <c r="R53" s="205"/>
      <c r="S53" s="235">
        <f t="shared" si="25"/>
        <v>1</v>
      </c>
      <c r="T53" s="236" t="str">
        <f t="shared" si="4"/>
        <v>NorthBound</v>
      </c>
      <c r="U53" s="23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37" t="str">
        <f t="shared" si="5"/>
        <v>https://d0f6bd738d7f1b3e5a7ca70fe4ff75f0.us-east-1.aws.found.io/app/kibana#/discover/Steve-Slow-Train-Analysis-(2080s-and-2083s)?_g=(refreshInterval:(display:Off,pause:!f,section:0,value:0),time:(from:'2017-12-08T07:40:44-0700',mode:absolute,to:'2017-12-08T10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238" t="str">
        <f>IF(AA53&lt;VLOOKUP(AG53,Variables!$AC$3:$AD$8,2,FALSE),"Y","N")</f>
        <v>N</v>
      </c>
      <c r="X53" s="238">
        <f t="shared" si="6"/>
        <v>1</v>
      </c>
      <c r="Y53" s="238">
        <f t="shared" si="26"/>
        <v>4.6899999999999997E-2</v>
      </c>
      <c r="Z53" s="238">
        <f t="shared" si="27"/>
        <v>23.320499999999999</v>
      </c>
      <c r="AA53" s="238">
        <f t="shared" si="9"/>
        <v>23.273599999999998</v>
      </c>
      <c r="AB53" s="242" t="e">
        <f>VLOOKUP(A53,Enforcements!$C$7:$K$9,8,0)</f>
        <v>#N/A</v>
      </c>
      <c r="AC53" s="242" t="e">
        <f>VLOOKUP(A53,Enforcements!$C$7:$E$9,3,0)</f>
        <v>#N/A</v>
      </c>
      <c r="AD53" s="243">
        <f t="shared" si="10"/>
        <v>141</v>
      </c>
      <c r="AE53" s="198" t="str">
        <f t="shared" si="11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53" s="197" t="str">
        <f t="shared" si="12"/>
        <v>"C:\Program Files (x86)\AstroGrep\AstroGrep.exe" /e /r /s /spath="%USERPROFILE%\AppData\Local\Temp\OnboardLogs" /stypes="app*4020*20171208*" /stext=" 16:.+((SYSTEM_STATE.+slice.+state.+changed )|(ment ac)|(multiple cpu faults)|(system.+state.+changed )|(\[timeout)|(PRM\|1\|D)|(kpr)|(kdp)|(train st.+moving)|(\|lc)|(penalty))"</v>
      </c>
      <c r="AG53" s="206" t="str">
        <f t="shared" si="13"/>
        <v>EC</v>
      </c>
      <c r="AH53" s="199" t="str">
        <f t="shared" si="19"/>
        <v>"%USERPROFILE%\Documents\GitHub\eaglep3\Utilities\RefineRTDCRunTimes.py" --tripid 141-08 --locoid 4020 --swversion DE.1.0.9.0 --startMP 204:469 --initTime 2017-12-08T08:40:44 --startdatetime 2017-12-08T08:45:22 --delay 53 --endMP 204:233205 --enddatetime 2017-12-08T09:19:02 --enforcementcount 0 &gt;&gt;%USERPROFILE%\Documents\GitHub\eaglep3-reporting\EC\2017-12-08-refined-times.txt</v>
      </c>
      <c r="AI53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{"issue":{"subject":"","project_id":79,"tracker_id":40,"status_id":1,"priority_id":2,"assigned_to_id":338,"start_date":"2017-12-08","description":"","custom_fields":[{"id":1,"name":"Subdivision","value":"EC"},{"id":4,"name":"Milepost","value":"23.3205"},{"id":17,"name":"Train ID","value":"141-08"},{"id":16,"name":"Locomotive ID","value":"4020"},{"id":130,"name":"Impact","value":""},{"id":150,"name":"Time of Event (Mountain Time)","value":"09:19:02"},{"id":151,"name":"Denver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8"/>
      <c r="AK53" s="196"/>
      <c r="AL53" s="196"/>
      <c r="AM53" s="203" t="str">
        <f t="shared" si="21"/>
        <v>start /low /b %USERPROFILE%\Documents\GitHub\eaglep3\Utilities\DownloadLogsFromS3.py --loco 4020 --day 2017-12-08</v>
      </c>
      <c r="AN53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95" t="str">
        <f t="shared" si="23"/>
        <v>https://d0f6bd738d7f1b3e5a7ca70fe4ff75f0.us-east-1.aws.found.io/app/kibana#/discover/Steve-Slow-Train-Analysis-(2080s-and-2083s)?_g=(refreshInterval:(display:Off,pause:!f,section:0,value:0),time:(from:'2017-12-08T07:40:44-0700',mode:absolute,to:'2017-12-08T10:19:02-0700'))&amp;_a=(columns:!('Message%20ID',Summary),filters:!(),index:'emp_*',interval:auto,query:(query_string:(analyze_wildcard:!t,query:'%22rtdc.l.rtdc.4020%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194" t="s">
        <v>776</v>
      </c>
      <c r="B54" s="190">
        <v>4019</v>
      </c>
      <c r="C54" s="192" t="s">
        <v>191</v>
      </c>
      <c r="D54" s="192" t="s">
        <v>956</v>
      </c>
      <c r="E54" s="191">
        <v>43077.391840277778</v>
      </c>
      <c r="F54" s="191">
        <v>43077.404305555552</v>
      </c>
      <c r="G54" s="190">
        <v>61</v>
      </c>
      <c r="H54" s="192" t="s">
        <v>957</v>
      </c>
      <c r="I54" s="191">
        <v>43077.429444444446</v>
      </c>
      <c r="J54" s="190">
        <v>0</v>
      </c>
      <c r="K54" s="200" t="str">
        <f t="shared" si="0"/>
        <v>4019/4020</v>
      </c>
      <c r="L54" s="207" t="str">
        <f>VLOOKUP(A54,'Trips&amp;Operators'!$C$1:$G$99911,5,FALSE)</f>
        <v>BIRENBAUM THOMAS</v>
      </c>
      <c r="M54" s="189">
        <f t="shared" si="1"/>
        <v>2.513888889370719E-2</v>
      </c>
      <c r="N54" s="190">
        <f t="shared" si="24"/>
        <v>36.200000006938353</v>
      </c>
      <c r="O54" s="190"/>
      <c r="P54" s="190"/>
      <c r="Q54" s="193"/>
      <c r="R54" s="205"/>
      <c r="S54" s="235">
        <f t="shared" si="25"/>
        <v>1</v>
      </c>
      <c r="T54" s="236" t="str">
        <f t="shared" si="4"/>
        <v>Southbound</v>
      </c>
      <c r="U54" s="23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37" t="str">
        <f t="shared" si="5"/>
        <v>https://d0f6bd738d7f1b3e5a7ca70fe4ff75f0.us-east-1.aws.found.io/app/kibana#/discover/Steve-Slow-Train-Analysis-(2080s-and-2083s)?_g=(refreshInterval:(display:Off,pause:!f,section:0,value:0),time:(from:'2017-12-08T08:24:15-0700',mode:absolute,to:'2017-12-08T11:18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238" t="str">
        <f>IF(AA54&lt;VLOOKUP(AG54,Variables!$AC$3:$AD$8,2,FALSE),"Y","N")</f>
        <v>N</v>
      </c>
      <c r="X54" s="238">
        <f t="shared" si="6"/>
        <v>1</v>
      </c>
      <c r="Y54" s="238">
        <f t="shared" si="26"/>
        <v>23.290700000000001</v>
      </c>
      <c r="Z54" s="238">
        <f t="shared" si="27"/>
        <v>1.9199999999999998E-2</v>
      </c>
      <c r="AA54" s="238">
        <f t="shared" si="9"/>
        <v>23.2715</v>
      </c>
      <c r="AB54" s="242" t="e">
        <f>VLOOKUP(A54,Enforcements!$C$7:$K$9,8,0)</f>
        <v>#N/A</v>
      </c>
      <c r="AC54" s="242" t="e">
        <f>VLOOKUP(A54,Enforcements!$C$7:$E$9,3,0)</f>
        <v>#N/A</v>
      </c>
      <c r="AD54" s="243">
        <f t="shared" si="10"/>
        <v>142</v>
      </c>
      <c r="AE54" s="198" t="str">
        <f t="shared" si="11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54" s="197" t="str">
        <f t="shared" si="12"/>
        <v>"C:\Program Files (x86)\AstroGrep\AstroGrep.exe" /e /r /s /spath="%USERPROFILE%\AppData\Local\Temp\OnboardLogs" /stypes="app*4019*20171208*" /stext=" 17:.+((SYSTEM_STATE.+slice.+state.+changed )|(ment ac)|(multiple cpu faults)|(system.+state.+changed )|(\[timeout)|(PRM\|1\|D)|(kpr)|(kdp)|(train st.+moving)|(\|lc)|(penalty))"</v>
      </c>
      <c r="AG54" s="206" t="str">
        <f t="shared" si="13"/>
        <v>EC</v>
      </c>
      <c r="AH54" s="199" t="str">
        <f t="shared" si="19"/>
        <v>"%USERPROFILE%\Documents\GitHub\eaglep3\Utilities\RefineRTDCRunTimes.py" --tripid 142-08 --locoid 4019 --swversion DE.1.0.9.0 --startMP 204:232907 --initTime 2017-12-08T09:24:15 --startdatetime 2017-12-08T09:42:12 --delay 61 --endMP 204:192 --enddatetime 2017-12-08T10:18:24 --enforcementcount 0 &gt;&gt;%USERPROFILE%\Documents\GitHub\eaglep3-reporting\EC\2017-12-08-refined-times.txt</v>
      </c>
      <c r="AI5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{"issue":{"subject":"","project_id":79,"tracker_id":40,"status_id":1,"priority_id":2,"assigned_to_id":338,"start_date":"2017-12-08","description":"","custom_fields":[{"id":1,"name":"Subdivision","value":"EC"},{"id":4,"name":"Milepost","value":"0.0192"},{"id":17,"name":"Train ID","value":"142-08"},{"id":16,"name":"Locomotive ID","value":"4019"},{"id":130,"name":"Impact","value":""},{"id":150,"name":"Time of Event (Mountain Time)","value":"10:18:24"},{"id":151,"name":"Denver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8"/>
      <c r="AK54" s="196"/>
      <c r="AL54" s="196"/>
      <c r="AM54" s="203" t="str">
        <f t="shared" si="21"/>
        <v>start /low /b %USERPROFILE%\Documents\GitHub\eaglep3\Utilities\DownloadLogsFromS3.py --loco 4019 --day 2017-12-08</v>
      </c>
      <c r="AN5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95" t="str">
        <f t="shared" si="23"/>
        <v>https://d0f6bd738d7f1b3e5a7ca70fe4ff75f0.us-east-1.aws.found.io/app/kibana#/discover/Steve-Slow-Train-Analysis-(2080s-and-2083s)?_g=(refreshInterval:(display:Off,pause:!f,section:0,value:0),time:(from:'2017-12-08T08:24:15-0700',mode:absolute,to:'2017-12-08T11:18:24-0700'))&amp;_a=(columns:!('Message%20ID',Summary),filters:!(),index:'emp_*',interval:auto,query:(query_string:(analyze_wildcard:!t,query:'%22rtdc.l.rtdc.4019%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194" t="s">
        <v>772</v>
      </c>
      <c r="B55" s="190">
        <v>4032</v>
      </c>
      <c r="C55" s="192" t="s">
        <v>191</v>
      </c>
      <c r="D55" s="192" t="s">
        <v>455</v>
      </c>
      <c r="E55" s="191">
        <v>43077.372060185182</v>
      </c>
      <c r="F55" s="191">
        <v>43077.375393518516</v>
      </c>
      <c r="G55" s="190">
        <v>61</v>
      </c>
      <c r="H55" s="192" t="s">
        <v>574</v>
      </c>
      <c r="I55" s="191">
        <v>43077.40016203704</v>
      </c>
      <c r="J55" s="190">
        <v>0</v>
      </c>
      <c r="K55" s="200" t="str">
        <f t="shared" si="0"/>
        <v>4031/4032</v>
      </c>
      <c r="L55" s="207" t="str">
        <f>VLOOKUP(A55,'Trips&amp;Operators'!$C$1:$G$99911,5,FALSE)</f>
        <v>MAELZER KURT</v>
      </c>
      <c r="M55" s="189">
        <f t="shared" si="1"/>
        <v>2.4768518524069805E-2</v>
      </c>
      <c r="N55" s="190">
        <f t="shared" si="24"/>
        <v>35.666666674660519</v>
      </c>
      <c r="O55" s="190"/>
      <c r="P55" s="190"/>
      <c r="Q55" s="193"/>
      <c r="R55" s="205"/>
      <c r="S55" s="235">
        <f t="shared" si="25"/>
        <v>1</v>
      </c>
      <c r="T55" s="236" t="str">
        <f t="shared" si="4"/>
        <v>NorthBound</v>
      </c>
      <c r="U55" s="23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37" t="str">
        <f t="shared" si="5"/>
        <v>https://d0f6bd738d7f1b3e5a7ca70fe4ff75f0.us-east-1.aws.found.io/app/kibana#/discover/Steve-Slow-Train-Analysis-(2080s-and-2083s)?_g=(refreshInterval:(display:Off,pause:!f,section:0,value:0),time:(from:'2017-12-08T07:55:46-0700',mode:absolute,to:'2017-12-08T10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238" t="str">
        <f>IF(AA55&lt;VLOOKUP(AG55,Variables!$AC$3:$AD$8,2,FALSE),"Y","N")</f>
        <v>N</v>
      </c>
      <c r="X55" s="238">
        <f t="shared" si="6"/>
        <v>1</v>
      </c>
      <c r="Y55" s="238">
        <f t="shared" si="26"/>
        <v>4.8399999999999999E-2</v>
      </c>
      <c r="Z55" s="238">
        <f t="shared" si="27"/>
        <v>23.3293</v>
      </c>
      <c r="AA55" s="238">
        <f t="shared" si="9"/>
        <v>23.280899999999999</v>
      </c>
      <c r="AB55" s="242" t="e">
        <f>VLOOKUP(A55,Enforcements!$C$7:$K$9,8,0)</f>
        <v>#N/A</v>
      </c>
      <c r="AC55" s="242" t="e">
        <f>VLOOKUP(A55,Enforcements!$C$7:$E$9,3,0)</f>
        <v>#N/A</v>
      </c>
      <c r="AD55" s="243">
        <f t="shared" si="10"/>
        <v>143</v>
      </c>
      <c r="AE55" s="198" t="str">
        <f t="shared" si="11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55" s="197" t="str">
        <f t="shared" si="12"/>
        <v>"C:\Program Files (x86)\AstroGrep\AstroGrep.exe" /e /r /s /spath="%USERPROFILE%\AppData\Local\Temp\OnboardLogs" /stypes="app*4032*20171208*" /stext=" 16:.+((SYSTEM_STATE.+slice.+state.+changed )|(ment ac)|(multiple cpu faults)|(system.+state.+changed )|(\[timeout)|(PRM\|1\|D)|(kpr)|(kdp)|(train st.+moving)|(\|lc)|(penalty))"</v>
      </c>
      <c r="AG55" s="206" t="str">
        <f t="shared" si="13"/>
        <v>EC</v>
      </c>
      <c r="AH55" s="199" t="str">
        <f t="shared" si="19"/>
        <v>"%USERPROFILE%\Documents\GitHub\eaglep3\Utilities\RefineRTDCRunTimes.py" --tripid 143-08 --locoid 4032 --swversion DE.1.0.9.0 --startMP 204:484 --initTime 2017-12-08T08:55:46 --startdatetime 2017-12-08T09:00:34 --delay 61 --endMP 204:233293 --enddatetime 2017-12-08T09:36:14 --enforcementcount 0 &gt;&gt;%USERPROFILE%\Documents\GitHub\eaglep3-reporting\EC\2017-12-08-refined-times.txt</v>
      </c>
      <c r="AI5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{"issue":{"subject":"","project_id":79,"tracker_id":40,"status_id":1,"priority_id":2,"assigned_to_id":338,"start_date":"2017-12-08","description":"","custom_fields":[{"id":1,"name":"Subdivision","value":"EC"},{"id":4,"name":"Milepost","value":"23.3293"},{"id":17,"name":"Train ID","value":"143-08"},{"id":16,"name":"Locomotive ID","value":"4032"},{"id":130,"name":"Impact","value":""},{"id":150,"name":"Time of Event (Mountain Time)","value":"09:36:14"},{"id":151,"name":"Denver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8"/>
      <c r="AK55" s="196"/>
      <c r="AL55" s="196"/>
      <c r="AM55" s="203" t="str">
        <f t="shared" si="21"/>
        <v>start /low /b %USERPROFILE%\Documents\GitHub\eaglep3\Utilities\DownloadLogsFromS3.py --loco 4032 --day 2017-12-08</v>
      </c>
      <c r="AN5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95" t="str">
        <f t="shared" si="23"/>
        <v>https://d0f6bd738d7f1b3e5a7ca70fe4ff75f0.us-east-1.aws.found.io/app/kibana#/discover/Steve-Slow-Train-Analysis-(2080s-and-2083s)?_g=(refreshInterval:(display:Off,pause:!f,section:0,value:0),time:(from:'2017-12-08T07:55:46-0700',mode:absolute,to:'2017-12-08T10:36:14-0700'))&amp;_a=(columns:!('Message%20ID',Summary),filters:!(),index:'emp_*',interval:auto,query:(query_string:(analyze_wildcard:!t,query:'%22rtdc.l.rtdc.4032%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194" t="s">
        <v>780</v>
      </c>
      <c r="B56" s="190">
        <v>4031</v>
      </c>
      <c r="C56" s="192" t="s">
        <v>191</v>
      </c>
      <c r="D56" s="192" t="s">
        <v>958</v>
      </c>
      <c r="E56" s="191">
        <v>43077.410856481481</v>
      </c>
      <c r="F56" s="191">
        <v>43077.414988425924</v>
      </c>
      <c r="G56" s="190">
        <v>55</v>
      </c>
      <c r="H56" s="192" t="s">
        <v>959</v>
      </c>
      <c r="I56" s="191">
        <v>43077.440578703703</v>
      </c>
      <c r="J56" s="190">
        <v>0</v>
      </c>
      <c r="K56" s="200" t="str">
        <f t="shared" si="0"/>
        <v>4031/4032</v>
      </c>
      <c r="L56" s="207" t="str">
        <f>VLOOKUP(A56,'Trips&amp;Operators'!$C$1:$G$99911,5,FALSE)</f>
        <v>MAELZER KURT</v>
      </c>
      <c r="M56" s="189">
        <f t="shared" si="1"/>
        <v>2.5590277778974269E-2</v>
      </c>
      <c r="N56" s="190">
        <f t="shared" si="24"/>
        <v>36.850000001722947</v>
      </c>
      <c r="O56" s="190"/>
      <c r="P56" s="190"/>
      <c r="Q56" s="193"/>
      <c r="R56" s="205"/>
      <c r="S56" s="235">
        <f t="shared" si="25"/>
        <v>1</v>
      </c>
      <c r="T56" s="236" t="str">
        <f t="shared" si="4"/>
        <v>Southbound</v>
      </c>
      <c r="U56" s="23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37" t="str">
        <f t="shared" si="5"/>
        <v>https://d0f6bd738d7f1b3e5a7ca70fe4ff75f0.us-east-1.aws.found.io/app/kibana#/discover/Steve-Slow-Train-Analysis-(2080s-and-2083s)?_g=(refreshInterval:(display:Off,pause:!f,section:0,value:0),time:(from:'2017-12-08T08:51:38-0700',mode:absolute,to:'2017-12-08T11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238" t="str">
        <f>IF(AA56&lt;VLOOKUP(AG56,Variables!$AC$3:$AD$8,2,FALSE),"Y","N")</f>
        <v>N</v>
      </c>
      <c r="X56" s="238">
        <f t="shared" si="6"/>
        <v>1</v>
      </c>
      <c r="Y56" s="238">
        <f t="shared" si="26"/>
        <v>23.297599999999999</v>
      </c>
      <c r="Z56" s="238">
        <f t="shared" si="27"/>
        <v>1.9099999999999999E-2</v>
      </c>
      <c r="AA56" s="238">
        <f t="shared" si="9"/>
        <v>23.278499999999998</v>
      </c>
      <c r="AB56" s="242" t="e">
        <f>VLOOKUP(A56,Enforcements!$C$7:$K$9,8,0)</f>
        <v>#N/A</v>
      </c>
      <c r="AC56" s="242" t="e">
        <f>VLOOKUP(A56,Enforcements!$C$7:$E$9,3,0)</f>
        <v>#N/A</v>
      </c>
      <c r="AD56" s="243">
        <f t="shared" si="10"/>
        <v>144</v>
      </c>
      <c r="AE56" s="198" t="str">
        <f t="shared" si="11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56" s="197" t="str">
        <f t="shared" si="12"/>
        <v>"C:\Program Files (x86)\AstroGrep\AstroGrep.exe" /e /r /s /spath="%USERPROFILE%\AppData\Local\Temp\OnboardLogs" /stypes="app*4031*20171208*" /stext=" 17:.+((SYSTEM_STATE.+slice.+state.+changed )|(ment ac)|(multiple cpu faults)|(system.+state.+changed )|(\[timeout)|(PRM\|1\|D)|(kpr)|(kdp)|(train st.+moving)|(\|lc)|(penalty))"</v>
      </c>
      <c r="AG56" s="206" t="str">
        <f t="shared" si="13"/>
        <v>EC</v>
      </c>
      <c r="AH56" s="199" t="str">
        <f t="shared" si="19"/>
        <v>"%USERPROFILE%\Documents\GitHub\eaglep3\Utilities\RefineRTDCRunTimes.py" --tripid 144-08 --locoid 4031 --swversion DE.1.0.9.0 --startMP 204:232976 --initTime 2017-12-08T09:51:38 --startdatetime 2017-12-08T09:57:35 --delay 55 --endMP 204:191 --enddatetime 2017-12-08T10:34:26 --enforcementcount 0 &gt;&gt;%USERPROFILE%\Documents\GitHub\eaglep3-reporting\EC\2017-12-08-refined-times.txt</v>
      </c>
      <c r="AI5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{"issue":{"subject":"","project_id":79,"tracker_id":40,"status_id":1,"priority_id":2,"assigned_to_id":338,"start_date":"2017-12-08","description":"","custom_fields":[{"id":1,"name":"Subdivision","value":"EC"},{"id":4,"name":"Milepost","value":"0.0191"},{"id":17,"name":"Train ID","value":"144-08"},{"id":16,"name":"Locomotive ID","value":"4031"},{"id":130,"name":"Impact","value":""},{"id":150,"name":"Time of Event (Mountain Time)","value":"10:34:26"},{"id":151,"name":"Denver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8"/>
      <c r="AK56" s="196"/>
      <c r="AL56" s="196"/>
      <c r="AM56" s="203" t="str">
        <f t="shared" si="21"/>
        <v>start /low /b %USERPROFILE%\Documents\GitHub\eaglep3\Utilities\DownloadLogsFromS3.py --loco 4031 --day 2017-12-08</v>
      </c>
      <c r="AN5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95" t="str">
        <f t="shared" si="23"/>
        <v>https://d0f6bd738d7f1b3e5a7ca70fe4ff75f0.us-east-1.aws.found.io/app/kibana#/discover/Steve-Slow-Train-Analysis-(2080s-and-2083s)?_g=(refreshInterval:(display:Off,pause:!f,section:0,value:0),time:(from:'2017-12-08T08:51:38-0700',mode:absolute,to:'2017-12-08T11:34:26-0700'))&amp;_a=(columns:!('Message%20ID',Summary),filters:!(),index:'emp_*',interval:auto,query:(query_string:(analyze_wildcard:!t,query:'%22rtdc.l.rtdc.4031%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194" t="s">
        <v>775</v>
      </c>
      <c r="B57" s="190">
        <v>4016</v>
      </c>
      <c r="C57" s="192" t="s">
        <v>191</v>
      </c>
      <c r="D57" s="192" t="s">
        <v>446</v>
      </c>
      <c r="E57" s="191">
        <v>43077.380740740744</v>
      </c>
      <c r="F57" s="191">
        <v>43077.385798611111</v>
      </c>
      <c r="G57" s="190">
        <v>60</v>
      </c>
      <c r="H57" s="192" t="s">
        <v>640</v>
      </c>
      <c r="I57" s="191">
        <v>43077.410115740742</v>
      </c>
      <c r="J57" s="190">
        <v>0</v>
      </c>
      <c r="K57" s="200" t="str">
        <f t="shared" si="0"/>
        <v>4015/4016</v>
      </c>
      <c r="L57" s="207" t="str">
        <f>VLOOKUP(A57,'Trips&amp;Operators'!$C$1:$G$99911,5,FALSE)</f>
        <v>HAMMOND JUSTYNN</v>
      </c>
      <c r="M57" s="189">
        <f t="shared" si="1"/>
        <v>2.4317129631526768E-2</v>
      </c>
      <c r="N57" s="190">
        <f t="shared" si="24"/>
        <v>35.016666669398546</v>
      </c>
      <c r="O57" s="190"/>
      <c r="P57" s="190"/>
      <c r="Q57" s="193"/>
      <c r="R57" s="205"/>
      <c r="S57" s="235">
        <f t="shared" si="25"/>
        <v>1</v>
      </c>
      <c r="T57" s="236" t="str">
        <f t="shared" si="4"/>
        <v>NorthBound</v>
      </c>
      <c r="U57" s="23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37" t="str">
        <f t="shared" si="5"/>
        <v>https://d0f6bd738d7f1b3e5a7ca70fe4ff75f0.us-east-1.aws.found.io/app/kibana#/discover/Steve-Slow-Train-Analysis-(2080s-and-2083s)?_g=(refreshInterval:(display:Off,pause:!f,section:0,value:0),time:(from:'2017-12-08T08:08:16-0700',mode:absolute,to:'2017-12-08T10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38" t="str">
        <f>IF(AA57&lt;VLOOKUP(AG57,Variables!$AC$3:$AD$8,2,FALSE),"Y","N")</f>
        <v>N</v>
      </c>
      <c r="X57" s="238">
        <f t="shared" si="6"/>
        <v>1</v>
      </c>
      <c r="Y57" s="238">
        <f t="shared" si="26"/>
        <v>5.1999999999999998E-2</v>
      </c>
      <c r="Z57" s="238">
        <f t="shared" si="27"/>
        <v>23.3247</v>
      </c>
      <c r="AA57" s="238">
        <f t="shared" si="9"/>
        <v>23.2727</v>
      </c>
      <c r="AB57" s="242" t="e">
        <f>VLOOKUP(A57,Enforcements!$C$7:$K$9,8,0)</f>
        <v>#N/A</v>
      </c>
      <c r="AC57" s="242" t="e">
        <f>VLOOKUP(A57,Enforcements!$C$7:$E$9,3,0)</f>
        <v>#N/A</v>
      </c>
      <c r="AD57" s="243">
        <f t="shared" si="10"/>
        <v>145</v>
      </c>
      <c r="AE57" s="198" t="str">
        <f t="shared" si="11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57" s="197" t="str">
        <f t="shared" si="12"/>
        <v>"C:\Program Files (x86)\AstroGrep\AstroGrep.exe" /e /r /s /spath="%USERPROFILE%\AppData\Local\Temp\OnboardLogs" /stypes="app*4016*20171208*" /stext=" 16:.+((SYSTEM_STATE.+slice.+state.+changed )|(ment ac)|(multiple cpu faults)|(system.+state.+changed )|(\[timeout)|(PRM\|1\|D)|(kpr)|(kdp)|(train st.+moving)|(\|lc)|(penalty))"</v>
      </c>
      <c r="AG57" s="206" t="str">
        <f t="shared" si="13"/>
        <v>EC</v>
      </c>
      <c r="AH57" s="199" t="str">
        <f t="shared" si="19"/>
        <v>"%USERPROFILE%\Documents\GitHub\eaglep3\Utilities\RefineRTDCRunTimes.py" --tripid 145-08 --locoid 4016 --swversion DE.1.0.9.0 --startMP 204:520 --initTime 2017-12-08T09:08:16 --startdatetime 2017-12-08T09:15:33 --delay 60 --endMP 204:233247 --enddatetime 2017-12-08T09:50:34 --enforcementcount 0 &gt;&gt;%USERPROFILE%\Documents\GitHub\eaglep3-reporting\EC\2017-12-08-refined-times.txt</v>
      </c>
      <c r="AI5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{"issue":{"subject":"","project_id":79,"tracker_id":40,"status_id":1,"priority_id":2,"assigned_to_id":338,"start_date":"2017-12-08","description":"","custom_fields":[{"id":1,"name":"Subdivision","value":"EC"},{"id":4,"name":"Milepost","value":"23.3247"},{"id":17,"name":"Train ID","value":"145-08"},{"id":16,"name":"Locomotive ID","value":"4016"},{"id":130,"name":"Impact","value":""},{"id":150,"name":"Time of Event (Mountain Time)","value":"09:50:34"},{"id":151,"name":"Denver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8"/>
      <c r="AK57" s="196"/>
      <c r="AL57" s="196"/>
      <c r="AM57" s="203" t="str">
        <f t="shared" si="21"/>
        <v>start /low /b %USERPROFILE%\Documents\GitHub\eaglep3\Utilities\DownloadLogsFromS3.py --loco 4016 --day 2017-12-08</v>
      </c>
      <c r="AN5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95" t="str">
        <f t="shared" si="23"/>
        <v>https://d0f6bd738d7f1b3e5a7ca70fe4ff75f0.us-east-1.aws.found.io/app/kibana#/discover/Steve-Slow-Train-Analysis-(2080s-and-2083s)?_g=(refreshInterval:(display:Off,pause:!f,section:0,value:0),time:(from:'2017-12-08T08:08:16-0700',mode:absolute,to:'2017-12-08T10:50:34-0700'))&amp;_a=(columns:!('Message%20ID',Summary),filters:!(),index:'emp_*',interval:auto,query:(query_string:(analyze_wildcard:!t,query:'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194" t="s">
        <v>782</v>
      </c>
      <c r="B58" s="190">
        <v>4015</v>
      </c>
      <c r="C58" s="192" t="s">
        <v>191</v>
      </c>
      <c r="D58" s="192" t="s">
        <v>657</v>
      </c>
      <c r="E58" s="191">
        <v>43077.422326388885</v>
      </c>
      <c r="F58" s="191">
        <v>43077.425208333334</v>
      </c>
      <c r="G58" s="190">
        <v>53</v>
      </c>
      <c r="H58" s="192" t="s">
        <v>411</v>
      </c>
      <c r="I58" s="191">
        <v>43077.451458333337</v>
      </c>
      <c r="J58" s="190">
        <v>0</v>
      </c>
      <c r="K58" s="200" t="str">
        <f t="shared" si="0"/>
        <v>4015/4016</v>
      </c>
      <c r="L58" s="207" t="str">
        <f>VLOOKUP(A58,'Trips&amp;Operators'!$C$1:$G$99911,5,FALSE)</f>
        <v>HAMMOND JUSTYNN</v>
      </c>
      <c r="M58" s="189">
        <f t="shared" si="1"/>
        <v>2.6250000002619345E-2</v>
      </c>
      <c r="N58" s="190">
        <f t="shared" si="24"/>
        <v>37.800000003771856</v>
      </c>
      <c r="O58" s="190"/>
      <c r="P58" s="190"/>
      <c r="Q58" s="193"/>
      <c r="R58" s="205"/>
      <c r="S58" s="235">
        <f t="shared" si="25"/>
        <v>1</v>
      </c>
      <c r="T58" s="236" t="str">
        <f t="shared" si="4"/>
        <v>Southbound</v>
      </c>
      <c r="U58" s="23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37" t="str">
        <f t="shared" si="5"/>
        <v>https://d0f6bd738d7f1b3e5a7ca70fe4ff75f0.us-east-1.aws.found.io/app/kibana#/discover/Steve-Slow-Train-Analysis-(2080s-and-2083s)?_g=(refreshInterval:(display:Off,pause:!f,section:0,value:0),time:(from:'2017-12-08T09:08:09-0700',mode:absolute,to:'2017-12-08T11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38" t="str">
        <f>IF(AA58&lt;VLOOKUP(AG58,Variables!$AC$3:$AD$8,2,FALSE),"Y","N")</f>
        <v>N</v>
      </c>
      <c r="X58" s="238">
        <f t="shared" si="6"/>
        <v>1</v>
      </c>
      <c r="Y58" s="238">
        <f t="shared" si="26"/>
        <v>23.293600000000001</v>
      </c>
      <c r="Z58" s="238">
        <f t="shared" si="27"/>
        <v>2.12E-2</v>
      </c>
      <c r="AA58" s="238">
        <f t="shared" si="9"/>
        <v>23.272400000000001</v>
      </c>
      <c r="AB58" s="242" t="e">
        <f>VLOOKUP(A58,Enforcements!$C$7:$K$9,8,0)</f>
        <v>#N/A</v>
      </c>
      <c r="AC58" s="242" t="e">
        <f>VLOOKUP(A58,Enforcements!$C$7:$E$9,3,0)</f>
        <v>#N/A</v>
      </c>
      <c r="AD58" s="243">
        <f t="shared" si="10"/>
        <v>146</v>
      </c>
      <c r="AE58" s="198" t="str">
        <f t="shared" si="11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58" s="197" t="str">
        <f t="shared" si="12"/>
        <v>"C:\Program Files (x86)\AstroGrep\AstroGrep.exe" /e /r /s /spath="%USERPROFILE%\AppData\Local\Temp\OnboardLogs" /stypes="app*4015*20171208*" /stext=" 17:.+((SYSTEM_STATE.+slice.+state.+changed )|(ment ac)|(multiple cpu faults)|(system.+state.+changed )|(\[timeout)|(PRM\|1\|D)|(kpr)|(kdp)|(train st.+moving)|(\|lc)|(penalty))"</v>
      </c>
      <c r="AG58" s="206" t="str">
        <f t="shared" si="13"/>
        <v>EC</v>
      </c>
      <c r="AH58" s="199" t="str">
        <f t="shared" si="19"/>
        <v>"%USERPROFILE%\Documents\GitHub\eaglep3\Utilities\RefineRTDCRunTimes.py" --tripid 146-08 --locoid 4015 --swversion DE.1.0.9.0 --startMP 204:232936 --initTime 2017-12-08T10:08:09 --startdatetime 2017-12-08T10:12:18 --delay 53 --endMP 204:212 --enddatetime 2017-12-08T10:50:06 --enforcementcount 0 &gt;&gt;%USERPROFILE%\Documents\GitHub\eaglep3-reporting\EC\2017-12-08-refined-times.txt</v>
      </c>
      <c r="AI5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{"issue":{"subject":"","project_id":79,"tracker_id":40,"status_id":1,"priority_id":2,"assigned_to_id":338,"start_date":"2017-12-08","description":"","custom_fields":[{"id":1,"name":"Subdivision","value":"EC"},{"id":4,"name":"Milepost","value":"0.0212"},{"id":17,"name":"Train ID","value":"146-08"},{"id":16,"name":"Locomotive ID","value":"4015"},{"id":130,"name":"Impact","value":""},{"id":150,"name":"Time of Event (Mountain Time)","value":"10:50:06"},{"id":151,"name":"Denver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8"/>
      <c r="AK58" s="196"/>
      <c r="AL58" s="196"/>
      <c r="AM58" s="203" t="str">
        <f t="shared" si="21"/>
        <v>start /low /b %USERPROFILE%\Documents\GitHub\eaglep3\Utilities\DownloadLogsFromS3.py --loco 4015 --day 2017-12-08</v>
      </c>
      <c r="AN5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95" t="str">
        <f t="shared" si="23"/>
        <v>https://d0f6bd738d7f1b3e5a7ca70fe4ff75f0.us-east-1.aws.found.io/app/kibana#/discover/Steve-Slow-Train-Analysis-(2080s-and-2083s)?_g=(refreshInterval:(display:Off,pause:!f,section:0,value:0),time:(from:'2017-12-08T09:08:09-0700',mode:absolute,to:'2017-12-08T11:50:06-0700'))&amp;_a=(columns:!('Message%20ID',Summary),filters:!(),index:'emp_*',interval:auto,query:(query_string:(analyze_wildcard:!t,query:'%22rtdc.l.rtdc.4015%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194" t="s">
        <v>779</v>
      </c>
      <c r="B59" s="190">
        <v>4064</v>
      </c>
      <c r="C59" s="192" t="s">
        <v>191</v>
      </c>
      <c r="D59" s="192" t="s">
        <v>572</v>
      </c>
      <c r="E59" s="191">
        <v>43077.392847222225</v>
      </c>
      <c r="F59" s="191">
        <v>43077.396122685182</v>
      </c>
      <c r="G59" s="190">
        <v>54</v>
      </c>
      <c r="H59" s="192" t="s">
        <v>615</v>
      </c>
      <c r="I59" s="191">
        <v>43077.4216087963</v>
      </c>
      <c r="J59" s="190">
        <v>0</v>
      </c>
      <c r="K59" s="200" t="str">
        <f t="shared" si="0"/>
        <v>4063/4064</v>
      </c>
      <c r="L59" s="207" t="str">
        <f>VLOOKUP(A59,'Trips&amp;Operators'!$C$1:$G$99911,5,FALSE)</f>
        <v>STARKS ANGELINA</v>
      </c>
      <c r="M59" s="189">
        <f t="shared" si="1"/>
        <v>2.5486111117061228E-2</v>
      </c>
      <c r="N59" s="190">
        <f t="shared" si="24"/>
        <v>36.700000008568168</v>
      </c>
      <c r="O59" s="190"/>
      <c r="P59" s="190"/>
      <c r="Q59" s="193"/>
      <c r="R59" s="205"/>
      <c r="S59" s="235">
        <f t="shared" si="25"/>
        <v>1</v>
      </c>
      <c r="T59" s="236" t="str">
        <f t="shared" si="4"/>
        <v>NorthBound</v>
      </c>
      <c r="U59" s="23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37" t="str">
        <f t="shared" si="5"/>
        <v>https://d0f6bd738d7f1b3e5a7ca70fe4ff75f0.us-east-1.aws.found.io/app/kibana#/discover/Steve-Slow-Train-Analysis-(2080s-and-2083s)?_g=(refreshInterval:(display:Off,pause:!f,section:0,value:0),time:(from:'2017-12-08T08:25:42-0700',mode:absolute,to:'2017-12-08T11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238" t="str">
        <f>IF(AA59&lt;VLOOKUP(AG59,Variables!$AC$3:$AD$8,2,FALSE),"Y","N")</f>
        <v>N</v>
      </c>
      <c r="X59" s="238">
        <f t="shared" si="6"/>
        <v>1</v>
      </c>
      <c r="Y59" s="238">
        <f t="shared" si="26"/>
        <v>4.53E-2</v>
      </c>
      <c r="Z59" s="238">
        <f t="shared" si="27"/>
        <v>23.328900000000001</v>
      </c>
      <c r="AA59" s="238">
        <f t="shared" si="9"/>
        <v>23.2836</v>
      </c>
      <c r="AB59" s="242" t="e">
        <f>VLOOKUP(A59,Enforcements!$C$7:$K$9,8,0)</f>
        <v>#N/A</v>
      </c>
      <c r="AC59" s="242" t="e">
        <f>VLOOKUP(A59,Enforcements!$C$7:$E$9,3,0)</f>
        <v>#N/A</v>
      </c>
      <c r="AD59" s="243">
        <f t="shared" si="10"/>
        <v>147</v>
      </c>
      <c r="AE59" s="198" t="str">
        <f t="shared" si="11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59" s="197" t="str">
        <f t="shared" si="12"/>
        <v>"C:\Program Files (x86)\AstroGrep\AstroGrep.exe" /e /r /s /spath="%USERPROFILE%\AppData\Local\Temp\OnboardLogs" /stypes="app*4064*20171208*" /stext=" 17:.+((SYSTEM_STATE.+slice.+state.+changed )|(ment ac)|(multiple cpu faults)|(system.+state.+changed )|(\[timeout)|(PRM\|1\|D)|(kpr)|(kdp)|(train st.+moving)|(\|lc)|(penalty))"</v>
      </c>
      <c r="AG59" s="206" t="str">
        <f t="shared" si="13"/>
        <v>EC</v>
      </c>
      <c r="AH59" s="199" t="str">
        <f t="shared" si="19"/>
        <v>"%USERPROFILE%\Documents\GitHub\eaglep3\Utilities\RefineRTDCRunTimes.py" --tripid 147-08 --locoid 4064 --swversion DE.1.0.9.0 --startMP 204:453 --initTime 2017-12-08T09:25:42 --startdatetime 2017-12-08T09:30:25 --delay 54 --endMP 204:233289 --enddatetime 2017-12-08T10:07:07 --enforcementcount 0 &gt;&gt;%USERPROFILE%\Documents\GitHub\eaglep3-reporting\EC\2017-12-08-refined-times.txt</v>
      </c>
      <c r="AI5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{"issue":{"subject":"","project_id":79,"tracker_id":40,"status_id":1,"priority_id":2,"assigned_to_id":338,"start_date":"2017-12-08","description":"","custom_fields":[{"id":1,"name":"Subdivision","value":"EC"},{"id":4,"name":"Milepost","value":"23.3289"},{"id":17,"name":"Train ID","value":"147-08"},{"id":16,"name":"Locomotive ID","value":"4064"},{"id":130,"name":"Impact","value":""},{"id":150,"name":"Time of Event (Mountain Time)","value":"10:07:07"},{"id":151,"name":"Denver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8"/>
      <c r="AK59" s="196"/>
      <c r="AL59" s="196"/>
      <c r="AM59" s="203" t="str">
        <f t="shared" si="21"/>
        <v>start /low /b %USERPROFILE%\Documents\GitHub\eaglep3\Utilities\DownloadLogsFromS3.py --loco 4064 --day 2017-12-08</v>
      </c>
      <c r="AN5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95" t="str">
        <f t="shared" si="23"/>
        <v>https://d0f6bd738d7f1b3e5a7ca70fe4ff75f0.us-east-1.aws.found.io/app/kibana#/discover/Steve-Slow-Train-Analysis-(2080s-and-2083s)?_g=(refreshInterval:(display:Off,pause:!f,section:0,value:0),time:(from:'2017-12-08T08:25:42-0700',mode:absolute,to:'2017-12-08T11:07:07-0700'))&amp;_a=(columns:!('Message%20ID',Summary),filters:!(),index:'emp_*',interval:auto,query:(query_string:(analyze_wildcard:!t,query:'%22rtdc.l.rtdc.4064%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194" t="s">
        <v>787</v>
      </c>
      <c r="B60" s="190">
        <v>4063</v>
      </c>
      <c r="C60" s="192" t="s">
        <v>191</v>
      </c>
      <c r="D60" s="192" t="s">
        <v>503</v>
      </c>
      <c r="E60" s="191">
        <v>43077.434398148151</v>
      </c>
      <c r="F60" s="191">
        <v>43077.435659722221</v>
      </c>
      <c r="G60" s="190">
        <v>51</v>
      </c>
      <c r="H60" s="192" t="s">
        <v>960</v>
      </c>
      <c r="I60" s="191">
        <v>43077.463043981479</v>
      </c>
      <c r="J60" s="190">
        <v>0</v>
      </c>
      <c r="K60" s="200" t="str">
        <f t="shared" si="0"/>
        <v>4063/4064</v>
      </c>
      <c r="L60" s="207" t="str">
        <f>VLOOKUP(A60,'Trips&amp;Operators'!$C$1:$G$99911,5,FALSE)</f>
        <v>STARKS ANGELINA</v>
      </c>
      <c r="M60" s="189">
        <f t="shared" si="1"/>
        <v>2.7384259257814847E-2</v>
      </c>
      <c r="N60" s="190">
        <f t="shared" si="24"/>
        <v>39.43333333125338</v>
      </c>
      <c r="O60" s="190"/>
      <c r="P60" s="190"/>
      <c r="Q60" s="193"/>
      <c r="R60" s="205"/>
      <c r="S60" s="235">
        <f t="shared" si="25"/>
        <v>1</v>
      </c>
      <c r="T60" s="236" t="str">
        <f t="shared" si="4"/>
        <v>Southbound</v>
      </c>
      <c r="U60" s="23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37" t="str">
        <f t="shared" si="5"/>
        <v>https://d0f6bd738d7f1b3e5a7ca70fe4ff75f0.us-east-1.aws.found.io/app/kibana#/discover/Steve-Slow-Train-Analysis-(2080s-and-2083s)?_g=(refreshInterval:(display:Off,pause:!f,section:0,value:0),time:(from:'2017-12-08T09:25:32-0700',mode:absolute,to:'2017-12-08T12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238" t="str">
        <f>IF(AA60&lt;VLOOKUP(AG60,Variables!$AC$3:$AD$8,2,FALSE),"Y","N")</f>
        <v>N</v>
      </c>
      <c r="X60" s="238">
        <f t="shared" si="6"/>
        <v>1</v>
      </c>
      <c r="Y60" s="238">
        <f t="shared" si="26"/>
        <v>23.297699999999999</v>
      </c>
      <c r="Z60" s="238">
        <f t="shared" si="27"/>
        <v>1.3899999999999999E-2</v>
      </c>
      <c r="AA60" s="238">
        <f t="shared" si="9"/>
        <v>23.283799999999999</v>
      </c>
      <c r="AB60" s="242" t="e">
        <f>VLOOKUP(A60,Enforcements!$C$7:$K$9,8,0)</f>
        <v>#N/A</v>
      </c>
      <c r="AC60" s="242" t="e">
        <f>VLOOKUP(A60,Enforcements!$C$7:$E$9,3,0)</f>
        <v>#N/A</v>
      </c>
      <c r="AD60" s="243">
        <f t="shared" si="10"/>
        <v>148</v>
      </c>
      <c r="AE60" s="198" t="str">
        <f t="shared" si="11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60" s="197" t="str">
        <f t="shared" si="12"/>
        <v>"C:\Program Files (x86)\AstroGrep\AstroGrep.exe" /e /r /s /spath="%USERPROFILE%\AppData\Local\Temp\OnboardLogs" /stypes="app*4063*20171208*" /stext=" 18:.+((SYSTEM_STATE.+slice.+state.+changed )|(ment ac)|(multiple cpu faults)|(system.+state.+changed )|(\[timeout)|(PRM\|1\|D)|(kpr)|(kdp)|(train st.+moving)|(\|lc)|(penalty))"</v>
      </c>
      <c r="AG60" s="206" t="str">
        <f t="shared" si="13"/>
        <v>EC</v>
      </c>
      <c r="AH60" s="199" t="str">
        <f t="shared" si="19"/>
        <v>"%USERPROFILE%\Documents\GitHub\eaglep3\Utilities\RefineRTDCRunTimes.py" --tripid 148-08 --locoid 4063 --swversion DE.1.0.9.0 --startMP 204:232977 --initTime 2017-12-08T10:25:32 --startdatetime 2017-12-08T10:27:21 --delay 51 --endMP 204:139 --enddatetime 2017-12-08T11:06:47 --enforcementcount 0 &gt;&gt;%USERPROFILE%\Documents\GitHub\eaglep3-reporting\EC\2017-12-08-refined-times.txt</v>
      </c>
      <c r="AI6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{"issue":{"subject":"","project_id":79,"tracker_id":40,"status_id":1,"priority_id":2,"assigned_to_id":338,"start_date":"2017-12-08","description":"","custom_fields":[{"id":1,"name":"Subdivision","value":"EC"},{"id":4,"name":"Milepost","value":"0.0139"},{"id":17,"name":"Train ID","value":"148-08"},{"id":16,"name":"Locomotive ID","value":"4063"},{"id":130,"name":"Impact","value":""},{"id":150,"name":"Time of Event (Mountain Time)","value":"11:06:47"},{"id":151,"name":"Denver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8"/>
      <c r="AK60" s="196"/>
      <c r="AL60" s="196"/>
      <c r="AM60" s="203" t="str">
        <f t="shared" si="21"/>
        <v>start /low /b %USERPROFILE%\Documents\GitHub\eaglep3\Utilities\DownloadLogsFromS3.py --loco 4063 --day 2017-12-08</v>
      </c>
      <c r="AN6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95" t="str">
        <f t="shared" si="23"/>
        <v>https://d0f6bd738d7f1b3e5a7ca70fe4ff75f0.us-east-1.aws.found.io/app/kibana#/discover/Steve-Slow-Train-Analysis-(2080s-and-2083s)?_g=(refreshInterval:(display:Off,pause:!f,section:0,value:0),time:(from:'2017-12-08T09:25:32-0700',mode:absolute,to:'2017-12-08T12:06:47-0700'))&amp;_a=(columns:!('Message%20ID',Summary),filters:!(),index:'emp_*',interval:auto,query:(query_string:(analyze_wildcard:!t,query:'%22rtdc.l.rtdc.4063%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194" t="s">
        <v>686</v>
      </c>
      <c r="B61" s="190">
        <v>4024</v>
      </c>
      <c r="C61" s="192" t="s">
        <v>191</v>
      </c>
      <c r="D61" s="192" t="s">
        <v>453</v>
      </c>
      <c r="E61" s="191">
        <v>43077.400393518517</v>
      </c>
      <c r="F61" s="191">
        <v>43077.406423611108</v>
      </c>
      <c r="G61" s="190">
        <v>74</v>
      </c>
      <c r="H61" s="192" t="s">
        <v>961</v>
      </c>
      <c r="I61" s="191">
        <v>43077.431006944447</v>
      </c>
      <c r="J61" s="190">
        <v>0</v>
      </c>
      <c r="K61" s="200" t="str">
        <f t="shared" si="0"/>
        <v>4023/4024</v>
      </c>
      <c r="L61" s="207" t="str">
        <f>VLOOKUP(A61,'Trips&amp;Operators'!$C$1:$G$99911,5,FALSE)</f>
        <v>GEBRETEKLE DAGNEW</v>
      </c>
      <c r="M61" s="189">
        <f t="shared" si="1"/>
        <v>2.4583333339251112E-2</v>
      </c>
      <c r="N61" s="190">
        <f t="shared" si="24"/>
        <v>35.400000008521602</v>
      </c>
      <c r="O61" s="190"/>
      <c r="P61" s="190"/>
      <c r="Q61" s="193"/>
      <c r="R61" s="205"/>
      <c r="S61" s="235">
        <f t="shared" si="25"/>
        <v>1</v>
      </c>
      <c r="T61" s="236" t="str">
        <f t="shared" si="4"/>
        <v>NorthBound</v>
      </c>
      <c r="U61" s="23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37" t="str">
        <f t="shared" si="5"/>
        <v>https://d0f6bd738d7f1b3e5a7ca70fe4ff75f0.us-east-1.aws.found.io/app/kibana#/discover/Steve-Slow-Train-Analysis-(2080s-and-2083s)?_g=(refreshInterval:(display:Off,pause:!f,section:0,value:0),time:(from:'2017-12-08T08:36:34-0700',mode:absolute,to:'2017-12-08T11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238" t="str">
        <f>IF(AA61&lt;VLOOKUP(AG61,Variables!$AC$3:$AD$8,2,FALSE),"Y","N")</f>
        <v>N</v>
      </c>
      <c r="X61" s="238">
        <f t="shared" si="6"/>
        <v>1</v>
      </c>
      <c r="Y61" s="238">
        <f t="shared" si="26"/>
        <v>5.1900000000000002E-2</v>
      </c>
      <c r="Z61" s="238">
        <f t="shared" si="27"/>
        <v>23.3322</v>
      </c>
      <c r="AA61" s="238">
        <f t="shared" si="9"/>
        <v>23.2803</v>
      </c>
      <c r="AB61" s="242" t="e">
        <f>VLOOKUP(A61,Enforcements!$C$7:$K$9,8,0)</f>
        <v>#N/A</v>
      </c>
      <c r="AC61" s="242" t="e">
        <f>VLOOKUP(A61,Enforcements!$C$7:$E$9,3,0)</f>
        <v>#N/A</v>
      </c>
      <c r="AD61" s="243">
        <f t="shared" si="10"/>
        <v>149</v>
      </c>
      <c r="AE61" s="198" t="str">
        <f t="shared" si="11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61" s="197" t="str">
        <f t="shared" si="12"/>
        <v>"C:\Program Files (x86)\AstroGrep\AstroGrep.exe" /e /r /s /spath="%USERPROFILE%\AppData\Local\Temp\OnboardLogs" /stypes="app*4024*20171208*" /stext=" 17:.+((SYSTEM_STATE.+slice.+state.+changed )|(ment ac)|(multiple cpu faults)|(system.+state.+changed )|(\[timeout)|(PRM\|1\|D)|(kpr)|(kdp)|(train st.+moving)|(\|lc)|(penalty))"</v>
      </c>
      <c r="AG61" s="206" t="str">
        <f t="shared" si="13"/>
        <v>EC</v>
      </c>
      <c r="AH61" s="199" t="str">
        <f t="shared" si="19"/>
        <v>"%USERPROFILE%\Documents\GitHub\eaglep3\Utilities\RefineRTDCRunTimes.py" --tripid 149-08 --locoid 4024 --swversion DE.1.0.9.0 --startMP 204:519 --initTime 2017-12-08T09:36:34 --startdatetime 2017-12-08T09:45:15 --delay 74 --endMP 204:233322 --enddatetime 2017-12-08T10:20:39 --enforcementcount 0 &gt;&gt;%USERPROFILE%\Documents\GitHub\eaglep3-reporting\EC\2017-12-08-refined-times.txt</v>
      </c>
      <c r="AI6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{"issue":{"subject":"","project_id":79,"tracker_id":40,"status_id":1,"priority_id":2,"assigned_to_id":338,"start_date":"2017-12-08","description":"","custom_fields":[{"id":1,"name":"Subdivision","value":"EC"},{"id":4,"name":"Milepost","value":"23.3322"},{"id":17,"name":"Train ID","value":"149-08"},{"id":16,"name":"Locomotive ID","value":"4024"},{"id":130,"name":"Impact","value":""},{"id":150,"name":"Time of Event (Mountain Time)","value":"10:20:39"},{"id":151,"name":"Denver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8"/>
      <c r="AK61" s="196"/>
      <c r="AL61" s="196"/>
      <c r="AM61" s="203" t="str">
        <f t="shared" si="21"/>
        <v>start /low /b %USERPROFILE%\Documents\GitHub\eaglep3\Utilities\DownloadLogsFromS3.py --loco 4024 --day 2017-12-08</v>
      </c>
      <c r="AN6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95" t="str">
        <f t="shared" si="23"/>
        <v>https://d0f6bd738d7f1b3e5a7ca70fe4ff75f0.us-east-1.aws.found.io/app/kibana#/discover/Steve-Slow-Train-Analysis-(2080s-and-2083s)?_g=(refreshInterval:(display:Off,pause:!f,section:0,value:0),time:(from:'2017-12-08T08:36:34-0700',mode:absolute,to:'2017-12-08T11:20:39-0700'))&amp;_a=(columns:!('Message%20ID',Summary),filters:!(),index:'emp_*',interval:auto,query:(query_string:(analyze_wildcard:!t,query:'%22rtdc.l.rtdc.4024%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194" t="s">
        <v>784</v>
      </c>
      <c r="B62" s="190">
        <v>4023</v>
      </c>
      <c r="C62" s="192" t="s">
        <v>191</v>
      </c>
      <c r="D62" s="192" t="s">
        <v>576</v>
      </c>
      <c r="E62" s="191">
        <v>43077.433229166665</v>
      </c>
      <c r="F62" s="191">
        <v>43077.446076388886</v>
      </c>
      <c r="G62" s="190">
        <v>69</v>
      </c>
      <c r="H62" s="192" t="s">
        <v>932</v>
      </c>
      <c r="I62" s="191">
        <v>43077.47215277778</v>
      </c>
      <c r="J62" s="190">
        <v>0</v>
      </c>
      <c r="K62" s="200" t="str">
        <f t="shared" si="0"/>
        <v>4023/4024</v>
      </c>
      <c r="L62" s="207" t="str">
        <f>VLOOKUP(A62,'Trips&amp;Operators'!$C$1:$G$99911,5,FALSE)</f>
        <v>GEBRETEKLE DAGNEW</v>
      </c>
      <c r="M62" s="189">
        <f t="shared" si="1"/>
        <v>2.6076388894580305E-2</v>
      </c>
      <c r="N62" s="190">
        <f t="shared" si="24"/>
        <v>37.550000008195639</v>
      </c>
      <c r="O62" s="190"/>
      <c r="P62" s="190"/>
      <c r="Q62" s="193"/>
      <c r="R62" s="205"/>
      <c r="S62" s="235">
        <f t="shared" si="25"/>
        <v>1</v>
      </c>
      <c r="T62" s="236" t="str">
        <f t="shared" si="4"/>
        <v>Southbound</v>
      </c>
      <c r="U62" s="23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37" t="str">
        <f t="shared" si="5"/>
        <v>https://d0f6bd738d7f1b3e5a7ca70fe4ff75f0.us-east-1.aws.found.io/app/kibana#/discover/Steve-Slow-Train-Analysis-(2080s-and-2083s)?_g=(refreshInterval:(display:Off,pause:!f,section:0,value:0),time:(from:'2017-12-08T09:23:51-0700',mode:absolute,to:'2017-12-08T12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238" t="str">
        <f>IF(AA62&lt;VLOOKUP(AG62,Variables!$AC$3:$AD$8,2,FALSE),"Y","N")</f>
        <v>N</v>
      </c>
      <c r="X62" s="238">
        <f t="shared" si="6"/>
        <v>1</v>
      </c>
      <c r="Y62" s="238">
        <f t="shared" si="26"/>
        <v>23.297999999999998</v>
      </c>
      <c r="Z62" s="238">
        <f t="shared" si="27"/>
        <v>1.7999999999999999E-2</v>
      </c>
      <c r="AA62" s="238">
        <f t="shared" si="9"/>
        <v>23.279999999999998</v>
      </c>
      <c r="AB62" s="242" t="e">
        <f>VLOOKUP(A62,Enforcements!$C$7:$K$9,8,0)</f>
        <v>#N/A</v>
      </c>
      <c r="AC62" s="242" t="e">
        <f>VLOOKUP(A62,Enforcements!$C$7:$E$9,3,0)</f>
        <v>#N/A</v>
      </c>
      <c r="AD62" s="243">
        <f t="shared" si="10"/>
        <v>150</v>
      </c>
      <c r="AE62" s="198" t="str">
        <f t="shared" si="11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62" s="197" t="str">
        <f t="shared" si="12"/>
        <v>"C:\Program Files (x86)\AstroGrep\AstroGrep.exe" /e /r /s /spath="%USERPROFILE%\AppData\Local\Temp\OnboardLogs" /stypes="app*4023*20171208*" /stext=" 18:.+((SYSTEM_STATE.+slice.+state.+changed )|(ment ac)|(multiple cpu faults)|(system.+state.+changed )|(\[timeout)|(PRM\|1\|D)|(kpr)|(kdp)|(train st.+moving)|(\|lc)|(penalty))"</v>
      </c>
      <c r="AG62" s="206" t="str">
        <f t="shared" si="13"/>
        <v>EC</v>
      </c>
      <c r="AH62" s="199" t="str">
        <f t="shared" si="19"/>
        <v>"%USERPROFILE%\Documents\GitHub\eaglep3\Utilities\RefineRTDCRunTimes.py" --tripid 150-08 --locoid 4023 --swversion DE.1.0.9.0 --startMP 204:232980 --initTime 2017-12-08T10:23:51 --startdatetime 2017-12-08T10:42:21 --delay 69 --endMP 204:180 --enddatetime 2017-12-08T11:19:54 --enforcementcount 0 &gt;&gt;%USERPROFILE%\Documents\GitHub\eaglep3-reporting\EC\2017-12-08-refined-times.txt</v>
      </c>
      <c r="AI6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{"issue":{"subject":"","project_id":79,"tracker_id":40,"status_id":1,"priority_id":2,"assigned_to_id":338,"start_date":"2017-12-08","description":"","custom_fields":[{"id":1,"name":"Subdivision","value":"EC"},{"id":4,"name":"Milepost","value":"0.018"},{"id":17,"name":"Train ID","value":"150-08"},{"id":16,"name":"Locomotive ID","value":"4023"},{"id":130,"name":"Impact","value":""},{"id":150,"name":"Time of Event (Mountain Time)","value":"11:19:54"},{"id":151,"name":"Denver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8"/>
      <c r="AK62" s="196"/>
      <c r="AL62" s="196"/>
      <c r="AM62" s="203" t="str">
        <f t="shared" si="21"/>
        <v>start /low /b %USERPROFILE%\Documents\GitHub\eaglep3\Utilities\DownloadLogsFromS3.py --loco 4023 --day 2017-12-08</v>
      </c>
      <c r="AN6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95" t="str">
        <f t="shared" si="23"/>
        <v>https://d0f6bd738d7f1b3e5a7ca70fe4ff75f0.us-east-1.aws.found.io/app/kibana#/discover/Steve-Slow-Train-Analysis-(2080s-and-2083s)?_g=(refreshInterval:(display:Off,pause:!f,section:0,value:0),time:(from:'2017-12-08T09:23:51-0700',mode:absolute,to:'2017-12-08T12:19:54-0700'))&amp;_a=(columns:!('Message%20ID',Summary),filters:!(),index:'emp_*',interval:auto,query:(query_string:(analyze_wildcard:!t,query:'%22rtdc.l.rtdc.4023%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194" t="s">
        <v>687</v>
      </c>
      <c r="B63" s="190">
        <v>4050</v>
      </c>
      <c r="C63" s="192" t="s">
        <v>191</v>
      </c>
      <c r="D63" s="192" t="s">
        <v>576</v>
      </c>
      <c r="E63" s="191">
        <v>43077.433229166665</v>
      </c>
      <c r="F63" s="191">
        <v>43077.416932870372</v>
      </c>
      <c r="G63" s="190">
        <v>69</v>
      </c>
      <c r="H63" s="192" t="s">
        <v>932</v>
      </c>
      <c r="I63" s="191">
        <v>43077.441481481481</v>
      </c>
      <c r="J63" s="190">
        <v>0</v>
      </c>
      <c r="K63" s="200" t="str">
        <f t="shared" si="0"/>
        <v>4049/4050</v>
      </c>
      <c r="L63" s="207" t="str">
        <f>VLOOKUP(A63,'Trips&amp;Operators'!$C$1:$G$99911,5,FALSE)</f>
        <v>LOPES KIMBERLY</v>
      </c>
      <c r="M63" s="189">
        <f t="shared" si="1"/>
        <v>2.4548611108912155E-2</v>
      </c>
      <c r="N63" s="190">
        <f t="shared" si="24"/>
        <v>35.349999996833503</v>
      </c>
      <c r="O63" s="190"/>
      <c r="P63" s="190"/>
      <c r="Q63" s="193"/>
      <c r="R63" s="205"/>
      <c r="S63" s="235">
        <f t="shared" si="25"/>
        <v>0</v>
      </c>
      <c r="T63" s="236" t="str">
        <f t="shared" si="4"/>
        <v>NorthBound</v>
      </c>
      <c r="U63" s="23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237" t="str">
        <f t="shared" si="5"/>
        <v>https://d0f6bd738d7f1b3e5a7ca70fe4ff75f0.us-east-1.aws.found.io/app/kibana#/discover/Steve-Slow-Train-Analysis-(2080s-and-2083s)?_g=(refreshInterval:(display:Off,pause:!f,section:0,value:0),time:(from:'2017-12-08T09:23:51-0700',mode:absolute,to:'2017-12-08T11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3" s="238" t="str">
        <f>IF(AA63&lt;VLOOKUP(AG63,Variables!$AC$3:$AD$8,2,FALSE),"Y","N")</f>
        <v>N</v>
      </c>
      <c r="X63" s="238">
        <f t="shared" si="6"/>
        <v>1</v>
      </c>
      <c r="Y63" s="238">
        <f t="shared" si="26"/>
        <v>23.297999999999998</v>
      </c>
      <c r="Z63" s="238">
        <f t="shared" si="27"/>
        <v>1.7999999999999999E-2</v>
      </c>
      <c r="AA63" s="238">
        <f t="shared" si="9"/>
        <v>23.279999999999998</v>
      </c>
      <c r="AB63" s="242" t="e">
        <f>VLOOKUP(A63,Enforcements!$C$7:$K$9,8,0)</f>
        <v>#N/A</v>
      </c>
      <c r="AC63" s="242" t="e">
        <f>VLOOKUP(A63,Enforcements!$C$7:$E$9,3,0)</f>
        <v>#N/A</v>
      </c>
      <c r="AD63" s="243">
        <f t="shared" si="10"/>
        <v>151</v>
      </c>
      <c r="AE63" s="198" t="str">
        <f t="shared" si="11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63" s="197" t="str">
        <f t="shared" si="12"/>
        <v>"C:\Program Files (x86)\AstroGrep\AstroGrep.exe" /e /r /s /spath="%USERPROFILE%\AppData\Local\Temp\OnboardLogs" /stypes="app*4050*20171208*" /stext=" 17:.+((SYSTEM_STATE.+slice.+state.+changed )|(ment ac)|(multiple cpu faults)|(system.+state.+changed )|(\[timeout)|(PRM\|1\|D)|(kpr)|(kdp)|(train st.+moving)|(\|lc)|(penalty))"</v>
      </c>
      <c r="AG63" s="206" t="str">
        <f t="shared" si="13"/>
        <v>EC</v>
      </c>
      <c r="AH63" s="199" t="str">
        <f t="shared" ref="AH63" si="28"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151-08 --locoid 4050 --swversion DE.1.0.9.0 --startMP 204:232980 --initTime 2017-12-08T10:23:51 --startdatetime 2017-12-08T10:00:23 --delay 69 --endMP 204:180 --enddatetime 2017-12-08T10:35:44 --enforcementcount 0 &gt;&gt;%USERPROFILE%\Documents\GitHub\eaglep3-reporting\EC\2017-12-08-refined-times.txt</v>
      </c>
      <c r="AI63" s="201" t="str">
        <f t="shared" ref="AI63" si="29"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{"issue":{"subject":"","project_id":79,"tracker_id":40,"status_id":1,"priority_id":2,"assigned_to_id":338,"start_date":"2017-12-08","description":"","custom_fields":[{"id":1,"name":"Subdivision","value":"EC"},{"id":4,"name":"Milepost","value":"0.018"},{"id":17,"name":"Train ID","value":"151-08"},{"id":16,"name":"Locomotive ID","value":"4050"},{"id":130,"name":"Impact","value":""},{"id":150,"name":"Time of Event (Mountain Time)","value":"10:35:44"},{"id":151,"name":"Denver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8"/>
      <c r="AK63" s="196"/>
      <c r="AL63" s="196"/>
      <c r="AM63" s="203" t="str">
        <f t="shared" ref="AM63" si="30">"start /low /b "&amp;dls3logs&amp;" --loco "&amp;B63&amp;" --day "&amp;TEXT(F63,"YYYY-MM-DD")</f>
        <v>start /low /b %USERPROFILE%\Documents\GitHub\eaglep3\Utilities\DownloadLogsFromS3.py --loco 4050 --day 2017-12-08</v>
      </c>
      <c r="AN63" s="204" t="str">
        <f t="shared" ref="AN63" si="31">"echo {""issue"":{""subject"":"""&amp;R63&amp;""",""project_id"":30,""tracker_id"":4,""status_id"":"&amp;redmine_status_wcr&amp;",""priority_id"":"&amp;redmine_priority_wcr&amp;",""assigned_to_id"":"&amp;redmine_assignee_wcr&amp;",""start_date"":"""&amp;TEXT(I63-utc_offset/24,"YYYY-mm-dd")&amp;""",""description"":"""&amp;AJ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95" t="str">
        <f t="shared" ref="AO63" si="32"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Message%20ID',Summary),filters:!(),index:'emp_*',interval:auto,query:"&amp;"(query_string:(analyze_wildcard:!t,query:'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-08T09:23:51-0700',mode:absolute,to:'2017-12-08T11:35:44-0700'))&amp;_a=(columns:!('Message%20ID',Summary),filters:!(),index:'emp_*',interval:auto,query:(query_string:(analyze_wildcard:!t,query:'%22rtdc.l.rtdc.4050%22')),sort:!(Time.ISO8601,asc))</v>
      </c>
      <c r="AP63" s="188"/>
      <c r="AQ63" s="188"/>
      <c r="AR63" s="188"/>
      <c r="AS63" s="188"/>
      <c r="AT63" s="188"/>
      <c r="AU63" s="188"/>
      <c r="AV63" s="188"/>
      <c r="AW63" s="188"/>
      <c r="AX63" s="188"/>
      <c r="AY63" s="188"/>
      <c r="AZ63" s="188"/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</row>
    <row r="64" spans="1:91" s="1" customFormat="1" x14ac:dyDescent="0.25">
      <c r="A64" s="194" t="s">
        <v>688</v>
      </c>
      <c r="B64" s="190">
        <v>4049</v>
      </c>
      <c r="C64" s="192" t="s">
        <v>191</v>
      </c>
      <c r="D64" s="192" t="s">
        <v>962</v>
      </c>
      <c r="E64" s="191">
        <v>43077.448055555556</v>
      </c>
      <c r="F64" s="191">
        <v>43077.46565972222</v>
      </c>
      <c r="G64" s="190">
        <v>70</v>
      </c>
      <c r="H64" s="192" t="s">
        <v>963</v>
      </c>
      <c r="I64" s="191">
        <v>43077.482916666668</v>
      </c>
      <c r="J64" s="190">
        <v>0</v>
      </c>
      <c r="K64" s="200" t="str">
        <f t="shared" si="0"/>
        <v>4049/4050</v>
      </c>
      <c r="L64" s="207" t="str">
        <f>VLOOKUP(A64,'Trips&amp;Operators'!$C$1:$G$99911,5,FALSE)</f>
        <v>LOPES KIMBERLY</v>
      </c>
      <c r="M64" s="189">
        <f t="shared" si="1"/>
        <v>1.7256944447581191E-2</v>
      </c>
      <c r="N64" s="190"/>
      <c r="O64" s="190"/>
      <c r="P64" s="190"/>
      <c r="Q64" s="193"/>
      <c r="R64" s="205"/>
      <c r="S64" s="235"/>
      <c r="T64" s="236" t="str">
        <f t="shared" si="4"/>
        <v>Southbound</v>
      </c>
      <c r="U64" s="23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237" t="str">
        <f t="shared" si="5"/>
        <v>https://d0f6bd738d7f1b3e5a7ca70fe4ff75f0.us-east-1.aws.found.io/app/kibana#/discover/Steve-Slow-Train-Analysis-(2080s-and-2083s)?_g=(refreshInterval:(display:Off,pause:!f,section:0,value:0),time:(from:'2017-12-08T09:45:12-0700',mode:absolute,to:'2017-12-08T12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4" s="238" t="str">
        <f>IF(AA64&lt;VLOOKUP(AG64,Variables!$AC$3:$AD$8,2,FALSE),"Y","N")</f>
        <v>Y</v>
      </c>
      <c r="X64" s="238">
        <f t="shared" si="6"/>
        <v>1</v>
      </c>
      <c r="Y64" s="238">
        <f t="shared" si="26"/>
        <v>23.307200000000002</v>
      </c>
      <c r="Z64" s="238">
        <f t="shared" si="27"/>
        <v>19.162500000000001</v>
      </c>
      <c r="AA64" s="238">
        <f t="shared" si="9"/>
        <v>4.1447000000000003</v>
      </c>
      <c r="AB64" s="242" t="e">
        <f>VLOOKUP(A64,Enforcements!$C$7:$K$9,8,0)</f>
        <v>#N/A</v>
      </c>
      <c r="AC64" s="242" t="e">
        <f>VLOOKUP(A64,Enforcements!$C$7:$E$9,3,0)</f>
        <v>#N/A</v>
      </c>
      <c r="AD64" s="243">
        <f t="shared" si="10"/>
        <v>152</v>
      </c>
      <c r="AE64" s="198" t="str">
        <f t="shared" si="11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64" s="197" t="str">
        <f t="shared" si="12"/>
        <v>"C:\Program Files (x86)\AstroGrep\AstroGrep.exe" /e /r /s /spath="%USERPROFILE%\AppData\Local\Temp\OnboardLogs" /stypes="app*4049*20171208*" /stext=" 18:.+((SYSTEM_STATE.+slice.+state.+changed )|(ment ac)|(multiple cpu faults)|(system.+state.+changed )|(\[timeout)|(PRM\|1\|D)|(kpr)|(kdp)|(train st.+moving)|(\|lc)|(penalty))"</v>
      </c>
      <c r="AG64" s="206" t="str">
        <f t="shared" si="13"/>
        <v>EC</v>
      </c>
      <c r="AH64" s="199" t="str">
        <f t="shared" si="19"/>
        <v>"%USERPROFILE%\Documents\GitHub\eaglep3\Utilities\RefineRTDCRunTimes.py" --tripid 152-08 --locoid 4049 --swversion DE.1.0.9.0 --startMP 204:233072 --initTime 2017-12-08T10:45:12 --startdatetime 2017-12-08T11:10:33 --delay 70 --endMP 204:191625 --enddatetime 2017-12-08T11:35:24 --enforcementcount 0 &gt;&gt;%USERPROFILE%\Documents\GitHub\eaglep3-reporting\EC\2017-12-08-refined-times.txt</v>
      </c>
      <c r="AI6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{"issue":{"subject":"","project_id":79,"tracker_id":40,"status_id":1,"priority_id":2,"assigned_to_id":338,"start_date":"2017-12-08","description":"","custom_fields":[{"id":1,"name":"Subdivision","value":"EC"},{"id":4,"name":"Milepost","value":"19.1625"},{"id":17,"name":"Train ID","value":"152-08"},{"id":16,"name":"Locomotive ID","value":"4049"},{"id":130,"name":"Impact","value":""},{"id":150,"name":"Time of Event (Mountain Time)","value":"11:35:24"},{"id":151,"name":"Denver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8"/>
      <c r="AK64" s="196"/>
      <c r="AL64" s="196"/>
      <c r="AM64" s="203" t="str">
        <f t="shared" si="21"/>
        <v>start /low /b %USERPROFILE%\Documents\GitHub\eaglep3\Utilities\DownloadLogsFromS3.py --loco 4049 --day 2017-12-08</v>
      </c>
      <c r="AN6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95" t="str">
        <f t="shared" si="23"/>
        <v>https://d0f6bd738d7f1b3e5a7ca70fe4ff75f0.us-east-1.aws.found.io/app/kibana#/discover/Steve-Slow-Train-Analysis-(2080s-and-2083s)?_g=(refreshInterval:(display:Off,pause:!f,section:0,value:0),time:(from:'2017-12-08T09:45:12-0700',mode:absolute,to:'2017-12-08T12:35:24-0700'))&amp;_a=(columns:!('Message%20ID',Summary),filters:!(),index:'emp_*',interval:auto,query:(query_string:(analyze_wildcard:!t,query:'%22rtdc.l.rtdc.4049%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194" t="s">
        <v>688</v>
      </c>
      <c r="B65" s="190">
        <v>4049</v>
      </c>
      <c r="C65" s="192" t="s">
        <v>191</v>
      </c>
      <c r="D65" s="192" t="s">
        <v>964</v>
      </c>
      <c r="E65" s="191">
        <v>43077.463379629633</v>
      </c>
      <c r="F65" s="191">
        <v>43077.46565972222</v>
      </c>
      <c r="G65" s="190">
        <v>50</v>
      </c>
      <c r="H65" s="192" t="s">
        <v>631</v>
      </c>
      <c r="I65" s="191">
        <v>43077.482916666668</v>
      </c>
      <c r="J65" s="190">
        <v>0</v>
      </c>
      <c r="K65" s="200" t="str">
        <f t="shared" si="0"/>
        <v>4049/4050</v>
      </c>
      <c r="L65" s="207" t="str">
        <f>VLOOKUP(A65,'Trips&amp;Operators'!$C$1:$G$99911,5,FALSE)</f>
        <v>LOPES KIMBERLY</v>
      </c>
      <c r="M65" s="189">
        <f t="shared" si="1"/>
        <v>1.7256944447581191E-2</v>
      </c>
      <c r="N65" s="190"/>
      <c r="O65" s="190"/>
      <c r="P65" s="190">
        <f>24*60*SUM($M65:$M65)</f>
        <v>24.850000004516914</v>
      </c>
      <c r="Q65" s="193"/>
      <c r="R65" s="205" t="s">
        <v>440</v>
      </c>
      <c r="S65" s="235">
        <f t="shared" ref="S65:S95" si="33">1/IF(AG65="EC",12,1)*SUM(U65:U65)</f>
        <v>1</v>
      </c>
      <c r="T65" s="236" t="str">
        <f t="shared" si="4"/>
        <v>Southbound</v>
      </c>
      <c r="U65" s="23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37" t="str">
        <f t="shared" si="5"/>
        <v>https://d0f6bd738d7f1b3e5a7ca70fe4ff75f0.us-east-1.aws.found.io/app/kibana#/discover/Steve-Slow-Train-Analysis-(2080s-and-2083s)?_g=(refreshInterval:(display:Off,pause:!f,section:0,value:0),time:(from:'2017-12-08T10:07:16-0700',mode:absolute,to:'2017-12-08T12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5" s="238" t="str">
        <f>IF(AA65&lt;VLOOKUP(AG65,Variables!$AC$3:$AD$8,2,FALSE),"Y","N")</f>
        <v>Y</v>
      </c>
      <c r="X65" s="238">
        <f t="shared" si="6"/>
        <v>0</v>
      </c>
      <c r="Y65" s="238">
        <f t="shared" si="26"/>
        <v>13.3643</v>
      </c>
      <c r="Z65" s="238">
        <f t="shared" si="27"/>
        <v>1.8100000000000002E-2</v>
      </c>
      <c r="AA65" s="238">
        <f t="shared" si="9"/>
        <v>13.3462</v>
      </c>
      <c r="AB65" s="242" t="e">
        <f>VLOOKUP(A65,Enforcements!$C$7:$K$9,8,0)</f>
        <v>#N/A</v>
      </c>
      <c r="AC65" s="242" t="e">
        <f>VLOOKUP(A65,Enforcements!$C$7:$E$9,3,0)</f>
        <v>#N/A</v>
      </c>
      <c r="AD65" s="243">
        <f t="shared" si="10"/>
        <v>152</v>
      </c>
      <c r="AE65" s="198" t="str">
        <f t="shared" si="11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65" s="197" t="str">
        <f t="shared" si="12"/>
        <v>"C:\Program Files (x86)\AstroGrep\AstroGrep.exe" /e /r /s /spath="%USERPROFILE%\AppData\Local\Temp\OnboardLogs" /stypes="app*4049*20171208*" /stext=" 18:.+((SYSTEM_STATE.+slice.+state.+changed )|(ment ac)|(multiple cpu faults)|(system.+state.+changed )|(\[timeout)|(PRM\|1\|D)|(kpr)|(kdp)|(train st.+moving)|(\|lc)|(penalty))"</v>
      </c>
      <c r="AG65" s="206" t="str">
        <f t="shared" si="13"/>
        <v>EC</v>
      </c>
      <c r="AH65" s="199" t="str">
        <f t="shared" si="19"/>
        <v>"%USERPROFILE%\Documents\GitHub\eaglep3\Utilities\RefineRTDCRunTimes.py" --tripid 152-08 --locoid 4049 --swversion DE.1.0.9.0 --startMP 204:133643 --initTime 2017-12-08T11:07:16 --startdatetime 2017-12-08T11:10:33 --delay 50 --endMP 204:181 --enddatetime 2017-12-08T11:35:24 --enforcementcount 0 &gt;&gt;%USERPROFILE%\Documents\GitHub\eaglep3-reporting\EC\2017-12-08-refined-times.txt</v>
      </c>
      <c r="AI65" s="201" t="str">
        <f t="shared" si="20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drop","project_id":79,"tracker_id":40,"status_id":1,"priority_id":2,"assigned_to_id":338,"start_date":"2017-12-08","description":"","custom_fields":[{"id":1,"name":"Subdivision","value":"EC"},{"id":4,"name":"Milepost","value":"0.0181"},{"id":17,"name":"Train ID","value":"152-08"},{"id":16,"name":"Locomotive ID","value":"4049"},{"id":130,"name":"Impact","value":""},{"id":150,"name":"Time of Event (Mountain Time)","value":"11:35:24"},{"id":151,"name":"Denver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8"/>
      <c r="AK65" s="196"/>
      <c r="AL65" s="196"/>
      <c r="AM65" s="203" t="str">
        <f t="shared" si="21"/>
        <v>start /low /b %USERPROFILE%\Documents\GitHub\eaglep3\Utilities\DownloadLogsFromS3.py --loco 4049 --day 2017-12-08</v>
      </c>
      <c r="AN65" s="204" t="str">
        <f t="shared" si="22"/>
        <v>echo {"issue":{"subject":"Wi-MAX data drop","project_id":30,"tracker_id":4,"status_id":1,"priority_id":1,"assigned_to_id":10,"start_date":"2017-12-08","description":"","custom_fields":[{"id":30,"name":"Category","value":"Issue"},{"id":3,"name":"Functional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95" t="str">
        <f t="shared" si="23"/>
        <v>https://d0f6bd738d7f1b3e5a7ca70fe4ff75f0.us-east-1.aws.found.io/app/kibana#/discover/Steve-Slow-Train-Analysis-(2080s-and-2083s)?_g=(refreshInterval:(display:Off,pause:!f,section:0,value:0),time:(from:'2017-12-08T10:07:16-0700',mode:absolute,to:'2017-12-08T12:35:24-0700'))&amp;_a=(columns:!('Message%20ID',Summary),filters:!(),index:'emp_*',interval:auto,query:(query_string:(analyze_wildcard:!t,query:'%22rtdc.l.rtdc.4049%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194" t="s">
        <v>783</v>
      </c>
      <c r="B66" s="190">
        <v>4010</v>
      </c>
      <c r="C66" s="192" t="s">
        <v>191</v>
      </c>
      <c r="D66" s="192" t="s">
        <v>579</v>
      </c>
      <c r="E66" s="191">
        <v>43077.423634259256</v>
      </c>
      <c r="F66" s="191">
        <v>43077.427245370367</v>
      </c>
      <c r="G66" s="190">
        <v>77</v>
      </c>
      <c r="H66" s="192" t="s">
        <v>965</v>
      </c>
      <c r="I66" s="191">
        <v>43077.45140046296</v>
      </c>
      <c r="J66" s="190">
        <v>0</v>
      </c>
      <c r="K66" s="200" t="str">
        <f t="shared" si="0"/>
        <v>4009/4010</v>
      </c>
      <c r="L66" s="207" t="str">
        <f>VLOOKUP(A66,'Trips&amp;Operators'!$C$1:$G$99911,5,FALSE)</f>
        <v>WILLIAMS DONTE</v>
      </c>
      <c r="M66" s="189">
        <f t="shared" si="1"/>
        <v>2.4155092592991423E-2</v>
      </c>
      <c r="N66" s="190">
        <f t="shared" ref="N66:N78" si="34">24*60*SUM($M66:$M66)</f>
        <v>34.783333333907649</v>
      </c>
      <c r="O66" s="190"/>
      <c r="P66" s="190"/>
      <c r="Q66" s="193"/>
      <c r="R66" s="205"/>
      <c r="S66" s="235">
        <f t="shared" si="33"/>
        <v>1</v>
      </c>
      <c r="T66" s="236" t="str">
        <f t="shared" si="4"/>
        <v>NorthBound</v>
      </c>
      <c r="U66" s="23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37" t="str">
        <f t="shared" si="5"/>
        <v>https://d0f6bd738d7f1b3e5a7ca70fe4ff75f0.us-east-1.aws.found.io/app/kibana#/discover/Steve-Slow-Train-Analysis-(2080s-and-2083s)?_g=(refreshInterval:(display:Off,pause:!f,section:0,value:0),time:(from:'2017-12-08T09:10:02-0700',mode:absolute,to:'2017-12-08T11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238" t="str">
        <f>IF(AA66&lt;VLOOKUP(AG66,Variables!$AC$3:$AD$8,2,FALSE),"Y","N")</f>
        <v>N</v>
      </c>
      <c r="X66" s="238">
        <f t="shared" si="6"/>
        <v>1</v>
      </c>
      <c r="Y66" s="238">
        <f t="shared" si="26"/>
        <v>4.6199999999999998E-2</v>
      </c>
      <c r="Z66" s="238">
        <f t="shared" si="27"/>
        <v>23.327999999999999</v>
      </c>
      <c r="AA66" s="238">
        <f t="shared" si="9"/>
        <v>23.2818</v>
      </c>
      <c r="AB66" s="242" t="e">
        <f>VLOOKUP(A66,Enforcements!$C$7:$K$9,8,0)</f>
        <v>#N/A</v>
      </c>
      <c r="AC66" s="242" t="e">
        <f>VLOOKUP(A66,Enforcements!$C$7:$E$9,3,0)</f>
        <v>#N/A</v>
      </c>
      <c r="AD66" s="243">
        <f t="shared" si="10"/>
        <v>153</v>
      </c>
      <c r="AE66" s="198" t="str">
        <f t="shared" si="11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66" s="197" t="str">
        <f t="shared" si="12"/>
        <v>"C:\Program Files (x86)\AstroGrep\AstroGrep.exe" /e /r /s /spath="%USERPROFILE%\AppData\Local\Temp\OnboardLogs" /stypes="app*4010*20171208*" /stext=" 17:.+((SYSTEM_STATE.+slice.+state.+changed )|(ment ac)|(multiple cpu faults)|(system.+state.+changed )|(\[timeout)|(PRM\|1\|D)|(kpr)|(kdp)|(train st.+moving)|(\|lc)|(penalty))"</v>
      </c>
      <c r="AG66" s="206" t="str">
        <f t="shared" si="13"/>
        <v>EC</v>
      </c>
      <c r="AH66" s="199" t="str">
        <f t="shared" si="19"/>
        <v>"%USERPROFILE%\Documents\GitHub\eaglep3\Utilities\RefineRTDCRunTimes.py" --tripid 153-08 --locoid 4010 --swversion DE.1.0.9.0 --startMP 204:462 --initTime 2017-12-08T10:10:02 --startdatetime 2017-12-08T10:15:14 --delay 77 --endMP 204:233280 --enddatetime 2017-12-08T10:50:01 --enforcementcount 0 &gt;&gt;%USERPROFILE%\Documents\GitHub\eaglep3-reporting\EC\2017-12-08-refined-times.txt</v>
      </c>
      <c r="AI6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{"issue":{"subject":"","project_id":79,"tracker_id":40,"status_id":1,"priority_id":2,"assigned_to_id":338,"start_date":"2017-12-08","description":"","custom_fields":[{"id":1,"name":"Subdivision","value":"EC"},{"id":4,"name":"Milepost","value":"23.328"},{"id":17,"name":"Train ID","value":"153-08"},{"id":16,"name":"Locomotive ID","value":"4010"},{"id":130,"name":"Impact","value":""},{"id":150,"name":"Time of Event (Mountain Time)","value":"10:50:01"},{"id":151,"name":"Denver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8"/>
      <c r="AK66" s="196"/>
      <c r="AL66" s="196"/>
      <c r="AM66" s="203" t="str">
        <f t="shared" si="21"/>
        <v>start /low /b %USERPROFILE%\Documents\GitHub\eaglep3\Utilities\DownloadLogsFromS3.py --loco 4010 --day 2017-12-08</v>
      </c>
      <c r="AN6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95" t="str">
        <f t="shared" si="23"/>
        <v>https://d0f6bd738d7f1b3e5a7ca70fe4ff75f0.us-east-1.aws.found.io/app/kibana#/discover/Steve-Slow-Train-Analysis-(2080s-and-2083s)?_g=(refreshInterval:(display:Off,pause:!f,section:0,value:0),time:(from:'2017-12-08T09:10:02-0700',mode:absolute,to:'2017-12-08T11:50:01-0700'))&amp;_a=(columns:!('Message%20ID',Summary),filters:!(),index:'emp_*',interval:auto,query:(query_string:(analyze_wildcard:!t,query:'%22rtdc.l.rtdc.4010%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194" t="s">
        <v>790</v>
      </c>
      <c r="B67" s="190">
        <v>4009</v>
      </c>
      <c r="C67" s="192" t="s">
        <v>191</v>
      </c>
      <c r="D67" s="192" t="s">
        <v>506</v>
      </c>
      <c r="E67" s="191">
        <v>43077.463738425926</v>
      </c>
      <c r="F67" s="191">
        <v>43077.466840277775</v>
      </c>
      <c r="G67" s="190">
        <v>73</v>
      </c>
      <c r="H67" s="192" t="s">
        <v>500</v>
      </c>
      <c r="I67" s="191">
        <v>43077.492939814816</v>
      </c>
      <c r="J67" s="190">
        <v>0</v>
      </c>
      <c r="K67" s="200" t="str">
        <f t="shared" si="0"/>
        <v>4009/4010</v>
      </c>
      <c r="L67" s="207" t="str">
        <f>VLOOKUP(A67,'Trips&amp;Operators'!$C$1:$G$99911,5,FALSE)</f>
        <v>WILLIAMS DONTE</v>
      </c>
      <c r="M67" s="189">
        <f t="shared" si="1"/>
        <v>2.6099537040863652E-2</v>
      </c>
      <c r="N67" s="190">
        <f t="shared" si="34"/>
        <v>37.583333338843659</v>
      </c>
      <c r="O67" s="190"/>
      <c r="P67" s="190"/>
      <c r="Q67" s="193"/>
      <c r="R67" s="205"/>
      <c r="S67" s="235">
        <f t="shared" si="33"/>
        <v>1</v>
      </c>
      <c r="T67" s="236" t="str">
        <f t="shared" si="4"/>
        <v>Southbound</v>
      </c>
      <c r="U67" s="23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37" t="str">
        <f t="shared" si="5"/>
        <v>https://d0f6bd738d7f1b3e5a7ca70fe4ff75f0.us-east-1.aws.found.io/app/kibana#/discover/Steve-Slow-Train-Analysis-(2080s-and-2083s)?_g=(refreshInterval:(display:Off,pause:!f,section:0,value:0),time:(from:'2017-12-08T10:07:47-0700',mode:absolute,to:'2017-12-08T12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238" t="str">
        <f>IF(AA67&lt;VLOOKUP(AG67,Variables!$AC$3:$AD$8,2,FALSE),"Y","N")</f>
        <v>N</v>
      </c>
      <c r="X67" s="238">
        <f t="shared" si="6"/>
        <v>1</v>
      </c>
      <c r="Y67" s="238">
        <f t="shared" si="26"/>
        <v>23.2957</v>
      </c>
      <c r="Z67" s="238">
        <f t="shared" si="27"/>
        <v>2.1999999999999999E-2</v>
      </c>
      <c r="AA67" s="238">
        <f t="shared" si="9"/>
        <v>23.273700000000002</v>
      </c>
      <c r="AB67" s="242" t="e">
        <f>VLOOKUP(A67,Enforcements!$C$7:$K$9,8,0)</f>
        <v>#N/A</v>
      </c>
      <c r="AC67" s="242" t="e">
        <f>VLOOKUP(A67,Enforcements!$C$7:$E$9,3,0)</f>
        <v>#N/A</v>
      </c>
      <c r="AD67" s="243">
        <f t="shared" si="10"/>
        <v>154</v>
      </c>
      <c r="AE67" s="198" t="str">
        <f t="shared" si="11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67" s="197" t="str">
        <f t="shared" si="12"/>
        <v>"C:\Program Files (x86)\AstroGrep\AstroGrep.exe" /e /r /s /spath="%USERPROFILE%\AppData\Local\Temp\OnboardLogs" /stypes="app*4009*20171208*" /stext=" 18:.+((SYSTEM_STATE.+slice.+state.+changed )|(ment ac)|(multiple cpu faults)|(system.+state.+changed )|(\[timeout)|(PRM\|1\|D)|(kpr)|(kdp)|(train st.+moving)|(\|lc)|(penalty))"</v>
      </c>
      <c r="AG67" s="206" t="str">
        <f t="shared" si="13"/>
        <v>EC</v>
      </c>
      <c r="AH67" s="199" t="str">
        <f t="shared" si="19"/>
        <v>"%USERPROFILE%\Documents\GitHub\eaglep3\Utilities\RefineRTDCRunTimes.py" --tripid 154-08 --locoid 4009 --swversion DE.1.0.9.0 --startMP 204:232957 --initTime 2017-12-08T11:07:47 --startdatetime 2017-12-08T11:12:15 --delay 73 --endMP 204:220 --enddatetime 2017-12-08T11:49:50 --enforcementcount 0 &gt;&gt;%USERPROFILE%\Documents\GitHub\eaglep3-reporting\EC\2017-12-08-refined-times.txt</v>
      </c>
      <c r="AI6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{"issue":{"subject":"","project_id":79,"tracker_id":40,"status_id":1,"priority_id":2,"assigned_to_id":338,"start_date":"2017-12-08","description":"","custom_fields":[{"id":1,"name":"Subdivision","value":"EC"},{"id":4,"name":"Milepost","value":"0.022"},{"id":17,"name":"Train ID","value":"154-08"},{"id":16,"name":"Locomotive ID","value":"4009"},{"id":130,"name":"Impact","value":""},{"id":150,"name":"Time of Event (Mountain Time)","value":"11:49:50"},{"id":151,"name":"Denver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8"/>
      <c r="AK67" s="196"/>
      <c r="AL67" s="196"/>
      <c r="AM67" s="203" t="str">
        <f t="shared" si="21"/>
        <v>start /low /b %USERPROFILE%\Documents\GitHub\eaglep3\Utilities\DownloadLogsFromS3.py --loco 4009 --day 2017-12-08</v>
      </c>
      <c r="AN6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95" t="str">
        <f t="shared" si="23"/>
        <v>https://d0f6bd738d7f1b3e5a7ca70fe4ff75f0.us-east-1.aws.found.io/app/kibana#/discover/Steve-Slow-Train-Analysis-(2080s-and-2083s)?_g=(refreshInterval:(display:Off,pause:!f,section:0,value:0),time:(from:'2017-12-08T10:07:47-0700',mode:absolute,to:'2017-12-08T12:49:50-0700'))&amp;_a=(columns:!('Message%20ID',Summary),filters:!(),index:'emp_*',interval:auto,query:(query_string:(analyze_wildcard:!t,query:'%22rtdc.l.rtdc.4009%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194" t="s">
        <v>785</v>
      </c>
      <c r="B68" s="190">
        <v>4020</v>
      </c>
      <c r="C68" s="192" t="s">
        <v>191</v>
      </c>
      <c r="D68" s="192" t="s">
        <v>455</v>
      </c>
      <c r="E68" s="191">
        <v>43077.434224537035</v>
      </c>
      <c r="F68" s="191">
        <v>43077.437662037039</v>
      </c>
      <c r="G68" s="190">
        <v>48</v>
      </c>
      <c r="H68" s="192" t="s">
        <v>966</v>
      </c>
      <c r="I68" s="191">
        <v>43077.46197916667</v>
      </c>
      <c r="J68" s="190">
        <v>0</v>
      </c>
      <c r="K68" s="200" t="str">
        <f t="shared" si="0"/>
        <v>4019/4020</v>
      </c>
      <c r="L68" s="207" t="str">
        <f>VLOOKUP(A68,'Trips&amp;Operators'!$C$1:$G$99911,5,FALSE)</f>
        <v>BIRENBAUM THOMAS</v>
      </c>
      <c r="M68" s="189">
        <f t="shared" si="1"/>
        <v>2.4317129631526768E-2</v>
      </c>
      <c r="N68" s="190">
        <f t="shared" si="34"/>
        <v>35.016666669398546</v>
      </c>
      <c r="O68" s="190"/>
      <c r="P68" s="190"/>
      <c r="Q68" s="193"/>
      <c r="R68" s="205"/>
      <c r="S68" s="235">
        <f t="shared" si="33"/>
        <v>1</v>
      </c>
      <c r="T68" s="236" t="str">
        <f t="shared" si="4"/>
        <v>NorthBound</v>
      </c>
      <c r="U68" s="23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37" t="str">
        <f t="shared" si="5"/>
        <v>https://d0f6bd738d7f1b3e5a7ca70fe4ff75f0.us-east-1.aws.found.io/app/kibana#/discover/Steve-Slow-Train-Analysis-(2080s-and-2083s)?_g=(refreshInterval:(display:Off,pause:!f,section:0,value:0),time:(from:'2017-12-08T09:25:17-0700',mode:absolute,to:'2017-12-08T12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8" s="238" t="str">
        <f>IF(AA68&lt;VLOOKUP(AG68,Variables!$AC$3:$AD$8,2,FALSE),"Y","N")</f>
        <v>N</v>
      </c>
      <c r="X68" s="238">
        <f t="shared" si="6"/>
        <v>1</v>
      </c>
      <c r="Y68" s="238">
        <f t="shared" si="26"/>
        <v>4.8399999999999999E-2</v>
      </c>
      <c r="Z68" s="238">
        <f t="shared" si="27"/>
        <v>23.327200000000001</v>
      </c>
      <c r="AA68" s="238">
        <f t="shared" si="9"/>
        <v>23.2788</v>
      </c>
      <c r="AB68" s="242" t="e">
        <f>VLOOKUP(A68,Enforcements!$C$7:$K$9,8,0)</f>
        <v>#N/A</v>
      </c>
      <c r="AC68" s="242" t="e">
        <f>VLOOKUP(A68,Enforcements!$C$7:$E$9,3,0)</f>
        <v>#N/A</v>
      </c>
      <c r="AD68" s="243">
        <f t="shared" si="10"/>
        <v>155</v>
      </c>
      <c r="AE68" s="198" t="str">
        <f t="shared" si="11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68" s="197" t="str">
        <f t="shared" si="12"/>
        <v>"C:\Program Files (x86)\AstroGrep\AstroGrep.exe" /e /r /s /spath="%USERPROFILE%\AppData\Local\Temp\OnboardLogs" /stypes="app*4020*20171208*" /stext=" 18:.+((SYSTEM_STATE.+slice.+state.+changed )|(ment ac)|(multiple cpu faults)|(system.+state.+changed )|(\[timeout)|(PRM\|1\|D)|(kpr)|(kdp)|(train st.+moving)|(\|lc)|(penalty))"</v>
      </c>
      <c r="AG68" s="206" t="str">
        <f t="shared" si="13"/>
        <v>EC</v>
      </c>
      <c r="AH68" s="199" t="str">
        <f t="shared" si="19"/>
        <v>"%USERPROFILE%\Documents\GitHub\eaglep3\Utilities\RefineRTDCRunTimes.py" --tripid 155-08 --locoid 4020 --swversion DE.1.0.9.0 --startMP 204:484 --initTime 2017-12-08T10:25:17 --startdatetime 2017-12-08T10:30:14 --delay 48 --endMP 204:233272 --enddatetime 2017-12-08T11:05:15 --enforcementcount 0 &gt;&gt;%USERPROFILE%\Documents\GitHub\eaglep3-reporting\EC\2017-12-08-refined-times.txt</v>
      </c>
      <c r="AI6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{"issue":{"subject":"","project_id":79,"tracker_id":40,"status_id":1,"priority_id":2,"assigned_to_id":338,"start_date":"2017-12-08","description":"","custom_fields":[{"id":1,"name":"Subdivision","value":"EC"},{"id":4,"name":"Milepost","value":"23.3272"},{"id":17,"name":"Train ID","value":"155-08"},{"id":16,"name":"Locomotive ID","value":"4020"},{"id":130,"name":"Impact","value":""},{"id":150,"name":"Time of Event (Mountain Time)","value":"11:05:15"},{"id":151,"name":"Denver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8"/>
      <c r="AK68" s="196"/>
      <c r="AL68" s="196"/>
      <c r="AM68" s="203" t="str">
        <f t="shared" si="21"/>
        <v>start /low /b %USERPROFILE%\Documents\GitHub\eaglep3\Utilities\DownloadLogsFromS3.py --loco 4020 --day 2017-12-08</v>
      </c>
      <c r="AN6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95" t="str">
        <f t="shared" si="23"/>
        <v>https://d0f6bd738d7f1b3e5a7ca70fe4ff75f0.us-east-1.aws.found.io/app/kibana#/discover/Steve-Slow-Train-Analysis-(2080s-and-2083s)?_g=(refreshInterval:(display:Off,pause:!f,section:0,value:0),time:(from:'2017-12-08T09:25:17-0700',mode:absolute,to:'2017-12-08T12:05:15-0700'))&amp;_a=(columns:!('Message%20ID',Summary),filters:!(),index:'emp_*',interval:auto,query:(query_string:(analyze_wildcard:!t,query:'%22rtdc.l.rtdc.4020%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194" t="s">
        <v>791</v>
      </c>
      <c r="B69" s="190">
        <v>4019</v>
      </c>
      <c r="C69" s="192" t="s">
        <v>191</v>
      </c>
      <c r="D69" s="192" t="s">
        <v>588</v>
      </c>
      <c r="E69" s="191">
        <v>43077.465509259258</v>
      </c>
      <c r="F69" s="191">
        <v>43077.477314814816</v>
      </c>
      <c r="G69" s="190">
        <v>48</v>
      </c>
      <c r="H69" s="192" t="s">
        <v>663</v>
      </c>
      <c r="I69" s="191">
        <v>43077.501828703702</v>
      </c>
      <c r="J69" s="190">
        <v>0</v>
      </c>
      <c r="K69" s="200" t="str">
        <f t="shared" si="0"/>
        <v>4019/4020</v>
      </c>
      <c r="L69" s="207" t="str">
        <f>VLOOKUP(A69,'Trips&amp;Operators'!$C$1:$G$99911,5,FALSE)</f>
        <v>BIRENBAUM THOMAS</v>
      </c>
      <c r="M69" s="189">
        <f t="shared" si="1"/>
        <v>2.4513888885849155E-2</v>
      </c>
      <c r="N69" s="190">
        <f t="shared" si="34"/>
        <v>35.299999995622784</v>
      </c>
      <c r="O69" s="190"/>
      <c r="P69" s="190"/>
      <c r="Q69" s="193"/>
      <c r="R69" s="205"/>
      <c r="S69" s="235">
        <f t="shared" si="33"/>
        <v>1</v>
      </c>
      <c r="T69" s="236" t="str">
        <f t="shared" si="4"/>
        <v>Southbound</v>
      </c>
      <c r="U69" s="23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37" t="str">
        <f t="shared" si="5"/>
        <v>https://d0f6bd738d7f1b3e5a7ca70fe4ff75f0.us-east-1.aws.found.io/app/kibana#/discover/Steve-Slow-Train-Analysis-(2080s-and-2083s)?_g=(refreshInterval:(display:Off,pause:!f,section:0,value:0),time:(from:'2017-12-08T10:10:20-0700',mode:absolute,to:'2017-12-08T13:02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9" s="238" t="str">
        <f>IF(AA69&lt;VLOOKUP(AG69,Variables!$AC$3:$AD$8,2,FALSE),"Y","N")</f>
        <v>N</v>
      </c>
      <c r="X69" s="238">
        <f t="shared" si="6"/>
        <v>1</v>
      </c>
      <c r="Y69" s="238">
        <f t="shared" si="26"/>
        <v>23.295500000000001</v>
      </c>
      <c r="Z69" s="238">
        <f t="shared" si="27"/>
        <v>1.9800000000000002E-2</v>
      </c>
      <c r="AA69" s="238">
        <f t="shared" si="9"/>
        <v>23.275700000000001</v>
      </c>
      <c r="AB69" s="242" t="e">
        <f>VLOOKUP(A69,Enforcements!$C$7:$K$9,8,0)</f>
        <v>#N/A</v>
      </c>
      <c r="AC69" s="242" t="e">
        <f>VLOOKUP(A69,Enforcements!$C$7:$E$9,3,0)</f>
        <v>#N/A</v>
      </c>
      <c r="AD69" s="243">
        <f t="shared" si="10"/>
        <v>156</v>
      </c>
      <c r="AE69" s="198" t="str">
        <f t="shared" si="11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69" s="197" t="str">
        <f t="shared" si="12"/>
        <v>"C:\Program Files (x86)\AstroGrep\AstroGrep.exe" /e /r /s /spath="%USERPROFILE%\AppData\Local\Temp\OnboardLogs" /stypes="app*4019*20171208*" /stext=" 19:.+((SYSTEM_STATE.+slice.+state.+changed )|(ment ac)|(multiple cpu faults)|(system.+state.+changed )|(\[timeout)|(PRM\|1\|D)|(kpr)|(kdp)|(train st.+moving)|(\|lc)|(penalty))"</v>
      </c>
      <c r="AG69" s="206" t="str">
        <f t="shared" si="13"/>
        <v>EC</v>
      </c>
      <c r="AH69" s="199" t="str">
        <f t="shared" si="19"/>
        <v>"%USERPROFILE%\Documents\GitHub\eaglep3\Utilities\RefineRTDCRunTimes.py" --tripid 156-08 --locoid 4019 --swversion DE.1.0.9.0 --startMP 204:232955 --initTime 2017-12-08T11:10:20 --startdatetime 2017-12-08T11:27:20 --delay 48 --endMP 204:198 --enddatetime 2017-12-08T12:02:38 --enforcementcount 0 &gt;&gt;%USERPROFILE%\Documents\GitHub\eaglep3-reporting\EC\2017-12-08-refined-times.txt</v>
      </c>
      <c r="AI69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{"issue":{"subject":"","project_id":79,"tracker_id":40,"status_id":1,"priority_id":2,"assigned_to_id":338,"start_date":"2017-12-08","description":"","custom_fields":[{"id":1,"name":"Subdivision","value":"EC"},{"id":4,"name":"Milepost","value":"0.0198"},{"id":17,"name":"Train ID","value":"156-08"},{"id":16,"name":"Locomotive ID","value":"4019"},{"id":130,"name":"Impact","value":""},{"id":150,"name":"Time of Event (Mountain Time)","value":"12:02:38"},{"id":151,"name":"Denver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8"/>
      <c r="AK69" s="196"/>
      <c r="AL69" s="196"/>
      <c r="AM69" s="203" t="str">
        <f t="shared" si="21"/>
        <v>start /low /b %USERPROFILE%\Documents\GitHub\eaglep3\Utilities\DownloadLogsFromS3.py --loco 4019 --day 2017-12-08</v>
      </c>
      <c r="AN69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95" t="str">
        <f t="shared" si="23"/>
        <v>https://d0f6bd738d7f1b3e5a7ca70fe4ff75f0.us-east-1.aws.found.io/app/kibana#/discover/Steve-Slow-Train-Analysis-(2080s-and-2083s)?_g=(refreshInterval:(display:Off,pause:!f,section:0,value:0),time:(from:'2017-12-08T10:10:20-0700',mode:absolute,to:'2017-12-08T13:02:38-0700'))&amp;_a=(columns:!('Message%20ID',Summary),filters:!(),index:'emp_*',interval:auto,query:(query_string:(analyze_wildcard:!t,query:'%22rtdc.l.rtdc.4019%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194" t="s">
        <v>788</v>
      </c>
      <c r="B70" s="190">
        <v>4032</v>
      </c>
      <c r="C70" s="192" t="s">
        <v>191</v>
      </c>
      <c r="D70" s="192" t="s">
        <v>591</v>
      </c>
      <c r="E70" s="191">
        <v>43077.442754629628</v>
      </c>
      <c r="F70" s="191">
        <v>43077.448101851849</v>
      </c>
      <c r="G70" s="190">
        <v>77</v>
      </c>
      <c r="H70" s="192" t="s">
        <v>967</v>
      </c>
      <c r="I70" s="191">
        <v>43077.47284722222</v>
      </c>
      <c r="J70" s="190">
        <v>0</v>
      </c>
      <c r="K70" s="200" t="str">
        <f t="shared" si="0"/>
        <v>4031/4032</v>
      </c>
      <c r="L70" s="207" t="str">
        <f>VLOOKUP(A70,'Trips&amp;Operators'!$C$1:$G$99911,5,FALSE)</f>
        <v>BADERTSCHER DIANE</v>
      </c>
      <c r="M70" s="189">
        <f t="shared" si="1"/>
        <v>2.47453703705105E-2</v>
      </c>
      <c r="N70" s="190">
        <f t="shared" si="34"/>
        <v>35.63333333353512</v>
      </c>
      <c r="O70" s="190"/>
      <c r="P70" s="190"/>
      <c r="Q70" s="193"/>
      <c r="R70" s="205"/>
      <c r="S70" s="235">
        <f t="shared" si="33"/>
        <v>1</v>
      </c>
      <c r="T70" s="236" t="str">
        <f t="shared" si="4"/>
        <v>NorthBound</v>
      </c>
      <c r="U70" s="23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37" t="str">
        <f t="shared" si="5"/>
        <v>https://d0f6bd738d7f1b3e5a7ca70fe4ff75f0.us-east-1.aws.found.io/app/kibana#/discover/Steve-Slow-Train-Analysis-(2080s-and-2083s)?_g=(refreshInterval:(display:Off,pause:!f,section:0,value:0),time:(from:'2017-12-08T09:37:34-0700',mode:absolute,to:'2017-12-08T12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238" t="str">
        <f>IF(AA70&lt;VLOOKUP(AG70,Variables!$AC$3:$AD$8,2,FALSE),"Y","N")</f>
        <v>N</v>
      </c>
      <c r="X70" s="238">
        <f t="shared" si="6"/>
        <v>1</v>
      </c>
      <c r="Y70" s="238">
        <f t="shared" si="26"/>
        <v>4.8000000000000001E-2</v>
      </c>
      <c r="Z70" s="238">
        <f t="shared" si="27"/>
        <v>23.325299999999999</v>
      </c>
      <c r="AA70" s="238">
        <f t="shared" si="9"/>
        <v>23.2773</v>
      </c>
      <c r="AB70" s="242" t="e">
        <f>VLOOKUP(A70,Enforcements!$C$7:$K$9,8,0)</f>
        <v>#N/A</v>
      </c>
      <c r="AC70" s="242" t="e">
        <f>VLOOKUP(A70,Enforcements!$C$7:$E$9,3,0)</f>
        <v>#N/A</v>
      </c>
      <c r="AD70" s="243">
        <f t="shared" si="10"/>
        <v>157</v>
      </c>
      <c r="AE70" s="198" t="str">
        <f t="shared" si="11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70" s="197" t="str">
        <f t="shared" si="12"/>
        <v>"C:\Program Files (x86)\AstroGrep\AstroGrep.exe" /e /r /s /spath="%USERPROFILE%\AppData\Local\Temp\OnboardLogs" /stypes="app*4032*20171208*" /stext=" 18:.+((SYSTEM_STATE.+slice.+state.+changed )|(ment ac)|(multiple cpu faults)|(system.+state.+changed )|(\[timeout)|(PRM\|1\|D)|(kpr)|(kdp)|(train st.+moving)|(\|lc)|(penalty))"</v>
      </c>
      <c r="AG70" s="206" t="str">
        <f t="shared" si="13"/>
        <v>EC</v>
      </c>
      <c r="AH70" s="199" t="str">
        <f t="shared" si="19"/>
        <v>"%USERPROFILE%\Documents\GitHub\eaglep3\Utilities\RefineRTDCRunTimes.py" --tripid 157-08 --locoid 4032 --swversion DE.1.0.9.0 --startMP 204:480 --initTime 2017-12-08T10:37:34 --startdatetime 2017-12-08T10:45:16 --delay 77 --endMP 204:233253 --enddatetime 2017-12-08T11:20:54 --enforcementcount 0 &gt;&gt;%USERPROFILE%\Documents\GitHub\eaglep3-reporting\EC\2017-12-08-refined-times.txt</v>
      </c>
      <c r="AI70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{"issue":{"subject":"","project_id":79,"tracker_id":40,"status_id":1,"priority_id":2,"assigned_to_id":338,"start_date":"2017-12-08","description":"","custom_fields":[{"id":1,"name":"Subdivision","value":"EC"},{"id":4,"name":"Milepost","value":"23.3253"},{"id":17,"name":"Train ID","value":"157-08"},{"id":16,"name":"Locomotive ID","value":"4032"},{"id":130,"name":"Impact","value":""},{"id":150,"name":"Time of Event (Mountain Time)","value":"11:20:54"},{"id":151,"name":"Denver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8"/>
      <c r="AK70" s="196"/>
      <c r="AL70" s="196"/>
      <c r="AM70" s="203" t="str">
        <f t="shared" si="21"/>
        <v>start /low /b %USERPROFILE%\Documents\GitHub\eaglep3\Utilities\DownloadLogsFromS3.py --loco 4032 --day 2017-12-08</v>
      </c>
      <c r="AN70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95" t="str">
        <f t="shared" si="23"/>
        <v>https://d0f6bd738d7f1b3e5a7ca70fe4ff75f0.us-east-1.aws.found.io/app/kibana#/discover/Steve-Slow-Train-Analysis-(2080s-and-2083s)?_g=(refreshInterval:(display:Off,pause:!f,section:0,value:0),time:(from:'2017-12-08T09:37:34-0700',mode:absolute,to:'2017-12-08T12:20:54-0700'))&amp;_a=(columns:!('Message%20ID',Summary),filters:!(),index:'emp_*',interval:auto,query:(query_string:(analyze_wildcard:!t,query:'%22rtdc.l.rtdc.4032%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194" t="s">
        <v>691</v>
      </c>
      <c r="B71" s="190">
        <v>4031</v>
      </c>
      <c r="C71" s="192" t="s">
        <v>191</v>
      </c>
      <c r="D71" s="192" t="s">
        <v>620</v>
      </c>
      <c r="E71" s="191">
        <v>43077.483275462961</v>
      </c>
      <c r="F71" s="191">
        <v>43077.487673611111</v>
      </c>
      <c r="G71" s="190">
        <v>120</v>
      </c>
      <c r="H71" s="192" t="s">
        <v>452</v>
      </c>
      <c r="I71" s="191">
        <v>43077.51525462963</v>
      </c>
      <c r="J71" s="190">
        <v>0</v>
      </c>
      <c r="K71" s="200" t="str">
        <f t="shared" si="0"/>
        <v>4031/4032</v>
      </c>
      <c r="L71" s="207" t="str">
        <f>VLOOKUP(A71,'Trips&amp;Operators'!$C$1:$G$99911,5,FALSE)</f>
        <v>BADERTSCHER DIANE</v>
      </c>
      <c r="M71" s="189">
        <f t="shared" si="1"/>
        <v>2.7581018519413192E-2</v>
      </c>
      <c r="N71" s="190">
        <f t="shared" si="34"/>
        <v>39.716666667954996</v>
      </c>
      <c r="O71" s="190"/>
      <c r="P71" s="190"/>
      <c r="Q71" s="193"/>
      <c r="R71" s="205"/>
      <c r="S71" s="235">
        <f t="shared" si="33"/>
        <v>1</v>
      </c>
      <c r="T71" s="236" t="str">
        <f t="shared" si="4"/>
        <v>Southbound</v>
      </c>
      <c r="U71" s="23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37" t="str">
        <f t="shared" si="5"/>
        <v>https://d0f6bd738d7f1b3e5a7ca70fe4ff75f0.us-east-1.aws.found.io/app/kibana#/discover/Steve-Slow-Train-Analysis-(2080s-and-2083s)?_g=(refreshInterval:(display:Off,pause:!f,section:0,value:0),time:(from:'2017-12-08T10:35:55-0700',mode:absolute,to:'2017-12-08T13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1" s="238" t="str">
        <f>IF(AA71&lt;VLOOKUP(AG71,Variables!$AC$3:$AD$8,2,FALSE),"Y","N")</f>
        <v>N</v>
      </c>
      <c r="X71" s="238">
        <f t="shared" si="6"/>
        <v>1</v>
      </c>
      <c r="Y71" s="238">
        <f t="shared" si="26"/>
        <v>23.293800000000001</v>
      </c>
      <c r="Z71" s="238">
        <f t="shared" si="27"/>
        <v>2.0899999999999998E-2</v>
      </c>
      <c r="AA71" s="238">
        <f t="shared" si="9"/>
        <v>23.2729</v>
      </c>
      <c r="AB71" s="242" t="e">
        <f>VLOOKUP(A71,Enforcements!$C$7:$K$9,8,0)</f>
        <v>#N/A</v>
      </c>
      <c r="AC71" s="242" t="e">
        <f>VLOOKUP(A71,Enforcements!$C$7:$E$9,3,0)</f>
        <v>#N/A</v>
      </c>
      <c r="AD71" s="243">
        <f t="shared" si="10"/>
        <v>158</v>
      </c>
      <c r="AE71" s="198" t="str">
        <f t="shared" si="11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71" s="197" t="str">
        <f t="shared" si="12"/>
        <v>"C:\Program Files (x86)\AstroGrep\AstroGrep.exe" /e /r /s /spath="%USERPROFILE%\AppData\Local\Temp\OnboardLogs" /stypes="app*4031*20171208*" /stext=" 19:.+((SYSTEM_STATE.+slice.+state.+changed )|(ment ac)|(multiple cpu faults)|(system.+state.+changed )|(\[timeout)|(PRM\|1\|D)|(kpr)|(kdp)|(train st.+moving)|(\|lc)|(penalty))"</v>
      </c>
      <c r="AG71" s="206" t="str">
        <f t="shared" si="13"/>
        <v>EC</v>
      </c>
      <c r="AH71" s="199" t="str">
        <f t="shared" si="19"/>
        <v>"%USERPROFILE%\Documents\GitHub\eaglep3\Utilities\RefineRTDCRunTimes.py" --tripid 158-08 --locoid 4031 --swversion DE.1.0.9.0 --startMP 204:232938 --initTime 2017-12-08T11:35:55 --startdatetime 2017-12-08T11:42:15 --delay 120 --endMP 204:209 --enddatetime 2017-12-08T12:21:58 --enforcementcount 0 &gt;&gt;%USERPROFILE%\Documents\GitHub\eaglep3-reporting\EC\2017-12-08-refined-times.txt</v>
      </c>
      <c r="AI71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{"issue":{"subject":"","project_id":79,"tracker_id":40,"status_id":1,"priority_id":2,"assigned_to_id":338,"start_date":"2017-12-08","description":"","custom_fields":[{"id":1,"name":"Subdivision","value":"EC"},{"id":4,"name":"Milepost","value":"0.0209"},{"id":17,"name":"Train ID","value":"158-08"},{"id":16,"name":"Locomotive ID","value":"4031"},{"id":130,"name":"Impact","value":""},{"id":150,"name":"Time of Event (Mountain Time)","value":"12:21:58"},{"id":151,"name":"Denver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8"/>
      <c r="AK71" s="196"/>
      <c r="AL71" s="196"/>
      <c r="AM71" s="203" t="str">
        <f t="shared" si="21"/>
        <v>start /low /b %USERPROFILE%\Documents\GitHub\eaglep3\Utilities\DownloadLogsFromS3.py --loco 4031 --day 2017-12-08</v>
      </c>
      <c r="AN71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95" t="str">
        <f t="shared" si="23"/>
        <v>https://d0f6bd738d7f1b3e5a7ca70fe4ff75f0.us-east-1.aws.found.io/app/kibana#/discover/Steve-Slow-Train-Analysis-(2080s-and-2083s)?_g=(refreshInterval:(display:Off,pause:!f,section:0,value:0),time:(from:'2017-12-08T10:35:55-0700',mode:absolute,to:'2017-12-08T13:21:58-0700'))&amp;_a=(columns:!('Message%20ID',Summary),filters:!(),index:'emp_*',interval:auto,query:(query_string:(analyze_wildcard:!t,query:'%22rtdc.l.rtdc.4031%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194" t="s">
        <v>789</v>
      </c>
      <c r="B72" s="190">
        <v>4016</v>
      </c>
      <c r="C72" s="192" t="s">
        <v>191</v>
      </c>
      <c r="D72" s="192" t="s">
        <v>584</v>
      </c>
      <c r="E72" s="191">
        <v>43077.455879629626</v>
      </c>
      <c r="F72" s="191">
        <v>43077.458483796298</v>
      </c>
      <c r="G72" s="190">
        <v>53</v>
      </c>
      <c r="H72" s="192" t="s">
        <v>968</v>
      </c>
      <c r="I72" s="191">
        <v>43077.483194444445</v>
      </c>
      <c r="J72" s="190">
        <v>0</v>
      </c>
      <c r="K72" s="200" t="str">
        <f t="shared" si="0"/>
        <v>4015/4016</v>
      </c>
      <c r="L72" s="207" t="str">
        <f>VLOOKUP(A72,'Trips&amp;Operators'!$C$1:$G$99911,5,FALSE)</f>
        <v>HAMMOND JUSTYNN</v>
      </c>
      <c r="M72" s="189">
        <f t="shared" si="1"/>
        <v>2.47106481474475E-2</v>
      </c>
      <c r="N72" s="190">
        <f t="shared" si="34"/>
        <v>35.583333332324401</v>
      </c>
      <c r="O72" s="190"/>
      <c r="P72" s="190"/>
      <c r="Q72" s="193"/>
      <c r="R72" s="205"/>
      <c r="S72" s="235">
        <f t="shared" si="33"/>
        <v>1</v>
      </c>
      <c r="T72" s="236" t="str">
        <f t="shared" si="4"/>
        <v>NorthBound</v>
      </c>
      <c r="U72" s="23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37" t="str">
        <f t="shared" si="5"/>
        <v>https://d0f6bd738d7f1b3e5a7ca70fe4ff75f0.us-east-1.aws.found.io/app/kibana#/discover/Steve-Slow-Train-Analysis-(2080s-and-2083s)?_g=(refreshInterval:(display:Off,pause:!f,section:0,value:0),time:(from:'2017-12-08T09:56:28-0700',mode:absolute,to:'2017-12-08T12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238" t="str">
        <f>IF(AA72&lt;VLOOKUP(AG72,Variables!$AC$3:$AD$8,2,FALSE),"Y","N")</f>
        <v>N</v>
      </c>
      <c r="X72" s="238">
        <f t="shared" si="6"/>
        <v>1</v>
      </c>
      <c r="Y72" s="238">
        <f t="shared" si="26"/>
        <v>5.1499999999999997E-2</v>
      </c>
      <c r="Z72" s="238">
        <f t="shared" si="27"/>
        <v>23.334</v>
      </c>
      <c r="AA72" s="238">
        <f t="shared" si="9"/>
        <v>23.282499999999999</v>
      </c>
      <c r="AB72" s="242" t="e">
        <f>VLOOKUP(A72,Enforcements!$C$7:$K$9,8,0)</f>
        <v>#N/A</v>
      </c>
      <c r="AC72" s="242" t="e">
        <f>VLOOKUP(A72,Enforcements!$C$7:$E$9,3,0)</f>
        <v>#N/A</v>
      </c>
      <c r="AD72" s="243">
        <f t="shared" si="10"/>
        <v>159</v>
      </c>
      <c r="AE72" s="198" t="str">
        <f t="shared" si="11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72" s="197" t="str">
        <f t="shared" si="12"/>
        <v>"C:\Program Files (x86)\AstroGrep\AstroGrep.exe" /e /r /s /spath="%USERPROFILE%\AppData\Local\Temp\OnboardLogs" /stypes="app*4016*20171208*" /stext=" 18:.+((SYSTEM_STATE.+slice.+state.+changed )|(ment ac)|(multiple cpu faults)|(system.+state.+changed )|(\[timeout)|(PRM\|1\|D)|(kpr)|(kdp)|(train st.+moving)|(\|lc)|(penalty))"</v>
      </c>
      <c r="AG72" s="206" t="str">
        <f t="shared" si="13"/>
        <v>EC</v>
      </c>
      <c r="AH72" s="199" t="str">
        <f t="shared" si="19"/>
        <v>"%USERPROFILE%\Documents\GitHub\eaglep3\Utilities\RefineRTDCRunTimes.py" --tripid 159-08 --locoid 4016 --swversion DE.1.0.9.0 --startMP 204:515 --initTime 2017-12-08T10:56:28 --startdatetime 2017-12-08T11:00:13 --delay 53 --endMP 204:233340 --enddatetime 2017-12-08T11:35:48 --enforcementcount 0 &gt;&gt;%USERPROFILE%\Documents\GitHub\eaglep3-reporting\EC\2017-12-08-refined-times.txt</v>
      </c>
      <c r="AI72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{"issue":{"subject":"","project_id":79,"tracker_id":40,"status_id":1,"priority_id":2,"assigned_to_id":338,"start_date":"2017-12-08","description":"","custom_fields":[{"id":1,"name":"Subdivision","value":"EC"},{"id":4,"name":"Milepost","value":"23.334"},{"id":17,"name":"Train ID","value":"159-08"},{"id":16,"name":"Locomotive ID","value":"4016"},{"id":130,"name":"Impact","value":""},{"id":150,"name":"Time of Event (Mountain Time)","value":"11:35:48"},{"id":151,"name":"Denver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8"/>
      <c r="AK72" s="196"/>
      <c r="AL72" s="196"/>
      <c r="AM72" s="203" t="str">
        <f t="shared" si="21"/>
        <v>start /low /b %USERPROFILE%\Documents\GitHub\eaglep3\Utilities\DownloadLogsFromS3.py --loco 4016 --day 2017-12-08</v>
      </c>
      <c r="AN72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95" t="str">
        <f t="shared" si="23"/>
        <v>https://d0f6bd738d7f1b3e5a7ca70fe4ff75f0.us-east-1.aws.found.io/app/kibana#/discover/Steve-Slow-Train-Analysis-(2080s-and-2083s)?_g=(refreshInterval:(display:Off,pause:!f,section:0,value:0),time:(from:'2017-12-08T09:56:28-0700',mode:absolute,to:'2017-12-08T12:35:48-0700'))&amp;_a=(columns:!('Message%20ID',Summary),filters:!(),index:'emp_*',interval:auto,query:(query_string:(analyze_wildcard:!t,query:'%22rtdc.l.rtdc.4016%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194" t="s">
        <v>797</v>
      </c>
      <c r="B73" s="190">
        <v>4015</v>
      </c>
      <c r="C73" s="192" t="s">
        <v>191</v>
      </c>
      <c r="D73" s="192" t="s">
        <v>624</v>
      </c>
      <c r="E73" s="191">
        <v>43077.484467592592</v>
      </c>
      <c r="F73" s="191">
        <v>43077.498078703706</v>
      </c>
      <c r="G73" s="190">
        <v>53</v>
      </c>
      <c r="H73" s="192" t="s">
        <v>944</v>
      </c>
      <c r="I73" s="191">
        <v>43077.523472222223</v>
      </c>
      <c r="J73" s="190">
        <v>0</v>
      </c>
      <c r="K73" s="200" t="str">
        <f t="shared" si="0"/>
        <v>4015/4016</v>
      </c>
      <c r="L73" s="207" t="str">
        <f>VLOOKUP(A73,'Trips&amp;Operators'!$C$1:$G$99911,5,FALSE)</f>
        <v>HAMMOND JUSTYNN</v>
      </c>
      <c r="M73" s="189">
        <f t="shared" si="1"/>
        <v>2.5393518517375924E-2</v>
      </c>
      <c r="N73" s="190">
        <f t="shared" si="34"/>
        <v>36.56666666502133</v>
      </c>
      <c r="O73" s="190"/>
      <c r="P73" s="190"/>
      <c r="Q73" s="193"/>
      <c r="R73" s="205"/>
      <c r="S73" s="235">
        <f t="shared" si="33"/>
        <v>1</v>
      </c>
      <c r="T73" s="236" t="str">
        <f t="shared" si="4"/>
        <v>Southbound</v>
      </c>
      <c r="U73" s="23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37" t="str">
        <f t="shared" si="5"/>
        <v>https://d0f6bd738d7f1b3e5a7ca70fe4ff75f0.us-east-1.aws.found.io/app/kibana#/discover/Steve-Slow-Train-Analysis-(2080s-and-2083s)?_g=(refreshInterval:(display:Off,pause:!f,section:0,value:0),time:(from:'2017-12-08T10:37:38-0700',mode:absolute,to:'2017-12-08T13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238" t="str">
        <f>IF(AA73&lt;VLOOKUP(AG73,Variables!$AC$3:$AD$8,2,FALSE),"Y","N")</f>
        <v>N</v>
      </c>
      <c r="X73" s="238">
        <f t="shared" si="6"/>
        <v>1</v>
      </c>
      <c r="Y73" s="238">
        <f t="shared" si="26"/>
        <v>23.301500000000001</v>
      </c>
      <c r="Z73" s="238">
        <f t="shared" si="27"/>
        <v>1.6899999999999998E-2</v>
      </c>
      <c r="AA73" s="238">
        <f t="shared" si="9"/>
        <v>23.284600000000001</v>
      </c>
      <c r="AB73" s="242" t="e">
        <f>VLOOKUP(A73,Enforcements!$C$7:$K$9,8,0)</f>
        <v>#N/A</v>
      </c>
      <c r="AC73" s="242" t="e">
        <f>VLOOKUP(A73,Enforcements!$C$7:$E$9,3,0)</f>
        <v>#N/A</v>
      </c>
      <c r="AD73" s="243">
        <f t="shared" si="10"/>
        <v>160</v>
      </c>
      <c r="AE73" s="198" t="str">
        <f t="shared" si="11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73" s="197" t="str">
        <f t="shared" si="12"/>
        <v>"C:\Program Files (x86)\AstroGrep\AstroGrep.exe" /e /r /s /spath="%USERPROFILE%\AppData\Local\Temp\OnboardLogs" /stypes="app*4015*20171208*" /stext=" 19:.+((SYSTEM_STATE.+slice.+state.+changed )|(ment ac)|(multiple cpu faults)|(system.+state.+changed )|(\[timeout)|(PRM\|1\|D)|(kpr)|(kdp)|(train st.+moving)|(\|lc)|(penalty))"</v>
      </c>
      <c r="AG73" s="206" t="str">
        <f t="shared" si="13"/>
        <v>EC</v>
      </c>
      <c r="AH73" s="199" t="str">
        <f t="shared" si="19"/>
        <v>"%USERPROFILE%\Documents\GitHub\eaglep3\Utilities\RefineRTDCRunTimes.py" --tripid 160-08 --locoid 4015 --swversion DE.1.0.9.0 --startMP 204:233015 --initTime 2017-12-08T11:37:38 --startdatetime 2017-12-08T11:57:14 --delay 53 --endMP 204:169 --enddatetime 2017-12-08T12:33:48 --enforcementcount 0 &gt;&gt;%USERPROFILE%\Documents\GitHub\eaglep3-reporting\EC\2017-12-08-refined-times.txt</v>
      </c>
      <c r="AI73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{"issue":{"subject":"","project_id":79,"tracker_id":40,"status_id":1,"priority_id":2,"assigned_to_id":338,"start_date":"2017-12-08","description":"","custom_fields":[{"id":1,"name":"Subdivision","value":"EC"},{"id":4,"name":"Milepost","value":"0.0169"},{"id":17,"name":"Train ID","value":"160-08"},{"id":16,"name":"Locomotive ID","value":"4015"},{"id":130,"name":"Impact","value":""},{"id":150,"name":"Time of Event (Mountain Time)","value":"12:33:48"},{"id":151,"name":"Denver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8"/>
      <c r="AK73" s="196"/>
      <c r="AL73" s="196"/>
      <c r="AM73" s="203" t="str">
        <f t="shared" si="21"/>
        <v>start /low /b %USERPROFILE%\Documents\GitHub\eaglep3\Utilities\DownloadLogsFromS3.py --loco 4015 --day 2017-12-08</v>
      </c>
      <c r="AN73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95" t="str">
        <f t="shared" si="23"/>
        <v>https://d0f6bd738d7f1b3e5a7ca70fe4ff75f0.us-east-1.aws.found.io/app/kibana#/discover/Steve-Slow-Train-Analysis-(2080s-and-2083s)?_g=(refreshInterval:(display:Off,pause:!f,section:0,value:0),time:(from:'2017-12-08T10:37:38-0700',mode:absolute,to:'2017-12-08T13:33:48-0700'))&amp;_a=(columns:!('Message%20ID',Summary),filters:!(),index:'emp_*',interval:auto,query:(query_string:(analyze_wildcard:!t,query:'%22rtdc.l.rtdc.4015%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194" t="s">
        <v>792</v>
      </c>
      <c r="B74" s="190">
        <v>4064</v>
      </c>
      <c r="C74" s="192" t="s">
        <v>191</v>
      </c>
      <c r="D74" s="192" t="s">
        <v>593</v>
      </c>
      <c r="E74" s="191">
        <v>43077.465231481481</v>
      </c>
      <c r="F74" s="191">
        <v>43077.468958333331</v>
      </c>
      <c r="G74" s="190">
        <v>145</v>
      </c>
      <c r="H74" s="192" t="s">
        <v>967</v>
      </c>
      <c r="I74" s="191">
        <v>43077.492800925924</v>
      </c>
      <c r="J74" s="190">
        <v>0</v>
      </c>
      <c r="K74" s="200" t="str">
        <f t="shared" si="0"/>
        <v>4063/4064</v>
      </c>
      <c r="L74" s="207" t="str">
        <f>VLOOKUP(A74,'Trips&amp;Operators'!$C$1:$G$99911,5,FALSE)</f>
        <v>SAFIEF AEIMEN</v>
      </c>
      <c r="M74" s="189">
        <f t="shared" si="1"/>
        <v>2.3842592592700385E-2</v>
      </c>
      <c r="N74" s="190">
        <f t="shared" si="34"/>
        <v>34.333333333488554</v>
      </c>
      <c r="O74" s="190"/>
      <c r="P74" s="190"/>
      <c r="Q74" s="193"/>
      <c r="R74" s="205"/>
      <c r="S74" s="235">
        <f t="shared" si="33"/>
        <v>1</v>
      </c>
      <c r="T74" s="236" t="str">
        <f t="shared" si="4"/>
        <v>NorthBound</v>
      </c>
      <c r="U74" s="23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37" t="str">
        <f t="shared" si="5"/>
        <v>https://d0f6bd738d7f1b3e5a7ca70fe4ff75f0.us-east-1.aws.found.io/app/kibana#/discover/Steve-Slow-Train-Analysis-(2080s-and-2083s)?_g=(refreshInterval:(display:Off,pause:!f,section:0,value:0),time:(from:'2017-12-08T10:09:56-0700',mode:absolute,to:'2017-12-08T12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4" s="238" t="str">
        <f>IF(AA74&lt;VLOOKUP(AG74,Variables!$AC$3:$AD$8,2,FALSE),"Y","N")</f>
        <v>N</v>
      </c>
      <c r="X74" s="238">
        <f t="shared" si="6"/>
        <v>1</v>
      </c>
      <c r="Y74" s="238">
        <f t="shared" si="26"/>
        <v>4.5499999999999999E-2</v>
      </c>
      <c r="Z74" s="238">
        <f t="shared" si="27"/>
        <v>23.325299999999999</v>
      </c>
      <c r="AA74" s="238">
        <f t="shared" si="9"/>
        <v>23.279799999999998</v>
      </c>
      <c r="AB74" s="242" t="e">
        <f>VLOOKUP(A74,Enforcements!$C$7:$K$9,8,0)</f>
        <v>#N/A</v>
      </c>
      <c r="AC74" s="242" t="e">
        <f>VLOOKUP(A74,Enforcements!$C$7:$E$9,3,0)</f>
        <v>#N/A</v>
      </c>
      <c r="AD74" s="243">
        <f t="shared" si="10"/>
        <v>161</v>
      </c>
      <c r="AE74" s="198" t="str">
        <f t="shared" si="11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74" s="197" t="str">
        <f t="shared" si="12"/>
        <v>"C:\Program Files (x86)\AstroGrep\AstroGrep.exe" /e /r /s /spath="%USERPROFILE%\AppData\Local\Temp\OnboardLogs" /stypes="app*4064*20171208*" /stext=" 18:.+((SYSTEM_STATE.+slice.+state.+changed )|(ment ac)|(multiple cpu faults)|(system.+state.+changed )|(\[timeout)|(PRM\|1\|D)|(kpr)|(kdp)|(train st.+moving)|(\|lc)|(penalty))"</v>
      </c>
      <c r="AG74" s="206" t="str">
        <f t="shared" si="13"/>
        <v>EC</v>
      </c>
      <c r="AH74" s="199" t="str">
        <f t="shared" si="19"/>
        <v>"%USERPROFILE%\Documents\GitHub\eaglep3\Utilities\RefineRTDCRunTimes.py" --tripid 161-08 --locoid 4064 --swversion DE.1.0.9.0 --startMP 204:455 --initTime 2017-12-08T11:09:56 --startdatetime 2017-12-08T11:15:18 --delay 145 --endMP 204:233253 --enddatetime 2017-12-08T11:49:38 --enforcementcount 0 &gt;&gt;%USERPROFILE%\Documents\GitHub\eaglep3-reporting\EC\2017-12-08-refined-times.txt</v>
      </c>
      <c r="AI74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{"issue":{"subject":"","project_id":79,"tracker_id":40,"status_id":1,"priority_id":2,"assigned_to_id":338,"start_date":"2017-12-08","description":"","custom_fields":[{"id":1,"name":"Subdivision","value":"EC"},{"id":4,"name":"Milepost","value":"23.3253"},{"id":17,"name":"Train ID","value":"161-08"},{"id":16,"name":"Locomotive ID","value":"4064"},{"id":130,"name":"Impact","value":""},{"id":150,"name":"Time of Event (Mountain Time)","value":"11:49:38"},{"id":151,"name":"Denver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8"/>
      <c r="AK74" s="196"/>
      <c r="AL74" s="196"/>
      <c r="AM74" s="203" t="str">
        <f t="shared" si="21"/>
        <v>start /low /b %USERPROFILE%\Documents\GitHub\eaglep3\Utilities\DownloadLogsFromS3.py --loco 4064 --day 2017-12-08</v>
      </c>
      <c r="AN74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95" t="str">
        <f t="shared" si="23"/>
        <v>https://d0f6bd738d7f1b3e5a7ca70fe4ff75f0.us-east-1.aws.found.io/app/kibana#/discover/Steve-Slow-Train-Analysis-(2080s-and-2083s)?_g=(refreshInterval:(display:Off,pause:!f,section:0,value:0),time:(from:'2017-12-08T10:09:56-0700',mode:absolute,to:'2017-12-08T12:49:38-0700'))&amp;_a=(columns:!('Message%20ID',Summary),filters:!(),index:'emp_*',interval:auto,query:(query_string:(analyze_wildcard:!t,query:'%22rtdc.l.rtdc.4064%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194" t="s">
        <v>802</v>
      </c>
      <c r="B75" s="190">
        <v>4063</v>
      </c>
      <c r="C75" s="192" t="s">
        <v>191</v>
      </c>
      <c r="D75" s="192" t="s">
        <v>654</v>
      </c>
      <c r="E75" s="191">
        <v>43077.494976851849</v>
      </c>
      <c r="F75" s="191">
        <v>43077.508958333332</v>
      </c>
      <c r="G75" s="190">
        <v>80</v>
      </c>
      <c r="H75" s="192" t="s">
        <v>452</v>
      </c>
      <c r="I75" s="191">
        <v>43077.534745370373</v>
      </c>
      <c r="J75" s="190">
        <v>0</v>
      </c>
      <c r="K75" s="200" t="str">
        <f t="shared" si="0"/>
        <v>4063/4064</v>
      </c>
      <c r="L75" s="207" t="str">
        <f>VLOOKUP(A75,'Trips&amp;Operators'!$C$1:$G$99911,5,FALSE)</f>
        <v>SAFIEF AEIMEN</v>
      </c>
      <c r="M75" s="189">
        <f t="shared" si="1"/>
        <v>2.5787037040572613E-2</v>
      </c>
      <c r="N75" s="190">
        <f t="shared" si="34"/>
        <v>37.133333338424563</v>
      </c>
      <c r="O75" s="190"/>
      <c r="P75" s="190"/>
      <c r="Q75" s="193"/>
      <c r="R75" s="205"/>
      <c r="S75" s="235">
        <f t="shared" si="33"/>
        <v>1</v>
      </c>
      <c r="T75" s="236" t="str">
        <f t="shared" si="4"/>
        <v>Southbound</v>
      </c>
      <c r="U75" s="23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37" t="str">
        <f t="shared" si="5"/>
        <v>https://d0f6bd738d7f1b3e5a7ca70fe4ff75f0.us-east-1.aws.found.io/app/kibana#/discover/Steve-Slow-Train-Analysis-(2080s-and-2083s)?_g=(refreshInterval:(display:Off,pause:!f,section:0,value:0),time:(from:'2017-12-08T10:52:46-0700',mode:absolute,to:'2017-12-08T13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5" s="238" t="str">
        <f>IF(AA75&lt;VLOOKUP(AG75,Variables!$AC$3:$AD$8,2,FALSE),"Y","N")</f>
        <v>N</v>
      </c>
      <c r="X75" s="238">
        <f t="shared" si="6"/>
        <v>1</v>
      </c>
      <c r="Y75" s="238">
        <f t="shared" si="26"/>
        <v>23.2927</v>
      </c>
      <c r="Z75" s="238">
        <f t="shared" si="27"/>
        <v>2.0899999999999998E-2</v>
      </c>
      <c r="AA75" s="238">
        <f t="shared" si="9"/>
        <v>23.271799999999999</v>
      </c>
      <c r="AB75" s="242" t="e">
        <f>VLOOKUP(A75,Enforcements!$C$7:$K$9,8,0)</f>
        <v>#N/A</v>
      </c>
      <c r="AC75" s="242" t="e">
        <f>VLOOKUP(A75,Enforcements!$C$7:$E$9,3,0)</f>
        <v>#N/A</v>
      </c>
      <c r="AD75" s="243">
        <f t="shared" si="10"/>
        <v>162</v>
      </c>
      <c r="AE75" s="198" t="str">
        <f t="shared" si="11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75" s="197" t="str">
        <f t="shared" si="12"/>
        <v>"C:\Program Files (x86)\AstroGrep\AstroGrep.exe" /e /r /s /spath="%USERPROFILE%\AppData\Local\Temp\OnboardLogs" /stypes="app*4063*20171208*" /stext=" 19:.+((SYSTEM_STATE.+slice.+state.+changed )|(ment ac)|(multiple cpu faults)|(system.+state.+changed )|(\[timeout)|(PRM\|1\|D)|(kpr)|(kdp)|(train st.+moving)|(\|lc)|(penalty))"</v>
      </c>
      <c r="AG75" s="206" t="str">
        <f t="shared" si="13"/>
        <v>EC</v>
      </c>
      <c r="AH75" s="199" t="str">
        <f t="shared" si="19"/>
        <v>"%USERPROFILE%\Documents\GitHub\eaglep3\Utilities\RefineRTDCRunTimes.py" --tripid 162-08 --locoid 4063 --swversion DE.1.0.9.0 --startMP 204:232927 --initTime 2017-12-08T11:52:46 --startdatetime 2017-12-08T12:12:54 --delay 80 --endMP 204:209 --enddatetime 2017-12-08T12:50:02 --enforcementcount 0 &gt;&gt;%USERPROFILE%\Documents\GitHub\eaglep3-reporting\EC\2017-12-08-refined-times.txt</v>
      </c>
      <c r="AI75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{"issue":{"subject":"","project_id":79,"tracker_id":40,"status_id":1,"priority_id":2,"assigned_to_id":338,"start_date":"2017-12-08","description":"","custom_fields":[{"id":1,"name":"Subdivision","value":"EC"},{"id":4,"name":"Milepost","value":"0.0209"},{"id":17,"name":"Train ID","value":"162-08"},{"id":16,"name":"Locomotive ID","value":"4063"},{"id":130,"name":"Impact","value":""},{"id":150,"name":"Time of Event (Mountain Time)","value":"12:50:02"},{"id":151,"name":"Denver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8"/>
      <c r="AK75" s="196"/>
      <c r="AL75" s="196"/>
      <c r="AM75" s="203" t="str">
        <f t="shared" si="21"/>
        <v>start /low /b %USERPROFILE%\Documents\GitHub\eaglep3\Utilities\DownloadLogsFromS3.py --loco 4063 --day 2017-12-08</v>
      </c>
      <c r="AN75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95" t="str">
        <f t="shared" si="23"/>
        <v>https://d0f6bd738d7f1b3e5a7ca70fe4ff75f0.us-east-1.aws.found.io/app/kibana#/discover/Steve-Slow-Train-Analysis-(2080s-and-2083s)?_g=(refreshInterval:(display:Off,pause:!f,section:0,value:0),time:(from:'2017-12-08T10:52:46-0700',mode:absolute,to:'2017-12-08T13:50:02-0700'))&amp;_a=(columns:!('Message%20ID',Summary),filters:!(),index:'emp_*',interval:auto,query:(query_string:(analyze_wildcard:!t,query:'%22rtdc.l.rtdc.4063%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194" t="s">
        <v>795</v>
      </c>
      <c r="B76" s="190">
        <v>4024</v>
      </c>
      <c r="C76" s="192" t="s">
        <v>191</v>
      </c>
      <c r="D76" s="192" t="s">
        <v>660</v>
      </c>
      <c r="E76" s="191">
        <v>43077.475416666668</v>
      </c>
      <c r="F76" s="191">
        <v>43077.479328703703</v>
      </c>
      <c r="G76" s="190">
        <v>109</v>
      </c>
      <c r="H76" s="192" t="s">
        <v>969</v>
      </c>
      <c r="I76" s="191">
        <v>43077.504155092596</v>
      </c>
      <c r="J76" s="190">
        <v>0</v>
      </c>
      <c r="K76" s="200" t="str">
        <f t="shared" si="0"/>
        <v>4023/4024</v>
      </c>
      <c r="L76" s="207" t="str">
        <f>VLOOKUP(A76,'Trips&amp;Operators'!$C$1:$G$99911,5,FALSE)</f>
        <v>BRUDER RICHARD</v>
      </c>
      <c r="M76" s="189">
        <f t="shared" si="1"/>
        <v>2.4826388893416151E-2</v>
      </c>
      <c r="N76" s="190">
        <f t="shared" si="34"/>
        <v>35.750000006519258</v>
      </c>
      <c r="O76" s="190"/>
      <c r="P76" s="190"/>
      <c r="Q76" s="193"/>
      <c r="R76" s="205"/>
      <c r="S76" s="235">
        <f t="shared" si="33"/>
        <v>1</v>
      </c>
      <c r="T76" s="236" t="str">
        <f t="shared" si="4"/>
        <v>NorthBound</v>
      </c>
      <c r="U76" s="23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37" t="str">
        <f t="shared" si="5"/>
        <v>https://d0f6bd738d7f1b3e5a7ca70fe4ff75f0.us-east-1.aws.found.io/app/kibana#/discover/Steve-Slow-Train-Analysis-(2080s-and-2083s)?_g=(refreshInterval:(display:Off,pause:!f,section:0,value:0),time:(from:'2017-12-08T10:24:36-0700',mode:absolute,to:'2017-12-08T13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6" s="238" t="str">
        <f>IF(AA76&lt;VLOOKUP(AG76,Variables!$AC$3:$AD$8,2,FALSE),"Y","N")</f>
        <v>N</v>
      </c>
      <c r="X76" s="238">
        <f t="shared" si="6"/>
        <v>1</v>
      </c>
      <c r="Y76" s="238">
        <f t="shared" si="26"/>
        <v>0.05</v>
      </c>
      <c r="Z76" s="238">
        <f t="shared" si="27"/>
        <v>23.321899999999999</v>
      </c>
      <c r="AA76" s="238">
        <f t="shared" si="9"/>
        <v>23.271899999999999</v>
      </c>
      <c r="AB76" s="242" t="e">
        <f>VLOOKUP(A76,Enforcements!$C$7:$K$9,8,0)</f>
        <v>#N/A</v>
      </c>
      <c r="AC76" s="242" t="e">
        <f>VLOOKUP(A76,Enforcements!$C$7:$E$9,3,0)</f>
        <v>#N/A</v>
      </c>
      <c r="AD76" s="243">
        <f t="shared" si="10"/>
        <v>163</v>
      </c>
      <c r="AE76" s="198" t="str">
        <f t="shared" si="11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76" s="197" t="str">
        <f t="shared" si="12"/>
        <v>"C:\Program Files (x86)\AstroGrep\AstroGrep.exe" /e /r /s /spath="%USERPROFILE%\AppData\Local\Temp\OnboardLogs" /stypes="app*4024*20171208*" /stext=" 19:.+((SYSTEM_STATE.+slice.+state.+changed )|(ment ac)|(multiple cpu faults)|(system.+state.+changed )|(\[timeout)|(PRM\|1\|D)|(kpr)|(kdp)|(train st.+moving)|(\|lc)|(penalty))"</v>
      </c>
      <c r="AG76" s="206" t="str">
        <f t="shared" si="13"/>
        <v>EC</v>
      </c>
      <c r="AH76" s="199" t="str">
        <f t="shared" si="19"/>
        <v>"%USERPROFILE%\Documents\GitHub\eaglep3\Utilities\RefineRTDCRunTimes.py" --tripid 163-08 --locoid 4024 --swversion DE.1.0.9.0 --startMP 204:500 --initTime 2017-12-08T11:24:36 --startdatetime 2017-12-08T11:30:14 --delay 109 --endMP 204:233219 --enddatetime 2017-12-08T12:05:59 --enforcementcount 0 &gt;&gt;%USERPROFILE%\Documents\GitHub\eaglep3-reporting\EC\2017-12-08-refined-times.txt</v>
      </c>
      <c r="AI76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{"issue":{"subject":"","project_id":79,"tracker_id":40,"status_id":1,"priority_id":2,"assigned_to_id":338,"start_date":"2017-12-08","description":"","custom_fields":[{"id":1,"name":"Subdivision","value":"EC"},{"id":4,"name":"Milepost","value":"23.3219"},{"id":17,"name":"Train ID","value":"163-08"},{"id":16,"name":"Locomotive ID","value":"4024"},{"id":130,"name":"Impact","value":""},{"id":150,"name":"Time of Event (Mountain Time)","value":"12:05:59"},{"id":151,"name":"Denver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8"/>
      <c r="AK76" s="196"/>
      <c r="AL76" s="196"/>
      <c r="AM76" s="203" t="str">
        <f t="shared" si="21"/>
        <v>start /low /b %USERPROFILE%\Documents\GitHub\eaglep3\Utilities\DownloadLogsFromS3.py --loco 4024 --day 2017-12-08</v>
      </c>
      <c r="AN76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95" t="str">
        <f t="shared" si="23"/>
        <v>https://d0f6bd738d7f1b3e5a7ca70fe4ff75f0.us-east-1.aws.found.io/app/kibana#/discover/Steve-Slow-Train-Analysis-(2080s-and-2083s)?_g=(refreshInterval:(display:Off,pause:!f,section:0,value:0),time:(from:'2017-12-08T10:24:36-0700',mode:absolute,to:'2017-12-08T13:05:59-0700'))&amp;_a=(columns:!('Message%20ID',Summary),filters:!(),index:'emp_*',interval:auto,query:(query_string:(analyze_wildcard:!t,query:'%22rtdc.l.rtdc.4024%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194" t="s">
        <v>805</v>
      </c>
      <c r="B77" s="190">
        <v>4023</v>
      </c>
      <c r="C77" s="192" t="s">
        <v>191</v>
      </c>
      <c r="D77" s="192" t="s">
        <v>970</v>
      </c>
      <c r="E77" s="191">
        <v>43077.515833333331</v>
      </c>
      <c r="F77" s="191">
        <v>43077.518946759257</v>
      </c>
      <c r="G77" s="190">
        <v>91</v>
      </c>
      <c r="H77" s="192" t="s">
        <v>444</v>
      </c>
      <c r="I77" s="191">
        <v>43077.544618055559</v>
      </c>
      <c r="J77" s="190">
        <v>0</v>
      </c>
      <c r="K77" s="200" t="str">
        <f t="shared" ref="K77:K140" si="35">IF(ISEVEN(B77),(B77-1)&amp;"/"&amp;B77,B77&amp;"/"&amp;(B77+1))</f>
        <v>4023/4024</v>
      </c>
      <c r="L77" s="207" t="str">
        <f>VLOOKUP(A77,'Trips&amp;Operators'!$C$1:$G$99911,5,FALSE)</f>
        <v>BRUDER RICHARD</v>
      </c>
      <c r="M77" s="189">
        <f t="shared" ref="M77:M140" si="36">I77-F77</f>
        <v>2.567129630187992E-2</v>
      </c>
      <c r="N77" s="190">
        <f t="shared" si="34"/>
        <v>36.966666674707085</v>
      </c>
      <c r="O77" s="190"/>
      <c r="P77" s="190"/>
      <c r="Q77" s="193"/>
      <c r="R77" s="205"/>
      <c r="S77" s="235">
        <f t="shared" si="33"/>
        <v>1</v>
      </c>
      <c r="T77" s="236" t="str">
        <f t="shared" ref="T77:T140" si="37">IF(ISEVEN(LEFT(AD77,4)),"Southbound","NorthBound")</f>
        <v>Southbound</v>
      </c>
      <c r="U77" s="23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37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-08T11:22:48-0700',mode:absolute,to:'2017-12-08T14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7" s="238" t="str">
        <f>IF(AA77&lt;VLOOKUP(AG77,Variables!$AC$3:$AD$8,2,FALSE),"Y","N")</f>
        <v>N</v>
      </c>
      <c r="X77" s="238">
        <f t="shared" ref="X77:X140" si="39">VALUE(LEFT(AD77,4))-VALUE(LEFT(AD76,4))</f>
        <v>1</v>
      </c>
      <c r="Y77" s="238">
        <f t="shared" ref="Y77:Y108" si="40">RIGHT(D77,LEN(D77)-4)/10000</f>
        <v>23.288699999999999</v>
      </c>
      <c r="Z77" s="238">
        <f t="shared" ref="Z77:Z108" si="41">RIGHT(H77,LEN(H77)-4)/10000</f>
        <v>2.1600000000000001E-2</v>
      </c>
      <c r="AA77" s="238">
        <f t="shared" ref="AA77:AA140" si="42">ABS(Z77-Y77)</f>
        <v>23.267099999999999</v>
      </c>
      <c r="AB77" s="242" t="e">
        <f>VLOOKUP(A77,Enforcements!$C$7:$K$9,8,0)</f>
        <v>#N/A</v>
      </c>
      <c r="AC77" s="242" t="e">
        <f>VLOOKUP(A77,Enforcements!$C$7:$E$9,3,0)</f>
        <v>#N/A</v>
      </c>
      <c r="AD77" s="243">
        <f t="shared" ref="AD77:AD140" si="43">VALUE(LEFT(A77,LEN(A77)-3))</f>
        <v>164</v>
      </c>
      <c r="AE77" s="198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77" s="197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/stypes="app*4023*20171208*" /stext=" 20:.+((SYSTEM_STATE.+slice.+state.+changed )|(ment ac)|(multiple cpu faults)|(system.+state.+changed )|(\[timeout)|(PRM\|1\|D)|(kpr)|(kdp)|(train st.+moving)|(\|lc)|(penalty))"</v>
      </c>
      <c r="AG77" s="206" t="str">
        <f t="shared" ref="AG77:AG140" si="46">DetSubdiv(A77)</f>
        <v>EC</v>
      </c>
      <c r="AH77" s="199" t="str">
        <f t="shared" si="19"/>
        <v>"%USERPROFILE%\Documents\GitHub\eaglep3\Utilities\RefineRTDCRunTimes.py" --tripid 164-08 --locoid 4023 --swversion DE.1.0.9.0 --startMP 204:232887 --initTime 2017-12-08T12:22:48 --startdatetime 2017-12-08T12:27:17 --delay 91 --endMP 204:216 --enddatetime 2017-12-08T13:04:15 --enforcementcount 0 &gt;&gt;%USERPROFILE%\Documents\GitHub\eaglep3-reporting\EC\2017-12-08-refined-times.txt</v>
      </c>
      <c r="AI77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{"issue":{"subject":"","project_id":79,"tracker_id":40,"status_id":1,"priority_id":2,"assigned_to_id":338,"start_date":"2017-12-08","description":"","custom_fields":[{"id":1,"name":"Subdivision","value":"EC"},{"id":4,"name":"Milepost","value":"0.0216"},{"id":17,"name":"Train ID","value":"164-08"},{"id":16,"name":"Locomotive ID","value":"4023"},{"id":130,"name":"Impact","value":""},{"id":150,"name":"Time of Event (Mountain Time)","value":"13:04:15"},{"id":151,"name":"Denver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8"/>
      <c r="AK77" s="196"/>
      <c r="AL77" s="196"/>
      <c r="AM77" s="203" t="str">
        <f t="shared" si="21"/>
        <v>start /low /b %USERPROFILE%\Documents\GitHub\eaglep3\Utilities\DownloadLogsFromS3.py --loco 4023 --day 2017-12-08</v>
      </c>
      <c r="AN77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95" t="str">
        <f t="shared" si="23"/>
        <v>https://d0f6bd738d7f1b3e5a7ca70fe4ff75f0.us-east-1.aws.found.io/app/kibana#/discover/Steve-Slow-Train-Analysis-(2080s-and-2083s)?_g=(refreshInterval:(display:Off,pause:!f,section:0,value:0),time:(from:'2017-12-08T11:22:48-0700',mode:absolute,to:'2017-12-08T14:04:15-0700'))&amp;_a=(columns:!('Message%20ID',Summary),filters:!(),index:'emp_*',interval:auto,query:(query_string:(analyze_wildcard:!t,query:'%22rtdc.l.rtdc.4023%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194" t="s">
        <v>798</v>
      </c>
      <c r="B78" s="190">
        <v>4050</v>
      </c>
      <c r="C78" s="192" t="s">
        <v>191</v>
      </c>
      <c r="D78" s="192" t="s">
        <v>638</v>
      </c>
      <c r="E78" s="191">
        <v>43077.484780092593</v>
      </c>
      <c r="F78" s="191">
        <v>43077.489756944444</v>
      </c>
      <c r="G78" s="190">
        <v>63</v>
      </c>
      <c r="H78" s="192" t="s">
        <v>935</v>
      </c>
      <c r="I78" s="191">
        <v>43077.513622685183</v>
      </c>
      <c r="J78" s="190">
        <v>0</v>
      </c>
      <c r="K78" s="200" t="str">
        <f t="shared" si="35"/>
        <v>4049/4050</v>
      </c>
      <c r="L78" s="207" t="str">
        <f>VLOOKUP(A78,'Trips&amp;Operators'!$C$1:$G$99911,5,FALSE)</f>
        <v>GONZALEZ ARMANDO</v>
      </c>
      <c r="M78" s="189">
        <f t="shared" si="36"/>
        <v>2.3865740738983732E-2</v>
      </c>
      <c r="N78" s="190">
        <f t="shared" si="34"/>
        <v>34.366666664136574</v>
      </c>
      <c r="O78" s="190"/>
      <c r="P78" s="190"/>
      <c r="Q78" s="193"/>
      <c r="R78" s="205"/>
      <c r="S78" s="235">
        <f t="shared" si="33"/>
        <v>1</v>
      </c>
      <c r="T78" s="236" t="str">
        <f t="shared" si="37"/>
        <v>NorthBound</v>
      </c>
      <c r="U78" s="23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37" t="str">
        <f t="shared" si="38"/>
        <v>https://d0f6bd738d7f1b3e5a7ca70fe4ff75f0.us-east-1.aws.found.io/app/kibana#/discover/Steve-Slow-Train-Analysis-(2080s-and-2083s)?_g=(refreshInterval:(display:Off,pause:!f,section:0,value:0),time:(from:'2017-12-08T10:38:05-0700',mode:absolute,to:'2017-12-08T13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8" s="238" t="str">
        <f>IF(AA78&lt;VLOOKUP(AG78,Variables!$AC$3:$AD$8,2,FALSE),"Y","N")</f>
        <v>N</v>
      </c>
      <c r="X78" s="238">
        <f t="shared" si="39"/>
        <v>1</v>
      </c>
      <c r="Y78" s="238">
        <f t="shared" si="40"/>
        <v>4.9299999999999997E-2</v>
      </c>
      <c r="Z78" s="238">
        <f t="shared" si="41"/>
        <v>23.325900000000001</v>
      </c>
      <c r="AA78" s="238">
        <f t="shared" si="42"/>
        <v>23.276600000000002</v>
      </c>
      <c r="AB78" s="242" t="e">
        <f>VLOOKUP(A78,Enforcements!$C$7:$K$9,8,0)</f>
        <v>#N/A</v>
      </c>
      <c r="AC78" s="242" t="e">
        <f>VLOOKUP(A78,Enforcements!$C$7:$E$9,3,0)</f>
        <v>#N/A</v>
      </c>
      <c r="AD78" s="243">
        <f t="shared" si="43"/>
        <v>165</v>
      </c>
      <c r="AE78" s="198" t="str">
        <f t="shared" si="44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78" s="197" t="str">
        <f t="shared" si="45"/>
        <v>"C:\Program Files (x86)\AstroGrep\AstroGrep.exe" /e /r /s /spath="%USERPROFILE%\AppData\Local\Temp\OnboardLogs" /stypes="app*4050*20171208*" /stext=" 19:.+((SYSTEM_STATE.+slice.+state.+changed )|(ment ac)|(multiple cpu faults)|(system.+state.+changed )|(\[timeout)|(PRM\|1\|D)|(kpr)|(kdp)|(train st.+moving)|(\|lc)|(penalty))"</v>
      </c>
      <c r="AG78" s="206" t="str">
        <f t="shared" si="46"/>
        <v>EC</v>
      </c>
      <c r="AH78" s="199" t="str">
        <f t="shared" si="19"/>
        <v>"%USERPROFILE%\Documents\GitHub\eaglep3\Utilities\RefineRTDCRunTimes.py" --tripid 165-08 --locoid 4050 --swversion DE.1.0.9.0 --startMP 204:493 --initTime 2017-12-08T11:38:05 --startdatetime 2017-12-08T11:45:15 --delay 63 --endMP 204:233259 --enddatetime 2017-12-08T12:19:37 --enforcementcount 0 &gt;&gt;%USERPROFILE%\Documents\GitHub\eaglep3-reporting\EC\2017-12-08-refined-times.txt</v>
      </c>
      <c r="AI78" s="201" t="str">
        <f t="shared" si="20"/>
        <v>echo {"issue":{"subject":"","project_id":79,"tracker_id":40,"status_id":1,"priority_id":2,"assigned_to_id":338,"start_date":"2017-12-08","description":"","custom_fields":[{"id":1,"name":"Subdivision","value":"EC"},{"id":4,"name":"Milepost","value":"23.3259"},{"id":17,"name":"Train ID","value":"165-08"},{"id":16,"name":"Locomotive ID","value":"4050"},{"id":130,"name":"Impact","value":""},{"id":150,"name":"Time of Event (Mountain Time)","value":"12:19:37"},{"id":151,"name":"Denver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8"/>
      <c r="AK78" s="196"/>
      <c r="AL78" s="196"/>
      <c r="AM78" s="203" t="str">
        <f t="shared" si="21"/>
        <v>start /low /b %USERPROFILE%\Documents\GitHub\eaglep3\Utilities\DownloadLogsFromS3.py --loco 4050 --day 2017-12-08</v>
      </c>
      <c r="AN78" s="204" t="str">
        <f t="shared" si="22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95" t="str">
        <f t="shared" si="23"/>
        <v>https://d0f6bd738d7f1b3e5a7ca70fe4ff75f0.us-east-1.aws.found.io/app/kibana#/discover/Steve-Slow-Train-Analysis-(2080s-and-2083s)?_g=(refreshInterval:(display:Off,pause:!f,section:0,value:0),time:(from:'2017-12-08T10:38:05-0700',mode:absolute,to:'2017-12-08T13:19:37-0700'))&amp;_a=(columns:!('Message%20ID',Summary),filters:!(),index:'emp_*',interval:auto,query:(query_string:(analyze_wildcard:!t,query:'%22rtdc.l.rtdc.4050%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194" t="s">
        <v>808</v>
      </c>
      <c r="B79" s="190">
        <v>4049</v>
      </c>
      <c r="C79" s="192" t="s">
        <v>191</v>
      </c>
      <c r="D79" s="192" t="s">
        <v>971</v>
      </c>
      <c r="E79" s="191">
        <v>43077.522824074076</v>
      </c>
      <c r="F79" s="191">
        <v>43077.529328703706</v>
      </c>
      <c r="G79" s="190">
        <v>75</v>
      </c>
      <c r="H79" s="192" t="s">
        <v>972</v>
      </c>
      <c r="I79" s="191">
        <v>43077.55195601852</v>
      </c>
      <c r="J79" s="190">
        <v>0</v>
      </c>
      <c r="K79" s="200" t="str">
        <f t="shared" si="35"/>
        <v>4049/4050</v>
      </c>
      <c r="L79" s="207" t="str">
        <f>VLOOKUP(A79,'Trips&amp;Operators'!$C$1:$G$99911,5,FALSE)</f>
        <v>GONZALEZ ARMANDO</v>
      </c>
      <c r="M79" s="189">
        <f t="shared" si="36"/>
        <v>2.2627314814599231E-2</v>
      </c>
      <c r="N79" s="190"/>
      <c r="O79" s="190"/>
      <c r="P79" s="190">
        <f>24*60*SUM($M79:$M79)</f>
        <v>32.583333333022892</v>
      </c>
      <c r="Q79" s="193"/>
      <c r="R79" s="205" t="s">
        <v>1108</v>
      </c>
      <c r="S79" s="235">
        <f t="shared" si="33"/>
        <v>1</v>
      </c>
      <c r="T79" s="236" t="str">
        <f t="shared" si="37"/>
        <v>Southbound</v>
      </c>
      <c r="U79" s="23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37" t="str">
        <f t="shared" si="38"/>
        <v>https://d0f6bd738d7f1b3e5a7ca70fe4ff75f0.us-east-1.aws.found.io/app/kibana#/discover/Steve-Slow-Train-Analysis-(2080s-and-2083s)?_g=(refreshInterval:(display:Off,pause:!f,section:0,value:0),time:(from:'2017-12-08T11:32:52-0700',mode:absolute,to:'2017-12-08T14:14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9" s="238" t="str">
        <f>IF(AA79&lt;VLOOKUP(AG79,Variables!$AC$3:$AD$8,2,FALSE),"Y","N")</f>
        <v>Y</v>
      </c>
      <c r="X79" s="238">
        <f t="shared" si="39"/>
        <v>1</v>
      </c>
      <c r="Y79" s="238">
        <f t="shared" si="40"/>
        <v>23.296099999999999</v>
      </c>
      <c r="Z79" s="238">
        <f t="shared" si="41"/>
        <v>1.8747</v>
      </c>
      <c r="AA79" s="238">
        <f t="shared" si="42"/>
        <v>21.421399999999998</v>
      </c>
      <c r="AB79" s="242" t="e">
        <f>VLOOKUP(A79,Enforcements!$C$7:$K$9,8,0)</f>
        <v>#N/A</v>
      </c>
      <c r="AC79" s="242" t="e">
        <f>VLOOKUP(A79,Enforcements!$C$7:$E$9,3,0)</f>
        <v>#N/A</v>
      </c>
      <c r="AD79" s="243">
        <f t="shared" si="43"/>
        <v>166</v>
      </c>
      <c r="AE79" s="198" t="str">
        <f t="shared" si="44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79" s="197" t="str">
        <f t="shared" si="45"/>
        <v>"C:\Program Files (x86)\AstroGrep\AstroGrep.exe" /e /r /s /spath="%USERPROFILE%\AppData\Local\Temp\OnboardLogs" /stypes="app*4049*20171208*" /stext=" 20:.+((SYSTEM_STATE.+slice.+state.+changed )|(ment ac)|(multiple cpu faults)|(system.+state.+changed )|(\[timeout)|(PRM\|1\|D)|(kpr)|(kdp)|(train st.+moving)|(\|lc)|(penalty))"</v>
      </c>
      <c r="AG79" s="206" t="str">
        <f t="shared" si="46"/>
        <v>EC</v>
      </c>
      <c r="AH79" s="199" t="str">
        <f t="shared" ref="AH79:AH142" si="47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166-08 --locoid 4049 --swversion DE.1.0.9.0 --startMP 204:232961 --initTime 2017-12-08T12:32:52 --startdatetime 2017-12-08T12:42:14 --delay 75 --endMP 204:18747 --enddatetime 2017-12-08T13:14:49 --enforcementcount 0 &gt;&gt;%USERPROFILE%\Documents\GitHub\eaglep3-reporting\EC\2017-12-08-refined-times.txt</v>
      </c>
      <c r="AI79" s="201" t="str">
        <f t="shared" ref="AI79:AI142" si="48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{"issue":{"subject":"Power outage @ DUS, kept Bright 4S stuck at stop","project_id":79,"tracker_id":40,"status_id":1,"priority_id":2,"assigned_to_id":338,"start_date":"2017-12-08","description":"","custom_fields":[{"id":1,"name":"Subdivision","value":"EC"},{"id":4,"name":"Milepost","value":"1.8747"},{"id":17,"name":"Train ID","value":"166-08"},{"id":16,"name":"Locomotive ID","value":"4049"},{"id":130,"name":"Impact","value":""},{"id":150,"name":"Time of Event (Mountain Time)","value":"13:14:49"},{"id":151,"name":"Denver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8"/>
      <c r="AK79" s="196"/>
      <c r="AL79" s="196"/>
      <c r="AM79" s="203" t="str">
        <f t="shared" ref="AM79:AM142" si="49">"start /low /b "&amp;dls3logs&amp;" --loco "&amp;B79&amp;" --day "&amp;TEXT(F79,"YYYY-MM-DD")</f>
        <v>start /low /b %USERPROFILE%\Documents\GitHub\eaglep3\Utilities\DownloadLogsFromS3.py --loco 4049 --day 2017-12-08</v>
      </c>
      <c r="AN79" s="204" t="str">
        <f t="shared" ref="AN79:AN142" si="50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 outage @ DUS, kept Bright 4S stuck at stop","project_id":30,"tracker_id":4,"status_id":1,"priority_id":1,"assigned_to_id":10,"start_date":"2017-12-08","description":"","custom_fields":[{"id":30,"name":"Category","value":"Issue"},{"id":3,"name":"Functional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20:14:49"},{"id":29,"name":"Sharepoint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95" t="str">
        <f t="shared" ref="AO79:AO142" si="51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-08T11:32:52-0700',mode:absolute,to:'2017-12-08T14:14:49-0700'))&amp;_a=(columns:!('Message%20ID',Summary),filters:!(),index:'emp_*',interval:auto,query:(query_string:(analyze_wildcard:!t,query:'%22rtdc.l.rtdc.4049%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194" t="s">
        <v>801</v>
      </c>
      <c r="B80" s="190">
        <v>4010</v>
      </c>
      <c r="C80" s="192" t="s">
        <v>191</v>
      </c>
      <c r="D80" s="192" t="s">
        <v>511</v>
      </c>
      <c r="E80" s="191">
        <v>43077.494583333333</v>
      </c>
      <c r="F80" s="191">
        <v>43077.500196759262</v>
      </c>
      <c r="G80" s="190">
        <v>60</v>
      </c>
      <c r="H80" s="192" t="s">
        <v>973</v>
      </c>
      <c r="I80" s="191">
        <v>43077.525011574071</v>
      </c>
      <c r="J80" s="190">
        <v>0</v>
      </c>
      <c r="K80" s="200" t="str">
        <f t="shared" si="35"/>
        <v>4009/4010</v>
      </c>
      <c r="L80" s="207" t="str">
        <f>VLOOKUP(A80,'Trips&amp;Operators'!$C$1:$G$99911,5,FALSE)</f>
        <v>FORTUNATO FRANK</v>
      </c>
      <c r="M80" s="189">
        <f t="shared" si="36"/>
        <v>2.4814814809360541E-2</v>
      </c>
      <c r="N80" s="190">
        <f t="shared" ref="N80:N95" si="52">24*60*SUM($M80:$M80)</f>
        <v>35.73333332547918</v>
      </c>
      <c r="O80" s="190"/>
      <c r="P80" s="190"/>
      <c r="Q80" s="193"/>
      <c r="R80" s="205"/>
      <c r="S80" s="235">
        <f t="shared" si="33"/>
        <v>1</v>
      </c>
      <c r="T80" s="236" t="str">
        <f t="shared" si="37"/>
        <v>NorthBound</v>
      </c>
      <c r="U80" s="23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37" t="str">
        <f t="shared" si="38"/>
        <v>https://d0f6bd738d7f1b3e5a7ca70fe4ff75f0.us-east-1.aws.found.io/app/kibana#/discover/Steve-Slow-Train-Analysis-(2080s-and-2083s)?_g=(refreshInterval:(display:Off,pause:!f,section:0,value:0),time:(from:'2017-12-08T10:52:12-0700',mode:absolute,to:'2017-12-08T13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238" t="str">
        <f>IF(AA80&lt;VLOOKUP(AG80,Variables!$AC$3:$AD$8,2,FALSE),"Y","N")</f>
        <v>N</v>
      </c>
      <c r="X80" s="238">
        <f t="shared" si="39"/>
        <v>1</v>
      </c>
      <c r="Y80" s="238">
        <f t="shared" si="40"/>
        <v>5.33E-2</v>
      </c>
      <c r="Z80" s="238">
        <f t="shared" si="41"/>
        <v>23.319099999999999</v>
      </c>
      <c r="AA80" s="238">
        <f t="shared" si="42"/>
        <v>23.265799999999999</v>
      </c>
      <c r="AB80" s="242" t="e">
        <f>VLOOKUP(A80,Enforcements!$C$7:$K$9,8,0)</f>
        <v>#N/A</v>
      </c>
      <c r="AC80" s="242" t="e">
        <f>VLOOKUP(A80,Enforcements!$C$7:$E$9,3,0)</f>
        <v>#N/A</v>
      </c>
      <c r="AD80" s="243">
        <f t="shared" si="43"/>
        <v>167</v>
      </c>
      <c r="AE80" s="198" t="str">
        <f t="shared" si="44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80" s="197" t="str">
        <f t="shared" si="45"/>
        <v>"C:\Program Files (x86)\AstroGrep\AstroGrep.exe" /e /r /s /spath="%USERPROFILE%\AppData\Local\Temp\OnboardLogs" /stypes="app*4010*20171208*" /stext=" 19:.+((SYSTEM_STATE.+slice.+state.+changed )|(ment ac)|(multiple cpu faults)|(system.+state.+changed )|(\[timeout)|(PRM\|1\|D)|(kpr)|(kdp)|(train st.+moving)|(\|lc)|(penalty))"</v>
      </c>
      <c r="AG80" s="206" t="str">
        <f t="shared" si="46"/>
        <v>EC</v>
      </c>
      <c r="AH80" s="199" t="str">
        <f t="shared" si="47"/>
        <v>"%USERPROFILE%\Documents\GitHub\eaglep3\Utilities\RefineRTDCRunTimes.py" --tripid 167-08 --locoid 4010 --swversion DE.1.0.9.0 --startMP 204:533 --initTime 2017-12-08T11:52:12 --startdatetime 2017-12-08T12:00:17 --delay 60 --endMP 204:233191 --enddatetime 2017-12-08T12:36:01 --enforcementcount 0 &gt;&gt;%USERPROFILE%\Documents\GitHub\eaglep3-reporting\EC\2017-12-08-refined-times.txt</v>
      </c>
      <c r="AI8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{"issue":{"subject":"","project_id":79,"tracker_id":40,"status_id":1,"priority_id":2,"assigned_to_id":338,"start_date":"2017-12-08","description":"","custom_fields":[{"id":1,"name":"Subdivision","value":"EC"},{"id":4,"name":"Milepost","value":"23.3191"},{"id":17,"name":"Train ID","value":"167-08"},{"id":16,"name":"Locomotive ID","value":"4010"},{"id":130,"name":"Impact","value":""},{"id":150,"name":"Time of Event (Mountain Time)","value":"12:36:01"},{"id":151,"name":"Denver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8"/>
      <c r="AK80" s="196"/>
      <c r="AL80" s="196"/>
      <c r="AM80" s="203" t="str">
        <f t="shared" si="49"/>
        <v>start /low /b %USERPROFILE%\Documents\GitHub\eaglep3\Utilities\DownloadLogsFromS3.py --loco 4010 --day 2017-12-08</v>
      </c>
      <c r="AN80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95" t="str">
        <f t="shared" si="51"/>
        <v>https://d0f6bd738d7f1b3e5a7ca70fe4ff75f0.us-east-1.aws.found.io/app/kibana#/discover/Steve-Slow-Train-Analysis-(2080s-and-2083s)?_g=(refreshInterval:(display:Off,pause:!f,section:0,value:0),time:(from:'2017-12-08T10:52:12-0700',mode:absolute,to:'2017-12-08T13:36:01-0700'))&amp;_a=(columns:!('Message%20ID',Summary),filters:!(),index:'emp_*',interval:auto,query:(query_string:(analyze_wildcard:!t,query:'%22rtdc.l.rtdc.4010%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194" t="s">
        <v>692</v>
      </c>
      <c r="B81" s="190">
        <v>4009</v>
      </c>
      <c r="C81" s="192" t="s">
        <v>191</v>
      </c>
      <c r="D81" s="192" t="s">
        <v>974</v>
      </c>
      <c r="E81" s="191">
        <v>43077.526087962964</v>
      </c>
      <c r="F81" s="191">
        <v>43077.539918981478</v>
      </c>
      <c r="G81" s="190">
        <v>62</v>
      </c>
      <c r="H81" s="192" t="s">
        <v>659</v>
      </c>
      <c r="I81" s="191">
        <v>43077.565949074073</v>
      </c>
      <c r="J81" s="190">
        <v>0</v>
      </c>
      <c r="K81" s="200" t="str">
        <f t="shared" si="35"/>
        <v>4009/4010</v>
      </c>
      <c r="L81" s="207" t="str">
        <f>VLOOKUP(A81,'Trips&amp;Operators'!$C$1:$G$99911,5,FALSE)</f>
        <v>FORTUNATO FRANK</v>
      </c>
      <c r="M81" s="189">
        <f t="shared" si="36"/>
        <v>2.6030092594737653E-2</v>
      </c>
      <c r="N81" s="190">
        <f t="shared" si="52"/>
        <v>37.48333333642222</v>
      </c>
      <c r="O81" s="190"/>
      <c r="P81" s="190"/>
      <c r="Q81" s="193"/>
      <c r="R81" s="205"/>
      <c r="S81" s="235">
        <f t="shared" si="33"/>
        <v>1</v>
      </c>
      <c r="T81" s="236" t="str">
        <f t="shared" si="37"/>
        <v>Southbound</v>
      </c>
      <c r="U81" s="23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37" t="str">
        <f t="shared" si="38"/>
        <v>https://d0f6bd738d7f1b3e5a7ca70fe4ff75f0.us-east-1.aws.found.io/app/kibana#/discover/Steve-Slow-Train-Analysis-(2080s-and-2083s)?_g=(refreshInterval:(display:Off,pause:!f,section:0,value:0),time:(from:'2017-12-08T11:37:34-0700',mode:absolute,to:'2017-12-08T14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238" t="str">
        <f>IF(AA81&lt;VLOOKUP(AG81,Variables!$AC$3:$AD$8,2,FALSE),"Y","N")</f>
        <v>N</v>
      </c>
      <c r="X81" s="238">
        <f t="shared" si="39"/>
        <v>1</v>
      </c>
      <c r="Y81" s="238">
        <f t="shared" si="40"/>
        <v>23.2883</v>
      </c>
      <c r="Z81" s="238">
        <f t="shared" si="41"/>
        <v>2.3099999999999999E-2</v>
      </c>
      <c r="AA81" s="238">
        <f t="shared" si="42"/>
        <v>23.2652</v>
      </c>
      <c r="AB81" s="242" t="e">
        <f>VLOOKUP(A81,Enforcements!$C$7:$K$9,8,0)</f>
        <v>#N/A</v>
      </c>
      <c r="AC81" s="242" t="e">
        <f>VLOOKUP(A81,Enforcements!$C$7:$E$9,3,0)</f>
        <v>#N/A</v>
      </c>
      <c r="AD81" s="243">
        <f t="shared" si="43"/>
        <v>168</v>
      </c>
      <c r="AE81" s="198" t="str">
        <f t="shared" si="44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81" s="197" t="str">
        <f t="shared" si="45"/>
        <v>"C:\Program Files (x86)\AstroGrep\AstroGrep.exe" /e /r /s /spath="%USERPROFILE%\AppData\Local\Temp\OnboardLogs" /stypes="app*4009*20171208*" /stext=" 20:.+((SYSTEM_STATE.+slice.+state.+changed )|(ment ac)|(multiple cpu faults)|(system.+state.+changed )|(\[timeout)|(PRM\|1\|D)|(kpr)|(kdp)|(train st.+moving)|(\|lc)|(penalty))"</v>
      </c>
      <c r="AG81" s="206" t="str">
        <f t="shared" si="46"/>
        <v>EC</v>
      </c>
      <c r="AH81" s="199" t="str">
        <f t="shared" si="47"/>
        <v>"%USERPROFILE%\Documents\GitHub\eaglep3\Utilities\RefineRTDCRunTimes.py" --tripid 168-08 --locoid 4009 --swversion DE.1.0.9.0 --startMP 204:232883 --initTime 2017-12-08T12:37:34 --startdatetime 2017-12-08T12:57:29 --delay 62 --endMP 204:231 --enddatetime 2017-12-08T13:34:58 --enforcementcount 0 &gt;&gt;%USERPROFILE%\Documents\GitHub\eaglep3-reporting\EC\2017-12-08-refined-times.txt</v>
      </c>
      <c r="AI8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{"issue":{"subject":"","project_id":79,"tracker_id":40,"status_id":1,"priority_id":2,"assigned_to_id":338,"start_date":"2017-12-08","description":"","custom_fields":[{"id":1,"name":"Subdivision","value":"EC"},{"id":4,"name":"Milepost","value":"0.0231"},{"id":17,"name":"Train ID","value":"168-08"},{"id":16,"name":"Locomotive ID","value":"4009"},{"id":130,"name":"Impact","value":""},{"id":150,"name":"Time of Event (Mountain Time)","value":"13:34:58"},{"id":151,"name":"Denver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8"/>
      <c r="AK81" s="196"/>
      <c r="AL81" s="196"/>
      <c r="AM81" s="203" t="str">
        <f t="shared" si="49"/>
        <v>start /low /b %USERPROFILE%\Documents\GitHub\eaglep3\Utilities\DownloadLogsFromS3.py --loco 4009 --day 2017-12-08</v>
      </c>
      <c r="AN81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95" t="str">
        <f t="shared" si="51"/>
        <v>https://d0f6bd738d7f1b3e5a7ca70fe4ff75f0.us-east-1.aws.found.io/app/kibana#/discover/Steve-Slow-Train-Analysis-(2080s-and-2083s)?_g=(refreshInterval:(display:Off,pause:!f,section:0,value:0),time:(from:'2017-12-08T11:37:34-0700',mode:absolute,to:'2017-12-08T14:34:58-0700'))&amp;_a=(columns:!('Message%20ID',Summary),filters:!(),index:'emp_*',interval:auto,query:(query_string:(analyze_wildcard:!t,query:'%22rtdc.l.rtdc.4009%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194" t="s">
        <v>804</v>
      </c>
      <c r="B82" s="190">
        <v>4020</v>
      </c>
      <c r="C82" s="192" t="s">
        <v>191</v>
      </c>
      <c r="D82" s="192" t="s">
        <v>645</v>
      </c>
      <c r="E82" s="191">
        <v>43077.504062499997</v>
      </c>
      <c r="F82" s="191">
        <v>43077.510578703703</v>
      </c>
      <c r="G82" s="190">
        <v>192</v>
      </c>
      <c r="H82" s="192" t="s">
        <v>634</v>
      </c>
      <c r="I82" s="191">
        <v>43077.534629629627</v>
      </c>
      <c r="J82" s="190">
        <v>0</v>
      </c>
      <c r="K82" s="200" t="str">
        <f t="shared" si="35"/>
        <v>4019/4020</v>
      </c>
      <c r="L82" s="207" t="str">
        <f>VLOOKUP(A82,'Trips&amp;Operators'!$C$1:$G$99911,5,FALSE)</f>
        <v>LEVIN SCOTT</v>
      </c>
      <c r="M82" s="189">
        <f t="shared" si="36"/>
        <v>2.4050925923802424E-2</v>
      </c>
      <c r="N82" s="190">
        <f t="shared" si="52"/>
        <v>34.633333330275491</v>
      </c>
      <c r="O82" s="190"/>
      <c r="P82" s="190"/>
      <c r="Q82" s="193"/>
      <c r="R82" s="205"/>
      <c r="S82" s="235">
        <f t="shared" si="33"/>
        <v>1</v>
      </c>
      <c r="T82" s="236" t="str">
        <f t="shared" si="37"/>
        <v>NorthBound</v>
      </c>
      <c r="U82" s="23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37" t="str">
        <f t="shared" si="38"/>
        <v>https://d0f6bd738d7f1b3e5a7ca70fe4ff75f0.us-east-1.aws.found.io/app/kibana#/discover/Steve-Slow-Train-Analysis-(2080s-and-2083s)?_g=(refreshInterval:(display:Off,pause:!f,section:0,value:0),time:(from:'2017-12-08T11:05:51-0700',mode:absolute,to:'2017-12-08T13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2" s="238" t="str">
        <f>IF(AA82&lt;VLOOKUP(AG82,Variables!$AC$3:$AD$8,2,FALSE),"Y","N")</f>
        <v>N</v>
      </c>
      <c r="X82" s="238">
        <f t="shared" si="39"/>
        <v>1</v>
      </c>
      <c r="Y82" s="238">
        <f t="shared" si="40"/>
        <v>4.9099999999999998E-2</v>
      </c>
      <c r="Z82" s="238">
        <f t="shared" si="41"/>
        <v>23.327000000000002</v>
      </c>
      <c r="AA82" s="238">
        <f t="shared" si="42"/>
        <v>23.277900000000002</v>
      </c>
      <c r="AB82" s="242" t="e">
        <f>VLOOKUP(A82,Enforcements!$C$7:$K$9,8,0)</f>
        <v>#N/A</v>
      </c>
      <c r="AC82" s="242" t="e">
        <f>VLOOKUP(A82,Enforcements!$C$7:$E$9,3,0)</f>
        <v>#N/A</v>
      </c>
      <c r="AD82" s="243">
        <f t="shared" si="43"/>
        <v>169</v>
      </c>
      <c r="AE82" s="198" t="str">
        <f t="shared" si="44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82" s="197" t="str">
        <f t="shared" si="45"/>
        <v>"C:\Program Files (x86)\AstroGrep\AstroGrep.exe" /e /r /s /spath="%USERPROFILE%\AppData\Local\Temp\OnboardLogs" /stypes="app*4020*20171208*" /stext=" 19:.+((SYSTEM_STATE.+slice.+state.+changed )|(ment ac)|(multiple cpu faults)|(system.+state.+changed )|(\[timeout)|(PRM\|1\|D)|(kpr)|(kdp)|(train st.+moving)|(\|lc)|(penalty))"</v>
      </c>
      <c r="AG82" s="206" t="str">
        <f t="shared" si="46"/>
        <v>EC</v>
      </c>
      <c r="AH82" s="199" t="str">
        <f t="shared" si="47"/>
        <v>"%USERPROFILE%\Documents\GitHub\eaglep3\Utilities\RefineRTDCRunTimes.py" --tripid 169-08 --locoid 4020 --swversion DE.1.0.9.0 --startMP 204:491 --initTime 2017-12-08T12:05:51 --startdatetime 2017-12-08T12:15:14 --delay 192 --endMP 204:233270 --enddatetime 2017-12-08T12:49:52 --enforcementcount 0 &gt;&gt;%USERPROFILE%\Documents\GitHub\eaglep3-reporting\EC\2017-12-08-refined-times.txt</v>
      </c>
      <c r="AI82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{"issue":{"subject":"","project_id":79,"tracker_id":40,"status_id":1,"priority_id":2,"assigned_to_id":338,"start_date":"2017-12-08","description":"","custom_fields":[{"id":1,"name":"Subdivision","value":"EC"},{"id":4,"name":"Milepost","value":"23.327"},{"id":17,"name":"Train ID","value":"169-08"},{"id":16,"name":"Locomotive ID","value":"4020"},{"id":130,"name":"Impact","value":""},{"id":150,"name":"Time of Event (Mountain Time)","value":"12:49:52"},{"id":151,"name":"Denver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8"/>
      <c r="AK82" s="196"/>
      <c r="AL82" s="196"/>
      <c r="AM82" s="203" t="str">
        <f t="shared" si="49"/>
        <v>start /low /b %USERPROFILE%\Documents\GitHub\eaglep3\Utilities\DownloadLogsFromS3.py --loco 4020 --day 2017-12-08</v>
      </c>
      <c r="AN82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95" t="str">
        <f t="shared" si="51"/>
        <v>https://d0f6bd738d7f1b3e5a7ca70fe4ff75f0.us-east-1.aws.found.io/app/kibana#/discover/Steve-Slow-Train-Analysis-(2080s-and-2083s)?_g=(refreshInterval:(display:Off,pause:!f,section:0,value:0),time:(from:'2017-12-08T11:05:51-0700',mode:absolute,to:'2017-12-08T13:49:52-0700'))&amp;_a=(columns:!('Message%20ID',Summary),filters:!(),index:'emp_*',interval:auto,query:(query_string:(analyze_wildcard:!t,query:'%22rtdc.l.rtdc.4020%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194" t="s">
        <v>812</v>
      </c>
      <c r="B83" s="190">
        <v>4019</v>
      </c>
      <c r="C83" s="192" t="s">
        <v>191</v>
      </c>
      <c r="D83" s="192" t="s">
        <v>975</v>
      </c>
      <c r="E83" s="191">
        <v>43077.544814814813</v>
      </c>
      <c r="F83" s="191">
        <v>43077.550185185188</v>
      </c>
      <c r="G83" s="190">
        <v>91</v>
      </c>
      <c r="H83" s="192" t="s">
        <v>925</v>
      </c>
      <c r="I83" s="191">
        <v>43077.576423611114</v>
      </c>
      <c r="J83" s="190">
        <v>0</v>
      </c>
      <c r="K83" s="200" t="str">
        <f t="shared" si="35"/>
        <v>4019/4020</v>
      </c>
      <c r="L83" s="207" t="str">
        <f>VLOOKUP(A83,'Trips&amp;Operators'!$C$1:$G$99911,5,FALSE)</f>
        <v>LEVIN SCOTT</v>
      </c>
      <c r="M83" s="189">
        <f t="shared" si="36"/>
        <v>2.6238425925839692E-2</v>
      </c>
      <c r="N83" s="190">
        <f t="shared" si="52"/>
        <v>37.783333333209157</v>
      </c>
      <c r="O83" s="190"/>
      <c r="P83" s="190"/>
      <c r="Q83" s="193"/>
      <c r="R83" s="205"/>
      <c r="S83" s="235">
        <f t="shared" si="33"/>
        <v>1</v>
      </c>
      <c r="T83" s="236" t="str">
        <f t="shared" si="37"/>
        <v>Southbound</v>
      </c>
      <c r="U83" s="23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37" t="str">
        <f t="shared" si="38"/>
        <v>https://d0f6bd738d7f1b3e5a7ca70fe4ff75f0.us-east-1.aws.found.io/app/kibana#/discover/Steve-Slow-Train-Analysis-(2080s-and-2083s)?_g=(refreshInterval:(display:Off,pause:!f,section:0,value:0),time:(from:'2017-12-08T12:04:32-0700',mode:absolute,to:'2017-12-08T14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3" s="238" t="str">
        <f>IF(AA83&lt;VLOOKUP(AG83,Variables!$AC$3:$AD$8,2,FALSE),"Y","N")</f>
        <v>N</v>
      </c>
      <c r="X83" s="238">
        <f t="shared" si="39"/>
        <v>1</v>
      </c>
      <c r="Y83" s="238">
        <f t="shared" si="40"/>
        <v>23.296700000000001</v>
      </c>
      <c r="Z83" s="238">
        <f t="shared" si="41"/>
        <v>1.6500000000000001E-2</v>
      </c>
      <c r="AA83" s="238">
        <f t="shared" si="42"/>
        <v>23.280200000000001</v>
      </c>
      <c r="AB83" s="242" t="e">
        <f>VLOOKUP(A83,Enforcements!$C$7:$K$9,8,0)</f>
        <v>#N/A</v>
      </c>
      <c r="AC83" s="242" t="e">
        <f>VLOOKUP(A83,Enforcements!$C$7:$E$9,3,0)</f>
        <v>#N/A</v>
      </c>
      <c r="AD83" s="243">
        <f t="shared" si="43"/>
        <v>170</v>
      </c>
      <c r="AE83" s="198" t="str">
        <f t="shared" si="44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83" s="197" t="str">
        <f t="shared" si="45"/>
        <v>"C:\Program Files (x86)\AstroGrep\AstroGrep.exe" /e /r /s /spath="%USERPROFILE%\AppData\Local\Temp\OnboardLogs" /stypes="app*4019*20171208*" /stext=" 20:.+((SYSTEM_STATE.+slice.+state.+changed )|(ment ac)|(multiple cpu faults)|(system.+state.+changed )|(\[timeout)|(PRM\|1\|D)|(kpr)|(kdp)|(train st.+moving)|(\|lc)|(penalty))"</v>
      </c>
      <c r="AG83" s="206" t="str">
        <f t="shared" si="46"/>
        <v>EC</v>
      </c>
      <c r="AH83" s="199" t="str">
        <f t="shared" si="47"/>
        <v>"%USERPROFILE%\Documents\GitHub\eaglep3\Utilities\RefineRTDCRunTimes.py" --tripid 170-08 --locoid 4019 --swversion DE.1.0.9.0 --startMP 204:232967 --initTime 2017-12-08T13:04:32 --startdatetime 2017-12-08T13:12:16 --delay 91 --endMP 204:165 --enddatetime 2017-12-08T13:50:03 --enforcementcount 0 &gt;&gt;%USERPROFILE%\Documents\GitHub\eaglep3-reporting\EC\2017-12-08-refined-times.txt</v>
      </c>
      <c r="AI8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{"issue":{"subject":"","project_id":79,"tracker_id":40,"status_id":1,"priority_id":2,"assigned_to_id":338,"start_date":"2017-12-08","description":"","custom_fields":[{"id":1,"name":"Subdivision","value":"EC"},{"id":4,"name":"Milepost","value":"0.0165"},{"id":17,"name":"Train ID","value":"170-08"},{"id":16,"name":"Locomotive ID","value":"4019"},{"id":130,"name":"Impact","value":""},{"id":150,"name":"Time of Event (Mountain Time)","value":"13:50:03"},{"id":151,"name":"Denver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8"/>
      <c r="AK83" s="196"/>
      <c r="AL83" s="196"/>
      <c r="AM83" s="203" t="str">
        <f t="shared" si="49"/>
        <v>start /low /b %USERPROFILE%\Documents\GitHub\eaglep3\Utilities\DownloadLogsFromS3.py --loco 4019 --day 2017-12-08</v>
      </c>
      <c r="AN83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95" t="str">
        <f t="shared" si="51"/>
        <v>https://d0f6bd738d7f1b3e5a7ca70fe4ff75f0.us-east-1.aws.found.io/app/kibana#/discover/Steve-Slow-Train-Analysis-(2080s-and-2083s)?_g=(refreshInterval:(display:Off,pause:!f,section:0,value:0),time:(from:'2017-12-08T12:04:32-0700',mode:absolute,to:'2017-12-08T14:50:03-0700'))&amp;_a=(columns:!('Message%20ID',Summary),filters:!(),index:'emp_*',interval:auto,query:(query_string:(analyze_wildcard:!t,query:'%22rtdc.l.rtdc.4019%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194" t="s">
        <v>806</v>
      </c>
      <c r="B84" s="190">
        <v>4032</v>
      </c>
      <c r="C84" s="192" t="s">
        <v>191</v>
      </c>
      <c r="D84" s="192" t="s">
        <v>622</v>
      </c>
      <c r="E84" s="191">
        <v>43077.517685185187</v>
      </c>
      <c r="F84" s="191">
        <v>43077.521099537036</v>
      </c>
      <c r="G84" s="190">
        <v>58</v>
      </c>
      <c r="H84" s="192" t="s">
        <v>512</v>
      </c>
      <c r="I84" s="191">
        <v>43077.546597222223</v>
      </c>
      <c r="J84" s="190">
        <v>0</v>
      </c>
      <c r="K84" s="200" t="str">
        <f t="shared" si="35"/>
        <v>4031/4032</v>
      </c>
      <c r="L84" s="207" t="str">
        <f>VLOOKUP(A84,'Trips&amp;Operators'!$C$1:$G$99911,5,FALSE)</f>
        <v>BADERTSCHER DIANE</v>
      </c>
      <c r="M84" s="189">
        <f t="shared" si="36"/>
        <v>2.5497685186564922E-2</v>
      </c>
      <c r="N84" s="190">
        <f t="shared" si="52"/>
        <v>36.716666668653488</v>
      </c>
      <c r="O84" s="190"/>
      <c r="P84" s="190"/>
      <c r="Q84" s="193"/>
      <c r="R84" s="205"/>
      <c r="S84" s="235">
        <f t="shared" si="33"/>
        <v>1</v>
      </c>
      <c r="T84" s="236" t="str">
        <f t="shared" si="37"/>
        <v>NorthBound</v>
      </c>
      <c r="U84" s="23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37" t="str">
        <f t="shared" si="38"/>
        <v>https://d0f6bd738d7f1b3e5a7ca70fe4ff75f0.us-east-1.aws.found.io/app/kibana#/discover/Steve-Slow-Train-Analysis-(2080s-and-2083s)?_g=(refreshInterval:(display:Off,pause:!f,section:0,value:0),time:(from:'2017-12-08T11:25:28-0700',mode:absolute,to:'2017-12-08T14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238" t="str">
        <f>IF(AA84&lt;VLOOKUP(AG84,Variables!$AC$3:$AD$8,2,FALSE),"Y","N")</f>
        <v>N</v>
      </c>
      <c r="X84" s="238">
        <f t="shared" si="39"/>
        <v>1</v>
      </c>
      <c r="Y84" s="238">
        <f t="shared" si="40"/>
        <v>5.11E-2</v>
      </c>
      <c r="Z84" s="238">
        <f t="shared" si="41"/>
        <v>23.325099999999999</v>
      </c>
      <c r="AA84" s="238">
        <f t="shared" si="42"/>
        <v>23.273999999999997</v>
      </c>
      <c r="AB84" s="242" t="e">
        <f>VLOOKUP(A84,Enforcements!$C$7:$K$9,8,0)</f>
        <v>#N/A</v>
      </c>
      <c r="AC84" s="242" t="e">
        <f>VLOOKUP(A84,Enforcements!$C$7:$E$9,3,0)</f>
        <v>#N/A</v>
      </c>
      <c r="AD84" s="243">
        <f t="shared" si="43"/>
        <v>171</v>
      </c>
      <c r="AE84" s="198" t="str">
        <f t="shared" si="44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84" s="197" t="str">
        <f t="shared" si="45"/>
        <v>"C:\Program Files (x86)\AstroGrep\AstroGrep.exe" /e /r /s /spath="%USERPROFILE%\AppData\Local\Temp\OnboardLogs" /stypes="app*4032*20171208*" /stext=" 20:.+((SYSTEM_STATE.+slice.+state.+changed )|(ment ac)|(multiple cpu faults)|(system.+state.+changed )|(\[timeout)|(PRM\|1\|D)|(kpr)|(kdp)|(train st.+moving)|(\|lc)|(penalty))"</v>
      </c>
      <c r="AG84" s="206" t="str">
        <f t="shared" si="46"/>
        <v>EC</v>
      </c>
      <c r="AH84" s="199" t="str">
        <f t="shared" si="47"/>
        <v>"%USERPROFILE%\Documents\GitHub\eaglep3\Utilities\RefineRTDCRunTimes.py" --tripid 171-08 --locoid 4032 --swversion DE.1.0.9.0 --startMP 204:511 --initTime 2017-12-08T12:25:28 --startdatetime 2017-12-08T12:30:23 --delay 58 --endMP 204:233251 --enddatetime 2017-12-08T13:07:06 --enforcementcount 0 &gt;&gt;%USERPROFILE%\Documents\GitHub\eaglep3-reporting\EC\2017-12-08-refined-times.txt</v>
      </c>
      <c r="AI8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{"issue":{"subject":"","project_id":79,"tracker_id":40,"status_id":1,"priority_id":2,"assigned_to_id":338,"start_date":"2017-12-08","description":"","custom_fields":[{"id":1,"name":"Subdivision","value":"EC"},{"id":4,"name":"Milepost","value":"23.3251"},{"id":17,"name":"Train ID","value":"171-08"},{"id":16,"name":"Locomotive ID","value":"4032"},{"id":130,"name":"Impact","value":""},{"id":150,"name":"Time of Event (Mountain Time)","value":"13:07:06"},{"id":151,"name":"Denver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8"/>
      <c r="AK84" s="196"/>
      <c r="AL84" s="196"/>
      <c r="AM84" s="203" t="str">
        <f t="shared" si="49"/>
        <v>start /low /b %USERPROFILE%\Documents\GitHub\eaglep3\Utilities\DownloadLogsFromS3.py --loco 4032 --day 2017-12-08</v>
      </c>
      <c r="AN84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95" t="str">
        <f t="shared" si="51"/>
        <v>https://d0f6bd738d7f1b3e5a7ca70fe4ff75f0.us-east-1.aws.found.io/app/kibana#/discover/Steve-Slow-Train-Analysis-(2080s-and-2083s)?_g=(refreshInterval:(display:Off,pause:!f,section:0,value:0),time:(from:'2017-12-08T11:25:28-0700',mode:absolute,to:'2017-12-08T14:07:06-0700'))&amp;_a=(columns:!('Message%20ID',Summary),filters:!(),index:'emp_*',interval:auto,query:(query_string:(analyze_wildcard:!t,query:'%22rtdc.l.rtdc.4032%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194" t="s">
        <v>814</v>
      </c>
      <c r="B85" s="190">
        <v>4031</v>
      </c>
      <c r="C85" s="192" t="s">
        <v>191</v>
      </c>
      <c r="D85" s="192" t="s">
        <v>454</v>
      </c>
      <c r="E85" s="191">
        <v>43077.556493055556</v>
      </c>
      <c r="F85" s="191">
        <v>43077.560590277775</v>
      </c>
      <c r="G85" s="190">
        <v>85</v>
      </c>
      <c r="H85" s="192" t="s">
        <v>587</v>
      </c>
      <c r="I85" s="191">
        <v>43077.589062500003</v>
      </c>
      <c r="J85" s="190">
        <v>0</v>
      </c>
      <c r="K85" s="200" t="str">
        <f t="shared" si="35"/>
        <v>4031/4032</v>
      </c>
      <c r="L85" s="207" t="str">
        <f>VLOOKUP(A85,'Trips&amp;Operators'!$C$1:$G$99911,5,FALSE)</f>
        <v>BADERTSCHER DIANE</v>
      </c>
      <c r="M85" s="189">
        <f t="shared" si="36"/>
        <v>2.8472222227719612E-2</v>
      </c>
      <c r="N85" s="190">
        <f t="shared" si="52"/>
        <v>41.000000007916242</v>
      </c>
      <c r="O85" s="190"/>
      <c r="P85" s="190"/>
      <c r="Q85" s="193"/>
      <c r="R85" s="205"/>
      <c r="S85" s="235">
        <f t="shared" si="33"/>
        <v>1</v>
      </c>
      <c r="T85" s="236" t="str">
        <f t="shared" si="37"/>
        <v>Southbound</v>
      </c>
      <c r="U85" s="23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37" t="str">
        <f t="shared" si="38"/>
        <v>https://d0f6bd738d7f1b3e5a7ca70fe4ff75f0.us-east-1.aws.found.io/app/kibana#/discover/Steve-Slow-Train-Analysis-(2080s-and-2083s)?_g=(refreshInterval:(display:Off,pause:!f,section:0,value:0),time:(from:'2017-12-08T12:21:21-0700',mode:absolute,to:'2017-12-08T15:08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5" s="238" t="str">
        <f>IF(AA85&lt;VLOOKUP(AG85,Variables!$AC$3:$AD$8,2,FALSE),"Y","N")</f>
        <v>N</v>
      </c>
      <c r="X85" s="238">
        <f t="shared" si="39"/>
        <v>1</v>
      </c>
      <c r="Y85" s="238">
        <f t="shared" si="40"/>
        <v>23.292999999999999</v>
      </c>
      <c r="Z85" s="238">
        <f t="shared" si="41"/>
        <v>2.4E-2</v>
      </c>
      <c r="AA85" s="238">
        <f t="shared" si="42"/>
        <v>23.268999999999998</v>
      </c>
      <c r="AB85" s="242" t="e">
        <f>VLOOKUP(A85,Enforcements!$C$7:$K$9,8,0)</f>
        <v>#N/A</v>
      </c>
      <c r="AC85" s="242" t="e">
        <f>VLOOKUP(A85,Enforcements!$C$7:$E$9,3,0)</f>
        <v>#N/A</v>
      </c>
      <c r="AD85" s="243">
        <f t="shared" si="43"/>
        <v>172</v>
      </c>
      <c r="AE85" s="198" t="str">
        <f t="shared" si="44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85" s="197" t="str">
        <f t="shared" si="45"/>
        <v>"C:\Program Files (x86)\AstroGrep\AstroGrep.exe" /e /r /s /spath="%USERPROFILE%\AppData\Local\Temp\OnboardLogs" /stypes="app*4031*20171208*" /stext=" 21:.+((SYSTEM_STATE.+slice.+state.+changed )|(ment ac)|(multiple cpu faults)|(system.+state.+changed )|(\[timeout)|(PRM\|1\|D)|(kpr)|(kdp)|(train st.+moving)|(\|lc)|(penalty))"</v>
      </c>
      <c r="AG85" s="206" t="str">
        <f t="shared" si="46"/>
        <v>EC</v>
      </c>
      <c r="AH85" s="199" t="str">
        <f t="shared" si="47"/>
        <v>"%USERPROFILE%\Documents\GitHub\eaglep3\Utilities\RefineRTDCRunTimes.py" --tripid 172-08 --locoid 4031 --swversion DE.1.0.9.0 --startMP 204:232930 --initTime 2017-12-08T13:21:21 --startdatetime 2017-12-08T13:27:15 --delay 85 --endMP 204:240 --enddatetime 2017-12-08T14:08:15 --enforcementcount 0 &gt;&gt;%USERPROFILE%\Documents\GitHub\eaglep3-reporting\EC\2017-12-08-refined-times.txt</v>
      </c>
      <c r="AI8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{"issue":{"subject":"","project_id":79,"tracker_id":40,"status_id":1,"priority_id":2,"assigned_to_id":338,"start_date":"2017-12-08","description":"","custom_fields":[{"id":1,"name":"Subdivision","value":"EC"},{"id":4,"name":"Milepost","value":"0.024"},{"id":17,"name":"Train ID","value":"172-08"},{"id":16,"name":"Locomotive ID","value":"4031"},{"id":130,"name":"Impact","value":""},{"id":150,"name":"Time of Event (Mountain Time)","value":"14:08:15"},{"id":151,"name":"Denver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8"/>
      <c r="AK85" s="196"/>
      <c r="AL85" s="196"/>
      <c r="AM85" s="203" t="str">
        <f t="shared" si="49"/>
        <v>start /low /b %USERPROFILE%\Documents\GitHub\eaglep3\Utilities\DownloadLogsFromS3.py --loco 4031 --day 2017-12-08</v>
      </c>
      <c r="AN85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95" t="str">
        <f t="shared" si="51"/>
        <v>https://d0f6bd738d7f1b3e5a7ca70fe4ff75f0.us-east-1.aws.found.io/app/kibana#/discover/Steve-Slow-Train-Analysis-(2080s-and-2083s)?_g=(refreshInterval:(display:Off,pause:!f,section:0,value:0),time:(from:'2017-12-08T12:21:21-0700',mode:absolute,to:'2017-12-08T15:08:15-0700'))&amp;_a=(columns:!('Message%20ID',Summary),filters:!(),index:'emp_*',interval:auto,query:(query_string:(analyze_wildcard:!t,query:'%22rtdc.l.rtdc.4031%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194" t="s">
        <v>809</v>
      </c>
      <c r="B86" s="190">
        <v>4016</v>
      </c>
      <c r="C86" s="192" t="s">
        <v>191</v>
      </c>
      <c r="D86" s="192" t="s">
        <v>616</v>
      </c>
      <c r="E86" s="191">
        <v>43077.527233796296</v>
      </c>
      <c r="F86" s="191">
        <v>43077.531458333331</v>
      </c>
      <c r="G86" s="190">
        <v>119</v>
      </c>
      <c r="H86" s="192" t="s">
        <v>976</v>
      </c>
      <c r="I86" s="191">
        <v>43077.555138888885</v>
      </c>
      <c r="J86" s="190">
        <v>0</v>
      </c>
      <c r="K86" s="200" t="str">
        <f t="shared" si="35"/>
        <v>4015/4016</v>
      </c>
      <c r="L86" s="207" t="str">
        <f>VLOOKUP(A86,'Trips&amp;Operators'!$C$1:$G$99911,5,FALSE)</f>
        <v>LONG FULLER</v>
      </c>
      <c r="M86" s="189">
        <f t="shared" si="36"/>
        <v>2.3680555554165039E-2</v>
      </c>
      <c r="N86" s="190">
        <f t="shared" si="52"/>
        <v>34.099999997997656</v>
      </c>
      <c r="O86" s="190"/>
      <c r="P86" s="190"/>
      <c r="Q86" s="193"/>
      <c r="R86" s="205"/>
      <c r="S86" s="235">
        <f t="shared" si="33"/>
        <v>1</v>
      </c>
      <c r="T86" s="236" t="str">
        <f t="shared" si="37"/>
        <v>NorthBound</v>
      </c>
      <c r="U86" s="23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37" t="str">
        <f t="shared" si="38"/>
        <v>https://d0f6bd738d7f1b3e5a7ca70fe4ff75f0.us-east-1.aws.found.io/app/kibana#/discover/Steve-Slow-Train-Analysis-(2080s-and-2083s)?_g=(refreshInterval:(display:Off,pause:!f,section:0,value:0),time:(from:'2017-12-08T11:39:13-0700',mode:absolute,to:'2017-12-08T14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238" t="str">
        <f>IF(AA86&lt;VLOOKUP(AG86,Variables!$AC$3:$AD$8,2,FALSE),"Y","N")</f>
        <v>N</v>
      </c>
      <c r="X86" s="238">
        <f t="shared" si="39"/>
        <v>1</v>
      </c>
      <c r="Y86" s="238">
        <f t="shared" si="40"/>
        <v>4.6699999999999998E-2</v>
      </c>
      <c r="Z86" s="238">
        <f t="shared" si="41"/>
        <v>23.319500000000001</v>
      </c>
      <c r="AA86" s="238">
        <f t="shared" si="42"/>
        <v>23.2728</v>
      </c>
      <c r="AB86" s="242" t="e">
        <f>VLOOKUP(A86,Enforcements!$C$7:$K$9,8,0)</f>
        <v>#N/A</v>
      </c>
      <c r="AC86" s="242" t="e">
        <f>VLOOKUP(A86,Enforcements!$C$7:$E$9,3,0)</f>
        <v>#N/A</v>
      </c>
      <c r="AD86" s="243">
        <f t="shared" si="43"/>
        <v>173</v>
      </c>
      <c r="AE86" s="198" t="str">
        <f t="shared" si="44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86" s="197" t="str">
        <f t="shared" si="45"/>
        <v>"C:\Program Files (x86)\AstroGrep\AstroGrep.exe" /e /r /s /spath="%USERPROFILE%\AppData\Local\Temp\OnboardLogs" /stypes="app*4016*20171208*" /stext=" 20:.+((SYSTEM_STATE.+slice.+state.+changed )|(ment ac)|(multiple cpu faults)|(system.+state.+changed )|(\[timeout)|(PRM\|1\|D)|(kpr)|(kdp)|(train st.+moving)|(\|lc)|(penalty))"</v>
      </c>
      <c r="AG86" s="206" t="str">
        <f t="shared" si="46"/>
        <v>EC</v>
      </c>
      <c r="AH86" s="199" t="str">
        <f t="shared" si="47"/>
        <v>"%USERPROFILE%\Documents\GitHub\eaglep3\Utilities\RefineRTDCRunTimes.py" --tripid 173-08 --locoid 4016 --swversion DE.1.0.9.0 --startMP 204:467 --initTime 2017-12-08T12:39:13 --startdatetime 2017-12-08T12:45:18 --delay 119 --endMP 204:233195 --enddatetime 2017-12-08T13:19:24 --enforcementcount 0 &gt;&gt;%USERPROFILE%\Documents\GitHub\eaglep3-reporting\EC\2017-12-08-refined-times.txt</v>
      </c>
      <c r="AI8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{"issue":{"subject":"","project_id":79,"tracker_id":40,"status_id":1,"priority_id":2,"assigned_to_id":338,"start_date":"2017-12-08","description":"","custom_fields":[{"id":1,"name":"Subdivision","value":"EC"},{"id":4,"name":"Milepost","value":"23.3195"},{"id":17,"name":"Train ID","value":"173-08"},{"id":16,"name":"Locomotive ID","value":"4016"},{"id":130,"name":"Impact","value":""},{"id":150,"name":"Time of Event (Mountain Time)","value":"13:19:24"},{"id":151,"name":"Denver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8"/>
      <c r="AK86" s="196"/>
      <c r="AL86" s="196"/>
      <c r="AM86" s="203" t="str">
        <f t="shared" si="49"/>
        <v>start /low /b %USERPROFILE%\Documents\GitHub\eaglep3\Utilities\DownloadLogsFromS3.py --loco 4016 --day 2017-12-08</v>
      </c>
      <c r="AN86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95" t="str">
        <f t="shared" si="51"/>
        <v>https://d0f6bd738d7f1b3e5a7ca70fe4ff75f0.us-east-1.aws.found.io/app/kibana#/discover/Steve-Slow-Train-Analysis-(2080s-and-2083s)?_g=(refreshInterval:(display:Off,pause:!f,section:0,value:0),time:(from:'2017-12-08T11:39:13-0700',mode:absolute,to:'2017-12-08T14:19:24-0700'))&amp;_a=(columns:!('Message%20ID',Summary),filters:!(),index:'emp_*',interval:auto,query:(query_string:(analyze_wildcard:!t,query:'%22rtdc.l.rtdc.4016%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194" t="s">
        <v>817</v>
      </c>
      <c r="B87" s="190">
        <v>4015</v>
      </c>
      <c r="C87" s="192" t="s">
        <v>191</v>
      </c>
      <c r="D87" s="192" t="s">
        <v>977</v>
      </c>
      <c r="E87" s="191">
        <v>43077.566180555557</v>
      </c>
      <c r="F87" s="191">
        <v>43077.571273148147</v>
      </c>
      <c r="G87" s="190">
        <v>85</v>
      </c>
      <c r="H87" s="192" t="s">
        <v>621</v>
      </c>
      <c r="I87" s="191">
        <v>43077.596354166664</v>
      </c>
      <c r="J87" s="190">
        <v>0</v>
      </c>
      <c r="K87" s="200" t="str">
        <f t="shared" si="35"/>
        <v>4015/4016</v>
      </c>
      <c r="L87" s="207" t="str">
        <f>VLOOKUP(A87,'Trips&amp;Operators'!$C$1:$G$99911,5,FALSE)</f>
        <v>LONG FULLER</v>
      </c>
      <c r="M87" s="189">
        <f t="shared" si="36"/>
        <v>2.5081018517084885E-2</v>
      </c>
      <c r="N87" s="190">
        <f t="shared" si="52"/>
        <v>36.116666664602235</v>
      </c>
      <c r="O87" s="190"/>
      <c r="P87" s="190"/>
      <c r="Q87" s="193"/>
      <c r="R87" s="205"/>
      <c r="S87" s="235">
        <f t="shared" si="33"/>
        <v>1</v>
      </c>
      <c r="T87" s="236" t="str">
        <f t="shared" si="37"/>
        <v>Southbound</v>
      </c>
      <c r="U87" s="23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37" t="str">
        <f t="shared" si="38"/>
        <v>https://d0f6bd738d7f1b3e5a7ca70fe4ff75f0.us-east-1.aws.found.io/app/kibana#/discover/Steve-Slow-Train-Analysis-(2080s-and-2083s)?_g=(refreshInterval:(display:Off,pause:!f,section:0,value:0),time:(from:'2017-12-08T12:35:18-0700',mode:absolute,to:'2017-12-08T15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238" t="str">
        <f>IF(AA87&lt;VLOOKUP(AG87,Variables!$AC$3:$AD$8,2,FALSE),"Y","N")</f>
        <v>N</v>
      </c>
      <c r="X87" s="238">
        <f t="shared" si="39"/>
        <v>1</v>
      </c>
      <c r="Y87" s="238">
        <f t="shared" si="40"/>
        <v>23.287099999999999</v>
      </c>
      <c r="Z87" s="238">
        <f t="shared" si="41"/>
        <v>2.18E-2</v>
      </c>
      <c r="AA87" s="238">
        <f t="shared" si="42"/>
        <v>23.2653</v>
      </c>
      <c r="AB87" s="242" t="e">
        <f>VLOOKUP(A87,Enforcements!$C$7:$K$9,8,0)</f>
        <v>#N/A</v>
      </c>
      <c r="AC87" s="242" t="e">
        <f>VLOOKUP(A87,Enforcements!$C$7:$E$9,3,0)</f>
        <v>#N/A</v>
      </c>
      <c r="AD87" s="243">
        <f t="shared" si="43"/>
        <v>174</v>
      </c>
      <c r="AE87" s="198" t="str">
        <f t="shared" si="44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87" s="197" t="str">
        <f t="shared" si="45"/>
        <v>"C:\Program Files (x86)\AstroGrep\AstroGrep.exe" /e /r /s /spath="%USERPROFILE%\AppData\Local\Temp\OnboardLogs" /stypes="app*4015*20171208*" /stext=" 21:.+((SYSTEM_STATE.+slice.+state.+changed )|(ment ac)|(multiple cpu faults)|(system.+state.+changed )|(\[timeout)|(PRM\|1\|D)|(kpr)|(kdp)|(train st.+moving)|(\|lc)|(penalty))"</v>
      </c>
      <c r="AG87" s="206" t="str">
        <f t="shared" si="46"/>
        <v>EC</v>
      </c>
      <c r="AH87" s="199" t="str">
        <f t="shared" si="47"/>
        <v>"%USERPROFILE%\Documents\GitHub\eaglep3\Utilities\RefineRTDCRunTimes.py" --tripid 174-08 --locoid 4015 --swversion DE.1.0.9.0 --startMP 204:232871 --initTime 2017-12-08T13:35:18 --startdatetime 2017-12-08T13:42:38 --delay 85 --endMP 204:218 --enddatetime 2017-12-08T14:18:45 --enforcementcount 0 &gt;&gt;%USERPROFILE%\Documents\GitHub\eaglep3-reporting\EC\2017-12-08-refined-times.txt</v>
      </c>
      <c r="AI87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{"issue":{"subject":"","project_id":79,"tracker_id":40,"status_id":1,"priority_id":2,"assigned_to_id":338,"start_date":"2017-12-08","description":"","custom_fields":[{"id":1,"name":"Subdivision","value":"EC"},{"id":4,"name":"Milepost","value":"0.0218"},{"id":17,"name":"Train ID","value":"174-08"},{"id":16,"name":"Locomotive ID","value":"4015"},{"id":130,"name":"Impact","value":""},{"id":150,"name":"Time of Event (Mountain Time)","value":"14:18:45"},{"id":151,"name":"Denver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8"/>
      <c r="AK87" s="196"/>
      <c r="AL87" s="196"/>
      <c r="AM87" s="203" t="str">
        <f t="shared" si="49"/>
        <v>start /low /b %USERPROFILE%\Documents\GitHub\eaglep3\Utilities\DownloadLogsFromS3.py --loco 4015 --day 2017-12-08</v>
      </c>
      <c r="AN87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95" t="str">
        <f t="shared" si="51"/>
        <v>https://d0f6bd738d7f1b3e5a7ca70fe4ff75f0.us-east-1.aws.found.io/app/kibana#/discover/Steve-Slow-Train-Analysis-(2080s-and-2083s)?_g=(refreshInterval:(display:Off,pause:!f,section:0,value:0),time:(from:'2017-12-08T12:35:18-0700',mode:absolute,to:'2017-12-08T15:18:45-0700'))&amp;_a=(columns:!('Message%20ID',Summary),filters:!(),index:'emp_*',interval:auto,query:(query_string:(analyze_wildcard:!t,query:'%22rtdc.l.rtdc.4015%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194" t="s">
        <v>810</v>
      </c>
      <c r="B88" s="190">
        <v>4064</v>
      </c>
      <c r="C88" s="192" t="s">
        <v>191</v>
      </c>
      <c r="D88" s="192" t="s">
        <v>626</v>
      </c>
      <c r="E88" s="191">
        <v>43077.53696759259</v>
      </c>
      <c r="F88" s="191">
        <v>43077.541956018518</v>
      </c>
      <c r="G88" s="190">
        <v>75</v>
      </c>
      <c r="H88" s="192" t="s">
        <v>978</v>
      </c>
      <c r="I88" s="191">
        <v>43077.566851851851</v>
      </c>
      <c r="J88" s="190">
        <v>0</v>
      </c>
      <c r="K88" s="200" t="str">
        <f t="shared" si="35"/>
        <v>4063/4064</v>
      </c>
      <c r="L88" s="207" t="str">
        <f>VLOOKUP(A88,'Trips&amp;Operators'!$C$1:$G$99911,5,FALSE)</f>
        <v>SAFIEF AEIMEN</v>
      </c>
      <c r="M88" s="189">
        <f t="shared" si="36"/>
        <v>2.4895833332266193E-2</v>
      </c>
      <c r="N88" s="190">
        <f t="shared" si="52"/>
        <v>35.849999998463318</v>
      </c>
      <c r="O88" s="190"/>
      <c r="P88" s="190"/>
      <c r="Q88" s="193"/>
      <c r="R88" s="205"/>
      <c r="S88" s="235">
        <f t="shared" si="33"/>
        <v>1</v>
      </c>
      <c r="T88" s="236" t="str">
        <f t="shared" si="37"/>
        <v>NorthBound</v>
      </c>
      <c r="U88" s="23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37" t="str">
        <f t="shared" si="38"/>
        <v>https://d0f6bd738d7f1b3e5a7ca70fe4ff75f0.us-east-1.aws.found.io/app/kibana#/discover/Steve-Slow-Train-Analysis-(2080s-and-2083s)?_g=(refreshInterval:(display:Off,pause:!f,section:0,value:0),time:(from:'2017-12-08T11:53:14-0700',mode:absolute,to:'2017-12-08T14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8" s="238" t="str">
        <f>IF(AA88&lt;VLOOKUP(AG88,Variables!$AC$3:$AD$8,2,FALSE),"Y","N")</f>
        <v>N</v>
      </c>
      <c r="X88" s="238">
        <f t="shared" si="39"/>
        <v>1</v>
      </c>
      <c r="Y88" s="238">
        <f t="shared" si="40"/>
        <v>5.0900000000000001E-2</v>
      </c>
      <c r="Z88" s="238">
        <f t="shared" si="41"/>
        <v>23.324200000000001</v>
      </c>
      <c r="AA88" s="238">
        <f t="shared" si="42"/>
        <v>23.273300000000003</v>
      </c>
      <c r="AB88" s="242" t="e">
        <f>VLOOKUP(A88,Enforcements!$C$7:$K$9,8,0)</f>
        <v>#N/A</v>
      </c>
      <c r="AC88" s="242" t="e">
        <f>VLOOKUP(A88,Enforcements!$C$7:$E$9,3,0)</f>
        <v>#N/A</v>
      </c>
      <c r="AD88" s="243">
        <f t="shared" si="43"/>
        <v>175</v>
      </c>
      <c r="AE88" s="198" t="str">
        <f t="shared" si="44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88" s="197" t="str">
        <f t="shared" si="45"/>
        <v>"C:\Program Files (x86)\AstroGrep\AstroGrep.exe" /e /r /s /spath="%USERPROFILE%\AppData\Local\Temp\OnboardLogs" /stypes="app*4064*20171208*" /stext=" 20:.+((SYSTEM_STATE.+slice.+state.+changed )|(ment ac)|(multiple cpu faults)|(system.+state.+changed )|(\[timeout)|(PRM\|1\|D)|(kpr)|(kdp)|(train st.+moving)|(\|lc)|(penalty))"</v>
      </c>
      <c r="AG88" s="206" t="str">
        <f t="shared" si="46"/>
        <v>EC</v>
      </c>
      <c r="AH88" s="199" t="str">
        <f t="shared" si="47"/>
        <v>"%USERPROFILE%\Documents\GitHub\eaglep3\Utilities\RefineRTDCRunTimes.py" --tripid 175-08 --locoid 4064 --swversion DE.1.0.9.0 --startMP 204:509 --initTime 2017-12-08T12:53:14 --startdatetime 2017-12-08T13:00:25 --delay 75 --endMP 204:233242 --enddatetime 2017-12-08T13:36:16 --enforcementcount 0 &gt;&gt;%USERPROFILE%\Documents\GitHub\eaglep3-reporting\EC\2017-12-08-refined-times.txt</v>
      </c>
      <c r="AI8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{"issue":{"subject":"","project_id":79,"tracker_id":40,"status_id":1,"priority_id":2,"assigned_to_id":338,"start_date":"2017-12-08","description":"","custom_fields":[{"id":1,"name":"Subdivision","value":"EC"},{"id":4,"name":"Milepost","value":"23.3242"},{"id":17,"name":"Train ID","value":"175-08"},{"id":16,"name":"Locomotive ID","value":"4064"},{"id":130,"name":"Impact","value":""},{"id":150,"name":"Time of Event (Mountain Time)","value":"13:36:16"},{"id":151,"name":"Denver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8"/>
      <c r="AK88" s="196"/>
      <c r="AL88" s="196"/>
      <c r="AM88" s="203" t="str">
        <f t="shared" si="49"/>
        <v>start /low /b %USERPROFILE%\Documents\GitHub\eaglep3\Utilities\DownloadLogsFromS3.py --loco 4064 --day 2017-12-08</v>
      </c>
      <c r="AN88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95" t="str">
        <f t="shared" si="51"/>
        <v>https://d0f6bd738d7f1b3e5a7ca70fe4ff75f0.us-east-1.aws.found.io/app/kibana#/discover/Steve-Slow-Train-Analysis-(2080s-and-2083s)?_g=(refreshInterval:(display:Off,pause:!f,section:0,value:0),time:(from:'2017-12-08T11:53:14-0700',mode:absolute,to:'2017-12-08T14:36:16-0700'))&amp;_a=(columns:!('Message%20ID',Summary),filters:!(),index:'emp_*',interval:auto,query:(query_string:(analyze_wildcard:!t,query:'%22rtdc.l.rtdc.4064%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194" t="s">
        <v>821</v>
      </c>
      <c r="B89" s="190">
        <v>4063</v>
      </c>
      <c r="C89" s="192" t="s">
        <v>191</v>
      </c>
      <c r="D89" s="192" t="s">
        <v>656</v>
      </c>
      <c r="E89" s="191">
        <v>43077.568541666667</v>
      </c>
      <c r="F89" s="191">
        <v>43077.581469907411</v>
      </c>
      <c r="G89" s="190">
        <v>64</v>
      </c>
      <c r="H89" s="192" t="s">
        <v>575</v>
      </c>
      <c r="I89" s="191">
        <v>43077.608310185184</v>
      </c>
      <c r="J89" s="190">
        <v>0</v>
      </c>
      <c r="K89" s="200" t="str">
        <f t="shared" si="35"/>
        <v>4063/4064</v>
      </c>
      <c r="L89" s="207" t="str">
        <f>VLOOKUP(A89,'Trips&amp;Operators'!$C$1:$G$99911,5,FALSE)</f>
        <v>SAFIEF AEIMEN</v>
      </c>
      <c r="M89" s="189">
        <f t="shared" si="36"/>
        <v>2.6840277772862464E-2</v>
      </c>
      <c r="N89" s="190">
        <f t="shared" si="52"/>
        <v>38.649999992921948</v>
      </c>
      <c r="O89" s="190"/>
      <c r="P89" s="190"/>
      <c r="Q89" s="193"/>
      <c r="R89" s="205"/>
      <c r="S89" s="235">
        <f t="shared" si="33"/>
        <v>1</v>
      </c>
      <c r="T89" s="236" t="str">
        <f t="shared" si="37"/>
        <v>Southbound</v>
      </c>
      <c r="U89" s="23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37" t="str">
        <f t="shared" si="38"/>
        <v>https://d0f6bd738d7f1b3e5a7ca70fe4ff75f0.us-east-1.aws.found.io/app/kibana#/discover/Steve-Slow-Train-Analysis-(2080s-and-2083s)?_g=(refreshInterval:(display:Off,pause:!f,section:0,value:0),time:(from:'2017-12-08T12:38:42-0700',mode:absolute,to:'2017-12-08T15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9" s="238" t="str">
        <f>IF(AA89&lt;VLOOKUP(AG89,Variables!$AC$3:$AD$8,2,FALSE),"Y","N")</f>
        <v>N</v>
      </c>
      <c r="X89" s="238">
        <f t="shared" si="39"/>
        <v>1</v>
      </c>
      <c r="Y89" s="238">
        <f t="shared" si="40"/>
        <v>23.2925</v>
      </c>
      <c r="Z89" s="238">
        <f t="shared" si="41"/>
        <v>2.1100000000000001E-2</v>
      </c>
      <c r="AA89" s="238">
        <f t="shared" si="42"/>
        <v>23.2714</v>
      </c>
      <c r="AB89" s="242" t="e">
        <f>VLOOKUP(A89,Enforcements!$C$7:$K$9,8,0)</f>
        <v>#N/A</v>
      </c>
      <c r="AC89" s="242" t="e">
        <f>VLOOKUP(A89,Enforcements!$C$7:$E$9,3,0)</f>
        <v>#N/A</v>
      </c>
      <c r="AD89" s="243">
        <f t="shared" si="43"/>
        <v>176</v>
      </c>
      <c r="AE89" s="198" t="str">
        <f t="shared" si="44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89" s="197" t="str">
        <f t="shared" si="45"/>
        <v>"C:\Program Files (x86)\AstroGrep\AstroGrep.exe" /e /r /s /spath="%USERPROFILE%\AppData\Local\Temp\OnboardLogs" /stypes="app*4063*20171208*" /stext=" 21:.+((SYSTEM_STATE.+slice.+state.+changed )|(ment ac)|(multiple cpu faults)|(system.+state.+changed )|(\[timeout)|(PRM\|1\|D)|(kpr)|(kdp)|(train st.+moving)|(\|lc)|(penalty))"</v>
      </c>
      <c r="AG89" s="206" t="str">
        <f t="shared" si="46"/>
        <v>EC</v>
      </c>
      <c r="AH89" s="199" t="str">
        <f t="shared" si="47"/>
        <v>"%USERPROFILE%\Documents\GitHub\eaglep3\Utilities\RefineRTDCRunTimes.py" --tripid 176-08 --locoid 4063 --swversion DE.1.0.9.0 --startMP 204:232925 --initTime 2017-12-08T13:38:42 --startdatetime 2017-12-08T13:57:19 --delay 64 --endMP 204:211 --enddatetime 2017-12-08T14:35:58 --enforcementcount 0 &gt;&gt;%USERPROFILE%\Documents\GitHub\eaglep3-reporting\EC\2017-12-08-refined-times.txt</v>
      </c>
      <c r="AI89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{"issue":{"subject":"","project_id":79,"tracker_id":40,"status_id":1,"priority_id":2,"assigned_to_id":338,"start_date":"2017-12-08","description":"","custom_fields":[{"id":1,"name":"Subdivision","value":"EC"},{"id":4,"name":"Milepost","value":"0.0211"},{"id":17,"name":"Train ID","value":"176-08"},{"id":16,"name":"Locomotive ID","value":"4063"},{"id":130,"name":"Impact","value":""},{"id":150,"name":"Time of Event (Mountain Time)","value":"14:35:58"},{"id":151,"name":"Denver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8"/>
      <c r="AK89" s="196"/>
      <c r="AL89" s="196"/>
      <c r="AM89" s="203" t="str">
        <f t="shared" si="49"/>
        <v>start /low /b %USERPROFILE%\Documents\GitHub\eaglep3\Utilities\DownloadLogsFromS3.py --loco 4063 --day 2017-12-08</v>
      </c>
      <c r="AN89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95" t="str">
        <f t="shared" si="51"/>
        <v>https://d0f6bd738d7f1b3e5a7ca70fe4ff75f0.us-east-1.aws.found.io/app/kibana#/discover/Steve-Slow-Train-Analysis-(2080s-and-2083s)?_g=(refreshInterval:(display:Off,pause:!f,section:0,value:0),time:(from:'2017-12-08T12:38:42-0700',mode:absolute,to:'2017-12-08T15:35:58-0700'))&amp;_a=(columns:!('Message%20ID',Summary),filters:!(),index:'emp_*',interval:auto,query:(query_string:(analyze_wildcard:!t,query:'%22rtdc.l.rtdc.4063%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194" t="s">
        <v>813</v>
      </c>
      <c r="B90" s="190">
        <v>4024</v>
      </c>
      <c r="C90" s="192" t="s">
        <v>191</v>
      </c>
      <c r="D90" s="192" t="s">
        <v>469</v>
      </c>
      <c r="E90" s="191">
        <v>43077.549212962964</v>
      </c>
      <c r="F90" s="191">
        <v>43077.552349537036</v>
      </c>
      <c r="G90" s="190">
        <v>73</v>
      </c>
      <c r="H90" s="192" t="s">
        <v>648</v>
      </c>
      <c r="I90" s="191">
        <v>43077.576770833337</v>
      </c>
      <c r="J90" s="190">
        <v>0</v>
      </c>
      <c r="K90" s="200" t="str">
        <f t="shared" si="35"/>
        <v>4023/4024</v>
      </c>
      <c r="L90" s="207" t="str">
        <f>VLOOKUP(A90,'Trips&amp;Operators'!$C$1:$G$99911,5,FALSE)</f>
        <v>BRUDER RICHARD</v>
      </c>
      <c r="M90" s="189">
        <f t="shared" si="36"/>
        <v>2.4421296300715767E-2</v>
      </c>
      <c r="N90" s="190">
        <f t="shared" si="52"/>
        <v>35.166666673030704</v>
      </c>
      <c r="O90" s="190"/>
      <c r="P90" s="190"/>
      <c r="Q90" s="193"/>
      <c r="R90" s="205"/>
      <c r="S90" s="235">
        <f t="shared" si="33"/>
        <v>1</v>
      </c>
      <c r="T90" s="236" t="str">
        <f t="shared" si="37"/>
        <v>NorthBound</v>
      </c>
      <c r="U90" s="23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37" t="str">
        <f t="shared" si="38"/>
        <v>https://d0f6bd738d7f1b3e5a7ca70fe4ff75f0.us-east-1.aws.found.io/app/kibana#/discover/Steve-Slow-Train-Analysis-(2080s-and-2083s)?_g=(refreshInterval:(display:Off,pause:!f,section:0,value:0),time:(from:'2017-12-08T12:10:52-0700',mode:absolute,to:'2017-12-08T14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238" t="str">
        <f>IF(AA90&lt;VLOOKUP(AG90,Variables!$AC$3:$AD$8,2,FALSE),"Y","N")</f>
        <v>N</v>
      </c>
      <c r="X90" s="238">
        <f t="shared" si="39"/>
        <v>1</v>
      </c>
      <c r="Y90" s="238">
        <f t="shared" si="40"/>
        <v>5.28E-2</v>
      </c>
      <c r="Z90" s="238">
        <f t="shared" si="41"/>
        <v>23.3203</v>
      </c>
      <c r="AA90" s="238">
        <f t="shared" si="42"/>
        <v>23.267499999999998</v>
      </c>
      <c r="AB90" s="242" t="e">
        <f>VLOOKUP(A90,Enforcements!$C$7:$K$9,8,0)</f>
        <v>#N/A</v>
      </c>
      <c r="AC90" s="242" t="e">
        <f>VLOOKUP(A90,Enforcements!$C$7:$E$9,3,0)</f>
        <v>#N/A</v>
      </c>
      <c r="AD90" s="243">
        <f t="shared" si="43"/>
        <v>177</v>
      </c>
      <c r="AE90" s="198" t="str">
        <f t="shared" si="44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90" s="197" t="str">
        <f t="shared" si="45"/>
        <v>"C:\Program Files (x86)\AstroGrep\AstroGrep.exe" /e /r /s /spath="%USERPROFILE%\AppData\Local\Temp\OnboardLogs" /stypes="app*4024*20171208*" /stext=" 20:.+((SYSTEM_STATE.+slice.+state.+changed )|(ment ac)|(multiple cpu faults)|(system.+state.+changed )|(\[timeout)|(PRM\|1\|D)|(kpr)|(kdp)|(train st.+moving)|(\|lc)|(penalty))"</v>
      </c>
      <c r="AG90" s="206" t="str">
        <f t="shared" si="46"/>
        <v>EC</v>
      </c>
      <c r="AH90" s="199" t="str">
        <f t="shared" si="47"/>
        <v>"%USERPROFILE%\Documents\GitHub\eaglep3\Utilities\RefineRTDCRunTimes.py" --tripid 177-08 --locoid 4024 --swversion DE.1.0.9.0 --startMP 204:528 --initTime 2017-12-08T13:10:52 --startdatetime 2017-12-08T13:15:23 --delay 73 --endMP 204:233203 --enddatetime 2017-12-08T13:50:33 --enforcementcount 0 &gt;&gt;%USERPROFILE%\Documents\GitHub\eaglep3-reporting\EC\2017-12-08-refined-times.txt</v>
      </c>
      <c r="AI9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{"issue":{"subject":"","project_id":79,"tracker_id":40,"status_id":1,"priority_id":2,"assigned_to_id":338,"start_date":"2017-12-08","description":"","custom_fields":[{"id":1,"name":"Subdivision","value":"EC"},{"id":4,"name":"Milepost","value":"23.3203"},{"id":17,"name":"Train ID","value":"177-08"},{"id":16,"name":"Locomotive ID","value":"4024"},{"id":130,"name":"Impact","value":""},{"id":150,"name":"Time of Event (Mountain Time)","value":"13:50:33"},{"id":151,"name":"Denver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8"/>
      <c r="AK90" s="196"/>
      <c r="AL90" s="196"/>
      <c r="AM90" s="203" t="str">
        <f t="shared" si="49"/>
        <v>start /low /b %USERPROFILE%\Documents\GitHub\eaglep3\Utilities\DownloadLogsFromS3.py --loco 4024 --day 2017-12-08</v>
      </c>
      <c r="AN90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95" t="str">
        <f t="shared" si="51"/>
        <v>https://d0f6bd738d7f1b3e5a7ca70fe4ff75f0.us-east-1.aws.found.io/app/kibana#/discover/Steve-Slow-Train-Analysis-(2080s-and-2083s)?_g=(refreshInterval:(display:Off,pause:!f,section:0,value:0),time:(from:'2017-12-08T12:10:52-0700',mode:absolute,to:'2017-12-08T14:50:33-0700'))&amp;_a=(columns:!('Message%20ID',Summary),filters:!(),index:'emp_*',interval:auto,query:(query_string:(analyze_wildcard:!t,query:'%22rtdc.l.rtdc.4024%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194" t="s">
        <v>823</v>
      </c>
      <c r="B91" s="190">
        <v>4023</v>
      </c>
      <c r="C91" s="192" t="s">
        <v>191</v>
      </c>
      <c r="D91" s="192" t="s">
        <v>979</v>
      </c>
      <c r="E91" s="191">
        <v>43077.588726851849</v>
      </c>
      <c r="F91" s="191">
        <v>43077.591863425929</v>
      </c>
      <c r="G91" s="190">
        <v>63</v>
      </c>
      <c r="H91" s="192" t="s">
        <v>502</v>
      </c>
      <c r="I91" s="191">
        <v>43077.618368055555</v>
      </c>
      <c r="J91" s="190">
        <v>0</v>
      </c>
      <c r="K91" s="200" t="str">
        <f t="shared" si="35"/>
        <v>4023/4024</v>
      </c>
      <c r="L91" s="207" t="str">
        <f>VLOOKUP(A91,'Trips&amp;Operators'!$C$1:$G$99911,5,FALSE)</f>
        <v>BRUDER RICHARD</v>
      </c>
      <c r="M91" s="189">
        <f t="shared" si="36"/>
        <v>2.6504629626288079E-2</v>
      </c>
      <c r="N91" s="190">
        <f t="shared" si="52"/>
        <v>38.166666661854833</v>
      </c>
      <c r="O91" s="190"/>
      <c r="P91" s="190"/>
      <c r="Q91" s="193"/>
      <c r="R91" s="205"/>
      <c r="S91" s="235">
        <f t="shared" si="33"/>
        <v>1</v>
      </c>
      <c r="T91" s="236" t="str">
        <f t="shared" si="37"/>
        <v>Southbound</v>
      </c>
      <c r="U91" s="23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37" t="str">
        <f t="shared" si="38"/>
        <v>https://d0f6bd738d7f1b3e5a7ca70fe4ff75f0.us-east-1.aws.found.io/app/kibana#/discover/Steve-Slow-Train-Analysis-(2080s-and-2083s)?_g=(refreshInterval:(display:Off,pause:!f,section:0,value:0),time:(from:'2017-12-08T13:07:46-0700',mode:absolute,to:'2017-12-08T15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238" t="str">
        <f>IF(AA91&lt;VLOOKUP(AG91,Variables!$AC$3:$AD$8,2,FALSE),"Y","N")</f>
        <v>N</v>
      </c>
      <c r="X91" s="238">
        <f t="shared" si="39"/>
        <v>1</v>
      </c>
      <c r="Y91" s="238">
        <f t="shared" si="40"/>
        <v>23.288399999999999</v>
      </c>
      <c r="Z91" s="238">
        <f t="shared" si="41"/>
        <v>2.23E-2</v>
      </c>
      <c r="AA91" s="238">
        <f t="shared" si="42"/>
        <v>23.266099999999998</v>
      </c>
      <c r="AB91" s="242" t="e">
        <f>VLOOKUP(A91,Enforcements!$C$7:$K$9,8,0)</f>
        <v>#N/A</v>
      </c>
      <c r="AC91" s="242" t="e">
        <f>VLOOKUP(A91,Enforcements!$C$7:$E$9,3,0)</f>
        <v>#N/A</v>
      </c>
      <c r="AD91" s="243">
        <f t="shared" si="43"/>
        <v>178</v>
      </c>
      <c r="AE91" s="198" t="str">
        <f t="shared" si="44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91" s="197" t="str">
        <f t="shared" si="45"/>
        <v>"C:\Program Files (x86)\AstroGrep\AstroGrep.exe" /e /r /s /spath="%USERPROFILE%\AppData\Local\Temp\OnboardLogs" /stypes="app*4023*20171208*" /stext=" 21:.+((SYSTEM_STATE.+slice.+state.+changed )|(ment ac)|(multiple cpu faults)|(system.+state.+changed )|(\[timeout)|(PRM\|1\|D)|(kpr)|(kdp)|(train st.+moving)|(\|lc)|(penalty))"</v>
      </c>
      <c r="AG91" s="206" t="str">
        <f t="shared" si="46"/>
        <v>EC</v>
      </c>
      <c r="AH91" s="199" t="str">
        <f t="shared" si="47"/>
        <v>"%USERPROFILE%\Documents\GitHub\eaglep3\Utilities\RefineRTDCRunTimes.py" --tripid 178-08 --locoid 4023 --swversion DE.1.0.9.0 --startMP 204:232884 --initTime 2017-12-08T14:07:46 --startdatetime 2017-12-08T14:12:17 --delay 63 --endMP 204:223 --enddatetime 2017-12-08T14:50:27 --enforcementcount 0 &gt;&gt;%USERPROFILE%\Documents\GitHub\eaglep3-reporting\EC\2017-12-08-refined-times.txt</v>
      </c>
      <c r="AI9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{"issue":{"subject":"","project_id":79,"tracker_id":40,"status_id":1,"priority_id":2,"assigned_to_id":338,"start_date":"2017-12-08","description":"","custom_fields":[{"id":1,"name":"Subdivision","value":"EC"},{"id":4,"name":"Milepost","value":"0.0223"},{"id":17,"name":"Train ID","value":"178-08"},{"id":16,"name":"Locomotive ID","value":"4023"},{"id":130,"name":"Impact","value":""},{"id":150,"name":"Time of Event (Mountain Time)","value":"14:50:27"},{"id":151,"name":"Denver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8"/>
      <c r="AK91" s="196"/>
      <c r="AL91" s="196"/>
      <c r="AM91" s="203" t="str">
        <f t="shared" si="49"/>
        <v>start /low /b %USERPROFILE%\Documents\GitHub\eaglep3\Utilities\DownloadLogsFromS3.py --loco 4023 --day 2017-12-08</v>
      </c>
      <c r="AN91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95" t="str">
        <f t="shared" si="51"/>
        <v>https://d0f6bd738d7f1b3e5a7ca70fe4ff75f0.us-east-1.aws.found.io/app/kibana#/discover/Steve-Slow-Train-Analysis-(2080s-and-2083s)?_g=(refreshInterval:(display:Off,pause:!f,section:0,value:0),time:(from:'2017-12-08T13:07:46-0700',mode:absolute,to:'2017-12-08T15:50:27-0700'))&amp;_a=(columns:!('Message%20ID',Summary),filters:!(),index:'emp_*',interval:auto,query:(query_string:(analyze_wildcard:!t,query:'%22rtdc.l.rtdc.4023%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194" t="s">
        <v>816</v>
      </c>
      <c r="B92" s="190">
        <v>4050</v>
      </c>
      <c r="C92" s="192" t="s">
        <v>191</v>
      </c>
      <c r="D92" s="192" t="s">
        <v>616</v>
      </c>
      <c r="E92" s="191">
        <v>43077.560312499998</v>
      </c>
      <c r="F92" s="191">
        <v>43077.562662037039</v>
      </c>
      <c r="G92" s="190">
        <v>50</v>
      </c>
      <c r="H92" s="192" t="s">
        <v>623</v>
      </c>
      <c r="I92" s="191">
        <v>43077.587210648147</v>
      </c>
      <c r="J92" s="190">
        <v>0</v>
      </c>
      <c r="K92" s="200" t="str">
        <f t="shared" si="35"/>
        <v>4049/4050</v>
      </c>
      <c r="L92" s="207" t="str">
        <f>VLOOKUP(A92,'Trips&amp;Operators'!$C$1:$G$99911,5,FALSE)</f>
        <v>GONZALEZ ARMANDO</v>
      </c>
      <c r="M92" s="189">
        <f t="shared" si="36"/>
        <v>2.4548611108912155E-2</v>
      </c>
      <c r="N92" s="190">
        <f t="shared" si="52"/>
        <v>35.349999996833503</v>
      </c>
      <c r="O92" s="190"/>
      <c r="P92" s="190"/>
      <c r="Q92" s="193"/>
      <c r="R92" s="205"/>
      <c r="S92" s="235">
        <f t="shared" si="33"/>
        <v>1</v>
      </c>
      <c r="T92" s="236" t="str">
        <f t="shared" si="37"/>
        <v>NorthBound</v>
      </c>
      <c r="U92" s="23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37" t="str">
        <f t="shared" si="38"/>
        <v>https://d0f6bd738d7f1b3e5a7ca70fe4ff75f0.us-east-1.aws.found.io/app/kibana#/discover/Steve-Slow-Train-Analysis-(2080s-and-2083s)?_g=(refreshInterval:(display:Off,pause:!f,section:0,value:0),time:(from:'2017-12-08T12:26:51-0700',mode:absolute,to:'2017-12-08T15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2" s="238" t="str">
        <f>IF(AA92&lt;VLOOKUP(AG92,Variables!$AC$3:$AD$8,2,FALSE),"Y","N")</f>
        <v>N</v>
      </c>
      <c r="X92" s="238">
        <f t="shared" si="39"/>
        <v>1</v>
      </c>
      <c r="Y92" s="238">
        <f t="shared" si="40"/>
        <v>4.6699999999999998E-2</v>
      </c>
      <c r="Z92" s="238">
        <f t="shared" si="41"/>
        <v>23.331499999999998</v>
      </c>
      <c r="AA92" s="238">
        <f t="shared" si="42"/>
        <v>23.284799999999997</v>
      </c>
      <c r="AB92" s="242" t="e">
        <f>VLOOKUP(A92,Enforcements!$C$7:$K$9,8,0)</f>
        <v>#N/A</v>
      </c>
      <c r="AC92" s="242" t="e">
        <f>VLOOKUP(A92,Enforcements!$C$7:$E$9,3,0)</f>
        <v>#N/A</v>
      </c>
      <c r="AD92" s="243">
        <f t="shared" si="43"/>
        <v>179</v>
      </c>
      <c r="AE92" s="198" t="str">
        <f t="shared" si="44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92" s="197" t="str">
        <f t="shared" si="45"/>
        <v>"C:\Program Files (x86)\AstroGrep\AstroGrep.exe" /e /r /s /spath="%USERPROFILE%\AppData\Local\Temp\OnboardLogs" /stypes="app*4050*20171208*" /stext=" 21:.+((SYSTEM_STATE.+slice.+state.+changed )|(ment ac)|(multiple cpu faults)|(system.+state.+changed )|(\[timeout)|(PRM\|1\|D)|(kpr)|(kdp)|(train st.+moving)|(\|lc)|(penalty))"</v>
      </c>
      <c r="AG92" s="206" t="str">
        <f t="shared" si="46"/>
        <v>EC</v>
      </c>
      <c r="AH92" s="199" t="str">
        <f t="shared" si="47"/>
        <v>"%USERPROFILE%\Documents\GitHub\eaglep3\Utilities\RefineRTDCRunTimes.py" --tripid 179-08 --locoid 4050 --swversion DE.1.0.9.0 --startMP 204:467 --initTime 2017-12-08T13:26:51 --startdatetime 2017-12-08T13:30:14 --delay 50 --endMP 204:233315 --enddatetime 2017-12-08T14:05:35 --enforcementcount 0 &gt;&gt;%USERPROFILE%\Documents\GitHub\eaglep3-reporting\EC\2017-12-08-refined-times.txt</v>
      </c>
      <c r="AI92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{"issue":{"subject":"","project_id":79,"tracker_id":40,"status_id":1,"priority_id":2,"assigned_to_id":338,"start_date":"2017-12-08","description":"","custom_fields":[{"id":1,"name":"Subdivision","value":"EC"},{"id":4,"name":"Milepost","value":"23.3315"},{"id":17,"name":"Train ID","value":"179-08"},{"id":16,"name":"Locomotive ID","value":"4050"},{"id":130,"name":"Impact","value":""},{"id":150,"name":"Time of Event (Mountain Time)","value":"14:05:35"},{"id":151,"name":"Denver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8"/>
      <c r="AK92" s="196"/>
      <c r="AL92" s="196"/>
      <c r="AM92" s="203" t="str">
        <f t="shared" si="49"/>
        <v>start /low /b %USERPROFILE%\Documents\GitHub\eaglep3\Utilities\DownloadLogsFromS3.py --loco 4050 --day 2017-12-08</v>
      </c>
      <c r="AN92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95" t="str">
        <f t="shared" si="51"/>
        <v>https://d0f6bd738d7f1b3e5a7ca70fe4ff75f0.us-east-1.aws.found.io/app/kibana#/discover/Steve-Slow-Train-Analysis-(2080s-and-2083s)?_g=(refreshInterval:(display:Off,pause:!f,section:0,value:0),time:(from:'2017-12-08T12:26:51-0700',mode:absolute,to:'2017-12-08T15:05:35-0700'))&amp;_a=(columns:!('Message%20ID',Summary),filters:!(),index:'emp_*',interval:auto,query:(query_string:(analyze_wildcard:!t,query:'%22rtdc.l.rtdc.4050%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194" t="s">
        <v>825</v>
      </c>
      <c r="B93" s="190">
        <v>4049</v>
      </c>
      <c r="C93" s="192" t="s">
        <v>191</v>
      </c>
      <c r="D93" s="192" t="s">
        <v>632</v>
      </c>
      <c r="E93" s="191">
        <v>43077.596377314818</v>
      </c>
      <c r="F93" s="191">
        <v>43077.602256944447</v>
      </c>
      <c r="G93" s="190">
        <v>54</v>
      </c>
      <c r="H93" s="192" t="s">
        <v>925</v>
      </c>
      <c r="I93" s="191">
        <v>43077.628321759257</v>
      </c>
      <c r="J93" s="190">
        <v>0</v>
      </c>
      <c r="K93" s="200" t="str">
        <f t="shared" si="35"/>
        <v>4049/4050</v>
      </c>
      <c r="L93" s="207" t="str">
        <f>VLOOKUP(A93,'Trips&amp;Operators'!$C$1:$G$99911,5,FALSE)</f>
        <v>GONZALEZ ARMANDO</v>
      </c>
      <c r="M93" s="189">
        <f t="shared" si="36"/>
        <v>2.6064814810524695E-2</v>
      </c>
      <c r="N93" s="190">
        <f t="shared" si="52"/>
        <v>37.53333332715556</v>
      </c>
      <c r="O93" s="190"/>
      <c r="P93" s="190"/>
      <c r="Q93" s="193"/>
      <c r="R93" s="205"/>
      <c r="S93" s="235">
        <f t="shared" si="33"/>
        <v>1</v>
      </c>
      <c r="T93" s="236" t="str">
        <f t="shared" si="37"/>
        <v>Southbound</v>
      </c>
      <c r="U93" s="23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37" t="str">
        <f t="shared" si="38"/>
        <v>https://d0f6bd738d7f1b3e5a7ca70fe4ff75f0.us-east-1.aws.found.io/app/kibana#/discover/Steve-Slow-Train-Analysis-(2080s-and-2083s)?_g=(refreshInterval:(display:Off,pause:!f,section:0,value:0),time:(from:'2017-12-08T13:18:47-0700',mode:absolute,to:'2017-12-08T16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3" s="238" t="str">
        <f>IF(AA93&lt;VLOOKUP(AG93,Variables!$AC$3:$AD$8,2,FALSE),"Y","N")</f>
        <v>N</v>
      </c>
      <c r="X93" s="238">
        <f t="shared" si="39"/>
        <v>1</v>
      </c>
      <c r="Y93" s="238">
        <f t="shared" si="40"/>
        <v>23.300599999999999</v>
      </c>
      <c r="Z93" s="238">
        <f t="shared" si="41"/>
        <v>1.6500000000000001E-2</v>
      </c>
      <c r="AA93" s="238">
        <f t="shared" si="42"/>
        <v>23.284099999999999</v>
      </c>
      <c r="AB93" s="242" t="e">
        <f>VLOOKUP(A93,Enforcements!$C$7:$K$9,8,0)</f>
        <v>#N/A</v>
      </c>
      <c r="AC93" s="242" t="e">
        <f>VLOOKUP(A93,Enforcements!$C$7:$E$9,3,0)</f>
        <v>#N/A</v>
      </c>
      <c r="AD93" s="243">
        <f t="shared" si="43"/>
        <v>180</v>
      </c>
      <c r="AE93" s="198" t="str">
        <f t="shared" si="44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93" s="197" t="str">
        <f t="shared" si="45"/>
        <v>"C:\Program Files (x86)\AstroGrep\AstroGrep.exe" /e /r /s /spath="%USERPROFILE%\AppData\Local\Temp\OnboardLogs" /stypes="app*4049*20171208*" /stext=" 22:.+((SYSTEM_STATE.+slice.+state.+changed )|(ment ac)|(multiple cpu faults)|(system.+state.+changed )|(\[timeout)|(PRM\|1\|D)|(kpr)|(kdp)|(train st.+moving)|(\|lc)|(penalty))"</v>
      </c>
      <c r="AG93" s="206" t="str">
        <f t="shared" si="46"/>
        <v>EC</v>
      </c>
      <c r="AH93" s="199" t="str">
        <f t="shared" si="47"/>
        <v>"%USERPROFILE%\Documents\GitHub\eaglep3\Utilities\RefineRTDCRunTimes.py" --tripid 180-08 --locoid 4049 --swversion DE.1.0.9.0 --startMP 204:233006 --initTime 2017-12-08T14:18:47 --startdatetime 2017-12-08T14:27:15 --delay 54 --endMP 204:165 --enddatetime 2017-12-08T15:04:47 --enforcementcount 0 &gt;&gt;%USERPROFILE%\Documents\GitHub\eaglep3-reporting\EC\2017-12-08-refined-times.txt</v>
      </c>
      <c r="AI9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{"issue":{"subject":"","project_id":79,"tracker_id":40,"status_id":1,"priority_id":2,"assigned_to_id":338,"start_date":"2017-12-08","description":"","custom_fields":[{"id":1,"name":"Subdivision","value":"EC"},{"id":4,"name":"Milepost","value":"0.0165"},{"id":17,"name":"Train ID","value":"180-08"},{"id":16,"name":"Locomotive ID","value":"4049"},{"id":130,"name":"Impact","value":""},{"id":150,"name":"Time of Event (Mountain Time)","value":"15:04:47"},{"id":151,"name":"Denver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8"/>
      <c r="AK93" s="196"/>
      <c r="AL93" s="196"/>
      <c r="AM93" s="203" t="str">
        <f t="shared" si="49"/>
        <v>start /low /b %USERPROFILE%\Documents\GitHub\eaglep3\Utilities\DownloadLogsFromS3.py --loco 4049 --day 2017-12-08</v>
      </c>
      <c r="AN93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95" t="str">
        <f t="shared" si="51"/>
        <v>https://d0f6bd738d7f1b3e5a7ca70fe4ff75f0.us-east-1.aws.found.io/app/kibana#/discover/Steve-Slow-Train-Analysis-(2080s-and-2083s)?_g=(refreshInterval:(display:Off,pause:!f,section:0,value:0),time:(from:'2017-12-08T13:18:47-0700',mode:absolute,to:'2017-12-08T16:04:47-0700'))&amp;_a=(columns:!('Message%20ID',Summary),filters:!(),index:'emp_*',interval:auto,query:(query_string:(analyze_wildcard:!t,query:'%22rtdc.l.rtdc.4049%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194" t="s">
        <v>818</v>
      </c>
      <c r="B94" s="190">
        <v>4010</v>
      </c>
      <c r="C94" s="192" t="s">
        <v>191</v>
      </c>
      <c r="D94" s="192" t="s">
        <v>453</v>
      </c>
      <c r="E94" s="191">
        <v>43077.567349537036</v>
      </c>
      <c r="F94" s="191">
        <v>43077.573136574072</v>
      </c>
      <c r="G94" s="190">
        <v>109</v>
      </c>
      <c r="H94" s="192" t="s">
        <v>456</v>
      </c>
      <c r="I94" s="191">
        <v>43077.598032407404</v>
      </c>
      <c r="J94" s="190">
        <v>0</v>
      </c>
      <c r="K94" s="200" t="str">
        <f t="shared" si="35"/>
        <v>4009/4010</v>
      </c>
      <c r="L94" s="207" t="str">
        <f>VLOOKUP(A94,'Trips&amp;Operators'!$C$1:$G$99911,5,FALSE)</f>
        <v>STRICKLAND EVAN</v>
      </c>
      <c r="M94" s="189">
        <f t="shared" si="36"/>
        <v>2.4895833332266193E-2</v>
      </c>
      <c r="N94" s="190">
        <f t="shared" si="52"/>
        <v>35.849999998463318</v>
      </c>
      <c r="O94" s="190"/>
      <c r="P94" s="190"/>
      <c r="Q94" s="193"/>
      <c r="R94" s="205"/>
      <c r="S94" s="235">
        <f t="shared" si="33"/>
        <v>1</v>
      </c>
      <c r="T94" s="236" t="str">
        <f t="shared" si="37"/>
        <v>NorthBound</v>
      </c>
      <c r="U94" s="23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37" t="str">
        <f t="shared" si="38"/>
        <v>https://d0f6bd738d7f1b3e5a7ca70fe4ff75f0.us-east-1.aws.found.io/app/kibana#/discover/Steve-Slow-Train-Analysis-(2080s-and-2083s)?_g=(refreshInterval:(display:Off,pause:!f,section:0,value:0),time:(from:'2017-12-08T12:36:59-0700',mode:absolute,to:'2017-12-08T15:21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238" t="str">
        <f>IF(AA94&lt;VLOOKUP(AG94,Variables!$AC$3:$AD$8,2,FALSE),"Y","N")</f>
        <v>N</v>
      </c>
      <c r="X94" s="238">
        <f t="shared" si="39"/>
        <v>1</v>
      </c>
      <c r="Y94" s="238">
        <f t="shared" si="40"/>
        <v>5.1900000000000002E-2</v>
      </c>
      <c r="Z94" s="238">
        <f t="shared" si="41"/>
        <v>23.326599999999999</v>
      </c>
      <c r="AA94" s="238">
        <f t="shared" si="42"/>
        <v>23.274699999999999</v>
      </c>
      <c r="AB94" s="242" t="e">
        <f>VLOOKUP(A94,Enforcements!$C$7:$K$9,8,0)</f>
        <v>#N/A</v>
      </c>
      <c r="AC94" s="242" t="e">
        <f>VLOOKUP(A94,Enforcements!$C$7:$E$9,3,0)</f>
        <v>#N/A</v>
      </c>
      <c r="AD94" s="243">
        <f t="shared" si="43"/>
        <v>181</v>
      </c>
      <c r="AE94" s="198" t="str">
        <f t="shared" si="44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94" s="197" t="str">
        <f t="shared" si="45"/>
        <v>"C:\Program Files (x86)\AstroGrep\AstroGrep.exe" /e /r /s /spath="%USERPROFILE%\AppData\Local\Temp\OnboardLogs" /stypes="app*4010*20171208*" /stext=" 21:.+((SYSTEM_STATE.+slice.+state.+changed )|(ment ac)|(multiple cpu faults)|(system.+state.+changed )|(\[timeout)|(PRM\|1\|D)|(kpr)|(kdp)|(train st.+moving)|(\|lc)|(penalty))"</v>
      </c>
      <c r="AG94" s="206" t="str">
        <f t="shared" si="46"/>
        <v>EC</v>
      </c>
      <c r="AH94" s="199" t="str">
        <f t="shared" si="47"/>
        <v>"%USERPROFILE%\Documents\GitHub\eaglep3\Utilities\RefineRTDCRunTimes.py" --tripid 181-08 --locoid 4010 --swversion DE.1.0.9.0 --startMP 204:519 --initTime 2017-12-08T13:36:59 --startdatetime 2017-12-08T13:45:19 --delay 109 --endMP 204:233266 --enddatetime 2017-12-08T14:21:10 --enforcementcount 0 &gt;&gt;%USERPROFILE%\Documents\GitHub\eaglep3-reporting\EC\2017-12-08-refined-times.txt</v>
      </c>
      <c r="AI9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{"issue":{"subject":"","project_id":79,"tracker_id":40,"status_id":1,"priority_id":2,"assigned_to_id":338,"start_date":"2017-12-08","description":"","custom_fields":[{"id":1,"name":"Subdivision","value":"EC"},{"id":4,"name":"Milepost","value":"23.3266"},{"id":17,"name":"Train ID","value":"181-08"},{"id":16,"name":"Locomotive ID","value":"4010"},{"id":130,"name":"Impact","value":""},{"id":150,"name":"Time of Event (Mountain Time)","value":"14:21:10"},{"id":151,"name":"Denver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8"/>
      <c r="AK94" s="196"/>
      <c r="AL94" s="196"/>
      <c r="AM94" s="203" t="str">
        <f t="shared" si="49"/>
        <v>start /low /b %USERPROFILE%\Documents\GitHub\eaglep3\Utilities\DownloadLogsFromS3.py --loco 4010 --day 2017-12-08</v>
      </c>
      <c r="AN94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95" t="str">
        <f t="shared" si="51"/>
        <v>https://d0f6bd738d7f1b3e5a7ca70fe4ff75f0.us-east-1.aws.found.io/app/kibana#/discover/Steve-Slow-Train-Analysis-(2080s-and-2083s)?_g=(refreshInterval:(display:Off,pause:!f,section:0,value:0),time:(from:'2017-12-08T12:36:59-0700',mode:absolute,to:'2017-12-08T15:21:10-0700'))&amp;_a=(columns:!('Message%20ID',Summary),filters:!(),index:'emp_*',interval:auto,query:(query_string:(analyze_wildcard:!t,query:'%22rtdc.l.rtdc.4010%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194" t="s">
        <v>826</v>
      </c>
      <c r="B95" s="190">
        <v>4009</v>
      </c>
      <c r="C95" s="192" t="s">
        <v>191</v>
      </c>
      <c r="D95" s="192" t="s">
        <v>571</v>
      </c>
      <c r="E95" s="191">
        <v>43077.599502314813</v>
      </c>
      <c r="F95" s="191">
        <v>43077.612847222219</v>
      </c>
      <c r="G95" s="190">
        <v>77</v>
      </c>
      <c r="H95" s="192" t="s">
        <v>658</v>
      </c>
      <c r="I95" s="191">
        <v>43077.639837962961</v>
      </c>
      <c r="J95" s="190">
        <v>0</v>
      </c>
      <c r="K95" s="200" t="str">
        <f t="shared" si="35"/>
        <v>4009/4010</v>
      </c>
      <c r="L95" s="207" t="str">
        <f>VLOOKUP(A95,'Trips&amp;Operators'!$C$1:$G$99911,5,FALSE)</f>
        <v>STRICKLAND EVAN</v>
      </c>
      <c r="M95" s="189">
        <f t="shared" si="36"/>
        <v>2.6990740741894115E-2</v>
      </c>
      <c r="N95" s="190">
        <f t="shared" si="52"/>
        <v>38.866666668327525</v>
      </c>
      <c r="O95" s="190"/>
      <c r="P95" s="190"/>
      <c r="Q95" s="193"/>
      <c r="R95" s="205"/>
      <c r="S95" s="235">
        <f t="shared" si="33"/>
        <v>1</v>
      </c>
      <c r="T95" s="236" t="str">
        <f t="shared" si="37"/>
        <v>Southbound</v>
      </c>
      <c r="U95" s="23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37" t="str">
        <f t="shared" si="38"/>
        <v>https://d0f6bd738d7f1b3e5a7ca70fe4ff75f0.us-east-1.aws.found.io/app/kibana#/discover/Steve-Slow-Train-Analysis-(2080s-and-2083s)?_g=(refreshInterval:(display:Off,pause:!f,section:0,value:0),time:(from:'2017-12-08T13:23:17-0700',mode:absolute,to:'2017-12-08T16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238" t="str">
        <f>IF(AA95&lt;VLOOKUP(AG95,Variables!$AC$3:$AD$8,2,FALSE),"Y","N")</f>
        <v>N</v>
      </c>
      <c r="X95" s="238">
        <f t="shared" si="39"/>
        <v>1</v>
      </c>
      <c r="Y95" s="238">
        <f t="shared" si="40"/>
        <v>23.294</v>
      </c>
      <c r="Z95" s="238">
        <f t="shared" si="41"/>
        <v>1.89E-2</v>
      </c>
      <c r="AA95" s="238">
        <f t="shared" si="42"/>
        <v>23.275100000000002</v>
      </c>
      <c r="AB95" s="242" t="e">
        <f>VLOOKUP(A95,Enforcements!$C$7:$K$9,8,0)</f>
        <v>#N/A</v>
      </c>
      <c r="AC95" s="242" t="e">
        <f>VLOOKUP(A95,Enforcements!$C$7:$E$9,3,0)</f>
        <v>#N/A</v>
      </c>
      <c r="AD95" s="243">
        <f t="shared" si="43"/>
        <v>182</v>
      </c>
      <c r="AE95" s="198" t="str">
        <f t="shared" si="44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95" s="197" t="str">
        <f t="shared" si="45"/>
        <v>"C:\Program Files (x86)\AstroGrep\AstroGrep.exe" /e /r /s /spath="%USERPROFILE%\AppData\Local\Temp\OnboardLogs" /stypes="app*4009*20171208*" /stext=" 22:.+((SYSTEM_STATE.+slice.+state.+changed )|(ment ac)|(multiple cpu faults)|(system.+state.+changed )|(\[timeout)|(PRM\|1\|D)|(kpr)|(kdp)|(train st.+moving)|(\|lc)|(penalty))"</v>
      </c>
      <c r="AG95" s="206" t="str">
        <f t="shared" si="46"/>
        <v>EC</v>
      </c>
      <c r="AH95" s="199" t="str">
        <f t="shared" si="47"/>
        <v>"%USERPROFILE%\Documents\GitHub\eaglep3\Utilities\RefineRTDCRunTimes.py" --tripid 182-08 --locoid 4009 --swversion DE.1.0.9.0 --startMP 204:232940 --initTime 2017-12-08T14:23:17 --startdatetime 2017-12-08T14:42:30 --delay 77 --endMP 204:189 --enddatetime 2017-12-08T15:21:22 --enforcementcount 0 &gt;&gt;%USERPROFILE%\Documents\GitHub\eaglep3-reporting\EC\2017-12-08-refined-times.txt</v>
      </c>
      <c r="AI9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{"issue":{"subject":"","project_id":79,"tracker_id":40,"status_id":1,"priority_id":2,"assigned_to_id":338,"start_date":"2017-12-08","description":"","custom_fields":[{"id":1,"name":"Subdivision","value":"EC"},{"id":4,"name":"Milepost","value":"0.0189"},{"id":17,"name":"Train ID","value":"182-08"},{"id":16,"name":"Locomotive ID","value":"4009"},{"id":130,"name":"Impact","value":""},{"id":150,"name":"Time of Event (Mountain Time)","value":"15:21:22"},{"id":151,"name":"Denver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8"/>
      <c r="AK95" s="196"/>
      <c r="AL95" s="196"/>
      <c r="AM95" s="203" t="str">
        <f t="shared" si="49"/>
        <v>start /low /b %USERPROFILE%\Documents\GitHub\eaglep3\Utilities\DownloadLogsFromS3.py --loco 4009 --day 2017-12-08</v>
      </c>
      <c r="AN95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95" t="str">
        <f t="shared" si="51"/>
        <v>https://d0f6bd738d7f1b3e5a7ca70fe4ff75f0.us-east-1.aws.found.io/app/kibana#/discover/Steve-Slow-Train-Analysis-(2080s-and-2083s)?_g=(refreshInterval:(display:Off,pause:!f,section:0,value:0),time:(from:'2017-12-08T13:23:17-0700',mode:absolute,to:'2017-12-08T16:21:22-0700'))&amp;_a=(columns:!('Message%20ID',Summary),filters:!(),index:'emp_*',interval:auto,query:(query_string:(analyze_wildcard:!t,query:'%22rtdc.l.rtdc.4009%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194" t="s">
        <v>694</v>
      </c>
      <c r="B96" s="190">
        <v>4020</v>
      </c>
      <c r="C96" s="192" t="s">
        <v>191</v>
      </c>
      <c r="D96" s="192" t="s">
        <v>468</v>
      </c>
      <c r="E96" s="191">
        <v>43077.58085648148</v>
      </c>
      <c r="F96" s="191">
        <v>43077.588750000003</v>
      </c>
      <c r="G96" s="190">
        <v>74</v>
      </c>
      <c r="H96" s="192" t="s">
        <v>980</v>
      </c>
      <c r="I96" s="191">
        <v>43077.609120370369</v>
      </c>
      <c r="J96" s="190">
        <v>0</v>
      </c>
      <c r="K96" s="200" t="str">
        <f t="shared" si="35"/>
        <v>4019/4020</v>
      </c>
      <c r="L96" s="207" t="str">
        <f>VLOOKUP(A96,'Trips&amp;Operators'!$C$1:$G$99911,5,FALSE)</f>
        <v>LEVIN SCOTT</v>
      </c>
      <c r="M96" s="189">
        <f t="shared" si="36"/>
        <v>2.0370370366435964E-2</v>
      </c>
      <c r="N96" s="190"/>
      <c r="O96" s="190"/>
      <c r="P96" s="190"/>
      <c r="Q96" s="193"/>
      <c r="R96" s="205"/>
      <c r="S96" s="235"/>
      <c r="T96" s="236" t="str">
        <f t="shared" si="37"/>
        <v>NorthBound</v>
      </c>
      <c r="U96" s="23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237" t="str">
        <f t="shared" si="38"/>
        <v>https://d0f6bd738d7f1b3e5a7ca70fe4ff75f0.us-east-1.aws.found.io/app/kibana#/discover/Steve-Slow-Train-Analysis-(2080s-and-2083s)?_g=(refreshInterval:(display:Off,pause:!f,section:0,value:0),time:(from:'2017-12-08T12:56:26-0700',mode:absolute,to:'2017-12-08T15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6" s="238" t="str">
        <f>IF(AA96&lt;VLOOKUP(AG96,Variables!$AC$3:$AD$8,2,FALSE),"Y","N")</f>
        <v>Y</v>
      </c>
      <c r="X96" s="238">
        <f t="shared" si="39"/>
        <v>1</v>
      </c>
      <c r="Y96" s="238">
        <f t="shared" si="40"/>
        <v>4.6600000000000003E-2</v>
      </c>
      <c r="Z96" s="238">
        <f t="shared" si="41"/>
        <v>0.25750000000000001</v>
      </c>
      <c r="AA96" s="238">
        <f t="shared" si="42"/>
        <v>0.2109</v>
      </c>
      <c r="AB96" s="242" t="e">
        <f>VLOOKUP(A96,Enforcements!$C$7:$K$9,8,0)</f>
        <v>#N/A</v>
      </c>
      <c r="AC96" s="242" t="e">
        <f>VLOOKUP(A96,Enforcements!$C$7:$E$9,3,0)</f>
        <v>#N/A</v>
      </c>
      <c r="AD96" s="243">
        <f t="shared" si="43"/>
        <v>183</v>
      </c>
      <c r="AE96" s="198" t="str">
        <f t="shared" si="44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96" s="197" t="str">
        <f t="shared" si="45"/>
        <v>"C:\Program Files (x86)\AstroGrep\AstroGrep.exe" /e /r /s /spath="%USERPROFILE%\AppData\Local\Temp\OnboardLogs" /stypes="app*4020*20171208*" /stext=" 21:.+((SYSTEM_STATE.+slice.+state.+changed )|(ment ac)|(multiple cpu faults)|(system.+state.+changed )|(\[timeout)|(PRM\|1\|D)|(kpr)|(kdp)|(train st.+moving)|(\|lc)|(penalty))"</v>
      </c>
      <c r="AG96" s="206" t="str">
        <f t="shared" si="46"/>
        <v>EC</v>
      </c>
      <c r="AH96" s="199" t="str">
        <f t="shared" si="47"/>
        <v>"%USERPROFILE%\Documents\GitHub\eaglep3\Utilities\RefineRTDCRunTimes.py" --tripid 183-08 --locoid 4020 --swversion DE.1.0.9.0 --startMP 204:466 --initTime 2017-12-08T13:56:26 --startdatetime 2017-12-08T14:07:48 --delay 74 --endMP 204:2575 --enddatetime 2017-12-08T14:37:08 --enforcementcount 0 &gt;&gt;%USERPROFILE%\Documents\GitHub\eaglep3-reporting\EC\2017-12-08-refined-times.txt</v>
      </c>
      <c r="AI9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{"issue":{"subject":"","project_id":79,"tracker_id":40,"status_id":1,"priority_id":2,"assigned_to_id":338,"start_date":"2017-12-08","description":"","custom_fields":[{"id":1,"name":"Subdivision","value":"EC"},{"id":4,"name":"Milepost","value":"0.2575"},{"id":17,"name":"Train ID","value":"183-08"},{"id":16,"name":"Locomotive ID","value":"4020"},{"id":130,"name":"Impact","value":""},{"id":150,"name":"Time of Event (Mountain Time)","value":"14:37:08"},{"id":151,"name":"Denver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8"/>
      <c r="AK96" s="196"/>
      <c r="AL96" s="196"/>
      <c r="AM96" s="203" t="str">
        <f t="shared" si="49"/>
        <v>start /low /b %USERPROFILE%\Documents\GitHub\eaglep3\Utilities\DownloadLogsFromS3.py --loco 4020 --day 2017-12-08</v>
      </c>
      <c r="AN96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95" t="str">
        <f t="shared" si="51"/>
        <v>https://d0f6bd738d7f1b3e5a7ca70fe4ff75f0.us-east-1.aws.found.io/app/kibana#/discover/Steve-Slow-Train-Analysis-(2080s-and-2083s)?_g=(refreshInterval:(display:Off,pause:!f,section:0,value:0),time:(from:'2017-12-08T12:56:26-0700',mode:absolute,to:'2017-12-08T15:37:08-0700'))&amp;_a=(columns:!('Message%20ID',Summary),filters:!(),index:'emp_*',interval:auto,query:(query_string:(analyze_wildcard:!t,query:'%22rtdc.l.rtdc.4020%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194" t="s">
        <v>694</v>
      </c>
      <c r="B97" s="190">
        <v>4020</v>
      </c>
      <c r="C97" s="192" t="s">
        <v>191</v>
      </c>
      <c r="D97" s="192" t="s">
        <v>981</v>
      </c>
      <c r="E97" s="191">
        <v>43077.58797453704</v>
      </c>
      <c r="F97" s="191">
        <v>43077.588750000003</v>
      </c>
      <c r="G97" s="190">
        <v>39</v>
      </c>
      <c r="H97" s="192" t="s">
        <v>982</v>
      </c>
      <c r="I97" s="191">
        <v>43077.609120370369</v>
      </c>
      <c r="J97" s="190">
        <v>0</v>
      </c>
      <c r="K97" s="200" t="str">
        <f t="shared" si="35"/>
        <v>4019/4020</v>
      </c>
      <c r="L97" s="207" t="str">
        <f>VLOOKUP(A97,'Trips&amp;Operators'!$C$1:$G$99911,5,FALSE)</f>
        <v>LEVIN SCOTT</v>
      </c>
      <c r="M97" s="189">
        <f t="shared" si="36"/>
        <v>2.0370370366435964E-2</v>
      </c>
      <c r="N97" s="190"/>
      <c r="O97" s="190"/>
      <c r="P97" s="190">
        <f>24*60*SUM($M97:$M97)</f>
        <v>29.333333327667788</v>
      </c>
      <c r="Q97" s="193"/>
      <c r="R97" s="205" t="s">
        <v>1109</v>
      </c>
      <c r="S97" s="235">
        <f t="shared" ref="S97:S133" si="53">1/IF(AG97="EC",12,1)*SUM(U97:U97)</f>
        <v>1</v>
      </c>
      <c r="T97" s="236" t="str">
        <f t="shared" si="37"/>
        <v>NorthBound</v>
      </c>
      <c r="U97" s="23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37" t="str">
        <f t="shared" si="38"/>
        <v>https://d0f6bd738d7f1b3e5a7ca70fe4ff75f0.us-east-1.aws.found.io/app/kibana#/discover/Steve-Slow-Train-Analysis-(2080s-and-2083s)?_g=(refreshInterval:(display:Off,pause:!f,section:0,value:0),time:(from:'2017-12-08T13:06:41-0700',mode:absolute,to:'2017-12-08T15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238" t="str">
        <f>IF(AA97&lt;VLOOKUP(AG97,Variables!$AC$3:$AD$8,2,FALSE),"Y","N")</f>
        <v>Y</v>
      </c>
      <c r="X97" s="238">
        <f t="shared" si="39"/>
        <v>0</v>
      </c>
      <c r="Y97" s="238">
        <f t="shared" si="40"/>
        <v>2.0644999999999998</v>
      </c>
      <c r="Z97" s="238">
        <f t="shared" si="41"/>
        <v>23.330400000000001</v>
      </c>
      <c r="AA97" s="238">
        <f t="shared" si="42"/>
        <v>21.265900000000002</v>
      </c>
      <c r="AB97" s="242" t="e">
        <f>VLOOKUP(A97,Enforcements!$C$7:$K$9,8,0)</f>
        <v>#N/A</v>
      </c>
      <c r="AC97" s="242" t="e">
        <f>VLOOKUP(A97,Enforcements!$C$7:$E$9,3,0)</f>
        <v>#N/A</v>
      </c>
      <c r="AD97" s="243">
        <f t="shared" si="43"/>
        <v>183</v>
      </c>
      <c r="AE97" s="198" t="str">
        <f t="shared" si="44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97" s="197" t="str">
        <f t="shared" si="45"/>
        <v>"C:\Program Files (x86)\AstroGrep\AstroGrep.exe" /e /r /s /spath="%USERPROFILE%\AppData\Local\Temp\OnboardLogs" /stypes="app*4020*20171208*" /stext=" 21:.+((SYSTEM_STATE.+slice.+state.+changed )|(ment ac)|(multiple cpu faults)|(system.+state.+changed )|(\[timeout)|(PRM\|1\|D)|(kpr)|(kdp)|(train st.+moving)|(\|lc)|(penalty))"</v>
      </c>
      <c r="AG97" s="206" t="str">
        <f t="shared" si="46"/>
        <v>EC</v>
      </c>
      <c r="AH97" s="199" t="str">
        <f t="shared" si="47"/>
        <v>"%USERPROFILE%\Documents\GitHub\eaglep3\Utilities\RefineRTDCRunTimes.py" --tripid 183-08 --locoid 4020 --swversion DE.1.0.9.0 --startMP 204:20645 --initTime 2017-12-08T14:06:41 --startdatetime 2017-12-08T14:07:48 --delay 39 --endMP 204:233304 --enddatetime 2017-12-08T14:37:08 --enforcementcount 0 &gt;&gt;%USERPROFILE%\Documents\GitHub\eaglep3-reporting\EC\2017-12-08-refined-times.txt</v>
      </c>
      <c r="AI97" s="201" t="str">
        <f t="shared" si="48"/>
        <v>echo {"issue":{"subject":"Premature downgrade @ DUS 20N (likely UPS issue)","project_id":79,"tracker_id":40,"status_id":1,"priority_id":2,"assigned_to_id":338,"start_date":"2017-12-08","description":"","custom_fields":[{"id":1,"name":"Subdivision","value":"EC"},{"id":4,"name":"Milepost","value":"23.3304"},{"id":17,"name":"Train ID","value":"183-08"},{"id":16,"name":"Locomotive ID","value":"4020"},{"id":130,"name":"Impact","value":""},{"id":150,"name":"Time of Event (Mountain Time)","value":"14:37:08"},{"id":151,"name":"Denver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8"/>
      <c r="AK97" s="196"/>
      <c r="AL97" s="196"/>
      <c r="AM97" s="203" t="str">
        <f t="shared" si="49"/>
        <v>start /low /b %USERPROFILE%\Documents\GitHub\eaglep3\Utilities\DownloadLogsFromS3.py --loco 4020 --day 2017-12-08</v>
      </c>
      <c r="AN97" s="204" t="str">
        <f t="shared" si="50"/>
        <v>echo {"issue":{"subject":"Premature downgrade @ DUS 20N (likely UPS issue)","project_id":30,"tracker_id":4,"status_id":1,"priority_id":1,"assigned_to_id":10,"start_date":"2017-12-08","description":"","custom_fields":[{"id":30,"name":"Category","value":"Issue"},{"id":3,"name":"Functional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95" t="str">
        <f t="shared" si="51"/>
        <v>https://d0f6bd738d7f1b3e5a7ca70fe4ff75f0.us-east-1.aws.found.io/app/kibana#/discover/Steve-Slow-Train-Analysis-(2080s-and-2083s)?_g=(refreshInterval:(display:Off,pause:!f,section:0,value:0),time:(from:'2017-12-08T13:06:41-0700',mode:absolute,to:'2017-12-08T15:37:08-0700'))&amp;_a=(columns:!('Message%20ID',Summary),filters:!(),index:'emp_*',interval:auto,query:(query_string:(analyze_wildcard:!t,query:'%22rtdc.l.rtdc.4020%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194" t="s">
        <v>829</v>
      </c>
      <c r="B98" s="190">
        <v>4019</v>
      </c>
      <c r="C98" s="192" t="s">
        <v>191</v>
      </c>
      <c r="D98" s="192" t="s">
        <v>983</v>
      </c>
      <c r="E98" s="191">
        <v>43077.61414351852</v>
      </c>
      <c r="F98" s="191">
        <v>43077.623645833337</v>
      </c>
      <c r="G98" s="190">
        <v>54</v>
      </c>
      <c r="H98" s="192" t="s">
        <v>585</v>
      </c>
      <c r="I98" s="191">
        <v>43077.650243055556</v>
      </c>
      <c r="J98" s="190">
        <v>0</v>
      </c>
      <c r="K98" s="200" t="str">
        <f t="shared" si="35"/>
        <v>4019/4020</v>
      </c>
      <c r="L98" s="207" t="str">
        <f>VLOOKUP(A98,'Trips&amp;Operators'!$C$1:$G$99911,5,FALSE)</f>
        <v>LEVIN SCOTT</v>
      </c>
      <c r="M98" s="189">
        <f t="shared" si="36"/>
        <v>2.6597222218697425E-2</v>
      </c>
      <c r="N98" s="190">
        <f t="shared" ref="N98:N111" si="54">24*60*SUM($M98:$M98)</f>
        <v>38.299999994924292</v>
      </c>
      <c r="O98" s="190"/>
      <c r="P98" s="190"/>
      <c r="Q98" s="193"/>
      <c r="R98" s="205"/>
      <c r="S98" s="235">
        <f t="shared" si="53"/>
        <v>1</v>
      </c>
      <c r="T98" s="236" t="str">
        <f t="shared" si="37"/>
        <v>Southbound</v>
      </c>
      <c r="U98" s="23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37" t="str">
        <f t="shared" si="38"/>
        <v>https://d0f6bd738d7f1b3e5a7ca70fe4ff75f0.us-east-1.aws.found.io/app/kibana#/discover/Steve-Slow-Train-Analysis-(2080s-and-2083s)?_g=(refreshInterval:(display:Off,pause:!f,section:0,value:0),time:(from:'2017-12-08T13:44:22-0700',mode:absolute,to:'2017-12-08T16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238" t="str">
        <f>IF(AA98&lt;VLOOKUP(AG98,Variables!$AC$3:$AD$8,2,FALSE),"Y","N")</f>
        <v>N</v>
      </c>
      <c r="X98" s="238">
        <f t="shared" si="39"/>
        <v>1</v>
      </c>
      <c r="Y98" s="238">
        <f t="shared" si="40"/>
        <v>23.3004</v>
      </c>
      <c r="Z98" s="238">
        <f t="shared" si="41"/>
        <v>1.47E-2</v>
      </c>
      <c r="AA98" s="238">
        <f t="shared" si="42"/>
        <v>23.285699999999999</v>
      </c>
      <c r="AB98" s="242" t="e">
        <f>VLOOKUP(A98,Enforcements!$C$7:$K$9,8,0)</f>
        <v>#N/A</v>
      </c>
      <c r="AC98" s="242" t="e">
        <f>VLOOKUP(A98,Enforcements!$C$7:$E$9,3,0)</f>
        <v>#N/A</v>
      </c>
      <c r="AD98" s="243">
        <f t="shared" si="43"/>
        <v>184</v>
      </c>
      <c r="AE98" s="198" t="str">
        <f t="shared" si="44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98" s="197" t="str">
        <f t="shared" si="45"/>
        <v>"C:\Program Files (x86)\AstroGrep\AstroGrep.exe" /e /r /s /spath="%USERPROFILE%\AppData\Local\Temp\OnboardLogs" /stypes="app*4019*20171208*" /stext=" 22:.+((SYSTEM_STATE.+slice.+state.+changed )|(ment ac)|(multiple cpu faults)|(system.+state.+changed )|(\[timeout)|(PRM\|1\|D)|(kpr)|(kdp)|(train st.+moving)|(\|lc)|(penalty))"</v>
      </c>
      <c r="AG98" s="206" t="str">
        <f t="shared" si="46"/>
        <v>EC</v>
      </c>
      <c r="AH98" s="199" t="str">
        <f t="shared" si="47"/>
        <v>"%USERPROFILE%\Documents\GitHub\eaglep3\Utilities\RefineRTDCRunTimes.py" --tripid 184-08 --locoid 4019 --swversion DE.1.0.9.0 --startMP 204:233004 --initTime 2017-12-08T14:44:22 --startdatetime 2017-12-08T14:58:03 --delay 54 --endMP 204:147 --enddatetime 2017-12-08T15:36:21 --enforcementcount 0 &gt;&gt;%USERPROFILE%\Documents\GitHub\eaglep3-reporting\EC\2017-12-08-refined-times.txt</v>
      </c>
      <c r="AI9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{"issue":{"subject":"","project_id":79,"tracker_id":40,"status_id":1,"priority_id":2,"assigned_to_id":338,"start_date":"2017-12-08","description":"","custom_fields":[{"id":1,"name":"Subdivision","value":"EC"},{"id":4,"name":"Milepost","value":"0.0147"},{"id":17,"name":"Train ID","value":"184-08"},{"id":16,"name":"Locomotive ID","value":"4019"},{"id":130,"name":"Impact","value":""},{"id":150,"name":"Time of Event (Mountain Time)","value":"15:36:21"},{"id":151,"name":"Denver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8"/>
      <c r="AK98" s="196"/>
      <c r="AL98" s="196"/>
      <c r="AM98" s="203" t="str">
        <f t="shared" si="49"/>
        <v>start /low /b %USERPROFILE%\Documents\GitHub\eaglep3\Utilities\DownloadLogsFromS3.py --loco 4019 --day 2017-12-08</v>
      </c>
      <c r="AN98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95" t="str">
        <f t="shared" si="51"/>
        <v>https://d0f6bd738d7f1b3e5a7ca70fe4ff75f0.us-east-1.aws.found.io/app/kibana#/discover/Steve-Slow-Train-Analysis-(2080s-and-2083s)?_g=(refreshInterval:(display:Off,pause:!f,section:0,value:0),time:(from:'2017-12-08T13:44:22-0700',mode:absolute,to:'2017-12-08T16:36:21-0700'))&amp;_a=(columns:!('Message%20ID',Summary),filters:!(),index:'emp_*',interval:auto,query:(query_string:(analyze_wildcard:!t,query:'%22rtdc.l.rtdc.4019%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194" t="s">
        <v>824</v>
      </c>
      <c r="B99" s="190">
        <v>4032</v>
      </c>
      <c r="C99" s="192" t="s">
        <v>191</v>
      </c>
      <c r="D99" s="192" t="s">
        <v>653</v>
      </c>
      <c r="E99" s="191">
        <v>43077.590925925928</v>
      </c>
      <c r="F99" s="191">
        <v>43077.593935185185</v>
      </c>
      <c r="G99" s="190">
        <v>65</v>
      </c>
      <c r="H99" s="192" t="s">
        <v>568</v>
      </c>
      <c r="I99" s="191">
        <v>43077.62059027778</v>
      </c>
      <c r="J99" s="190">
        <v>0</v>
      </c>
      <c r="K99" s="200" t="str">
        <f t="shared" si="35"/>
        <v>4031/4032</v>
      </c>
      <c r="L99" s="207" t="str">
        <f>VLOOKUP(A99,'Trips&amp;Operators'!$C$1:$G$99911,5,FALSE)</f>
        <v>BADERTSCHER DIANE</v>
      </c>
      <c r="M99" s="189">
        <f t="shared" si="36"/>
        <v>2.6655092595319729E-2</v>
      </c>
      <c r="N99" s="190">
        <f t="shared" si="54"/>
        <v>38.38333333726041</v>
      </c>
      <c r="O99" s="190"/>
      <c r="P99" s="190"/>
      <c r="Q99" s="193"/>
      <c r="R99" s="205" t="s">
        <v>1112</v>
      </c>
      <c r="S99" s="235">
        <f t="shared" si="53"/>
        <v>1</v>
      </c>
      <c r="T99" s="236" t="str">
        <f t="shared" si="37"/>
        <v>NorthBound</v>
      </c>
      <c r="U99" s="23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37" t="str">
        <f t="shared" si="38"/>
        <v>https://d0f6bd738d7f1b3e5a7ca70fe4ff75f0.us-east-1.aws.found.io/app/kibana#/discover/Steve-Slow-Train-Analysis-(2080s-and-2083s)?_g=(refreshInterval:(display:Off,pause:!f,section:0,value:0),time:(from:'2017-12-08T13:10:56-0700',mode:absolute,to:'2017-12-08T15:53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238" t="str">
        <f>IF(AA99&lt;VLOOKUP(AG99,Variables!$AC$3:$AD$8,2,FALSE),"Y","N")</f>
        <v>N</v>
      </c>
      <c r="X99" s="238">
        <f t="shared" si="39"/>
        <v>1</v>
      </c>
      <c r="Y99" s="238">
        <f t="shared" si="40"/>
        <v>5.5300000000000002E-2</v>
      </c>
      <c r="Z99" s="238">
        <f t="shared" si="41"/>
        <v>23.329499999999999</v>
      </c>
      <c r="AA99" s="238">
        <f t="shared" si="42"/>
        <v>23.2742</v>
      </c>
      <c r="AB99" s="242" t="e">
        <f>VLOOKUP(A99,Enforcements!$C$7:$K$9,8,0)</f>
        <v>#N/A</v>
      </c>
      <c r="AC99" s="242" t="e">
        <f>VLOOKUP(A99,Enforcements!$C$7:$E$9,3,0)</f>
        <v>#N/A</v>
      </c>
      <c r="AD99" s="243">
        <f t="shared" si="43"/>
        <v>185</v>
      </c>
      <c r="AE99" s="198" t="str">
        <f t="shared" si="44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99" s="197" t="str">
        <f t="shared" si="45"/>
        <v>"C:\Program Files (x86)\AstroGrep\AstroGrep.exe" /e /r /s /spath="%USERPROFILE%\AppData\Local\Temp\OnboardLogs" /stypes="app*4032*20171208*" /stext=" 21:.+((SYSTEM_STATE.+slice.+state.+changed )|(ment ac)|(multiple cpu faults)|(system.+state.+changed )|(\[timeout)|(PRM\|1\|D)|(kpr)|(kdp)|(train st.+moving)|(\|lc)|(penalty))"</v>
      </c>
      <c r="AG99" s="206" t="str">
        <f t="shared" si="46"/>
        <v>EC</v>
      </c>
      <c r="AH99" s="199" t="str">
        <f t="shared" si="47"/>
        <v>"%USERPROFILE%\Documents\GitHub\eaglep3\Utilities\RefineRTDCRunTimes.py" --tripid 185-08 --locoid 4032 --swversion DE.1.0.9.0 --startMP 204:553 --initTime 2017-12-08T14:10:56 --startdatetime 2017-12-08T14:15:16 --delay 65 --endMP 204:233295 --enddatetime 2017-12-08T14:53:39 --enforcementcount 0 &gt;&gt;%USERPROFILE%\Documents\GitHub\eaglep3-reporting\EC\2017-12-08-refined-times.txt</v>
      </c>
      <c r="AI99" s="201" t="str">
        <f t="shared" si="48"/>
        <v>echo {"issue":{"subject":"Delayed by ATC issue (no issues found in PTC) (58259)","project_id":79,"tracker_id":40,"status_id":1,"priority_id":2,"assigned_to_id":338,"start_date":"2017-12-08","description":"","custom_fields":[{"id":1,"name":"Subdivision","value":"EC"},{"id":4,"name":"Milepost","value":"23.3295"},{"id":17,"name":"Train ID","value":"185-08"},{"id":16,"name":"Locomotive ID","value":"4032"},{"id":130,"name":"Impact","value":""},{"id":150,"name":"Time of Event (Mountain Time)","value":"14:53:39"},{"id":151,"name":"Denver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8"/>
      <c r="AK99" s="196"/>
      <c r="AL99" s="196"/>
      <c r="AM99" s="203" t="str">
        <f t="shared" si="49"/>
        <v>start /low /b %USERPROFILE%\Documents\GitHub\eaglep3\Utilities\DownloadLogsFromS3.py --loco 4032 --day 2017-12-08</v>
      </c>
      <c r="AN99" s="204" t="str">
        <f t="shared" si="50"/>
        <v>echo {"issue":{"subject":"Delayed by ATC issue (no issues found in PTC) (58259)","project_id":30,"tracker_id":4,"status_id":1,"priority_id":1,"assigned_to_id":10,"start_date":"2017-12-08","description":"","custom_fields":[{"id":30,"name":"Category","value":"Issue"},{"id":3,"name":"Functional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95" t="str">
        <f t="shared" si="51"/>
        <v>https://d0f6bd738d7f1b3e5a7ca70fe4ff75f0.us-east-1.aws.found.io/app/kibana#/discover/Steve-Slow-Train-Analysis-(2080s-and-2083s)?_g=(refreshInterval:(display:Off,pause:!f,section:0,value:0),time:(from:'2017-12-08T13:10:56-0700',mode:absolute,to:'2017-12-08T15:53:39-0700'))&amp;_a=(columns:!('Message%20ID',Summary),filters:!(),index:'emp_*',interval:auto,query:(query_string:(analyze_wildcard:!t,query:'%22rtdc.l.rtdc.4032%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194" t="s">
        <v>831</v>
      </c>
      <c r="B100" s="190">
        <v>4031</v>
      </c>
      <c r="C100" s="192" t="s">
        <v>191</v>
      </c>
      <c r="D100" s="192" t="s">
        <v>984</v>
      </c>
      <c r="E100" s="191">
        <v>43077.627152777779</v>
      </c>
      <c r="F100" s="191">
        <v>43077.633506944447</v>
      </c>
      <c r="G100" s="190">
        <v>82</v>
      </c>
      <c r="H100" s="192" t="s">
        <v>665</v>
      </c>
      <c r="I100" s="191">
        <v>43077.66064814815</v>
      </c>
      <c r="J100" s="190">
        <v>0</v>
      </c>
      <c r="K100" s="200" t="str">
        <f t="shared" si="35"/>
        <v>4031/4032</v>
      </c>
      <c r="L100" s="207" t="str">
        <f>VLOOKUP(A100,'Trips&amp;Operators'!$C$1:$G$99911,5,FALSE)</f>
        <v>BADERTSCHER DIANE</v>
      </c>
      <c r="M100" s="189">
        <f t="shared" si="36"/>
        <v>2.7141203703649808E-2</v>
      </c>
      <c r="N100" s="190">
        <f t="shared" si="54"/>
        <v>39.083333333255723</v>
      </c>
      <c r="O100" s="190"/>
      <c r="P100" s="190"/>
      <c r="Q100" s="193"/>
      <c r="R100" s="205"/>
      <c r="S100" s="235">
        <f t="shared" si="53"/>
        <v>1</v>
      </c>
      <c r="T100" s="236" t="str">
        <f t="shared" si="37"/>
        <v>Southbound</v>
      </c>
      <c r="U100" s="23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37" t="str">
        <f t="shared" si="38"/>
        <v>https://d0f6bd738d7f1b3e5a7ca70fe4ff75f0.us-east-1.aws.found.io/app/kibana#/discover/Steve-Slow-Train-Analysis-(2080s-and-2083s)?_g=(refreshInterval:(display:Off,pause:!f,section:0,value:0),time:(from:'2017-12-08T14:03:06-0700',mode:absolute,to:'2017-12-08T16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238" t="str">
        <f>IF(AA100&lt;VLOOKUP(AG100,Variables!$AC$3:$AD$8,2,FALSE),"Y","N")</f>
        <v>N</v>
      </c>
      <c r="X100" s="238">
        <f t="shared" si="39"/>
        <v>1</v>
      </c>
      <c r="Y100" s="238">
        <f t="shared" si="40"/>
        <v>23.296500000000002</v>
      </c>
      <c r="Z100" s="238">
        <f t="shared" si="41"/>
        <v>2.2700000000000001E-2</v>
      </c>
      <c r="AA100" s="238">
        <f t="shared" si="42"/>
        <v>23.273800000000001</v>
      </c>
      <c r="AB100" s="242" t="e">
        <f>VLOOKUP(A100,Enforcements!$C$7:$K$9,8,0)</f>
        <v>#N/A</v>
      </c>
      <c r="AC100" s="242" t="e">
        <f>VLOOKUP(A100,Enforcements!$C$7:$E$9,3,0)</f>
        <v>#N/A</v>
      </c>
      <c r="AD100" s="243">
        <f t="shared" si="43"/>
        <v>186</v>
      </c>
      <c r="AE100" s="198" t="str">
        <f t="shared" si="44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00" s="197" t="str">
        <f t="shared" si="45"/>
        <v>"C:\Program Files (x86)\AstroGrep\AstroGrep.exe" /e /r /s /spath="%USERPROFILE%\AppData\Local\Temp\OnboardLogs" /stypes="app*4031*20171208*" /stext=" 22:.+((SYSTEM_STATE.+slice.+state.+changed )|(ment ac)|(multiple cpu faults)|(system.+state.+changed )|(\[timeout)|(PRM\|1\|D)|(kpr)|(kdp)|(train st.+moving)|(\|lc)|(penalty))"</v>
      </c>
      <c r="AG100" s="206" t="str">
        <f t="shared" si="46"/>
        <v>EC</v>
      </c>
      <c r="AH100" s="199" t="str">
        <f t="shared" si="47"/>
        <v>"%USERPROFILE%\Documents\GitHub\eaglep3\Utilities\RefineRTDCRunTimes.py" --tripid 186-08 --locoid 4031 --swversion DE.1.0.9.0 --startMP 204:232965 --initTime 2017-12-08T15:03:06 --startdatetime 2017-12-08T15:12:15 --delay 82 --endMP 204:227 --enddatetime 2017-12-08T15:51:20 --enforcementcount 0 &gt;&gt;%USERPROFILE%\Documents\GitHub\eaglep3-reporting\EC\2017-12-08-refined-times.txt</v>
      </c>
      <c r="AI10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{"issue":{"subject":"","project_id":79,"tracker_id":40,"status_id":1,"priority_id":2,"assigned_to_id":338,"start_date":"2017-12-08","description":"","custom_fields":[{"id":1,"name":"Subdivision","value":"EC"},{"id":4,"name":"Milepost","value":"0.0227"},{"id":17,"name":"Train ID","value":"186-08"},{"id":16,"name":"Locomotive ID","value":"4031"},{"id":130,"name":"Impact","value":""},{"id":150,"name":"Time of Event (Mountain Time)","value":"15:51:20"},{"id":151,"name":"Denver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188"/>
      <c r="AK100" s="196"/>
      <c r="AL100" s="196"/>
      <c r="AM100" s="203" t="str">
        <f t="shared" si="49"/>
        <v>start /low /b %USERPROFILE%\Documents\GitHub\eaglep3\Utilities\DownloadLogsFromS3.py --loco 4031 --day 2017-12-08</v>
      </c>
      <c r="AN100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95" t="str">
        <f t="shared" si="51"/>
        <v>https://d0f6bd738d7f1b3e5a7ca70fe4ff75f0.us-east-1.aws.found.io/app/kibana#/discover/Steve-Slow-Train-Analysis-(2080s-and-2083s)?_g=(refreshInterval:(display:Off,pause:!f,section:0,value:0),time:(from:'2017-12-08T14:03:06-0700',mode:absolute,to:'2017-12-08T16:51:20-0700'))&amp;_a=(columns:!('Message%20ID',Summary),filters:!(),index:'emp_*',interval:auto,query:(query_string:(analyze_wildcard:!t,query:'%22rtdc.l.rtdc.4031%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194" t="s">
        <v>695</v>
      </c>
      <c r="B101" s="190">
        <v>4016</v>
      </c>
      <c r="C101" s="192" t="s">
        <v>191</v>
      </c>
      <c r="D101" s="192" t="s">
        <v>413</v>
      </c>
      <c r="E101" s="191">
        <v>43077.597488425927</v>
      </c>
      <c r="F101" s="191">
        <v>43077.604363425926</v>
      </c>
      <c r="G101" s="190">
        <v>102</v>
      </c>
      <c r="H101" s="192" t="s">
        <v>646</v>
      </c>
      <c r="I101" s="191">
        <v>43077.632037037038</v>
      </c>
      <c r="J101" s="190">
        <v>0</v>
      </c>
      <c r="K101" s="200" t="str">
        <f t="shared" si="35"/>
        <v>4015/4016</v>
      </c>
      <c r="L101" s="207" t="str">
        <f>VLOOKUP(A101,'Trips&amp;Operators'!$C$1:$G$99911,5,FALSE)</f>
        <v>LONG FULLER</v>
      </c>
      <c r="M101" s="189">
        <f t="shared" si="36"/>
        <v>2.7673611111822538E-2</v>
      </c>
      <c r="N101" s="190">
        <f t="shared" si="54"/>
        <v>39.850000001024455</v>
      </c>
      <c r="O101" s="190"/>
      <c r="P101" s="190"/>
      <c r="Q101" s="193"/>
      <c r="R101" s="205"/>
      <c r="S101" s="235">
        <f t="shared" si="53"/>
        <v>1</v>
      </c>
      <c r="T101" s="236" t="str">
        <f t="shared" si="37"/>
        <v>NorthBound</v>
      </c>
      <c r="U101" s="23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37" t="str">
        <f t="shared" si="38"/>
        <v>https://d0f6bd738d7f1b3e5a7ca70fe4ff75f0.us-east-1.aws.found.io/app/kibana#/discover/Steve-Slow-Train-Analysis-(2080s-and-2083s)?_g=(refreshInterval:(display:Off,pause:!f,section:0,value:0),time:(from:'2017-12-08T13:20:23-0700',mode:absolute,to:'2017-12-08T16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238" t="str">
        <f>IF(AA101&lt;VLOOKUP(AG101,Variables!$AC$3:$AD$8,2,FALSE),"Y","N")</f>
        <v>N</v>
      </c>
      <c r="X101" s="238">
        <f t="shared" si="39"/>
        <v>1</v>
      </c>
      <c r="Y101" s="238">
        <f t="shared" si="40"/>
        <v>5.0799999999999998E-2</v>
      </c>
      <c r="Z101" s="238">
        <f t="shared" si="41"/>
        <v>23.3249</v>
      </c>
      <c r="AA101" s="238">
        <f t="shared" si="42"/>
        <v>23.274100000000001</v>
      </c>
      <c r="AB101" s="242" t="str">
        <f>VLOOKUP(A101,Enforcements!$C$7:$K$9,8,0)</f>
        <v>Bulletin (2)</v>
      </c>
      <c r="AC101" s="242" t="str">
        <f>VLOOKUP(A101,Enforcements!$C$7:$E$9,3,0)</f>
        <v>GRADE CROSSING</v>
      </c>
      <c r="AD101" s="243">
        <f t="shared" si="43"/>
        <v>187</v>
      </c>
      <c r="AE101" s="198" t="str">
        <f t="shared" si="44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101" s="197" t="str">
        <f t="shared" si="45"/>
        <v>"C:\Program Files (x86)\AstroGrep\AstroGrep.exe" /e /r /s /spath="%USERPROFILE%\AppData\Local\Temp\OnboardLogs" /stypes="app*4016*20171208*" /stext=" 22:.+((SYSTEM_STATE.+slice.+state.+changed )|(ment ac)|(multiple cpu faults)|(system.+state.+changed )|(\[timeout)|(PRM\|1\|D)|(kpr)|(kdp)|(train st.+moving)|(\|lc)|(penalty))"</v>
      </c>
      <c r="AG101" s="206" t="str">
        <f t="shared" si="46"/>
        <v>EC</v>
      </c>
      <c r="AH101" s="199" t="str">
        <f t="shared" si="47"/>
        <v>"%USERPROFILE%\Documents\GitHub\eaglep3\Utilities\RefineRTDCRunTimes.py" --tripid 187-08 --locoid 4016 --swversion DE.1.0.9.0 --startMP 204:508 --initTime 2017-12-08T14:20:23 --startdatetime 2017-12-08T14:30:17 --delay 102 --endMP 204:233249 --enddatetime 2017-12-08T15:10:08 --enforcementcount 0 &gt;&gt;%USERPROFILE%\Documents\GitHub\eaglep3-reporting\EC\2017-12-08-refined-times.txt</v>
      </c>
      <c r="AI10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{"issue":{"subject":"","project_id":79,"tracker_id":40,"status_id":1,"priority_id":2,"assigned_to_id":338,"start_date":"2017-12-08","description":"","custom_fields":[{"id":1,"name":"Subdivision","value":"EC"},{"id":4,"name":"Milepost","value":"23.3249"},{"id":17,"name":"Train ID","value":"187-08"},{"id":16,"name":"Locomotive ID","value":"4016"},{"id":130,"name":"Impact","value":""},{"id":150,"name":"Time of Event (Mountain Time)","value":"15:10:08"},{"id":151,"name":"Denver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8"/>
      <c r="AK101" s="196"/>
      <c r="AL101" s="196"/>
      <c r="AM101" s="203" t="str">
        <f t="shared" si="49"/>
        <v>start /low /b %USERPROFILE%\Documents\GitHub\eaglep3\Utilities\DownloadLogsFromS3.py --loco 4016 --day 2017-12-08</v>
      </c>
      <c r="AN101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22:10:08"},{"id":29,"name":"Sharepoint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95" t="str">
        <f t="shared" si="51"/>
        <v>https://d0f6bd738d7f1b3e5a7ca70fe4ff75f0.us-east-1.aws.found.io/app/kibana#/discover/Steve-Slow-Train-Analysis-(2080s-and-2083s)?_g=(refreshInterval:(display:Off,pause:!f,section:0,value:0),time:(from:'2017-12-08T13:20:23-0700',mode:absolute,to:'2017-12-08T16:10:08-0700'))&amp;_a=(columns:!('Message%20ID',Summary),filters:!(),index:'emp_*',interval:auto,query:(query_string:(analyze_wildcard:!t,query:'%22rtdc.l.rtdc.4016%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194" t="s">
        <v>835</v>
      </c>
      <c r="B102" s="190">
        <v>4015</v>
      </c>
      <c r="C102" s="192" t="s">
        <v>191</v>
      </c>
      <c r="D102" s="192" t="s">
        <v>656</v>
      </c>
      <c r="E102" s="191">
        <v>43077.64234953704</v>
      </c>
      <c r="F102" s="191">
        <v>43077.644085648149</v>
      </c>
      <c r="G102" s="190">
        <v>45</v>
      </c>
      <c r="H102" s="192" t="s">
        <v>502</v>
      </c>
      <c r="I102" s="191">
        <v>43077.669479166667</v>
      </c>
      <c r="J102" s="190">
        <v>0</v>
      </c>
      <c r="K102" s="200" t="str">
        <f t="shared" si="35"/>
        <v>4015/4016</v>
      </c>
      <c r="L102" s="207" t="str">
        <f>VLOOKUP(A102,'Trips&amp;Operators'!$C$1:$G$99911,5,FALSE)</f>
        <v>LONG FULLER</v>
      </c>
      <c r="M102" s="189">
        <f t="shared" si="36"/>
        <v>2.5393518517375924E-2</v>
      </c>
      <c r="N102" s="190">
        <f t="shared" si="54"/>
        <v>36.56666666502133</v>
      </c>
      <c r="O102" s="190"/>
      <c r="P102" s="190"/>
      <c r="Q102" s="193"/>
      <c r="R102" s="205"/>
      <c r="S102" s="235">
        <f t="shared" si="53"/>
        <v>1</v>
      </c>
      <c r="T102" s="236" t="str">
        <f t="shared" si="37"/>
        <v>Southbound</v>
      </c>
      <c r="U102" s="23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37" t="str">
        <f t="shared" si="38"/>
        <v>https://d0f6bd738d7f1b3e5a7ca70fe4ff75f0.us-east-1.aws.found.io/app/kibana#/discover/Steve-Slow-Train-Analysis-(2080s-and-2083s)?_g=(refreshInterval:(display:Off,pause:!f,section:0,value:0),time:(from:'2017-12-08T14:24:59-0700',mode:absolute,to:'2017-12-08T17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238" t="str">
        <f>IF(AA102&lt;VLOOKUP(AG102,Variables!$AC$3:$AD$8,2,FALSE),"Y","N")</f>
        <v>N</v>
      </c>
      <c r="X102" s="238">
        <f t="shared" si="39"/>
        <v>1</v>
      </c>
      <c r="Y102" s="238">
        <f t="shared" si="40"/>
        <v>23.2925</v>
      </c>
      <c r="Z102" s="238">
        <f t="shared" si="41"/>
        <v>2.23E-2</v>
      </c>
      <c r="AA102" s="238">
        <f t="shared" si="42"/>
        <v>23.270199999999999</v>
      </c>
      <c r="AB102" s="242" t="e">
        <f>VLOOKUP(A102,Enforcements!$C$7:$K$9,8,0)</f>
        <v>#N/A</v>
      </c>
      <c r="AC102" s="242" t="e">
        <f>VLOOKUP(A102,Enforcements!$C$7:$E$9,3,0)</f>
        <v>#N/A</v>
      </c>
      <c r="AD102" s="243">
        <f t="shared" si="43"/>
        <v>188</v>
      </c>
      <c r="AE102" s="198" t="str">
        <f t="shared" si="44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102" s="197" t="str">
        <f t="shared" si="45"/>
        <v>"C:\Program Files (x86)\AstroGrep\AstroGrep.exe" /e /r /s /spath="%USERPROFILE%\AppData\Local\Temp\OnboardLogs" /stypes="app*4015*20171208*" /stext=" 23:.+((SYSTEM_STATE.+slice.+state.+changed )|(ment ac)|(multiple cpu faults)|(system.+state.+changed )|(\[timeout)|(PRM\|1\|D)|(kpr)|(kdp)|(train st.+moving)|(\|lc)|(penalty))"</v>
      </c>
      <c r="AG102" s="206" t="str">
        <f t="shared" si="46"/>
        <v>EC</v>
      </c>
      <c r="AH102" s="199" t="str">
        <f t="shared" si="47"/>
        <v>"%USERPROFILE%\Documents\GitHub\eaglep3\Utilities\RefineRTDCRunTimes.py" --tripid 188-08 --locoid 4015 --swversion DE.1.0.9.0 --startMP 204:232925 --initTime 2017-12-08T15:24:59 --startdatetime 2017-12-08T15:27:29 --delay 45 --endMP 204:223 --enddatetime 2017-12-08T16:04:03 --enforcementcount 0 &gt;&gt;%USERPROFILE%\Documents\GitHub\eaglep3-reporting\EC\2017-12-08-refined-times.txt</v>
      </c>
      <c r="AI102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{"issue":{"subject":"","project_id":79,"tracker_id":40,"status_id":1,"priority_id":2,"assigned_to_id":338,"start_date":"2017-12-08","description":"","custom_fields":[{"id":1,"name":"Subdivision","value":"EC"},{"id":4,"name":"Milepost","value":"0.0223"},{"id":17,"name":"Train ID","value":"188-08"},{"id":16,"name":"Locomotive ID","value":"4015"},{"id":130,"name":"Impact","value":""},{"id":150,"name":"Time of Event (Mountain Time)","value":"16:04:03"},{"id":151,"name":"Denver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8"/>
      <c r="AK102" s="196"/>
      <c r="AL102" s="196"/>
      <c r="AM102" s="203" t="str">
        <f t="shared" si="49"/>
        <v>start /low /b %USERPROFILE%\Documents\GitHub\eaglep3\Utilities\DownloadLogsFromS3.py --loco 4015 --day 2017-12-08</v>
      </c>
      <c r="AN102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95" t="str">
        <f t="shared" si="51"/>
        <v>https://d0f6bd738d7f1b3e5a7ca70fe4ff75f0.us-east-1.aws.found.io/app/kibana#/discover/Steve-Slow-Train-Analysis-(2080s-and-2083s)?_g=(refreshInterval:(display:Off,pause:!f,section:0,value:0),time:(from:'2017-12-08T14:24:59-0700',mode:absolute,to:'2017-12-08T17:04:03-0700'))&amp;_a=(columns:!('Message%20ID',Summary),filters:!(),index:'emp_*',interval:auto,query:(query_string:(analyze_wildcard:!t,query:'%22rtdc.l.rtdc.4015%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194" t="s">
        <v>828</v>
      </c>
      <c r="B103" s="190">
        <v>4064</v>
      </c>
      <c r="C103" s="192" t="s">
        <v>191</v>
      </c>
      <c r="D103" s="192" t="s">
        <v>446</v>
      </c>
      <c r="E103" s="191">
        <v>43077.61209490741</v>
      </c>
      <c r="F103" s="191">
        <v>43077.61482638889</v>
      </c>
      <c r="G103" s="190">
        <v>80</v>
      </c>
      <c r="H103" s="192" t="s">
        <v>629</v>
      </c>
      <c r="I103" s="191">
        <v>43077.639872685184</v>
      </c>
      <c r="J103" s="190">
        <v>0</v>
      </c>
      <c r="K103" s="200" t="str">
        <f t="shared" si="35"/>
        <v>4063/4064</v>
      </c>
      <c r="L103" s="207" t="str">
        <f>VLOOKUP(A103,'Trips&amp;Operators'!$C$1:$G$99911,5,FALSE)</f>
        <v>SAFIEF AEIMEN</v>
      </c>
      <c r="M103" s="189">
        <f t="shared" si="36"/>
        <v>2.5046296294021886E-2</v>
      </c>
      <c r="N103" s="190">
        <f t="shared" si="54"/>
        <v>36.066666663391516</v>
      </c>
      <c r="O103" s="190"/>
      <c r="P103" s="190"/>
      <c r="Q103" s="193"/>
      <c r="R103" s="205"/>
      <c r="S103" s="235">
        <f t="shared" si="53"/>
        <v>1</v>
      </c>
      <c r="T103" s="236" t="str">
        <f t="shared" si="37"/>
        <v>NorthBound</v>
      </c>
      <c r="U103" s="23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37" t="str">
        <f t="shared" si="38"/>
        <v>https://d0f6bd738d7f1b3e5a7ca70fe4ff75f0.us-east-1.aws.found.io/app/kibana#/discover/Steve-Slow-Train-Analysis-(2080s-and-2083s)?_g=(refreshInterval:(display:Off,pause:!f,section:0,value:0),time:(from:'2017-12-08T13:41:25-0700',mode:absolute,to:'2017-12-08T16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238" t="str">
        <f>IF(AA103&lt;VLOOKUP(AG103,Variables!$AC$3:$AD$8,2,FALSE),"Y","N")</f>
        <v>N</v>
      </c>
      <c r="X103" s="238">
        <f t="shared" si="39"/>
        <v>1</v>
      </c>
      <c r="Y103" s="238">
        <f t="shared" si="40"/>
        <v>5.1999999999999998E-2</v>
      </c>
      <c r="Z103" s="238">
        <f t="shared" si="41"/>
        <v>23.323799999999999</v>
      </c>
      <c r="AA103" s="238">
        <f t="shared" si="42"/>
        <v>23.271799999999999</v>
      </c>
      <c r="AB103" s="242" t="e">
        <f>VLOOKUP(A103,Enforcements!$C$7:$K$9,8,0)</f>
        <v>#N/A</v>
      </c>
      <c r="AC103" s="242" t="e">
        <f>VLOOKUP(A103,Enforcements!$C$7:$E$9,3,0)</f>
        <v>#N/A</v>
      </c>
      <c r="AD103" s="243">
        <f t="shared" si="43"/>
        <v>189</v>
      </c>
      <c r="AE103" s="198" t="str">
        <f t="shared" si="44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03" s="197" t="str">
        <f t="shared" si="45"/>
        <v>"C:\Program Files (x86)\AstroGrep\AstroGrep.exe" /e /r /s /spath="%USERPROFILE%\AppData\Local\Temp\OnboardLogs" /stypes="app*4064*20171208*" /stext=" 22:.+((SYSTEM_STATE.+slice.+state.+changed )|(ment ac)|(multiple cpu faults)|(system.+state.+changed )|(\[timeout)|(PRM\|1\|D)|(kpr)|(kdp)|(train st.+moving)|(\|lc)|(penalty))"</v>
      </c>
      <c r="AG103" s="206" t="str">
        <f t="shared" si="46"/>
        <v>EC</v>
      </c>
      <c r="AH103" s="199" t="str">
        <f t="shared" si="47"/>
        <v>"%USERPROFILE%\Documents\GitHub\eaglep3\Utilities\RefineRTDCRunTimes.py" --tripid 189-08 --locoid 4064 --swversion DE.1.0.9.0 --startMP 204:520 --initTime 2017-12-08T14:41:25 --startdatetime 2017-12-08T14:45:21 --delay 80 --endMP 204:233238 --enddatetime 2017-12-08T15:21:25 --enforcementcount 0 &gt;&gt;%USERPROFILE%\Documents\GitHub\eaglep3-reporting\EC\2017-12-08-refined-times.txt</v>
      </c>
      <c r="AI10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{"issue":{"subject":"","project_id":79,"tracker_id":40,"status_id":1,"priority_id":2,"assigned_to_id":338,"start_date":"2017-12-08","description":"","custom_fields":[{"id":1,"name":"Subdivision","value":"EC"},{"id":4,"name":"Milepost","value":"23.3238"},{"id":17,"name":"Train ID","value":"189-08"},{"id":16,"name":"Locomotive ID","value":"4064"},{"id":130,"name":"Impact","value":""},{"id":150,"name":"Time of Event (Mountain Time)","value":"15:21:25"},{"id":151,"name":"Denver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8"/>
      <c r="AK103" s="196"/>
      <c r="AL103" s="196"/>
      <c r="AM103" s="203" t="str">
        <f t="shared" si="49"/>
        <v>start /low /b %USERPROFILE%\Documents\GitHub\eaglep3\Utilities\DownloadLogsFromS3.py --loco 4064 --day 2017-12-08</v>
      </c>
      <c r="AN103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95" t="str">
        <f t="shared" si="51"/>
        <v>https://d0f6bd738d7f1b3e5a7ca70fe4ff75f0.us-east-1.aws.found.io/app/kibana#/discover/Steve-Slow-Train-Analysis-(2080s-and-2083s)?_g=(refreshInterval:(display:Off,pause:!f,section:0,value:0),time:(from:'2017-12-08T13:41:25-0700',mode:absolute,to:'2017-12-08T16:21:25-0700'))&amp;_a=(columns:!('Message%20ID',Summary),filters:!(),index:'emp_*',interval:auto,query:(query_string:(analyze_wildcard:!t,query:'%22rtdc.l.rtdc.4064%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194" t="s">
        <v>697</v>
      </c>
      <c r="B104" s="190">
        <v>4063</v>
      </c>
      <c r="C104" s="192" t="s">
        <v>191</v>
      </c>
      <c r="D104" s="192" t="s">
        <v>657</v>
      </c>
      <c r="E104" s="191">
        <v>43077.642199074071</v>
      </c>
      <c r="F104" s="191">
        <v>43077.65457175926</v>
      </c>
      <c r="G104" s="190">
        <v>61</v>
      </c>
      <c r="H104" s="192" t="s">
        <v>642</v>
      </c>
      <c r="I104" s="191">
        <v>43077.682337962964</v>
      </c>
      <c r="J104" s="190">
        <v>0</v>
      </c>
      <c r="K104" s="200" t="str">
        <f t="shared" si="35"/>
        <v>4063/4064</v>
      </c>
      <c r="L104" s="207" t="str">
        <f>VLOOKUP(A104,'Trips&amp;Operators'!$C$1:$G$99911,5,FALSE)</f>
        <v>SAFIEF AEIMEN</v>
      </c>
      <c r="M104" s="189">
        <f t="shared" si="36"/>
        <v>2.7766203704231884E-2</v>
      </c>
      <c r="N104" s="190">
        <f t="shared" si="54"/>
        <v>39.983333334093913</v>
      </c>
      <c r="O104" s="190"/>
      <c r="P104" s="190"/>
      <c r="Q104" s="193"/>
      <c r="R104" s="205"/>
      <c r="S104" s="235">
        <f t="shared" si="53"/>
        <v>1</v>
      </c>
      <c r="T104" s="236" t="str">
        <f t="shared" si="37"/>
        <v>Southbound</v>
      </c>
      <c r="U104" s="23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37" t="str">
        <f t="shared" si="38"/>
        <v>https://d0f6bd738d7f1b3e5a7ca70fe4ff75f0.us-east-1.aws.found.io/app/kibana#/discover/Steve-Slow-Train-Analysis-(2080s-and-2083s)?_g=(refreshInterval:(display:Off,pause:!f,section:0,value:0),time:(from:'2017-12-08T14:24:46-0700',mode:absolute,to:'2017-12-08T17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4" s="238" t="str">
        <f>IF(AA104&lt;VLOOKUP(AG104,Variables!$AC$3:$AD$8,2,FALSE),"Y","N")</f>
        <v>N</v>
      </c>
      <c r="X104" s="238">
        <f t="shared" si="39"/>
        <v>1</v>
      </c>
      <c r="Y104" s="238">
        <f t="shared" si="40"/>
        <v>23.293600000000001</v>
      </c>
      <c r="Z104" s="238">
        <f t="shared" si="41"/>
        <v>1.9400000000000001E-2</v>
      </c>
      <c r="AA104" s="238">
        <f t="shared" si="42"/>
        <v>23.2742</v>
      </c>
      <c r="AB104" s="242" t="e">
        <f>VLOOKUP(A104,Enforcements!$C$7:$K$9,8,0)</f>
        <v>#N/A</v>
      </c>
      <c r="AC104" s="242" t="e">
        <f>VLOOKUP(A104,Enforcements!$C$7:$E$9,3,0)</f>
        <v>#N/A</v>
      </c>
      <c r="AD104" s="243">
        <f t="shared" si="43"/>
        <v>190</v>
      </c>
      <c r="AE104" s="198" t="str">
        <f t="shared" si="44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04" s="197" t="str">
        <f t="shared" si="45"/>
        <v>"C:\Program Files (x86)\AstroGrep\AstroGrep.exe" /e /r /s /spath="%USERPROFILE%\AppData\Local\Temp\OnboardLogs" /stypes="app*4063*20171208*" /stext=" 23:.+((SYSTEM_STATE.+slice.+state.+changed )|(ment ac)|(multiple cpu faults)|(system.+state.+changed )|(\[timeout)|(PRM\|1\|D)|(kpr)|(kdp)|(train st.+moving)|(\|lc)|(penalty))"</v>
      </c>
      <c r="AG104" s="206" t="str">
        <f t="shared" si="46"/>
        <v>EC</v>
      </c>
      <c r="AH104" s="199" t="str">
        <f t="shared" si="47"/>
        <v>"%USERPROFILE%\Documents\GitHub\eaglep3\Utilities\RefineRTDCRunTimes.py" --tripid 190-08 --locoid 4063 --swversion DE.1.0.9.0 --startMP 204:232936 --initTime 2017-12-08T15:24:46 --startdatetime 2017-12-08T15:42:35 --delay 61 --endMP 204:194 --enddatetime 2017-12-08T16:22:34 --enforcementcount 0 &gt;&gt;%USERPROFILE%\Documents\GitHub\eaglep3-reporting\EC\2017-12-08-refined-times.txt</v>
      </c>
      <c r="AI10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{"issue":{"subject":"","project_id":79,"tracker_id":40,"status_id":1,"priority_id":2,"assigned_to_id":338,"start_date":"2017-12-08","description":"","custom_fields":[{"id":1,"name":"Subdivision","value":"EC"},{"id":4,"name":"Milepost","value":"0.0194"},{"id":17,"name":"Train ID","value":"190-08"},{"id":16,"name":"Locomotive ID","value":"4063"},{"id":130,"name":"Impact","value":""},{"id":150,"name":"Time of Event (Mountain Time)","value":"16:22:34"},{"id":151,"name":"Denver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8"/>
      <c r="AK104" s="196"/>
      <c r="AL104" s="196"/>
      <c r="AM104" s="203" t="str">
        <f t="shared" si="49"/>
        <v>start /low /b %USERPROFILE%\Documents\GitHub\eaglep3\Utilities\DownloadLogsFromS3.py --loco 4063 --day 2017-12-08</v>
      </c>
      <c r="AN104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95" t="str">
        <f t="shared" si="51"/>
        <v>https://d0f6bd738d7f1b3e5a7ca70fe4ff75f0.us-east-1.aws.found.io/app/kibana#/discover/Steve-Slow-Train-Analysis-(2080s-and-2083s)?_g=(refreshInterval:(display:Off,pause:!f,section:0,value:0),time:(from:'2017-12-08T14:24:46-0700',mode:absolute,to:'2017-12-08T17:22:34-0700'))&amp;_a=(columns:!('Message%20ID',Summary),filters:!(),index:'emp_*',interval:auto,query:(query_string:(analyze_wildcard:!t,query:'%22rtdc.l.rtdc.4063%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194" t="s">
        <v>830</v>
      </c>
      <c r="B105" s="190">
        <v>4024</v>
      </c>
      <c r="C105" s="192" t="s">
        <v>191</v>
      </c>
      <c r="D105" s="192" t="s">
        <v>462</v>
      </c>
      <c r="E105" s="191">
        <v>43077.621782407405</v>
      </c>
      <c r="F105" s="191">
        <v>43077.625162037039</v>
      </c>
      <c r="G105" s="190">
        <v>118</v>
      </c>
      <c r="H105" s="192" t="s">
        <v>655</v>
      </c>
      <c r="I105" s="191">
        <v>43077.650092592594</v>
      </c>
      <c r="J105" s="190">
        <v>0</v>
      </c>
      <c r="K105" s="200" t="str">
        <f t="shared" si="35"/>
        <v>4023/4024</v>
      </c>
      <c r="L105" s="207" t="str">
        <f>VLOOKUP(A105,'Trips&amp;Operators'!$C$1:$G$99911,5,FALSE)</f>
        <v>BRUDER RICHARD</v>
      </c>
      <c r="M105" s="189">
        <f t="shared" si="36"/>
        <v>2.4930555555329192E-2</v>
      </c>
      <c r="N105" s="190">
        <f t="shared" si="54"/>
        <v>35.899999999674037</v>
      </c>
      <c r="O105" s="190"/>
      <c r="P105" s="190"/>
      <c r="Q105" s="193"/>
      <c r="R105" s="205"/>
      <c r="S105" s="235">
        <f t="shared" si="53"/>
        <v>1</v>
      </c>
      <c r="T105" s="236" t="str">
        <f t="shared" si="37"/>
        <v>NorthBound</v>
      </c>
      <c r="U105" s="23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37" t="str">
        <f t="shared" si="38"/>
        <v>https://d0f6bd738d7f1b3e5a7ca70fe4ff75f0.us-east-1.aws.found.io/app/kibana#/discover/Steve-Slow-Train-Analysis-(2080s-and-2083s)?_g=(refreshInterval:(display:Off,pause:!f,section:0,value:0),time:(from:'2017-12-08T13:55:22-0700',mode:absolute,to:'2017-12-08T16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238" t="str">
        <f>IF(AA105&lt;VLOOKUP(AG105,Variables!$AC$3:$AD$8,2,FALSE),"Y","N")</f>
        <v>N</v>
      </c>
      <c r="X105" s="238">
        <f t="shared" si="39"/>
        <v>1</v>
      </c>
      <c r="Y105" s="238">
        <f t="shared" si="40"/>
        <v>5.1299999999999998E-2</v>
      </c>
      <c r="Z105" s="238">
        <f t="shared" si="41"/>
        <v>23.3217</v>
      </c>
      <c r="AA105" s="238">
        <f t="shared" si="42"/>
        <v>23.270399999999999</v>
      </c>
      <c r="AB105" s="242" t="e">
        <f>VLOOKUP(A105,Enforcements!$C$7:$K$9,8,0)</f>
        <v>#N/A</v>
      </c>
      <c r="AC105" s="242" t="e">
        <f>VLOOKUP(A105,Enforcements!$C$7:$E$9,3,0)</f>
        <v>#N/A</v>
      </c>
      <c r="AD105" s="243">
        <f t="shared" si="43"/>
        <v>191</v>
      </c>
      <c r="AE105" s="198" t="str">
        <f t="shared" si="44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05" s="197" t="str">
        <f t="shared" si="45"/>
        <v>"C:\Program Files (x86)\AstroGrep\AstroGrep.exe" /e /r /s /spath="%USERPROFILE%\AppData\Local\Temp\OnboardLogs" /stypes="app*4024*20171208*" /stext=" 22:.+((SYSTEM_STATE.+slice.+state.+changed )|(ment ac)|(multiple cpu faults)|(system.+state.+changed )|(\[timeout)|(PRM\|1\|D)|(kpr)|(kdp)|(train st.+moving)|(\|lc)|(penalty))"</v>
      </c>
      <c r="AG105" s="206" t="str">
        <f t="shared" si="46"/>
        <v>EC</v>
      </c>
      <c r="AH105" s="199" t="str">
        <f t="shared" si="47"/>
        <v>"%USERPROFILE%\Documents\GitHub\eaglep3\Utilities\RefineRTDCRunTimes.py" --tripid 191-08 --locoid 4024 --swversion DE.1.0.9.0 --startMP 204:513 --initTime 2017-12-08T14:55:22 --startdatetime 2017-12-08T15:00:14 --delay 118 --endMP 204:233217 --enddatetime 2017-12-08T15:36:08 --enforcementcount 0 &gt;&gt;%USERPROFILE%\Documents\GitHub\eaglep3-reporting\EC\2017-12-08-refined-times.txt</v>
      </c>
      <c r="AI10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{"issue":{"subject":"","project_id":79,"tracker_id":40,"status_id":1,"priority_id":2,"assigned_to_id":338,"start_date":"2017-12-08","description":"","custom_fields":[{"id":1,"name":"Subdivision","value":"EC"},{"id":4,"name":"Milepost","value":"23.3217"},{"id":17,"name":"Train ID","value":"191-08"},{"id":16,"name":"Locomotive ID","value":"4024"},{"id":130,"name":"Impact","value":""},{"id":150,"name":"Time of Event (Mountain Time)","value":"15:36:08"},{"id":151,"name":"Denver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8"/>
      <c r="AK105" s="196"/>
      <c r="AL105" s="196"/>
      <c r="AM105" s="203" t="str">
        <f t="shared" si="49"/>
        <v>start /low /b %USERPROFILE%\Documents\GitHub\eaglep3\Utilities\DownloadLogsFromS3.py --loco 4024 --day 2017-12-08</v>
      </c>
      <c r="AN105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95" t="str">
        <f t="shared" si="51"/>
        <v>https://d0f6bd738d7f1b3e5a7ca70fe4ff75f0.us-east-1.aws.found.io/app/kibana#/discover/Steve-Slow-Train-Analysis-(2080s-and-2083s)?_g=(refreshInterval:(display:Off,pause:!f,section:0,value:0),time:(from:'2017-12-08T13:55:22-0700',mode:absolute,to:'2017-12-08T16:36:08-0700'))&amp;_a=(columns:!('Message%20ID',Summary),filters:!(),index:'emp_*',interval:auto,query:(query_string:(analyze_wildcard:!t,query:'%22rtdc.l.rtdc.4024%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194" t="s">
        <v>839</v>
      </c>
      <c r="B106" s="190">
        <v>4023</v>
      </c>
      <c r="C106" s="192" t="s">
        <v>191</v>
      </c>
      <c r="D106" s="192" t="s">
        <v>586</v>
      </c>
      <c r="E106" s="191">
        <v>43077.661249999997</v>
      </c>
      <c r="F106" s="191">
        <v>43077.664780092593</v>
      </c>
      <c r="G106" s="190">
        <v>56</v>
      </c>
      <c r="H106" s="192" t="s">
        <v>508</v>
      </c>
      <c r="I106" s="191">
        <v>43077.690578703703</v>
      </c>
      <c r="J106" s="190">
        <v>0</v>
      </c>
      <c r="K106" s="200" t="str">
        <f t="shared" si="35"/>
        <v>4023/4024</v>
      </c>
      <c r="L106" s="207" t="str">
        <f>VLOOKUP(A106,'Trips&amp;Operators'!$C$1:$G$99911,5,FALSE)</f>
        <v>BRUDER RICHARD</v>
      </c>
      <c r="M106" s="189">
        <f t="shared" si="36"/>
        <v>2.5798611110076308E-2</v>
      </c>
      <c r="N106" s="190">
        <f t="shared" si="54"/>
        <v>37.149999998509884</v>
      </c>
      <c r="O106" s="190"/>
      <c r="P106" s="190"/>
      <c r="Q106" s="193"/>
      <c r="R106" s="205"/>
      <c r="S106" s="235">
        <f t="shared" si="53"/>
        <v>1</v>
      </c>
      <c r="T106" s="236" t="str">
        <f t="shared" si="37"/>
        <v>Southbound</v>
      </c>
      <c r="U106" s="23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37" t="str">
        <f t="shared" si="38"/>
        <v>https://d0f6bd738d7f1b3e5a7ca70fe4ff75f0.us-east-1.aws.found.io/app/kibana#/discover/Steve-Slow-Train-Analysis-(2080s-and-2083s)?_g=(refreshInterval:(display:Off,pause:!f,section:0,value:0),time:(from:'2017-12-08T14:52:12-0700',mode:absolute,to:'2017-12-08T17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6" s="238" t="str">
        <f>IF(AA106&lt;VLOOKUP(AG106,Variables!$AC$3:$AD$8,2,FALSE),"Y","N")</f>
        <v>N</v>
      </c>
      <c r="X106" s="238">
        <f t="shared" si="39"/>
        <v>1</v>
      </c>
      <c r="Y106" s="238">
        <f t="shared" si="40"/>
        <v>23.290400000000002</v>
      </c>
      <c r="Z106" s="238">
        <f t="shared" si="41"/>
        <v>2.2100000000000002E-2</v>
      </c>
      <c r="AA106" s="238">
        <f t="shared" si="42"/>
        <v>23.268300000000004</v>
      </c>
      <c r="AB106" s="242" t="e">
        <f>VLOOKUP(A106,Enforcements!$C$7:$K$9,8,0)</f>
        <v>#N/A</v>
      </c>
      <c r="AC106" s="242" t="e">
        <f>VLOOKUP(A106,Enforcements!$C$7:$E$9,3,0)</f>
        <v>#N/A</v>
      </c>
      <c r="AD106" s="243">
        <f t="shared" si="43"/>
        <v>192</v>
      </c>
      <c r="AE106" s="198" t="str">
        <f t="shared" si="44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106" s="197" t="str">
        <f t="shared" si="45"/>
        <v>"C:\Program Files (x86)\AstroGrep\AstroGrep.exe" /e /r /s /spath="%USERPROFILE%\AppData\Local\Temp\OnboardLogs" /stypes="app*4023*20171208*" /stext=" 23:.+((SYSTEM_STATE.+slice.+state.+changed )|(ment ac)|(multiple cpu faults)|(system.+state.+changed )|(\[timeout)|(PRM\|1\|D)|(kpr)|(kdp)|(train st.+moving)|(\|lc)|(penalty))"</v>
      </c>
      <c r="AG106" s="206" t="str">
        <f t="shared" si="46"/>
        <v>EC</v>
      </c>
      <c r="AH106" s="199" t="str">
        <f t="shared" si="47"/>
        <v>"%USERPROFILE%\Documents\GitHub\eaglep3\Utilities\RefineRTDCRunTimes.py" --tripid 192-08 --locoid 4023 --swversion DE.1.0.9.0 --startMP 204:232904 --initTime 2017-12-08T15:52:12 --startdatetime 2017-12-08T15:57:17 --delay 56 --endMP 204:221 --enddatetime 2017-12-08T16:34:26 --enforcementcount 0 &gt;&gt;%USERPROFILE%\Documents\GitHub\eaglep3-reporting\EC\2017-12-08-refined-times.txt</v>
      </c>
      <c r="AI10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{"issue":{"subject":"","project_id":79,"tracker_id":40,"status_id":1,"priority_id":2,"assigned_to_id":338,"start_date":"2017-12-08","description":"","custom_fields":[{"id":1,"name":"Subdivision","value":"EC"},{"id":4,"name":"Milepost","value":"0.0221"},{"id":17,"name":"Train ID","value":"192-08"},{"id":16,"name":"Locomotive ID","value":"4023"},{"id":130,"name":"Impact","value":""},{"id":150,"name":"Time of Event (Mountain Time)","value":"16:34:26"},{"id":151,"name":"Denver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8"/>
      <c r="AK106" s="196"/>
      <c r="AL106" s="196"/>
      <c r="AM106" s="203" t="str">
        <f t="shared" si="49"/>
        <v>start /low /b %USERPROFILE%\Documents\GitHub\eaglep3\Utilities\DownloadLogsFromS3.py --loco 4023 --day 2017-12-08</v>
      </c>
      <c r="AN106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95" t="str">
        <f t="shared" si="51"/>
        <v>https://d0f6bd738d7f1b3e5a7ca70fe4ff75f0.us-east-1.aws.found.io/app/kibana#/discover/Steve-Slow-Train-Analysis-(2080s-and-2083s)?_g=(refreshInterval:(display:Off,pause:!f,section:0,value:0),time:(from:'2017-12-08T14:52:12-0700',mode:absolute,to:'2017-12-08T17:34:26-0700'))&amp;_a=(columns:!('Message%20ID',Summary),filters:!(),index:'emp_*',interval:auto,query:(query_string:(analyze_wildcard:!t,query:'%22rtdc.l.rtdc.4023%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194" t="s">
        <v>832</v>
      </c>
      <c r="B107" s="190">
        <v>4050</v>
      </c>
      <c r="C107" s="192" t="s">
        <v>191</v>
      </c>
      <c r="D107" s="192" t="s">
        <v>985</v>
      </c>
      <c r="E107" s="191">
        <v>43077.629675925928</v>
      </c>
      <c r="F107" s="191">
        <v>43077.635578703703</v>
      </c>
      <c r="G107" s="190">
        <v>117</v>
      </c>
      <c r="H107" s="192" t="s">
        <v>986</v>
      </c>
      <c r="I107" s="191">
        <v>43077.661030092589</v>
      </c>
      <c r="J107" s="190">
        <v>0</v>
      </c>
      <c r="K107" s="200" t="str">
        <f t="shared" si="35"/>
        <v>4049/4050</v>
      </c>
      <c r="L107" s="207" t="str">
        <f>VLOOKUP(A107,'Trips&amp;Operators'!$C$1:$G$99911,5,FALSE)</f>
        <v>SANTIZO D. EDY</v>
      </c>
      <c r="M107" s="189">
        <f t="shared" si="36"/>
        <v>2.545138888672227E-2</v>
      </c>
      <c r="N107" s="190">
        <f t="shared" si="54"/>
        <v>36.649999996880069</v>
      </c>
      <c r="O107" s="190"/>
      <c r="P107" s="190"/>
      <c r="Q107" s="193"/>
      <c r="R107" s="205"/>
      <c r="S107" s="235">
        <f t="shared" si="53"/>
        <v>1</v>
      </c>
      <c r="T107" s="236" t="str">
        <f t="shared" si="37"/>
        <v>NorthBound</v>
      </c>
      <c r="U107" s="23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37" t="str">
        <f t="shared" si="38"/>
        <v>https://d0f6bd738d7f1b3e5a7ca70fe4ff75f0.us-east-1.aws.found.io/app/kibana#/discover/Steve-Slow-Train-Analysis-(2080s-and-2083s)?_g=(refreshInterval:(display:Off,pause:!f,section:0,value:0),time:(from:'2017-12-08T14:06:44-0700',mode:absolute,to:'2017-12-08T16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7" s="238" t="str">
        <f>IF(AA107&lt;VLOOKUP(AG107,Variables!$AC$3:$AD$8,2,FALSE),"Y","N")</f>
        <v>N</v>
      </c>
      <c r="X107" s="238">
        <f t="shared" si="39"/>
        <v>1</v>
      </c>
      <c r="Y107" s="238">
        <f t="shared" si="40"/>
        <v>4.7500000000000001E-2</v>
      </c>
      <c r="Z107" s="238">
        <f t="shared" si="41"/>
        <v>23.320699999999999</v>
      </c>
      <c r="AA107" s="238">
        <f t="shared" si="42"/>
        <v>23.273199999999999</v>
      </c>
      <c r="AB107" s="242" t="e">
        <f>VLOOKUP(A107,Enforcements!$C$7:$K$9,8,0)</f>
        <v>#N/A</v>
      </c>
      <c r="AC107" s="242" t="e">
        <f>VLOOKUP(A107,Enforcements!$C$7:$E$9,3,0)</f>
        <v>#N/A</v>
      </c>
      <c r="AD107" s="243">
        <f t="shared" si="43"/>
        <v>193</v>
      </c>
      <c r="AE107" s="198" t="str">
        <f t="shared" si="44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107" s="197" t="str">
        <f t="shared" si="45"/>
        <v>"C:\Program Files (x86)\AstroGrep\AstroGrep.exe" /e /r /s /spath="%USERPROFILE%\AppData\Local\Temp\OnboardLogs" /stypes="app*4050*20171208*" /stext=" 22:.+((SYSTEM_STATE.+slice.+state.+changed )|(ment ac)|(multiple cpu faults)|(system.+state.+changed )|(\[timeout)|(PRM\|1\|D)|(kpr)|(kdp)|(train st.+moving)|(\|lc)|(penalty))"</v>
      </c>
      <c r="AG107" s="206" t="str">
        <f t="shared" si="46"/>
        <v>EC</v>
      </c>
      <c r="AH107" s="199" t="str">
        <f t="shared" si="47"/>
        <v>"%USERPROFILE%\Documents\GitHub\eaglep3\Utilities\RefineRTDCRunTimes.py" --tripid 193-08 --locoid 4050 --swversion DE.1.0.9.0 --startMP 204:475 --initTime 2017-12-08T15:06:44 --startdatetime 2017-12-08T15:15:14 --delay 117 --endMP 204:233207 --enddatetime 2017-12-08T15:51:53 --enforcementcount 0 &gt;&gt;%USERPROFILE%\Documents\GitHub\eaglep3-reporting\EC\2017-12-08-refined-times.txt</v>
      </c>
      <c r="AI107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{"issue":{"subject":"","project_id":79,"tracker_id":40,"status_id":1,"priority_id":2,"assigned_to_id":338,"start_date":"2017-12-08","description":"","custom_fields":[{"id":1,"name":"Subdivision","value":"EC"},{"id":4,"name":"Milepost","value":"23.3207"},{"id":17,"name":"Train ID","value":"193-08"},{"id":16,"name":"Locomotive ID","value":"4050"},{"id":130,"name":"Impact","value":""},{"id":150,"name":"Time of Event (Mountain Time)","value":"15:51:53"},{"id":151,"name":"Denver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8"/>
      <c r="AK107" s="196"/>
      <c r="AL107" s="196"/>
      <c r="AM107" s="203" t="str">
        <f t="shared" si="49"/>
        <v>start /low /b %USERPROFILE%\Documents\GitHub\eaglep3\Utilities\DownloadLogsFromS3.py --loco 4050 --day 2017-12-08</v>
      </c>
      <c r="AN107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95" t="str">
        <f t="shared" si="51"/>
        <v>https://d0f6bd738d7f1b3e5a7ca70fe4ff75f0.us-east-1.aws.found.io/app/kibana#/discover/Steve-Slow-Train-Analysis-(2080s-and-2083s)?_g=(refreshInterval:(display:Off,pause:!f,section:0,value:0),time:(from:'2017-12-08T14:06:44-0700',mode:absolute,to:'2017-12-08T16:51:53-0700'))&amp;_a=(columns:!('Message%20ID',Summary),filters:!(),index:'emp_*',interval:auto,query:(query_string:(analyze_wildcard:!t,query:'%22rtdc.l.rtdc.4050%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194" t="s">
        <v>840</v>
      </c>
      <c r="B108" s="190">
        <v>4049</v>
      </c>
      <c r="C108" s="192" t="s">
        <v>191</v>
      </c>
      <c r="D108" s="192" t="s">
        <v>637</v>
      </c>
      <c r="E108" s="191">
        <v>43077.662129629629</v>
      </c>
      <c r="F108" s="191">
        <v>43077.675254629627</v>
      </c>
      <c r="G108" s="190">
        <v>59</v>
      </c>
      <c r="H108" s="192" t="s">
        <v>635</v>
      </c>
      <c r="I108" s="191">
        <v>43077.701909722222</v>
      </c>
      <c r="J108" s="190">
        <v>0</v>
      </c>
      <c r="K108" s="200" t="str">
        <f t="shared" si="35"/>
        <v>4049/4050</v>
      </c>
      <c r="L108" s="207" t="str">
        <f>VLOOKUP(A108,'Trips&amp;Operators'!$C$1:$G$99911,5,FALSE)</f>
        <v>SANTIZO D. EDY</v>
      </c>
      <c r="M108" s="189">
        <f t="shared" si="36"/>
        <v>2.6655092595319729E-2</v>
      </c>
      <c r="N108" s="190">
        <f t="shared" si="54"/>
        <v>38.38333333726041</v>
      </c>
      <c r="O108" s="190"/>
      <c r="P108" s="190"/>
      <c r="Q108" s="193"/>
      <c r="R108" s="205"/>
      <c r="S108" s="235">
        <f t="shared" si="53"/>
        <v>1</v>
      </c>
      <c r="T108" s="236" t="str">
        <f t="shared" si="37"/>
        <v>Southbound</v>
      </c>
      <c r="U108" s="23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37" t="str">
        <f t="shared" si="38"/>
        <v>https://d0f6bd738d7f1b3e5a7ca70fe4ff75f0.us-east-1.aws.found.io/app/kibana#/discover/Steve-Slow-Train-Analysis-(2080s-and-2083s)?_g=(refreshInterval:(display:Off,pause:!f,section:0,value:0),time:(from:'2017-12-08T14:53:28-0700',mode:absolute,to:'2017-12-08T17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8" s="238" t="str">
        <f>IF(AA108&lt;VLOOKUP(AG108,Variables!$AC$3:$AD$8,2,FALSE),"Y","N")</f>
        <v>N</v>
      </c>
      <c r="X108" s="238">
        <f t="shared" si="39"/>
        <v>1</v>
      </c>
      <c r="Y108" s="238">
        <f t="shared" si="40"/>
        <v>23.2882</v>
      </c>
      <c r="Z108" s="238">
        <f t="shared" si="41"/>
        <v>2.3800000000000002E-2</v>
      </c>
      <c r="AA108" s="238">
        <f t="shared" si="42"/>
        <v>23.264399999999998</v>
      </c>
      <c r="AB108" s="242" t="e">
        <f>VLOOKUP(A108,Enforcements!$C$7:$K$9,8,0)</f>
        <v>#N/A</v>
      </c>
      <c r="AC108" s="242" t="e">
        <f>VLOOKUP(A108,Enforcements!$C$7:$E$9,3,0)</f>
        <v>#N/A</v>
      </c>
      <c r="AD108" s="243">
        <f t="shared" si="43"/>
        <v>194</v>
      </c>
      <c r="AE108" s="198" t="str">
        <f t="shared" si="44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108" s="197" t="str">
        <f t="shared" si="45"/>
        <v>"C:\Program Files (x86)\AstroGrep\AstroGrep.exe" /e /r /s /spath="%USERPROFILE%\AppData\Local\Temp\OnboardLogs" /stypes="app*4049*20171208*" /stext=" 23:.+((SYSTEM_STATE.+slice.+state.+changed )|(ment ac)|(multiple cpu faults)|(system.+state.+changed )|(\[timeout)|(PRM\|1\|D)|(kpr)|(kdp)|(train st.+moving)|(\|lc)|(penalty))"</v>
      </c>
      <c r="AG108" s="206" t="str">
        <f t="shared" si="46"/>
        <v>EC</v>
      </c>
      <c r="AH108" s="199" t="str">
        <f t="shared" si="47"/>
        <v>"%USERPROFILE%\Documents\GitHub\eaglep3\Utilities\RefineRTDCRunTimes.py" --tripid 194-08 --locoid 4049 --swversion DE.1.0.9.0 --startMP 204:232882 --initTime 2017-12-08T15:53:28 --startdatetime 2017-12-08T16:12:22 --delay 59 --endMP 204:238 --enddatetime 2017-12-08T16:50:45 --enforcementcount 0 &gt;&gt;%USERPROFILE%\Documents\GitHub\eaglep3-reporting\EC\2017-12-08-refined-times.txt</v>
      </c>
      <c r="AI10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{"issue":{"subject":"","project_id":79,"tracker_id":40,"status_id":1,"priority_id":2,"assigned_to_id":338,"start_date":"2017-12-08","description":"","custom_fields":[{"id":1,"name":"Subdivision","value":"EC"},{"id":4,"name":"Milepost","value":"0.0238"},{"id":17,"name":"Train ID","value":"194-08"},{"id":16,"name":"Locomotive ID","value":"4049"},{"id":130,"name":"Impact","value":""},{"id":150,"name":"Time of Event (Mountain Time)","value":"16:50:45"},{"id":151,"name":"Denver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8"/>
      <c r="AK108" s="196"/>
      <c r="AL108" s="196"/>
      <c r="AM108" s="203" t="str">
        <f t="shared" si="49"/>
        <v>start /low /b %USERPROFILE%\Documents\GitHub\eaglep3\Utilities\DownloadLogsFromS3.py --loco 4049 --day 2017-12-08</v>
      </c>
      <c r="AN108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95" t="str">
        <f t="shared" si="51"/>
        <v>https://d0f6bd738d7f1b3e5a7ca70fe4ff75f0.us-east-1.aws.found.io/app/kibana#/discover/Steve-Slow-Train-Analysis-(2080s-and-2083s)?_g=(refreshInterval:(display:Off,pause:!f,section:0,value:0),time:(from:'2017-12-08T14:53:28-0700',mode:absolute,to:'2017-12-08T17:50:45-0700'))&amp;_a=(columns:!('Message%20ID',Summary),filters:!(),index:'emp_*',interval:auto,query:(query_string:(analyze_wildcard:!t,query:'%22rtdc.l.rtdc.4049%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194" t="s">
        <v>834</v>
      </c>
      <c r="B109" s="190">
        <v>4010</v>
      </c>
      <c r="C109" s="192" t="s">
        <v>191</v>
      </c>
      <c r="D109" s="192" t="s">
        <v>589</v>
      </c>
      <c r="E109" s="191">
        <v>43077.641377314816</v>
      </c>
      <c r="F109" s="191">
        <v>43077.645983796298</v>
      </c>
      <c r="G109" s="190">
        <v>124</v>
      </c>
      <c r="H109" s="192" t="s">
        <v>973</v>
      </c>
      <c r="I109" s="191">
        <v>43077.671168981484</v>
      </c>
      <c r="J109" s="190">
        <v>0</v>
      </c>
      <c r="K109" s="200" t="str">
        <f t="shared" si="35"/>
        <v>4009/4010</v>
      </c>
      <c r="L109" s="207" t="str">
        <f>VLOOKUP(A109,'Trips&amp;Operators'!$C$1:$G$99911,5,FALSE)</f>
        <v>FORTUNATO FRANK</v>
      </c>
      <c r="M109" s="189">
        <f t="shared" si="36"/>
        <v>2.5185185186273884E-2</v>
      </c>
      <c r="N109" s="190">
        <f t="shared" si="54"/>
        <v>36.266666668234393</v>
      </c>
      <c r="O109" s="190"/>
      <c r="P109" s="190"/>
      <c r="Q109" s="193"/>
      <c r="R109" s="205"/>
      <c r="S109" s="235">
        <f t="shared" si="53"/>
        <v>1</v>
      </c>
      <c r="T109" s="236" t="str">
        <f t="shared" si="37"/>
        <v>NorthBound</v>
      </c>
      <c r="U109" s="23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37" t="str">
        <f t="shared" si="38"/>
        <v>https://d0f6bd738d7f1b3e5a7ca70fe4ff75f0.us-east-1.aws.found.io/app/kibana#/discover/Steve-Slow-Train-Analysis-(2080s-and-2083s)?_g=(refreshInterval:(display:Off,pause:!f,section:0,value:0),time:(from:'2017-12-08T14:23:35-0700',mode:absolute,to:'2017-12-08T17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238" t="str">
        <f>IF(AA109&lt;VLOOKUP(AG109,Variables!$AC$3:$AD$8,2,FALSE),"Y","N")</f>
        <v>N</v>
      </c>
      <c r="X109" s="238">
        <f t="shared" si="39"/>
        <v>1</v>
      </c>
      <c r="Y109" s="238">
        <f t="shared" ref="Y109:Y140" si="55">RIGHT(D109,LEN(D109)-4)/10000</f>
        <v>4.9500000000000002E-2</v>
      </c>
      <c r="Z109" s="238">
        <f t="shared" ref="Z109:Z140" si="56">RIGHT(H109,LEN(H109)-4)/10000</f>
        <v>23.319099999999999</v>
      </c>
      <c r="AA109" s="238">
        <f t="shared" si="42"/>
        <v>23.269600000000001</v>
      </c>
      <c r="AB109" s="242" t="e">
        <f>VLOOKUP(A109,Enforcements!$C$7:$K$9,8,0)</f>
        <v>#N/A</v>
      </c>
      <c r="AC109" s="242" t="e">
        <f>VLOOKUP(A109,Enforcements!$C$7:$E$9,3,0)</f>
        <v>#N/A</v>
      </c>
      <c r="AD109" s="243">
        <f t="shared" si="43"/>
        <v>195</v>
      </c>
      <c r="AE109" s="198" t="str">
        <f t="shared" si="44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09" s="197" t="str">
        <f t="shared" si="45"/>
        <v>"C:\Program Files (x86)\AstroGrep\AstroGrep.exe" /e /r /s /spath="%USERPROFILE%\AppData\Local\Temp\OnboardLogs" /stypes="app*4010*20171208*" /stext=" 23:.+((SYSTEM_STATE.+slice.+state.+changed )|(ment ac)|(multiple cpu faults)|(system.+state.+changed )|(\[timeout)|(PRM\|1\|D)|(kpr)|(kdp)|(train st.+moving)|(\|lc)|(penalty))"</v>
      </c>
      <c r="AG109" s="206" t="str">
        <f t="shared" si="46"/>
        <v>EC</v>
      </c>
      <c r="AH109" s="199" t="str">
        <f t="shared" si="47"/>
        <v>"%USERPROFILE%\Documents\GitHub\eaglep3\Utilities\RefineRTDCRunTimes.py" --tripid 195-08 --locoid 4010 --swversion DE.1.0.9.0 --startMP 204:495 --initTime 2017-12-08T15:23:35 --startdatetime 2017-12-08T15:30:13 --delay 124 --endMP 204:233191 --enddatetime 2017-12-08T16:06:29 --enforcementcount 0 &gt;&gt;%USERPROFILE%\Documents\GitHub\eaglep3-reporting\EC\2017-12-08-refined-times.txt</v>
      </c>
      <c r="AI109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{"issue":{"subject":"","project_id":79,"tracker_id":40,"status_id":1,"priority_id":2,"assigned_to_id":338,"start_date":"2017-12-08","description":"","custom_fields":[{"id":1,"name":"Subdivision","value":"EC"},{"id":4,"name":"Milepost","value":"23.3191"},{"id":17,"name":"Train ID","value":"195-08"},{"id":16,"name":"Locomotive ID","value":"4010"},{"id":130,"name":"Impact","value":""},{"id":150,"name":"Time of Event (Mountain Time)","value":"16:06:29"},{"id":151,"name":"Denver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8"/>
      <c r="AK109" s="196"/>
      <c r="AL109" s="196"/>
      <c r="AM109" s="203" t="str">
        <f t="shared" si="49"/>
        <v>start /low /b %USERPROFILE%\Documents\GitHub\eaglep3\Utilities\DownloadLogsFromS3.py --loco 4010 --day 2017-12-08</v>
      </c>
      <c r="AN109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95" t="str">
        <f t="shared" si="51"/>
        <v>https://d0f6bd738d7f1b3e5a7ca70fe4ff75f0.us-east-1.aws.found.io/app/kibana#/discover/Steve-Slow-Train-Analysis-(2080s-and-2083s)?_g=(refreshInterval:(display:Off,pause:!f,section:0,value:0),time:(from:'2017-12-08T14:23:35-0700',mode:absolute,to:'2017-12-08T17:06:29-0700'))&amp;_a=(columns:!('Message%20ID',Summary),filters:!(),index:'emp_*',interval:auto,query:(query_string:(analyze_wildcard:!t,query:'%22rtdc.l.rtdc.4010%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1" customFormat="1" x14ac:dyDescent="0.25">
      <c r="A110" s="194" t="s">
        <v>844</v>
      </c>
      <c r="B110" s="190">
        <v>4009</v>
      </c>
      <c r="C110" s="192" t="s">
        <v>191</v>
      </c>
      <c r="D110" s="192" t="s">
        <v>987</v>
      </c>
      <c r="E110" s="191">
        <v>43077.672511574077</v>
      </c>
      <c r="F110" s="191">
        <v>43077.685636574075</v>
      </c>
      <c r="G110" s="190">
        <v>61</v>
      </c>
      <c r="H110" s="192" t="s">
        <v>500</v>
      </c>
      <c r="I110" s="191">
        <v>43077.712361111109</v>
      </c>
      <c r="J110" s="190">
        <v>0</v>
      </c>
      <c r="K110" s="200" t="str">
        <f t="shared" si="35"/>
        <v>4009/4010</v>
      </c>
      <c r="L110" s="207" t="str">
        <f>VLOOKUP(A110,'Trips&amp;Operators'!$C$1:$G$99911,5,FALSE)</f>
        <v>FORTUNATO FRANK</v>
      </c>
      <c r="M110" s="189">
        <f t="shared" si="36"/>
        <v>2.6724537034169771E-2</v>
      </c>
      <c r="N110" s="190">
        <f t="shared" si="54"/>
        <v>38.48333332920447</v>
      </c>
      <c r="O110" s="190"/>
      <c r="P110" s="190"/>
      <c r="Q110" s="193"/>
      <c r="R110" s="205"/>
      <c r="S110" s="235">
        <f t="shared" si="53"/>
        <v>1</v>
      </c>
      <c r="T110" s="236" t="str">
        <f t="shared" si="37"/>
        <v>Southbound</v>
      </c>
      <c r="U110" s="23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37" t="str">
        <f t="shared" si="38"/>
        <v>https://d0f6bd738d7f1b3e5a7ca70fe4ff75f0.us-east-1.aws.found.io/app/kibana#/discover/Steve-Slow-Train-Analysis-(2080s-and-2083s)?_g=(refreshInterval:(display:Off,pause:!f,section:0,value:0),time:(from:'2017-12-08T15:08:25-0700',mode:absolute,to:'2017-12-08T18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238" t="str">
        <f>IF(AA110&lt;VLOOKUP(AG110,Variables!$AC$3:$AD$8,2,FALSE),"Y","N")</f>
        <v>N</v>
      </c>
      <c r="X110" s="238">
        <f t="shared" si="39"/>
        <v>1</v>
      </c>
      <c r="Y110" s="238">
        <f t="shared" si="55"/>
        <v>23.2879</v>
      </c>
      <c r="Z110" s="238">
        <f t="shared" si="56"/>
        <v>2.1999999999999999E-2</v>
      </c>
      <c r="AA110" s="238">
        <f t="shared" si="42"/>
        <v>23.265900000000002</v>
      </c>
      <c r="AB110" s="242" t="e">
        <f>VLOOKUP(A110,Enforcements!$C$7:$K$9,8,0)</f>
        <v>#N/A</v>
      </c>
      <c r="AC110" s="242" t="e">
        <f>VLOOKUP(A110,Enforcements!$C$7:$E$9,3,0)</f>
        <v>#N/A</v>
      </c>
      <c r="AD110" s="243">
        <f t="shared" si="43"/>
        <v>196</v>
      </c>
      <c r="AE110" s="198" t="str">
        <f t="shared" si="44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10" s="197" t="str">
        <f t="shared" si="45"/>
        <v>"C:\Program Files (x86)\AstroGrep\AstroGrep.exe" /e /r /s /spath="%USERPROFILE%\AppData\Local\Temp\OnboardLogs" /stypes="app*4009*20171209*" /stext=" 00:.+((SYSTEM_STATE.+slice.+state.+changed )|(ment ac)|(multiple cpu faults)|(system.+state.+changed )|(\[timeout)|(PRM\|1\|D)|(kpr)|(kdp)|(train st.+moving)|(\|lc)|(penalty))"</v>
      </c>
      <c r="AG110" s="206" t="str">
        <f t="shared" si="46"/>
        <v>EC</v>
      </c>
      <c r="AH110" s="199" t="str">
        <f t="shared" si="47"/>
        <v>"%USERPROFILE%\Documents\GitHub\eaglep3\Utilities\RefineRTDCRunTimes.py" --tripid 196-08 --locoid 4009 --swversion DE.1.0.9.0 --startMP 204:232879 --initTime 2017-12-08T16:08:25 --startdatetime 2017-12-08T16:27:19 --delay 61 --endMP 204:220 --enddatetime 2017-12-08T17:05:48 --enforcementcount 0 &gt;&gt;%USERPROFILE%\Documents\GitHub\eaglep3-reporting\EC\2017-12-08-refined-times.txt</v>
      </c>
      <c r="AI11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{"issue":{"subject":"","project_id":79,"tracker_id":40,"status_id":1,"priority_id":2,"assigned_to_id":338,"start_date":"2017-12-08","description":"","custom_fields":[{"id":1,"name":"Subdivision","value":"EC"},{"id":4,"name":"Milepost","value":"0.022"},{"id":17,"name":"Train ID","value":"196-08"},{"id":16,"name":"Locomotive ID","value":"4009"},{"id":130,"name":"Impact","value":""},{"id":150,"name":"Time of Event (Mountain Time)","value":"17:05:48"},{"id":151,"name":"Denver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8"/>
      <c r="AK110" s="196"/>
      <c r="AL110" s="196"/>
      <c r="AM110" s="203" t="str">
        <f t="shared" si="49"/>
        <v>start /low /b %USERPROFILE%\Documents\GitHub\eaglep3\Utilities\DownloadLogsFromS3.py --loco 4009 --day 2017-12-08</v>
      </c>
      <c r="AN110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95" t="str">
        <f t="shared" si="51"/>
        <v>https://d0f6bd738d7f1b3e5a7ca70fe4ff75f0.us-east-1.aws.found.io/app/kibana#/discover/Steve-Slow-Train-Analysis-(2080s-and-2083s)?_g=(refreshInterval:(display:Off,pause:!f,section:0,value:0),time:(from:'2017-12-08T15:08:25-0700',mode:absolute,to:'2017-12-08T18:05:48-0700'))&amp;_a=(columns:!('Message%20ID',Summary),filters:!(),index:'emp_*',interval:auto,query:(query_string:(analyze_wildcard:!t,query:'%22rtdc.l.rtdc.4009%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1" customFormat="1" x14ac:dyDescent="0.25">
      <c r="A111" s="194" t="s">
        <v>838</v>
      </c>
      <c r="B111" s="190">
        <v>4020</v>
      </c>
      <c r="C111" s="192" t="s">
        <v>191</v>
      </c>
      <c r="D111" s="192" t="s">
        <v>457</v>
      </c>
      <c r="E111" s="191">
        <v>43077.652824074074</v>
      </c>
      <c r="F111" s="191">
        <v>43077.656585648147</v>
      </c>
      <c r="G111" s="190">
        <v>187</v>
      </c>
      <c r="H111" s="192" t="s">
        <v>641</v>
      </c>
      <c r="I111" s="191">
        <v>43077.683125000003</v>
      </c>
      <c r="J111" s="190">
        <v>0</v>
      </c>
      <c r="K111" s="200" t="str">
        <f t="shared" si="35"/>
        <v>4019/4020</v>
      </c>
      <c r="L111" s="207" t="str">
        <f>VLOOKUP(A111,'Trips&amp;Operators'!$C$1:$G$99911,5,FALSE)</f>
        <v>ANDREA WILLIAMS</v>
      </c>
      <c r="M111" s="189">
        <f t="shared" si="36"/>
        <v>2.6539351856627036E-2</v>
      </c>
      <c r="N111" s="190">
        <f t="shared" si="54"/>
        <v>38.216666673542932</v>
      </c>
      <c r="O111" s="190"/>
      <c r="P111" s="190"/>
      <c r="Q111" s="193"/>
      <c r="R111" s="205"/>
      <c r="S111" s="235">
        <f t="shared" si="53"/>
        <v>1</v>
      </c>
      <c r="T111" s="236" t="str">
        <f t="shared" si="37"/>
        <v>NorthBound</v>
      </c>
      <c r="U111" s="23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37" t="str">
        <f t="shared" si="38"/>
        <v>https://d0f6bd738d7f1b3e5a7ca70fe4ff75f0.us-east-1.aws.found.io/app/kibana#/discover/Steve-Slow-Train-Analysis-(2080s-and-2083s)?_g=(refreshInterval:(display:Off,pause:!f,section:0,value:0),time:(from:'2017-12-08T14:40:04-0700',mode:absolute,to:'2017-12-08T17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238" t="str">
        <f>IF(AA111&lt;VLOOKUP(AG111,Variables!$AC$3:$AD$8,2,FALSE),"Y","N")</f>
        <v>N</v>
      </c>
      <c r="X111" s="238">
        <f t="shared" si="39"/>
        <v>1</v>
      </c>
      <c r="Y111" s="238">
        <f t="shared" si="55"/>
        <v>4.4400000000000002E-2</v>
      </c>
      <c r="Z111" s="238">
        <f t="shared" si="56"/>
        <v>23.320900000000002</v>
      </c>
      <c r="AA111" s="238">
        <f t="shared" si="42"/>
        <v>23.276500000000002</v>
      </c>
      <c r="AB111" s="242" t="e">
        <f>VLOOKUP(A111,Enforcements!$C$7:$K$9,8,0)</f>
        <v>#N/A</v>
      </c>
      <c r="AC111" s="242" t="e">
        <f>VLOOKUP(A111,Enforcements!$C$7:$E$9,3,0)</f>
        <v>#N/A</v>
      </c>
      <c r="AD111" s="243">
        <f t="shared" si="43"/>
        <v>197</v>
      </c>
      <c r="AE111" s="198" t="str">
        <f t="shared" si="44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111" s="197" t="str">
        <f t="shared" si="45"/>
        <v>"C:\Program Files (x86)\AstroGrep\AstroGrep.exe" /e /r /s /spath="%USERPROFILE%\AppData\Local\Temp\OnboardLogs" /stypes="app*4020*20171208*" /stext=" 23:.+((SYSTEM_STATE.+slice.+state.+changed )|(ment ac)|(multiple cpu faults)|(system.+state.+changed )|(\[timeout)|(PRM\|1\|D)|(kpr)|(kdp)|(train st.+moving)|(\|lc)|(penalty))"</v>
      </c>
      <c r="AG111" s="206" t="str">
        <f t="shared" si="46"/>
        <v>EC</v>
      </c>
      <c r="AH111" s="199" t="str">
        <f t="shared" si="47"/>
        <v>"%USERPROFILE%\Documents\GitHub\eaglep3\Utilities\RefineRTDCRunTimes.py" --tripid 197-08 --locoid 4020 --swversion DE.1.0.9.0 --startMP 204:444 --initTime 2017-12-08T15:40:04 --startdatetime 2017-12-08T15:45:29 --delay 187 --endMP 204:233209 --enddatetime 2017-12-08T16:23:42 --enforcementcount 0 &gt;&gt;%USERPROFILE%\Documents\GitHub\eaglep3-reporting\EC\2017-12-08-refined-times.txt</v>
      </c>
      <c r="AI11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{"issue":{"subject":"","project_id":79,"tracker_id":40,"status_id":1,"priority_id":2,"assigned_to_id":338,"start_date":"2017-12-08","description":"","custom_fields":[{"id":1,"name":"Subdivision","value":"EC"},{"id":4,"name":"Milepost","value":"23.3209"},{"id":17,"name":"Train ID","value":"197-08"},{"id":16,"name":"Locomotive ID","value":"4020"},{"id":130,"name":"Impact","value":""},{"id":150,"name":"Time of Event (Mountain Time)","value":"16:23:42"},{"id":151,"name":"Denver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8"/>
      <c r="AK111" s="196"/>
      <c r="AL111" s="196"/>
      <c r="AM111" s="203" t="str">
        <f t="shared" si="49"/>
        <v>start /low /b %USERPROFILE%\Documents\GitHub\eaglep3\Utilities\DownloadLogsFromS3.py --loco 4020 --day 2017-12-08</v>
      </c>
      <c r="AN111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95" t="str">
        <f t="shared" si="51"/>
        <v>https://d0f6bd738d7f1b3e5a7ca70fe4ff75f0.us-east-1.aws.found.io/app/kibana#/discover/Steve-Slow-Train-Analysis-(2080s-and-2083s)?_g=(refreshInterval:(display:Off,pause:!f,section:0,value:0),time:(from:'2017-12-08T14:40:04-0700',mode:absolute,to:'2017-12-08T17:23:42-0700'))&amp;_a=(columns:!('Message%20ID',Summary),filters:!(),index:'emp_*',interval:auto,query:(query_string:(analyze_wildcard:!t,query:'%22rtdc.l.rtdc.4020%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194" t="s">
        <v>851</v>
      </c>
      <c r="B112" s="190">
        <v>4019</v>
      </c>
      <c r="C112" s="192" t="s">
        <v>191</v>
      </c>
      <c r="D112" s="192" t="s">
        <v>510</v>
      </c>
      <c r="E112" s="191">
        <v>43077.685150462959</v>
      </c>
      <c r="F112" s="191">
        <v>43077.696180555555</v>
      </c>
      <c r="G112" s="190">
        <v>87</v>
      </c>
      <c r="H112" s="192" t="s">
        <v>988</v>
      </c>
      <c r="I112" s="191">
        <v>43077.719560185185</v>
      </c>
      <c r="J112" s="190">
        <v>0</v>
      </c>
      <c r="K112" s="200" t="str">
        <f t="shared" si="35"/>
        <v>4019/4020</v>
      </c>
      <c r="L112" s="207" t="str">
        <f>VLOOKUP(A112,'Trips&amp;Operators'!$C$1:$G$99911,5,FALSE)</f>
        <v>ANDREA WILLIAMS</v>
      </c>
      <c r="M112" s="189">
        <f t="shared" si="36"/>
        <v>2.3379629630653653E-2</v>
      </c>
      <c r="N112" s="190"/>
      <c r="O112" s="190"/>
      <c r="P112" s="190">
        <f>24*60*SUM($M112:$M112)</f>
        <v>33.666666668141261</v>
      </c>
      <c r="Q112" s="193"/>
      <c r="R112" s="205" t="s">
        <v>440</v>
      </c>
      <c r="S112" s="235">
        <f t="shared" si="53"/>
        <v>1</v>
      </c>
      <c r="T112" s="236" t="str">
        <f t="shared" si="37"/>
        <v>Southbound</v>
      </c>
      <c r="U112" s="23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37" t="str">
        <f t="shared" si="38"/>
        <v>https://d0f6bd738d7f1b3e5a7ca70fe4ff75f0.us-east-1.aws.found.io/app/kibana#/discover/Steve-Slow-Train-Analysis-(2080s-and-2083s)?_g=(refreshInterval:(display:Off,pause:!f,section:0,value:0),time:(from:'2017-12-08T15:26:37-0700',mode:absolute,to:'2017-12-08T18:16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238" t="str">
        <f>IF(AA112&lt;VLOOKUP(AG112,Variables!$AC$3:$AD$8,2,FALSE),"Y","N")</f>
        <v>Y</v>
      </c>
      <c r="X112" s="238">
        <f t="shared" si="39"/>
        <v>1</v>
      </c>
      <c r="Y112" s="238">
        <f t="shared" si="55"/>
        <v>23.288599999999999</v>
      </c>
      <c r="Z112" s="238">
        <f t="shared" si="56"/>
        <v>2.1017999999999999</v>
      </c>
      <c r="AA112" s="238">
        <f t="shared" si="42"/>
        <v>21.186799999999998</v>
      </c>
      <c r="AB112" s="242" t="e">
        <f>VLOOKUP(A112,Enforcements!$C$7:$K$9,8,0)</f>
        <v>#N/A</v>
      </c>
      <c r="AC112" s="242" t="e">
        <f>VLOOKUP(A112,Enforcements!$C$7:$E$9,3,0)</f>
        <v>#N/A</v>
      </c>
      <c r="AD112" s="243">
        <f t="shared" si="43"/>
        <v>198</v>
      </c>
      <c r="AE112" s="198" t="str">
        <f t="shared" si="44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112" s="197" t="str">
        <f t="shared" si="45"/>
        <v>"C:\Program Files (x86)\AstroGrep\AstroGrep.exe" /e /r /s /spath="%USERPROFILE%\AppData\Local\Temp\OnboardLogs" /stypes="app*4019*20171209*" /stext=" 00:.+((SYSTEM_STATE.+slice.+state.+changed )|(ment ac)|(multiple cpu faults)|(system.+state.+changed )|(\[timeout)|(PRM\|1\|D)|(kpr)|(kdp)|(train st.+moving)|(\|lc)|(penalty))"</v>
      </c>
      <c r="AG112" s="206" t="str">
        <f t="shared" si="46"/>
        <v>EC</v>
      </c>
      <c r="AH112" s="199" t="str">
        <f t="shared" si="47"/>
        <v>"%USERPROFILE%\Documents\GitHub\eaglep3\Utilities\RefineRTDCRunTimes.py" --tripid 198-08 --locoid 4019 --swversion DE.1.0.9.0 --startMP 204:232886 --initTime 2017-12-08T16:26:37 --startdatetime 2017-12-08T16:42:30 --delay 87 --endMP 204:21018 --enddatetime 2017-12-08T17:16:10 --enforcementcount 0 &gt;&gt;%USERPROFILE%\Documents\GitHub\eaglep3-reporting\EC\2017-12-08-refined-times.txt</v>
      </c>
      <c r="AI112" s="201" t="str">
        <f t="shared" si="48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drop","project_id":79,"tracker_id":40,"status_id":1,"priority_id":2,"assigned_to_id":338,"start_date":"2017-12-08","description":"","custom_fields":[{"id":1,"name":"Subdivision","value":"EC"},{"id":4,"name":"Milepost","value":"2.1018"},{"id":17,"name":"Train ID","value":"198-08"},{"id":16,"name":"Locomotive ID","value":"4019"},{"id":130,"name":"Impact","value":""},{"id":150,"name":"Time of Event (Mountain Time)","value":"17:16:10"},{"id":151,"name":"Denver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8"/>
      <c r="AK112" s="196"/>
      <c r="AL112" s="196"/>
      <c r="AM112" s="203" t="str">
        <f t="shared" si="49"/>
        <v>start /low /b %USERPROFILE%\Documents\GitHub\eaglep3\Utilities\DownloadLogsFromS3.py --loco 4019 --day 2017-12-08</v>
      </c>
      <c r="AN112" s="204" t="str">
        <f t="shared" si="50"/>
        <v>echo {"issue":{"subject":"Wi-MAX data drop","project_id":30,"tracker_id":4,"status_id":1,"priority_id":1,"assigned_to_id":10,"start_date":"2017-12-09","description":"","custom_fields":[{"id":30,"name":"Category","value":"Issue"},{"id":3,"name":"Functional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00:16:10"},{"id":29,"name":"Sharepoint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95" t="str">
        <f t="shared" si="51"/>
        <v>https://d0f6bd738d7f1b3e5a7ca70fe4ff75f0.us-east-1.aws.found.io/app/kibana#/discover/Steve-Slow-Train-Analysis-(2080s-and-2083s)?_g=(refreshInterval:(display:Off,pause:!f,section:0,value:0),time:(from:'2017-12-08T15:26:37-0700',mode:absolute,to:'2017-12-08T18:16:10-0700'))&amp;_a=(columns:!('Message%20ID',Summary),filters:!(),index:'emp_*',interval:auto,query:(query_string:(analyze_wildcard:!t,query:'%22rtdc.l.rtdc.4019%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188" customFormat="1" x14ac:dyDescent="0.25">
      <c r="A113" s="194" t="s">
        <v>841</v>
      </c>
      <c r="B113" s="190">
        <v>4032</v>
      </c>
      <c r="C113" s="192" t="s">
        <v>191</v>
      </c>
      <c r="D113" s="192" t="s">
        <v>469</v>
      </c>
      <c r="E113" s="191">
        <v>43077.662453703706</v>
      </c>
      <c r="F113" s="191">
        <v>43077.666851851849</v>
      </c>
      <c r="G113" s="190">
        <v>54</v>
      </c>
      <c r="H113" s="192" t="s">
        <v>646</v>
      </c>
      <c r="I113" s="191">
        <v>43077.692824074074</v>
      </c>
      <c r="J113" s="190">
        <v>0</v>
      </c>
      <c r="K113" s="200" t="str">
        <f t="shared" si="35"/>
        <v>4031/4032</v>
      </c>
      <c r="L113" s="207" t="str">
        <f>VLOOKUP(A113,'Trips&amp;Operators'!$C$1:$G$99911,5,FALSE)</f>
        <v>BADERTSCHER DIANE</v>
      </c>
      <c r="M113" s="189">
        <f t="shared" si="36"/>
        <v>2.5972222225391306E-2</v>
      </c>
      <c r="N113" s="190">
        <f t="shared" ref="N113:N133" si="57">24*60*SUM($M113:$M113)</f>
        <v>37.400000004563481</v>
      </c>
      <c r="O113" s="190"/>
      <c r="P113" s="190"/>
      <c r="Q113" s="193"/>
      <c r="R113" s="205"/>
      <c r="S113" s="235">
        <f t="shared" si="53"/>
        <v>1</v>
      </c>
      <c r="T113" s="236" t="str">
        <f t="shared" si="37"/>
        <v>NorthBound</v>
      </c>
      <c r="U113" s="23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37" t="str">
        <f t="shared" si="38"/>
        <v>https://d0f6bd738d7f1b3e5a7ca70fe4ff75f0.us-east-1.aws.found.io/app/kibana#/discover/Steve-Slow-Train-Analysis-(2080s-and-2083s)?_g=(refreshInterval:(display:Off,pause:!f,section:0,value:0),time:(from:'2017-12-08T14:53:56-0700',mode:absolute,to:'2017-12-08T17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238" t="str">
        <f>IF(AA113&lt;VLOOKUP(AG113,Variables!$AC$3:$AD$8,2,FALSE),"Y","N")</f>
        <v>N</v>
      </c>
      <c r="X113" s="238">
        <f t="shared" si="39"/>
        <v>1</v>
      </c>
      <c r="Y113" s="238">
        <f t="shared" si="55"/>
        <v>5.28E-2</v>
      </c>
      <c r="Z113" s="238">
        <f t="shared" si="56"/>
        <v>23.3249</v>
      </c>
      <c r="AA113" s="238">
        <f t="shared" si="42"/>
        <v>23.272099999999998</v>
      </c>
      <c r="AB113" s="242" t="e">
        <f>VLOOKUP(A113,Enforcements!$C$7:$K$9,8,0)</f>
        <v>#N/A</v>
      </c>
      <c r="AC113" s="242" t="e">
        <f>VLOOKUP(A113,Enforcements!$C$7:$E$9,3,0)</f>
        <v>#N/A</v>
      </c>
      <c r="AD113" s="243">
        <f t="shared" si="43"/>
        <v>199</v>
      </c>
      <c r="AE113" s="198" t="str">
        <f t="shared" si="44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13" s="197" t="str">
        <f t="shared" si="45"/>
        <v>"C:\Program Files (x86)\AstroGrep\AstroGrep.exe" /e /r /s /spath="%USERPROFILE%\AppData\Local\Temp\OnboardLogs" /stypes="app*4032*20171208*" /stext=" 23:.+((SYSTEM_STATE.+slice.+state.+changed )|(ment ac)|(multiple cpu faults)|(system.+state.+changed )|(\[timeout)|(PRM\|1\|D)|(kpr)|(kdp)|(train st.+moving)|(\|lc)|(penalty))"</v>
      </c>
      <c r="AG113" s="206" t="str">
        <f t="shared" si="46"/>
        <v>EC</v>
      </c>
      <c r="AH113" s="199" t="str">
        <f t="shared" si="47"/>
        <v>"%USERPROFILE%\Documents\GitHub\eaglep3\Utilities\RefineRTDCRunTimes.py" --tripid 199-08 --locoid 4032 --swversion DE.1.0.9.0 --startMP 204:528 --initTime 2017-12-08T15:53:56 --startdatetime 2017-12-08T16:00:16 --delay 54 --endMP 204:233249 --enddatetime 2017-12-08T16:37:40 --enforcementcount 0 &gt;&gt;%USERPROFILE%\Documents\GitHub\eaglep3-reporting\EC\2017-12-08-refined-times.txt</v>
      </c>
      <c r="AI11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{"issue":{"subject":"","project_id":79,"tracker_id":40,"status_id":1,"priority_id":2,"assigned_to_id":338,"start_date":"2017-12-08","description":"","custom_fields":[{"id":1,"name":"Subdivision","value":"EC"},{"id":4,"name":"Milepost","value":"23.3249"},{"id":17,"name":"Train ID","value":"199-08"},{"id":16,"name":"Locomotive ID","value":"4032"},{"id":130,"name":"Impact","value":""},{"id":150,"name":"Time of Event (Mountain Time)","value":"16:37:40"},{"id":151,"name":"Denver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196"/>
      <c r="AL113" s="196"/>
      <c r="AM113" s="203" t="str">
        <f t="shared" si="49"/>
        <v>start /low /b %USERPROFILE%\Documents\GitHub\eaglep3\Utilities\DownloadLogsFromS3.py --loco 4032 --day 2017-12-08</v>
      </c>
      <c r="AN113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95" t="str">
        <f t="shared" si="51"/>
        <v>https://d0f6bd738d7f1b3e5a7ca70fe4ff75f0.us-east-1.aws.found.io/app/kibana#/discover/Steve-Slow-Train-Analysis-(2080s-and-2083s)?_g=(refreshInterval:(display:Off,pause:!f,section:0,value:0),time:(from:'2017-12-08T14:53:56-0700',mode:absolute,to:'2017-12-08T17:37:40-0700'))&amp;_a=(columns:!('Message%20ID',Summary),filters:!(),index:'emp_*',interval:auto,query:(query_string:(analyze_wildcard:!t,query:'%22rtdc.l.rtdc.4032%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194" t="s">
        <v>854</v>
      </c>
      <c r="B114" s="190">
        <v>4031</v>
      </c>
      <c r="C114" s="192" t="s">
        <v>191</v>
      </c>
      <c r="D114" s="192" t="s">
        <v>936</v>
      </c>
      <c r="E114" s="191">
        <v>43077.70171296296</v>
      </c>
      <c r="F114" s="191">
        <v>43077.706423611111</v>
      </c>
      <c r="G114" s="190">
        <v>79</v>
      </c>
      <c r="H114" s="192" t="s">
        <v>567</v>
      </c>
      <c r="I114" s="191">
        <v>43077.734224537038</v>
      </c>
      <c r="J114" s="190">
        <v>0</v>
      </c>
      <c r="K114" s="200" t="str">
        <f t="shared" si="35"/>
        <v>4031/4032</v>
      </c>
      <c r="L114" s="207" t="str">
        <f>VLOOKUP(A114,'Trips&amp;Operators'!$C$1:$G$99911,5,FALSE)</f>
        <v>BADERTSCHER DIANE</v>
      </c>
      <c r="M114" s="189">
        <f t="shared" si="36"/>
        <v>2.7800925927294884E-2</v>
      </c>
      <c r="N114" s="190">
        <f t="shared" si="57"/>
        <v>40.033333335304633</v>
      </c>
      <c r="O114" s="190"/>
      <c r="P114" s="190"/>
      <c r="Q114" s="193"/>
      <c r="R114" s="205"/>
      <c r="S114" s="235">
        <f t="shared" si="53"/>
        <v>1</v>
      </c>
      <c r="T114" s="236" t="str">
        <f t="shared" si="37"/>
        <v>Southbound</v>
      </c>
      <c r="U114" s="23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37" t="str">
        <f t="shared" si="38"/>
        <v>https://d0f6bd738d7f1b3e5a7ca70fe4ff75f0.us-east-1.aws.found.io/app/kibana#/discover/Steve-Slow-Train-Analysis-(2080s-and-2083s)?_g=(refreshInterval:(display:Off,pause:!f,section:0,value:0),time:(from:'2017-12-08T15:50:28-0700',mode:absolute,to:'2017-12-08T18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238" t="str">
        <f>IF(AA114&lt;VLOOKUP(AG114,Variables!$AC$3:$AD$8,2,FALSE),"Y","N")</f>
        <v>N</v>
      </c>
      <c r="X114" s="238">
        <f t="shared" si="39"/>
        <v>1</v>
      </c>
      <c r="Y114" s="238">
        <f t="shared" si="55"/>
        <v>23.293399999999998</v>
      </c>
      <c r="Z114" s="238">
        <f t="shared" si="56"/>
        <v>2.2499999999999999E-2</v>
      </c>
      <c r="AA114" s="238">
        <f t="shared" si="42"/>
        <v>23.270899999999997</v>
      </c>
      <c r="AB114" s="242" t="e">
        <f>VLOOKUP(A114,Enforcements!$C$7:$K$9,8,0)</f>
        <v>#N/A</v>
      </c>
      <c r="AC114" s="242" t="e">
        <f>VLOOKUP(A114,Enforcements!$C$7:$E$9,3,0)</f>
        <v>#N/A</v>
      </c>
      <c r="AD114" s="243">
        <f t="shared" si="43"/>
        <v>200</v>
      </c>
      <c r="AE114" s="198" t="str">
        <f t="shared" si="44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14" s="197" t="str">
        <f t="shared" si="45"/>
        <v>"C:\Program Files (x86)\AstroGrep\AstroGrep.exe" /e /r /s /spath="%USERPROFILE%\AppData\Local\Temp\OnboardLogs" /stypes="app*4031*20171209*" /stext=" 00:.+((SYSTEM_STATE.+slice.+state.+changed )|(ment ac)|(multiple cpu faults)|(system.+state.+changed )|(\[timeout)|(PRM\|1\|D)|(kpr)|(kdp)|(train st.+moving)|(\|lc)|(penalty))"</v>
      </c>
      <c r="AG114" s="206" t="str">
        <f t="shared" si="46"/>
        <v>EC</v>
      </c>
      <c r="AH114" s="199" t="str">
        <f t="shared" si="47"/>
        <v>"%USERPROFILE%\Documents\GitHub\eaglep3\Utilities\RefineRTDCRunTimes.py" --tripid 200-08 --locoid 4031 --swversion DE.1.0.9.0 --startMP 204:232934 --initTime 2017-12-08T16:50:28 --startdatetime 2017-12-08T16:57:15 --delay 79 --endMP 204:225 --enddatetime 2017-12-08T17:37:17 --enforcementcount 0 &gt;&gt;%USERPROFILE%\Documents\GitHub\eaglep3-reporting\EC\2017-12-08-refined-times.txt</v>
      </c>
      <c r="AI11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{"issue":{"subject":"","project_id":79,"tracker_id":40,"status_id":1,"priority_id":2,"assigned_to_id":338,"start_date":"2017-12-08","description":"","custom_fields":[{"id":1,"name":"Subdivision","value":"EC"},{"id":4,"name":"Milepost","value":"0.0225"},{"id":17,"name":"Train ID","value":"200-08"},{"id":16,"name":"Locomotive ID","value":"4031"},{"id":130,"name":"Impact","value":""},{"id":150,"name":"Time of Event (Mountain Time)","value":"17:37:17"},{"id":151,"name":"Denver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188"/>
      <c r="AK114" s="196"/>
      <c r="AL114" s="196"/>
      <c r="AM114" s="203" t="str">
        <f t="shared" si="49"/>
        <v>start /low /b %USERPROFILE%\Documents\GitHub\eaglep3\Utilities\DownloadLogsFromS3.py --loco 4031 --day 2017-12-08</v>
      </c>
      <c r="AN114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95" t="str">
        <f t="shared" si="51"/>
        <v>https://d0f6bd738d7f1b3e5a7ca70fe4ff75f0.us-east-1.aws.found.io/app/kibana#/discover/Steve-Slow-Train-Analysis-(2080s-and-2083s)?_g=(refreshInterval:(display:Off,pause:!f,section:0,value:0),time:(from:'2017-12-08T15:50:28-0700',mode:absolute,to:'2017-12-08T18:37:17-0700'))&amp;_a=(columns:!('Message%20ID',Summary),filters:!(),index:'emp_*',interval:auto,query:(query_string:(analyze_wildcard:!t,query:'%22rtdc.l.rtdc.4031%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194" t="s">
        <v>845</v>
      </c>
      <c r="B115" s="190">
        <v>4016</v>
      </c>
      <c r="C115" s="192" t="s">
        <v>191</v>
      </c>
      <c r="D115" s="192" t="s">
        <v>447</v>
      </c>
      <c r="E115" s="191">
        <v>43077.670543981483</v>
      </c>
      <c r="F115" s="191">
        <v>43077.67728009259</v>
      </c>
      <c r="G115" s="190">
        <v>308</v>
      </c>
      <c r="H115" s="192" t="s">
        <v>649</v>
      </c>
      <c r="I115" s="191">
        <v>43077.701921296299</v>
      </c>
      <c r="J115" s="190">
        <v>0</v>
      </c>
      <c r="K115" s="200" t="str">
        <f t="shared" si="35"/>
        <v>4015/4016</v>
      </c>
      <c r="L115" s="207" t="str">
        <f>VLOOKUP(A115,'Trips&amp;Operators'!$C$1:$G$99911,5,FALSE)</f>
        <v>HOLCOMB KAMDEN</v>
      </c>
      <c r="M115" s="189">
        <f t="shared" si="36"/>
        <v>2.4641203708597459E-2</v>
      </c>
      <c r="N115" s="190">
        <f t="shared" si="57"/>
        <v>35.483333340380341</v>
      </c>
      <c r="O115" s="190"/>
      <c r="P115" s="190"/>
      <c r="Q115" s="193"/>
      <c r="R115" s="205"/>
      <c r="S115" s="235">
        <f t="shared" si="53"/>
        <v>1</v>
      </c>
      <c r="T115" s="236" t="str">
        <f t="shared" si="37"/>
        <v>NorthBound</v>
      </c>
      <c r="U115" s="23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37" t="str">
        <f t="shared" si="38"/>
        <v>https://d0f6bd738d7f1b3e5a7ca70fe4ff75f0.us-east-1.aws.found.io/app/kibana#/discover/Steve-Slow-Train-Analysis-(2080s-and-2083s)?_g=(refreshInterval:(display:Off,pause:!f,section:0,value:0),time:(from:'2017-12-08T15:05:35-0700',mode:absolute,to:'2017-12-08T17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238" t="str">
        <f>IF(AA115&lt;VLOOKUP(AG115,Variables!$AC$3:$AD$8,2,FALSE),"Y","N")</f>
        <v>N</v>
      </c>
      <c r="X115" s="238">
        <f t="shared" si="39"/>
        <v>1</v>
      </c>
      <c r="Y115" s="238">
        <f t="shared" si="55"/>
        <v>5.1700000000000003E-2</v>
      </c>
      <c r="Z115" s="238">
        <f t="shared" si="56"/>
        <v>23.323399999999999</v>
      </c>
      <c r="AA115" s="238">
        <f t="shared" si="42"/>
        <v>23.271699999999999</v>
      </c>
      <c r="AB115" s="242" t="e">
        <f>VLOOKUP(A115,Enforcements!$C$7:$K$9,8,0)</f>
        <v>#N/A</v>
      </c>
      <c r="AC115" s="242" t="e">
        <f>VLOOKUP(A115,Enforcements!$C$7:$E$9,3,0)</f>
        <v>#N/A</v>
      </c>
      <c r="AD115" s="243">
        <f t="shared" si="43"/>
        <v>201</v>
      </c>
      <c r="AE115" s="198" t="str">
        <f t="shared" si="44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115" s="197" t="str">
        <f t="shared" si="45"/>
        <v>"C:\Program Files (x86)\AstroGrep\AstroGrep.exe" /e /r /s /spath="%USERPROFILE%\AppData\Local\Temp\OnboardLogs" /stypes="app*4016*20171208*" /stext=" 23:.+((SYSTEM_STATE.+slice.+state.+changed )|(ment ac)|(multiple cpu faults)|(system.+state.+changed )|(\[timeout)|(PRM\|1\|D)|(kpr)|(kdp)|(train st.+moving)|(\|lc)|(penalty))"</v>
      </c>
      <c r="AG115" s="206" t="str">
        <f t="shared" si="46"/>
        <v>EC</v>
      </c>
      <c r="AH115" s="199" t="str">
        <f t="shared" si="47"/>
        <v>"%USERPROFILE%\Documents\GitHub\eaglep3\Utilities\RefineRTDCRunTimes.py" --tripid 201-08 --locoid 4016 --swversion DE.1.0.9.0 --startMP 204:517 --initTime 2017-12-08T16:05:35 --startdatetime 2017-12-08T16:15:17 --delay 308 --endMP 204:233234 --enddatetime 2017-12-08T16:50:46 --enforcementcount 0 &gt;&gt;%USERPROFILE%\Documents\GitHub\eaglep3-reporting\EC\2017-12-08-refined-times.txt</v>
      </c>
      <c r="AI11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{"issue":{"subject":"","project_id":79,"tracker_id":40,"status_id":1,"priority_id":2,"assigned_to_id":338,"start_date":"2017-12-08","description":"","custom_fields":[{"id":1,"name":"Subdivision","value":"EC"},{"id":4,"name":"Milepost","value":"23.3234"},{"id":17,"name":"Train ID","value":"201-08"},{"id":16,"name":"Locomotive ID","value":"4016"},{"id":130,"name":"Impact","value":""},{"id":150,"name":"Time of Event (Mountain Time)","value":"16:50:46"},{"id":151,"name":"Denver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188"/>
      <c r="AK115" s="196"/>
      <c r="AL115" s="196"/>
      <c r="AM115" s="203" t="str">
        <f t="shared" si="49"/>
        <v>start /low /b %USERPROFILE%\Documents\GitHub\eaglep3\Utilities\DownloadLogsFromS3.py --loco 4016 --day 2017-12-08</v>
      </c>
      <c r="AN115" s="204" t="str">
        <f t="shared" si="50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95" t="str">
        <f t="shared" si="51"/>
        <v>https://d0f6bd738d7f1b3e5a7ca70fe4ff75f0.us-east-1.aws.found.io/app/kibana#/discover/Steve-Slow-Train-Analysis-(2080s-and-2083s)?_g=(refreshInterval:(display:Off,pause:!f,section:0,value:0),time:(from:'2017-12-08T15:05:35-0700',mode:absolute,to:'2017-12-08T17:50:46-0700'))&amp;_a=(columns:!('Message%20ID',Summary),filters:!(),index:'emp_*',interval:auto,query:(query_string:(analyze_wildcard:!t,query:'%22rtdc.l.rtdc.4016%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188" customFormat="1" x14ac:dyDescent="0.25">
      <c r="A116" s="194" t="s">
        <v>857</v>
      </c>
      <c r="B116" s="190">
        <v>4015</v>
      </c>
      <c r="C116" s="192" t="s">
        <v>191</v>
      </c>
      <c r="D116" s="192" t="s">
        <v>630</v>
      </c>
      <c r="E116" s="191">
        <v>43077.713368055556</v>
      </c>
      <c r="F116" s="191">
        <v>43077.716851851852</v>
      </c>
      <c r="G116" s="190">
        <v>89</v>
      </c>
      <c r="H116" s="192" t="s">
        <v>577</v>
      </c>
      <c r="I116" s="191">
        <v>43077.742129629631</v>
      </c>
      <c r="J116" s="190">
        <v>0</v>
      </c>
      <c r="K116" s="200" t="str">
        <f t="shared" si="35"/>
        <v>4015/4016</v>
      </c>
      <c r="L116" s="207" t="str">
        <f>VLOOKUP(A116,'Trips&amp;Operators'!$C$1:$G$99911,5,FALSE)</f>
        <v>HOLCOMB KAMDEN</v>
      </c>
      <c r="M116" s="189">
        <f t="shared" si="36"/>
        <v>2.527777777868323E-2</v>
      </c>
      <c r="N116" s="190">
        <f t="shared" si="57"/>
        <v>36.400000001303852</v>
      </c>
      <c r="O116" s="190"/>
      <c r="P116" s="190"/>
      <c r="Q116" s="193"/>
      <c r="R116" s="205"/>
      <c r="S116" s="235">
        <f t="shared" si="53"/>
        <v>1</v>
      </c>
      <c r="T116" s="236" t="str">
        <f t="shared" si="37"/>
        <v>Southbound</v>
      </c>
      <c r="U116" s="23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37" t="str">
        <f t="shared" si="38"/>
        <v>https://d0f6bd738d7f1b3e5a7ca70fe4ff75f0.us-east-1.aws.found.io/app/kibana#/discover/Steve-Slow-Train-Analysis-(2080s-and-2083s)?_g=(refreshInterval:(display:Off,pause:!f,section:0,value:0),time:(from:'2017-12-08T16:07:15-0700',mode:absolute,to:'2017-12-08T18:48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238" t="str">
        <f>IF(AA116&lt;VLOOKUP(AG116,Variables!$AC$3:$AD$8,2,FALSE),"Y","N")</f>
        <v>N</v>
      </c>
      <c r="X116" s="238">
        <f t="shared" si="39"/>
        <v>1</v>
      </c>
      <c r="Y116" s="238">
        <f t="shared" si="55"/>
        <v>23.290500000000002</v>
      </c>
      <c r="Z116" s="238">
        <f t="shared" si="56"/>
        <v>1.9599999999999999E-2</v>
      </c>
      <c r="AA116" s="238">
        <f t="shared" si="42"/>
        <v>23.270900000000001</v>
      </c>
      <c r="AB116" s="242" t="e">
        <f>VLOOKUP(A116,Enforcements!$C$7:$K$9,8,0)</f>
        <v>#N/A</v>
      </c>
      <c r="AC116" s="242" t="e">
        <f>VLOOKUP(A116,Enforcements!$C$7:$E$9,3,0)</f>
        <v>#N/A</v>
      </c>
      <c r="AD116" s="243">
        <f t="shared" si="43"/>
        <v>202</v>
      </c>
      <c r="AE116" s="198" t="str">
        <f t="shared" si="44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116" s="197" t="str">
        <f t="shared" si="45"/>
        <v>"C:\Program Files (x86)\AstroGrep\AstroGrep.exe" /e /r /s /spath="%USERPROFILE%\AppData\Local\Temp\OnboardLogs" /stypes="app*4015*20171209*" /stext=" 00:.+((SYSTEM_STATE.+slice.+state.+changed )|(ment ac)|(multiple cpu faults)|(system.+state.+changed )|(\[timeout)|(PRM\|1\|D)|(kpr)|(kdp)|(train st.+moving)|(\|lc)|(penalty))"</v>
      </c>
      <c r="AG116" s="206" t="str">
        <f t="shared" si="46"/>
        <v>EC</v>
      </c>
      <c r="AH116" s="199" t="str">
        <f t="shared" si="47"/>
        <v>"%USERPROFILE%\Documents\GitHub\eaglep3\Utilities\RefineRTDCRunTimes.py" --tripid 202-08 --locoid 4015 --swversion DE.1.0.9.0 --startMP 204:232905 --initTime 2017-12-08T17:07:15 --startdatetime 2017-12-08T17:12:16 --delay 89 --endMP 204:196 --enddatetime 2017-12-08T17:48:40 --enforcementcount 0 &gt;&gt;%USERPROFILE%\Documents\GitHub\eaglep3-reporting\EC\2017-12-08-refined-times.txt</v>
      </c>
      <c r="AI11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{"issue":{"subject":"","project_id":79,"tracker_id":40,"status_id":1,"priority_id":2,"assigned_to_id":338,"start_date":"2017-12-08","description":"","custom_fields":[{"id":1,"name":"Subdivision","value":"EC"},{"id":4,"name":"Milepost","value":"0.0196"},{"id":17,"name":"Train ID","value":"202-08"},{"id":16,"name":"Locomotive ID","value":"4015"},{"id":130,"name":"Impact","value":""},{"id":150,"name":"Time of Event (Mountain Time)","value":"17:48:40"},{"id":151,"name":"Denver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196"/>
      <c r="AL116" s="196"/>
      <c r="AM116" s="203" t="str">
        <f t="shared" si="49"/>
        <v>start /low /b %USERPROFILE%\Documents\GitHub\eaglep3\Utilities\DownloadLogsFromS3.py --loco 4015 --day 2017-12-08</v>
      </c>
      <c r="AN116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95" t="str">
        <f t="shared" si="51"/>
        <v>https://d0f6bd738d7f1b3e5a7ca70fe4ff75f0.us-east-1.aws.found.io/app/kibana#/discover/Steve-Slow-Train-Analysis-(2080s-and-2083s)?_g=(refreshInterval:(display:Off,pause:!f,section:0,value:0),time:(from:'2017-12-08T16:07:15-0700',mode:absolute,to:'2017-12-08T18:48:40-0700'))&amp;_a=(columns:!('Message%20ID',Summary),filters:!(),index:'emp_*',interval:auto,query:(query_string:(analyze_wildcard:!t,query:'%22rtdc.l.rtdc.4015%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194" t="s">
        <v>850</v>
      </c>
      <c r="B117" s="190">
        <v>4064</v>
      </c>
      <c r="C117" s="192" t="s">
        <v>191</v>
      </c>
      <c r="D117" s="192" t="s">
        <v>413</v>
      </c>
      <c r="E117" s="191">
        <v>43077.685162037036</v>
      </c>
      <c r="F117" s="191">
        <v>43077.687731481485</v>
      </c>
      <c r="G117" s="190">
        <v>65</v>
      </c>
      <c r="H117" s="192" t="s">
        <v>978</v>
      </c>
      <c r="I117" s="191">
        <v>43077.712881944448</v>
      </c>
      <c r="J117" s="190">
        <v>0</v>
      </c>
      <c r="K117" s="200" t="str">
        <f t="shared" si="35"/>
        <v>4063/4064</v>
      </c>
      <c r="L117" s="207" t="str">
        <f>VLOOKUP(A117,'Trips&amp;Operators'!$C$1:$G$99911,5,FALSE)</f>
        <v>SAFIEF AEIMEN</v>
      </c>
      <c r="M117" s="189">
        <f t="shared" si="36"/>
        <v>2.5150462963210884E-2</v>
      </c>
      <c r="N117" s="190">
        <f t="shared" si="57"/>
        <v>36.216666667023674</v>
      </c>
      <c r="O117" s="190"/>
      <c r="P117" s="190"/>
      <c r="Q117" s="193"/>
      <c r="R117" s="205"/>
      <c r="S117" s="235">
        <f t="shared" si="53"/>
        <v>1</v>
      </c>
      <c r="T117" s="236" t="str">
        <f t="shared" si="37"/>
        <v>NorthBound</v>
      </c>
      <c r="U117" s="23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37" t="str">
        <f t="shared" si="38"/>
        <v>https://d0f6bd738d7f1b3e5a7ca70fe4ff75f0.us-east-1.aws.found.io/app/kibana#/discover/Steve-Slow-Train-Analysis-(2080s-and-2083s)?_g=(refreshInterval:(display:Off,pause:!f,section:0,value:0),time:(from:'2017-12-08T15:26:38-0700',mode:absolute,to:'2017-12-08T18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7" s="238" t="str">
        <f>IF(AA117&lt;VLOOKUP(AG117,Variables!$AC$3:$AD$8,2,FALSE),"Y","N")</f>
        <v>N</v>
      </c>
      <c r="X117" s="238">
        <f t="shared" si="39"/>
        <v>1</v>
      </c>
      <c r="Y117" s="238">
        <f t="shared" si="55"/>
        <v>5.0799999999999998E-2</v>
      </c>
      <c r="Z117" s="238">
        <f t="shared" si="56"/>
        <v>23.324200000000001</v>
      </c>
      <c r="AA117" s="238">
        <f t="shared" si="42"/>
        <v>23.273400000000002</v>
      </c>
      <c r="AB117" s="242" t="e">
        <f>VLOOKUP(A117,Enforcements!$C$7:$K$9,8,0)</f>
        <v>#N/A</v>
      </c>
      <c r="AC117" s="242" t="e">
        <f>VLOOKUP(A117,Enforcements!$C$7:$E$9,3,0)</f>
        <v>#N/A</v>
      </c>
      <c r="AD117" s="243">
        <f t="shared" si="43"/>
        <v>203</v>
      </c>
      <c r="AE117" s="198" t="str">
        <f t="shared" si="44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17" s="197" t="str">
        <f t="shared" si="45"/>
        <v>"C:\Program Files (x86)\AstroGrep\AstroGrep.exe" /e /r /s /spath="%USERPROFILE%\AppData\Local\Temp\OnboardLogs" /stypes="app*4064*20171209*" /stext=" 00:.+((SYSTEM_STATE.+slice.+state.+changed )|(ment ac)|(multiple cpu faults)|(system.+state.+changed )|(\[timeout)|(PRM\|1\|D)|(kpr)|(kdp)|(train st.+moving)|(\|lc)|(penalty))"</v>
      </c>
      <c r="AG117" s="206" t="str">
        <f t="shared" si="46"/>
        <v>EC</v>
      </c>
      <c r="AH117" s="199" t="str">
        <f t="shared" si="47"/>
        <v>"%USERPROFILE%\Documents\GitHub\eaglep3\Utilities\RefineRTDCRunTimes.py" --tripid 203-08 --locoid 4064 --swversion DE.1.0.9.0 --startMP 204:508 --initTime 2017-12-08T16:26:38 --startdatetime 2017-12-08T16:30:20 --delay 65 --endMP 204:233242 --enddatetime 2017-12-08T17:06:33 --enforcementcount 0 &gt;&gt;%USERPROFILE%\Documents\GitHub\eaglep3-reporting\EC\2017-12-08-refined-times.txt</v>
      </c>
      <c r="AI117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{"issue":{"subject":"","project_id":79,"tracker_id":40,"status_id":1,"priority_id":2,"assigned_to_id":338,"start_date":"2017-12-08","description":"","custom_fields":[{"id":1,"name":"Subdivision","value":"EC"},{"id":4,"name":"Milepost","value":"23.3242"},{"id":17,"name":"Train ID","value":"203-08"},{"id":16,"name":"Locomotive ID","value":"4064"},{"id":130,"name":"Impact","value":""},{"id":150,"name":"Time of Event (Mountain Time)","value":"17:06:33"},{"id":151,"name":"Denver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188"/>
      <c r="AK117" s="196"/>
      <c r="AL117" s="196"/>
      <c r="AM117" s="203" t="str">
        <f t="shared" si="49"/>
        <v>start /low /b %USERPROFILE%\Documents\GitHub\eaglep3\Utilities\DownloadLogsFromS3.py --loco 4064 --day 2017-12-08</v>
      </c>
      <c r="AN117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95" t="str">
        <f t="shared" si="51"/>
        <v>https://d0f6bd738d7f1b3e5a7ca70fe4ff75f0.us-east-1.aws.found.io/app/kibana#/discover/Steve-Slow-Train-Analysis-(2080s-and-2083s)?_g=(refreshInterval:(display:Off,pause:!f,section:0,value:0),time:(from:'2017-12-08T15:26:38-0700',mode:absolute,to:'2017-12-08T18:06:33-0700'))&amp;_a=(columns:!('Message%20ID',Summary),filters:!(),index:'emp_*',interval:auto,query:(query_string:(analyze_wildcard:!t,query:'%22rtdc.l.rtdc.4064%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194" t="s">
        <v>859</v>
      </c>
      <c r="B118" s="190">
        <v>4063</v>
      </c>
      <c r="C118" s="192" t="s">
        <v>191</v>
      </c>
      <c r="D118" s="192" t="s">
        <v>656</v>
      </c>
      <c r="E118" s="191">
        <v>43077.714965277781</v>
      </c>
      <c r="F118" s="191">
        <v>43077.727256944447</v>
      </c>
      <c r="G118" s="190">
        <v>62</v>
      </c>
      <c r="H118" s="192" t="s">
        <v>405</v>
      </c>
      <c r="I118" s="191">
        <v>43077.753263888888</v>
      </c>
      <c r="J118" s="190">
        <v>0</v>
      </c>
      <c r="K118" s="200" t="str">
        <f t="shared" si="35"/>
        <v>4063/4064</v>
      </c>
      <c r="L118" s="207" t="str">
        <f>VLOOKUP(A118,'Trips&amp;Operators'!$C$1:$G$99911,5,FALSE)</f>
        <v>SAFIEF AEIMEN</v>
      </c>
      <c r="M118" s="189">
        <f t="shared" si="36"/>
        <v>2.6006944441178348E-2</v>
      </c>
      <c r="N118" s="190">
        <f t="shared" si="57"/>
        <v>37.449999995296821</v>
      </c>
      <c r="O118" s="190"/>
      <c r="P118" s="190"/>
      <c r="Q118" s="193"/>
      <c r="R118" s="205"/>
      <c r="S118" s="235">
        <f t="shared" si="53"/>
        <v>1</v>
      </c>
      <c r="T118" s="236" t="str">
        <f t="shared" si="37"/>
        <v>Southbound</v>
      </c>
      <c r="U118" s="23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37" t="str">
        <f t="shared" si="38"/>
        <v>https://d0f6bd738d7f1b3e5a7ca70fe4ff75f0.us-east-1.aws.found.io/app/kibana#/discover/Steve-Slow-Train-Analysis-(2080s-and-2083s)?_g=(refreshInterval:(display:Off,pause:!f,section:0,value:0),time:(from:'2017-12-08T16:09:33-0700',mode:absolute,to:'2017-12-08T19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8" s="238" t="str">
        <f>IF(AA118&lt;VLOOKUP(AG118,Variables!$AC$3:$AD$8,2,FALSE),"Y","N")</f>
        <v>N</v>
      </c>
      <c r="X118" s="238">
        <f t="shared" si="39"/>
        <v>1</v>
      </c>
      <c r="Y118" s="238">
        <f t="shared" si="55"/>
        <v>23.2925</v>
      </c>
      <c r="Z118" s="238">
        <f t="shared" si="56"/>
        <v>2.07E-2</v>
      </c>
      <c r="AA118" s="238">
        <f t="shared" si="42"/>
        <v>23.271799999999999</v>
      </c>
      <c r="AB118" s="242" t="e">
        <f>VLOOKUP(A118,Enforcements!$C$7:$K$9,8,0)</f>
        <v>#N/A</v>
      </c>
      <c r="AC118" s="242" t="e">
        <f>VLOOKUP(A118,Enforcements!$C$7:$E$9,3,0)</f>
        <v>#N/A</v>
      </c>
      <c r="AD118" s="243">
        <f t="shared" si="43"/>
        <v>204</v>
      </c>
      <c r="AE118" s="198" t="str">
        <f t="shared" si="44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18" s="197" t="str">
        <f t="shared" si="45"/>
        <v>"C:\Program Files (x86)\AstroGrep\AstroGrep.exe" /e /r /s /spath="%USERPROFILE%\AppData\Local\Temp\OnboardLogs" /stypes="app*4063*20171209*" /stext=" 01:.+((SYSTEM_STATE.+slice.+state.+changed )|(ment ac)|(multiple cpu faults)|(system.+state.+changed )|(\[timeout)|(PRM\|1\|D)|(kpr)|(kdp)|(train st.+moving)|(\|lc)|(penalty))"</v>
      </c>
      <c r="AG118" s="206" t="str">
        <f t="shared" si="46"/>
        <v>EC</v>
      </c>
      <c r="AH118" s="199" t="str">
        <f t="shared" si="47"/>
        <v>"%USERPROFILE%\Documents\GitHub\eaglep3\Utilities\RefineRTDCRunTimes.py" --tripid 204-08 --locoid 4063 --swversion DE.1.0.9.0 --startMP 204:232925 --initTime 2017-12-08T17:09:33 --startdatetime 2017-12-08T17:27:15 --delay 62 --endMP 204:207 --enddatetime 2017-12-08T18:04:42 --enforcementcount 0 &gt;&gt;%USERPROFILE%\Documents\GitHub\eaglep3-reporting\EC\2017-12-08-refined-times.txt</v>
      </c>
      <c r="AI11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{"issue":{"subject":"","project_id":79,"tracker_id":40,"status_id":1,"priority_id":2,"assigned_to_id":338,"start_date":"2017-12-08","description":"","custom_fields":[{"id":1,"name":"Subdivision","value":"EC"},{"id":4,"name":"Milepost","value":"0.0207"},{"id":17,"name":"Train ID","value":"204-08"},{"id":16,"name":"Locomotive ID","value":"4063"},{"id":130,"name":"Impact","value":""},{"id":150,"name":"Time of Event (Mountain Time)","value":"18:04:42"},{"id":151,"name":"Denver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188"/>
      <c r="AK118" s="196"/>
      <c r="AL118" s="196"/>
      <c r="AM118" s="203" t="str">
        <f t="shared" si="49"/>
        <v>start /low /b %USERPROFILE%\Documents\GitHub\eaglep3\Utilities\DownloadLogsFromS3.py --loco 4063 --day 2017-12-08</v>
      </c>
      <c r="AN118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95" t="str">
        <f t="shared" si="51"/>
        <v>https://d0f6bd738d7f1b3e5a7ca70fe4ff75f0.us-east-1.aws.found.io/app/kibana#/discover/Steve-Slow-Train-Analysis-(2080s-and-2083s)?_g=(refreshInterval:(display:Off,pause:!f,section:0,value:0),time:(from:'2017-12-08T16:09:33-0700',mode:absolute,to:'2017-12-08T19:04:42-0700'))&amp;_a=(columns:!('Message%20ID',Summary),filters:!(),index:'emp_*',interval:auto,query:(query_string:(analyze_wildcard:!t,query:'%22rtdc.l.rtdc.4063%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194" t="s">
        <v>853</v>
      </c>
      <c r="B119" s="190">
        <v>4024</v>
      </c>
      <c r="C119" s="192" t="s">
        <v>191</v>
      </c>
      <c r="D119" s="192" t="s">
        <v>507</v>
      </c>
      <c r="E119" s="191">
        <v>43077.694652777776</v>
      </c>
      <c r="F119" s="191">
        <v>43077.69809027778</v>
      </c>
      <c r="G119" s="190">
        <v>69</v>
      </c>
      <c r="H119" s="192" t="s">
        <v>986</v>
      </c>
      <c r="I119" s="191">
        <v>43077.723240740743</v>
      </c>
      <c r="J119" s="190">
        <v>0</v>
      </c>
      <c r="K119" s="200" t="str">
        <f t="shared" si="35"/>
        <v>4023/4024</v>
      </c>
      <c r="L119" s="207" t="str">
        <f>VLOOKUP(A119,'Trips&amp;Operators'!$C$1:$G$99911,5,FALSE)</f>
        <v>BRUDER RICHARD</v>
      </c>
      <c r="M119" s="189">
        <f t="shared" si="36"/>
        <v>2.5150462963210884E-2</v>
      </c>
      <c r="N119" s="190">
        <f t="shared" si="57"/>
        <v>36.216666667023674</v>
      </c>
      <c r="O119" s="190"/>
      <c r="P119" s="190"/>
      <c r="Q119" s="193"/>
      <c r="R119" s="205"/>
      <c r="S119" s="235">
        <f t="shared" si="53"/>
        <v>1</v>
      </c>
      <c r="T119" s="236" t="str">
        <f t="shared" si="37"/>
        <v>NorthBound</v>
      </c>
      <c r="U119" s="23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37" t="str">
        <f t="shared" si="38"/>
        <v>https://d0f6bd738d7f1b3e5a7ca70fe4ff75f0.us-east-1.aws.found.io/app/kibana#/discover/Steve-Slow-Train-Analysis-(2080s-and-2083s)?_g=(refreshInterval:(display:Off,pause:!f,section:0,value:0),time:(from:'2017-12-08T15:40:18-0700',mode:absolute,to:'2017-12-08T18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9" s="238" t="str">
        <f>IF(AA119&lt;VLOOKUP(AG119,Variables!$AC$3:$AD$8,2,FALSE),"Y","N")</f>
        <v>N</v>
      </c>
      <c r="X119" s="238">
        <f t="shared" si="39"/>
        <v>1</v>
      </c>
      <c r="Y119" s="238">
        <f t="shared" si="55"/>
        <v>5.4899999999999997E-2</v>
      </c>
      <c r="Z119" s="238">
        <f t="shared" si="56"/>
        <v>23.320699999999999</v>
      </c>
      <c r="AA119" s="238">
        <f t="shared" si="42"/>
        <v>23.265799999999999</v>
      </c>
      <c r="AB119" s="242" t="e">
        <f>VLOOKUP(A119,Enforcements!$C$7:$K$9,8,0)</f>
        <v>#N/A</v>
      </c>
      <c r="AC119" s="242" t="e">
        <f>VLOOKUP(A119,Enforcements!$C$7:$E$9,3,0)</f>
        <v>#N/A</v>
      </c>
      <c r="AD119" s="243">
        <f t="shared" si="43"/>
        <v>205</v>
      </c>
      <c r="AE119" s="198" t="str">
        <f t="shared" si="44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19" s="197" t="str">
        <f t="shared" si="45"/>
        <v>"C:\Program Files (x86)\AstroGrep\AstroGrep.exe" /e /r /s /spath="%USERPROFILE%\AppData\Local\Temp\OnboardLogs" /stypes="app*4024*20171209*" /stext=" 00:.+((SYSTEM_STATE.+slice.+state.+changed )|(ment ac)|(multiple cpu faults)|(system.+state.+changed )|(\[timeout)|(PRM\|1\|D)|(kpr)|(kdp)|(train st.+moving)|(\|lc)|(penalty))"</v>
      </c>
      <c r="AG119" s="206" t="str">
        <f t="shared" si="46"/>
        <v>EC</v>
      </c>
      <c r="AH119" s="199" t="str">
        <f t="shared" si="47"/>
        <v>"%USERPROFILE%\Documents\GitHub\eaglep3\Utilities\RefineRTDCRunTimes.py" --tripid 205-08 --locoid 4024 --swversion DE.1.0.9.0 --startMP 204:549 --initTime 2017-12-08T16:40:18 --startdatetime 2017-12-08T16:45:15 --delay 69 --endMP 204:233207 --enddatetime 2017-12-08T17:21:28 --enforcementcount 0 &gt;&gt;%USERPROFILE%\Documents\GitHub\eaglep3-reporting\EC\2017-12-08-refined-times.txt</v>
      </c>
      <c r="AI119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{"issue":{"subject":"","project_id":79,"tracker_id":40,"status_id":1,"priority_id":2,"assigned_to_id":338,"start_date":"2017-12-08","description":"","custom_fields":[{"id":1,"name":"Subdivision","value":"EC"},{"id":4,"name":"Milepost","value":"23.3207"},{"id":17,"name":"Train ID","value":"205-08"},{"id":16,"name":"Locomotive ID","value":"4024"},{"id":130,"name":"Impact","value":""},{"id":150,"name":"Time of Event (Mountain Time)","value":"17:21:28"},{"id":151,"name":"Denver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188"/>
      <c r="AK119" s="196"/>
      <c r="AL119" s="196"/>
      <c r="AM119" s="203" t="str">
        <f t="shared" si="49"/>
        <v>start /low /b %USERPROFILE%\Documents\GitHub\eaglep3\Utilities\DownloadLogsFromS3.py --loco 4024 --day 2017-12-08</v>
      </c>
      <c r="AN119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95" t="str">
        <f t="shared" si="51"/>
        <v>https://d0f6bd738d7f1b3e5a7ca70fe4ff75f0.us-east-1.aws.found.io/app/kibana#/discover/Steve-Slow-Train-Analysis-(2080s-and-2083s)?_g=(refreshInterval:(display:Off,pause:!f,section:0,value:0),time:(from:'2017-12-08T15:40:18-0700',mode:absolute,to:'2017-12-08T18:21:28-0700'))&amp;_a=(columns:!('Message%20ID',Summary),filters:!(),index:'emp_*',interval:auto,query:(query_string:(analyze_wildcard:!t,query:'%22rtdc.l.rtdc.4024%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194" t="s">
        <v>863</v>
      </c>
      <c r="B120" s="190">
        <v>4023</v>
      </c>
      <c r="C120" s="192" t="s">
        <v>191</v>
      </c>
      <c r="D120" s="192" t="s">
        <v>989</v>
      </c>
      <c r="E120" s="191">
        <v>43077.734270833331</v>
      </c>
      <c r="F120" s="191">
        <v>43077.737696759257</v>
      </c>
      <c r="G120" s="190">
        <v>63</v>
      </c>
      <c r="H120" s="192" t="s">
        <v>650</v>
      </c>
      <c r="I120" s="191">
        <v>43077.76321759259</v>
      </c>
      <c r="J120" s="190">
        <v>0</v>
      </c>
      <c r="K120" s="200" t="str">
        <f t="shared" si="35"/>
        <v>4023/4024</v>
      </c>
      <c r="L120" s="207" t="str">
        <f>VLOOKUP(A120,'Trips&amp;Operators'!$C$1:$G$99911,5,FALSE)</f>
        <v>BRUDER RICHARD</v>
      </c>
      <c r="M120" s="189">
        <f t="shared" si="36"/>
        <v>2.5520833332848269E-2</v>
      </c>
      <c r="N120" s="190">
        <f t="shared" si="57"/>
        <v>36.749999999301508</v>
      </c>
      <c r="O120" s="190"/>
      <c r="P120" s="190"/>
      <c r="Q120" s="193"/>
      <c r="R120" s="205"/>
      <c r="S120" s="235">
        <f t="shared" si="53"/>
        <v>1</v>
      </c>
      <c r="T120" s="236" t="str">
        <f t="shared" si="37"/>
        <v>Southbound</v>
      </c>
      <c r="U120" s="23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37" t="str">
        <f t="shared" si="38"/>
        <v>https://d0f6bd738d7f1b3e5a7ca70fe4ff75f0.us-east-1.aws.found.io/app/kibana#/discover/Steve-Slow-Train-Analysis-(2080s-and-2083s)?_g=(refreshInterval:(display:Off,pause:!f,section:0,value:0),time:(from:'2017-12-08T16:37:21-0700',mode:absolute,to:'2017-12-08T19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0" s="238" t="str">
        <f>IF(AA120&lt;VLOOKUP(AG120,Variables!$AC$3:$AD$8,2,FALSE),"Y","N")</f>
        <v>N</v>
      </c>
      <c r="X120" s="238">
        <f t="shared" si="39"/>
        <v>1</v>
      </c>
      <c r="Y120" s="238">
        <f t="shared" si="55"/>
        <v>23.2881</v>
      </c>
      <c r="Z120" s="238">
        <f t="shared" si="56"/>
        <v>2.3400000000000001E-2</v>
      </c>
      <c r="AA120" s="238">
        <f t="shared" si="42"/>
        <v>23.264700000000001</v>
      </c>
      <c r="AB120" s="242" t="e">
        <f>VLOOKUP(A120,Enforcements!$C$7:$K$9,8,0)</f>
        <v>#N/A</v>
      </c>
      <c r="AC120" s="242" t="e">
        <f>VLOOKUP(A120,Enforcements!$C$7:$E$9,3,0)</f>
        <v>#N/A</v>
      </c>
      <c r="AD120" s="243">
        <f t="shared" si="43"/>
        <v>206</v>
      </c>
      <c r="AE120" s="198" t="str">
        <f t="shared" si="44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120" s="197" t="str">
        <f t="shared" si="45"/>
        <v>"C:\Program Files (x86)\AstroGrep\AstroGrep.exe" /e /r /s /spath="%USERPROFILE%\AppData\Local\Temp\OnboardLogs" /stypes="app*4023*20171209*" /stext=" 01:.+((SYSTEM_STATE.+slice.+state.+changed )|(ment ac)|(multiple cpu faults)|(system.+state.+changed )|(\[timeout)|(PRM\|1\|D)|(kpr)|(kdp)|(train st.+moving)|(\|lc)|(penalty))"</v>
      </c>
      <c r="AG120" s="206" t="str">
        <f t="shared" si="46"/>
        <v>EC</v>
      </c>
      <c r="AH120" s="199" t="str">
        <f t="shared" si="47"/>
        <v>"%USERPROFILE%\Documents\GitHub\eaglep3\Utilities\RefineRTDCRunTimes.py" --tripid 206-08 --locoid 4023 --swversion DE.1.0.9.0 --startMP 204:232881 --initTime 2017-12-08T17:37:21 --startdatetime 2017-12-08T17:42:17 --delay 63 --endMP 204:234 --enddatetime 2017-12-08T18:19:02 --enforcementcount 0 &gt;&gt;%USERPROFILE%\Documents\GitHub\eaglep3-reporting\EC\2017-12-08-refined-times.txt</v>
      </c>
      <c r="AI12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{"issue":{"subject":"","project_id":79,"tracker_id":40,"status_id":1,"priority_id":2,"assigned_to_id":338,"start_date":"2017-12-08","description":"","custom_fields":[{"id":1,"name":"Subdivision","value":"EC"},{"id":4,"name":"Milepost","value":"0.0234"},{"id":17,"name":"Train ID","value":"206-08"},{"id":16,"name":"Locomotive ID","value":"4023"},{"id":130,"name":"Impact","value":""},{"id":150,"name":"Time of Event (Mountain Time)","value":"18:19:02"},{"id":151,"name":"Denver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8"/>
      <c r="AK120" s="196"/>
      <c r="AL120" s="196"/>
      <c r="AM120" s="203" t="str">
        <f t="shared" si="49"/>
        <v>start /low /b %USERPROFILE%\Documents\GitHub\eaglep3\Utilities\DownloadLogsFromS3.py --loco 4023 --day 2017-12-08</v>
      </c>
      <c r="AN120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95" t="str">
        <f t="shared" si="51"/>
        <v>https://d0f6bd738d7f1b3e5a7ca70fe4ff75f0.us-east-1.aws.found.io/app/kibana#/discover/Steve-Slow-Train-Analysis-(2080s-and-2083s)?_g=(refreshInterval:(display:Off,pause:!f,section:0,value:0),time:(from:'2017-12-08T16:37:21-0700',mode:absolute,to:'2017-12-08T19:19:02-0700'))&amp;_a=(columns:!('Message%20ID',Summary),filters:!(),index:'emp_*',interval:auto,query:(query_string:(analyze_wildcard:!t,query:'%22rtdc.l.rtdc.4023%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194" t="s">
        <v>855</v>
      </c>
      <c r="B121" s="190">
        <v>4050</v>
      </c>
      <c r="C121" s="192" t="s">
        <v>191</v>
      </c>
      <c r="D121" s="192" t="s">
        <v>662</v>
      </c>
      <c r="E121" s="191">
        <v>43077.703518518516</v>
      </c>
      <c r="F121" s="191">
        <v>43077.708495370367</v>
      </c>
      <c r="G121" s="190">
        <v>62</v>
      </c>
      <c r="H121" s="192" t="s">
        <v>627</v>
      </c>
      <c r="I121" s="191">
        <v>43077.733078703706</v>
      </c>
      <c r="J121" s="190">
        <v>0</v>
      </c>
      <c r="K121" s="200" t="str">
        <f t="shared" si="35"/>
        <v>4049/4050</v>
      </c>
      <c r="L121" s="207" t="str">
        <f>VLOOKUP(A121,'Trips&amp;Operators'!$C$1:$G$99911,5,FALSE)</f>
        <v>GONZALEZ ARMANDO</v>
      </c>
      <c r="M121" s="189">
        <f t="shared" si="36"/>
        <v>2.4583333339251112E-2</v>
      </c>
      <c r="N121" s="190">
        <f t="shared" si="57"/>
        <v>35.400000008521602</v>
      </c>
      <c r="O121" s="190"/>
      <c r="P121" s="190"/>
      <c r="Q121" s="193"/>
      <c r="R121" s="205"/>
      <c r="S121" s="235">
        <f t="shared" si="53"/>
        <v>1</v>
      </c>
      <c r="T121" s="236" t="str">
        <f t="shared" si="37"/>
        <v>NorthBound</v>
      </c>
      <c r="U121" s="23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37" t="str">
        <f t="shared" si="38"/>
        <v>https://d0f6bd738d7f1b3e5a7ca70fe4ff75f0.us-east-1.aws.found.io/app/kibana#/discover/Steve-Slow-Train-Analysis-(2080s-and-2083s)?_g=(refreshInterval:(display:Off,pause:!f,section:0,value:0),time:(from:'2017-12-08T15:53:04-0700',mode:absolute,to:'2017-12-08T18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1" s="238" t="str">
        <f>IF(AA121&lt;VLOOKUP(AG121,Variables!$AC$3:$AD$8,2,FALSE),"Y","N")</f>
        <v>N</v>
      </c>
      <c r="X121" s="238">
        <f t="shared" si="39"/>
        <v>1</v>
      </c>
      <c r="Y121" s="238">
        <f t="shared" si="55"/>
        <v>5.57E-2</v>
      </c>
      <c r="Z121" s="238">
        <f t="shared" si="56"/>
        <v>23.3308</v>
      </c>
      <c r="AA121" s="238">
        <f t="shared" si="42"/>
        <v>23.275099999999998</v>
      </c>
      <c r="AB121" s="242" t="e">
        <f>VLOOKUP(A121,Enforcements!$C$7:$K$9,8,0)</f>
        <v>#N/A</v>
      </c>
      <c r="AC121" s="242" t="e">
        <f>VLOOKUP(A121,Enforcements!$C$7:$E$9,3,0)</f>
        <v>#N/A</v>
      </c>
      <c r="AD121" s="243">
        <f t="shared" si="43"/>
        <v>207</v>
      </c>
      <c r="AE121" s="198" t="str">
        <f t="shared" si="44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121" s="197" t="str">
        <f t="shared" si="45"/>
        <v>"C:\Program Files (x86)\AstroGrep\AstroGrep.exe" /e /r /s /spath="%USERPROFILE%\AppData\Local\Temp\OnboardLogs" /stypes="app*4050*20171209*" /stext=" 00:.+((SYSTEM_STATE.+slice.+state.+changed )|(ment ac)|(multiple cpu faults)|(system.+state.+changed )|(\[timeout)|(PRM\|1\|D)|(kpr)|(kdp)|(train st.+moving)|(\|lc)|(penalty))"</v>
      </c>
      <c r="AG121" s="206" t="str">
        <f t="shared" si="46"/>
        <v>EC</v>
      </c>
      <c r="AH121" s="199" t="str">
        <f t="shared" si="47"/>
        <v>"%USERPROFILE%\Documents\GitHub\eaglep3\Utilities\RefineRTDCRunTimes.py" --tripid 207-08 --locoid 4050 --swversion DE.1.0.9.0 --startMP 204:557 --initTime 2017-12-08T16:53:04 --startdatetime 2017-12-08T17:00:14 --delay 62 --endMP 204:233308 --enddatetime 2017-12-08T17:35:38 --enforcementcount 0 &gt;&gt;%USERPROFILE%\Documents\GitHub\eaglep3-reporting\EC\2017-12-08-refined-times.txt</v>
      </c>
      <c r="AI12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{"issue":{"subject":"","project_id":79,"tracker_id":40,"status_id":1,"priority_id":2,"assigned_to_id":338,"start_date":"2017-12-08","description":"","custom_fields":[{"id":1,"name":"Subdivision","value":"EC"},{"id":4,"name":"Milepost","value":"23.3308"},{"id":17,"name":"Train ID","value":"207-08"},{"id":16,"name":"Locomotive ID","value":"4050"},{"id":130,"name":"Impact","value":""},{"id":150,"name":"Time of Event (Mountain Time)","value":"17:35:38"},{"id":151,"name":"Denver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8"/>
      <c r="AK121" s="196"/>
      <c r="AL121" s="196"/>
      <c r="AM121" s="203" t="str">
        <f t="shared" si="49"/>
        <v>start /low /b %USERPROFILE%\Documents\GitHub\eaglep3\Utilities\DownloadLogsFromS3.py --loco 4050 --day 2017-12-08</v>
      </c>
      <c r="AN121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95" t="str">
        <f t="shared" si="51"/>
        <v>https://d0f6bd738d7f1b3e5a7ca70fe4ff75f0.us-east-1.aws.found.io/app/kibana#/discover/Steve-Slow-Train-Analysis-(2080s-and-2083s)?_g=(refreshInterval:(display:Off,pause:!f,section:0,value:0),time:(from:'2017-12-08T15:53:04-0700',mode:absolute,to:'2017-12-08T18:35:38-0700'))&amp;_a=(columns:!('Message%20ID',Summary),filters:!(),index:'emp_*',interval:auto,query:(query_string:(analyze_wildcard:!t,query:'%22rtdc.l.rtdc.4050%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194" t="s">
        <v>865</v>
      </c>
      <c r="B122" s="190">
        <v>4049</v>
      </c>
      <c r="C122" s="192" t="s">
        <v>191</v>
      </c>
      <c r="D122" s="192" t="s">
        <v>651</v>
      </c>
      <c r="E122" s="191">
        <v>43077.741493055553</v>
      </c>
      <c r="F122" s="191">
        <v>43077.748090277775</v>
      </c>
      <c r="G122" s="190">
        <v>70</v>
      </c>
      <c r="H122" s="192" t="s">
        <v>990</v>
      </c>
      <c r="I122" s="191">
        <v>43077.774988425925</v>
      </c>
      <c r="J122" s="190">
        <v>0</v>
      </c>
      <c r="K122" s="200" t="str">
        <f t="shared" si="35"/>
        <v>4049/4050</v>
      </c>
      <c r="L122" s="207" t="str">
        <f>VLOOKUP(A122,'Trips&amp;Operators'!$C$1:$G$99911,5,FALSE)</f>
        <v>GONZALEZ ARMANDO</v>
      </c>
      <c r="M122" s="189">
        <f t="shared" si="36"/>
        <v>2.6898148149484769E-2</v>
      </c>
      <c r="N122" s="190">
        <f t="shared" si="57"/>
        <v>38.733333335258067</v>
      </c>
      <c r="O122" s="190"/>
      <c r="P122" s="190"/>
      <c r="Q122" s="193"/>
      <c r="R122" s="205" t="s">
        <v>1113</v>
      </c>
      <c r="S122" s="235">
        <f t="shared" si="53"/>
        <v>1</v>
      </c>
      <c r="T122" s="236" t="str">
        <f t="shared" si="37"/>
        <v>Southbound</v>
      </c>
      <c r="U122" s="23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37" t="str">
        <f t="shared" si="38"/>
        <v>https://d0f6bd738d7f1b3e5a7ca70fe4ff75f0.us-east-1.aws.found.io/app/kibana#/discover/Steve-Slow-Train-Analysis-(2080s-and-2083s)?_g=(refreshInterval:(display:Off,pause:!f,section:0,value:0),time:(from:'2017-12-08T16:47:45-0700',mode:absolute,to:'2017-12-08T19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2" s="238" t="str">
        <f>IF(AA122&lt;VLOOKUP(AG122,Variables!$AC$3:$AD$8,2,FALSE),"Y","N")</f>
        <v>N</v>
      </c>
      <c r="X122" s="238">
        <f t="shared" si="39"/>
        <v>1</v>
      </c>
      <c r="Y122" s="238">
        <f t="shared" si="55"/>
        <v>23.299099999999999</v>
      </c>
      <c r="Z122" s="238">
        <f t="shared" si="56"/>
        <v>1.7600000000000001E-2</v>
      </c>
      <c r="AA122" s="238">
        <f t="shared" si="42"/>
        <v>23.281499999999998</v>
      </c>
      <c r="AB122" s="242" t="e">
        <f>VLOOKUP(A122,Enforcements!$C$7:$K$9,8,0)</f>
        <v>#N/A</v>
      </c>
      <c r="AC122" s="242" t="e">
        <f>VLOOKUP(A122,Enforcements!$C$7:$E$9,3,0)</f>
        <v>#N/A</v>
      </c>
      <c r="AD122" s="243">
        <f t="shared" si="43"/>
        <v>208</v>
      </c>
      <c r="AE122" s="198" t="str">
        <f t="shared" si="44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122" s="197" t="str">
        <f t="shared" si="45"/>
        <v>"C:\Program Files (x86)\AstroGrep\AstroGrep.exe" /e /r /s /spath="%USERPROFILE%\AppData\Local\Temp\OnboardLogs" /stypes="app*4049*20171209*" /stext=" 01:.+((SYSTEM_STATE.+slice.+state.+changed )|(ment ac)|(multiple cpu faults)|(system.+state.+changed )|(\[timeout)|(PRM\|1\|D)|(kpr)|(kdp)|(train st.+moving)|(\|lc)|(penalty))"</v>
      </c>
      <c r="AG122" s="206" t="str">
        <f t="shared" si="46"/>
        <v>EC</v>
      </c>
      <c r="AH122" s="199" t="str">
        <f t="shared" si="47"/>
        <v>"%USERPROFILE%\Documents\GitHub\eaglep3\Utilities\RefineRTDCRunTimes.py" --tripid 208-08 --locoid 4049 --swversion DE.1.0.9.0 --startMP 204:232991 --initTime 2017-12-08T17:47:45 --startdatetime 2017-12-08T17:57:15 --delay 70 --endMP 204:176 --enddatetime 2017-12-08T18:35:59 --enforcementcount 0 &gt;&gt;%USERPROFILE%\Documents\GitHub\eaglep3-reporting\EC\2017-12-08-refined-times.txt</v>
      </c>
      <c r="AI122" s="201" t="str">
        <f t="shared" si="48"/>
        <v>echo {"issue":{"subject":"No red fences found in Onboard/Wi-MAX logs","project_id":79,"tracker_id":40,"status_id":1,"priority_id":2,"assigned_to_id":338,"start_date":"2017-12-08","description":"","custom_fields":[{"id":1,"name":"Subdivision","value":"EC"},{"id":4,"name":"Milepost","value":"0.0176"},{"id":17,"name":"Train ID","value":"208-08"},{"id":16,"name":"Locomotive ID","value":"4049"},{"id":130,"name":"Impact","value":""},{"id":150,"name":"Time of Event (Mountain Time)","value":"18:35:59"},{"id":151,"name":"Denver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188"/>
      <c r="AK122" s="196"/>
      <c r="AL122" s="196"/>
      <c r="AM122" s="203" t="str">
        <f t="shared" si="49"/>
        <v>start /low /b %USERPROFILE%\Documents\GitHub\eaglep3\Utilities\DownloadLogsFromS3.py --loco 4049 --day 2017-12-08</v>
      </c>
      <c r="AN122" s="204" t="str">
        <f t="shared" si="50"/>
        <v>echo {"issue":{"subject":"No red fences found in Onboard/Wi-MAX logs","project_id":30,"tracker_id":4,"status_id":1,"priority_id":1,"assigned_to_id":10,"start_date":"2017-12-09","description":"","custom_fields":[{"id":30,"name":"Category","value":"Issue"},{"id":3,"name":"Functional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95" t="str">
        <f t="shared" si="51"/>
        <v>https://d0f6bd738d7f1b3e5a7ca70fe4ff75f0.us-east-1.aws.found.io/app/kibana#/discover/Steve-Slow-Train-Analysis-(2080s-and-2083s)?_g=(refreshInterval:(display:Off,pause:!f,section:0,value:0),time:(from:'2017-12-08T16:47:45-0700',mode:absolute,to:'2017-12-08T19:35:59-0700'))&amp;_a=(columns:!('Message%20ID',Summary),filters:!(),index:'emp_*',interval:auto,query:(query_string:(analyze_wildcard:!t,query:'%22rtdc.l.rtdc.4049%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188" customFormat="1" x14ac:dyDescent="0.25">
      <c r="A123" s="194" t="s">
        <v>858</v>
      </c>
      <c r="B123" s="190">
        <v>4010</v>
      </c>
      <c r="C123" s="192" t="s">
        <v>191</v>
      </c>
      <c r="D123" s="192" t="s">
        <v>622</v>
      </c>
      <c r="E123" s="191">
        <v>43077.714085648149</v>
      </c>
      <c r="F123" s="191">
        <v>43077.718888888892</v>
      </c>
      <c r="G123" s="190">
        <v>57</v>
      </c>
      <c r="H123" s="192" t="s">
        <v>976</v>
      </c>
      <c r="I123" s="191">
        <v>43077.744328703702</v>
      </c>
      <c r="J123" s="190">
        <v>0</v>
      </c>
      <c r="K123" s="200" t="str">
        <f t="shared" si="35"/>
        <v>4009/4010</v>
      </c>
      <c r="L123" s="207" t="str">
        <f>VLOOKUP(A123,'Trips&amp;Operators'!$C$1:$G$99911,5,FALSE)</f>
        <v>FORTUNATO FRANK</v>
      </c>
      <c r="M123" s="189">
        <f t="shared" si="36"/>
        <v>2.5439814809942618E-2</v>
      </c>
      <c r="N123" s="190">
        <f t="shared" si="57"/>
        <v>36.63333332631737</v>
      </c>
      <c r="O123" s="190"/>
      <c r="P123" s="190"/>
      <c r="Q123" s="193"/>
      <c r="R123" s="205"/>
      <c r="S123" s="235">
        <f t="shared" si="53"/>
        <v>1</v>
      </c>
      <c r="T123" s="236" t="str">
        <f t="shared" si="37"/>
        <v>NorthBound</v>
      </c>
      <c r="U123" s="23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37" t="str">
        <f t="shared" si="38"/>
        <v>https://d0f6bd738d7f1b3e5a7ca70fe4ff75f0.us-east-1.aws.found.io/app/kibana#/discover/Steve-Slow-Train-Analysis-(2080s-and-2083s)?_g=(refreshInterval:(display:Off,pause:!f,section:0,value:0),time:(from:'2017-12-08T16:08:17-0700',mode:absolute,to:'2017-12-08T18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3" s="238" t="str">
        <f>IF(AA123&lt;VLOOKUP(AG123,Variables!$AC$3:$AD$8,2,FALSE),"Y","N")</f>
        <v>N</v>
      </c>
      <c r="X123" s="238">
        <f t="shared" si="39"/>
        <v>1</v>
      </c>
      <c r="Y123" s="238">
        <f t="shared" si="55"/>
        <v>5.11E-2</v>
      </c>
      <c r="Z123" s="238">
        <f t="shared" si="56"/>
        <v>23.319500000000001</v>
      </c>
      <c r="AA123" s="238">
        <f t="shared" si="42"/>
        <v>23.2684</v>
      </c>
      <c r="AB123" s="242" t="e">
        <f>VLOOKUP(A123,Enforcements!$C$7:$K$9,8,0)</f>
        <v>#N/A</v>
      </c>
      <c r="AC123" s="242" t="e">
        <f>VLOOKUP(A123,Enforcements!$C$7:$E$9,3,0)</f>
        <v>#N/A</v>
      </c>
      <c r="AD123" s="243">
        <f t="shared" si="43"/>
        <v>209</v>
      </c>
      <c r="AE123" s="198" t="str">
        <f t="shared" si="44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23" s="197" t="str">
        <f t="shared" si="45"/>
        <v>"C:\Program Files (x86)\AstroGrep\AstroGrep.exe" /e /r /s /spath="%USERPROFILE%\AppData\Local\Temp\OnboardLogs" /stypes="app*4010*20171209*" /stext=" 00:.+((SYSTEM_STATE.+slice.+state.+changed )|(ment ac)|(multiple cpu faults)|(system.+state.+changed )|(\[timeout)|(PRM\|1\|D)|(kpr)|(kdp)|(train st.+moving)|(\|lc)|(penalty))"</v>
      </c>
      <c r="AG123" s="206" t="str">
        <f t="shared" si="46"/>
        <v>EC</v>
      </c>
      <c r="AH123" s="199" t="str">
        <f t="shared" si="47"/>
        <v>"%USERPROFILE%\Documents\GitHub\eaglep3\Utilities\RefineRTDCRunTimes.py" --tripid 209-08 --locoid 4010 --swversion DE.1.0.9.0 --startMP 204:511 --initTime 2017-12-08T17:08:17 --startdatetime 2017-12-08T17:15:12 --delay 57 --endMP 204:233195 --enddatetime 2017-12-08T17:51:50 --enforcementcount 0 &gt;&gt;%USERPROFILE%\Documents\GitHub\eaglep3-reporting\EC\2017-12-08-refined-times.txt</v>
      </c>
      <c r="AI12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{"issue":{"subject":"","project_id":79,"tracker_id":40,"status_id":1,"priority_id":2,"assigned_to_id":338,"start_date":"2017-12-08","description":"","custom_fields":[{"id":1,"name":"Subdivision","value":"EC"},{"id":4,"name":"Milepost","value":"23.3195"},{"id":17,"name":"Train ID","value":"209-08"},{"id":16,"name":"Locomotive ID","value":"4010"},{"id":130,"name":"Impact","value":""},{"id":150,"name":"Time of Event (Mountain Time)","value":"17:51:50"},{"id":151,"name":"Denver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196"/>
      <c r="AL123" s="196"/>
      <c r="AM123" s="203" t="str">
        <f t="shared" si="49"/>
        <v>start /low /b %USERPROFILE%\Documents\GitHub\eaglep3\Utilities\DownloadLogsFromS3.py --loco 4010 --day 2017-12-08</v>
      </c>
      <c r="AN123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95" t="str">
        <f t="shared" si="51"/>
        <v>https://d0f6bd738d7f1b3e5a7ca70fe4ff75f0.us-east-1.aws.found.io/app/kibana#/discover/Steve-Slow-Train-Analysis-(2080s-and-2083s)?_g=(refreshInterval:(display:Off,pause:!f,section:0,value:0),time:(from:'2017-12-08T16:08:17-0700',mode:absolute,to:'2017-12-08T18:51:50-0700'))&amp;_a=(columns:!('Message%20ID',Summary),filters:!(),index:'emp_*',interval:auto,query:(query_string:(analyze_wildcard:!t,query:'%22rtdc.l.rtdc.4010%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188" customFormat="1" x14ac:dyDescent="0.25">
      <c r="A124" s="194" t="s">
        <v>867</v>
      </c>
      <c r="B124" s="190">
        <v>4009</v>
      </c>
      <c r="C124" s="192" t="s">
        <v>191</v>
      </c>
      <c r="D124" s="192" t="s">
        <v>989</v>
      </c>
      <c r="E124" s="191">
        <v>43077.746365740742</v>
      </c>
      <c r="F124" s="191">
        <v>43077.758483796293</v>
      </c>
      <c r="G124" s="190">
        <v>60</v>
      </c>
      <c r="H124" s="192" t="s">
        <v>508</v>
      </c>
      <c r="I124" s="191">
        <v>43077.785208333335</v>
      </c>
      <c r="J124" s="190">
        <v>0</v>
      </c>
      <c r="K124" s="200" t="str">
        <f t="shared" si="35"/>
        <v>4009/4010</v>
      </c>
      <c r="L124" s="207" t="str">
        <f>VLOOKUP(A124,'Trips&amp;Operators'!$C$1:$G$99911,5,FALSE)</f>
        <v>FORTUNATO FRANK</v>
      </c>
      <c r="M124" s="189">
        <f t="shared" si="36"/>
        <v>2.6724537041445728E-2</v>
      </c>
      <c r="N124" s="190">
        <f t="shared" si="57"/>
        <v>38.483333339681849</v>
      </c>
      <c r="O124" s="190"/>
      <c r="P124" s="190"/>
      <c r="Q124" s="193"/>
      <c r="R124" s="205"/>
      <c r="S124" s="235">
        <f t="shared" si="53"/>
        <v>1</v>
      </c>
      <c r="T124" s="236" t="str">
        <f t="shared" si="37"/>
        <v>Southbound</v>
      </c>
      <c r="U124" s="23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37" t="str">
        <f t="shared" si="38"/>
        <v>https://d0f6bd738d7f1b3e5a7ca70fe4ff75f0.us-east-1.aws.found.io/app/kibana#/discover/Steve-Slow-Train-Analysis-(2080s-and-2083s)?_g=(refreshInterval:(display:Off,pause:!f,section:0,value:0),time:(from:'2017-12-08T16:54:46-0700',mode:absolute,to:'2017-12-08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4" s="238" t="str">
        <f>IF(AA124&lt;VLOOKUP(AG124,Variables!$AC$3:$AD$8,2,FALSE),"Y","N")</f>
        <v>N</v>
      </c>
      <c r="X124" s="238">
        <f t="shared" si="39"/>
        <v>1</v>
      </c>
      <c r="Y124" s="238">
        <f t="shared" si="55"/>
        <v>23.2881</v>
      </c>
      <c r="Z124" s="238">
        <f t="shared" si="56"/>
        <v>2.2100000000000002E-2</v>
      </c>
      <c r="AA124" s="238">
        <f t="shared" si="42"/>
        <v>23.266000000000002</v>
      </c>
      <c r="AB124" s="242" t="e">
        <f>VLOOKUP(A124,Enforcements!$C$7:$K$9,8,0)</f>
        <v>#N/A</v>
      </c>
      <c r="AC124" s="242" t="e">
        <f>VLOOKUP(A124,Enforcements!$C$7:$E$9,3,0)</f>
        <v>#N/A</v>
      </c>
      <c r="AD124" s="243">
        <f t="shared" si="43"/>
        <v>210</v>
      </c>
      <c r="AE124" s="198" t="str">
        <f t="shared" si="44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24" s="197" t="str">
        <f t="shared" si="45"/>
        <v>"C:\Program Files (x86)\AstroGrep\AstroGrep.exe" /e /r /s /spath="%USERPROFILE%\AppData\Local\Temp\OnboardLogs" /stypes="app*4009*20171209*" /stext=" 01:.+((SYSTEM_STATE.+slice.+state.+changed )|(ment ac)|(multiple cpu faults)|(system.+state.+changed )|(\[timeout)|(PRM\|1\|D)|(kpr)|(kdp)|(train st.+moving)|(\|lc)|(penalty))"</v>
      </c>
      <c r="AG124" s="206" t="str">
        <f t="shared" si="46"/>
        <v>EC</v>
      </c>
      <c r="AH124" s="199" t="str">
        <f t="shared" si="47"/>
        <v>"%USERPROFILE%\Documents\GitHub\eaglep3\Utilities\RefineRTDCRunTimes.py" --tripid 210-08 --locoid 4009 --swversion DE.1.0.9.0 --startMP 204:232881 --initTime 2017-12-08T17:54:46 --startdatetime 2017-12-08T18:12:13 --delay 60 --endMP 204:221 --enddatetime 2017-12-08T18:50:42 --enforcementcount 0 &gt;&gt;%USERPROFILE%\Documents\GitHub\eaglep3-reporting\EC\2017-12-08-refined-times.txt</v>
      </c>
      <c r="AI12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{"issue":{"subject":"","project_id":79,"tracker_id":40,"status_id":1,"priority_id":2,"assigned_to_id":338,"start_date":"2017-12-08","description":"","custom_fields":[{"id":1,"name":"Subdivision","value":"EC"},{"id":4,"name":"Milepost","value":"0.0221"},{"id":17,"name":"Train ID","value":"210-08"},{"id":16,"name":"Locomotive ID","value":"4009"},{"id":130,"name":"Impact","value":""},{"id":150,"name":"Time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196"/>
      <c r="AL124" s="196"/>
      <c r="AM124" s="203" t="str">
        <f t="shared" si="49"/>
        <v>start /low /b %USERPROFILE%\Documents\GitHub\eaglep3\Utilities\DownloadLogsFromS3.py --loco 4009 --day 2017-12-08</v>
      </c>
      <c r="AN124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95" t="str">
        <f t="shared" si="51"/>
        <v>https://d0f6bd738d7f1b3e5a7ca70fe4ff75f0.us-east-1.aws.found.io/app/kibana#/discover/Steve-Slow-Train-Analysis-(2080s-and-2083s)?_g=(refreshInterval:(display:Off,pause:!f,section:0,value:0),time:(from:'2017-12-08T16:54:46-0700',mode:absolute,to:'2017-12-08T19:50:42-0700'))&amp;_a=(columns:!('Message%20ID',Summary),filters:!(),index:'emp_*',interval:auto,query:(query_string:(analyze_wildcard:!t,query:'%22rtdc.l.rtdc.4009%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194" t="s">
        <v>701</v>
      </c>
      <c r="B125" s="190">
        <v>4020</v>
      </c>
      <c r="C125" s="192" t="s">
        <v>191</v>
      </c>
      <c r="D125" s="192" t="s">
        <v>616</v>
      </c>
      <c r="E125" s="191">
        <v>43077.727118055554</v>
      </c>
      <c r="F125" s="191">
        <v>43077.729479166665</v>
      </c>
      <c r="G125" s="190">
        <v>73</v>
      </c>
      <c r="H125" s="192" t="s">
        <v>991</v>
      </c>
      <c r="I125" s="191">
        <v>43077.756354166668</v>
      </c>
      <c r="J125" s="190">
        <v>0</v>
      </c>
      <c r="K125" s="200" t="str">
        <f t="shared" si="35"/>
        <v>4019/4020</v>
      </c>
      <c r="L125" s="207" t="str">
        <f>VLOOKUP(A125,'Trips&amp;Operators'!$C$1:$G$99911,5,FALSE)</f>
        <v>ANDREA WILLIAMS</v>
      </c>
      <c r="M125" s="189">
        <f t="shared" si="36"/>
        <v>2.6875000003201421E-2</v>
      </c>
      <c r="N125" s="190">
        <f t="shared" si="57"/>
        <v>38.700000004610047</v>
      </c>
      <c r="O125" s="190"/>
      <c r="P125" s="190"/>
      <c r="Q125" s="193"/>
      <c r="R125" s="205"/>
      <c r="S125" s="235">
        <f t="shared" si="53"/>
        <v>1</v>
      </c>
      <c r="T125" s="236" t="str">
        <f t="shared" si="37"/>
        <v>NorthBound</v>
      </c>
      <c r="U125" s="23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37" t="str">
        <f t="shared" si="38"/>
        <v>https://d0f6bd738d7f1b3e5a7ca70fe4ff75f0.us-east-1.aws.found.io/app/kibana#/discover/Steve-Slow-Train-Analysis-(2080s-and-2083s)?_g=(refreshInterval:(display:Off,pause:!f,section:0,value:0),time:(from:'2017-12-08T16:27:03-0700',mode:absolute,to:'2017-12-08T19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238" t="str">
        <f>IF(AA125&lt;VLOOKUP(AG125,Variables!$AC$3:$AD$8,2,FALSE),"Y","N")</f>
        <v>N</v>
      </c>
      <c r="X125" s="238">
        <f t="shared" si="39"/>
        <v>1</v>
      </c>
      <c r="Y125" s="238">
        <f t="shared" si="55"/>
        <v>4.6699999999999998E-2</v>
      </c>
      <c r="Z125" s="238">
        <f t="shared" si="56"/>
        <v>23.3202</v>
      </c>
      <c r="AA125" s="238">
        <f t="shared" si="42"/>
        <v>23.273499999999999</v>
      </c>
      <c r="AB125" s="242" t="e">
        <f>VLOOKUP(A125,Enforcements!$C$7:$K$9,8,0)</f>
        <v>#N/A</v>
      </c>
      <c r="AC125" s="242" t="e">
        <f>VLOOKUP(A125,Enforcements!$C$7:$E$9,3,0)</f>
        <v>#N/A</v>
      </c>
      <c r="AD125" s="243">
        <f t="shared" si="43"/>
        <v>211</v>
      </c>
      <c r="AE125" s="198" t="str">
        <f t="shared" si="44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125" s="197" t="str">
        <f t="shared" si="45"/>
        <v>"C:\Program Files (x86)\AstroGrep\AstroGrep.exe" /e /r /s /spath="%USERPROFILE%\AppData\Local\Temp\OnboardLogs" /stypes="app*4020*20171209*" /stext=" 01:.+((SYSTEM_STATE.+slice.+state.+changed )|(ment ac)|(multiple cpu faults)|(system.+state.+changed )|(\[timeout)|(PRM\|1\|D)|(kpr)|(kdp)|(train st.+moving)|(\|lc)|(penalty))"</v>
      </c>
      <c r="AG125" s="206" t="str">
        <f t="shared" si="46"/>
        <v>EC</v>
      </c>
      <c r="AH125" s="199" t="str">
        <f t="shared" si="47"/>
        <v>"%USERPROFILE%\Documents\GitHub\eaglep3\Utilities\RefineRTDCRunTimes.py" --tripid 211-08 --locoid 4020 --swversion DE.1.0.9.0 --startMP 204:467 --initTime 2017-12-08T17:27:03 --startdatetime 2017-12-08T17:30:27 --delay 73 --endMP 204:233202 --enddatetime 2017-12-08T18:09:09 --enforcementcount 0 &gt;&gt;%USERPROFILE%\Documents\GitHub\eaglep3-reporting\EC\2017-12-08-refined-times.txt</v>
      </c>
      <c r="AI12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{"issue":{"subject":"","project_id":79,"tracker_id":40,"status_id":1,"priority_id":2,"assigned_to_id":338,"start_date":"2017-12-08","description":"","custom_fields":[{"id":1,"name":"Subdivision","value":"EC"},{"id":4,"name":"Milepost","value":"23.3202"},{"id":17,"name":"Train ID","value":"211-08"},{"id":16,"name":"Locomotive ID","value":"4020"},{"id":130,"name":"Impact","value":""},{"id":150,"name":"Time of Event (Mountain Time)","value":"18:09:09"},{"id":151,"name":"Denver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188"/>
      <c r="AK125" s="196"/>
      <c r="AL125" s="196"/>
      <c r="AM125" s="203" t="str">
        <f t="shared" si="49"/>
        <v>start /low /b %USERPROFILE%\Documents\GitHub\eaglep3\Utilities\DownloadLogsFromS3.py --loco 4020 --day 2017-12-08</v>
      </c>
      <c r="AN125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95" t="str">
        <f t="shared" si="51"/>
        <v>https://d0f6bd738d7f1b3e5a7ca70fe4ff75f0.us-east-1.aws.found.io/app/kibana#/discover/Steve-Slow-Train-Analysis-(2080s-and-2083s)?_g=(refreshInterval:(display:Off,pause:!f,section:0,value:0),time:(from:'2017-12-08T16:27:03-0700',mode:absolute,to:'2017-12-08T19:09:09-0700'))&amp;_a=(columns:!('Message%20ID',Summary),filters:!(),index:'emp_*',interval:auto,query:(query_string:(analyze_wildcard:!t,query:'%22rtdc.l.rtdc.4020%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194" t="s">
        <v>872</v>
      </c>
      <c r="B126" s="190">
        <v>4019</v>
      </c>
      <c r="C126" s="192" t="s">
        <v>191</v>
      </c>
      <c r="D126" s="192" t="s">
        <v>974</v>
      </c>
      <c r="E126" s="191">
        <v>43077.76295138889</v>
      </c>
      <c r="F126" s="191">
        <v>43077.769062500003</v>
      </c>
      <c r="G126" s="190">
        <v>68</v>
      </c>
      <c r="H126" s="192" t="s">
        <v>992</v>
      </c>
      <c r="I126" s="191">
        <v>43077.797476851854</v>
      </c>
      <c r="J126" s="190">
        <v>0</v>
      </c>
      <c r="K126" s="200" t="str">
        <f t="shared" si="35"/>
        <v>4019/4020</v>
      </c>
      <c r="L126" s="207" t="str">
        <f>VLOOKUP(A126,'Trips&amp;Operators'!$C$1:$G$99911,5,FALSE)</f>
        <v>ANDREA WILLIAMS</v>
      </c>
      <c r="M126" s="189">
        <f t="shared" si="36"/>
        <v>2.8414351851097308E-2</v>
      </c>
      <c r="N126" s="190">
        <f t="shared" si="57"/>
        <v>40.916666665580124</v>
      </c>
      <c r="O126" s="190"/>
      <c r="P126" s="190"/>
      <c r="Q126" s="193"/>
      <c r="R126" s="205"/>
      <c r="S126" s="235">
        <f t="shared" si="53"/>
        <v>1</v>
      </c>
      <c r="T126" s="236" t="str">
        <f t="shared" si="37"/>
        <v>Southbound</v>
      </c>
      <c r="U126" s="23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37" t="str">
        <f t="shared" si="38"/>
        <v>https://d0f6bd738d7f1b3e5a7ca70fe4ff75f0.us-east-1.aws.found.io/app/kibana#/discover/Steve-Slow-Train-Analysis-(2080s-and-2083s)?_g=(refreshInterval:(display:Off,pause:!f,section:0,value:0),time:(from:'2017-12-08T17:18:39-0700',mode:absolute,to:'2017-12-08T20:08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238" t="str">
        <f>IF(AA126&lt;VLOOKUP(AG126,Variables!$AC$3:$AD$8,2,FALSE),"Y","N")</f>
        <v>N</v>
      </c>
      <c r="X126" s="238">
        <f t="shared" si="39"/>
        <v>1</v>
      </c>
      <c r="Y126" s="238">
        <f t="shared" si="55"/>
        <v>23.2883</v>
      </c>
      <c r="Z126" s="238">
        <f t="shared" si="56"/>
        <v>0.10249999999999999</v>
      </c>
      <c r="AA126" s="238">
        <f t="shared" si="42"/>
        <v>23.1858</v>
      </c>
      <c r="AB126" s="242" t="e">
        <f>VLOOKUP(A126,Enforcements!$C$7:$K$9,8,0)</f>
        <v>#N/A</v>
      </c>
      <c r="AC126" s="242" t="e">
        <f>VLOOKUP(A126,Enforcements!$C$7:$E$9,3,0)</f>
        <v>#N/A</v>
      </c>
      <c r="AD126" s="243">
        <f t="shared" si="43"/>
        <v>212</v>
      </c>
      <c r="AE126" s="198" t="str">
        <f t="shared" si="44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126" s="197" t="str">
        <f t="shared" si="45"/>
        <v>"C:\Program Files (x86)\AstroGrep\AstroGrep.exe" /e /r /s /spath="%USERPROFILE%\AppData\Local\Temp\OnboardLogs" /stypes="app*4019*20171209*" /stext=" 02:.+((SYSTEM_STATE.+slice.+state.+changed )|(ment ac)|(multiple cpu faults)|(system.+state.+changed )|(\[timeout)|(PRM\|1\|D)|(kpr)|(kdp)|(train st.+moving)|(\|lc)|(penalty))"</v>
      </c>
      <c r="AG126" s="206" t="str">
        <f t="shared" si="46"/>
        <v>EC</v>
      </c>
      <c r="AH126" s="199" t="str">
        <f t="shared" si="47"/>
        <v>"%USERPROFILE%\Documents\GitHub\eaglep3\Utilities\RefineRTDCRunTimes.py" --tripid 212-08 --locoid 4019 --swversion DE.1.0.9.0 --startMP 204:232883 --initTime 2017-12-08T18:18:39 --startdatetime 2017-12-08T18:27:27 --delay 68 --endMP 204:1025 --enddatetime 2017-12-08T19:08:22 --enforcementcount 0 &gt;&gt;%USERPROFILE%\Documents\GitHub\eaglep3-reporting\EC\2017-12-08-refined-times.txt</v>
      </c>
      <c r="AI12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{"issue":{"subject":"","project_id":79,"tracker_id":40,"status_id":1,"priority_id":2,"assigned_to_id":338,"start_date":"2017-12-08","description":"","custom_fields":[{"id":1,"name":"Subdivision","value":"EC"},{"id":4,"name":"Milepost","value":"0.1025"},{"id":17,"name":"Train ID","value":"212-08"},{"id":16,"name":"Locomotive ID","value":"4019"},{"id":130,"name":"Impact","value":""},{"id":150,"name":"Time of Event (Mountain Time)","value":"19:08:22"},{"id":151,"name":"Denver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188"/>
      <c r="AK126" s="196"/>
      <c r="AL126" s="196"/>
      <c r="AM126" s="203" t="str">
        <f t="shared" si="49"/>
        <v>start /low /b %USERPROFILE%\Documents\GitHub\eaglep3\Utilities\DownloadLogsFromS3.py --loco 4019 --day 2017-12-08</v>
      </c>
      <c r="AN126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95" t="str">
        <f t="shared" si="51"/>
        <v>https://d0f6bd738d7f1b3e5a7ca70fe4ff75f0.us-east-1.aws.found.io/app/kibana#/discover/Steve-Slow-Train-Analysis-(2080s-and-2083s)?_g=(refreshInterval:(display:Off,pause:!f,section:0,value:0),time:(from:'2017-12-08T17:18:39-0700',mode:absolute,to:'2017-12-08T20:08:22-0700'))&amp;_a=(columns:!('Message%20ID',Summary),filters:!(),index:'emp_*',interval:auto,query:(query_string:(analyze_wildcard:!t,query:'%22rtdc.l.rtdc.4019%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194" t="s">
        <v>864</v>
      </c>
      <c r="B127" s="190">
        <v>4032</v>
      </c>
      <c r="C127" s="192" t="s">
        <v>191</v>
      </c>
      <c r="D127" s="192" t="s">
        <v>993</v>
      </c>
      <c r="E127" s="191">
        <v>43077.736087962963</v>
      </c>
      <c r="F127" s="191">
        <v>43077.739930555559</v>
      </c>
      <c r="G127" s="190">
        <v>74</v>
      </c>
      <c r="H127" s="192" t="s">
        <v>994</v>
      </c>
      <c r="I127" s="191">
        <v>43077.766319444447</v>
      </c>
      <c r="J127" s="190">
        <v>0</v>
      </c>
      <c r="K127" s="200" t="str">
        <f t="shared" si="35"/>
        <v>4031/4032</v>
      </c>
      <c r="L127" s="207" t="str">
        <f>VLOOKUP(A127,'Trips&amp;Operators'!$C$1:$G$99911,5,FALSE)</f>
        <v>DAVIDSON DAVID</v>
      </c>
      <c r="M127" s="189">
        <f t="shared" si="36"/>
        <v>2.6388888887595385E-2</v>
      </c>
      <c r="N127" s="190">
        <f t="shared" si="57"/>
        <v>37.999999998137355</v>
      </c>
      <c r="O127" s="190"/>
      <c r="P127" s="190"/>
      <c r="Q127" s="193"/>
      <c r="R127" s="205"/>
      <c r="S127" s="235">
        <f t="shared" si="53"/>
        <v>1</v>
      </c>
      <c r="T127" s="236" t="str">
        <f t="shared" si="37"/>
        <v>NorthBound</v>
      </c>
      <c r="U127" s="23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37" t="str">
        <f t="shared" si="38"/>
        <v>https://d0f6bd738d7f1b3e5a7ca70fe4ff75f0.us-east-1.aws.found.io/app/kibana#/discover/Steve-Slow-Train-Analysis-(2080s-and-2083s)?_g=(refreshInterval:(display:Off,pause:!f,section:0,value:0),time:(from:'2017-12-08T16:39:58-0700',mode:absolute,to:'2017-12-08T19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238" t="str">
        <f>IF(AA127&lt;VLOOKUP(AG127,Variables!$AC$3:$AD$8,2,FALSE),"Y","N")</f>
        <v>N</v>
      </c>
      <c r="X127" s="238">
        <f t="shared" si="39"/>
        <v>1</v>
      </c>
      <c r="Y127" s="238">
        <f t="shared" si="55"/>
        <v>5.6599999999999998E-2</v>
      </c>
      <c r="Z127" s="238">
        <f t="shared" si="56"/>
        <v>23.318999999999999</v>
      </c>
      <c r="AA127" s="238">
        <f t="shared" si="42"/>
        <v>23.2624</v>
      </c>
      <c r="AB127" s="242" t="e">
        <f>VLOOKUP(A127,Enforcements!$C$7:$K$9,8,0)</f>
        <v>#N/A</v>
      </c>
      <c r="AC127" s="242" t="e">
        <f>VLOOKUP(A127,Enforcements!$C$7:$E$9,3,0)</f>
        <v>#N/A</v>
      </c>
      <c r="AD127" s="243">
        <f t="shared" si="43"/>
        <v>213</v>
      </c>
      <c r="AE127" s="198" t="str">
        <f t="shared" si="44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27" s="197" t="str">
        <f t="shared" si="45"/>
        <v>"C:\Program Files (x86)\AstroGrep\AstroGrep.exe" /e /r /s /spath="%USERPROFILE%\AppData\Local\Temp\OnboardLogs" /stypes="app*4032*20171209*" /stext=" 01:.+((SYSTEM_STATE.+slice.+state.+changed )|(ment ac)|(multiple cpu faults)|(system.+state.+changed )|(\[timeout)|(PRM\|1\|D)|(kpr)|(kdp)|(train st.+moving)|(\|lc)|(penalty))"</v>
      </c>
      <c r="AG127" s="206" t="str">
        <f t="shared" si="46"/>
        <v>EC</v>
      </c>
      <c r="AH127" s="199" t="str">
        <f t="shared" si="47"/>
        <v>"%USERPROFILE%\Documents\GitHub\eaglep3\Utilities\RefineRTDCRunTimes.py" --tripid 213-08 --locoid 4032 --swversion DE.1.0.9.0 --startMP 204:566 --initTime 2017-12-08T17:39:58 --startdatetime 2017-12-08T17:45:30 --delay 74 --endMP 204:233190 --enddatetime 2017-12-08T18:23:30 --enforcementcount 0 &gt;&gt;%USERPROFILE%\Documents\GitHub\eaglep3-reporting\EC\2017-12-08-refined-times.txt</v>
      </c>
      <c r="AI127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{"issue":{"subject":"","project_id":79,"tracker_id":40,"status_id":1,"priority_id":2,"assigned_to_id":338,"start_date":"2017-12-08","description":"","custom_fields":[{"id":1,"name":"Subdivision","value":"EC"},{"id":4,"name":"Milepost","value":"23.319"},{"id":17,"name":"Train ID","value":"213-08"},{"id":16,"name":"Locomotive ID","value":"4032"},{"id":130,"name":"Impact","value":""},{"id":150,"name":"Time of Event (Mountain Time)","value":"18:23:30"},{"id":151,"name":"Denver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188"/>
      <c r="AK127" s="196"/>
      <c r="AL127" s="196"/>
      <c r="AM127" s="203" t="str">
        <f t="shared" si="49"/>
        <v>start /low /b %USERPROFILE%\Documents\GitHub\eaglep3\Utilities\DownloadLogsFromS3.py --loco 4032 --day 2017-12-08</v>
      </c>
      <c r="AN127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95" t="str">
        <f t="shared" si="51"/>
        <v>https://d0f6bd738d7f1b3e5a7ca70fe4ff75f0.us-east-1.aws.found.io/app/kibana#/discover/Steve-Slow-Train-Analysis-(2080s-and-2083s)?_g=(refreshInterval:(display:Off,pause:!f,section:0,value:0),time:(from:'2017-12-08T16:39:58-0700',mode:absolute,to:'2017-12-08T19:23:30-0700'))&amp;_a=(columns:!('Message%20ID',Summary),filters:!(),index:'emp_*',interval:auto,query:(query_string:(analyze_wildcard:!t,query:'%22rtdc.l.rtdc.4032%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194" t="s">
        <v>874</v>
      </c>
      <c r="B128" s="190">
        <v>4031</v>
      </c>
      <c r="C128" s="192" t="s">
        <v>191</v>
      </c>
      <c r="D128" s="192" t="s">
        <v>995</v>
      </c>
      <c r="E128" s="191">
        <v>43077.76803240741</v>
      </c>
      <c r="F128" s="191">
        <v>43077.779444444444</v>
      </c>
      <c r="G128" s="190">
        <v>75</v>
      </c>
      <c r="H128" s="192" t="s">
        <v>957</v>
      </c>
      <c r="I128" s="191">
        <v>43077.806296296294</v>
      </c>
      <c r="J128" s="190">
        <v>0</v>
      </c>
      <c r="K128" s="200" t="str">
        <f t="shared" si="35"/>
        <v>4031/4032</v>
      </c>
      <c r="L128" s="207" t="str">
        <f>VLOOKUP(A128,'Trips&amp;Operators'!$C$1:$G$99911,5,FALSE)</f>
        <v>DAVIDSON DAVID</v>
      </c>
      <c r="M128" s="189">
        <f t="shared" si="36"/>
        <v>2.6851851849642117E-2</v>
      </c>
      <c r="N128" s="190">
        <f t="shared" si="57"/>
        <v>38.666666663484648</v>
      </c>
      <c r="O128" s="190"/>
      <c r="P128" s="190"/>
      <c r="Q128" s="193"/>
      <c r="R128" s="205"/>
      <c r="S128" s="235">
        <f t="shared" si="53"/>
        <v>1</v>
      </c>
      <c r="T128" s="236" t="str">
        <f t="shared" si="37"/>
        <v>Southbound</v>
      </c>
      <c r="U128" s="23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37" t="str">
        <f t="shared" si="38"/>
        <v>https://d0f6bd738d7f1b3e5a7ca70fe4ff75f0.us-east-1.aws.found.io/app/kibana#/discover/Steve-Slow-Train-Analysis-(2080s-and-2083s)?_g=(refreshInterval:(display:Off,pause:!f,section:0,value:0),time:(from:'2017-12-08T17:25:58-0700',mode:absolute,to:'2017-12-08T20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238" t="str">
        <f>IF(AA128&lt;VLOOKUP(AG128,Variables!$AC$3:$AD$8,2,FALSE),"Y","N")</f>
        <v>N</v>
      </c>
      <c r="X128" s="238">
        <f t="shared" si="39"/>
        <v>1</v>
      </c>
      <c r="Y128" s="238">
        <f t="shared" si="55"/>
        <v>23.285399999999999</v>
      </c>
      <c r="Z128" s="238">
        <f t="shared" si="56"/>
        <v>1.9199999999999998E-2</v>
      </c>
      <c r="AA128" s="238">
        <f t="shared" si="42"/>
        <v>23.266199999999998</v>
      </c>
      <c r="AB128" s="242" t="e">
        <f>VLOOKUP(A128,Enforcements!$C$7:$K$9,8,0)</f>
        <v>#N/A</v>
      </c>
      <c r="AC128" s="242" t="e">
        <f>VLOOKUP(A128,Enforcements!$C$7:$E$9,3,0)</f>
        <v>#N/A</v>
      </c>
      <c r="AD128" s="243">
        <f t="shared" si="43"/>
        <v>214</v>
      </c>
      <c r="AE128" s="198" t="str">
        <f t="shared" si="44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28" s="197" t="str">
        <f t="shared" si="45"/>
        <v>"C:\Program Files (x86)\AstroGrep\AstroGrep.exe" /e /r /s /spath="%USERPROFILE%\AppData\Local\Temp\OnboardLogs" /stypes="app*4031*20171209*" /stext=" 02:.+((SYSTEM_STATE.+slice.+state.+changed )|(ment ac)|(multiple cpu faults)|(system.+state.+changed )|(\[timeout)|(PRM\|1\|D)|(kpr)|(kdp)|(train st.+moving)|(\|lc)|(penalty))"</v>
      </c>
      <c r="AG128" s="206" t="str">
        <f t="shared" si="46"/>
        <v>EC</v>
      </c>
      <c r="AH128" s="199" t="str">
        <f t="shared" si="47"/>
        <v>"%USERPROFILE%\Documents\GitHub\eaglep3\Utilities\RefineRTDCRunTimes.py" --tripid 214-08 --locoid 4031 --swversion DE.1.0.9.0 --startMP 204:232854 --initTime 2017-12-08T18:25:58 --startdatetime 2017-12-08T18:42:24 --delay 75 --endMP 204:192 --enddatetime 2017-12-08T19:21:04 --enforcementcount 0 &gt;&gt;%USERPROFILE%\Documents\GitHub\eaglep3-reporting\EC\2017-12-08-refined-times.txt</v>
      </c>
      <c r="AI12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{"issue":{"subject":"","project_id":79,"tracker_id":40,"status_id":1,"priority_id":2,"assigned_to_id":338,"start_date":"2017-12-08","description":"","custom_fields":[{"id":1,"name":"Subdivision","value":"EC"},{"id":4,"name":"Milepost","value":"0.0192"},{"id":17,"name":"Train ID","value":"214-08"},{"id":16,"name":"Locomotive ID","value":"4031"},{"id":130,"name":"Impact","value":""},{"id":150,"name":"Time of Event (Mountain Time)","value":"19:21:04"},{"id":151,"name":"Denver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8"/>
      <c r="AK128" s="196"/>
      <c r="AL128" s="196"/>
      <c r="AM128" s="203" t="str">
        <f t="shared" si="49"/>
        <v>start /low /b %USERPROFILE%\Documents\GitHub\eaglep3\Utilities\DownloadLogsFromS3.py --loco 4031 --day 2017-12-08</v>
      </c>
      <c r="AN128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95" t="str">
        <f t="shared" si="51"/>
        <v>https://d0f6bd738d7f1b3e5a7ca70fe4ff75f0.us-east-1.aws.found.io/app/kibana#/discover/Steve-Slow-Train-Analysis-(2080s-and-2083s)?_g=(refreshInterval:(display:Off,pause:!f,section:0,value:0),time:(from:'2017-12-08T17:25:58-0700',mode:absolute,to:'2017-12-08T20:21:04-0700'))&amp;_a=(columns:!('Message%20ID',Summary),filters:!(),index:'emp_*',interval:auto,query:(query_string:(analyze_wildcard:!t,query:'%22rtdc.l.rtdc.4031%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188" customFormat="1" x14ac:dyDescent="0.25">
      <c r="A129" s="194" t="s">
        <v>866</v>
      </c>
      <c r="B129" s="190">
        <v>4016</v>
      </c>
      <c r="C129" s="192" t="s">
        <v>191</v>
      </c>
      <c r="D129" s="192" t="s">
        <v>996</v>
      </c>
      <c r="E129" s="191">
        <v>43077.745949074073</v>
      </c>
      <c r="F129" s="191">
        <v>43077.750405092593</v>
      </c>
      <c r="G129" s="190">
        <v>65</v>
      </c>
      <c r="H129" s="192" t="s">
        <v>997</v>
      </c>
      <c r="I129" s="191">
        <v>43077.775960648149</v>
      </c>
      <c r="J129" s="190">
        <v>0</v>
      </c>
      <c r="K129" s="200" t="str">
        <f t="shared" si="35"/>
        <v>4015/4016</v>
      </c>
      <c r="L129" s="207" t="str">
        <f>VLOOKUP(A129,'Trips&amp;Operators'!$C$1:$G$99911,5,FALSE)</f>
        <v>HOLCOMB KAMDEN</v>
      </c>
      <c r="M129" s="189">
        <f t="shared" si="36"/>
        <v>2.5555555555911269E-2</v>
      </c>
      <c r="N129" s="190">
        <f t="shared" si="57"/>
        <v>36.800000000512227</v>
      </c>
      <c r="O129" s="190"/>
      <c r="P129" s="190"/>
      <c r="Q129" s="193"/>
      <c r="R129" s="205"/>
      <c r="S129" s="235">
        <f t="shared" si="53"/>
        <v>1</v>
      </c>
      <c r="T129" s="236" t="str">
        <f t="shared" si="37"/>
        <v>NorthBound</v>
      </c>
      <c r="U129" s="23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37" t="str">
        <f t="shared" si="38"/>
        <v>https://d0f6bd738d7f1b3e5a7ca70fe4ff75f0.us-east-1.aws.found.io/app/kibana#/discover/Steve-Slow-Train-Analysis-(2080s-and-2083s)?_g=(refreshInterval:(display:Off,pause:!f,section:0,value:0),time:(from:'2017-12-08T16:54:10-0700',mode:absolute,to:'2017-12-08T19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238" t="str">
        <f>IF(AA129&lt;VLOOKUP(AG129,Variables!$AC$3:$AD$8,2,FALSE),"Y","N")</f>
        <v>N</v>
      </c>
      <c r="X129" s="238">
        <f t="shared" si="39"/>
        <v>1</v>
      </c>
      <c r="Y129" s="238">
        <f t="shared" si="55"/>
        <v>5.0200000000000002E-2</v>
      </c>
      <c r="Z129" s="238">
        <f t="shared" si="56"/>
        <v>23.320399999999999</v>
      </c>
      <c r="AA129" s="238">
        <f t="shared" si="42"/>
        <v>23.270199999999999</v>
      </c>
      <c r="AB129" s="242" t="e">
        <f>VLOOKUP(A129,Enforcements!$C$7:$K$9,8,0)</f>
        <v>#N/A</v>
      </c>
      <c r="AC129" s="242" t="e">
        <f>VLOOKUP(A129,Enforcements!$C$7:$E$9,3,0)</f>
        <v>#N/A</v>
      </c>
      <c r="AD129" s="243">
        <f t="shared" si="43"/>
        <v>215</v>
      </c>
      <c r="AE129" s="198" t="str">
        <f t="shared" si="44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129" s="197" t="str">
        <f t="shared" si="45"/>
        <v>"C:\Program Files (x86)\AstroGrep\AstroGrep.exe" /e /r /s /spath="%USERPROFILE%\AppData\Local\Temp\OnboardLogs" /stypes="app*4016*20171209*" /stext=" 01:.+((SYSTEM_STATE.+slice.+state.+changed )|(ment ac)|(multiple cpu faults)|(system.+state.+changed )|(\[timeout)|(PRM\|1\|D)|(kpr)|(kdp)|(train st.+moving)|(\|lc)|(penalty))"</v>
      </c>
      <c r="AG129" s="206" t="str">
        <f t="shared" si="46"/>
        <v>EC</v>
      </c>
      <c r="AH129" s="199" t="str">
        <f t="shared" si="47"/>
        <v>"%USERPROFILE%\Documents\GitHub\eaglep3\Utilities\RefineRTDCRunTimes.py" --tripid 215-08 --locoid 4016 --swversion DE.1.0.9.0 --startMP 204:502 --initTime 2017-12-08T17:54:10 --startdatetime 2017-12-08T18:00:35 --delay 65 --endMP 204:233204 --enddatetime 2017-12-08T18:37:23 --enforcementcount 0 &gt;&gt;%USERPROFILE%\Documents\GitHub\eaglep3-reporting\EC\2017-12-08-refined-times.txt</v>
      </c>
      <c r="AI129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{"issue":{"subject":"","project_id":79,"tracker_id":40,"status_id":1,"priority_id":2,"assigned_to_id":338,"start_date":"2017-12-08","description":"","custom_fields":[{"id":1,"name":"Subdivision","value":"EC"},{"id":4,"name":"Milepost","value":"23.3204"},{"id":17,"name":"Train ID","value":"215-08"},{"id":16,"name":"Locomotive ID","value":"4016"},{"id":130,"name":"Impact","value":""},{"id":150,"name":"Time of Event (Mountain Time)","value":"18:37:23"},{"id":151,"name":"Denver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196"/>
      <c r="AL129" s="196"/>
      <c r="AM129" s="203" t="str">
        <f t="shared" si="49"/>
        <v>start /low /b %USERPROFILE%\Documents\GitHub\eaglep3\Utilities\DownloadLogsFromS3.py --loco 4016 --day 2017-12-08</v>
      </c>
      <c r="AN129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95" t="str">
        <f t="shared" si="51"/>
        <v>https://d0f6bd738d7f1b3e5a7ca70fe4ff75f0.us-east-1.aws.found.io/app/kibana#/discover/Steve-Slow-Train-Analysis-(2080s-and-2083s)?_g=(refreshInterval:(display:Off,pause:!f,section:0,value:0),time:(from:'2017-12-08T16:54:10-0700',mode:absolute,to:'2017-12-08T19:37:23-0700'))&amp;_a=(columns:!('Message%20ID',Summary),filters:!(),index:'emp_*',interval:auto,query:(query_string:(analyze_wildcard:!t,query:'%22rtdc.l.rtdc.4016%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194" t="s">
        <v>878</v>
      </c>
      <c r="B130" s="190">
        <v>4015</v>
      </c>
      <c r="C130" s="192" t="s">
        <v>191</v>
      </c>
      <c r="D130" s="192" t="s">
        <v>998</v>
      </c>
      <c r="E130" s="191">
        <v>43077.786863425928</v>
      </c>
      <c r="F130" s="191">
        <v>43077.789814814816</v>
      </c>
      <c r="G130" s="190">
        <v>76</v>
      </c>
      <c r="H130" s="192" t="s">
        <v>659</v>
      </c>
      <c r="I130" s="191">
        <v>43077.815451388888</v>
      </c>
      <c r="J130" s="190">
        <v>0</v>
      </c>
      <c r="K130" s="200" t="str">
        <f t="shared" si="35"/>
        <v>4015/4016</v>
      </c>
      <c r="L130" s="207" t="str">
        <f>VLOOKUP(A130,'Trips&amp;Operators'!$C$1:$G$99911,5,FALSE)</f>
        <v>HOLCOMB KAMDEN</v>
      </c>
      <c r="M130" s="189">
        <f t="shared" si="36"/>
        <v>2.5636574071540963E-2</v>
      </c>
      <c r="N130" s="190">
        <f t="shared" si="57"/>
        <v>36.916666663018987</v>
      </c>
      <c r="O130" s="190"/>
      <c r="P130" s="190"/>
      <c r="Q130" s="193"/>
      <c r="R130" s="205"/>
      <c r="S130" s="235">
        <f t="shared" si="53"/>
        <v>1</v>
      </c>
      <c r="T130" s="236" t="str">
        <f t="shared" si="37"/>
        <v>Southbound</v>
      </c>
      <c r="U130" s="23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37" t="str">
        <f t="shared" si="38"/>
        <v>https://d0f6bd738d7f1b3e5a7ca70fe4ff75f0.us-east-1.aws.found.io/app/kibana#/discover/Steve-Slow-Train-Analysis-(2080s-and-2083s)?_g=(refreshInterval:(display:Off,pause:!f,section:0,value:0),time:(from:'2017-12-08T17:53:05-0700',mode:absolute,to:'2017-12-08T20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238" t="str">
        <f>IF(AA130&lt;VLOOKUP(AG130,Variables!$AC$3:$AD$8,2,FALSE),"Y","N")</f>
        <v>N</v>
      </c>
      <c r="X130" s="238">
        <f t="shared" si="39"/>
        <v>1</v>
      </c>
      <c r="Y130" s="238">
        <f t="shared" si="55"/>
        <v>23.287500000000001</v>
      </c>
      <c r="Z130" s="238">
        <f t="shared" si="56"/>
        <v>2.3099999999999999E-2</v>
      </c>
      <c r="AA130" s="238">
        <f t="shared" si="42"/>
        <v>23.264400000000002</v>
      </c>
      <c r="AB130" s="242" t="e">
        <f>VLOOKUP(A130,Enforcements!$C$7:$K$9,8,0)</f>
        <v>#N/A</v>
      </c>
      <c r="AC130" s="242" t="e">
        <f>VLOOKUP(A130,Enforcements!$C$7:$E$9,3,0)</f>
        <v>#N/A</v>
      </c>
      <c r="AD130" s="243">
        <f t="shared" si="43"/>
        <v>216</v>
      </c>
      <c r="AE130" s="198" t="str">
        <f t="shared" si="44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130" s="197" t="str">
        <f t="shared" si="45"/>
        <v>"C:\Program Files (x86)\AstroGrep\AstroGrep.exe" /e /r /s /spath="%USERPROFILE%\AppData\Local\Temp\OnboardLogs" /stypes="app*4015*20171209*" /stext=" 02:.+((SYSTEM_STATE.+slice.+state.+changed )|(ment ac)|(multiple cpu faults)|(system.+state.+changed )|(\[timeout)|(PRM\|1\|D)|(kpr)|(kdp)|(train st.+moving)|(\|lc)|(penalty))"</v>
      </c>
      <c r="AG130" s="206" t="str">
        <f t="shared" si="46"/>
        <v>EC</v>
      </c>
      <c r="AH130" s="199" t="str">
        <f t="shared" si="47"/>
        <v>"%USERPROFILE%\Documents\GitHub\eaglep3\Utilities\RefineRTDCRunTimes.py" --tripid 216-08 --locoid 4015 --swversion DE.1.0.9.0 --startMP 204:232875 --initTime 2017-12-08T18:53:05 --startdatetime 2017-12-08T18:57:20 --delay 76 --endMP 204:231 --enddatetime 2017-12-08T19:34:15 --enforcementcount 0 &gt;&gt;%USERPROFILE%\Documents\GitHub\eaglep3-reporting\EC\2017-12-08-refined-times.txt</v>
      </c>
      <c r="AI130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{"issue":{"subject":"","project_id":79,"tracker_id":40,"status_id":1,"priority_id":2,"assigned_to_id":338,"start_date":"2017-12-08","description":"","custom_fields":[{"id":1,"name":"Subdivision","value":"EC"},{"id":4,"name":"Milepost","value":"0.0231"},{"id":17,"name":"Train ID","value":"216-08"},{"id":16,"name":"Locomotive ID","value":"4015"},{"id":130,"name":"Impact","value":""},{"id":150,"name":"Time of Event (Mountain Time)","value":"19:34:15"},{"id":151,"name":"Denver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188"/>
      <c r="AK130" s="196"/>
      <c r="AL130" s="196"/>
      <c r="AM130" s="203" t="str">
        <f t="shared" si="49"/>
        <v>start /low /b %USERPROFILE%\Documents\GitHub\eaglep3\Utilities\DownloadLogsFromS3.py --loco 4015 --day 2017-12-08</v>
      </c>
      <c r="AN130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95" t="str">
        <f t="shared" si="51"/>
        <v>https://d0f6bd738d7f1b3e5a7ca70fe4ff75f0.us-east-1.aws.found.io/app/kibana#/discover/Steve-Slow-Train-Analysis-(2080s-and-2083s)?_g=(refreshInterval:(display:Off,pause:!f,section:0,value:0),time:(from:'2017-12-08T17:53:05-0700',mode:absolute,to:'2017-12-08T20:34:15-0700'))&amp;_a=(columns:!('Message%20ID',Summary),filters:!(),index:'emp_*',interval:auto,query:(query_string:(analyze_wildcard:!t,query:'%22rtdc.l.rtdc.4015%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188" customFormat="1" x14ac:dyDescent="0.25">
      <c r="A131" s="194" t="s">
        <v>871</v>
      </c>
      <c r="B131" s="190">
        <v>4064</v>
      </c>
      <c r="C131" s="192" t="s">
        <v>191</v>
      </c>
      <c r="D131" s="192" t="s">
        <v>458</v>
      </c>
      <c r="E131" s="191">
        <v>43077.755358796298</v>
      </c>
      <c r="F131" s="191">
        <v>43077.760648148149</v>
      </c>
      <c r="G131" s="190">
        <v>161</v>
      </c>
      <c r="H131" s="192" t="s">
        <v>999</v>
      </c>
      <c r="I131" s="191">
        <v>43077.785937499997</v>
      </c>
      <c r="J131" s="190">
        <v>0</v>
      </c>
      <c r="K131" s="200" t="str">
        <f t="shared" si="35"/>
        <v>4063/4064</v>
      </c>
      <c r="L131" s="207" t="str">
        <f>VLOOKUP(A131,'Trips&amp;Operators'!$C$1:$G$99911,5,FALSE)</f>
        <v>NICHOLSON WESLEY</v>
      </c>
      <c r="M131" s="189">
        <f t="shared" si="36"/>
        <v>2.5289351848186925E-2</v>
      </c>
      <c r="N131" s="190">
        <f t="shared" si="57"/>
        <v>36.416666661389172</v>
      </c>
      <c r="O131" s="190"/>
      <c r="P131" s="190"/>
      <c r="Q131" s="193"/>
      <c r="R131" s="205"/>
      <c r="S131" s="235">
        <f t="shared" si="53"/>
        <v>1</v>
      </c>
      <c r="T131" s="236" t="str">
        <f t="shared" si="37"/>
        <v>NorthBound</v>
      </c>
      <c r="U131" s="23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37" t="str">
        <f t="shared" si="38"/>
        <v>https://d0f6bd738d7f1b3e5a7ca70fe4ff75f0.us-east-1.aws.found.io/app/kibana#/discover/Steve-Slow-Train-Analysis-(2080s-and-2083s)?_g=(refreshInterval:(display:Off,pause:!f,section:0,value:0),time:(from:'2017-12-08T17:07:43-0700',mode:absolute,to:'2017-12-08T19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238" t="str">
        <f>IF(AA131&lt;VLOOKUP(AG131,Variables!$AC$3:$AD$8,2,FALSE),"Y","N")</f>
        <v>N</v>
      </c>
      <c r="X131" s="238">
        <f t="shared" si="39"/>
        <v>1</v>
      </c>
      <c r="Y131" s="238">
        <f t="shared" si="55"/>
        <v>5.0599999999999999E-2</v>
      </c>
      <c r="Z131" s="238">
        <f t="shared" si="56"/>
        <v>23.318000000000001</v>
      </c>
      <c r="AA131" s="238">
        <f t="shared" si="42"/>
        <v>23.267400000000002</v>
      </c>
      <c r="AB131" s="242" t="e">
        <f>VLOOKUP(A131,Enforcements!$C$7:$K$9,8,0)</f>
        <v>#N/A</v>
      </c>
      <c r="AC131" s="242" t="e">
        <f>VLOOKUP(A131,Enforcements!$C$7:$E$9,3,0)</f>
        <v>#N/A</v>
      </c>
      <c r="AD131" s="243">
        <f t="shared" si="43"/>
        <v>217</v>
      </c>
      <c r="AE131" s="198" t="str">
        <f t="shared" si="44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31" s="197" t="str">
        <f t="shared" si="45"/>
        <v>"C:\Program Files (x86)\AstroGrep\AstroGrep.exe" /e /r /s /spath="%USERPROFILE%\AppData\Local\Temp\OnboardLogs" /stypes="app*4064*20171209*" /stext=" 01:.+((SYSTEM_STATE.+slice.+state.+changed )|(ment ac)|(multiple cpu faults)|(system.+state.+changed )|(\[timeout)|(PRM\|1\|D)|(kpr)|(kdp)|(train st.+moving)|(\|lc)|(penalty))"</v>
      </c>
      <c r="AG131" s="206" t="str">
        <f t="shared" si="46"/>
        <v>EC</v>
      </c>
      <c r="AH131" s="199" t="str">
        <f t="shared" si="47"/>
        <v>"%USERPROFILE%\Documents\GitHub\eaglep3\Utilities\RefineRTDCRunTimes.py" --tripid 217-08 --locoid 4064 --swversion DE.1.0.9.0 --startMP 204:506 --initTime 2017-12-08T18:07:43 --startdatetime 2017-12-08T18:15:20 --delay 161 --endMP 204:233180 --enddatetime 2017-12-08T18:51:45 --enforcementcount 0 &gt;&gt;%USERPROFILE%\Documents\GitHub\eaglep3-reporting\EC\2017-12-08-refined-times.txt</v>
      </c>
      <c r="AI13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{"issue":{"subject":"","project_id":79,"tracker_id":40,"status_id":1,"priority_id":2,"assigned_to_id":338,"start_date":"2017-12-08","description":"","custom_fields":[{"id":1,"name":"Subdivision","value":"EC"},{"id":4,"name":"Milepost","value":"23.318"},{"id":17,"name":"Train ID","value":"217-08"},{"id":16,"name":"Locomotive ID","value":"4064"},{"id":130,"name":"Impact","value":""},{"id":150,"name":"Time of Event (Mountain Time)","value":"18:51:45"},{"id":151,"name":"Denver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196"/>
      <c r="AL131" s="196"/>
      <c r="AM131" s="203" t="str">
        <f t="shared" si="49"/>
        <v>start /low /b %USERPROFILE%\Documents\GitHub\eaglep3\Utilities\DownloadLogsFromS3.py --loco 4064 --day 2017-12-08</v>
      </c>
      <c r="AN131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95" t="str">
        <f t="shared" si="51"/>
        <v>https://d0f6bd738d7f1b3e5a7ca70fe4ff75f0.us-east-1.aws.found.io/app/kibana#/discover/Steve-Slow-Train-Analysis-(2080s-and-2083s)?_g=(refreshInterval:(display:Off,pause:!f,section:0,value:0),time:(from:'2017-12-08T17:07:43-0700',mode:absolute,to:'2017-12-08T19:51:45-0700'))&amp;_a=(columns:!('Message%20ID',Summary),filters:!(),index:'emp_*',interval:auto,query:(query_string:(analyze_wildcard:!t,query:'%22rtdc.l.rtdc.4064%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188" customFormat="1" x14ac:dyDescent="0.25">
      <c r="A132" s="194" t="s">
        <v>881</v>
      </c>
      <c r="B132" s="190">
        <v>4063</v>
      </c>
      <c r="C132" s="192" t="s">
        <v>191</v>
      </c>
      <c r="D132" s="192" t="s">
        <v>1000</v>
      </c>
      <c r="E132" s="191">
        <v>43077.79010416667</v>
      </c>
      <c r="F132" s="191">
        <v>43077.800486111111</v>
      </c>
      <c r="G132" s="190">
        <v>115</v>
      </c>
      <c r="H132" s="192" t="s">
        <v>1001</v>
      </c>
      <c r="I132" s="191">
        <v>43077.827407407407</v>
      </c>
      <c r="J132" s="190">
        <v>0</v>
      </c>
      <c r="K132" s="200" t="str">
        <f t="shared" si="35"/>
        <v>4063/4064</v>
      </c>
      <c r="L132" s="207" t="str">
        <f>VLOOKUP(A132,'Trips&amp;Operators'!$C$1:$G$99911,5,FALSE)</f>
        <v>NICHOLSON WESLEY</v>
      </c>
      <c r="M132" s="189">
        <f t="shared" si="36"/>
        <v>2.6921296295768116E-2</v>
      </c>
      <c r="N132" s="190">
        <f t="shared" si="57"/>
        <v>38.766666665906087</v>
      </c>
      <c r="O132" s="190"/>
      <c r="P132" s="190"/>
      <c r="Q132" s="193"/>
      <c r="R132" s="205"/>
      <c r="S132" s="235">
        <f t="shared" si="53"/>
        <v>1</v>
      </c>
      <c r="T132" s="236" t="str">
        <f t="shared" si="37"/>
        <v>Southbound</v>
      </c>
      <c r="U132" s="23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37" t="str">
        <f t="shared" si="38"/>
        <v>https://d0f6bd738d7f1b3e5a7ca70fe4ff75f0.us-east-1.aws.found.io/app/kibana#/discover/Steve-Slow-Train-Analysis-(2080s-and-2083s)?_g=(refreshInterval:(display:Off,pause:!f,section:0,value:0),time:(from:'2017-12-08T17:57:45-0700',mode:absolute,to:'2017-12-08T20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238" t="str">
        <f>IF(AA132&lt;VLOOKUP(AG132,Variables!$AC$3:$AD$8,2,FALSE),"Y","N")</f>
        <v>N</v>
      </c>
      <c r="X132" s="238">
        <f t="shared" si="39"/>
        <v>1</v>
      </c>
      <c r="Y132" s="238">
        <f t="shared" si="55"/>
        <v>23.286300000000001</v>
      </c>
      <c r="Z132" s="238">
        <f t="shared" si="56"/>
        <v>2.4899999999999999E-2</v>
      </c>
      <c r="AA132" s="238">
        <f t="shared" si="42"/>
        <v>23.261400000000002</v>
      </c>
      <c r="AB132" s="242" t="e">
        <f>VLOOKUP(A132,Enforcements!$C$7:$K$9,8,0)</f>
        <v>#N/A</v>
      </c>
      <c r="AC132" s="242" t="e">
        <f>VLOOKUP(A132,Enforcements!$C$7:$E$9,3,0)</f>
        <v>#N/A</v>
      </c>
      <c r="AD132" s="243">
        <f t="shared" si="43"/>
        <v>218</v>
      </c>
      <c r="AE132" s="198" t="str">
        <f t="shared" si="44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32" s="197" t="str">
        <f t="shared" si="45"/>
        <v>"C:\Program Files (x86)\AstroGrep\AstroGrep.exe" /e /r /s /spath="%USERPROFILE%\AppData\Local\Temp\OnboardLogs" /stypes="app*4063*20171209*" /stext=" 02:.+((SYSTEM_STATE.+slice.+state.+changed )|(ment ac)|(multiple cpu faults)|(system.+state.+changed )|(\[timeout)|(PRM\|1\|D)|(kpr)|(kdp)|(train st.+moving)|(\|lc)|(penalty))"</v>
      </c>
      <c r="AG132" s="206" t="str">
        <f t="shared" si="46"/>
        <v>EC</v>
      </c>
      <c r="AH132" s="199" t="str">
        <f t="shared" si="47"/>
        <v>"%USERPROFILE%\Documents\GitHub\eaglep3\Utilities\RefineRTDCRunTimes.py" --tripid 218-08 --locoid 4063 --swversion DE.1.0.9.0 --startMP 204:232863 --initTime 2017-12-08T18:57:45 --startdatetime 2017-12-08T19:12:42 --delay 115 --endMP 204:249 --enddatetime 2017-12-08T19:51:28 --enforcementcount 0 &gt;&gt;%USERPROFILE%\Documents\GitHub\eaglep3-reporting\EC\2017-12-08-refined-times.txt</v>
      </c>
      <c r="AI132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{"issue":{"subject":"","project_id":79,"tracker_id":40,"status_id":1,"priority_id":2,"assigned_to_id":338,"start_date":"2017-12-08","description":"","custom_fields":[{"id":1,"name":"Subdivision","value":"EC"},{"id":4,"name":"Milepost","value":"0.0249"},{"id":17,"name":"Train ID","value":"218-08"},{"id":16,"name":"Locomotive ID","value":"4063"},{"id":130,"name":"Impact","value":""},{"id":150,"name":"Time of Event (Mountain Time)","value":"19:51:28"},{"id":151,"name":"Denver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196"/>
      <c r="AL132" s="196"/>
      <c r="AM132" s="203" t="str">
        <f t="shared" si="49"/>
        <v>start /low /b %USERPROFILE%\Documents\GitHub\eaglep3\Utilities\DownloadLogsFromS3.py --loco 4063 --day 2017-12-08</v>
      </c>
      <c r="AN132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95" t="str">
        <f t="shared" si="51"/>
        <v>https://d0f6bd738d7f1b3e5a7ca70fe4ff75f0.us-east-1.aws.found.io/app/kibana#/discover/Steve-Slow-Train-Analysis-(2080s-and-2083s)?_g=(refreshInterval:(display:Off,pause:!f,section:0,value:0),time:(from:'2017-12-08T17:57:45-0700',mode:absolute,to:'2017-12-08T20:51:28-0700'))&amp;_a=(columns:!('Message%20ID',Summary),filters:!(),index:'emp_*',interval:auto,query:(query_string:(analyze_wildcard:!t,query:'%22rtdc.l.rtdc.4063%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194" t="s">
        <v>873</v>
      </c>
      <c r="B133" s="190">
        <v>4024</v>
      </c>
      <c r="C133" s="192" t="s">
        <v>191</v>
      </c>
      <c r="D133" s="192" t="s">
        <v>485</v>
      </c>
      <c r="E133" s="191">
        <v>43077.76699074074</v>
      </c>
      <c r="F133" s="191">
        <v>43077.771006944444</v>
      </c>
      <c r="G133" s="190">
        <v>48</v>
      </c>
      <c r="H133" s="192" t="s">
        <v>509</v>
      </c>
      <c r="I133" s="191">
        <v>43077.797152777777</v>
      </c>
      <c r="J133" s="190">
        <v>0</v>
      </c>
      <c r="K133" s="200" t="str">
        <f t="shared" si="35"/>
        <v>4023/4024</v>
      </c>
      <c r="L133" s="207" t="str">
        <f>VLOOKUP(A133,'Trips&amp;Operators'!$C$1:$G$99911,5,FALSE)</f>
        <v>ELBAUM MIKE</v>
      </c>
      <c r="M133" s="189">
        <f t="shared" si="36"/>
        <v>2.6145833333430346E-2</v>
      </c>
      <c r="N133" s="190">
        <f t="shared" si="57"/>
        <v>37.650000000139698</v>
      </c>
      <c r="O133" s="190"/>
      <c r="P133" s="190"/>
      <c r="Q133" s="193"/>
      <c r="R133" s="205"/>
      <c r="S133" s="235">
        <f t="shared" si="53"/>
        <v>1</v>
      </c>
      <c r="T133" s="236" t="str">
        <f t="shared" si="37"/>
        <v>NorthBound</v>
      </c>
      <c r="U133" s="23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37" t="str">
        <f t="shared" si="38"/>
        <v>https://d0f6bd738d7f1b3e5a7ca70fe4ff75f0.us-east-1.aws.found.io/app/kibana#/discover/Steve-Slow-Train-Analysis-(2080s-and-2083s)?_g=(refreshInterval:(display:Off,pause:!f,section:0,value:0),time:(from:'2017-12-08T17:24:28-0700',mode:absolute,to:'2017-12-08T20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238" t="str">
        <f>IF(AA133&lt;VLOOKUP(AG133,Variables!$AC$3:$AD$8,2,FALSE),"Y","N")</f>
        <v>N</v>
      </c>
      <c r="X133" s="238">
        <f t="shared" si="39"/>
        <v>1</v>
      </c>
      <c r="Y133" s="238">
        <f t="shared" si="55"/>
        <v>5.3100000000000001E-2</v>
      </c>
      <c r="Z133" s="238">
        <f t="shared" si="56"/>
        <v>23.325700000000001</v>
      </c>
      <c r="AA133" s="238">
        <f t="shared" si="42"/>
        <v>23.272600000000001</v>
      </c>
      <c r="AB133" s="242" t="e">
        <f>VLOOKUP(A133,Enforcements!$C$7:$K$9,8,0)</f>
        <v>#N/A</v>
      </c>
      <c r="AC133" s="242" t="e">
        <f>VLOOKUP(A133,Enforcements!$C$7:$E$9,3,0)</f>
        <v>#N/A</v>
      </c>
      <c r="AD133" s="243">
        <f t="shared" si="43"/>
        <v>219</v>
      </c>
      <c r="AE133" s="198" t="str">
        <f t="shared" si="44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33" s="197" t="str">
        <f t="shared" si="45"/>
        <v>"C:\Program Files (x86)\AstroGrep\AstroGrep.exe" /e /r /s /spath="%USERPROFILE%\AppData\Local\Temp\OnboardLogs" /stypes="app*4024*20171209*" /stext=" 02:.+((SYSTEM_STATE.+slice.+state.+changed )|(ment ac)|(multiple cpu faults)|(system.+state.+changed )|(\[timeout)|(PRM\|1\|D)|(kpr)|(kdp)|(train st.+moving)|(\|lc)|(penalty))"</v>
      </c>
      <c r="AG133" s="206" t="str">
        <f t="shared" si="46"/>
        <v>EC</v>
      </c>
      <c r="AH133" s="199" t="str">
        <f t="shared" si="47"/>
        <v>"%USERPROFILE%\Documents\GitHub\eaglep3\Utilities\RefineRTDCRunTimes.py" --tripid 219-08 --locoid 4024 --swversion DE.1.0.9.0 --startMP 204:531 --initTime 2017-12-08T18:24:28 --startdatetime 2017-12-08T18:30:15 --delay 48 --endMP 204:233257 --enddatetime 2017-12-08T19:07:54 --enforcementcount 0 &gt;&gt;%USERPROFILE%\Documents\GitHub\eaglep3-reporting\EC\2017-12-08-refined-times.txt</v>
      </c>
      <c r="AI133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{"issue":{"subject":"","project_id":79,"tracker_id":40,"status_id":1,"priority_id":2,"assigned_to_id":338,"start_date":"2017-12-08","description":"","custom_fields":[{"id":1,"name":"Subdivision","value":"EC"},{"id":4,"name":"Milepost","value":"23.3257"},{"id":17,"name":"Train ID","value":"219-08"},{"id":16,"name":"Locomotive ID","value":"4024"},{"id":130,"name":"Impact","value":""},{"id":150,"name":"Time of Event (Mountain Time)","value":"19:07:54"},{"id":151,"name":"Denver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188"/>
      <c r="AK133" s="196"/>
      <c r="AL133" s="196"/>
      <c r="AM133" s="203" t="str">
        <f t="shared" si="49"/>
        <v>start /low /b %USERPROFILE%\Documents\GitHub\eaglep3\Utilities\DownloadLogsFromS3.py --loco 4024 --day 2017-12-08</v>
      </c>
      <c r="AN133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95" t="str">
        <f t="shared" si="51"/>
        <v>https://d0f6bd738d7f1b3e5a7ca70fe4ff75f0.us-east-1.aws.found.io/app/kibana#/discover/Steve-Slow-Train-Analysis-(2080s-and-2083s)?_g=(refreshInterval:(display:Off,pause:!f,section:0,value:0),time:(from:'2017-12-08T17:24:28-0700',mode:absolute,to:'2017-12-08T20:07:54-0700'))&amp;_a=(columns:!('Message%20ID',Summary),filters:!(),index:'emp_*',interval:auto,query:(query_string:(analyze_wildcard:!t,query:'%22rtdc.l.rtdc.4024%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188" customFormat="1" x14ac:dyDescent="0.25">
      <c r="A134" s="194" t="s">
        <v>873</v>
      </c>
      <c r="B134" s="190">
        <v>4024</v>
      </c>
      <c r="C134" s="192" t="s">
        <v>191</v>
      </c>
      <c r="D134" s="192" t="s">
        <v>465</v>
      </c>
      <c r="E134" s="191">
        <v>43077.764641203707</v>
      </c>
      <c r="F134" s="191">
        <v>43077.771006944444</v>
      </c>
      <c r="G134" s="190">
        <v>105</v>
      </c>
      <c r="H134" s="192" t="s">
        <v>639</v>
      </c>
      <c r="I134" s="191">
        <v>43077.797152777777</v>
      </c>
      <c r="J134" s="190">
        <v>0</v>
      </c>
      <c r="K134" s="200" t="str">
        <f t="shared" si="35"/>
        <v>4023/4024</v>
      </c>
      <c r="L134" s="207" t="str">
        <f>VLOOKUP(A134,'Trips&amp;Operators'!$C$1:$G$99911,5,FALSE)</f>
        <v>ELBAUM MIKE</v>
      </c>
      <c r="M134" s="189">
        <f t="shared" si="36"/>
        <v>2.6145833333430346E-2</v>
      </c>
      <c r="N134" s="190"/>
      <c r="O134" s="190"/>
      <c r="P134" s="190"/>
      <c r="Q134" s="193"/>
      <c r="R134" s="205"/>
      <c r="S134" s="235"/>
      <c r="T134" s="236" t="str">
        <f t="shared" si="37"/>
        <v>NorthBound</v>
      </c>
      <c r="U134" s="23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237" t="str">
        <f t="shared" si="38"/>
        <v>https://d0f6bd738d7f1b3e5a7ca70fe4ff75f0.us-east-1.aws.found.io/app/kibana#/discover/Steve-Slow-Train-Analysis-(2080s-and-2083s)?_g=(refreshInterval:(display:Off,pause:!f,section:0,value:0),time:(from:'2017-12-08T17:21:05-0700',mode:absolute,to:'2017-12-08T20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4" s="238" t="str">
        <f>IF(AA134&lt;VLOOKUP(AG134,Variables!$AC$3:$AD$8,2,FALSE),"Y","N")</f>
        <v>Y</v>
      </c>
      <c r="X134" s="238">
        <f t="shared" si="39"/>
        <v>0</v>
      </c>
      <c r="Y134" s="238">
        <f t="shared" si="55"/>
        <v>5.2400000000000002E-2</v>
      </c>
      <c r="Z134" s="238">
        <f t="shared" si="56"/>
        <v>5.3499999999999999E-2</v>
      </c>
      <c r="AA134" s="238">
        <f t="shared" si="42"/>
        <v>1.0999999999999968E-3</v>
      </c>
      <c r="AB134" s="242" t="e">
        <f>VLOOKUP(A134,Enforcements!$C$7:$K$9,8,0)</f>
        <v>#N/A</v>
      </c>
      <c r="AC134" s="242" t="e">
        <f>VLOOKUP(A134,Enforcements!$C$7:$E$9,3,0)</f>
        <v>#N/A</v>
      </c>
      <c r="AD134" s="243">
        <f t="shared" si="43"/>
        <v>219</v>
      </c>
      <c r="AE134" s="198" t="str">
        <f t="shared" si="44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34" s="197" t="str">
        <f t="shared" si="45"/>
        <v>"C:\Program Files (x86)\AstroGrep\AstroGrep.exe" /e /r /s /spath="%USERPROFILE%\AppData\Local\Temp\OnboardLogs" /stypes="app*4024*20171209*" /stext=" 02:.+((SYSTEM_STATE.+slice.+state.+changed )|(ment ac)|(multiple cpu faults)|(system.+state.+changed )|(\[timeout)|(PRM\|1\|D)|(kpr)|(kdp)|(train st.+moving)|(\|lc)|(penalty))"</v>
      </c>
      <c r="AG134" s="206" t="str">
        <f t="shared" si="46"/>
        <v>EC</v>
      </c>
      <c r="AH134" s="199" t="str">
        <f t="shared" si="47"/>
        <v>"%USERPROFILE%\Documents\GitHub\eaglep3\Utilities\RefineRTDCRunTimes.py" --tripid 219-08 --locoid 4024 --swversion DE.1.0.9.0 --startMP 204:524 --initTime 2017-12-08T18:21:05 --startdatetime 2017-12-08T18:30:15 --delay 105 --endMP 204:535 --enddatetime 2017-12-08T19:07:54 --enforcementcount 0 &gt;&gt;%USERPROFILE%\Documents\GitHub\eaglep3-reporting\EC\2017-12-08-refined-times.txt</v>
      </c>
      <c r="AI134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{"issue":{"subject":"","project_id":79,"tracker_id":40,"status_id":1,"priority_id":2,"assigned_to_id":338,"start_date":"2017-12-08","description":"","custom_fields":[{"id":1,"name":"Subdivision","value":"EC"},{"id":4,"name":"Milepost","value":"0.0535"},{"id":17,"name":"Train ID","value":"219-08"},{"id":16,"name":"Locomotive ID","value":"4024"},{"id":130,"name":"Impact","value":""},{"id":150,"name":"Time of Event (Mountain Time)","value":"19:07:54"},{"id":151,"name":"Denver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196"/>
      <c r="AL134" s="196"/>
      <c r="AM134" s="203" t="str">
        <f t="shared" si="49"/>
        <v>start /low /b %USERPROFILE%\Documents\GitHub\eaglep3\Utilities\DownloadLogsFromS3.py --loco 4024 --day 2017-12-08</v>
      </c>
      <c r="AN134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95" t="str">
        <f t="shared" si="51"/>
        <v>https://d0f6bd738d7f1b3e5a7ca70fe4ff75f0.us-east-1.aws.found.io/app/kibana#/discover/Steve-Slow-Train-Analysis-(2080s-and-2083s)?_g=(refreshInterval:(display:Off,pause:!f,section:0,value:0),time:(from:'2017-12-08T17:21:05-0700',mode:absolute,to:'2017-12-08T20:07:54-0700'))&amp;_a=(columns:!('Message%20ID',Summary),filters:!(),index:'emp_*',interval:auto,query:(query_string:(analyze_wildcard:!t,query:'%22rtdc.l.rtdc.4024%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194" t="s">
        <v>883</v>
      </c>
      <c r="B135" s="190">
        <v>4023</v>
      </c>
      <c r="C135" s="192" t="s">
        <v>191</v>
      </c>
      <c r="D135" s="192" t="s">
        <v>571</v>
      </c>
      <c r="E135" s="191">
        <v>43077.798622685186</v>
      </c>
      <c r="F135" s="191">
        <v>43077.810648148145</v>
      </c>
      <c r="G135" s="190">
        <v>68</v>
      </c>
      <c r="H135" s="192" t="s">
        <v>1002</v>
      </c>
      <c r="I135" s="191">
        <v>43077.837002314816</v>
      </c>
      <c r="J135" s="190">
        <v>0</v>
      </c>
      <c r="K135" s="200" t="str">
        <f t="shared" si="35"/>
        <v>4023/4024</v>
      </c>
      <c r="L135" s="207" t="str">
        <f>VLOOKUP(A135,'Trips&amp;Operators'!$C$1:$G$99911,5,FALSE)</f>
        <v>ELBAUM MIKE</v>
      </c>
      <c r="M135" s="189">
        <f t="shared" si="36"/>
        <v>2.6354166671808343E-2</v>
      </c>
      <c r="N135" s="190">
        <f t="shared" ref="N135:N142" si="58">24*60*SUM($M135:$M135)</f>
        <v>37.950000007404014</v>
      </c>
      <c r="O135" s="190"/>
      <c r="P135" s="190"/>
      <c r="Q135" s="193"/>
      <c r="R135" s="205"/>
      <c r="S135" s="235">
        <f t="shared" ref="S135:S142" si="59">1/IF(AG135="EC",12,1)*SUM(U135:U135)</f>
        <v>1</v>
      </c>
      <c r="T135" s="236" t="str">
        <f t="shared" si="37"/>
        <v>Southbound</v>
      </c>
      <c r="U135" s="23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37" t="str">
        <f t="shared" si="38"/>
        <v>https://d0f6bd738d7f1b3e5a7ca70fe4ff75f0.us-east-1.aws.found.io/app/kibana#/discover/Steve-Slow-Train-Analysis-(2080s-and-2083s)?_g=(refreshInterval:(display:Off,pause:!f,section:0,value:0),time:(from:'2017-12-08T18:10:01-0700',mode:absolute,to:'2017-12-08T21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238" t="str">
        <f>IF(AA135&lt;VLOOKUP(AG135,Variables!$AC$3:$AD$8,2,FALSE),"Y","N")</f>
        <v>N</v>
      </c>
      <c r="X135" s="238">
        <f t="shared" si="39"/>
        <v>1</v>
      </c>
      <c r="Y135" s="238">
        <f t="shared" si="55"/>
        <v>23.294</v>
      </c>
      <c r="Z135" s="238">
        <f t="shared" si="56"/>
        <v>2.63E-2</v>
      </c>
      <c r="AA135" s="238">
        <f t="shared" si="42"/>
        <v>23.267700000000001</v>
      </c>
      <c r="AB135" s="242" t="e">
        <f>VLOOKUP(A135,Enforcements!$C$7:$K$9,8,0)</f>
        <v>#N/A</v>
      </c>
      <c r="AC135" s="242" t="e">
        <f>VLOOKUP(A135,Enforcements!$C$7:$E$9,3,0)</f>
        <v>#N/A</v>
      </c>
      <c r="AD135" s="243">
        <f t="shared" si="43"/>
        <v>220</v>
      </c>
      <c r="AE135" s="198" t="str">
        <f t="shared" si="44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135" s="197" t="str">
        <f t="shared" si="45"/>
        <v>"C:\Program Files (x86)\AstroGrep\AstroGrep.exe" /e /r /s /spath="%USERPROFILE%\AppData\Local\Temp\OnboardLogs" /stypes="app*4023*20171209*" /stext=" 03:.+((SYSTEM_STATE.+slice.+state.+changed )|(ment ac)|(multiple cpu faults)|(system.+state.+changed )|(\[timeout)|(PRM\|1\|D)|(kpr)|(kdp)|(train st.+moving)|(\|lc)|(penalty))"</v>
      </c>
      <c r="AG135" s="206" t="str">
        <f t="shared" si="46"/>
        <v>EC</v>
      </c>
      <c r="AH135" s="199" t="str">
        <f t="shared" si="47"/>
        <v>"%USERPROFILE%\Documents\GitHub\eaglep3\Utilities\RefineRTDCRunTimes.py" --tripid 220-08 --locoid 4023 --swversion DE.1.0.9.0 --startMP 204:232940 --initTime 2017-12-08T19:10:01 --startdatetime 2017-12-08T19:27:20 --delay 68 --endMP 204:263 --enddatetime 2017-12-08T20:05:17 --enforcementcount 0 &gt;&gt;%USERPROFILE%\Documents\GitHub\eaglep3-reporting\EC\2017-12-08-refined-times.txt</v>
      </c>
      <c r="AI135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{"issue":{"subject":"","project_id":79,"tracker_id":40,"status_id":1,"priority_id":2,"assigned_to_id":338,"start_date":"2017-12-08","description":"","custom_fields":[{"id":1,"name":"Subdivision","value":"EC"},{"id":4,"name":"Milepost","value":"0.0263"},{"id":17,"name":"Train ID","value":"220-08"},{"id":16,"name":"Locomotive ID","value":"4023"},{"id":130,"name":"Impact","value":""},{"id":150,"name":"Time of Event (Mountain Time)","value":"20:05:17"},{"id":151,"name":"Denver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188"/>
      <c r="AK135" s="196"/>
      <c r="AL135" s="196"/>
      <c r="AM135" s="203" t="str">
        <f t="shared" si="49"/>
        <v>start /low /b %USERPROFILE%\Documents\GitHub\eaglep3\Utilities\DownloadLogsFromS3.py --loco 4023 --day 2017-12-08</v>
      </c>
      <c r="AN135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95" t="str">
        <f t="shared" si="51"/>
        <v>https://d0f6bd738d7f1b3e5a7ca70fe4ff75f0.us-east-1.aws.found.io/app/kibana#/discover/Steve-Slow-Train-Analysis-(2080s-and-2083s)?_g=(refreshInterval:(display:Off,pause:!f,section:0,value:0),time:(from:'2017-12-08T18:10:01-0700',mode:absolute,to:'2017-12-08T21:05:17-0700'))&amp;_a=(columns:!('Message%20ID',Summary),filters:!(),index:'emp_*',interval:auto,query:(query_string:(analyze_wildcard:!t,query:'%22rtdc.l.rtdc.4023%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194" t="s">
        <v>879</v>
      </c>
      <c r="B136" s="190">
        <v>4010</v>
      </c>
      <c r="C136" s="192" t="s">
        <v>191</v>
      </c>
      <c r="D136" s="192" t="s">
        <v>666</v>
      </c>
      <c r="E136" s="191">
        <v>43077.787488425929</v>
      </c>
      <c r="F136" s="191">
        <v>43077.791956018518</v>
      </c>
      <c r="G136" s="190">
        <v>93</v>
      </c>
      <c r="H136" s="192" t="s">
        <v>580</v>
      </c>
      <c r="I136" s="191">
        <v>43077.81695601852</v>
      </c>
      <c r="J136" s="190">
        <v>0</v>
      </c>
      <c r="K136" s="200" t="str">
        <f t="shared" si="35"/>
        <v>4009/4010</v>
      </c>
      <c r="L136" s="207" t="str">
        <f>VLOOKUP(A136,'Trips&amp;Operators'!$C$1:$G$99911,5,FALSE)</f>
        <v>ANDERS STEVEN</v>
      </c>
      <c r="M136" s="189">
        <f t="shared" si="36"/>
        <v>2.5000000001455192E-2</v>
      </c>
      <c r="N136" s="190">
        <f t="shared" si="58"/>
        <v>36.000000002095476</v>
      </c>
      <c r="O136" s="190"/>
      <c r="P136" s="190"/>
      <c r="Q136" s="193"/>
      <c r="R136" s="205"/>
      <c r="S136" s="235">
        <f t="shared" si="59"/>
        <v>1</v>
      </c>
      <c r="T136" s="236" t="str">
        <f t="shared" si="37"/>
        <v>NorthBound</v>
      </c>
      <c r="U136" s="23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37" t="str">
        <f t="shared" si="38"/>
        <v>https://d0f6bd738d7f1b3e5a7ca70fe4ff75f0.us-east-1.aws.found.io/app/kibana#/discover/Steve-Slow-Train-Analysis-(2080s-and-2083s)?_g=(refreshInterval:(display:Off,pause:!f,section:0,value:0),time:(from:'2017-12-08T17:53:59-0700',mode:absolute,to:'2017-12-08T20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238" t="str">
        <f>IF(AA136&lt;VLOOKUP(AG136,Variables!$AC$3:$AD$8,2,FALSE),"Y","N")</f>
        <v>N</v>
      </c>
      <c r="X136" s="238">
        <f t="shared" si="39"/>
        <v>1</v>
      </c>
      <c r="Y136" s="238">
        <f t="shared" si="55"/>
        <v>5.4800000000000001E-2</v>
      </c>
      <c r="Z136" s="238">
        <f t="shared" si="56"/>
        <v>23.326799999999999</v>
      </c>
      <c r="AA136" s="238">
        <f t="shared" si="42"/>
        <v>23.271999999999998</v>
      </c>
      <c r="AB136" s="242" t="e">
        <f>VLOOKUP(A136,Enforcements!$C$7:$K$9,8,0)</f>
        <v>#N/A</v>
      </c>
      <c r="AC136" s="242" t="e">
        <f>VLOOKUP(A136,Enforcements!$C$7:$E$9,3,0)</f>
        <v>#N/A</v>
      </c>
      <c r="AD136" s="243">
        <f t="shared" si="43"/>
        <v>221</v>
      </c>
      <c r="AE136" s="198" t="str">
        <f t="shared" si="44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36" s="197" t="str">
        <f t="shared" si="45"/>
        <v>"C:\Program Files (x86)\AstroGrep\AstroGrep.exe" /e /r /s /spath="%USERPROFILE%\AppData\Local\Temp\OnboardLogs" /stypes="app*4010*20171209*" /stext=" 02:.+((SYSTEM_STATE.+slice.+state.+changed )|(ment ac)|(multiple cpu faults)|(system.+state.+changed )|(\[timeout)|(PRM\|1\|D)|(kpr)|(kdp)|(train st.+moving)|(\|lc)|(penalty))"</v>
      </c>
      <c r="AG136" s="206" t="str">
        <f t="shared" si="46"/>
        <v>EC</v>
      </c>
      <c r="AH136" s="199" t="str">
        <f t="shared" si="47"/>
        <v>"%USERPROFILE%\Documents\GitHub\eaglep3\Utilities\RefineRTDCRunTimes.py" --tripid 221-08 --locoid 4010 --swversion DE.1.0.9.0 --startMP 204:548 --initTime 2017-12-08T18:53:59 --startdatetime 2017-12-08T19:00:25 --delay 93 --endMP 204:233268 --enddatetime 2017-12-08T19:36:25 --enforcementcount 0 &gt;&gt;%USERPROFILE%\Documents\GitHub\eaglep3-reporting\EC\2017-12-08-refined-times.txt</v>
      </c>
      <c r="AI136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{"issue":{"subject":"","project_id":79,"tracker_id":40,"status_id":1,"priority_id":2,"assigned_to_id":338,"start_date":"2017-12-08","description":"","custom_fields":[{"id":1,"name":"Subdivision","value":"EC"},{"id":4,"name":"Milepost","value":"23.3268"},{"id":17,"name":"Train ID","value":"221-08"},{"id":16,"name":"Locomotive ID","value":"4010"},{"id":130,"name":"Impact","value":""},{"id":150,"name":"Time of Event (Mountain Time)","value":"19:36:25"},{"id":151,"name":"Denver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188"/>
      <c r="AK136" s="196"/>
      <c r="AL136" s="196"/>
      <c r="AM136" s="203" t="str">
        <f t="shared" si="49"/>
        <v>start /low /b %USERPROFILE%\Documents\GitHub\eaglep3\Utilities\DownloadLogsFromS3.py --loco 4010 --day 2017-12-08</v>
      </c>
      <c r="AN136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95" t="str">
        <f t="shared" si="51"/>
        <v>https://d0f6bd738d7f1b3e5a7ca70fe4ff75f0.us-east-1.aws.found.io/app/kibana#/discover/Steve-Slow-Train-Analysis-(2080s-and-2083s)?_g=(refreshInterval:(display:Off,pause:!f,section:0,value:0),time:(from:'2017-12-08T17:53:59-0700',mode:absolute,to:'2017-12-08T20:36:25-0700'))&amp;_a=(columns:!('Message%20ID',Summary),filters:!(),index:'emp_*',interval:auto,query:(query_string:(analyze_wildcard:!t,query:'%22rtdc.l.rtdc.4010%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194" t="s">
        <v>887</v>
      </c>
      <c r="B137" s="190">
        <v>4009</v>
      </c>
      <c r="C137" s="192" t="s">
        <v>191</v>
      </c>
      <c r="D137" s="192" t="s">
        <v>571</v>
      </c>
      <c r="E137" s="191">
        <v>43077.819421296299</v>
      </c>
      <c r="F137" s="191">
        <v>43077.83152777778</v>
      </c>
      <c r="G137" s="190">
        <v>68</v>
      </c>
      <c r="H137" s="192" t="s">
        <v>652</v>
      </c>
      <c r="I137" s="191">
        <v>43077.858310185184</v>
      </c>
      <c r="J137" s="190">
        <v>0</v>
      </c>
      <c r="K137" s="200" t="str">
        <f t="shared" si="35"/>
        <v>4009/4010</v>
      </c>
      <c r="L137" s="207" t="str">
        <f>VLOOKUP(A137,'Trips&amp;Operators'!$C$1:$G$99911,5,FALSE)</f>
        <v>ANDERS STEVEN</v>
      </c>
      <c r="M137" s="189">
        <f t="shared" si="36"/>
        <v>2.6782407403516117E-2</v>
      </c>
      <c r="N137" s="190">
        <f t="shared" si="58"/>
        <v>38.566666661063209</v>
      </c>
      <c r="O137" s="190"/>
      <c r="P137" s="190"/>
      <c r="Q137" s="193"/>
      <c r="R137" s="205"/>
      <c r="S137" s="235">
        <f t="shared" si="59"/>
        <v>1</v>
      </c>
      <c r="T137" s="236" t="str">
        <f t="shared" si="37"/>
        <v>Southbound</v>
      </c>
      <c r="U137" s="23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37" t="str">
        <f t="shared" si="38"/>
        <v>https://d0f6bd738d7f1b3e5a7ca70fe4ff75f0.us-east-1.aws.found.io/app/kibana#/discover/Steve-Slow-Train-Analysis-(2080s-and-2083s)?_g=(refreshInterval:(display:Off,pause:!f,section:0,value:0),time:(from:'2017-12-08T18:39:58-0700',mode:absolute,to:'2017-12-08T21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7" s="238" t="str">
        <f>IF(AA137&lt;VLOOKUP(AG137,Variables!$AC$3:$AD$8,2,FALSE),"Y","N")</f>
        <v>N</v>
      </c>
      <c r="X137" s="238">
        <f t="shared" si="39"/>
        <v>1</v>
      </c>
      <c r="Y137" s="238">
        <f t="shared" si="55"/>
        <v>23.294</v>
      </c>
      <c r="Z137" s="238">
        <f t="shared" si="56"/>
        <v>2.6499999999999999E-2</v>
      </c>
      <c r="AA137" s="238">
        <f t="shared" si="42"/>
        <v>23.267500000000002</v>
      </c>
      <c r="AB137" s="242" t="e">
        <f>VLOOKUP(A137,Enforcements!$C$7:$K$9,8,0)</f>
        <v>#N/A</v>
      </c>
      <c r="AC137" s="242" t="e">
        <f>VLOOKUP(A137,Enforcements!$C$7:$E$9,3,0)</f>
        <v>#N/A</v>
      </c>
      <c r="AD137" s="243">
        <f t="shared" si="43"/>
        <v>222</v>
      </c>
      <c r="AE137" s="198" t="str">
        <f t="shared" si="44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37" s="197" t="str">
        <f t="shared" si="45"/>
        <v>"C:\Program Files (x86)\AstroGrep\AstroGrep.exe" /e /r /s /spath="%USERPROFILE%\AppData\Local\Temp\OnboardLogs" /stypes="app*4009*20171209*" /stext=" 03:.+((SYSTEM_STATE.+slice.+state.+changed )|(ment ac)|(multiple cpu faults)|(system.+state.+changed )|(\[timeout)|(PRM\|1\|D)|(kpr)|(kdp)|(train st.+moving)|(\|lc)|(penalty))"</v>
      </c>
      <c r="AG137" s="206" t="str">
        <f t="shared" si="46"/>
        <v>EC</v>
      </c>
      <c r="AH137" s="199" t="str">
        <f t="shared" si="47"/>
        <v>"%USERPROFILE%\Documents\GitHub\eaglep3\Utilities\RefineRTDCRunTimes.py" --tripid 222-08 --locoid 4009 --swversion DE.1.0.9.0 --startMP 204:232940 --initTime 2017-12-08T19:39:58 --startdatetime 2017-12-08T19:57:24 --delay 68 --endMP 204:265 --enddatetime 2017-12-08T20:35:58 --enforcementcount 0 &gt;&gt;%USERPROFILE%\Documents\GitHub\eaglep3-reporting\EC\2017-12-08-refined-times.txt</v>
      </c>
      <c r="AI137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{"issue":{"subject":"","project_id":79,"tracker_id":40,"status_id":1,"priority_id":2,"assigned_to_id":338,"start_date":"2017-12-08","description":"","custom_fields":[{"id":1,"name":"Subdivision","value":"EC"},{"id":4,"name":"Milepost","value":"0.0265"},{"id":17,"name":"Train ID","value":"222-08"},{"id":16,"name":"Locomotive ID","value":"4009"},{"id":130,"name":"Impact","value":""},{"id":150,"name":"Time of Event (Mountain Time)","value":"20:35:58"},{"id":151,"name":"Denver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188"/>
      <c r="AK137" s="196"/>
      <c r="AL137" s="196"/>
      <c r="AM137" s="203" t="str">
        <f t="shared" si="49"/>
        <v>start /low /b %USERPROFILE%\Documents\GitHub\eaglep3\Utilities\DownloadLogsFromS3.py --loco 4009 --day 2017-12-08</v>
      </c>
      <c r="AN137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95" t="str">
        <f t="shared" si="51"/>
        <v>https://d0f6bd738d7f1b3e5a7ca70fe4ff75f0.us-east-1.aws.found.io/app/kibana#/discover/Steve-Slow-Train-Analysis-(2080s-and-2083s)?_g=(refreshInterval:(display:Off,pause:!f,section:0,value:0),time:(from:'2017-12-08T18:39:58-0700',mode:absolute,to:'2017-12-08T21:35:58-0700'))&amp;_a=(columns:!('Message%20ID',Summary),filters:!(),index:'emp_*',interval:auto,query:(query_string:(analyze_wildcard:!t,query:'%22rtdc.l.rtdc.4009%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194" t="s">
        <v>885</v>
      </c>
      <c r="B138" s="190">
        <v>4032</v>
      </c>
      <c r="C138" s="192" t="s">
        <v>191</v>
      </c>
      <c r="D138" s="192" t="s">
        <v>465</v>
      </c>
      <c r="E138" s="191">
        <v>43077.808182870373</v>
      </c>
      <c r="F138" s="191">
        <v>43077.812696759262</v>
      </c>
      <c r="G138" s="190">
        <v>66</v>
      </c>
      <c r="H138" s="192" t="s">
        <v>512</v>
      </c>
      <c r="I138" s="191">
        <v>43077.838726851849</v>
      </c>
      <c r="J138" s="190">
        <v>0</v>
      </c>
      <c r="K138" s="200" t="str">
        <f t="shared" si="35"/>
        <v>4031/4032</v>
      </c>
      <c r="L138" s="207" t="str">
        <f>VLOOKUP(A138,'Trips&amp;Operators'!$C$1:$G$99911,5,FALSE)</f>
        <v>DAVIDSON DAVID</v>
      </c>
      <c r="M138" s="189">
        <f t="shared" si="36"/>
        <v>2.6030092587461695E-2</v>
      </c>
      <c r="N138" s="190">
        <f t="shared" si="58"/>
        <v>37.483333325944841</v>
      </c>
      <c r="O138" s="190"/>
      <c r="P138" s="190"/>
      <c r="Q138" s="193"/>
      <c r="R138" s="205"/>
      <c r="S138" s="235">
        <f t="shared" si="59"/>
        <v>1</v>
      </c>
      <c r="T138" s="236" t="str">
        <f t="shared" si="37"/>
        <v>NorthBound</v>
      </c>
      <c r="U138" s="23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37" t="str">
        <f t="shared" si="38"/>
        <v>https://d0f6bd738d7f1b3e5a7ca70fe4ff75f0.us-east-1.aws.found.io/app/kibana#/discover/Steve-Slow-Train-Analysis-(2080s-and-2083s)?_g=(refreshInterval:(display:Off,pause:!f,section:0,value:0),time:(from:'2017-12-08T18:23:47-0700',mode:absolute,to:'2017-12-08T21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8" s="238" t="str">
        <f>IF(AA138&lt;VLOOKUP(AG138,Variables!$AC$3:$AD$8,2,FALSE),"Y","N")</f>
        <v>N</v>
      </c>
      <c r="X138" s="238">
        <f t="shared" si="39"/>
        <v>1</v>
      </c>
      <c r="Y138" s="238">
        <f t="shared" si="55"/>
        <v>5.2400000000000002E-2</v>
      </c>
      <c r="Z138" s="238">
        <f t="shared" si="56"/>
        <v>23.325099999999999</v>
      </c>
      <c r="AA138" s="238">
        <f t="shared" si="42"/>
        <v>23.2727</v>
      </c>
      <c r="AB138" s="242" t="e">
        <f>VLOOKUP(A138,Enforcements!$C$7:$K$9,8,0)</f>
        <v>#N/A</v>
      </c>
      <c r="AC138" s="242" t="e">
        <f>VLOOKUP(A138,Enforcements!$C$7:$E$9,3,0)</f>
        <v>#N/A</v>
      </c>
      <c r="AD138" s="243">
        <f t="shared" si="43"/>
        <v>223</v>
      </c>
      <c r="AE138" s="198" t="str">
        <f t="shared" si="44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38" s="197" t="str">
        <f t="shared" si="45"/>
        <v>"C:\Program Files (x86)\AstroGrep\AstroGrep.exe" /e /r /s /spath="%USERPROFILE%\AppData\Local\Temp\OnboardLogs" /stypes="app*4032*20171209*" /stext=" 03:.+((SYSTEM_STATE.+slice.+state.+changed )|(ment ac)|(multiple cpu faults)|(system.+state.+changed )|(\[timeout)|(PRM\|1\|D)|(kpr)|(kdp)|(train st.+moving)|(\|lc)|(penalty))"</v>
      </c>
      <c r="AG138" s="206" t="str">
        <f t="shared" si="46"/>
        <v>EC</v>
      </c>
      <c r="AH138" s="199" t="str">
        <f t="shared" si="47"/>
        <v>"%USERPROFILE%\Documents\GitHub\eaglep3\Utilities\RefineRTDCRunTimes.py" --tripid 223-08 --locoid 4032 --swversion DE.1.0.9.0 --startMP 204:524 --initTime 2017-12-08T19:23:47 --startdatetime 2017-12-08T19:30:17 --delay 66 --endMP 204:233251 --enddatetime 2017-12-08T20:07:46 --enforcementcount 0 &gt;&gt;%USERPROFILE%\Documents\GitHub\eaglep3-reporting\EC\2017-12-08-refined-times.txt</v>
      </c>
      <c r="AI138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{"issue":{"subject":"","project_id":79,"tracker_id":40,"status_id":1,"priority_id":2,"assigned_to_id":338,"start_date":"2017-12-08","description":"","custom_fields":[{"id":1,"name":"Subdivision","value":"EC"},{"id":4,"name":"Milepost","value":"23.3251"},{"id":17,"name":"Train ID","value":"223-08"},{"id":16,"name":"Locomotive ID","value":"4032"},{"id":130,"name":"Impact","value":""},{"id":150,"name":"Time of Event (Mountain Time)","value":"20:07:46"},{"id":151,"name":"Denver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188"/>
      <c r="AK138" s="196"/>
      <c r="AL138" s="196"/>
      <c r="AM138" s="203" t="str">
        <f t="shared" si="49"/>
        <v>start /low /b %USERPROFILE%\Documents\GitHub\eaglep3\Utilities\DownloadLogsFromS3.py --loco 4032 --day 2017-12-08</v>
      </c>
      <c r="AN138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95" t="str">
        <f t="shared" si="51"/>
        <v>https://d0f6bd738d7f1b3e5a7ca70fe4ff75f0.us-east-1.aws.found.io/app/kibana#/discover/Steve-Slow-Train-Analysis-(2080s-and-2083s)?_g=(refreshInterval:(display:Off,pause:!f,section:0,value:0),time:(from:'2017-12-08T18:23:47-0700',mode:absolute,to:'2017-12-08T21:07:46-0700'))&amp;_a=(columns:!('Message%20ID',Summary),filters:!(),index:'emp_*',interval:auto,query:(query_string:(analyze_wildcard:!t,query:'%22rtdc.l.rtdc.4032%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194" t="s">
        <v>891</v>
      </c>
      <c r="B139" s="190">
        <v>4031</v>
      </c>
      <c r="C139" s="192" t="s">
        <v>191</v>
      </c>
      <c r="D139" s="192" t="s">
        <v>936</v>
      </c>
      <c r="E139" s="191">
        <v>43077.840543981481</v>
      </c>
      <c r="F139" s="191">
        <v>43077.852303240739</v>
      </c>
      <c r="G139" s="190">
        <v>49</v>
      </c>
      <c r="H139" s="192" t="s">
        <v>665</v>
      </c>
      <c r="I139" s="191">
        <v>43077.879131944443</v>
      </c>
      <c r="J139" s="190">
        <v>0</v>
      </c>
      <c r="K139" s="200" t="str">
        <f t="shared" si="35"/>
        <v>4031/4032</v>
      </c>
      <c r="L139" s="207" t="str">
        <f>VLOOKUP(A139,'Trips&amp;Operators'!$C$1:$G$99911,5,FALSE)</f>
        <v>DAVIDSON DAVID</v>
      </c>
      <c r="M139" s="189">
        <f t="shared" si="36"/>
        <v>2.6828703703358769E-2</v>
      </c>
      <c r="N139" s="190">
        <f t="shared" si="58"/>
        <v>38.633333332836628</v>
      </c>
      <c r="O139" s="190"/>
      <c r="P139" s="190"/>
      <c r="Q139" s="193"/>
      <c r="R139" s="205"/>
      <c r="S139" s="235">
        <f t="shared" si="59"/>
        <v>1</v>
      </c>
      <c r="T139" s="236" t="str">
        <f t="shared" si="37"/>
        <v>Southbound</v>
      </c>
      <c r="U139" s="23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37" t="str">
        <f t="shared" si="38"/>
        <v>https://d0f6bd738d7f1b3e5a7ca70fe4ff75f0.us-east-1.aws.found.io/app/kibana#/discover/Steve-Slow-Train-Analysis-(2080s-and-2083s)?_g=(refreshInterval:(display:Off,pause:!f,section:0,value:0),time:(from:'2017-12-08T19:10:23-0700',mode:absolute,to:'2017-12-08T22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238" t="str">
        <f>IF(AA139&lt;VLOOKUP(AG139,Variables!$AC$3:$AD$8,2,FALSE),"Y","N")</f>
        <v>N</v>
      </c>
      <c r="X139" s="238">
        <f t="shared" si="39"/>
        <v>1</v>
      </c>
      <c r="Y139" s="238">
        <f t="shared" si="55"/>
        <v>23.293399999999998</v>
      </c>
      <c r="Z139" s="238">
        <f t="shared" si="56"/>
        <v>2.2700000000000001E-2</v>
      </c>
      <c r="AA139" s="238">
        <f t="shared" si="42"/>
        <v>23.270699999999998</v>
      </c>
      <c r="AB139" s="242" t="e">
        <f>VLOOKUP(A139,Enforcements!$C$7:$K$9,8,0)</f>
        <v>#N/A</v>
      </c>
      <c r="AC139" s="242" t="e">
        <f>VLOOKUP(A139,Enforcements!$C$7:$E$9,3,0)</f>
        <v>#N/A</v>
      </c>
      <c r="AD139" s="243">
        <f t="shared" si="43"/>
        <v>224</v>
      </c>
      <c r="AE139" s="198" t="str">
        <f t="shared" si="44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39" s="197" t="str">
        <f t="shared" si="45"/>
        <v>"C:\Program Files (x86)\AstroGrep\AstroGrep.exe" /e /r /s /spath="%USERPROFILE%\AppData\Local\Temp\OnboardLogs" /stypes="app*4031*20171209*" /stext=" 04:.+((SYSTEM_STATE.+slice.+state.+changed )|(ment ac)|(multiple cpu faults)|(system.+state.+changed )|(\[timeout)|(PRM\|1\|D)|(kpr)|(kdp)|(train st.+moving)|(\|lc)|(penalty))"</v>
      </c>
      <c r="AG139" s="206" t="str">
        <f t="shared" si="46"/>
        <v>EC</v>
      </c>
      <c r="AH139" s="199" t="str">
        <f t="shared" si="47"/>
        <v>"%USERPROFILE%\Documents\GitHub\eaglep3\Utilities\RefineRTDCRunTimes.py" --tripid 224-08 --locoid 4031 --swversion DE.1.0.9.0 --startMP 204:232934 --initTime 2017-12-08T20:10:23 --startdatetime 2017-12-08T20:27:19 --delay 49 --endMP 204:227 --enddatetime 2017-12-08T21:05:57 --enforcementcount 0 &gt;&gt;%USERPROFILE%\Documents\GitHub\eaglep3-reporting\EC\2017-12-08-refined-times.txt</v>
      </c>
      <c r="AI139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{"issue":{"subject":"","project_id":79,"tracker_id":40,"status_id":1,"priority_id":2,"assigned_to_id":338,"start_date":"2017-12-08","description":"","custom_fields":[{"id":1,"name":"Subdivision","value":"EC"},{"id":4,"name":"Milepost","value":"0.0227"},{"id":17,"name":"Train ID","value":"224-08"},{"id":16,"name":"Locomotive ID","value":"4031"},{"id":130,"name":"Impact","value":""},{"id":150,"name":"Time of Event (Mountain Time)","value":"21:05:57"},{"id":151,"name":"Denver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8"/>
      <c r="AK139" s="196"/>
      <c r="AL139" s="196"/>
      <c r="AM139" s="203" t="str">
        <f t="shared" si="49"/>
        <v>start /low /b %USERPROFILE%\Documents\GitHub\eaglep3\Utilities\DownloadLogsFromS3.py --loco 4031 --day 2017-12-08</v>
      </c>
      <c r="AN139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95" t="str">
        <f t="shared" si="51"/>
        <v>https://d0f6bd738d7f1b3e5a7ca70fe4ff75f0.us-east-1.aws.found.io/app/kibana#/discover/Steve-Slow-Train-Analysis-(2080s-and-2083s)?_g=(refreshInterval:(display:Off,pause:!f,section:0,value:0),time:(from:'2017-12-08T19:10:23-0700',mode:absolute,to:'2017-12-08T22:05:57-0700'))&amp;_a=(columns:!('Message%20ID',Summary),filters:!(),index:'emp_*',interval:auto,query:(query_string:(analyze_wildcard:!t,query:'%22rtdc.l.rtdc.4031%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188" customFormat="1" x14ac:dyDescent="0.25">
      <c r="A140" s="194" t="s">
        <v>702</v>
      </c>
      <c r="B140" s="190">
        <v>4064</v>
      </c>
      <c r="C140" s="192" t="s">
        <v>191</v>
      </c>
      <c r="D140" s="192" t="s">
        <v>484</v>
      </c>
      <c r="E140" s="191">
        <v>43077.830196759256</v>
      </c>
      <c r="F140" s="191">
        <v>43077.833541666667</v>
      </c>
      <c r="G140" s="190">
        <v>72</v>
      </c>
      <c r="H140" s="192" t="s">
        <v>456</v>
      </c>
      <c r="I140" s="191">
        <v>43077.85832175926</v>
      </c>
      <c r="J140" s="190">
        <v>0</v>
      </c>
      <c r="K140" s="200" t="str">
        <f t="shared" si="35"/>
        <v>4063/4064</v>
      </c>
      <c r="L140" s="207" t="str">
        <f>VLOOKUP(A140,'Trips&amp;Operators'!$C$1:$G$99911,5,FALSE)</f>
        <v>ZEWDU DEREJE</v>
      </c>
      <c r="M140" s="189">
        <f t="shared" si="36"/>
        <v>2.4780092593573499E-2</v>
      </c>
      <c r="N140" s="190">
        <f t="shared" si="58"/>
        <v>35.683333334745839</v>
      </c>
      <c r="O140" s="190"/>
      <c r="P140" s="190"/>
      <c r="Q140" s="193"/>
      <c r="R140" s="205" t="s">
        <v>1114</v>
      </c>
      <c r="S140" s="235">
        <f t="shared" si="59"/>
        <v>1</v>
      </c>
      <c r="T140" s="236" t="str">
        <f t="shared" si="37"/>
        <v>NorthBound</v>
      </c>
      <c r="U140" s="23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37" t="str">
        <f t="shared" si="38"/>
        <v>https://d0f6bd738d7f1b3e5a7ca70fe4ff75f0.us-east-1.aws.found.io/app/kibana#/discover/Steve-Slow-Train-Analysis-(2080s-and-2083s)?_g=(refreshInterval:(display:Off,pause:!f,section:0,value:0),time:(from:'2017-12-08T18:55:29-0700',mode:absolute,to:'2017-12-08T21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0" s="238" t="str">
        <f>IF(AA140&lt;VLOOKUP(AG140,Variables!$AC$3:$AD$8,2,FALSE),"Y","N")</f>
        <v>N</v>
      </c>
      <c r="X140" s="238">
        <f t="shared" si="39"/>
        <v>1</v>
      </c>
      <c r="Y140" s="238">
        <f t="shared" si="55"/>
        <v>5.5100000000000003E-2</v>
      </c>
      <c r="Z140" s="238">
        <f t="shared" si="56"/>
        <v>23.326599999999999</v>
      </c>
      <c r="AA140" s="238">
        <f t="shared" si="42"/>
        <v>23.2715</v>
      </c>
      <c r="AB140" s="242" t="str">
        <f>VLOOKUP(A140,Enforcements!$C$7:$K$9,8,0)</f>
        <v>Bulletin (2)</v>
      </c>
      <c r="AC140" s="242" t="str">
        <f>VLOOKUP(A140,Enforcements!$C$7:$E$9,3,0)</f>
        <v>GRADE CROSSING</v>
      </c>
      <c r="AD140" s="243">
        <f t="shared" si="43"/>
        <v>225</v>
      </c>
      <c r="AE140" s="198" t="str">
        <f t="shared" si="44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40" s="197" t="str">
        <f t="shared" si="45"/>
        <v>"C:\Program Files (x86)\AstroGrep\AstroGrep.exe" /e /r /s /spath="%USERPROFILE%\AppData\Local\Temp\OnboardLogs" /stypes="app*4064*20171209*" /stext=" 03:.+((SYSTEM_STATE.+slice.+state.+changed )|(ment ac)|(multiple cpu faults)|(system.+state.+changed )|(\[timeout)|(PRM\|1\|D)|(kpr)|(kdp)|(train st.+moving)|(\|lc)|(penalty))"</v>
      </c>
      <c r="AG140" s="206" t="str">
        <f t="shared" si="46"/>
        <v>EC</v>
      </c>
      <c r="AH140" s="199" t="str">
        <f t="shared" si="47"/>
        <v>"%USERPROFILE%\Documents\GitHub\eaglep3\Utilities\RefineRTDCRunTimes.py" --tripid 225-08 --locoid 4064 --swversion DE.1.0.9.0 --startMP 204:551 --initTime 2017-12-08T19:55:29 --startdatetime 2017-12-08T20:00:18 --delay 72 --endMP 204:233266 --enddatetime 2017-12-08T20:35:59 --enforcementcount 0 &gt;&gt;%USERPROFILE%\Documents\GitHub\eaglep3-reporting\EC\2017-12-08-refined-times.txt</v>
      </c>
      <c r="AI140" s="201" t="str">
        <f t="shared" si="48"/>
        <v>echo {"issue":{"subject":"Brief Wi-MAX data drop caused red fence, no enforcement/cutout","project_id":79,"tracker_id":40,"status_id":1,"priority_id":2,"assigned_to_id":338,"start_date":"2017-12-08","description":"","custom_fields":[{"id":1,"name":"Subdivision","value":"EC"},{"id":4,"name":"Milepost","value":"23.3266"},{"id":17,"name":"Train ID","value":"225-08"},{"id":16,"name":"Locomotive ID","value":"4064"},{"id":130,"name":"Impact","value":""},{"id":150,"name":"Time of Event (Mountain Time)","value":"20:35:59"},{"id":151,"name":"Denver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196"/>
      <c r="AL140" s="196"/>
      <c r="AM140" s="203" t="str">
        <f t="shared" si="49"/>
        <v>start /low /b %USERPROFILE%\Documents\GitHub\eaglep3\Utilities\DownloadLogsFromS3.py --loco 4064 --day 2017-12-08</v>
      </c>
      <c r="AN140" s="204" t="str">
        <f t="shared" si="50"/>
        <v>echo {"issue":{"subject":"Brief Wi-MAX data drop caused red fence, no enforcement/cutout","project_id":30,"tracker_id":4,"status_id":1,"priority_id":1,"assigned_to_id":10,"start_date":"2017-12-09","description":"","custom_fields":[{"id":30,"name":"Category","value":"Issue"},{"id":3,"name":"Functional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95" t="str">
        <f t="shared" si="51"/>
        <v>https://d0f6bd738d7f1b3e5a7ca70fe4ff75f0.us-east-1.aws.found.io/app/kibana#/discover/Steve-Slow-Train-Analysis-(2080s-and-2083s)?_g=(refreshInterval:(display:Off,pause:!f,section:0,value:0),time:(from:'2017-12-08T18:55:29-0700',mode:absolute,to:'2017-12-08T21:35:59-0700'))&amp;_a=(columns:!('Message%20ID',Summary),filters:!(),index:'emp_*',interval:auto,query:(query_string:(analyze_wildcard:!t,query:'%22rtdc.l.rtdc.4064%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188" customFormat="1" x14ac:dyDescent="0.25">
      <c r="A141" s="194" t="s">
        <v>894</v>
      </c>
      <c r="B141" s="190">
        <v>4063</v>
      </c>
      <c r="C141" s="192" t="s">
        <v>191</v>
      </c>
      <c r="D141" s="192" t="s">
        <v>657</v>
      </c>
      <c r="E141" s="191">
        <v>43077.867199074077</v>
      </c>
      <c r="F141" s="191">
        <v>43077.873090277775</v>
      </c>
      <c r="G141" s="190">
        <v>80</v>
      </c>
      <c r="H141" s="192" t="s">
        <v>582</v>
      </c>
      <c r="I141" s="191">
        <v>43077.898692129631</v>
      </c>
      <c r="J141" s="190">
        <v>0</v>
      </c>
      <c r="K141" s="200" t="str">
        <f t="shared" ref="K141:K204" si="60">IF(ISEVEN(B141),(B141-1)&amp;"/"&amp;B141,B141&amp;"/"&amp;(B141+1))</f>
        <v>4063/4064</v>
      </c>
      <c r="L141" s="207" t="str">
        <f>VLOOKUP(A141,'Trips&amp;Operators'!$C$1:$G$99911,5,FALSE)</f>
        <v>ZEWDU DEREJE</v>
      </c>
      <c r="M141" s="189">
        <f t="shared" ref="M141:M204" si="61">I141-F141</f>
        <v>2.5601851855753921E-2</v>
      </c>
      <c r="N141" s="190">
        <f t="shared" si="58"/>
        <v>36.866666672285646</v>
      </c>
      <c r="O141" s="190"/>
      <c r="P141" s="190"/>
      <c r="Q141" s="193"/>
      <c r="R141" s="205"/>
      <c r="S141" s="235">
        <f t="shared" si="59"/>
        <v>1</v>
      </c>
      <c r="T141" s="236" t="str">
        <f t="shared" ref="T141:T204" si="62">IF(ISEVEN(LEFT(AD141,4)),"Southbound","NorthBound")</f>
        <v>Southbound</v>
      </c>
      <c r="U141" s="23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37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-08T19:48:46-0700',mode:absolute,to:'2017-12-08T22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1" s="238" t="str">
        <f>IF(AA141&lt;VLOOKUP(AG141,Variables!$AC$3:$AD$8,2,FALSE),"Y","N")</f>
        <v>N</v>
      </c>
      <c r="X141" s="238">
        <f t="shared" ref="X141:X204" si="64">VALUE(LEFT(AD141,4))-VALUE(LEFT(AD140,4))</f>
        <v>1</v>
      </c>
      <c r="Y141" s="238">
        <f t="shared" ref="Y141:Y160" si="65">RIGHT(D141,LEN(D141)-4)/10000</f>
        <v>23.293600000000001</v>
      </c>
      <c r="Z141" s="238">
        <f t="shared" ref="Z141:Z160" si="66">RIGHT(H141,LEN(H141)-4)/10000</f>
        <v>2.58E-2</v>
      </c>
      <c r="AA141" s="238">
        <f t="shared" ref="AA141:AA204" si="67">ABS(Z141-Y141)</f>
        <v>23.267800000000001</v>
      </c>
      <c r="AB141" s="242" t="e">
        <f>VLOOKUP(A141,Enforcements!$C$7:$K$9,8,0)</f>
        <v>#N/A</v>
      </c>
      <c r="AC141" s="242" t="e">
        <f>VLOOKUP(A141,Enforcements!$C$7:$E$9,3,0)</f>
        <v>#N/A</v>
      </c>
      <c r="AD141" s="243">
        <f t="shared" ref="AD141:AD204" si="68">VALUE(LEFT(A141,LEN(A141)-3))</f>
        <v>226</v>
      </c>
      <c r="AE141" s="198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41" s="197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/stypes="app*4063*20171209*" /stext=" 04:.+((SYSTEM_STATE.+slice.+state.+changed )|(ment ac)|(multiple cpu faults)|(system.+state.+changed )|(\[timeout)|(PRM\|1\|D)|(kpr)|(kdp)|(train st.+moving)|(\|lc)|(penalty))"</v>
      </c>
      <c r="AG141" s="206" t="str">
        <f t="shared" ref="AG141:AG204" si="71">DetSubdiv(A141)</f>
        <v>EC</v>
      </c>
      <c r="AH141" s="199" t="str">
        <f t="shared" si="47"/>
        <v>"%USERPROFILE%\Documents\GitHub\eaglep3\Utilities\RefineRTDCRunTimes.py" --tripid 226-08 --locoid 4063 --swversion DE.1.0.9.0 --startMP 204:232936 --initTime 2017-12-08T20:48:46 --startdatetime 2017-12-08T20:57:15 --delay 80 --endMP 204:258 --enddatetime 2017-12-08T21:34:07 --enforcementcount 0 &gt;&gt;%USERPROFILE%\Documents\GitHub\eaglep3-reporting\EC\2017-12-08-refined-times.txt</v>
      </c>
      <c r="AI141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{"issue":{"subject":"","project_id":79,"tracker_id":40,"status_id":1,"priority_id":2,"assigned_to_id":338,"start_date":"2017-12-08","description":"","custom_fields":[{"id":1,"name":"Subdivision","value":"EC"},{"id":4,"name":"Milepost","value":"0.0258"},{"id":17,"name":"Train ID","value":"226-08"},{"id":16,"name":"Locomotive ID","value":"4063"},{"id":130,"name":"Impact","value":""},{"id":150,"name":"Time of Event (Mountain Time)","value":"21:34:07"},{"id":151,"name":"Denver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196"/>
      <c r="AL141" s="196"/>
      <c r="AM141" s="203" t="str">
        <f t="shared" si="49"/>
        <v>start /low /b %USERPROFILE%\Documents\GitHub\eaglep3\Utilities\DownloadLogsFromS3.py --loco 4063 --day 2017-12-08</v>
      </c>
      <c r="AN141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95" t="str">
        <f t="shared" si="51"/>
        <v>https://d0f6bd738d7f1b3e5a7ca70fe4ff75f0.us-east-1.aws.found.io/app/kibana#/discover/Steve-Slow-Train-Analysis-(2080s-and-2083s)?_g=(refreshInterval:(display:Off,pause:!f,section:0,value:0),time:(from:'2017-12-08T19:48:46-0700',mode:absolute,to:'2017-12-08T22:34:07-0700'))&amp;_a=(columns:!('Message%20ID',Summary),filters:!(),index:'emp_*',interval:auto,query:(query_string:(analyze_wildcard:!t,query:'%22rtdc.l.rtdc.4063%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194" t="s">
        <v>890</v>
      </c>
      <c r="B142" s="190">
        <v>4024</v>
      </c>
      <c r="C142" s="192" t="s">
        <v>191</v>
      </c>
      <c r="D142" s="192" t="s">
        <v>507</v>
      </c>
      <c r="E142" s="191">
        <v>43077.848402777781</v>
      </c>
      <c r="F142" s="191">
        <v>43077.854421296295</v>
      </c>
      <c r="G142" s="190">
        <v>95</v>
      </c>
      <c r="H142" s="192" t="s">
        <v>456</v>
      </c>
      <c r="I142" s="191">
        <v>43077.878865740742</v>
      </c>
      <c r="J142" s="190">
        <v>0</v>
      </c>
      <c r="K142" s="200" t="str">
        <f t="shared" si="60"/>
        <v>4023/4024</v>
      </c>
      <c r="L142" s="207" t="str">
        <f>VLOOKUP(A142,'Trips&amp;Operators'!$C$1:$G$99911,5,FALSE)</f>
        <v>ELBAUM MIKE</v>
      </c>
      <c r="M142" s="189">
        <f t="shared" si="61"/>
        <v>2.4444444446999114E-2</v>
      </c>
      <c r="N142" s="190">
        <f t="shared" si="58"/>
        <v>35.200000003678724</v>
      </c>
      <c r="O142" s="190"/>
      <c r="P142" s="190"/>
      <c r="Q142" s="193"/>
      <c r="R142" s="205"/>
      <c r="S142" s="235">
        <f t="shared" si="59"/>
        <v>1</v>
      </c>
      <c r="T142" s="236" t="str">
        <f t="shared" si="62"/>
        <v>NorthBound</v>
      </c>
      <c r="U142" s="23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37" t="str">
        <f t="shared" si="63"/>
        <v>https://d0f6bd738d7f1b3e5a7ca70fe4ff75f0.us-east-1.aws.found.io/app/kibana#/discover/Steve-Slow-Train-Analysis-(2080s-and-2083s)?_g=(refreshInterval:(display:Off,pause:!f,section:0,value:0),time:(from:'2017-12-08T19:21:42-0700',mode:absolute,to:'2017-12-08T22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2" s="238" t="str">
        <f>IF(AA142&lt;VLOOKUP(AG142,Variables!$AC$3:$AD$8,2,FALSE),"Y","N")</f>
        <v>N</v>
      </c>
      <c r="X142" s="238">
        <f t="shared" si="64"/>
        <v>1</v>
      </c>
      <c r="Y142" s="238">
        <f t="shared" si="65"/>
        <v>5.4899999999999997E-2</v>
      </c>
      <c r="Z142" s="238">
        <f t="shared" si="66"/>
        <v>23.326599999999999</v>
      </c>
      <c r="AA142" s="238">
        <f t="shared" si="67"/>
        <v>23.271699999999999</v>
      </c>
      <c r="AB142" s="242" t="e">
        <f>VLOOKUP(A142,Enforcements!$C$7:$K$9,8,0)</f>
        <v>#N/A</v>
      </c>
      <c r="AC142" s="242" t="e">
        <f>VLOOKUP(A142,Enforcements!$C$7:$E$9,3,0)</f>
        <v>#N/A</v>
      </c>
      <c r="AD142" s="243">
        <f t="shared" si="68"/>
        <v>227</v>
      </c>
      <c r="AE142" s="198" t="str">
        <f t="shared" si="69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42" s="197" t="str">
        <f t="shared" si="70"/>
        <v>"C:\Program Files (x86)\AstroGrep\AstroGrep.exe" /e /r /s /spath="%USERPROFILE%\AppData\Local\Temp\OnboardLogs" /stypes="app*4024*20171209*" /stext=" 04:.+((SYSTEM_STATE.+slice.+state.+changed )|(ment ac)|(multiple cpu faults)|(system.+state.+changed )|(\[timeout)|(PRM\|1\|D)|(kpr)|(kdp)|(train st.+moving)|(\|lc)|(penalty))"</v>
      </c>
      <c r="AG142" s="206" t="str">
        <f t="shared" si="71"/>
        <v>EC</v>
      </c>
      <c r="AH142" s="199" t="str">
        <f t="shared" si="47"/>
        <v>"%USERPROFILE%\Documents\GitHub\eaglep3\Utilities\RefineRTDCRunTimes.py" --tripid 227-08 --locoid 4024 --swversion DE.1.0.9.0 --startMP 204:549 --initTime 2017-12-08T20:21:42 --startdatetime 2017-12-08T20:30:22 --delay 95 --endMP 204:233266 --enddatetime 2017-12-08T21:05:34 --enforcementcount 0 &gt;&gt;%USERPROFILE%\Documents\GitHub\eaglep3-reporting\EC\2017-12-08-refined-times.txt</v>
      </c>
      <c r="AI142" s="201" t="str">
        <f t="shared" si="48"/>
        <v>echo {"issue":{"subject":"","project_id":79,"tracker_id":40,"status_id":1,"priority_id":2,"assigned_to_id":338,"start_date":"2017-12-08","description":"","custom_fields":[{"id":1,"name":"Subdivision","value":"EC"},{"id":4,"name":"Milepost","value":"23.3266"},{"id":17,"name":"Train ID","value":"227-08"},{"id":16,"name":"Locomotive ID","value":"4024"},{"id":130,"name":"Impact","value":""},{"id":150,"name":"Time of Event (Mountain Time)","value":"21:05:34"},{"id":151,"name":"Denver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188"/>
      <c r="AK142" s="196"/>
      <c r="AL142" s="196"/>
      <c r="AM142" s="203" t="str">
        <f t="shared" si="49"/>
        <v>start /low /b %USERPROFILE%\Documents\GitHub\eaglep3\Utilities\DownloadLogsFromS3.py --loco 4024 --day 2017-12-08</v>
      </c>
      <c r="AN142" s="204" t="str">
        <f t="shared" si="50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95" t="str">
        <f t="shared" si="51"/>
        <v>https://d0f6bd738d7f1b3e5a7ca70fe4ff75f0.us-east-1.aws.found.io/app/kibana#/discover/Steve-Slow-Train-Analysis-(2080s-and-2083s)?_g=(refreshInterval:(display:Off,pause:!f,section:0,value:0),time:(from:'2017-12-08T19:21:42-0700',mode:absolute,to:'2017-12-08T22:05:34-0700'))&amp;_a=(columns:!('Message%20ID',Summary),filters:!(),index:'emp_*',interval:auto,query:(query_string:(analyze_wildcard:!t,query:'%22rtdc.l.rtdc.4024%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188" customFormat="1" x14ac:dyDescent="0.25">
      <c r="A143" s="194" t="s">
        <v>890</v>
      </c>
      <c r="B143" s="190">
        <v>4024</v>
      </c>
      <c r="C143" s="192" t="s">
        <v>191</v>
      </c>
      <c r="D143" s="192" t="s">
        <v>1003</v>
      </c>
      <c r="E143" s="191">
        <v>43077.838449074072</v>
      </c>
      <c r="F143" s="191">
        <v>43077.854421296295</v>
      </c>
      <c r="G143" s="190">
        <v>58</v>
      </c>
      <c r="H143" s="192" t="s">
        <v>1004</v>
      </c>
      <c r="I143" s="191">
        <v>43077.878865740742</v>
      </c>
      <c r="J143" s="190">
        <v>0</v>
      </c>
      <c r="K143" s="200" t="str">
        <f t="shared" si="60"/>
        <v>4023/4024</v>
      </c>
      <c r="L143" s="207" t="str">
        <f>VLOOKUP(A143,'Trips&amp;Operators'!$C$1:$G$99911,5,FALSE)</f>
        <v>ELBAUM MIKE</v>
      </c>
      <c r="M143" s="189">
        <f t="shared" si="61"/>
        <v>2.4444444446999114E-2</v>
      </c>
      <c r="N143" s="190"/>
      <c r="O143" s="190"/>
      <c r="P143" s="190"/>
      <c r="Q143" s="193"/>
      <c r="R143" s="205"/>
      <c r="S143" s="235"/>
      <c r="T143" s="236" t="str">
        <f t="shared" si="62"/>
        <v>NorthBound</v>
      </c>
      <c r="U143" s="23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37" t="str">
        <f t="shared" si="63"/>
        <v>https://d0f6bd738d7f1b3e5a7ca70fe4ff75f0.us-east-1.aws.found.io/app/kibana#/discover/Steve-Slow-Train-Analysis-(2080s-and-2083s)?_g=(refreshInterval:(display:Off,pause:!f,section:0,value:0),time:(from:'2017-12-08T19:07:22-0700',mode:absolute,to:'2017-12-08T22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238" t="str">
        <f>IF(AA143&lt;VLOOKUP(AG143,Variables!$AC$3:$AD$8,2,FALSE),"Y","N")</f>
        <v>Y</v>
      </c>
      <c r="X143" s="238">
        <f t="shared" si="64"/>
        <v>0</v>
      </c>
      <c r="Y143" s="238">
        <f t="shared" si="65"/>
        <v>5.7700000000000001E-2</v>
      </c>
      <c r="Z143" s="238">
        <f t="shared" si="66"/>
        <v>5.5899999999999998E-2</v>
      </c>
      <c r="AA143" s="238">
        <f t="shared" si="67"/>
        <v>1.800000000000003E-3</v>
      </c>
      <c r="AB143" s="242" t="e">
        <f>VLOOKUP(A143,Enforcements!$C$7:$K$9,8,0)</f>
        <v>#N/A</v>
      </c>
      <c r="AC143" s="242" t="e">
        <f>VLOOKUP(A143,Enforcements!$C$7:$E$9,3,0)</f>
        <v>#N/A</v>
      </c>
      <c r="AD143" s="243">
        <f t="shared" si="68"/>
        <v>227</v>
      </c>
      <c r="AE143" s="198" t="str">
        <f t="shared" si="69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43" s="197" t="str">
        <f t="shared" si="70"/>
        <v>"C:\Program Files (x86)\AstroGrep\AstroGrep.exe" /e /r /s /spath="%USERPROFILE%\AppData\Local\Temp\OnboardLogs" /stypes="app*4024*20171209*" /stext=" 04:.+((SYSTEM_STATE.+slice.+state.+changed )|(ment ac)|(multiple cpu faults)|(system.+state.+changed )|(\[timeout)|(PRM\|1\|D)|(kpr)|(kdp)|(train st.+moving)|(\|lc)|(penalty))"</v>
      </c>
      <c r="AG143" s="206" t="str">
        <f t="shared" si="71"/>
        <v>EC</v>
      </c>
      <c r="AH143" s="199" t="str">
        <f t="shared" ref="AH143:AH207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227-08 --locoid 4024 --swversion DE.1.0.9.0 --startMP 204:577 --initTime 2017-12-08T20:07:22 --startdatetime 2017-12-08T20:30:22 --delay 58 --endMP 204:559 --enddatetime 2017-12-08T21:05:34 --enforcementcount 0 &gt;&gt;%USERPROFILE%\Documents\GitHub\eaglep3-reporting\EC\2017-12-08-refined-times.txt</v>
      </c>
      <c r="AI143" s="201" t="str">
        <f t="shared" ref="AI143:AI207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{"issue":{"subject":"","project_id":79,"tracker_id":40,"status_id":1,"priority_id":2,"assigned_to_id":338,"start_date":"2017-12-08","description":"","custom_fields":[{"id":1,"name":"Subdivision","value":"EC"},{"id":4,"name":"Milepost","value":"0.0559"},{"id":17,"name":"Train ID","value":"227-08"},{"id":16,"name":"Locomotive ID","value":"4024"},{"id":130,"name":"Impact","value":""},{"id":150,"name":"Time of Event (Mountain Time)","value":"21:05:34"},{"id":151,"name":"Denver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196"/>
      <c r="AL143" s="196"/>
      <c r="AM143" s="203" t="str">
        <f t="shared" ref="AM143:AM207" si="74">"start /low /b "&amp;dls3logs&amp;" --loco "&amp;B143&amp;" --day "&amp;TEXT(F143,"YYYY-MM-DD")</f>
        <v>start /low /b %USERPROFILE%\Documents\GitHub\eaglep3\Utilities\DownloadLogsFromS3.py --loco 4024 --day 2017-12-08</v>
      </c>
      <c r="AN143" s="204" t="str">
        <f t="shared" ref="AN143:AN207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95" t="str">
        <f t="shared" ref="AO143:AO207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-08T19:07:22-0700',mode:absolute,to:'2017-12-08T22:05:34-0700'))&amp;_a=(columns:!('Message%20ID',Summary),filters:!(),index:'emp_*',interval:auto,query:(query_string:(analyze_wildcard:!t,query:'%22rtdc.l.rtdc.4024%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188" customFormat="1" x14ac:dyDescent="0.25">
      <c r="A144" s="194" t="s">
        <v>897</v>
      </c>
      <c r="B144" s="190">
        <v>4023</v>
      </c>
      <c r="C144" s="192" t="s">
        <v>191</v>
      </c>
      <c r="D144" s="192" t="s">
        <v>588</v>
      </c>
      <c r="E144" s="191">
        <v>43077.892094907409</v>
      </c>
      <c r="F144" s="191">
        <v>43077.893958333334</v>
      </c>
      <c r="G144" s="190">
        <v>60</v>
      </c>
      <c r="H144" s="192" t="s">
        <v>483</v>
      </c>
      <c r="I144" s="191">
        <v>43077.920543981483</v>
      </c>
      <c r="J144" s="190">
        <v>0</v>
      </c>
      <c r="K144" s="200" t="str">
        <f t="shared" si="60"/>
        <v>4023/4024</v>
      </c>
      <c r="L144" s="207" t="str">
        <f>VLOOKUP(A144,'Trips&amp;Operators'!$C$1:$G$99911,5,FALSE)</f>
        <v>MOSES BRADLEY</v>
      </c>
      <c r="M144" s="189">
        <f t="shared" si="61"/>
        <v>2.658564814919373E-2</v>
      </c>
      <c r="N144" s="190">
        <f t="shared" ref="N144:N155" si="77">24*60*SUM($M144:$M144)</f>
        <v>38.283333334838971</v>
      </c>
      <c r="O144" s="190"/>
      <c r="P144" s="190"/>
      <c r="Q144" s="193"/>
      <c r="R144" s="205"/>
      <c r="S144" s="235">
        <f t="shared" ref="S144:S155" si="78">1/IF(AG144="EC",12,1)*SUM(U144:U144)</f>
        <v>1</v>
      </c>
      <c r="T144" s="236" t="str">
        <f t="shared" si="62"/>
        <v>Southbound</v>
      </c>
      <c r="U144" s="23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37" t="str">
        <f t="shared" si="63"/>
        <v>https://d0f6bd738d7f1b3e5a7ca70fe4ff75f0.us-east-1.aws.found.io/app/kibana#/discover/Steve-Slow-Train-Analysis-(2080s-and-2083s)?_g=(refreshInterval:(display:Off,pause:!f,section:0,value:0),time:(from:'2017-12-08T20:24:37-0700',mode:absolute,to:'2017-12-08T23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238" t="str">
        <f>IF(AA144&lt;VLOOKUP(AG144,Variables!$AC$3:$AD$8,2,FALSE),"Y","N")</f>
        <v>N</v>
      </c>
      <c r="X144" s="238">
        <f t="shared" si="64"/>
        <v>1</v>
      </c>
      <c r="Y144" s="238">
        <f t="shared" si="65"/>
        <v>23.295500000000001</v>
      </c>
      <c r="Z144" s="238">
        <f t="shared" si="66"/>
        <v>2.29E-2</v>
      </c>
      <c r="AA144" s="238">
        <f t="shared" si="67"/>
        <v>23.272600000000001</v>
      </c>
      <c r="AB144" s="242" t="e">
        <f>VLOOKUP(A144,Enforcements!$C$7:$K$9,8,0)</f>
        <v>#N/A</v>
      </c>
      <c r="AC144" s="242" t="e">
        <f>VLOOKUP(A144,Enforcements!$C$7:$E$9,3,0)</f>
        <v>#N/A</v>
      </c>
      <c r="AD144" s="243">
        <f t="shared" si="68"/>
        <v>228</v>
      </c>
      <c r="AE144" s="198" t="str">
        <f t="shared" si="69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144" s="197" t="str">
        <f t="shared" si="70"/>
        <v>"C:\Program Files (x86)\AstroGrep\AstroGrep.exe" /e /r /s /spath="%USERPROFILE%\AppData\Local\Temp\OnboardLogs" /stypes="app*4023*20171209*" /stext=" 05:.+((SYSTEM_STATE.+slice.+state.+changed )|(ment ac)|(multiple cpu faults)|(system.+state.+changed )|(\[timeout)|(PRM\|1\|D)|(kpr)|(kdp)|(train st.+moving)|(\|lc)|(penalty))"</v>
      </c>
      <c r="AG144" s="206" t="str">
        <f t="shared" si="71"/>
        <v>EC</v>
      </c>
      <c r="AH144" s="199" t="str">
        <f t="shared" si="72"/>
        <v>"%USERPROFILE%\Documents\GitHub\eaglep3\Utilities\RefineRTDCRunTimes.py" --tripid 228-08 --locoid 4023 --swversion DE.1.0.9.0 --startMP 204:232955 --initTime 2017-12-08T21:24:37 --startdatetime 2017-12-08T21:27:18 --delay 60 --endMP 204:229 --enddatetime 2017-12-08T22:05:35 --enforcementcount 0 &gt;&gt;%USERPROFILE%\Documents\GitHub\eaglep3-reporting\EC\2017-12-08-refined-times.txt</v>
      </c>
      <c r="AI144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{"issue":{"subject":"","project_id":79,"tracker_id":40,"status_id":1,"priority_id":2,"assigned_to_id":338,"start_date":"2017-12-08","description":"","custom_fields":[{"id":1,"name":"Subdivision","value":"EC"},{"id":4,"name":"Milepost","value":"0.0229"},{"id":17,"name":"Train ID","value":"228-08"},{"id":16,"name":"Locomotive ID","value":"4023"},{"id":130,"name":"Impact","value":""},{"id":150,"name":"Time of Event (Mountain Time)","value":"22:05:35"},{"id":151,"name":"Denver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196"/>
      <c r="AL144" s="196"/>
      <c r="AM144" s="203" t="str">
        <f t="shared" si="74"/>
        <v>start /low /b %USERPROFILE%\Documents\GitHub\eaglep3\Utilities\DownloadLogsFromS3.py --loco 4023 --day 2017-12-08</v>
      </c>
      <c r="AN144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95" t="str">
        <f t="shared" si="76"/>
        <v>https://d0f6bd738d7f1b3e5a7ca70fe4ff75f0.us-east-1.aws.found.io/app/kibana#/discover/Steve-Slow-Train-Analysis-(2080s-and-2083s)?_g=(refreshInterval:(display:Off,pause:!f,section:0,value:0),time:(from:'2017-12-08T20:24:37-0700',mode:absolute,to:'2017-12-08T23:05:35-0700'))&amp;_a=(columns:!('Message%20ID',Summary),filters:!(),index:'emp_*',interval:auto,query:(query_string:(analyze_wildcard:!t,query:'%22rtdc.l.rtdc.4023%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194" t="s">
        <v>893</v>
      </c>
      <c r="B145" s="190">
        <v>4010</v>
      </c>
      <c r="C145" s="192" t="s">
        <v>191</v>
      </c>
      <c r="D145" s="192" t="s">
        <v>950</v>
      </c>
      <c r="E145" s="191">
        <v>43077.860451388886</v>
      </c>
      <c r="F145" s="191">
        <v>43077.875335648147</v>
      </c>
      <c r="G145" s="190">
        <v>54</v>
      </c>
      <c r="H145" s="192" t="s">
        <v>509</v>
      </c>
      <c r="I145" s="191">
        <v>43077.900567129633</v>
      </c>
      <c r="J145" s="190">
        <v>0</v>
      </c>
      <c r="K145" s="200" t="str">
        <f t="shared" si="60"/>
        <v>4009/4010</v>
      </c>
      <c r="L145" s="207" t="str">
        <f>VLOOKUP(A145,'Trips&amp;Operators'!$C$1:$G$99911,5,FALSE)</f>
        <v>ANDERS STEVEN</v>
      </c>
      <c r="M145" s="189">
        <f t="shared" si="61"/>
        <v>2.5231481486116536E-2</v>
      </c>
      <c r="N145" s="190">
        <f t="shared" si="77"/>
        <v>36.333333340007812</v>
      </c>
      <c r="O145" s="190"/>
      <c r="P145" s="190"/>
      <c r="Q145" s="193"/>
      <c r="R145" s="205"/>
      <c r="S145" s="235">
        <f t="shared" si="78"/>
        <v>1</v>
      </c>
      <c r="T145" s="236" t="str">
        <f t="shared" si="62"/>
        <v>NorthBound</v>
      </c>
      <c r="U145" s="23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37" t="str">
        <f t="shared" si="63"/>
        <v>https://d0f6bd738d7f1b3e5a7ca70fe4ff75f0.us-east-1.aws.found.io/app/kibana#/discover/Steve-Slow-Train-Analysis-(2080s-and-2083s)?_g=(refreshInterval:(display:Off,pause:!f,section:0,value:0),time:(from:'2017-12-08T19:39:03-0700',mode:absolute,to:'2017-12-08T22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38" t="str">
        <f>IF(AA145&lt;VLOOKUP(AG145,Variables!$AC$3:$AD$8,2,FALSE),"Y","N")</f>
        <v>N</v>
      </c>
      <c r="X145" s="238">
        <f t="shared" si="64"/>
        <v>1</v>
      </c>
      <c r="Y145" s="238">
        <f t="shared" si="65"/>
        <v>5.2600000000000001E-2</v>
      </c>
      <c r="Z145" s="238">
        <f t="shared" si="66"/>
        <v>23.325700000000001</v>
      </c>
      <c r="AA145" s="238">
        <f t="shared" si="67"/>
        <v>23.273099999999999</v>
      </c>
      <c r="AB145" s="242" t="e">
        <f>VLOOKUP(A145,Enforcements!$C$7:$K$9,8,0)</f>
        <v>#N/A</v>
      </c>
      <c r="AC145" s="242" t="e">
        <f>VLOOKUP(A145,Enforcements!$C$7:$E$9,3,0)</f>
        <v>#N/A</v>
      </c>
      <c r="AD145" s="243">
        <f t="shared" si="68"/>
        <v>229</v>
      </c>
      <c r="AE145" s="198" t="str">
        <f t="shared" si="69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45" s="197" t="str">
        <f t="shared" si="70"/>
        <v>"C:\Program Files (x86)\AstroGrep\AstroGrep.exe" /e /r /s /spath="%USERPROFILE%\AppData\Local\Temp\OnboardLogs" /stypes="app*4010*20171209*" /stext=" 04:.+((SYSTEM_STATE.+slice.+state.+changed )|(ment ac)|(multiple cpu faults)|(system.+state.+changed )|(\[timeout)|(PRM\|1\|D)|(kpr)|(kdp)|(train st.+moving)|(\|lc)|(penalty))"</v>
      </c>
      <c r="AG145" s="206" t="str">
        <f t="shared" si="71"/>
        <v>EC</v>
      </c>
      <c r="AH145" s="199" t="str">
        <f t="shared" si="72"/>
        <v>"%USERPROFILE%\Documents\GitHub\eaglep3\Utilities\RefineRTDCRunTimes.py" --tripid 229-08 --locoid 4010 --swversion DE.1.0.9.0 --startMP 204:526 --initTime 2017-12-08T20:39:03 --startdatetime 2017-12-08T21:00:29 --delay 54 --endMP 204:233257 --enddatetime 2017-12-08T21:36:49 --enforcementcount 0 &gt;&gt;%USERPROFILE%\Documents\GitHub\eaglep3-reporting\EC\2017-12-08-refined-times.txt</v>
      </c>
      <c r="AI145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{"issue":{"subject":"","project_id":79,"tracker_id":40,"status_id":1,"priority_id":2,"assigned_to_id":338,"start_date":"2017-12-08","description":"","custom_fields":[{"id":1,"name":"Subdivision","value":"EC"},{"id":4,"name":"Milepost","value":"23.3257"},{"id":17,"name":"Train ID","value":"229-08"},{"id":16,"name":"Locomotive ID","value":"4010"},{"id":130,"name":"Impact","value":""},{"id":150,"name":"Time of Event (Mountain Time)","value":"21:36:49"},{"id":151,"name":"Denver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188"/>
      <c r="AK145" s="196"/>
      <c r="AL145" s="196"/>
      <c r="AM145" s="203" t="str">
        <f t="shared" si="74"/>
        <v>start /low /b %USERPROFILE%\Documents\GitHub\eaglep3\Utilities\DownloadLogsFromS3.py --loco 4010 --day 2017-12-08</v>
      </c>
      <c r="AN145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95" t="str">
        <f t="shared" si="76"/>
        <v>https://d0f6bd738d7f1b3e5a7ca70fe4ff75f0.us-east-1.aws.found.io/app/kibana#/discover/Steve-Slow-Train-Analysis-(2080s-and-2083s)?_g=(refreshInterval:(display:Off,pause:!f,section:0,value:0),time:(from:'2017-12-08T19:39:03-0700',mode:absolute,to:'2017-12-08T22:36:49-0700'))&amp;_a=(columns:!('Message%20ID',Summary),filters:!(),index:'emp_*',interval:auto,query:(query_string:(analyze_wildcard:!t,query:'%22rtdc.l.rtdc.4010%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194" t="s">
        <v>900</v>
      </c>
      <c r="B146" s="190">
        <v>4009</v>
      </c>
      <c r="C146" s="192" t="s">
        <v>191</v>
      </c>
      <c r="D146" s="192" t="s">
        <v>936</v>
      </c>
      <c r="E146" s="191">
        <v>43077.912604166668</v>
      </c>
      <c r="F146" s="191">
        <v>43077.915127314816</v>
      </c>
      <c r="G146" s="190">
        <v>61</v>
      </c>
      <c r="H146" s="192" t="s">
        <v>659</v>
      </c>
      <c r="I146" s="191">
        <v>43077.941655092596</v>
      </c>
      <c r="J146" s="190">
        <v>0</v>
      </c>
      <c r="K146" s="200" t="str">
        <f t="shared" si="60"/>
        <v>4009/4010</v>
      </c>
      <c r="L146" s="207" t="str">
        <f>VLOOKUP(A146,'Trips&amp;Operators'!$C$1:$G$99911,5,FALSE)</f>
        <v>ANDERS STEVEN</v>
      </c>
      <c r="M146" s="189">
        <f t="shared" si="61"/>
        <v>2.6527777779847383E-2</v>
      </c>
      <c r="N146" s="190">
        <f t="shared" si="77"/>
        <v>38.200000002980232</v>
      </c>
      <c r="O146" s="190"/>
      <c r="P146" s="190"/>
      <c r="Q146" s="193"/>
      <c r="R146" s="205"/>
      <c r="S146" s="235">
        <f t="shared" si="78"/>
        <v>1</v>
      </c>
      <c r="T146" s="236" t="str">
        <f t="shared" si="62"/>
        <v>Southbound</v>
      </c>
      <c r="U146" s="23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37" t="str">
        <f t="shared" si="63"/>
        <v>https://d0f6bd738d7f1b3e5a7ca70fe4ff75f0.us-east-1.aws.found.io/app/kibana#/discover/Steve-Slow-Train-Analysis-(2080s-and-2083s)?_g=(refreshInterval:(display:Off,pause:!f,section:0,value:0),time:(from:'2017-12-08T20:54:09-0700',mode:absolute,to:'2017-12-08T23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38" t="str">
        <f>IF(AA146&lt;VLOOKUP(AG146,Variables!$AC$3:$AD$8,2,FALSE),"Y","N")</f>
        <v>N</v>
      </c>
      <c r="X146" s="238">
        <f t="shared" si="64"/>
        <v>1</v>
      </c>
      <c r="Y146" s="238">
        <f t="shared" si="65"/>
        <v>23.293399999999998</v>
      </c>
      <c r="Z146" s="238">
        <f t="shared" si="66"/>
        <v>2.3099999999999999E-2</v>
      </c>
      <c r="AA146" s="238">
        <f t="shared" si="67"/>
        <v>23.270299999999999</v>
      </c>
      <c r="AB146" s="242" t="e">
        <f>VLOOKUP(A146,Enforcements!$C$7:$K$9,8,0)</f>
        <v>#N/A</v>
      </c>
      <c r="AC146" s="242" t="e">
        <f>VLOOKUP(A146,Enforcements!$C$7:$E$9,3,0)</f>
        <v>#N/A</v>
      </c>
      <c r="AD146" s="243">
        <f t="shared" si="68"/>
        <v>230</v>
      </c>
      <c r="AE146" s="198" t="str">
        <f t="shared" si="69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46" s="197" t="str">
        <f t="shared" si="70"/>
        <v>"C:\Program Files (x86)\AstroGrep\AstroGrep.exe" /e /r /s /spath="%USERPROFILE%\AppData\Local\Temp\OnboardLogs" /stypes="app*4009*20171209*" /stext=" 05:.+((SYSTEM_STATE.+slice.+state.+changed )|(ment ac)|(multiple cpu faults)|(system.+state.+changed )|(\[timeout)|(PRM\|1\|D)|(kpr)|(kdp)|(train st.+moving)|(\|lc)|(penalty))"</v>
      </c>
      <c r="AG146" s="206" t="str">
        <f t="shared" si="71"/>
        <v>EC</v>
      </c>
      <c r="AH146" s="199" t="str">
        <f t="shared" si="72"/>
        <v>"%USERPROFILE%\Documents\GitHub\eaglep3\Utilities\RefineRTDCRunTimes.py" --tripid 230-08 --locoid 4009 --swversion DE.1.0.9.0 --startMP 204:232934 --initTime 2017-12-08T21:54:09 --startdatetime 2017-12-08T21:57:47 --delay 61 --endMP 204:231 --enddatetime 2017-12-08T22:35:59 --enforcementcount 0 &gt;&gt;%USERPROFILE%\Documents\GitHub\eaglep3-reporting\EC\2017-12-08-refined-times.txt</v>
      </c>
      <c r="AI146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{"issue":{"subject":"","project_id":79,"tracker_id":40,"status_id":1,"priority_id":2,"assigned_to_id":338,"start_date":"2017-12-08","description":"","custom_fields":[{"id":1,"name":"Subdivision","value":"EC"},{"id":4,"name":"Milepost","value":"0.0231"},{"id":17,"name":"Train ID","value":"230-08"},{"id":16,"name":"Locomotive ID","value":"4009"},{"id":130,"name":"Impact","value":""},{"id":150,"name":"Time of Event (Mountain Time)","value":"22:35:59"},{"id":151,"name":"Denver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188"/>
      <c r="AK146" s="196"/>
      <c r="AL146" s="196"/>
      <c r="AM146" s="203" t="str">
        <f t="shared" si="74"/>
        <v>start /low /b %USERPROFILE%\Documents\GitHub\eaglep3\Utilities\DownloadLogsFromS3.py --loco 4009 --day 2017-12-08</v>
      </c>
      <c r="AN146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95" t="str">
        <f t="shared" si="76"/>
        <v>https://d0f6bd738d7f1b3e5a7ca70fe4ff75f0.us-east-1.aws.found.io/app/kibana#/discover/Steve-Slow-Train-Analysis-(2080s-and-2083s)?_g=(refreshInterval:(display:Off,pause:!f,section:0,value:0),time:(from:'2017-12-08T20:54:09-0700',mode:absolute,to:'2017-12-08T23:35:59-0700'))&amp;_a=(columns:!('Message%20ID',Summary),filters:!(),index:'emp_*',interval:auto,query:(query_string:(analyze_wildcard:!t,query:'%22rtdc.l.rtdc.4009%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194" t="s">
        <v>896</v>
      </c>
      <c r="B147" s="190">
        <v>4032</v>
      </c>
      <c r="C147" s="192" t="s">
        <v>191</v>
      </c>
      <c r="D147" s="192" t="s">
        <v>1005</v>
      </c>
      <c r="E147" s="191">
        <v>43077.881307870368</v>
      </c>
      <c r="F147" s="191">
        <v>43077.896018518521</v>
      </c>
      <c r="G147" s="190">
        <v>55</v>
      </c>
      <c r="H147" s="192" t="s">
        <v>463</v>
      </c>
      <c r="I147" s="191">
        <v>43077.922094907408</v>
      </c>
      <c r="J147" s="190">
        <v>0</v>
      </c>
      <c r="K147" s="200" t="str">
        <f t="shared" si="60"/>
        <v>4031/4032</v>
      </c>
      <c r="L147" s="207" t="str">
        <f>VLOOKUP(A147,'Trips&amp;Operators'!$C$1:$G$99911,5,FALSE)</f>
        <v>DAVIDSON DAVID</v>
      </c>
      <c r="M147" s="189">
        <f t="shared" si="61"/>
        <v>2.6076388887304347E-2</v>
      </c>
      <c r="N147" s="190">
        <f t="shared" si="77"/>
        <v>37.54999999771826</v>
      </c>
      <c r="O147" s="190"/>
      <c r="P147" s="190"/>
      <c r="Q147" s="193"/>
      <c r="R147" s="205"/>
      <c r="S147" s="235">
        <f t="shared" si="78"/>
        <v>1</v>
      </c>
      <c r="T147" s="236" t="str">
        <f t="shared" si="62"/>
        <v>NorthBound</v>
      </c>
      <c r="U147" s="23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37" t="str">
        <f t="shared" si="63"/>
        <v>https://d0f6bd738d7f1b3e5a7ca70fe4ff75f0.us-east-1.aws.found.io/app/kibana#/discover/Steve-Slow-Train-Analysis-(2080s-and-2083s)?_g=(refreshInterval:(display:Off,pause:!f,section:0,value:0),time:(from:'2017-12-08T20:09:05-0700',mode:absolute,to:'2017-12-08T23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38" t="str">
        <f>IF(AA147&lt;VLOOKUP(AG147,Variables!$AC$3:$AD$8,2,FALSE),"Y","N")</f>
        <v>N</v>
      </c>
      <c r="X147" s="238">
        <f t="shared" si="64"/>
        <v>1</v>
      </c>
      <c r="Y147" s="238">
        <f t="shared" si="65"/>
        <v>5.2900000000000003E-2</v>
      </c>
      <c r="Z147" s="238">
        <f t="shared" si="66"/>
        <v>23.325500000000002</v>
      </c>
      <c r="AA147" s="238">
        <f t="shared" si="67"/>
        <v>23.272600000000001</v>
      </c>
      <c r="AB147" s="242" t="e">
        <f>VLOOKUP(A147,Enforcements!$C$7:$K$9,8,0)</f>
        <v>#N/A</v>
      </c>
      <c r="AC147" s="242" t="e">
        <f>VLOOKUP(A147,Enforcements!$C$7:$E$9,3,0)</f>
        <v>#N/A</v>
      </c>
      <c r="AD147" s="243">
        <f t="shared" si="68"/>
        <v>231</v>
      </c>
      <c r="AE147" s="198" t="str">
        <f t="shared" si="69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47" s="197" t="str">
        <f t="shared" si="70"/>
        <v>"C:\Program Files (x86)\AstroGrep\AstroGrep.exe" /e /r /s /spath="%USERPROFILE%\AppData\Local\Temp\OnboardLogs" /stypes="app*4032*20171209*" /stext=" 05:.+((SYSTEM_STATE.+slice.+state.+changed )|(ment ac)|(multiple cpu faults)|(system.+state.+changed )|(\[timeout)|(PRM\|1\|D)|(kpr)|(kdp)|(train st.+moving)|(\|lc)|(penalty))"</v>
      </c>
      <c r="AG147" s="206" t="str">
        <f t="shared" si="71"/>
        <v>EC</v>
      </c>
      <c r="AH147" s="199" t="str">
        <f t="shared" si="72"/>
        <v>"%USERPROFILE%\Documents\GitHub\eaglep3\Utilities\RefineRTDCRunTimes.py" --tripid 231-08 --locoid 4032 --swversion DE.1.0.9.0 --startMP 204:529 --initTime 2017-12-08T21:09:05 --startdatetime 2017-12-08T21:30:16 --delay 55 --endMP 204:233255 --enddatetime 2017-12-08T22:07:49 --enforcementcount 0 &gt;&gt;%USERPROFILE%\Documents\GitHub\eaglep3-reporting\EC\2017-12-08-refined-times.txt</v>
      </c>
      <c r="AI147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{"issue":{"subject":"","project_id":79,"tracker_id":40,"status_id":1,"priority_id":2,"assigned_to_id":338,"start_date":"2017-12-08","description":"","custom_fields":[{"id":1,"name":"Subdivision","value":"EC"},{"id":4,"name":"Milepost","value":"23.3255"},{"id":17,"name":"Train ID","value":"231-08"},{"id":16,"name":"Locomotive ID","value":"4032"},{"id":130,"name":"Impact","value":""},{"id":150,"name":"Time of Event (Mountain Time)","value":"22:07:49"},{"id":151,"name":"Denver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188"/>
      <c r="AK147" s="196"/>
      <c r="AL147" s="196"/>
      <c r="AM147" s="203" t="str">
        <f t="shared" si="74"/>
        <v>start /low /b %USERPROFILE%\Documents\GitHub\eaglep3\Utilities\DownloadLogsFromS3.py --loco 4032 --day 2017-12-08</v>
      </c>
      <c r="AN147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95" t="str">
        <f t="shared" si="76"/>
        <v>https://d0f6bd738d7f1b3e5a7ca70fe4ff75f0.us-east-1.aws.found.io/app/kibana#/discover/Steve-Slow-Train-Analysis-(2080s-and-2083s)?_g=(refreshInterval:(display:Off,pause:!f,section:0,value:0),time:(from:'2017-12-08T20:09:05-0700',mode:absolute,to:'2017-12-08T23:07:49-0700'))&amp;_a=(columns:!('Message%20ID',Summary),filters:!(),index:'emp_*',interval:auto,query:(query_string:(analyze_wildcard:!t,query:'%22rtdc.l.rtdc.4032%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188" customFormat="1" x14ac:dyDescent="0.25">
      <c r="A148" s="194" t="s">
        <v>903</v>
      </c>
      <c r="B148" s="190">
        <v>4031</v>
      </c>
      <c r="C148" s="192" t="s">
        <v>191</v>
      </c>
      <c r="D148" s="192" t="s">
        <v>936</v>
      </c>
      <c r="E148" s="191">
        <v>43077.924212962964</v>
      </c>
      <c r="F148" s="191">
        <v>43077.935624999998</v>
      </c>
      <c r="G148" s="190">
        <v>53</v>
      </c>
      <c r="H148" s="192" t="s">
        <v>665</v>
      </c>
      <c r="I148" s="191">
        <v>43077.96334490741</v>
      </c>
      <c r="J148" s="190">
        <v>0</v>
      </c>
      <c r="K148" s="200" t="str">
        <f t="shared" si="60"/>
        <v>4031/4032</v>
      </c>
      <c r="L148" s="207" t="str">
        <f>VLOOKUP(A148,'Trips&amp;Operators'!$C$1:$G$99911,5,FALSE)</f>
        <v>DAVIDSON DAVID</v>
      </c>
      <c r="M148" s="189">
        <f t="shared" si="61"/>
        <v>2.771990741166519E-2</v>
      </c>
      <c r="N148" s="190">
        <f t="shared" si="77"/>
        <v>39.916666672797874</v>
      </c>
      <c r="O148" s="190"/>
      <c r="P148" s="190"/>
      <c r="Q148" s="193"/>
      <c r="R148" s="205"/>
      <c r="S148" s="235">
        <f t="shared" si="78"/>
        <v>1</v>
      </c>
      <c r="T148" s="236" t="str">
        <f t="shared" si="62"/>
        <v>Southbound</v>
      </c>
      <c r="U148" s="23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37" t="str">
        <f t="shared" si="63"/>
        <v>https://d0f6bd738d7f1b3e5a7ca70fe4ff75f0.us-east-1.aws.found.io/app/kibana#/discover/Steve-Slow-Train-Analysis-(2080s-and-2083s)?_g=(refreshInterval:(display:Off,pause:!f,section:0,value:0),time:(from:'2017-12-08T21:10:52-0700',mode:absolute,to:'2017-12-09T00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38" t="str">
        <f>IF(AA148&lt;VLOOKUP(AG148,Variables!$AC$3:$AD$8,2,FALSE),"Y","N")</f>
        <v>N</v>
      </c>
      <c r="X148" s="238">
        <f t="shared" si="64"/>
        <v>1</v>
      </c>
      <c r="Y148" s="238">
        <f t="shared" si="65"/>
        <v>23.293399999999998</v>
      </c>
      <c r="Z148" s="238">
        <f t="shared" si="66"/>
        <v>2.2700000000000001E-2</v>
      </c>
      <c r="AA148" s="238">
        <f t="shared" si="67"/>
        <v>23.270699999999998</v>
      </c>
      <c r="AB148" s="242" t="e">
        <f>VLOOKUP(A148,Enforcements!$C$7:$K$9,8,0)</f>
        <v>#N/A</v>
      </c>
      <c r="AC148" s="242" t="e">
        <f>VLOOKUP(A148,Enforcements!$C$7:$E$9,3,0)</f>
        <v>#N/A</v>
      </c>
      <c r="AD148" s="243">
        <f t="shared" si="68"/>
        <v>232</v>
      </c>
      <c r="AE148" s="198" t="str">
        <f t="shared" si="69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148" s="197" t="str">
        <f t="shared" si="70"/>
        <v>"C:\Program Files (x86)\AstroGrep\AstroGrep.exe" /e /r /s /spath="%USERPROFILE%\AppData\Local\Temp\OnboardLogs" /stypes="app*4031*20171209*" /stext=" 06:.+((SYSTEM_STATE.+slice.+state.+changed )|(ment ac)|(multiple cpu faults)|(system.+state.+changed )|(\[timeout)|(PRM\|1\|D)|(kpr)|(kdp)|(train st.+moving)|(\|lc)|(penalty))"</v>
      </c>
      <c r="AG148" s="206" t="str">
        <f t="shared" si="71"/>
        <v>EC</v>
      </c>
      <c r="AH148" s="199" t="str">
        <f t="shared" si="72"/>
        <v>"%USERPROFILE%\Documents\GitHub\eaglep3\Utilities\RefineRTDCRunTimes.py" --tripid 232-08 --locoid 4031 --swversion DE.1.0.9.0 --startMP 204:232934 --initTime 2017-12-08T22:10:52 --startdatetime 2017-12-08T22:27:18 --delay 53 --endMP 204:227 --enddatetime 2017-12-08T23:07:13 --enforcementcount 0 &gt;&gt;%USERPROFILE%\Documents\GitHub\eaglep3-reporting\EC\2017-12-08-refined-times.txt</v>
      </c>
      <c r="AI148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{"issue":{"subject":"","project_id":79,"tracker_id":40,"status_id":1,"priority_id":2,"assigned_to_id":338,"start_date":"2017-12-08","description":"","custom_fields":[{"id":1,"name":"Subdivision","value":"EC"},{"id":4,"name":"Milepost","value":"0.0227"},{"id":17,"name":"Train ID","value":"232-08"},{"id":16,"name":"Locomotive ID","value":"4031"},{"id":130,"name":"Impact","value":""},{"id":150,"name":"Time of Event (Mountain Time)","value":"23:07:13"},{"id":151,"name":"Denver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196"/>
      <c r="AL148" s="196"/>
      <c r="AM148" s="203" t="str">
        <f t="shared" si="74"/>
        <v>start /low /b %USERPROFILE%\Documents\GitHub\eaglep3\Utilities\DownloadLogsFromS3.py --loco 4031 --day 2017-12-08</v>
      </c>
      <c r="AN148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95" t="str">
        <f t="shared" si="76"/>
        <v>https://d0f6bd738d7f1b3e5a7ca70fe4ff75f0.us-east-1.aws.found.io/app/kibana#/discover/Steve-Slow-Train-Analysis-(2080s-and-2083s)?_g=(refreshInterval:(display:Off,pause:!f,section:0,value:0),time:(from:'2017-12-08T21:10:52-0700',mode:absolute,to:'2017-12-09T00:07:13-0700'))&amp;_a=(columns:!('Message%20ID',Summary),filters:!(),index:'emp_*',interval:auto,query:(query_string:(analyze_wildcard:!t,query:'%22rtdc.l.rtdc.4031%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188" customFormat="1" x14ac:dyDescent="0.25">
      <c r="A149" s="194" t="s">
        <v>899</v>
      </c>
      <c r="B149" s="190">
        <v>4064</v>
      </c>
      <c r="C149" s="192" t="s">
        <v>191</v>
      </c>
      <c r="D149" s="192" t="s">
        <v>662</v>
      </c>
      <c r="E149" s="191">
        <v>43077.907349537039</v>
      </c>
      <c r="F149" s="191">
        <v>43077.916875000003</v>
      </c>
      <c r="G149" s="190">
        <v>107</v>
      </c>
      <c r="H149" s="192" t="s">
        <v>1006</v>
      </c>
      <c r="I149" s="191">
        <v>43077.941770833335</v>
      </c>
      <c r="J149" s="190">
        <v>0</v>
      </c>
      <c r="K149" s="200" t="str">
        <f t="shared" si="60"/>
        <v>4063/4064</v>
      </c>
      <c r="L149" s="207" t="str">
        <f>VLOOKUP(A149,'Trips&amp;Operators'!$C$1:$G$99911,5,FALSE)</f>
        <v>NICHOLSON WESLEY</v>
      </c>
      <c r="M149" s="189">
        <f t="shared" si="61"/>
        <v>2.4895833332266193E-2</v>
      </c>
      <c r="N149" s="190">
        <f t="shared" si="77"/>
        <v>35.849999998463318</v>
      </c>
      <c r="O149" s="190"/>
      <c r="P149" s="190"/>
      <c r="Q149" s="193"/>
      <c r="R149" s="205"/>
      <c r="S149" s="235">
        <f t="shared" si="78"/>
        <v>1</v>
      </c>
      <c r="T149" s="236" t="str">
        <f t="shared" si="62"/>
        <v>NorthBound</v>
      </c>
      <c r="U149" s="23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37" t="str">
        <f t="shared" si="63"/>
        <v>https://d0f6bd738d7f1b3e5a7ca70fe4ff75f0.us-east-1.aws.found.io/app/kibana#/discover/Steve-Slow-Train-Analysis-(2080s-and-2083s)?_g=(refreshInterval:(display:Off,pause:!f,section:0,value:0),time:(from:'2017-12-08T20:46:35-0700',mode:absolute,to:'2017-12-08T23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9" s="238" t="str">
        <f>IF(AA149&lt;VLOOKUP(AG149,Variables!$AC$3:$AD$8,2,FALSE),"Y","N")</f>
        <v>N</v>
      </c>
      <c r="X149" s="238">
        <f t="shared" si="64"/>
        <v>1</v>
      </c>
      <c r="Y149" s="238">
        <f t="shared" si="65"/>
        <v>5.57E-2</v>
      </c>
      <c r="Z149" s="238">
        <f t="shared" si="66"/>
        <v>23.316800000000001</v>
      </c>
      <c r="AA149" s="238">
        <f t="shared" si="67"/>
        <v>23.261099999999999</v>
      </c>
      <c r="AB149" s="242" t="e">
        <f>VLOOKUP(A149,Enforcements!$C$7:$K$9,8,0)</f>
        <v>#N/A</v>
      </c>
      <c r="AC149" s="242" t="e">
        <f>VLOOKUP(A149,Enforcements!$C$7:$E$9,3,0)</f>
        <v>#N/A</v>
      </c>
      <c r="AD149" s="243">
        <f t="shared" si="68"/>
        <v>233</v>
      </c>
      <c r="AE149" s="198" t="str">
        <f t="shared" si="69"/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AF149" s="197" t="str">
        <f t="shared" si="70"/>
        <v>"C:\Program Files (x86)\AstroGrep\AstroGrep.exe" /e /r /s /spath="%USERPROFILE%\AppData\Local\Temp\OnboardLogs" /stypes="app*4064*20171209*" /stext=" 05:.+((SYSTEM_STATE.+slice.+state.+changed )|(ment ac)|(multiple cpu faults)|(system.+state.+changed )|(\[timeout)|(PRM\|1\|D)|(kpr)|(kdp)|(train st.+moving)|(\|lc)|(penalty))"</v>
      </c>
      <c r="AG149" s="206" t="str">
        <f t="shared" si="71"/>
        <v>EC</v>
      </c>
      <c r="AH149" s="199" t="str">
        <f t="shared" si="72"/>
        <v>"%USERPROFILE%\Documents\GitHub\eaglep3\Utilities\RefineRTDCRunTimes.py" --tripid 233-08 --locoid 4064 --swversion DE.1.0.9.0 --startMP 204:557 --initTime 2017-12-08T21:46:35 --startdatetime 2017-12-08T22:00:18 --delay 107 --endMP 204:233168 --enddatetime 2017-12-08T22:36:09 --enforcementcount 0 &gt;&gt;%USERPROFILE%\Documents\GitHub\eaglep3-reporting\EC\2017-12-08-refined-times.txt</v>
      </c>
      <c r="AI149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{"issue":{"subject":"","project_id":79,"tracker_id":40,"status_id":1,"priority_id":2,"assigned_to_id":338,"start_date":"2017-12-08","description":"","custom_fields":[{"id":1,"name":"Subdivision","value":"EC"},{"id":4,"name":"Milepost","value":"23.3168"},{"id":17,"name":"Train ID","value":"233-08"},{"id":16,"name":"Locomotive ID","value":"4064"},{"id":130,"name":"Impact","value":""},{"id":150,"name":"Time of Event (Mountain Time)","value":"22:36:09"},{"id":151,"name":"Denver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196"/>
      <c r="AL149" s="196"/>
      <c r="AM149" s="203" t="str">
        <f t="shared" si="74"/>
        <v>start /low /b %USERPROFILE%\Documents\GitHub\eaglep3\Utilities\DownloadLogsFromS3.py --loco 4064 --day 2017-12-08</v>
      </c>
      <c r="AN149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95" t="str">
        <f t="shared" si="76"/>
        <v>https://d0f6bd738d7f1b3e5a7ca70fe4ff75f0.us-east-1.aws.found.io/app/kibana#/discover/Steve-Slow-Train-Analysis-(2080s-and-2083s)?_g=(refreshInterval:(display:Off,pause:!f,section:0,value:0),time:(from:'2017-12-08T20:46:35-0700',mode:absolute,to:'2017-12-08T23:36:09-0700'))&amp;_a=(columns:!('Message%20ID',Summary),filters:!(),index:'emp_*',interval:auto,query:(query_string:(analyze_wildcard:!t,query:'%22rtdc.l.rtdc.4064%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188" customFormat="1" x14ac:dyDescent="0.25">
      <c r="A150" s="194" t="s">
        <v>906</v>
      </c>
      <c r="B150" s="190">
        <v>4063</v>
      </c>
      <c r="C150" s="192" t="s">
        <v>191</v>
      </c>
      <c r="D150" s="192" t="s">
        <v>1007</v>
      </c>
      <c r="E150" s="191">
        <v>43077.953888888886</v>
      </c>
      <c r="F150" s="191">
        <v>43077.956458333334</v>
      </c>
      <c r="G150" s="190">
        <v>95</v>
      </c>
      <c r="H150" s="192" t="s">
        <v>567</v>
      </c>
      <c r="I150" s="191">
        <v>43077.984340277777</v>
      </c>
      <c r="J150" s="190">
        <v>0</v>
      </c>
      <c r="K150" s="200" t="str">
        <f t="shared" si="60"/>
        <v>4063/4064</v>
      </c>
      <c r="L150" s="207" t="str">
        <f>VLOOKUP(A150,'Trips&amp;Operators'!$C$1:$G$99911,5,FALSE)</f>
        <v>NICHOLSON WESLEY</v>
      </c>
      <c r="M150" s="189">
        <f t="shared" si="61"/>
        <v>2.7881944442924578E-2</v>
      </c>
      <c r="N150" s="190">
        <f t="shared" si="77"/>
        <v>40.149999997811392</v>
      </c>
      <c r="O150" s="190"/>
      <c r="P150" s="190"/>
      <c r="Q150" s="193"/>
      <c r="R150" s="205"/>
      <c r="S150" s="235">
        <f t="shared" si="78"/>
        <v>1</v>
      </c>
      <c r="T150" s="236" t="str">
        <f t="shared" si="62"/>
        <v>Southbound</v>
      </c>
      <c r="U150" s="23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37" t="str">
        <f t="shared" si="63"/>
        <v>https://d0f6bd738d7f1b3e5a7ca70fe4ff75f0.us-east-1.aws.found.io/app/kibana#/discover/Steve-Slow-Train-Analysis-(2080s-and-2083s)?_g=(refreshInterval:(display:Off,pause:!f,section:0,value:0),time:(from:'2017-12-08T21:53:36-0700',mode:absolute,to:'2017-12-09T00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0" s="238" t="str">
        <f>IF(AA150&lt;VLOOKUP(AG150,Variables!$AC$3:$AD$8,2,FALSE),"Y","N")</f>
        <v>N</v>
      </c>
      <c r="X150" s="238">
        <f t="shared" si="64"/>
        <v>1</v>
      </c>
      <c r="Y150" s="238">
        <f t="shared" si="65"/>
        <v>23.2865</v>
      </c>
      <c r="Z150" s="238">
        <f t="shared" si="66"/>
        <v>2.2499999999999999E-2</v>
      </c>
      <c r="AA150" s="238">
        <f t="shared" si="67"/>
        <v>23.263999999999999</v>
      </c>
      <c r="AB150" s="242" t="e">
        <f>VLOOKUP(A150,Enforcements!$C$7:$K$9,8,0)</f>
        <v>#N/A</v>
      </c>
      <c r="AC150" s="242" t="e">
        <f>VLOOKUP(A150,Enforcements!$C$7:$E$9,3,0)</f>
        <v>#N/A</v>
      </c>
      <c r="AD150" s="243">
        <f t="shared" si="68"/>
        <v>234</v>
      </c>
      <c r="AE150" s="198" t="str">
        <f t="shared" si="69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150" s="197" t="str">
        <f t="shared" si="70"/>
        <v>"C:\Program Files (x86)\AstroGrep\AstroGrep.exe" /e /r /s /spath="%USERPROFILE%\AppData\Local\Temp\OnboardLogs" /stypes="app*4063*20171209*" /stext=" 06:.+((SYSTEM_STATE.+slice.+state.+changed )|(ment ac)|(multiple cpu faults)|(system.+state.+changed )|(\[timeout)|(PRM\|1\|D)|(kpr)|(kdp)|(train st.+moving)|(\|lc)|(penalty))"</v>
      </c>
      <c r="AG150" s="206" t="str">
        <f t="shared" si="71"/>
        <v>EC</v>
      </c>
      <c r="AH150" s="199" t="str">
        <f t="shared" si="72"/>
        <v>"%USERPROFILE%\Documents\GitHub\eaglep3\Utilities\RefineRTDCRunTimes.py" --tripid 234-08 --locoid 4063 --swversion DE.1.0.9.0 --startMP 204:232865 --initTime 2017-12-08T22:53:36 --startdatetime 2017-12-08T22:57:18 --delay 95 --endMP 204:225 --enddatetime 2017-12-08T23:37:27 --enforcementcount 0 &gt;&gt;%USERPROFILE%\Documents\GitHub\eaglep3-reporting\EC\2017-12-08-refined-times.txt</v>
      </c>
      <c r="AI150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{"issue":{"subject":"","project_id":79,"tracker_id":40,"status_id":1,"priority_id":2,"assigned_to_id":338,"start_date":"2017-12-08","description":"","custom_fields":[{"id":1,"name":"Subdivision","value":"EC"},{"id":4,"name":"Milepost","value":"0.0225"},{"id":17,"name":"Train ID","value":"234-08"},{"id":16,"name":"Locomotive ID","value":"4063"},{"id":130,"name":"Impact","value":""},{"id":150,"name":"Time of Event (Mountain Time)","value":"23:37:27"},{"id":151,"name":"Denver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196"/>
      <c r="AL150" s="196"/>
      <c r="AM150" s="203" t="str">
        <f t="shared" si="74"/>
        <v>start /low /b %USERPROFILE%\Documents\GitHub\eaglep3\Utilities\DownloadLogsFromS3.py --loco 4063 --day 2017-12-08</v>
      </c>
      <c r="AN150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95" t="str">
        <f t="shared" si="76"/>
        <v>https://d0f6bd738d7f1b3e5a7ca70fe4ff75f0.us-east-1.aws.found.io/app/kibana#/discover/Steve-Slow-Train-Analysis-(2080s-and-2083s)?_g=(refreshInterval:(display:Off,pause:!f,section:0,value:0),time:(from:'2017-12-08T21:53:36-0700',mode:absolute,to:'2017-12-09T00:37:27-0700'))&amp;_a=(columns:!('Message%20ID',Summary),filters:!(),index:'emp_*',interval:auto,query:(query_string:(analyze_wildcard:!t,query:'%22rtdc.l.rtdc.4063%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188" customFormat="1" x14ac:dyDescent="0.25">
      <c r="A151" s="194" t="s">
        <v>902</v>
      </c>
      <c r="B151" s="190">
        <v>4024</v>
      </c>
      <c r="C151" s="192" t="s">
        <v>191</v>
      </c>
      <c r="D151" s="192" t="s">
        <v>453</v>
      </c>
      <c r="E151" s="191">
        <v>43077.921701388892</v>
      </c>
      <c r="F151" s="191">
        <v>43077.937650462962</v>
      </c>
      <c r="G151" s="190">
        <v>80</v>
      </c>
      <c r="H151" s="192" t="s">
        <v>1008</v>
      </c>
      <c r="I151" s="191">
        <v>43077.962361111109</v>
      </c>
      <c r="J151" s="190">
        <v>0</v>
      </c>
      <c r="K151" s="200" t="str">
        <f t="shared" si="60"/>
        <v>4023/4024</v>
      </c>
      <c r="L151" s="207" t="str">
        <f>VLOOKUP(A151,'Trips&amp;Operators'!$C$1:$G$99911,5,FALSE)</f>
        <v>ELBAUM MIKE</v>
      </c>
      <c r="M151" s="189">
        <f t="shared" si="61"/>
        <v>2.47106481474475E-2</v>
      </c>
      <c r="N151" s="190">
        <f t="shared" si="77"/>
        <v>35.583333332324401</v>
      </c>
      <c r="O151" s="190"/>
      <c r="P151" s="190"/>
      <c r="Q151" s="193"/>
      <c r="R151" s="205"/>
      <c r="S151" s="235">
        <f t="shared" si="78"/>
        <v>1</v>
      </c>
      <c r="T151" s="236" t="str">
        <f t="shared" si="62"/>
        <v>NorthBound</v>
      </c>
      <c r="U151" s="23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37" t="str">
        <f t="shared" si="63"/>
        <v>https://d0f6bd738d7f1b3e5a7ca70fe4ff75f0.us-east-1.aws.found.io/app/kibana#/discover/Steve-Slow-Train-Analysis-(2080s-and-2083s)?_g=(refreshInterval:(display:Off,pause:!f,section:0,value:0),time:(from:'2017-12-08T21:07:15-0700',mode:absolute,to:'2017-12-09T00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238" t="str">
        <f>IF(AA151&lt;VLOOKUP(AG151,Variables!$AC$3:$AD$8,2,FALSE),"Y","N")</f>
        <v>N</v>
      </c>
      <c r="X151" s="238">
        <f t="shared" si="64"/>
        <v>1</v>
      </c>
      <c r="Y151" s="238">
        <f t="shared" si="65"/>
        <v>5.1900000000000002E-2</v>
      </c>
      <c r="Z151" s="238">
        <f t="shared" si="66"/>
        <v>23.328600000000002</v>
      </c>
      <c r="AA151" s="238">
        <f t="shared" si="67"/>
        <v>23.276700000000002</v>
      </c>
      <c r="AB151" s="242" t="e">
        <f>VLOOKUP(A151,Enforcements!$C$7:$K$9,8,0)</f>
        <v>#N/A</v>
      </c>
      <c r="AC151" s="242" t="e">
        <f>VLOOKUP(A151,Enforcements!$C$7:$E$9,3,0)</f>
        <v>#N/A</v>
      </c>
      <c r="AD151" s="243">
        <f t="shared" si="68"/>
        <v>235</v>
      </c>
      <c r="AE151" s="198" t="str">
        <f t="shared" si="69"/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AF151" s="197" t="str">
        <f t="shared" si="70"/>
        <v>"C:\Program Files (x86)\AstroGrep\AstroGrep.exe" /e /r /s /spath="%USERPROFILE%\AppData\Local\Temp\OnboardLogs" /stypes="app*4024*20171209*" /stext=" 06:.+((SYSTEM_STATE.+slice.+state.+changed )|(ment ac)|(multiple cpu faults)|(system.+state.+changed )|(\[timeout)|(PRM\|1\|D)|(kpr)|(kdp)|(train st.+moving)|(\|lc)|(penalty))"</v>
      </c>
      <c r="AG151" s="206" t="str">
        <f t="shared" si="71"/>
        <v>EC</v>
      </c>
      <c r="AH151" s="199" t="str">
        <f t="shared" si="72"/>
        <v>"%USERPROFILE%\Documents\GitHub\eaglep3\Utilities\RefineRTDCRunTimes.py" --tripid 235-08 --locoid 4024 --swversion DE.1.0.9.0 --startMP 204:519 --initTime 2017-12-08T22:07:15 --startdatetime 2017-12-08T22:30:13 --delay 80 --endMP 204:233286 --enddatetime 2017-12-08T23:05:48 --enforcementcount 0 &gt;&gt;%USERPROFILE%\Documents\GitHub\eaglep3-reporting\EC\2017-12-08-refined-times.txt</v>
      </c>
      <c r="AI151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{"issue":{"subject":"","project_id":79,"tracker_id":40,"status_id":1,"priority_id":2,"assigned_to_id":338,"start_date":"2017-12-08","description":"","custom_fields":[{"id":1,"name":"Subdivision","value":"EC"},{"id":4,"name":"Milepost","value":"23.3286"},{"id":17,"name":"Train ID","value":"235-08"},{"id":16,"name":"Locomotive ID","value":"4024"},{"id":130,"name":"Impact","value":""},{"id":150,"name":"Time of Event (Mountain Time)","value":"23:05:48"},{"id":151,"name":"Denver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196"/>
      <c r="AL151" s="196"/>
      <c r="AM151" s="203" t="str">
        <f t="shared" si="74"/>
        <v>start /low /b %USERPROFILE%\Documents\GitHub\eaglep3\Utilities\DownloadLogsFromS3.py --loco 4024 --day 2017-12-08</v>
      </c>
      <c r="AN151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95" t="str">
        <f t="shared" si="76"/>
        <v>https://d0f6bd738d7f1b3e5a7ca70fe4ff75f0.us-east-1.aws.found.io/app/kibana#/discover/Steve-Slow-Train-Analysis-(2080s-and-2083s)?_g=(refreshInterval:(display:Off,pause:!f,section:0,value:0),time:(from:'2017-12-08T21:07:15-0700',mode:absolute,to:'2017-12-09T00:05:48-0700'))&amp;_a=(columns:!('Message%20ID',Summary),filters:!(),index:'emp_*',interval:auto,query:(query_string:(analyze_wildcard:!t,query:'%22rtdc.l.rtdc.4024%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194" t="s">
        <v>909</v>
      </c>
      <c r="B152" s="190">
        <v>4023</v>
      </c>
      <c r="C152" s="192" t="s">
        <v>191</v>
      </c>
      <c r="D152" s="192" t="s">
        <v>506</v>
      </c>
      <c r="E152" s="191">
        <v>43077.966284722221</v>
      </c>
      <c r="F152" s="191">
        <v>43077.977650462963</v>
      </c>
      <c r="G152" s="190">
        <v>62</v>
      </c>
      <c r="H152" s="192" t="s">
        <v>652</v>
      </c>
      <c r="I152" s="191">
        <v>43078.003217592595</v>
      </c>
      <c r="J152" s="190">
        <v>0</v>
      </c>
      <c r="K152" s="200" t="str">
        <f t="shared" si="60"/>
        <v>4023/4024</v>
      </c>
      <c r="L152" s="207" t="str">
        <f>VLOOKUP(A152,'Trips&amp;Operators'!$C$1:$G$99911,5,FALSE)</f>
        <v>ELBAUM MIKE</v>
      </c>
      <c r="M152" s="189">
        <f t="shared" si="61"/>
        <v>2.5567129632690921E-2</v>
      </c>
      <c r="N152" s="190">
        <f t="shared" si="77"/>
        <v>36.816666671074927</v>
      </c>
      <c r="O152" s="190"/>
      <c r="P152" s="190"/>
      <c r="Q152" s="193"/>
      <c r="R152" s="205"/>
      <c r="S152" s="235">
        <f t="shared" si="78"/>
        <v>1</v>
      </c>
      <c r="T152" s="236" t="str">
        <f t="shared" si="62"/>
        <v>Southbound</v>
      </c>
      <c r="U152" s="23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37" t="str">
        <f t="shared" si="63"/>
        <v>https://d0f6bd738d7f1b3e5a7ca70fe4ff75f0.us-east-1.aws.found.io/app/kibana#/discover/Steve-Slow-Train-Analysis-(2080s-and-2083s)?_g=(refreshInterval:(display:Off,pause:!f,section:0,value:0),time:(from:'2017-12-08T22:11:27-0700',mode:absolute,to:'2017-12-09T01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238" t="str">
        <f>IF(AA152&lt;VLOOKUP(AG152,Variables!$AC$3:$AD$8,2,FALSE),"Y","N")</f>
        <v>N</v>
      </c>
      <c r="X152" s="238">
        <f t="shared" si="64"/>
        <v>1</v>
      </c>
      <c r="Y152" s="238">
        <f t="shared" si="65"/>
        <v>23.2957</v>
      </c>
      <c r="Z152" s="238">
        <f t="shared" si="66"/>
        <v>2.6499999999999999E-2</v>
      </c>
      <c r="AA152" s="238">
        <f t="shared" si="67"/>
        <v>23.269200000000001</v>
      </c>
      <c r="AB152" s="242" t="e">
        <f>VLOOKUP(A152,Enforcements!$C$7:$K$9,8,0)</f>
        <v>#N/A</v>
      </c>
      <c r="AC152" s="242" t="e">
        <f>VLOOKUP(A152,Enforcements!$C$7:$E$9,3,0)</f>
        <v>#N/A</v>
      </c>
      <c r="AD152" s="243">
        <f t="shared" si="68"/>
        <v>236</v>
      </c>
      <c r="AE152" s="198" t="str">
        <f t="shared" si="69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152" s="197" t="str">
        <f t="shared" si="70"/>
        <v>"C:\Program Files (x86)\AstroGrep\AstroGrep.exe" /e /r /s /spath="%USERPROFILE%\AppData\Local\Temp\OnboardLogs" /stypes="app*4023*20171209*" /stext=" 07:.+((SYSTEM_STATE.+slice.+state.+changed )|(ment ac)|(multiple cpu faults)|(system.+state.+changed )|(\[timeout)|(PRM\|1\|D)|(kpr)|(kdp)|(train st.+moving)|(\|lc)|(penalty))"</v>
      </c>
      <c r="AG152" s="206" t="str">
        <f t="shared" si="71"/>
        <v>EC</v>
      </c>
      <c r="AH152" s="199" t="str">
        <f t="shared" si="72"/>
        <v>"%USERPROFILE%\Documents\GitHub\eaglep3\Utilities\RefineRTDCRunTimes.py" --tripid 236-08 --locoid 4023 --swversion DE.1.0.9.0 --startMP 204:232957 --initTime 2017-12-08T23:11:27 --startdatetime 2017-12-08T23:27:49 --delay 62 --endMP 204:265 --enddatetime 2017-12-09T00:04:38 --enforcementcount 0 &gt;&gt;%USERPROFILE%\Documents\GitHub\eaglep3-reporting\EC\2017-12-08-refined-times.txt</v>
      </c>
      <c r="AI152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{"issue":{"subject":"","project_id":79,"tracker_id":40,"status_id":1,"priority_id":2,"assigned_to_id":338,"start_date":"2017-12-09","description":"","custom_fields":[{"id":1,"name":"Subdivision","value":"EC"},{"id":4,"name":"Milepost","value":"0.0265"},{"id":17,"name":"Train ID","value":"236-08"},{"id":16,"name":"Locomotive ID","value":"4023"},{"id":130,"name":"Impact","value":""},{"id":150,"name":"Time of Event (Mountain Time)","value":"00:04:38"},{"id":151,"name":"Denver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188"/>
      <c r="AK152" s="196"/>
      <c r="AL152" s="196"/>
      <c r="AM152" s="203" t="str">
        <f t="shared" si="74"/>
        <v>start /low /b %USERPROFILE%\Documents\GitHub\eaglep3\Utilities\DownloadLogsFromS3.py --loco 4023 --day 2017-12-08</v>
      </c>
      <c r="AN152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07:04:38"},{"id":29,"name":"Sharepoint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95" t="str">
        <f t="shared" si="76"/>
        <v>https://d0f6bd738d7f1b3e5a7ca70fe4ff75f0.us-east-1.aws.found.io/app/kibana#/discover/Steve-Slow-Train-Analysis-(2080s-and-2083s)?_g=(refreshInterval:(display:Off,pause:!f,section:0,value:0),time:(from:'2017-12-08T22:11:27-0700',mode:absolute,to:'2017-12-09T01:04:38-0700'))&amp;_a=(columns:!('Message%20ID',Summary),filters:!(),index:'emp_*',interval:auto,query:(query_string:(analyze_wildcard:!t,query:'%22rtdc.l.rtdc.4023%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188" customFormat="1" x14ac:dyDescent="0.25">
      <c r="A153" s="194" t="s">
        <v>905</v>
      </c>
      <c r="B153" s="190">
        <v>4010</v>
      </c>
      <c r="C153" s="192" t="s">
        <v>191</v>
      </c>
      <c r="D153" s="192" t="s">
        <v>1009</v>
      </c>
      <c r="E153" s="191">
        <v>43077.945590277777</v>
      </c>
      <c r="F153" s="191">
        <v>43077.958611111113</v>
      </c>
      <c r="G153" s="190">
        <v>48</v>
      </c>
      <c r="H153" s="192" t="s">
        <v>649</v>
      </c>
      <c r="I153" s="191">
        <v>43077.983217592591</v>
      </c>
      <c r="J153" s="190">
        <v>0</v>
      </c>
      <c r="K153" s="200" t="str">
        <f t="shared" si="60"/>
        <v>4009/4010</v>
      </c>
      <c r="L153" s="207" t="str">
        <f>VLOOKUP(A153,'Trips&amp;Operators'!$C$1:$G$99911,5,FALSE)</f>
        <v>ANDERS STEVEN</v>
      </c>
      <c r="M153" s="189">
        <f t="shared" si="61"/>
        <v>2.4606481478258502E-2</v>
      </c>
      <c r="N153" s="190">
        <f t="shared" si="77"/>
        <v>35.433333328692243</v>
      </c>
      <c r="O153" s="190"/>
      <c r="P153" s="190"/>
      <c r="Q153" s="193"/>
      <c r="R153" s="205"/>
      <c r="S153" s="235">
        <f t="shared" si="78"/>
        <v>1</v>
      </c>
      <c r="T153" s="236" t="str">
        <f t="shared" si="62"/>
        <v>NorthBound</v>
      </c>
      <c r="U153" s="23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37" t="str">
        <f t="shared" si="63"/>
        <v>https://d0f6bd738d7f1b3e5a7ca70fe4ff75f0.us-east-1.aws.found.io/app/kibana#/discover/Steve-Slow-Train-Analysis-(2080s-and-2083s)?_g=(refreshInterval:(display:Off,pause:!f,section:0,value:0),time:(from:'2017-12-08T21:41:39-0700',mode:absolute,to:'2017-12-09T00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238" t="str">
        <f>IF(AA153&lt;VLOOKUP(AG153,Variables!$AC$3:$AD$8,2,FALSE),"Y","N")</f>
        <v>N</v>
      </c>
      <c r="X153" s="238">
        <f t="shared" si="64"/>
        <v>1</v>
      </c>
      <c r="Y153" s="238">
        <f t="shared" si="65"/>
        <v>5.4600000000000003E-2</v>
      </c>
      <c r="Z153" s="238">
        <f t="shared" si="66"/>
        <v>23.323399999999999</v>
      </c>
      <c r="AA153" s="238">
        <f t="shared" si="67"/>
        <v>23.268799999999999</v>
      </c>
      <c r="AB153" s="242" t="e">
        <f>VLOOKUP(A153,Enforcements!$C$7:$K$9,8,0)</f>
        <v>#N/A</v>
      </c>
      <c r="AC153" s="242" t="e">
        <f>VLOOKUP(A153,Enforcements!$C$7:$E$9,3,0)</f>
        <v>#N/A</v>
      </c>
      <c r="AD153" s="243">
        <f t="shared" si="68"/>
        <v>237</v>
      </c>
      <c r="AE153" s="198" t="str">
        <f t="shared" si="69"/>
        <v>aws s3 cp s3://rtdc.mdm.uploadarchive.raw/RTDC4010/ "%USERPROFILE%\AppData\Local\Temp\OnboardLogs"\RTDC4010\2017-12-08 --exclude "*" --recursive --include "*20171208*" &amp; "%USERPROFILE%\Documents\GitHub\mrs-test-scripts\Headless Mode &amp; Sideloading\WalkAndUnGZ.bat" "%USERPROFILE%\AppData\Local\Temp\OnboardLogs"\RTDC4010\2017-12-08 &amp; 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</v>
      </c>
      <c r="AF153" s="197" t="str">
        <f t="shared" si="70"/>
        <v>"C:\Program Files (x86)\AstroGrep\AstroGrep.exe" /e /r /s /spath="%USERPROFILE%\AppData\Local\Temp\OnboardLogs" /stypes="app*4010*20171209*" /stext=" 06:.+((SYSTEM_STATE.+slice.+state.+changed )|(ment ac)|(multiple cpu faults)|(system.+state.+changed )|(\[timeout)|(PRM\|1\|D)|(kpr)|(kdp)|(train st.+moving)|(\|lc)|(penalty))"</v>
      </c>
      <c r="AG153" s="206" t="str">
        <f t="shared" si="71"/>
        <v>EC</v>
      </c>
      <c r="AH153" s="199" t="str">
        <f t="shared" si="72"/>
        <v>"%USERPROFILE%\Documents\GitHub\eaglep3\Utilities\RefineRTDCRunTimes.py" --tripid 237-08 --locoid 4010 --swversion DE.1.0.9.0 --startMP 204:546 --initTime 2017-12-08T22:41:39 --startdatetime 2017-12-08T23:00:24 --delay 48 --endMP 204:233234 --enddatetime 2017-12-08T23:35:50 --enforcementcount 0 &gt;&gt;%USERPROFILE%\Documents\GitHub\eaglep3-reporting\EC\2017-12-08-refined-times.txt</v>
      </c>
      <c r="AI153" s="201" t="str">
        <f t="shared" si="73"/>
        <v>echo {"issue":{"subject":"","project_id":79,"tracker_id":40,"status_id":1,"priority_id":2,"assigned_to_id":338,"start_date":"2017-12-08","description":"","custom_fields":[{"id":1,"name":"Subdivision","value":"EC"},{"id":4,"name":"Milepost","value":"23.3234"},{"id":17,"name":"Train ID","value":"237-08"},{"id":16,"name":"Locomotive ID","value":"4010"},{"id":130,"name":"Impact","value":""},{"id":150,"name":"Time of Event (Mountain Time)","value":"23:35:50"},{"id":151,"name":"Denver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196"/>
      <c r="AL153" s="196"/>
      <c r="AM153" s="203" t="str">
        <f t="shared" si="74"/>
        <v>start /low /b %USERPROFILE%\Documents\GitHub\eaglep3\Utilities\DownloadLogsFromS3.py --loco 4010 --day 2017-12-08</v>
      </c>
      <c r="AN153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95" t="str">
        <f t="shared" si="76"/>
        <v>https://d0f6bd738d7f1b3e5a7ca70fe4ff75f0.us-east-1.aws.found.io/app/kibana#/discover/Steve-Slow-Train-Analysis-(2080s-and-2083s)?_g=(refreshInterval:(display:Off,pause:!f,section:0,value:0),time:(from:'2017-12-08T21:41:39-0700',mode:absolute,to:'2017-12-09T00:35:50-0700'))&amp;_a=(columns:!('Message%20ID',Summary),filters:!(),index:'emp_*',interval:auto,query:(query_string:(analyze_wildcard:!t,query:'%22rtdc.l.rtdc.4010%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194" t="s">
        <v>911</v>
      </c>
      <c r="B154" s="190">
        <v>4009</v>
      </c>
      <c r="C154" s="192" t="s">
        <v>191</v>
      </c>
      <c r="D154" s="192" t="s">
        <v>1010</v>
      </c>
      <c r="E154" s="191">
        <v>43077.985312500001</v>
      </c>
      <c r="F154" s="191">
        <v>43077.998252314814</v>
      </c>
      <c r="G154" s="190">
        <v>49</v>
      </c>
      <c r="H154" s="192" t="s">
        <v>644</v>
      </c>
      <c r="I154" s="191">
        <v>43078.025011574071</v>
      </c>
      <c r="J154" s="190">
        <v>0</v>
      </c>
      <c r="K154" s="200" t="str">
        <f t="shared" si="60"/>
        <v>4009/4010</v>
      </c>
      <c r="L154" s="207" t="str">
        <f>VLOOKUP(A154,'Trips&amp;Operators'!$C$1:$G$99911,5,FALSE)</f>
        <v>ANDERS STEVEN</v>
      </c>
      <c r="M154" s="189">
        <f t="shared" si="61"/>
        <v>2.675925925723277E-2</v>
      </c>
      <c r="N154" s="190">
        <f t="shared" si="77"/>
        <v>38.533333330415189</v>
      </c>
      <c r="O154" s="190"/>
      <c r="P154" s="190"/>
      <c r="Q154" s="193"/>
      <c r="R154" s="205"/>
      <c r="S154" s="235">
        <f t="shared" si="78"/>
        <v>1</v>
      </c>
      <c r="T154" s="236" t="str">
        <f t="shared" si="62"/>
        <v>Southbound</v>
      </c>
      <c r="U154" s="23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37" t="str">
        <f t="shared" si="63"/>
        <v>https://d0f6bd738d7f1b3e5a7ca70fe4ff75f0.us-east-1.aws.found.io/app/kibana#/discover/Steve-Slow-Train-Analysis-(2080s-and-2083s)?_g=(refreshInterval:(display:Off,pause:!f,section:0,value:0),time:(from:'2017-12-08T22:38:51-0700',mode:absolute,to:'2017-12-09T01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238" t="str">
        <f>IF(AA154&lt;VLOOKUP(AG154,Variables!$AC$3:$AD$8,2,FALSE),"Y","N")</f>
        <v>N</v>
      </c>
      <c r="X154" s="238">
        <f t="shared" si="64"/>
        <v>1</v>
      </c>
      <c r="Y154" s="238">
        <f t="shared" si="65"/>
        <v>23.2943</v>
      </c>
      <c r="Z154" s="238">
        <f t="shared" si="66"/>
        <v>2.47E-2</v>
      </c>
      <c r="AA154" s="238">
        <f t="shared" si="67"/>
        <v>23.269600000000001</v>
      </c>
      <c r="AB154" s="242" t="e">
        <f>VLOOKUP(A154,Enforcements!$C$7:$K$9,8,0)</f>
        <v>#N/A</v>
      </c>
      <c r="AC154" s="242" t="e">
        <f>VLOOKUP(A154,Enforcements!$C$7:$E$9,3,0)</f>
        <v>#N/A</v>
      </c>
      <c r="AD154" s="243">
        <f t="shared" si="68"/>
        <v>238</v>
      </c>
      <c r="AE154" s="198" t="str">
        <f t="shared" si="69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154" s="197" t="str">
        <f t="shared" si="70"/>
        <v>"C:\Program Files (x86)\AstroGrep\AstroGrep.exe" /e /r /s /spath="%USERPROFILE%\AppData\Local\Temp\OnboardLogs" /stypes="app*4009*20171209*" /stext=" 07:.+((SYSTEM_STATE.+slice.+state.+changed )|(ment ac)|(multiple cpu faults)|(system.+state.+changed )|(\[timeout)|(PRM\|1\|D)|(kpr)|(kdp)|(train st.+moving)|(\|lc)|(penalty))"</v>
      </c>
      <c r="AG154" s="206" t="str">
        <f t="shared" si="71"/>
        <v>EC</v>
      </c>
      <c r="AH154" s="199" t="str">
        <f t="shared" si="72"/>
        <v>"%USERPROFILE%\Documents\GitHub\eaglep3\Utilities\RefineRTDCRunTimes.py" --tripid 238-08 --locoid 4009 --swversion DE.1.0.9.0 --startMP 204:232943 --initTime 2017-12-08T23:38:51 --startdatetime 2017-12-08T23:57:29 --delay 49 --endMP 204:247 --enddatetime 2017-12-09T00:36:01 --enforcementcount 0 &gt;&gt;%USERPROFILE%\Documents\GitHub\eaglep3-reporting\EC\2017-12-08-refined-times.txt</v>
      </c>
      <c r="AI154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{"issue":{"subject":"","project_id":79,"tracker_id":40,"status_id":1,"priority_id":2,"assigned_to_id":338,"start_date":"2017-12-09","description":"","custom_fields":[{"id":1,"name":"Subdivision","value":"EC"},{"id":4,"name":"Milepost","value":"0.0247"},{"id":17,"name":"Train ID","value":"238-08"},{"id":16,"name":"Locomotive ID","value":"4009"},{"id":130,"name":"Impact","value":""},{"id":150,"name":"Time of Event (Mountain Time)","value":"00:36:01"},{"id":151,"name":"Denver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188"/>
      <c r="AK154" s="196"/>
      <c r="AL154" s="196"/>
      <c r="AM154" s="203" t="str">
        <f t="shared" si="74"/>
        <v>start /low /b %USERPROFILE%\Documents\GitHub\eaglep3\Utilities\DownloadLogsFromS3.py --loco 4009 --day 2017-12-08</v>
      </c>
      <c r="AN154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07:36:01"},{"id":29,"name":"Sharepoint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95" t="str">
        <f t="shared" si="76"/>
        <v>https://d0f6bd738d7f1b3e5a7ca70fe4ff75f0.us-east-1.aws.found.io/app/kibana#/discover/Steve-Slow-Train-Analysis-(2080s-and-2083s)?_g=(refreshInterval:(display:Off,pause:!f,section:0,value:0),time:(from:'2017-12-08T22:38:51-0700',mode:absolute,to:'2017-12-09T01:36:01-0700'))&amp;_a=(columns:!('Message%20ID',Summary),filters:!(),index:'emp_*',interval:auto,query:(query_string:(analyze_wildcard:!t,query:'%22rtdc.l.rtdc.4009%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188" customFormat="1" x14ac:dyDescent="0.25">
      <c r="A155" s="194" t="s">
        <v>908</v>
      </c>
      <c r="B155" s="190">
        <v>4032</v>
      </c>
      <c r="C155" s="192" t="s">
        <v>191</v>
      </c>
      <c r="D155" s="192" t="s">
        <v>414</v>
      </c>
      <c r="E155" s="191">
        <v>43077.965694444443</v>
      </c>
      <c r="F155" s="191">
        <v>43077.979363425926</v>
      </c>
      <c r="G155" s="190">
        <v>58</v>
      </c>
      <c r="H155" s="192" t="s">
        <v>1011</v>
      </c>
      <c r="I155" s="191">
        <v>43078.005023148151</v>
      </c>
      <c r="J155" s="190">
        <v>0</v>
      </c>
      <c r="K155" s="200" t="str">
        <f t="shared" si="60"/>
        <v>4031/4032</v>
      </c>
      <c r="L155" s="207" t="str">
        <f>VLOOKUP(A155,'Trips&amp;Operators'!$C$1:$G$99911,5,FALSE)</f>
        <v>DAVIDSON DAVID</v>
      </c>
      <c r="M155" s="189">
        <f t="shared" si="61"/>
        <v>2.5659722225100268E-2</v>
      </c>
      <c r="N155" s="190">
        <f t="shared" si="77"/>
        <v>36.950000004144385</v>
      </c>
      <c r="O155" s="190"/>
      <c r="P155" s="190"/>
      <c r="Q155" s="193"/>
      <c r="R155" s="205"/>
      <c r="S155" s="235">
        <f t="shared" si="78"/>
        <v>1</v>
      </c>
      <c r="T155" s="236" t="str">
        <f t="shared" si="62"/>
        <v>NorthBound</v>
      </c>
      <c r="U155" s="23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37" t="str">
        <f t="shared" si="63"/>
        <v>https://d0f6bd738d7f1b3e5a7ca70fe4ff75f0.us-east-1.aws.found.io/app/kibana#/discover/Steve-Slow-Train-Analysis-(2080s-and-2083s)?_g=(refreshInterval:(display:Off,pause:!f,section:0,value:0),time:(from:'2017-12-08T22:10:36-0700',mode:absolute,to:'2017-12-09T01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38" t="str">
        <f>IF(AA155&lt;VLOOKUP(AG155,Variables!$AC$3:$AD$8,2,FALSE),"Y","N")</f>
        <v>N</v>
      </c>
      <c r="X155" s="238">
        <f t="shared" si="64"/>
        <v>1</v>
      </c>
      <c r="Y155" s="238">
        <f t="shared" si="65"/>
        <v>5.3999999999999999E-2</v>
      </c>
      <c r="Z155" s="238">
        <f t="shared" si="66"/>
        <v>23.3261</v>
      </c>
      <c r="AA155" s="238">
        <f t="shared" si="67"/>
        <v>23.272100000000002</v>
      </c>
      <c r="AB155" s="242" t="e">
        <f>VLOOKUP(A155,Enforcements!$C$7:$K$9,8,0)</f>
        <v>#N/A</v>
      </c>
      <c r="AC155" s="242" t="e">
        <f>VLOOKUP(A155,Enforcements!$C$7:$E$9,3,0)</f>
        <v>#N/A</v>
      </c>
      <c r="AD155" s="243">
        <f t="shared" si="68"/>
        <v>239</v>
      </c>
      <c r="AE155" s="198" t="str">
        <f t="shared" si="69"/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AF155" s="197" t="str">
        <f t="shared" si="70"/>
        <v>"C:\Program Files (x86)\AstroGrep\AstroGrep.exe" /e /r /s /spath="%USERPROFILE%\AppData\Local\Temp\OnboardLogs" /stypes="app*4032*20171209*" /stext=" 07:.+((SYSTEM_STATE.+slice.+state.+changed )|(ment ac)|(multiple cpu faults)|(system.+state.+changed )|(\[timeout)|(PRM\|1\|D)|(kpr)|(kdp)|(train st.+moving)|(\|lc)|(penalty))"</v>
      </c>
      <c r="AG155" s="206" t="str">
        <f t="shared" si="71"/>
        <v>EC</v>
      </c>
      <c r="AH155" s="199" t="str">
        <f t="shared" si="72"/>
        <v>"%USERPROFILE%\Documents\GitHub\eaglep3\Utilities\RefineRTDCRunTimes.py" --tripid 239-08 --locoid 4032 --swversion DE.1.0.9.0 --startMP 204:540 --initTime 2017-12-08T23:10:36 --startdatetime 2017-12-08T23:30:17 --delay 58 --endMP 204:233261 --enddatetime 2017-12-09T00:07:14 --enforcementcount 0 &gt;&gt;%USERPROFILE%\Documents\GitHub\eaglep3-reporting\EC\2017-12-08-refined-times.txt</v>
      </c>
      <c r="AI155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{"issue":{"subject":"","project_id":79,"tracker_id":40,"status_id":1,"priority_id":2,"assigned_to_id":338,"start_date":"2017-12-09","description":"","custom_fields":[{"id":1,"name":"Subdivision","value":"EC"},{"id":4,"name":"Milepost","value":"23.3261"},{"id":17,"name":"Train ID","value":"239-08"},{"id":16,"name":"Locomotive ID","value":"4032"},{"id":130,"name":"Impact","value":""},{"id":150,"name":"Time of Event (Mountain Time)","value":"00:07:14"},{"id":151,"name":"Denver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196"/>
      <c r="AL155" s="196"/>
      <c r="AM155" s="203" t="str">
        <f t="shared" si="74"/>
        <v>start /low /b %USERPROFILE%\Documents\GitHub\eaglep3\Utilities\DownloadLogsFromS3.py --loco 4032 --day 2017-12-08</v>
      </c>
      <c r="AN155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07:07:14"},{"id":29,"name":"Sharepoint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95" t="str">
        <f t="shared" si="76"/>
        <v>https://d0f6bd738d7f1b3e5a7ca70fe4ff75f0.us-east-1.aws.found.io/app/kibana#/discover/Steve-Slow-Train-Analysis-(2080s-and-2083s)?_g=(refreshInterval:(display:Off,pause:!f,section:0,value:0),time:(from:'2017-12-08T22:10:36-0700',mode:absolute,to:'2017-12-09T01:07:14-0700'))&amp;_a=(columns:!('Message%20ID',Summary),filters:!(),index:'emp_*',interval:auto,query:(query_string:(analyze_wildcard:!t,query:'%22rtdc.l.rtdc.4032%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194" t="s">
        <v>913</v>
      </c>
      <c r="B156" s="190">
        <v>4031</v>
      </c>
      <c r="C156" s="192" t="s">
        <v>191</v>
      </c>
      <c r="D156" s="192" t="s">
        <v>571</v>
      </c>
      <c r="E156" s="191">
        <v>43078.006840277776</v>
      </c>
      <c r="F156" s="191">
        <v>43078.018935185188</v>
      </c>
      <c r="G156" s="190">
        <v>71</v>
      </c>
      <c r="H156" s="192" t="s">
        <v>657</v>
      </c>
      <c r="I156" s="191">
        <v>43078.046215277776</v>
      </c>
      <c r="J156" s="190">
        <v>0</v>
      </c>
      <c r="K156" s="200" t="str">
        <f t="shared" si="60"/>
        <v>4031/4032</v>
      </c>
      <c r="L156" s="207" t="str">
        <f>VLOOKUP(A156,'Trips&amp;Operators'!$C$1:$G$99911,5,FALSE)</f>
        <v>DAVIDSON DAVID</v>
      </c>
      <c r="M156" s="189">
        <f t="shared" si="61"/>
        <v>2.7280092588625848E-2</v>
      </c>
      <c r="N156" s="190"/>
      <c r="O156" s="190"/>
      <c r="P156" s="190"/>
      <c r="Q156" s="193"/>
      <c r="R156" s="205"/>
      <c r="S156" s="235"/>
      <c r="T156" s="236" t="str">
        <f t="shared" si="62"/>
        <v>Southbound</v>
      </c>
      <c r="U156" s="23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37" t="str">
        <f t="shared" si="63"/>
        <v>https://d0f6bd738d7f1b3e5a7ca70fe4ff75f0.us-east-1.aws.found.io/app/kibana#/discover/Steve-Slow-Train-Analysis-(2080s-and-2083s)?_g=(refreshInterval:(display:Off,pause:!f,section:0,value:0),time:(from:'2017-12-08T23:09:51-0700',mode:absolute,to:'2017-12-09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38" t="str">
        <f>IF(AA156&lt;VLOOKUP(AG156,Variables!$AC$3:$AD$8,2,FALSE),"Y","N")</f>
        <v>Y</v>
      </c>
      <c r="X156" s="238">
        <f t="shared" si="64"/>
        <v>1</v>
      </c>
      <c r="Y156" s="238">
        <f t="shared" si="65"/>
        <v>23.294</v>
      </c>
      <c r="Z156" s="238">
        <f t="shared" si="66"/>
        <v>23.293600000000001</v>
      </c>
      <c r="AA156" s="238">
        <f t="shared" si="67"/>
        <v>3.9999999999906777E-4</v>
      </c>
      <c r="AB156" s="242" t="e">
        <f>VLOOKUP(A156,Enforcements!$C$7:$K$9,8,0)</f>
        <v>#N/A</v>
      </c>
      <c r="AC156" s="242" t="e">
        <f>VLOOKUP(A156,Enforcements!$C$7:$E$9,3,0)</f>
        <v>#N/A</v>
      </c>
      <c r="AD156" s="243">
        <f t="shared" si="68"/>
        <v>240</v>
      </c>
      <c r="AE156" s="198" t="str">
        <f t="shared" si="69"/>
        <v>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 &amp; 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</v>
      </c>
      <c r="AF156" s="197" t="str">
        <f t="shared" si="70"/>
        <v>"C:\Program Files (x86)\AstroGrep\AstroGrep.exe" /e /r /s /spath="%USERPROFILE%\AppData\Local\Temp\OnboardLogs" /stypes="app*4031*20171209*" /stext=" 08:.+((SYSTEM_STATE.+slice.+state.+changed )|(ment ac)|(multiple cpu faults)|(system.+state.+changed )|(\[timeout)|(PRM\|1\|D)|(kpr)|(kdp)|(train st.+moving)|(\|lc)|(penalty))"</v>
      </c>
      <c r="AG156" s="206" t="str">
        <f t="shared" si="71"/>
        <v>EC</v>
      </c>
      <c r="AH156" s="199" t="str">
        <f t="shared" si="72"/>
        <v>"%USERPROFILE%\Documents\GitHub\eaglep3\Utilities\RefineRTDCRunTimes.py" --tripid 240-08 --locoid 4031 --swversion DE.1.0.9.0 --startMP 204:232940 --initTime 2017-12-09T00:09:51 --startdatetime 2017-12-09T00:27:16 --delay 71 --endMP 204:232936 --enddatetime 2017-12-09T01:06:33 --enforcementcount 0 &gt;&gt;%USERPROFILE%\Documents\GitHub\eaglep3-reporting\EC\2017-12-08-refined-times.txt</v>
      </c>
      <c r="AI156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{"issue":{"subject":"","project_id":79,"tracker_id":40,"status_id":1,"priority_id":2,"assigned_to_id":338,"start_date":"2017-12-09","description":"","custom_fields":[{"id":1,"name":"Subdivision","value":"EC"},{"id":4,"name":"Milepost","value":"23.2936"},{"id":17,"name":"Train ID","value":"240-08"},{"id":16,"name":"Locomotive ID","value":"4031"},{"id":130,"name":"Impact","value":""},{"id":150,"name":"Time of Event (Mountain Time)","value":"01:06:33"},{"id":151,"name":"Denver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188"/>
      <c r="AK156" s="196"/>
      <c r="AL156" s="196"/>
      <c r="AM156" s="203" t="str">
        <f t="shared" si="74"/>
        <v>start /low /b %USERPROFILE%\Documents\GitHub\eaglep3\Utilities\DownloadLogsFromS3.py --loco 4031 --day 2017-12-09</v>
      </c>
      <c r="AN156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95" t="str">
        <f t="shared" si="76"/>
        <v>https://d0f6bd738d7f1b3e5a7ca70fe4ff75f0.us-east-1.aws.found.io/app/kibana#/discover/Steve-Slow-Train-Analysis-(2080s-and-2083s)?_g=(refreshInterval:(display:Off,pause:!f,section:0,value:0),time:(from:'2017-12-08T23:09:51-0700',mode:absolute,to:'2017-12-09T02:06:33-0700'))&amp;_a=(columns:!('Message%20ID',Summary),filters:!(),index:'emp_*',interval:auto,query:(query_string:(analyze_wildcard:!t,query:'%22rtdc.l.rtdc.4031%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188" customFormat="1" x14ac:dyDescent="0.25">
      <c r="A157" s="194" t="s">
        <v>913</v>
      </c>
      <c r="B157" s="190">
        <v>4031</v>
      </c>
      <c r="C157" s="192" t="s">
        <v>191</v>
      </c>
      <c r="D157" s="192" t="s">
        <v>620</v>
      </c>
      <c r="E157" s="191">
        <v>43078.016388888886</v>
      </c>
      <c r="F157" s="191">
        <v>43078.018935185188</v>
      </c>
      <c r="G157" s="190">
        <v>50</v>
      </c>
      <c r="H157" s="192" t="s">
        <v>664</v>
      </c>
      <c r="I157" s="191">
        <v>43078.046215277776</v>
      </c>
      <c r="J157" s="190">
        <v>0</v>
      </c>
      <c r="K157" s="200" t="str">
        <f t="shared" si="60"/>
        <v>4031/4032</v>
      </c>
      <c r="L157" s="207" t="str">
        <f>VLOOKUP(A157,'Trips&amp;Operators'!$C$1:$G$99911,5,FALSE)</f>
        <v>DAVIDSON DAVID</v>
      </c>
      <c r="M157" s="189">
        <f t="shared" si="61"/>
        <v>2.7280092588625848E-2</v>
      </c>
      <c r="N157" s="190">
        <f t="shared" ref="N157:N181" si="79">24*60*SUM($M157:$M157)</f>
        <v>39.283333327621222</v>
      </c>
      <c r="O157" s="190"/>
      <c r="P157" s="190"/>
      <c r="Q157" s="193"/>
      <c r="R157" s="205"/>
      <c r="S157" s="235">
        <f t="shared" ref="S157:S181" si="80">1/IF(AG157="EC",12,1)*SUM(U157:U157)</f>
        <v>1</v>
      </c>
      <c r="T157" s="236" t="str">
        <f t="shared" si="62"/>
        <v>Southbound</v>
      </c>
      <c r="U157" s="23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37" t="str">
        <f t="shared" si="63"/>
        <v>https://d0f6bd738d7f1b3e5a7ca70fe4ff75f0.us-east-1.aws.found.io/app/kibana#/discover/Steve-Slow-Train-Analysis-(2080s-and-2083s)?_g=(refreshInterval:(display:Off,pause:!f,section:0,value:0),time:(from:'2017-12-08T23:23:36-0700',mode:absolute,to:'2017-12-09T02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38" t="str">
        <f>IF(AA157&lt;VLOOKUP(AG157,Variables!$AC$3:$AD$8,2,FALSE),"Y","N")</f>
        <v>N</v>
      </c>
      <c r="X157" s="238">
        <f t="shared" si="64"/>
        <v>0</v>
      </c>
      <c r="Y157" s="238">
        <f t="shared" si="65"/>
        <v>23.293800000000001</v>
      </c>
      <c r="Z157" s="238">
        <f t="shared" si="66"/>
        <v>2.3599999999999999E-2</v>
      </c>
      <c r="AA157" s="238">
        <f t="shared" si="67"/>
        <v>23.270200000000003</v>
      </c>
      <c r="AB157" s="242" t="e">
        <f>VLOOKUP(A157,Enforcements!$C$7:$K$9,8,0)</f>
        <v>#N/A</v>
      </c>
      <c r="AC157" s="242" t="e">
        <f>VLOOKUP(A157,Enforcements!$C$7:$E$9,3,0)</f>
        <v>#N/A</v>
      </c>
      <c r="AD157" s="243">
        <f t="shared" si="68"/>
        <v>240</v>
      </c>
      <c r="AE157" s="198" t="str">
        <f t="shared" si="69"/>
        <v>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 &amp; aws s3 cp s3://rtdc.mdm.uploadarchive.raw/RTDC4031/ "%USERPROFILE%\AppData\Local\Temp\OnboardLogs"\RTDC4031\2017-12-10 --exclude "*" --recursive --include "*20171210*" &amp; "%USERPROFILE%\Documents\GitHub\mrs-test-scripts\Headless Mode &amp; Sideloading\WalkAndUnGZ.bat" "%USERPROFILE%\AppData\Local\Temp\OnboardLogs"\RTDC4031\2017-12-10</v>
      </c>
      <c r="AF157" s="197" t="str">
        <f t="shared" si="70"/>
        <v>"C:\Program Files (x86)\AstroGrep\AstroGrep.exe" /e /r /s /spath="%USERPROFILE%\AppData\Local\Temp\OnboardLogs" /stypes="app*4031*20171209*" /stext=" 08:.+((SYSTEM_STATE.+slice.+state.+changed )|(ment ac)|(multiple cpu faults)|(system.+state.+changed )|(\[timeout)|(PRM\|1\|D)|(kpr)|(kdp)|(train st.+moving)|(\|lc)|(penalty))"</v>
      </c>
      <c r="AG157" s="206" t="str">
        <f t="shared" si="71"/>
        <v>EC</v>
      </c>
      <c r="AH157" s="199" t="str">
        <f t="shared" si="72"/>
        <v>"%USERPROFILE%\Documents\GitHub\eaglep3\Utilities\RefineRTDCRunTimes.py" --tripid 240-08 --locoid 4031 --swversion DE.1.0.9.0 --startMP 204:232938 --initTime 2017-12-09T00:23:36 --startdatetime 2017-12-09T00:27:16 --delay 50 --endMP 204:236 --enddatetime 2017-12-09T01:06:33 --enforcementcount 0 &gt;&gt;%USERPROFILE%\Documents\GitHub\eaglep3-reporting\EC\2017-12-08-refined-times.txt</v>
      </c>
      <c r="AI157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{"issue":{"subject":"","project_id":79,"tracker_id":40,"status_id":1,"priority_id":2,"assigned_to_id":338,"start_date":"2017-12-09","description":"","custom_fields":[{"id":1,"name":"Subdivision","value":"EC"},{"id":4,"name":"Milepost","value":"0.0236"},{"id":17,"name":"Train ID","value":"240-08"},{"id":16,"name":"Locomotive ID","value":"4031"},{"id":130,"name":"Impact","value":""},{"id":150,"name":"Time of Event (Mountain Time)","value":"01:06:33"},{"id":151,"name":"Denver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196"/>
      <c r="AL157" s="196"/>
      <c r="AM157" s="203" t="str">
        <f t="shared" si="74"/>
        <v>start /low /b %USERPROFILE%\Documents\GitHub\eaglep3\Utilities\DownloadLogsFromS3.py --loco 4031 --day 2017-12-09</v>
      </c>
      <c r="AN157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95" t="str">
        <f t="shared" si="76"/>
        <v>https://d0f6bd738d7f1b3e5a7ca70fe4ff75f0.us-east-1.aws.found.io/app/kibana#/discover/Steve-Slow-Train-Analysis-(2080s-and-2083s)?_g=(refreshInterval:(display:Off,pause:!f,section:0,value:0),time:(from:'2017-12-08T23:23:36-0700',mode:absolute,to:'2017-12-09T02:06:33-0700'))&amp;_a=(columns:!('Message%20ID',Summary),filters:!(),index:'emp_*',interval:auto,query:(query_string:(analyze_wildcard:!t,query:'%22rtdc.l.rtdc.4031%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188" customFormat="1" x14ac:dyDescent="0.25">
      <c r="A158" s="194" t="s">
        <v>912</v>
      </c>
      <c r="B158" s="190">
        <v>4064</v>
      </c>
      <c r="C158" s="192" t="s">
        <v>191</v>
      </c>
      <c r="D158" s="192" t="s">
        <v>1009</v>
      </c>
      <c r="E158" s="191">
        <v>43077.991284722222</v>
      </c>
      <c r="F158" s="191">
        <v>43078.000196759262</v>
      </c>
      <c r="G158" s="190">
        <v>72</v>
      </c>
      <c r="H158" s="192" t="s">
        <v>1012</v>
      </c>
      <c r="I158" s="191">
        <v>43078.025000000001</v>
      </c>
      <c r="J158" s="190">
        <v>0</v>
      </c>
      <c r="K158" s="200" t="str">
        <f t="shared" si="60"/>
        <v>4063/4064</v>
      </c>
      <c r="L158" s="207" t="str">
        <f>VLOOKUP(A158,'Trips&amp;Operators'!$C$1:$G$99911,5,FALSE)</f>
        <v>NICHOLSON WESLEY</v>
      </c>
      <c r="M158" s="189">
        <f t="shared" si="61"/>
        <v>2.4803240739856847E-2</v>
      </c>
      <c r="N158" s="190">
        <f t="shared" si="79"/>
        <v>35.716666665393859</v>
      </c>
      <c r="O158" s="190"/>
      <c r="P158" s="190"/>
      <c r="Q158" s="193"/>
      <c r="R158" s="205"/>
      <c r="S158" s="235">
        <f t="shared" si="80"/>
        <v>1</v>
      </c>
      <c r="T158" s="236" t="str">
        <f t="shared" si="62"/>
        <v>NorthBound</v>
      </c>
      <c r="U158" s="23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37" t="str">
        <f t="shared" si="63"/>
        <v>https://d0f6bd738d7f1b3e5a7ca70fe4ff75f0.us-east-1.aws.found.io/app/kibana#/discover/Steve-Slow-Train-Analysis-(2080s-and-2083s)?_g=(refreshInterval:(display:Off,pause:!f,section:0,value:0),time:(from:'2017-12-08T22:47:27-0700',mode:absolute,to:'2017-12-09T01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238" t="str">
        <f>IF(AA158&lt;VLOOKUP(AG158,Variables!$AC$3:$AD$8,2,FALSE),"Y","N")</f>
        <v>N</v>
      </c>
      <c r="X158" s="238">
        <f t="shared" si="64"/>
        <v>1</v>
      </c>
      <c r="Y158" s="238">
        <f t="shared" si="65"/>
        <v>5.4600000000000003E-2</v>
      </c>
      <c r="Z158" s="238">
        <f t="shared" si="66"/>
        <v>23.316700000000001</v>
      </c>
      <c r="AA158" s="238">
        <f t="shared" si="67"/>
        <v>23.2621</v>
      </c>
      <c r="AB158" s="242" t="e">
        <f>VLOOKUP(A158,Enforcements!$C$7:$K$9,8,0)</f>
        <v>#N/A</v>
      </c>
      <c r="AC158" s="242" t="e">
        <f>VLOOKUP(A158,Enforcements!$C$7:$E$9,3,0)</f>
        <v>#N/A</v>
      </c>
      <c r="AD158" s="243">
        <f t="shared" si="68"/>
        <v>241</v>
      </c>
      <c r="AE158" s="198" t="str">
        <f t="shared" si="69"/>
        <v>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 &amp; 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</v>
      </c>
      <c r="AF158" s="197" t="str">
        <f t="shared" si="70"/>
        <v>"C:\Program Files (x86)\AstroGrep\AstroGrep.exe" /e /r /s /spath="%USERPROFILE%\AppData\Local\Temp\OnboardLogs" /stypes="app*4064*20171209*" /stext=" 07:.+((SYSTEM_STATE.+slice.+state.+changed )|(ment ac)|(multiple cpu faults)|(system.+state.+changed )|(\[timeout)|(PRM\|1\|D)|(kpr)|(kdp)|(train st.+moving)|(\|lc)|(penalty))"</v>
      </c>
      <c r="AG158" s="206" t="str">
        <f t="shared" si="71"/>
        <v>EC</v>
      </c>
      <c r="AH158" s="199" t="str">
        <f t="shared" si="72"/>
        <v>"%USERPROFILE%\Documents\GitHub\eaglep3\Utilities\RefineRTDCRunTimes.py" --tripid 241-08 --locoid 4064 --swversion DE.1.0.9.0 --startMP 204:546 --initTime 2017-12-08T23:47:27 --startdatetime 2017-12-09T00:00:17 --delay 72 --endMP 204:233167 --enddatetime 2017-12-09T00:36:00 --enforcementcount 0 &gt;&gt;%USERPROFILE%\Documents\GitHub\eaglep3-reporting\EC\2017-12-08-refined-times.txt</v>
      </c>
      <c r="AI158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{"issue":{"subject":"","project_id":79,"tracker_id":40,"status_id":1,"priority_id":2,"assigned_to_id":338,"start_date":"2017-12-09","description":"","custom_fields":[{"id":1,"name":"Subdivision","value":"EC"},{"id":4,"name":"Milepost","value":"23.3167"},{"id":17,"name":"Train ID","value":"241-08"},{"id":16,"name":"Locomotive ID","value":"4064"},{"id":130,"name":"Impact","value":""},{"id":150,"name":"Time of Event (Mountain Time)","value":"00:36:00"},{"id":151,"name":"Denver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196"/>
      <c r="AL158" s="196"/>
      <c r="AM158" s="203" t="str">
        <f t="shared" si="74"/>
        <v>start /low /b %USERPROFILE%\Documents\GitHub\eaglep3\Utilities\DownloadLogsFromS3.py --loco 4064 --day 2017-12-09</v>
      </c>
      <c r="AN158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95" t="str">
        <f t="shared" si="76"/>
        <v>https://d0f6bd738d7f1b3e5a7ca70fe4ff75f0.us-east-1.aws.found.io/app/kibana#/discover/Steve-Slow-Train-Analysis-(2080s-and-2083s)?_g=(refreshInterval:(display:Off,pause:!f,section:0,value:0),time:(from:'2017-12-08T22:47:27-0700',mode:absolute,to:'2017-12-09T01:36:00-0700'))&amp;_a=(columns:!('Message%20ID',Summary),filters:!(),index:'emp_*',interval:auto,query:(query_string:(analyze_wildcard:!t,query:'%22rtdc.l.rtdc.4064%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194" t="s">
        <v>916</v>
      </c>
      <c r="B159" s="190">
        <v>4063</v>
      </c>
      <c r="C159" s="192" t="s">
        <v>191</v>
      </c>
      <c r="D159" s="192" t="s">
        <v>1007</v>
      </c>
      <c r="E159" s="191">
        <v>43078.034872685188</v>
      </c>
      <c r="F159" s="191">
        <v>43078.039803240739</v>
      </c>
      <c r="G159" s="190">
        <v>70</v>
      </c>
      <c r="H159" s="192" t="s">
        <v>644</v>
      </c>
      <c r="I159" s="191">
        <v>43078.067048611112</v>
      </c>
      <c r="J159" s="190">
        <v>0</v>
      </c>
      <c r="K159" s="200" t="str">
        <f t="shared" si="60"/>
        <v>4063/4064</v>
      </c>
      <c r="L159" s="207" t="str">
        <f>VLOOKUP(A159,'Trips&amp;Operators'!$C$1:$G$99911,5,FALSE)</f>
        <v>NICHOLSON WESLEY</v>
      </c>
      <c r="M159" s="189">
        <f t="shared" si="61"/>
        <v>2.7245370372838806E-2</v>
      </c>
      <c r="N159" s="190">
        <f t="shared" si="79"/>
        <v>39.233333336887881</v>
      </c>
      <c r="O159" s="190"/>
      <c r="P159" s="190"/>
      <c r="Q159" s="193"/>
      <c r="R159" s="205"/>
      <c r="S159" s="235">
        <f t="shared" si="80"/>
        <v>1</v>
      </c>
      <c r="T159" s="236" t="str">
        <f t="shared" si="62"/>
        <v>Southbound</v>
      </c>
      <c r="U159" s="23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37" t="str">
        <f t="shared" si="63"/>
        <v>https://d0f6bd738d7f1b3e5a7ca70fe4ff75f0.us-east-1.aws.found.io/app/kibana#/discover/Steve-Slow-Train-Analysis-(2080s-and-2083s)?_g=(refreshInterval:(display:Off,pause:!f,section:0,value:0),time:(from:'2017-12-08T23:50:13-0700',mode:absolute,to:'2017-12-09T02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38" t="str">
        <f>IF(AA159&lt;VLOOKUP(AG159,Variables!$AC$3:$AD$8,2,FALSE),"Y","N")</f>
        <v>N</v>
      </c>
      <c r="X159" s="238">
        <f t="shared" si="64"/>
        <v>1</v>
      </c>
      <c r="Y159" s="238">
        <f t="shared" si="65"/>
        <v>23.2865</v>
      </c>
      <c r="Z159" s="238">
        <f t="shared" si="66"/>
        <v>2.47E-2</v>
      </c>
      <c r="AA159" s="238">
        <f t="shared" si="67"/>
        <v>23.261800000000001</v>
      </c>
      <c r="AB159" s="242" t="e">
        <f>VLOOKUP(A159,Enforcements!$C$7:$K$9,8,0)</f>
        <v>#N/A</v>
      </c>
      <c r="AC159" s="242" t="e">
        <f>VLOOKUP(A159,Enforcements!$C$7:$E$9,3,0)</f>
        <v>#N/A</v>
      </c>
      <c r="AD159" s="243">
        <f t="shared" si="68"/>
        <v>242</v>
      </c>
      <c r="AE159" s="198" t="str">
        <f t="shared" si="69"/>
        <v>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 &amp; aws s3 cp s3://rtdc.mdm.uploadarchive.raw/RTDC4063/ "%USERPROFILE%\AppData\Local\Temp\OnboardLogs"\RTDC4063\2017-12-10 --exclude "*" --recursive --include "*20171210*" &amp; "%USERPROFILE%\Documents\GitHub\mrs-test-scripts\Headless Mode &amp; Sideloading\WalkAndUnGZ.bat" "%USERPROFILE%\AppData\Local\Temp\OnboardLogs"\RTDC4063\2017-12-10</v>
      </c>
      <c r="AF159" s="197" t="str">
        <f t="shared" si="70"/>
        <v>"C:\Program Files (x86)\AstroGrep\AstroGrep.exe" /e /r /s /spath="%USERPROFILE%\AppData\Local\Temp\OnboardLogs" /stypes="app*4063*20171209*" /stext=" 08:.+((SYSTEM_STATE.+slice.+state.+changed )|(ment ac)|(multiple cpu faults)|(system.+state.+changed )|(\[timeout)|(PRM\|1\|D)|(kpr)|(kdp)|(train st.+moving)|(\|lc)|(penalty))"</v>
      </c>
      <c r="AG159" s="206" t="str">
        <f t="shared" si="71"/>
        <v>EC</v>
      </c>
      <c r="AH159" s="199" t="str">
        <f t="shared" si="72"/>
        <v>"%USERPROFILE%\Documents\GitHub\eaglep3\Utilities\RefineRTDCRunTimes.py" --tripid 242-08 --locoid 4063 --swversion DE.1.0.9.0 --startMP 204:232865 --initTime 2017-12-09T00:50:13 --startdatetime 2017-12-09T00:57:19 --delay 70 --endMP 204:247 --enddatetime 2017-12-09T01:36:33 --enforcementcount 0 &gt;&gt;%USERPROFILE%\Documents\GitHub\eaglep3-reporting\EC\2017-12-08-refined-times.txt</v>
      </c>
      <c r="AI159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{"issue":{"subject":"","project_id":79,"tracker_id":40,"status_id":1,"priority_id":2,"assigned_to_id":338,"start_date":"2017-12-09","description":"","custom_fields":[{"id":1,"name":"Subdivision","value":"EC"},{"id":4,"name":"Milepost","value":"0.0247"},{"id":17,"name":"Train ID","value":"242-08"},{"id":16,"name":"Locomotive ID","value":"4063"},{"id":130,"name":"Impact","value":""},{"id":150,"name":"Time of Event (Mountain Time)","value":"01:36:33"},{"id":151,"name":"Denver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188"/>
      <c r="AK159" s="196"/>
      <c r="AL159" s="196"/>
      <c r="AM159" s="203" t="str">
        <f t="shared" si="74"/>
        <v>start /low /b %USERPROFILE%\Documents\GitHub\eaglep3\Utilities\DownloadLogsFromS3.py --loco 4063 --day 2017-12-09</v>
      </c>
      <c r="AN159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95" t="str">
        <f t="shared" si="76"/>
        <v>https://d0f6bd738d7f1b3e5a7ca70fe4ff75f0.us-east-1.aws.found.io/app/kibana#/discover/Steve-Slow-Train-Analysis-(2080s-and-2083s)?_g=(refreshInterval:(display:Off,pause:!f,section:0,value:0),time:(from:'2017-12-08T23:50:13-0700',mode:absolute,to:'2017-12-09T02:36:33-0700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194" t="s">
        <v>914</v>
      </c>
      <c r="B160" s="190">
        <v>4024</v>
      </c>
      <c r="C160" s="192" t="s">
        <v>191</v>
      </c>
      <c r="D160" s="192" t="s">
        <v>1013</v>
      </c>
      <c r="E160" s="191">
        <v>43078.00712962963</v>
      </c>
      <c r="F160" s="191">
        <v>43078.020983796298</v>
      </c>
      <c r="G160" s="190">
        <v>60</v>
      </c>
      <c r="H160" s="192" t="s">
        <v>574</v>
      </c>
      <c r="I160" s="191">
        <v>43078.044976851852</v>
      </c>
      <c r="J160" s="190">
        <v>0</v>
      </c>
      <c r="K160" s="200" t="str">
        <f t="shared" si="60"/>
        <v>4023/4024</v>
      </c>
      <c r="L160" s="207" t="str">
        <f>VLOOKUP(A160,'Trips&amp;Operators'!$C$1:$G$99911,5,FALSE)</f>
        <v>ELBAUM MIKE</v>
      </c>
      <c r="M160" s="189">
        <f t="shared" si="61"/>
        <v>2.3993055554456078E-2</v>
      </c>
      <c r="N160" s="190">
        <f t="shared" si="79"/>
        <v>34.549999998416752</v>
      </c>
      <c r="O160" s="190"/>
      <c r="P160" s="190"/>
      <c r="Q160" s="193"/>
      <c r="R160" s="205"/>
      <c r="S160" s="235">
        <f t="shared" si="80"/>
        <v>1</v>
      </c>
      <c r="T160" s="236" t="str">
        <f t="shared" si="62"/>
        <v>NorthBound</v>
      </c>
      <c r="U160" s="23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37" t="str">
        <f t="shared" si="63"/>
        <v>https://d0f6bd738d7f1b3e5a7ca70fe4ff75f0.us-east-1.aws.found.io/app/kibana#/discover/Steve-Slow-Train-Analysis-(2080s-and-2083s)?_g=(refreshInterval:(display:Off,pause:!f,section:0,value:0),time:(from:'2017-12-08T23:10:16-0700',mode:absolute,to:'2017-12-09T02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0" s="238" t="str">
        <f>IF(AA160&lt;VLOOKUP(AG160,Variables!$AC$3:$AD$8,2,FALSE),"Y","N")</f>
        <v>N</v>
      </c>
      <c r="X160" s="238">
        <f t="shared" si="64"/>
        <v>1</v>
      </c>
      <c r="Y160" s="238">
        <f t="shared" si="65"/>
        <v>5.9700000000000003E-2</v>
      </c>
      <c r="Z160" s="238">
        <f t="shared" si="66"/>
        <v>23.3293</v>
      </c>
      <c r="AA160" s="238">
        <f t="shared" si="67"/>
        <v>23.269600000000001</v>
      </c>
      <c r="AB160" s="242" t="e">
        <f>VLOOKUP(A160,Enforcements!$C$7:$K$9,8,0)</f>
        <v>#N/A</v>
      </c>
      <c r="AC160" s="242" t="e">
        <f>VLOOKUP(A160,Enforcements!$C$7:$E$9,3,0)</f>
        <v>#N/A</v>
      </c>
      <c r="AD160" s="243">
        <f t="shared" si="68"/>
        <v>243</v>
      </c>
      <c r="AE160" s="198" t="str">
        <f t="shared" si="69"/>
        <v>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 &amp; 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</v>
      </c>
      <c r="AF160" s="197" t="str">
        <f t="shared" si="70"/>
        <v>"C:\Program Files (x86)\AstroGrep\AstroGrep.exe" /e /r /s /spath="%USERPROFILE%\AppData\Local\Temp\OnboardLogs" /stypes="app*4024*20171209*" /stext=" 08:.+((SYSTEM_STATE.+slice.+state.+changed )|(ment ac)|(multiple cpu faults)|(system.+state.+changed )|(\[timeout)|(PRM\|1\|D)|(kpr)|(kdp)|(train st.+moving)|(\|lc)|(penalty))"</v>
      </c>
      <c r="AG160" s="206" t="str">
        <f t="shared" si="71"/>
        <v>EC</v>
      </c>
      <c r="AH160" s="199" t="str">
        <f t="shared" si="72"/>
        <v>"%USERPROFILE%\Documents\GitHub\eaglep3\Utilities\RefineRTDCRunTimes.py" --tripid 243-08 --locoid 4024 --swversion DE.1.0.9.0 --startMP 204:597 --initTime 2017-12-09T00:10:16 --startdatetime 2017-12-09T00:30:13 --delay 60 --endMP 204:233293 --enddatetime 2017-12-09T01:04:46 --enforcementcount 0 &gt;&gt;%USERPROFILE%\Documents\GitHub\eaglep3-reporting\EC\2017-12-08-refined-times.txt</v>
      </c>
      <c r="AI160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{"issue":{"subject":"","project_id":79,"tracker_id":40,"status_id":1,"priority_id":2,"assigned_to_id":338,"start_date":"2017-12-09","description":"","custom_fields":[{"id":1,"name":"Subdivision","value":"EC"},{"id":4,"name":"Milepost","value":"23.3293"},{"id":17,"name":"Train ID","value":"243-08"},{"id":16,"name":"Locomotive ID","value":"4024"},{"id":130,"name":"Impact","value":""},{"id":150,"name":"Time of Event (Mountain Time)","value":"01:04:46"},{"id":151,"name":"Denver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188"/>
      <c r="AK160" s="196"/>
      <c r="AL160" s="196"/>
      <c r="AM160" s="203" t="str">
        <f t="shared" si="74"/>
        <v>start /low /b %USERPROFILE%\Documents\GitHub\eaglep3\Utilities\DownloadLogsFromS3.py --loco 4024 --day 2017-12-09</v>
      </c>
      <c r="AN160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95" t="str">
        <f t="shared" si="76"/>
        <v>https://d0f6bd738d7f1b3e5a7ca70fe4ff75f0.us-east-1.aws.found.io/app/kibana#/discover/Steve-Slow-Train-Analysis-(2080s-and-2083s)?_g=(refreshInterval:(display:Off,pause:!f,section:0,value:0),time:(from:'2017-12-08T23:10:16-0700',mode:absolute,to:'2017-12-09T02:04:46-0700'))&amp;_a=(columns:!('Message%20ID',Summary),filters:!(),index:'emp_*',interval:auto,query:(query_string:(analyze_wildcard:!t,query:'%22rtdc.l.rtdc.4024%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188" customFormat="1" x14ac:dyDescent="0.25">
      <c r="A161" s="194" t="s">
        <v>917</v>
      </c>
      <c r="B161" s="190">
        <v>4023</v>
      </c>
      <c r="C161" s="192" t="s">
        <v>191</v>
      </c>
      <c r="D161" s="192" t="s">
        <v>1013</v>
      </c>
      <c r="E161" s="191">
        <v>43078.00712962963</v>
      </c>
      <c r="F161" s="191">
        <v>43078.060578703706</v>
      </c>
      <c r="G161" s="190">
        <v>60</v>
      </c>
      <c r="H161" s="192" t="s">
        <v>574</v>
      </c>
      <c r="I161" s="191">
        <v>43078.085625</v>
      </c>
      <c r="J161" s="190">
        <v>0</v>
      </c>
      <c r="K161" s="200" t="str">
        <f t="shared" si="60"/>
        <v>4023/4024</v>
      </c>
      <c r="L161" s="207" t="str">
        <f>VLOOKUP(A161,'Trips&amp;Operators'!$C$1:$G$99911,5,FALSE)</f>
        <v>ELBAUM MIKE</v>
      </c>
      <c r="M161" s="189">
        <f t="shared" si="61"/>
        <v>2.5046296294021886E-2</v>
      </c>
      <c r="N161" s="190">
        <f t="shared" si="79"/>
        <v>36.066666663391516</v>
      </c>
      <c r="O161" s="190"/>
      <c r="P161" s="190"/>
      <c r="Q161" s="193"/>
      <c r="R161" s="205"/>
      <c r="S161" s="235">
        <f t="shared" si="80"/>
        <v>1</v>
      </c>
      <c r="T161" s="236" t="str">
        <f t="shared" si="62"/>
        <v>Southbound</v>
      </c>
      <c r="U161" s="23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37" t="str">
        <f t="shared" si="63"/>
        <v>https://d0f6bd738d7f1b3e5a7ca70fe4ff75f0.us-east-1.aws.found.io/app/kibana#/discover/Steve-Slow-Train-Analysis-(2080s-and-2083s)?_g=(refreshInterval:(display:Off,pause:!f,section:0,value:0),time:(from:'2017-12-08T23:10:16-0700',mode:absolute,to:'2017-12-09T03:03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1" s="238" t="str">
        <f>IF(AA161&lt;VLOOKUP(AG161,Variables!$AC$3:$AD$8,2,FALSE),"Y","N")</f>
        <v>N</v>
      </c>
      <c r="X161" s="238">
        <f t="shared" si="64"/>
        <v>1</v>
      </c>
      <c r="Y161" s="238">
        <v>23.2865</v>
      </c>
      <c r="Z161" s="238">
        <v>2.47E-2</v>
      </c>
      <c r="AA161" s="238">
        <f t="shared" si="67"/>
        <v>23.261800000000001</v>
      </c>
      <c r="AB161" s="242" t="e">
        <f>VLOOKUP(A161,Enforcements!$C$7:$K$9,8,0)</f>
        <v>#N/A</v>
      </c>
      <c r="AC161" s="242" t="e">
        <f>VLOOKUP(A161,Enforcements!$C$7:$E$9,3,0)</f>
        <v>#N/A</v>
      </c>
      <c r="AD161" s="243">
        <f t="shared" si="68"/>
        <v>244</v>
      </c>
      <c r="AE161" s="198" t="str">
        <f t="shared" si="69"/>
        <v>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 &amp; aws s3 cp s3://rtdc.mdm.uploadarchive.raw/RTDC4023/ "%USERPROFILE%\AppData\Local\Temp\OnboardLogs"\RTDC4023\2017-12-10 --exclude "*" --recursive --include "*20171210*" &amp; "%USERPROFILE%\Documents\GitHub\mrs-test-scripts\Headless Mode &amp; Sideloading\WalkAndUnGZ.bat" "%USERPROFILE%\AppData\Local\Temp\OnboardLogs"\RTDC4023\2017-12-10</v>
      </c>
      <c r="AF161" s="197" t="str">
        <f t="shared" si="70"/>
        <v>"C:\Program Files (x86)\AstroGrep\AstroGrep.exe" /e /r /s /spath="%USERPROFILE%\AppData\Local\Temp\OnboardLogs" /stypes="app*4023*20171209*" /stext=" 09:.+((SYSTEM_STATE.+slice.+state.+changed )|(ment ac)|(multiple cpu faults)|(system.+state.+changed )|(\[timeout)|(PRM\|1\|D)|(kpr)|(kdp)|(train st.+moving)|(\|lc)|(penalty))"</v>
      </c>
      <c r="AG161" s="206" t="str">
        <f t="shared" si="71"/>
        <v>EC</v>
      </c>
      <c r="AH161" s="199" t="str">
        <f t="shared" ref="AH161" si="81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244-08 --locoid 4023 --swversion DE.1.0.9.0 --startMP 204:597 --initTime 2017-12-09T00:10:16 --startdatetime 2017-12-09T01:27:14 --delay 60 --endMP 204:233293 --enddatetime 2017-12-09T02:03:18 --enforcementcount 0 &gt;&gt;%USERPROFILE%\Documents\GitHub\eaglep3-reporting\EC\2017-12-08-refined-times.txt</v>
      </c>
      <c r="AI161" s="201" t="str">
        <f t="shared" ref="AI161" si="82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{"issue":{"subject":"","project_id":79,"tracker_id":40,"status_id":1,"priority_id":2,"assigned_to_id":338,"start_date":"2017-12-09","description":"","custom_fields":[{"id":1,"name":"Subdivision","value":"EC"},{"id":4,"name":"Milepost","value":"0.0247"},{"id":17,"name":"Train ID","value":"244-08"},{"id":16,"name":"Locomotive ID","value":"4023"},{"id":130,"name":"Impact","value":""},{"id":150,"name":"Time of Event (Mountain Time)","value":"02:03:18"},{"id":151,"name":"Denver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196"/>
      <c r="AL161" s="196"/>
      <c r="AM161" s="203" t="str">
        <f t="shared" ref="AM161" si="83">"start /low /b "&amp;dls3logs&amp;" --loco "&amp;B161&amp;" --day "&amp;TEXT(F161,"YYYY-MM-DD")</f>
        <v>start /low /b %USERPROFILE%\Documents\GitHub\eaglep3\Utilities\DownloadLogsFromS3.py --loco 4023 --day 2017-12-09</v>
      </c>
      <c r="AN161" s="204" t="str">
        <f t="shared" ref="AN161" si="84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09:03:18"},{"id":29,"name":"Sharepoint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95" t="str">
        <f t="shared" ref="AO161" si="85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-08T23:10:16-0700',mode:absolute,to:'2017-12-09T03:03:18-0700'))&amp;_a=(columns:!('Message%20ID',Summary),filters:!(),index:'emp_*',interval:auto,query:(query_string:(analyze_wildcard:!t,query:'%22rtdc.l.rtdc.4023%22')),sort:!(Time.ISO8601,asc))</v>
      </c>
    </row>
    <row r="162" spans="1:91" s="20" customFormat="1" x14ac:dyDescent="0.25">
      <c r="A162" s="194" t="s">
        <v>915</v>
      </c>
      <c r="B162" s="190">
        <v>4010</v>
      </c>
      <c r="C162" s="192" t="s">
        <v>191</v>
      </c>
      <c r="D162" s="192" t="s">
        <v>636</v>
      </c>
      <c r="E162" s="191">
        <v>43078.027199074073</v>
      </c>
      <c r="F162" s="191">
        <v>43078.042141203703</v>
      </c>
      <c r="G162" s="190">
        <v>49</v>
      </c>
      <c r="H162" s="192" t="s">
        <v>463</v>
      </c>
      <c r="I162" s="191">
        <v>43078.067280092589</v>
      </c>
      <c r="J162" s="190">
        <v>0</v>
      </c>
      <c r="K162" s="200" t="str">
        <f t="shared" si="60"/>
        <v>4009/4010</v>
      </c>
      <c r="L162" s="207" t="str">
        <f>VLOOKUP(A162,'Trips&amp;Operators'!$C$1:$G$99911,5,FALSE)</f>
        <v>ANDERS STEVEN</v>
      </c>
      <c r="M162" s="189">
        <f t="shared" si="61"/>
        <v>2.5138888886431232E-2</v>
      </c>
      <c r="N162" s="190">
        <f t="shared" si="79"/>
        <v>36.199999996460974</v>
      </c>
      <c r="O162" s="190"/>
      <c r="P162" s="190"/>
      <c r="Q162" s="193"/>
      <c r="R162" s="205"/>
      <c r="S162" s="235">
        <f t="shared" si="80"/>
        <v>1</v>
      </c>
      <c r="T162" s="236" t="str">
        <f t="shared" si="62"/>
        <v>NorthBound</v>
      </c>
      <c r="U162" s="23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37" t="str">
        <f t="shared" si="63"/>
        <v>https://d0f6bd738d7f1b3e5a7ca70fe4ff75f0.us-east-1.aws.found.io/app/kibana#/discover/Steve-Slow-Train-Analysis-(2080s-and-2083s)?_g=(refreshInterval:(display:Off,pause:!f,section:0,value:0),time:(from:'2017-12-08T23:39:10-0700',mode:absolute,to:'2017-12-09T02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38" t="str">
        <f>IF(AA162&lt;VLOOKUP(AG162,Variables!$AC$3:$AD$8,2,FALSE),"Y","N")</f>
        <v>N</v>
      </c>
      <c r="X162" s="238">
        <f t="shared" si="64"/>
        <v>1</v>
      </c>
      <c r="Y162" s="238">
        <f t="shared" ref="Y162:Y193" si="86">RIGHT(D162,LEN(D162)-4)/10000</f>
        <v>5.3699999999999998E-2</v>
      </c>
      <c r="Z162" s="238">
        <f t="shared" ref="Z162:Z193" si="87">RIGHT(H162,LEN(H162)-4)/10000</f>
        <v>23.325500000000002</v>
      </c>
      <c r="AA162" s="238">
        <f t="shared" si="67"/>
        <v>23.271800000000002</v>
      </c>
      <c r="AB162" s="242" t="e">
        <f>VLOOKUP(A162,Enforcements!$C$7:$K$9,8,0)</f>
        <v>#N/A</v>
      </c>
      <c r="AC162" s="242" t="e">
        <f>VLOOKUP(A162,Enforcements!$C$7:$E$9,3,0)</f>
        <v>#N/A</v>
      </c>
      <c r="AD162" s="243">
        <f t="shared" si="68"/>
        <v>245</v>
      </c>
      <c r="AE162" s="198" t="str">
        <f t="shared" si="69"/>
        <v>aws s3 cp s3://rtdc.mdm.uploadarchive.raw/RTDC4010/ "%USERPROFILE%\AppData\Local\Temp\OnboardLogs"\RTDC4010\2017-12-09 --exclude "*" --recursive --include "*20171209*" &amp; "%USERPROFILE%\Documents\GitHub\mrs-test-scripts\Headless Mode &amp; Sideloading\WalkAndUnGZ.bat" "%USERPROFILE%\AppData\Local\Temp\OnboardLogs"\RTDC4010\2017-12-09 &amp; aws s3 cp s3://rtdc.mdm.uploadarchive.raw/RTDC4010/ "%USERPROFILE%\AppData\Local\Temp\OnboardLogs"\RTDC4010\2017-12-10 --exclude "*" --recursive --include "*20171210*" &amp; "%USERPROFILE%\Documents\GitHub\mrs-test-scripts\Headless Mode &amp; Sideloading\WalkAndUnGZ.bat" "%USERPROFILE%\AppData\Local\Temp\OnboardLogs"\RTDC4010\2017-12-10</v>
      </c>
      <c r="AF162" s="197" t="str">
        <f t="shared" si="70"/>
        <v>"C:\Program Files (x86)\AstroGrep\AstroGrep.exe" /e /r /s /spath="%USERPROFILE%\AppData\Local\Temp\OnboardLogs" /stypes="app*4010*20171209*" /stext=" 08:.+((SYSTEM_STATE.+slice.+state.+changed )|(ment ac)|(multiple cpu faults)|(system.+state.+changed )|(\[timeout)|(PRM\|1\|D)|(kpr)|(kdp)|(train st.+moving)|(\|lc)|(penalty))"</v>
      </c>
      <c r="AG162" s="206" t="str">
        <f t="shared" si="71"/>
        <v>EC</v>
      </c>
      <c r="AH162" s="199" t="str">
        <f t="shared" si="72"/>
        <v>"%USERPROFILE%\Documents\GitHub\eaglep3\Utilities\RefineRTDCRunTimes.py" --tripid 245-08 --locoid 4010 --swversion DE.1.0.9.0 --startMP 204:537 --initTime 2017-12-09T00:39:10 --startdatetime 2017-12-09T01:00:41 --delay 49 --endMP 204:233255 --enddatetime 2017-12-09T01:36:53 --enforcementcount 0 &gt;&gt;%USERPROFILE%\Documents\GitHub\eaglep3-reporting\EC\2017-12-08-refined-times.txt</v>
      </c>
      <c r="AI162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{"issue":{"subject":"","project_id":79,"tracker_id":40,"status_id":1,"priority_id":2,"assigned_to_id":338,"start_date":"2017-12-09","description":"","custom_fields":[{"id":1,"name":"Subdivision","value":"EC"},{"id":4,"name":"Milepost","value":"23.3255"},{"id":17,"name":"Train ID","value":"245-08"},{"id":16,"name":"Locomotive ID","value":"4010"},{"id":130,"name":"Impact","value":""},{"id":150,"name":"Time of Event (Mountain Time)","value":"01:36:53"},{"id":151,"name":"Denver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188"/>
      <c r="AK162" s="196"/>
      <c r="AL162" s="196"/>
      <c r="AM162" s="203" t="str">
        <f t="shared" si="74"/>
        <v>start /low /b %USERPROFILE%\Documents\GitHub\eaglep3\Utilities\DownloadLogsFromS3.py --loco 4010 --day 2017-12-09</v>
      </c>
      <c r="AN162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95" t="str">
        <f t="shared" si="76"/>
        <v>https://d0f6bd738d7f1b3e5a7ca70fe4ff75f0.us-east-1.aws.found.io/app/kibana#/discover/Steve-Slow-Train-Analysis-(2080s-and-2083s)?_g=(refreshInterval:(display:Off,pause:!f,section:0,value:0),time:(from:'2017-12-08T23:39:10-0700',mode:absolute,to:'2017-12-09T02:36:53-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194" t="s">
        <v>920</v>
      </c>
      <c r="B163" s="190">
        <v>4009</v>
      </c>
      <c r="C163" s="192" t="s">
        <v>191</v>
      </c>
      <c r="D163" s="192" t="s">
        <v>936</v>
      </c>
      <c r="E163" s="191">
        <v>43078.07916666667</v>
      </c>
      <c r="F163" s="191">
        <v>43078.081828703704</v>
      </c>
      <c r="G163" s="190">
        <v>174</v>
      </c>
      <c r="H163" s="192" t="s">
        <v>647</v>
      </c>
      <c r="I163" s="191">
        <v>43078.108483796299</v>
      </c>
      <c r="J163" s="190">
        <v>0</v>
      </c>
      <c r="K163" s="200" t="str">
        <f t="shared" si="60"/>
        <v>4009/4010</v>
      </c>
      <c r="L163" s="207" t="str">
        <f>VLOOKUP(A163,'Trips&amp;Operators'!$C$1:$G$99911,5,FALSE)</f>
        <v>ANDERS STEVEN</v>
      </c>
      <c r="M163" s="189">
        <f t="shared" si="61"/>
        <v>2.6655092595319729E-2</v>
      </c>
      <c r="N163" s="190">
        <f t="shared" si="79"/>
        <v>38.38333333726041</v>
      </c>
      <c r="O163" s="190"/>
      <c r="P163" s="190"/>
      <c r="Q163" s="193"/>
      <c r="R163" s="205"/>
      <c r="S163" s="235">
        <f t="shared" si="80"/>
        <v>1</v>
      </c>
      <c r="T163" s="236" t="str">
        <f t="shared" si="62"/>
        <v>Southbound</v>
      </c>
      <c r="U163" s="23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37" t="str">
        <f t="shared" si="63"/>
        <v>https://d0f6bd738d7f1b3e5a7ca70fe4ff75f0.us-east-1.aws.found.io/app/kibana#/discover/Steve-Slow-Train-Analysis-(2080s-and-2083s)?_g=(refreshInterval:(display:Off,pause:!f,section:0,value:0),time:(from:'2017-12-09T00:54:00-0700',mode:absolute,to:'2017-12-09T03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38" t="str">
        <f>IF(AA163&lt;VLOOKUP(AG163,Variables!$AC$3:$AD$8,2,FALSE),"Y","N")</f>
        <v>N</v>
      </c>
      <c r="X163" s="238">
        <f t="shared" si="64"/>
        <v>1</v>
      </c>
      <c r="Y163" s="238">
        <f t="shared" si="86"/>
        <v>23.293399999999998</v>
      </c>
      <c r="Z163" s="238">
        <f t="shared" si="87"/>
        <v>2.4500000000000001E-2</v>
      </c>
      <c r="AA163" s="238">
        <f t="shared" si="67"/>
        <v>23.268899999999999</v>
      </c>
      <c r="AB163" s="242" t="e">
        <f>VLOOKUP(A163,Enforcements!$C$7:$K$9,8,0)</f>
        <v>#N/A</v>
      </c>
      <c r="AC163" s="242" t="e">
        <f>VLOOKUP(A163,Enforcements!$C$7:$E$9,3,0)</f>
        <v>#N/A</v>
      </c>
      <c r="AD163" s="243">
        <f t="shared" si="68"/>
        <v>246</v>
      </c>
      <c r="AE163" s="198" t="str">
        <f t="shared" si="69"/>
        <v>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 &amp; aws s3 cp s3://rtdc.mdm.uploadarchive.raw/RTDC4009/ "%USERPROFILE%\AppData\Local\Temp\OnboardLogs"\RTDC4009\2017-12-10 --exclude "*" --recursive --include "*20171210*" &amp; "%USERPROFILE%\Documents\GitHub\mrs-test-scripts\Headless Mode &amp; Sideloading\WalkAndUnGZ.bat" "%USERPROFILE%\AppData\Local\Temp\OnboardLogs"\RTDC4009\2017-12-10</v>
      </c>
      <c r="AF163" s="197" t="str">
        <f t="shared" si="70"/>
        <v>"C:\Program Files (x86)\AstroGrep\AstroGrep.exe" /e /r /s /spath="%USERPROFILE%\AppData\Local\Temp\OnboardLogs" /stypes="app*4009*20171209*" /stext=" 09:.+((SYSTEM_STATE.+slice.+state.+changed )|(ment ac)|(multiple cpu faults)|(system.+state.+changed )|(\[timeout)|(PRM\|1\|D)|(kpr)|(kdp)|(train st.+moving)|(\|lc)|(penalty))"</v>
      </c>
      <c r="AG163" s="206" t="str">
        <f t="shared" si="71"/>
        <v>EC</v>
      </c>
      <c r="AH163" s="199" t="str">
        <f t="shared" si="72"/>
        <v>"%USERPROFILE%\Documents\GitHub\eaglep3\Utilities\RefineRTDCRunTimes.py" --tripid 246-08 --locoid 4009 --swversion DE.1.0.9.0 --startMP 204:232934 --initTime 2017-12-09T01:54:00 --startdatetime 2017-12-09T01:57:50 --delay 174 --endMP 204:245 --enddatetime 2017-12-09T02:36:13 --enforcementcount 0 &gt;&gt;%USERPROFILE%\Documents\GitHub\eaglep3-reporting\EC\2017-12-08-refined-times.txt</v>
      </c>
      <c r="AI163" s="201" t="str">
        <f t="shared" si="73"/>
        <v>echo {"issue":{"subject":"","project_id":79,"tracker_id":40,"status_id":1,"priority_id":2,"assigned_to_id":338,"start_date":"2017-12-09","description":"","custom_fields":[{"id":1,"name":"Subdivision","value":"EC"},{"id":4,"name":"Milepost","value":"0.0245"},{"id":17,"name":"Train ID","value":"246-08"},{"id":16,"name":"Locomotive ID","value":"4009"},{"id":130,"name":"Impact","value":""},{"id":150,"name":"Time of Event (Mountain Time)","value":"02:36:13"},{"id":151,"name":"Denver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188"/>
      <c r="AK163" s="196"/>
      <c r="AL163" s="196"/>
      <c r="AM163" s="203" t="str">
        <f t="shared" si="74"/>
        <v>start /low /b %USERPROFILE%\Documents\GitHub\eaglep3\Utilities\DownloadLogsFromS3.py --loco 4009 --day 2017-12-09</v>
      </c>
      <c r="AN163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09:36:13"},{"id":29,"name":"Sharepoint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95" t="str">
        <f t="shared" si="76"/>
        <v>https://d0f6bd738d7f1b3e5a7ca70fe4ff75f0.us-east-1.aws.found.io/app/kibana#/discover/Steve-Slow-Train-Analysis-(2080s-and-2083s)?_g=(refreshInterval:(display:Off,pause:!f,section:0,value:0),time:(from:'2017-12-09T00:54:00-0700',mode:absolute,to:'2017-12-09T03:36:13-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194" t="s">
        <v>728</v>
      </c>
      <c r="B164" s="190">
        <v>4003</v>
      </c>
      <c r="C164" s="192" t="s">
        <v>191</v>
      </c>
      <c r="D164" s="192" t="s">
        <v>1033</v>
      </c>
      <c r="E164" s="191">
        <v>43077.210613425923</v>
      </c>
      <c r="F164" s="191">
        <v>43077.212326388886</v>
      </c>
      <c r="G164" s="190">
        <v>75</v>
      </c>
      <c r="H164" s="192" t="s">
        <v>1034</v>
      </c>
      <c r="I164" s="191">
        <v>43077.226701388892</v>
      </c>
      <c r="J164" s="190">
        <v>0</v>
      </c>
      <c r="K164" s="200" t="str">
        <f t="shared" si="60"/>
        <v>4003/4004</v>
      </c>
      <c r="L164" s="207" t="str">
        <f>VLOOKUP(A164,'Trips&amp;Operators'!$C$1:$G$99911,5,FALSE)</f>
        <v>WILLIAMS DONTE</v>
      </c>
      <c r="M164" s="189">
        <f t="shared" si="61"/>
        <v>1.4375000006111804E-2</v>
      </c>
      <c r="N164" s="190">
        <f t="shared" si="79"/>
        <v>20.700000008800998</v>
      </c>
      <c r="O164" s="190"/>
      <c r="P164" s="190"/>
      <c r="Q164" s="193"/>
      <c r="R164" s="205"/>
      <c r="S164" s="235">
        <f t="shared" si="80"/>
        <v>1</v>
      </c>
      <c r="T164" s="236" t="str">
        <f t="shared" si="62"/>
        <v>Southbound</v>
      </c>
      <c r="U164" s="23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37" t="str">
        <f t="shared" si="63"/>
        <v>https://d0f6bd738d7f1b3e5a7ca70fe4ff75f0.us-east-1.aws.found.io/app/kibana#/discover/Steve-Slow-Train-Analysis-(2080s-and-2083s)?_g=(refreshInterval:(display:Off,pause:!f,section:0,value:0),time:(from:'2017-12-08T04:03:17-0700',mode:absolute,to:'2017-12-08T06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4" s="238" t="str">
        <f>IF(AA164&lt;VLOOKUP(AG164,Variables!$AC$3:$AD$8,2,FALSE),"Y","N")</f>
        <v>N</v>
      </c>
      <c r="X164" s="238">
        <f t="shared" si="64"/>
        <v>554</v>
      </c>
      <c r="Y164" s="238">
        <f t="shared" si="86"/>
        <v>5.8623000000000003</v>
      </c>
      <c r="Z164" s="238">
        <f t="shared" si="87"/>
        <v>1.11E-2</v>
      </c>
      <c r="AA164" s="238">
        <f t="shared" si="67"/>
        <v>5.8512000000000004</v>
      </c>
      <c r="AB164" s="242" t="e">
        <f>VLOOKUP(A164,Enforcements!$C$7:$K$9,8,0)</f>
        <v>#N/A</v>
      </c>
      <c r="AC164" s="242" t="e">
        <f>VLOOKUP(A164,Enforcements!$C$7:$E$9,3,0)</f>
        <v>#N/A</v>
      </c>
      <c r="AD164" s="243">
        <f t="shared" si="68"/>
        <v>800</v>
      </c>
      <c r="AE164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64" s="197" t="str">
        <f t="shared" si="70"/>
        <v>"C:\Program Files (x86)\AstroGrep\AstroGrep.exe" /e /r /s /spath="%USERPROFILE%\AppData\Local\Temp\OnboardLogs" /stypes="app*4003*20171208*" /stext=" 12:.+((SYSTEM_STATE.+slice.+state.+changed )|(ment ac)|(multiple cpu faults)|(system.+state.+changed )|(\[timeout)|(PRM\|1\|D)|(kpr)|(kdp)|(train st.+moving)|(\|lc)|(penalty))"</v>
      </c>
      <c r="AG164" s="206" t="str">
        <f t="shared" si="71"/>
        <v>NW</v>
      </c>
      <c r="AH164" s="199" t="str">
        <f t="shared" si="72"/>
        <v>"%USERPROFILE%\Documents\GitHub\eaglep3\Utilities\RefineRTDCRunTimes.py" --tripid 800-08 --locoid 4003 --swversion DE.1.0.9.0 --startMP 300:58623 --initTime 2017-12-08T05:03:17 --startdatetime 2017-12-08T05:05:45 --delay 75 --endMP 204:111 --enddatetime 2017-12-08T05:26:27 --enforcementcount 0 &gt;&gt;%USERPROFILE%\Documents\GitHub\eaglep3-reporting\EC\2017-12-08-refined-times.txt</v>
      </c>
      <c r="AI164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{"issue":{"subject":"","project_id":79,"tracker_id":40,"status_id":1,"priority_id":2,"assigned_to_id":338,"start_date":"2017-12-08","description":"","custom_fields":[{"id":1,"name":"Subdivision","value":"NW"},{"id":4,"name":"Milepost","value":"0.0111"},{"id":17,"name":"Train ID","value":"800-08"},{"id":16,"name":"Locomotive ID","value":"4003"},{"id":130,"name":"Impact","value":""},{"id":150,"name":"Time of Event (Mountain Time)","value":"05:26:27"},{"id":151,"name":"Denver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188"/>
      <c r="AK164" s="196"/>
      <c r="AL164" s="196"/>
      <c r="AM164" s="203" t="str">
        <f t="shared" si="74"/>
        <v>start /low /b %USERPROFILE%\Documents\GitHub\eaglep3\Utilities\DownloadLogsFromS3.py --loco 4003 --day 2017-12-08</v>
      </c>
      <c r="AN164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12:26:27"},{"id":29,"name":"Sharepoint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95" t="str">
        <f t="shared" si="76"/>
        <v>https://d0f6bd738d7f1b3e5a7ca70fe4ff75f0.us-east-1.aws.found.io/app/kibana#/discover/Steve-Slow-Train-Analysis-(2080s-and-2083s)?_g=(refreshInterval:(display:Off,pause:!f,section:0,value:0),time:(from:'2017-12-08T04:03:17-0700',mode:absolute,to:'2017-12-08T06:26:27-0700'))&amp;_a=(columns:!('Message%20ID',Summary),filters:!(),index:'emp_*',interval:auto,query:(query_string:(analyze_wildcard:!t,query:'%22rtdc.l.rtdc.4003%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194" t="s">
        <v>734</v>
      </c>
      <c r="B165" s="190">
        <v>4004</v>
      </c>
      <c r="C165" s="192" t="s">
        <v>191</v>
      </c>
      <c r="D165" s="192" t="s">
        <v>1035</v>
      </c>
      <c r="E165" s="191">
        <v>43077.233622685184</v>
      </c>
      <c r="F165" s="191">
        <v>43077.235590277778</v>
      </c>
      <c r="G165" s="190">
        <v>57</v>
      </c>
      <c r="H165" s="192" t="s">
        <v>1036</v>
      </c>
      <c r="I165" s="191">
        <v>43077.245532407411</v>
      </c>
      <c r="J165" s="190">
        <v>0</v>
      </c>
      <c r="K165" s="200" t="str">
        <f t="shared" si="60"/>
        <v>4003/4004</v>
      </c>
      <c r="L165" s="207" t="str">
        <f>VLOOKUP(A165,'Trips&amp;Operators'!$C$1:$G$99911,5,FALSE)</f>
        <v>WILLIAMS DONTE</v>
      </c>
      <c r="M165" s="189">
        <f t="shared" si="61"/>
        <v>9.9421296326909214E-3</v>
      </c>
      <c r="N165" s="190">
        <f t="shared" si="79"/>
        <v>14.316666671074927</v>
      </c>
      <c r="O165" s="190"/>
      <c r="P165" s="190"/>
      <c r="Q165" s="193"/>
      <c r="R165" s="205"/>
      <c r="S165" s="235">
        <f t="shared" si="80"/>
        <v>1</v>
      </c>
      <c r="T165" s="236" t="str">
        <f t="shared" si="62"/>
        <v>NorthBound</v>
      </c>
      <c r="U165" s="23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37" t="str">
        <f t="shared" si="63"/>
        <v>https://d0f6bd738d7f1b3e5a7ca70fe4ff75f0.us-east-1.aws.found.io/app/kibana#/discover/Steve-Slow-Train-Analysis-(2080s-and-2083s)?_g=(refreshInterval:(display:Off,pause:!f,section:0,value:0),time:(from:'2017-12-08T04:36:25-0700',mode:absolute,to:'2017-12-08T06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5" s="238" t="str">
        <f>IF(AA165&lt;VLOOKUP(AG165,Variables!$AC$3:$AD$8,2,FALSE),"Y","N")</f>
        <v>N</v>
      </c>
      <c r="X165" s="238">
        <f t="shared" si="64"/>
        <v>1</v>
      </c>
      <c r="Y165" s="238">
        <f t="shared" si="86"/>
        <v>3.8600000000000002E-2</v>
      </c>
      <c r="Z165" s="238">
        <f t="shared" si="87"/>
        <v>5.8929</v>
      </c>
      <c r="AA165" s="238">
        <f t="shared" si="67"/>
        <v>5.8543000000000003</v>
      </c>
      <c r="AB165" s="242" t="e">
        <f>VLOOKUP(A165,Enforcements!$C$7:$K$9,8,0)</f>
        <v>#N/A</v>
      </c>
      <c r="AC165" s="242" t="e">
        <f>VLOOKUP(A165,Enforcements!$C$7:$E$9,3,0)</f>
        <v>#N/A</v>
      </c>
      <c r="AD165" s="243">
        <f t="shared" si="68"/>
        <v>801</v>
      </c>
      <c r="AE165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165" s="197" t="str">
        <f t="shared" si="70"/>
        <v>"C:\Program Files (x86)\AstroGrep\AstroGrep.exe" /e /r /s /spath="%USERPROFILE%\AppData\Local\Temp\OnboardLogs" /stypes="app*4004*20171208*" /stext=" 12:.+((SYSTEM_STATE.+slice.+state.+changed )|(ment ac)|(multiple cpu faults)|(system.+state.+changed )|(\[timeout)|(PRM\|1\|D)|(kpr)|(kdp)|(train st.+moving)|(\|lc)|(penalty))"</v>
      </c>
      <c r="AG165" s="206" t="str">
        <f t="shared" si="71"/>
        <v>NW</v>
      </c>
      <c r="AH165" s="199" t="str">
        <f t="shared" si="72"/>
        <v>"%USERPROFILE%\Documents\GitHub\eaglep3\Utilities\RefineRTDCRunTimes.py" --tripid 801-08 --locoid 4004 --swversion DE.1.0.9.0 --startMP 204:386 --initTime 2017-12-08T05:36:25 --startdatetime 2017-12-08T05:39:15 --delay 57 --endMP 300:58929 --enddatetime 2017-12-08T05:53:34 --enforcementcount 0 &gt;&gt;%USERPROFILE%\Documents\GitHub\eaglep3-reporting\EC\2017-12-08-refined-times.txt</v>
      </c>
      <c r="AI165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{"issue":{"subject":"","project_id":79,"tracker_id":40,"status_id":1,"priority_id":2,"assigned_to_id":338,"start_date":"2017-12-08","description":"","custom_fields":[{"id":1,"name":"Subdivision","value":"NW"},{"id":4,"name":"Milepost","value":"5.8929"},{"id":17,"name":"Train ID","value":"801-08"},{"id":16,"name":"Locomotive ID","value":"4004"},{"id":130,"name":"Impact","value":""},{"id":150,"name":"Time of Event (Mountain Time)","value":"05:53:34"},{"id":151,"name":"Denver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188"/>
      <c r="AK165" s="196"/>
      <c r="AL165" s="196"/>
      <c r="AM165" s="203" t="str">
        <f t="shared" si="74"/>
        <v>start /low /b %USERPROFILE%\Documents\GitHub\eaglep3\Utilities\DownloadLogsFromS3.py --loco 4004 --day 2017-12-08</v>
      </c>
      <c r="AN165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95" t="str">
        <f t="shared" si="76"/>
        <v>https://d0f6bd738d7f1b3e5a7ca70fe4ff75f0.us-east-1.aws.found.io/app/kibana#/discover/Steve-Slow-Train-Analysis-(2080s-and-2083s)?_g=(refreshInterval:(display:Off,pause:!f,section:0,value:0),time:(from:'2017-12-08T04:36:25-0700',mode:absolute,to:'2017-12-08T06:53:34-0700'))&amp;_a=(columns:!('Message%20ID',Summary),filters:!(),index:'emp_*',interval:auto,query:(query_string:(analyze_wildcard:!t,query:'%22rtdc.l.rtdc.4004%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188" customFormat="1" x14ac:dyDescent="0.25">
      <c r="A166" s="194" t="s">
        <v>742</v>
      </c>
      <c r="B166" s="190">
        <v>4003</v>
      </c>
      <c r="C166" s="192" t="s">
        <v>191</v>
      </c>
      <c r="D166" s="192" t="s">
        <v>1037</v>
      </c>
      <c r="E166" s="191">
        <v>43077.246296296296</v>
      </c>
      <c r="F166" s="191">
        <v>43077.258333333331</v>
      </c>
      <c r="G166" s="190">
        <v>54</v>
      </c>
      <c r="H166" s="192" t="s">
        <v>1038</v>
      </c>
      <c r="I166" s="191">
        <v>43077.269305555557</v>
      </c>
      <c r="J166" s="190">
        <v>0</v>
      </c>
      <c r="K166" s="200" t="str">
        <f t="shared" si="60"/>
        <v>4003/4004</v>
      </c>
      <c r="L166" s="207" t="str">
        <f>VLOOKUP(A166,'Trips&amp;Operators'!$C$1:$G$99911,5,FALSE)</f>
        <v>WILLIAMS DONTE</v>
      </c>
      <c r="M166" s="189">
        <f t="shared" si="61"/>
        <v>1.0972222225973383E-2</v>
      </c>
      <c r="N166" s="190">
        <f t="shared" si="79"/>
        <v>15.800000005401671</v>
      </c>
      <c r="O166" s="190"/>
      <c r="P166" s="190"/>
      <c r="Q166" s="193"/>
      <c r="R166" s="205" t="s">
        <v>678</v>
      </c>
      <c r="S166" s="235">
        <f t="shared" si="80"/>
        <v>1</v>
      </c>
      <c r="T166" s="236" t="str">
        <f t="shared" si="62"/>
        <v>Southbound</v>
      </c>
      <c r="U166" s="23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37" t="str">
        <f t="shared" si="63"/>
        <v>https://d0f6bd738d7f1b3e5a7ca70fe4ff75f0.us-east-1.aws.found.io/app/kibana#/discover/Steve-Slow-Train-Analysis-(2080s-and-2083s)?_g=(refreshInterval:(display:Off,pause:!f,section:0,value:0),time:(from:'2017-12-08T04:54:40-0700',mode:absolute,to:'2017-12-08T07:27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6" s="238" t="str">
        <f>IF(AA166&lt;VLOOKUP(AG166,Variables!$AC$3:$AD$8,2,FALSE),"Y","N")</f>
        <v>N</v>
      </c>
      <c r="X166" s="238">
        <f t="shared" si="64"/>
        <v>1</v>
      </c>
      <c r="Y166" s="238">
        <f t="shared" si="86"/>
        <v>5.8628</v>
      </c>
      <c r="Z166" s="238">
        <f t="shared" si="87"/>
        <v>0.01</v>
      </c>
      <c r="AA166" s="238">
        <f t="shared" si="67"/>
        <v>5.8528000000000002</v>
      </c>
      <c r="AB166" s="242" t="e">
        <f>VLOOKUP(A166,Enforcements!$C$7:$K$9,8,0)</f>
        <v>#N/A</v>
      </c>
      <c r="AC166" s="242" t="e">
        <f>VLOOKUP(A166,Enforcements!$C$7:$E$9,3,0)</f>
        <v>#N/A</v>
      </c>
      <c r="AD166" s="243">
        <f t="shared" si="68"/>
        <v>802</v>
      </c>
      <c r="AE166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66" s="197" t="str">
        <f t="shared" si="70"/>
        <v>"C:\Program Files (x86)\AstroGrep\AstroGrep.exe" /e /r /s /spath="%USERPROFILE%\AppData\Local\Temp\OnboardLogs" /stypes="app*4003*20171208*" /stext=" 13:.+((SYSTEM_STATE.+slice.+state.+changed )|(ment ac)|(multiple cpu faults)|(system.+state.+changed )|(\[timeout)|(PRM\|1\|D)|(kpr)|(kdp)|(train st.+moving)|(\|lc)|(penalty))"</v>
      </c>
      <c r="AG166" s="206" t="str">
        <f t="shared" si="71"/>
        <v>NW</v>
      </c>
      <c r="AH166" s="199" t="str">
        <f t="shared" si="72"/>
        <v>"%USERPROFILE%\Documents\GitHub\eaglep3\Utilities\RefineRTDCRunTimes.py" --tripid 802-08 --locoid 4003 --swversion DE.1.0.9.0 --startMP 300:58628 --initTime 2017-12-08T05:54:40 --startdatetime 2017-12-08T06:12:00 --delay 54 --endMP 204:100 --enddatetime 2017-12-08T06:27:48 --enforcementcount 0 &gt;&gt;%USERPROFILE%\Documents\GitHub\eaglep3-reporting\EC\2017-12-08-refined-times.txt</v>
      </c>
      <c r="AI166" s="201" t="str">
        <f t="shared" si="73"/>
        <v>echo {"issue":{"subject":"Brief Wi-MAX data drop caused unhealthy banner","project_id":79,"tracker_id":40,"status_id":1,"priority_id":2,"assigned_to_id":338,"start_date":"2017-12-08","description":"","custom_fields":[{"id":1,"name":"Subdivision","value":"NW"},{"id":4,"name":"Milepost","value":"0.01"},{"id":17,"name":"Train ID","value":"802-08"},{"id":16,"name":"Locomotive ID","value":"4003"},{"id":130,"name":"Impact","value":""},{"id":150,"name":"Time of Event (Mountain Time)","value":"06:27:48"},{"id":151,"name":"Denver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196"/>
      <c r="AL166" s="196"/>
      <c r="AM166" s="203" t="str">
        <f t="shared" si="74"/>
        <v>start /low /b %USERPROFILE%\Documents\GitHub\eaglep3\Utilities\DownloadLogsFromS3.py --loco 4003 --day 2017-12-08</v>
      </c>
      <c r="AN166" s="204" t="str">
        <f t="shared" si="75"/>
        <v>echo {"issue":{"subject":"Brief Wi-MAX data drop caused unhealthy banner","project_id":30,"tracker_id":4,"status_id":1,"priority_id":1,"assigned_to_id":10,"start_date":"2017-12-08","description":"","custom_fields":[{"id":30,"name":"Category","value":"Issue"},{"id":3,"name":"Functional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13:27:48"},{"id":29,"name":"Sharepoint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95" t="str">
        <f t="shared" si="76"/>
        <v>https://d0f6bd738d7f1b3e5a7ca70fe4ff75f0.us-east-1.aws.found.io/app/kibana#/discover/Steve-Slow-Train-Analysis-(2080s-and-2083s)?_g=(refreshInterval:(display:Off,pause:!f,section:0,value:0),time:(from:'2017-12-08T04:54:40-0700',mode:absolute,to:'2017-12-08T07:27:48-0700'))&amp;_a=(columns:!('Message%20ID',Summary),filters:!(),index:'emp_*',interval:auto,query:(query_string:(analyze_wildcard:!t,query:'%22rtdc.l.rtdc.4003%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194" t="s">
        <v>743</v>
      </c>
      <c r="B167" s="190">
        <v>4008</v>
      </c>
      <c r="C167" s="192" t="s">
        <v>191</v>
      </c>
      <c r="D167" s="192" t="s">
        <v>1039</v>
      </c>
      <c r="E167" s="191">
        <v>43077.251446759263</v>
      </c>
      <c r="F167" s="191">
        <v>43077.25644675926</v>
      </c>
      <c r="G167" s="190">
        <v>228</v>
      </c>
      <c r="H167" s="192" t="s">
        <v>1040</v>
      </c>
      <c r="I167" s="191">
        <v>43077.2658912037</v>
      </c>
      <c r="J167" s="190">
        <v>0</v>
      </c>
      <c r="K167" s="200" t="str">
        <f t="shared" si="60"/>
        <v>4007/4008</v>
      </c>
      <c r="L167" s="207" t="str">
        <f>VLOOKUP(A167,'Trips&amp;Operators'!$C$1:$G$99911,5,FALSE)</f>
        <v>DELGADO DIANAH</v>
      </c>
      <c r="M167" s="189">
        <f t="shared" si="61"/>
        <v>9.444444440305233E-3</v>
      </c>
      <c r="N167" s="190">
        <f t="shared" si="79"/>
        <v>13.599999994039536</v>
      </c>
      <c r="O167" s="190"/>
      <c r="P167" s="190"/>
      <c r="Q167" s="193"/>
      <c r="R167" s="205"/>
      <c r="S167" s="235">
        <f t="shared" si="80"/>
        <v>1</v>
      </c>
      <c r="T167" s="236" t="str">
        <f t="shared" si="62"/>
        <v>NorthBound</v>
      </c>
      <c r="U167" s="23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37" t="str">
        <f t="shared" si="63"/>
        <v>https://d0f6bd738d7f1b3e5a7ca70fe4ff75f0.us-east-1.aws.found.io/app/kibana#/discover/Steve-Slow-Train-Analysis-(2080s-and-2083s)?_g=(refreshInterval:(display:Off,pause:!f,section:0,value:0),time:(from:'2017-12-08T05:02:05-0700',mode:absolute,to:'2017-12-08T07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238" t="str">
        <f>IF(AA167&lt;VLOOKUP(AG167,Variables!$AC$3:$AD$8,2,FALSE),"Y","N")</f>
        <v>N</v>
      </c>
      <c r="X167" s="238">
        <f t="shared" si="64"/>
        <v>1</v>
      </c>
      <c r="Y167" s="238">
        <f t="shared" si="86"/>
        <v>4.1300000000000003E-2</v>
      </c>
      <c r="Z167" s="238">
        <f t="shared" si="87"/>
        <v>5.8964999999999996</v>
      </c>
      <c r="AA167" s="238">
        <f t="shared" si="67"/>
        <v>5.8552</v>
      </c>
      <c r="AB167" s="242" t="e">
        <f>VLOOKUP(A167,Enforcements!$C$7:$K$9,8,0)</f>
        <v>#N/A</v>
      </c>
      <c r="AC167" s="242" t="e">
        <f>VLOOKUP(A167,Enforcements!$C$7:$E$9,3,0)</f>
        <v>#N/A</v>
      </c>
      <c r="AD167" s="243">
        <f t="shared" si="68"/>
        <v>803</v>
      </c>
      <c r="AE167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67" s="197" t="str">
        <f t="shared" si="70"/>
        <v>"C:\Program Files (x86)\AstroGrep\AstroGrep.exe" /e /r /s /spath="%USERPROFILE%\AppData\Local\Temp\OnboardLogs" /stypes="app*4008*20171208*" /stext=" 13:.+((SYSTEM_STATE.+slice.+state.+changed )|(ment ac)|(multiple cpu faults)|(system.+state.+changed )|(\[timeout)|(PRM\|1\|D)|(kpr)|(kdp)|(train st.+moving)|(\|lc)|(penalty))"</v>
      </c>
      <c r="AG167" s="206" t="str">
        <f t="shared" si="71"/>
        <v>NW</v>
      </c>
      <c r="AH167" s="199" t="str">
        <f t="shared" si="72"/>
        <v>"%USERPROFILE%\Documents\GitHub\eaglep3\Utilities\RefineRTDCRunTimes.py" --tripid 803-08 --locoid 4008 --swversion DE.1.0.9.0 --startMP 204:413 --initTime 2017-12-08T06:02:05 --startdatetime 2017-12-08T06:09:17 --delay 228 --endMP 300:58965 --enddatetime 2017-12-08T06:22:53 --enforcementcount 0 &gt;&gt;%USERPROFILE%\Documents\GitHub\eaglep3-reporting\EC\2017-12-08-refined-times.txt</v>
      </c>
      <c r="AI167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{"issue":{"subject":"","project_id":79,"tracker_id":40,"status_id":1,"priority_id":2,"assigned_to_id":338,"start_date":"2017-12-08","description":"","custom_fields":[{"id":1,"name":"Subdivision","value":"NW"},{"id":4,"name":"Milepost","value":"5.8965"},{"id":17,"name":"Train ID","value":"803-08"},{"id":16,"name":"Locomotive ID","value":"4008"},{"id":130,"name":"Impact","value":""},{"id":150,"name":"Time of Event (Mountain Time)","value":"06:22:53"},{"id":151,"name":"Denver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8"/>
      <c r="AK167" s="196"/>
      <c r="AL167" s="196"/>
      <c r="AM167" s="203" t="str">
        <f t="shared" si="74"/>
        <v>start /low /b %USERPROFILE%\Documents\GitHub\eaglep3\Utilities\DownloadLogsFromS3.py --loco 4008 --day 2017-12-08</v>
      </c>
      <c r="AN167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95" t="str">
        <f t="shared" si="76"/>
        <v>https://d0f6bd738d7f1b3e5a7ca70fe4ff75f0.us-east-1.aws.found.io/app/kibana#/discover/Steve-Slow-Train-Analysis-(2080s-and-2083s)?_g=(refreshInterval:(display:Off,pause:!f,section:0,value:0),time:(from:'2017-12-08T05:02:05-0700',mode:absolute,to:'2017-12-08T07:22:53-0700'))&amp;_a=(columns:!('Message%20ID',Summary),filters:!(),index:'emp_*',interval:auto,query:(query_string:(analyze_wildcard:!t,query:'%22rtdc.l.rtdc.4008%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194" t="s">
        <v>747</v>
      </c>
      <c r="B168" s="190">
        <v>4007</v>
      </c>
      <c r="C168" s="192" t="s">
        <v>191</v>
      </c>
      <c r="D168" s="192" t="s">
        <v>516</v>
      </c>
      <c r="E168" s="191">
        <v>43077.267326388886</v>
      </c>
      <c r="F168" s="191">
        <v>43077.279166666667</v>
      </c>
      <c r="G168" s="190">
        <v>73</v>
      </c>
      <c r="H168" s="192" t="s">
        <v>1041</v>
      </c>
      <c r="I168" s="191">
        <v>43077.288055555553</v>
      </c>
      <c r="J168" s="190">
        <v>0</v>
      </c>
      <c r="K168" s="200" t="str">
        <f t="shared" si="60"/>
        <v>4007/4008</v>
      </c>
      <c r="L168" s="207" t="str">
        <f>VLOOKUP(A168,'Trips&amp;Operators'!$C$1:$G$99911,5,FALSE)</f>
        <v>DELGADO DIANAH</v>
      </c>
      <c r="M168" s="189">
        <f t="shared" si="61"/>
        <v>8.8888888858491555E-3</v>
      </c>
      <c r="N168" s="190">
        <f t="shared" si="79"/>
        <v>12.799999995622784</v>
      </c>
      <c r="O168" s="190"/>
      <c r="P168" s="190"/>
      <c r="Q168" s="193"/>
      <c r="R168" s="205"/>
      <c r="S168" s="235">
        <f t="shared" si="80"/>
        <v>1</v>
      </c>
      <c r="T168" s="236" t="str">
        <f t="shared" si="62"/>
        <v>Southbound</v>
      </c>
      <c r="U168" s="23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37" t="str">
        <f t="shared" si="63"/>
        <v>https://d0f6bd738d7f1b3e5a7ca70fe4ff75f0.us-east-1.aws.found.io/app/kibana#/discover/Steve-Slow-Train-Analysis-(2080s-and-2083s)?_g=(refreshInterval:(display:Off,pause:!f,section:0,value:0),time:(from:'2017-12-08T05:24:57-0700',mode:absolute,to:'2017-12-08T07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238" t="str">
        <f>IF(AA168&lt;VLOOKUP(AG168,Variables!$AC$3:$AD$8,2,FALSE),"Y","N")</f>
        <v>N</v>
      </c>
      <c r="X168" s="238">
        <f t="shared" si="64"/>
        <v>1</v>
      </c>
      <c r="Y168" s="238">
        <f t="shared" si="86"/>
        <v>5.8632</v>
      </c>
      <c r="Z168" s="238">
        <f t="shared" si="87"/>
        <v>1.2800000000000001E-2</v>
      </c>
      <c r="AA168" s="238">
        <f t="shared" si="67"/>
        <v>5.8503999999999996</v>
      </c>
      <c r="AB168" s="242" t="e">
        <f>VLOOKUP(A168,Enforcements!$C$7:$K$9,8,0)</f>
        <v>#N/A</v>
      </c>
      <c r="AC168" s="242" t="e">
        <f>VLOOKUP(A168,Enforcements!$C$7:$E$9,3,0)</f>
        <v>#N/A</v>
      </c>
      <c r="AD168" s="243">
        <f t="shared" si="68"/>
        <v>804</v>
      </c>
      <c r="AE168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68" s="197" t="str">
        <f t="shared" si="70"/>
        <v>"C:\Program Files (x86)\AstroGrep\AstroGrep.exe" /e /r /s /spath="%USERPROFILE%\AppData\Local\Temp\OnboardLogs" /stypes="app*4007*20171208*" /stext=" 13:.+((SYSTEM_STATE.+slice.+state.+changed )|(ment ac)|(multiple cpu faults)|(system.+state.+changed )|(\[timeout)|(PRM\|1\|D)|(kpr)|(kdp)|(train st.+moving)|(\|lc)|(penalty))"</v>
      </c>
      <c r="AG168" s="206" t="str">
        <f t="shared" si="71"/>
        <v>NW</v>
      </c>
      <c r="AH168" s="199" t="str">
        <f t="shared" si="72"/>
        <v>"%USERPROFILE%\Documents\GitHub\eaglep3\Utilities\RefineRTDCRunTimes.py" --tripid 804-08 --locoid 4007 --swversion DE.1.0.9.0 --startMP 300:58632 --initTime 2017-12-08T06:24:57 --startdatetime 2017-12-08T06:42:00 --delay 73 --endMP 204:128 --enddatetime 2017-12-08T06:54:48 --enforcementcount 0 &gt;&gt;%USERPROFILE%\Documents\GitHub\eaglep3-reporting\EC\2017-12-08-refined-times.txt</v>
      </c>
      <c r="AI168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{"issue":{"subject":"","project_id":79,"tracker_id":40,"status_id":1,"priority_id":2,"assigned_to_id":338,"start_date":"2017-12-08","description":"","custom_fields":[{"id":1,"name":"Subdivision","value":"NW"},{"id":4,"name":"Milepost","value":"0.0128"},{"id":17,"name":"Train ID","value":"804-08"},{"id":16,"name":"Locomotive ID","value":"4007"},{"id":130,"name":"Impact","value":""},{"id":150,"name":"Time of Event (Mountain Time)","value":"06:54:48"},{"id":151,"name":"Denver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188"/>
      <c r="AK168" s="196"/>
      <c r="AL168" s="196"/>
      <c r="AM168" s="203" t="str">
        <f t="shared" si="74"/>
        <v>start /low /b %USERPROFILE%\Documents\GitHub\eaglep3\Utilities\DownloadLogsFromS3.py --loco 4007 --day 2017-12-08</v>
      </c>
      <c r="AN168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95" t="str">
        <f t="shared" si="76"/>
        <v>https://d0f6bd738d7f1b3e5a7ca70fe4ff75f0.us-east-1.aws.found.io/app/kibana#/discover/Steve-Slow-Train-Analysis-(2080s-and-2083s)?_g=(refreshInterval:(display:Off,pause:!f,section:0,value:0),time:(from:'2017-12-08T05:24:57-0700',mode:absolute,to:'2017-12-08T07:54:48-0700'))&amp;_a=(columns:!('Message%20ID',Summary),filters:!(),index:'emp_*',interval:auto,query:(query_string:(analyze_wildcard:!t,query:'%22rtdc.l.rtdc.4007%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188" customFormat="1" x14ac:dyDescent="0.25">
      <c r="A169" s="194" t="s">
        <v>748</v>
      </c>
      <c r="B169" s="190">
        <v>4004</v>
      </c>
      <c r="C169" s="192" t="s">
        <v>191</v>
      </c>
      <c r="D169" s="192" t="s">
        <v>1042</v>
      </c>
      <c r="E169" s="191">
        <v>43077.275081018517</v>
      </c>
      <c r="F169" s="191">
        <v>43077.277303240742</v>
      </c>
      <c r="G169" s="190">
        <v>54</v>
      </c>
      <c r="H169" s="192" t="s">
        <v>1043</v>
      </c>
      <c r="I169" s="191">
        <v>43077.288032407407</v>
      </c>
      <c r="J169" s="190">
        <v>0</v>
      </c>
      <c r="K169" s="200" t="str">
        <f t="shared" si="60"/>
        <v>4003/4004</v>
      </c>
      <c r="L169" s="207" t="str">
        <f>VLOOKUP(A169,'Trips&amp;Operators'!$C$1:$G$99911,5,FALSE)</f>
        <v>WILLIAMS DONTE</v>
      </c>
      <c r="M169" s="189">
        <f t="shared" si="61"/>
        <v>1.0729166664532386E-2</v>
      </c>
      <c r="N169" s="190">
        <f t="shared" si="79"/>
        <v>15.449999996926636</v>
      </c>
      <c r="O169" s="190"/>
      <c r="P169" s="190"/>
      <c r="Q169" s="193"/>
      <c r="R169" s="205"/>
      <c r="S169" s="235">
        <f t="shared" si="80"/>
        <v>1</v>
      </c>
      <c r="T169" s="236" t="str">
        <f t="shared" si="62"/>
        <v>NorthBound</v>
      </c>
      <c r="U169" s="23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37" t="str">
        <f t="shared" si="63"/>
        <v>https://d0f6bd738d7f1b3e5a7ca70fe4ff75f0.us-east-1.aws.found.io/app/kibana#/discover/Steve-Slow-Train-Analysis-(2080s-and-2083s)?_g=(refreshInterval:(display:Off,pause:!f,section:0,value:0),time:(from:'2017-12-08T05:36:07-0700',mode:absolute,to:'2017-12-08T07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9" s="238" t="str">
        <f>IF(AA169&lt;VLOOKUP(AG169,Variables!$AC$3:$AD$8,2,FALSE),"Y","N")</f>
        <v>N</v>
      </c>
      <c r="X169" s="238">
        <f t="shared" si="64"/>
        <v>1</v>
      </c>
      <c r="Y169" s="238">
        <f t="shared" si="86"/>
        <v>4.0399999999999998E-2</v>
      </c>
      <c r="Z169" s="238">
        <f t="shared" si="87"/>
        <v>5.8930999999999996</v>
      </c>
      <c r="AA169" s="238">
        <f t="shared" si="67"/>
        <v>5.8526999999999996</v>
      </c>
      <c r="AB169" s="242" t="e">
        <f>VLOOKUP(A169,Enforcements!$C$7:$K$9,8,0)</f>
        <v>#N/A</v>
      </c>
      <c r="AC169" s="242" t="e">
        <f>VLOOKUP(A169,Enforcements!$C$7:$E$9,3,0)</f>
        <v>#N/A</v>
      </c>
      <c r="AD169" s="243">
        <f t="shared" si="68"/>
        <v>805</v>
      </c>
      <c r="AE169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169" s="197" t="str">
        <f t="shared" si="70"/>
        <v>"C:\Program Files (x86)\AstroGrep\AstroGrep.exe" /e /r /s /spath="%USERPROFILE%\AppData\Local\Temp\OnboardLogs" /stypes="app*4004*20171208*" /stext=" 13:.+((SYSTEM_STATE.+slice.+state.+changed )|(ment ac)|(multiple cpu faults)|(system.+state.+changed )|(\[timeout)|(PRM\|1\|D)|(kpr)|(kdp)|(train st.+moving)|(\|lc)|(penalty))"</v>
      </c>
      <c r="AG169" s="206" t="str">
        <f t="shared" si="71"/>
        <v>NW</v>
      </c>
      <c r="AH169" s="199" t="str">
        <f t="shared" si="72"/>
        <v>"%USERPROFILE%\Documents\GitHub\eaglep3\Utilities\RefineRTDCRunTimes.py" --tripid 805-08 --locoid 4004 --swversion DE.1.0.9.0 --startMP 204:404 --initTime 2017-12-08T06:36:07 --startdatetime 2017-12-08T06:39:19 --delay 54 --endMP 300:58931 --enddatetime 2017-12-08T06:54:46 --enforcementcount 0 &gt;&gt;%USERPROFILE%\Documents\GitHub\eaglep3-reporting\EC\2017-12-08-refined-times.txt</v>
      </c>
      <c r="AI169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{"issue":{"subject":"","project_id":79,"tracker_id":40,"status_id":1,"priority_id":2,"assigned_to_id":338,"start_date":"2017-12-08","description":"","custom_fields":[{"id":1,"name":"Subdivision","value":"NW"},{"id":4,"name":"Milepost","value":"5.8931"},{"id":17,"name":"Train ID","value":"805-08"},{"id":16,"name":"Locomotive ID","value":"4004"},{"id":130,"name":"Impact","value":""},{"id":150,"name":"Time of Event (Mountain Time)","value":"06:54:46"},{"id":151,"name":"Denver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196"/>
      <c r="AL169" s="196"/>
      <c r="AM169" s="203" t="str">
        <f t="shared" si="74"/>
        <v>start /low /b %USERPROFILE%\Documents\GitHub\eaglep3\Utilities\DownloadLogsFromS3.py --loco 4004 --day 2017-12-08</v>
      </c>
      <c r="AN169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13:54:46"},{"id":29,"name":"Sharepoint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95" t="str">
        <f t="shared" si="76"/>
        <v>https://d0f6bd738d7f1b3e5a7ca70fe4ff75f0.us-east-1.aws.found.io/app/kibana#/discover/Steve-Slow-Train-Analysis-(2080s-and-2083s)?_g=(refreshInterval:(display:Off,pause:!f,section:0,value:0),time:(from:'2017-12-08T05:36:07-0700',mode:absolute,to:'2017-12-08T07:54:46-0700'))&amp;_a=(columns:!('Message%20ID',Summary),filters:!(),index:'emp_*',interval:auto,query:(query_string:(analyze_wildcard:!t,query:'%22rtdc.l.rtdc.4004%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188" customFormat="1" x14ac:dyDescent="0.25">
      <c r="A170" s="194" t="s">
        <v>753</v>
      </c>
      <c r="B170" s="190">
        <v>4003</v>
      </c>
      <c r="C170" s="192" t="s">
        <v>191</v>
      </c>
      <c r="D170" s="192" t="s">
        <v>676</v>
      </c>
      <c r="E170" s="191">
        <v>43077.288831018515</v>
      </c>
      <c r="F170" s="191">
        <v>43077.3</v>
      </c>
      <c r="G170" s="190">
        <v>55</v>
      </c>
      <c r="H170" s="192" t="s">
        <v>1044</v>
      </c>
      <c r="I170" s="191">
        <v>43077.309293981481</v>
      </c>
      <c r="J170" s="190">
        <v>0</v>
      </c>
      <c r="K170" s="200" t="str">
        <f t="shared" si="60"/>
        <v>4003/4004</v>
      </c>
      <c r="L170" s="207" t="str">
        <f>VLOOKUP(A170,'Trips&amp;Operators'!$C$1:$G$99911,5,FALSE)</f>
        <v>WILLIAMS DONTE</v>
      </c>
      <c r="M170" s="189">
        <f t="shared" si="61"/>
        <v>9.29398147854954E-3</v>
      </c>
      <c r="N170" s="190">
        <f t="shared" si="79"/>
        <v>13.383333329111338</v>
      </c>
      <c r="O170" s="190"/>
      <c r="P170" s="190"/>
      <c r="Q170" s="193"/>
      <c r="R170" s="205"/>
      <c r="S170" s="235">
        <f t="shared" si="80"/>
        <v>1</v>
      </c>
      <c r="T170" s="236" t="str">
        <f t="shared" si="62"/>
        <v>Southbound</v>
      </c>
      <c r="U170" s="23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37" t="str">
        <f t="shared" si="63"/>
        <v>https://d0f6bd738d7f1b3e5a7ca70fe4ff75f0.us-east-1.aws.found.io/app/kibana#/discover/Steve-Slow-Train-Analysis-(2080s-and-2083s)?_g=(refreshInterval:(display:Off,pause:!f,section:0,value:0),time:(from:'2017-12-08T05:55:55-0700',mode:absolute,to:'2017-12-08T08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0" s="238" t="str">
        <f>IF(AA170&lt;VLOOKUP(AG170,Variables!$AC$3:$AD$8,2,FALSE),"Y","N")</f>
        <v>N</v>
      </c>
      <c r="X170" s="238">
        <f t="shared" si="64"/>
        <v>1</v>
      </c>
      <c r="Y170" s="238">
        <f t="shared" si="86"/>
        <v>5.8613</v>
      </c>
      <c r="Z170" s="238">
        <f t="shared" si="87"/>
        <v>1.26E-2</v>
      </c>
      <c r="AA170" s="238">
        <f t="shared" si="67"/>
        <v>5.8487</v>
      </c>
      <c r="AB170" s="242" t="e">
        <f>VLOOKUP(A170,Enforcements!$C$7:$K$9,8,0)</f>
        <v>#N/A</v>
      </c>
      <c r="AC170" s="242" t="e">
        <f>VLOOKUP(A170,Enforcements!$C$7:$E$9,3,0)</f>
        <v>#N/A</v>
      </c>
      <c r="AD170" s="243">
        <f t="shared" si="68"/>
        <v>806</v>
      </c>
      <c r="AE170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70" s="197" t="str">
        <f t="shared" si="70"/>
        <v>"C:\Program Files (x86)\AstroGrep\AstroGrep.exe" /e /r /s /spath="%USERPROFILE%\AppData\Local\Temp\OnboardLogs" /stypes="app*4003*20171208*" /stext=" 14:.+((SYSTEM_STATE.+slice.+state.+changed )|(ment ac)|(multiple cpu faults)|(system.+state.+changed )|(\[timeout)|(PRM\|1\|D)|(kpr)|(kdp)|(train st.+moving)|(\|lc)|(penalty))"</v>
      </c>
      <c r="AG170" s="206" t="str">
        <f t="shared" si="71"/>
        <v>NW</v>
      </c>
      <c r="AH170" s="199" t="str">
        <f t="shared" si="72"/>
        <v>"%USERPROFILE%\Documents\GitHub\eaglep3\Utilities\RefineRTDCRunTimes.py" --tripid 806-08 --locoid 4003 --swversion DE.1.0.9.0 --startMP 300:58613 --initTime 2017-12-08T06:55:55 --startdatetime 2017-12-08T07:12:00 --delay 55 --endMP 204:126 --enddatetime 2017-12-08T07:25:23 --enforcementcount 0 &gt;&gt;%USERPROFILE%\Documents\GitHub\eaglep3-reporting\EC\2017-12-08-refined-times.txt</v>
      </c>
      <c r="AI170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{"issue":{"subject":"","project_id":79,"tracker_id":40,"status_id":1,"priority_id":2,"assigned_to_id":338,"start_date":"2017-12-08","description":"","custom_fields":[{"id":1,"name":"Subdivision","value":"NW"},{"id":4,"name":"Milepost","value":"0.0126"},{"id":17,"name":"Train ID","value":"806-08"},{"id":16,"name":"Locomotive ID","value":"4003"},{"id":130,"name":"Impact","value":""},{"id":150,"name":"Time of Event (Mountain Time)","value":"07:25:23"},{"id":151,"name":"Denver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196"/>
      <c r="AL170" s="196"/>
      <c r="AM170" s="203" t="str">
        <f t="shared" si="74"/>
        <v>start /low /b %USERPROFILE%\Documents\GitHub\eaglep3\Utilities\DownloadLogsFromS3.py --loco 4003 --day 2017-12-08</v>
      </c>
      <c r="AN170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95" t="str">
        <f t="shared" si="76"/>
        <v>https://d0f6bd738d7f1b3e5a7ca70fe4ff75f0.us-east-1.aws.found.io/app/kibana#/discover/Steve-Slow-Train-Analysis-(2080s-and-2083s)?_g=(refreshInterval:(display:Off,pause:!f,section:0,value:0),time:(from:'2017-12-08T05:55:55-0700',mode:absolute,to:'2017-12-08T08:25:23-0700'))&amp;_a=(columns:!('Message%20ID',Summary),filters:!(),index:'emp_*',interval:auto,query:(query_string:(analyze_wildcard:!t,query:'%22rtdc.l.rtdc.4003%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188" customFormat="1" x14ac:dyDescent="0.25">
      <c r="A171" s="194" t="s">
        <v>754</v>
      </c>
      <c r="B171" s="190">
        <v>4008</v>
      </c>
      <c r="C171" s="192" t="s">
        <v>191</v>
      </c>
      <c r="D171" s="192" t="s">
        <v>1045</v>
      </c>
      <c r="E171" s="191">
        <v>43077.290173611109</v>
      </c>
      <c r="F171" s="191">
        <v>43077.298090277778</v>
      </c>
      <c r="G171" s="190">
        <v>216</v>
      </c>
      <c r="H171" s="192" t="s">
        <v>668</v>
      </c>
      <c r="I171" s="191">
        <v>43077.308356481481</v>
      </c>
      <c r="J171" s="190">
        <v>0</v>
      </c>
      <c r="K171" s="200" t="str">
        <f t="shared" si="60"/>
        <v>4007/4008</v>
      </c>
      <c r="L171" s="207" t="str">
        <f>VLOOKUP(A171,'Trips&amp;Operators'!$C$1:$G$99911,5,FALSE)</f>
        <v>DELGADO DIANAH</v>
      </c>
      <c r="M171" s="189">
        <f t="shared" si="61"/>
        <v>1.0266203702485655E-2</v>
      </c>
      <c r="N171" s="190">
        <f t="shared" si="79"/>
        <v>14.783333331579342</v>
      </c>
      <c r="O171" s="190"/>
      <c r="P171" s="190"/>
      <c r="Q171" s="193"/>
      <c r="R171" s="205"/>
      <c r="S171" s="235">
        <f t="shared" si="80"/>
        <v>1</v>
      </c>
      <c r="T171" s="236" t="str">
        <f t="shared" si="62"/>
        <v>NorthBound</v>
      </c>
      <c r="U171" s="23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37" t="str">
        <f t="shared" si="63"/>
        <v>https://d0f6bd738d7f1b3e5a7ca70fe4ff75f0.us-east-1.aws.found.io/app/kibana#/discover/Steve-Slow-Train-Analysis-(2080s-and-2083s)?_g=(refreshInterval:(display:Off,pause:!f,section:0,value:0),time:(from:'2017-12-08T05:57:51-0700',mode:absolute,to:'2017-12-08T08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238" t="str">
        <f>IF(AA171&lt;VLOOKUP(AG171,Variables!$AC$3:$AD$8,2,FALSE),"Y","N")</f>
        <v>N</v>
      </c>
      <c r="X171" s="238">
        <f t="shared" si="64"/>
        <v>1</v>
      </c>
      <c r="Y171" s="238">
        <f t="shared" si="86"/>
        <v>4.2099999999999999E-2</v>
      </c>
      <c r="Z171" s="238">
        <f t="shared" si="87"/>
        <v>5.8971</v>
      </c>
      <c r="AA171" s="238">
        <f t="shared" si="67"/>
        <v>5.8550000000000004</v>
      </c>
      <c r="AB171" s="242" t="e">
        <f>VLOOKUP(A171,Enforcements!$C$7:$K$9,8,0)</f>
        <v>#N/A</v>
      </c>
      <c r="AC171" s="242" t="e">
        <f>VLOOKUP(A171,Enforcements!$C$7:$E$9,3,0)</f>
        <v>#N/A</v>
      </c>
      <c r="AD171" s="243">
        <f t="shared" si="68"/>
        <v>807</v>
      </c>
      <c r="AE171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71" s="197" t="str">
        <f t="shared" si="70"/>
        <v>"C:\Program Files (x86)\AstroGrep\AstroGrep.exe" /e /r /s /spath="%USERPROFILE%\AppData\Local\Temp\OnboardLogs" /stypes="app*4008*20171208*" /stext=" 14:.+((SYSTEM_STATE.+slice.+state.+changed )|(ment ac)|(multiple cpu faults)|(system.+state.+changed )|(\[timeout)|(PRM\|1\|D)|(kpr)|(kdp)|(train st.+moving)|(\|lc)|(penalty))"</v>
      </c>
      <c r="AG171" s="206" t="str">
        <f t="shared" si="71"/>
        <v>NW</v>
      </c>
      <c r="AH171" s="199" t="str">
        <f t="shared" si="72"/>
        <v>"%USERPROFILE%\Documents\GitHub\eaglep3\Utilities\RefineRTDCRunTimes.py" --tripid 807-08 --locoid 4008 --swversion DE.1.0.9.0 --startMP 204:421 --initTime 2017-12-08T06:57:51 --startdatetime 2017-12-08T07:09:15 --delay 216 --endMP 300:58971 --enddatetime 2017-12-08T07:24:02 --enforcementcount 0 &gt;&gt;%USERPROFILE%\Documents\GitHub\eaglep3-reporting\EC\2017-12-08-refined-times.txt</v>
      </c>
      <c r="AI171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{"issue":{"subject":"","project_id":79,"tracker_id":40,"status_id":1,"priority_id":2,"assigned_to_id":338,"start_date":"2017-12-08","description":"","custom_fields":[{"id":1,"name":"Subdivision","value":"NW"},{"id":4,"name":"Milepost","value":"5.8971"},{"id":17,"name":"Train ID","value":"807-08"},{"id":16,"name":"Locomotive ID","value":"4008"},{"id":130,"name":"Impact","value":""},{"id":150,"name":"Time of Event (Mountain Time)","value":"07:24:02"},{"id":151,"name":"Denver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196"/>
      <c r="AL171" s="196"/>
      <c r="AM171" s="203" t="str">
        <f t="shared" si="74"/>
        <v>start /low /b %USERPROFILE%\Documents\GitHub\eaglep3\Utilities\DownloadLogsFromS3.py --loco 4008 --day 2017-12-08</v>
      </c>
      <c r="AN171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95" t="str">
        <f t="shared" si="76"/>
        <v>https://d0f6bd738d7f1b3e5a7ca70fe4ff75f0.us-east-1.aws.found.io/app/kibana#/discover/Steve-Slow-Train-Analysis-(2080s-and-2083s)?_g=(refreshInterval:(display:Off,pause:!f,section:0,value:0),time:(from:'2017-12-08T05:57:51-0700',mode:absolute,to:'2017-12-08T08:24:02-0700'))&amp;_a=(columns:!('Message%20ID',Summary),filters:!(),index:'emp_*',interval:auto,query:(query_string:(analyze_wildcard:!t,query:'%22rtdc.l.rtdc.4008%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188" customFormat="1" x14ac:dyDescent="0.25">
      <c r="A172" s="194" t="s">
        <v>759</v>
      </c>
      <c r="B172" s="190">
        <v>4007</v>
      </c>
      <c r="C172" s="192" t="s">
        <v>191</v>
      </c>
      <c r="D172" s="192" t="s">
        <v>673</v>
      </c>
      <c r="E172" s="191">
        <v>43077.309548611112</v>
      </c>
      <c r="F172" s="191">
        <v>43077.320833333331</v>
      </c>
      <c r="G172" s="190">
        <v>47</v>
      </c>
      <c r="H172" s="192" t="s">
        <v>1046</v>
      </c>
      <c r="I172" s="191">
        <v>43077.329560185186</v>
      </c>
      <c r="J172" s="190">
        <v>0</v>
      </c>
      <c r="K172" s="200" t="str">
        <f t="shared" si="60"/>
        <v>4007/4008</v>
      </c>
      <c r="L172" s="207" t="str">
        <f>VLOOKUP(A172,'Trips&amp;Operators'!$C$1:$G$99911,5,FALSE)</f>
        <v>DELGADO DIANAH</v>
      </c>
      <c r="M172" s="189">
        <f t="shared" si="61"/>
        <v>8.7268518545897678E-3</v>
      </c>
      <c r="N172" s="190">
        <f t="shared" si="79"/>
        <v>12.566666670609266</v>
      </c>
      <c r="O172" s="190"/>
      <c r="P172" s="190"/>
      <c r="Q172" s="193"/>
      <c r="R172" s="205"/>
      <c r="S172" s="235">
        <f t="shared" si="80"/>
        <v>1</v>
      </c>
      <c r="T172" s="236" t="str">
        <f t="shared" si="62"/>
        <v>Southbound</v>
      </c>
      <c r="U172" s="23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37" t="str">
        <f t="shared" si="63"/>
        <v>https://d0f6bd738d7f1b3e5a7ca70fe4ff75f0.us-east-1.aws.found.io/app/kibana#/discover/Steve-Slow-Train-Analysis-(2080s-and-2083s)?_g=(refreshInterval:(display:Off,pause:!f,section:0,value:0),time:(from:'2017-12-08T06:25:45-0700',mode:absolute,to:'2017-12-08T08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238" t="str">
        <f>IF(AA172&lt;VLOOKUP(AG172,Variables!$AC$3:$AD$8,2,FALSE),"Y","N")</f>
        <v>N</v>
      </c>
      <c r="X172" s="238">
        <f t="shared" si="64"/>
        <v>1</v>
      </c>
      <c r="Y172" s="238">
        <f t="shared" si="86"/>
        <v>5.8643000000000001</v>
      </c>
      <c r="Z172" s="238">
        <f t="shared" si="87"/>
        <v>1.3299999999999999E-2</v>
      </c>
      <c r="AA172" s="238">
        <f t="shared" si="67"/>
        <v>5.851</v>
      </c>
      <c r="AB172" s="242" t="e">
        <f>VLOOKUP(A172,Enforcements!$C$7:$K$9,8,0)</f>
        <v>#N/A</v>
      </c>
      <c r="AC172" s="242" t="e">
        <f>VLOOKUP(A172,Enforcements!$C$7:$E$9,3,0)</f>
        <v>#N/A</v>
      </c>
      <c r="AD172" s="243">
        <f t="shared" si="68"/>
        <v>808</v>
      </c>
      <c r="AE172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72" s="197" t="str">
        <f t="shared" si="70"/>
        <v>"C:\Program Files (x86)\AstroGrep\AstroGrep.exe" /e /r /s /spath="%USERPROFILE%\AppData\Local\Temp\OnboardLogs" /stypes="app*4007*20171208*" /stext=" 14:.+((SYSTEM_STATE.+slice.+state.+changed )|(ment ac)|(multiple cpu faults)|(system.+state.+changed )|(\[timeout)|(PRM\|1\|D)|(kpr)|(kdp)|(train st.+moving)|(\|lc)|(penalty))"</v>
      </c>
      <c r="AG172" s="206" t="str">
        <f t="shared" si="71"/>
        <v>NW</v>
      </c>
      <c r="AH172" s="199" t="str">
        <f t="shared" si="72"/>
        <v>"%USERPROFILE%\Documents\GitHub\eaglep3\Utilities\RefineRTDCRunTimes.py" --tripid 808-08 --locoid 4007 --swversion DE.1.0.9.0 --startMP 300:58643 --initTime 2017-12-08T07:25:45 --startdatetime 2017-12-08T07:42:00 --delay 47 --endMP 204:133 --enddatetime 2017-12-08T07:54:34 --enforcementcount 0 &gt;&gt;%USERPROFILE%\Documents\GitHub\eaglep3-reporting\EC\2017-12-08-refined-times.txt</v>
      </c>
      <c r="AI172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{"issue":{"subject":"","project_id":79,"tracker_id":40,"status_id":1,"priority_id":2,"assigned_to_id":338,"start_date":"2017-12-08","description":"","custom_fields":[{"id":1,"name":"Subdivision","value":"NW"},{"id":4,"name":"Milepost","value":"0.0133"},{"id":17,"name":"Train ID","value":"808-08"},{"id":16,"name":"Locomotive ID","value":"4007"},{"id":130,"name":"Impact","value":""},{"id":150,"name":"Time of Event (Mountain Time)","value":"07:54:34"},{"id":151,"name":"Denver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196"/>
      <c r="AL172" s="196"/>
      <c r="AM172" s="203" t="str">
        <f t="shared" si="74"/>
        <v>start /low /b %USERPROFILE%\Documents\GitHub\eaglep3\Utilities\DownloadLogsFromS3.py --loco 4007 --day 2017-12-08</v>
      </c>
      <c r="AN172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95" t="str">
        <f t="shared" si="76"/>
        <v>https://d0f6bd738d7f1b3e5a7ca70fe4ff75f0.us-east-1.aws.found.io/app/kibana#/discover/Steve-Slow-Train-Analysis-(2080s-and-2083s)?_g=(refreshInterval:(display:Off,pause:!f,section:0,value:0),time:(from:'2017-12-08T06:25:45-0700',mode:absolute,to:'2017-12-08T08:54:34-0700'))&amp;_a=(columns:!('Message%20ID',Summary),filters:!(),index:'emp_*',interval:auto,query:(query_string:(analyze_wildcard:!t,query:'%22rtdc.l.rtdc.4007%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194" t="s">
        <v>760</v>
      </c>
      <c r="B173" s="190">
        <v>4004</v>
      </c>
      <c r="C173" s="192" t="s">
        <v>191</v>
      </c>
      <c r="D173" s="192" t="s">
        <v>1047</v>
      </c>
      <c r="E173" s="191">
        <v>43077.314884259256</v>
      </c>
      <c r="F173" s="191">
        <v>43077.318935185183</v>
      </c>
      <c r="G173" s="190">
        <v>66</v>
      </c>
      <c r="H173" s="192" t="s">
        <v>675</v>
      </c>
      <c r="I173" s="191">
        <v>43077.329432870371</v>
      </c>
      <c r="J173" s="190">
        <v>0</v>
      </c>
      <c r="K173" s="200" t="str">
        <f t="shared" si="60"/>
        <v>4003/4004</v>
      </c>
      <c r="L173" s="207" t="str">
        <f>VLOOKUP(A173,'Trips&amp;Operators'!$C$1:$G$99911,5,FALSE)</f>
        <v>WILLIAMS DONTE</v>
      </c>
      <c r="M173" s="189">
        <f t="shared" si="61"/>
        <v>1.0497685187146999E-2</v>
      </c>
      <c r="N173" s="190">
        <f t="shared" si="79"/>
        <v>15.116666669491678</v>
      </c>
      <c r="O173" s="190"/>
      <c r="P173" s="190"/>
      <c r="Q173" s="193"/>
      <c r="R173" s="205"/>
      <c r="S173" s="235">
        <f t="shared" si="80"/>
        <v>1</v>
      </c>
      <c r="T173" s="236" t="str">
        <f t="shared" si="62"/>
        <v>NorthBound</v>
      </c>
      <c r="U173" s="23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37" t="str">
        <f t="shared" si="63"/>
        <v>https://d0f6bd738d7f1b3e5a7ca70fe4ff75f0.us-east-1.aws.found.io/app/kibana#/discover/Steve-Slow-Train-Analysis-(2080s-and-2083s)?_g=(refreshInterval:(display:Off,pause:!f,section:0,value:0),time:(from:'2017-12-08T06:33:26-0700',mode:absolute,to:'2017-12-08T08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73" s="238" t="str">
        <f>IF(AA173&lt;VLOOKUP(AG173,Variables!$AC$3:$AD$8,2,FALSE),"Y","N")</f>
        <v>N</v>
      </c>
      <c r="X173" s="238">
        <f t="shared" si="64"/>
        <v>1</v>
      </c>
      <c r="Y173" s="238">
        <f t="shared" si="86"/>
        <v>4.2999999999999997E-2</v>
      </c>
      <c r="Z173" s="238">
        <f t="shared" si="87"/>
        <v>5.8928000000000003</v>
      </c>
      <c r="AA173" s="238">
        <f t="shared" si="67"/>
        <v>5.8498000000000001</v>
      </c>
      <c r="AB173" s="242" t="e">
        <f>VLOOKUP(A173,Enforcements!$C$7:$K$9,8,0)</f>
        <v>#N/A</v>
      </c>
      <c r="AC173" s="242" t="e">
        <f>VLOOKUP(A173,Enforcements!$C$7:$E$9,3,0)</f>
        <v>#N/A</v>
      </c>
      <c r="AD173" s="243">
        <f t="shared" si="68"/>
        <v>809</v>
      </c>
      <c r="AE173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173" s="197" t="str">
        <f t="shared" si="70"/>
        <v>"C:\Program Files (x86)\AstroGrep\AstroGrep.exe" /e /r /s /spath="%USERPROFILE%\AppData\Local\Temp\OnboardLogs" /stypes="app*4004*20171208*" /stext=" 14:.+((SYSTEM_STATE.+slice.+state.+changed )|(ment ac)|(multiple cpu faults)|(system.+state.+changed )|(\[timeout)|(PRM\|1\|D)|(kpr)|(kdp)|(train st.+moving)|(\|lc)|(penalty))"</v>
      </c>
      <c r="AG173" s="206" t="str">
        <f t="shared" si="71"/>
        <v>NW</v>
      </c>
      <c r="AH173" s="199" t="str">
        <f t="shared" si="72"/>
        <v>"%USERPROFILE%\Documents\GitHub\eaglep3\Utilities\RefineRTDCRunTimes.py" --tripid 809-08 --locoid 4004 --swversion DE.1.0.9.0 --startMP 204:430 --initTime 2017-12-08T07:33:26 --startdatetime 2017-12-08T07:39:16 --delay 66 --endMP 300:58928 --enddatetime 2017-12-08T07:54:23 --enforcementcount 0 &gt;&gt;%USERPROFILE%\Documents\GitHub\eaglep3-reporting\EC\2017-12-08-refined-times.txt</v>
      </c>
      <c r="AI173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{"issue":{"subject":"","project_id":79,"tracker_id":40,"status_id":1,"priority_id":2,"assigned_to_id":338,"start_date":"2017-12-08","description":"","custom_fields":[{"id":1,"name":"Subdivision","value":"NW"},{"id":4,"name":"Milepost","value":"5.8928"},{"id":17,"name":"Train ID","value":"809-08"},{"id":16,"name":"Locomotive ID","value":"4004"},{"id":130,"name":"Impact","value":""},{"id":150,"name":"Time of Event (Mountain Time)","value":"07:54:23"},{"id":151,"name":"Denver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188"/>
      <c r="AK173" s="196"/>
      <c r="AL173" s="196"/>
      <c r="AM173" s="203" t="str">
        <f t="shared" si="74"/>
        <v>start /low /b %USERPROFILE%\Documents\GitHub\eaglep3\Utilities\DownloadLogsFromS3.py --loco 4004 --day 2017-12-08</v>
      </c>
      <c r="AN173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14:54:23"},{"id":29,"name":"Sharepoint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95" t="str">
        <f t="shared" si="76"/>
        <v>https://d0f6bd738d7f1b3e5a7ca70fe4ff75f0.us-east-1.aws.found.io/app/kibana#/discover/Steve-Slow-Train-Analysis-(2080s-and-2083s)?_g=(refreshInterval:(display:Off,pause:!f,section:0,value:0),time:(from:'2017-12-08T06:33:26-0700',mode:absolute,to:'2017-12-08T08:54:23-0700'))&amp;_a=(columns:!('Message%20ID',Summary),filters:!(),index:'emp_*',interval:auto,query:(query_string:(analyze_wildcard:!t,query:'%22rtdc.l.rtdc.4004%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188" customFormat="1" x14ac:dyDescent="0.25">
      <c r="A174" s="194" t="s">
        <v>763</v>
      </c>
      <c r="B174" s="190">
        <v>4003</v>
      </c>
      <c r="C174" s="192" t="s">
        <v>191</v>
      </c>
      <c r="D174" s="192" t="s">
        <v>1048</v>
      </c>
      <c r="E174" s="191">
        <v>43077.330289351848</v>
      </c>
      <c r="F174" s="191">
        <v>43077.341666666667</v>
      </c>
      <c r="G174" s="190">
        <v>50</v>
      </c>
      <c r="H174" s="192" t="s">
        <v>1049</v>
      </c>
      <c r="I174" s="191">
        <v>43077.350925925923</v>
      </c>
      <c r="J174" s="190">
        <v>0</v>
      </c>
      <c r="K174" s="200" t="str">
        <f t="shared" si="60"/>
        <v>4003/4004</v>
      </c>
      <c r="L174" s="207" t="str">
        <f>VLOOKUP(A174,'Trips&amp;Operators'!$C$1:$G$99911,5,FALSE)</f>
        <v>WILLIAMS DONTE</v>
      </c>
      <c r="M174" s="189">
        <f t="shared" si="61"/>
        <v>9.2592592554865405E-3</v>
      </c>
      <c r="N174" s="190">
        <f t="shared" si="79"/>
        <v>13.333333327900618</v>
      </c>
      <c r="O174" s="190"/>
      <c r="P174" s="190"/>
      <c r="Q174" s="193"/>
      <c r="R174" s="205"/>
      <c r="S174" s="235">
        <f t="shared" si="80"/>
        <v>1</v>
      </c>
      <c r="T174" s="236" t="str">
        <f t="shared" si="62"/>
        <v>Southbound</v>
      </c>
      <c r="U174" s="23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37" t="str">
        <f t="shared" si="63"/>
        <v>https://d0f6bd738d7f1b3e5a7ca70fe4ff75f0.us-east-1.aws.found.io/app/kibana#/discover/Steve-Slow-Train-Analysis-(2080s-and-2083s)?_g=(refreshInterval:(display:Off,pause:!f,section:0,value:0),time:(from:'2017-12-08T06:55:37-0700',mode:absolute,to:'2017-12-08T09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4" s="238" t="str">
        <f>IF(AA174&lt;VLOOKUP(AG174,Variables!$AC$3:$AD$8,2,FALSE),"Y","N")</f>
        <v>N</v>
      </c>
      <c r="X174" s="238">
        <f t="shared" si="64"/>
        <v>1</v>
      </c>
      <c r="Y174" s="238">
        <f t="shared" si="86"/>
        <v>5.8615000000000004</v>
      </c>
      <c r="Z174" s="238">
        <f t="shared" si="87"/>
        <v>1.24E-2</v>
      </c>
      <c r="AA174" s="238">
        <f t="shared" si="67"/>
        <v>5.8491</v>
      </c>
      <c r="AB174" s="242" t="e">
        <f>VLOOKUP(A174,Enforcements!$C$7:$K$9,8,0)</f>
        <v>#N/A</v>
      </c>
      <c r="AC174" s="242" t="e">
        <f>VLOOKUP(A174,Enforcements!$C$7:$E$9,3,0)</f>
        <v>#N/A</v>
      </c>
      <c r="AD174" s="243">
        <f t="shared" si="68"/>
        <v>810</v>
      </c>
      <c r="AE174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74" s="197" t="str">
        <f t="shared" si="70"/>
        <v>"C:\Program Files (x86)\AstroGrep\AstroGrep.exe" /e /r /s /spath="%USERPROFILE%\AppData\Local\Temp\OnboardLogs" /stypes="app*4003*20171208*" /stext=" 15:.+((SYSTEM_STATE.+slice.+state.+changed )|(ment ac)|(multiple cpu faults)|(system.+state.+changed )|(\[timeout)|(PRM\|1\|D)|(kpr)|(kdp)|(train st.+moving)|(\|lc)|(penalty))"</v>
      </c>
      <c r="AG174" s="206" t="str">
        <f t="shared" si="71"/>
        <v>NW</v>
      </c>
      <c r="AH174" s="199" t="str">
        <f t="shared" si="72"/>
        <v>"%USERPROFILE%\Documents\GitHub\eaglep3\Utilities\RefineRTDCRunTimes.py" --tripid 810-08 --locoid 4003 --swversion DE.1.0.9.0 --startMP 300:58615 --initTime 2017-12-08T07:55:37 --startdatetime 2017-12-08T08:12:00 --delay 50 --endMP 204:124 --enddatetime 2017-12-08T08:25:20 --enforcementcount 0 &gt;&gt;%USERPROFILE%\Documents\GitHub\eaglep3-reporting\EC\2017-12-08-refined-times.txt</v>
      </c>
      <c r="AI174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{"issue":{"subject":"","project_id":79,"tracker_id":40,"status_id":1,"priority_id":2,"assigned_to_id":338,"start_date":"2017-12-08","description":"","custom_fields":[{"id":1,"name":"Subdivision","value":"NW"},{"id":4,"name":"Milepost","value":"0.0124"},{"id":17,"name":"Train ID","value":"810-08"},{"id":16,"name":"Locomotive ID","value":"4003"},{"id":130,"name":"Impact","value":""},{"id":150,"name":"Time of Event (Mountain Time)","value":"08:25:20"},{"id":151,"name":"Denver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196"/>
      <c r="AL174" s="196"/>
      <c r="AM174" s="203" t="str">
        <f t="shared" si="74"/>
        <v>start /low /b %USERPROFILE%\Documents\GitHub\eaglep3\Utilities\DownloadLogsFromS3.py --loco 4003 --day 2017-12-08</v>
      </c>
      <c r="AN174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95" t="str">
        <f t="shared" si="76"/>
        <v>https://d0f6bd738d7f1b3e5a7ca70fe4ff75f0.us-east-1.aws.found.io/app/kibana#/discover/Steve-Slow-Train-Analysis-(2080s-and-2083s)?_g=(refreshInterval:(display:Off,pause:!f,section:0,value:0),time:(from:'2017-12-08T06:55:37-0700',mode:absolute,to:'2017-12-08T09:25:20-0700'))&amp;_a=(columns:!('Message%20ID',Summary),filters:!(),index:'emp_*',interval:auto,query:(query_string:(analyze_wildcard:!t,query:'%22rtdc.l.rtdc.4003%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188" customFormat="1" x14ac:dyDescent="0.25">
      <c r="A175" s="194" t="s">
        <v>764</v>
      </c>
      <c r="B175" s="190">
        <v>4008</v>
      </c>
      <c r="C175" s="192" t="s">
        <v>191</v>
      </c>
      <c r="D175" s="192" t="s">
        <v>671</v>
      </c>
      <c r="E175" s="191">
        <v>43077.331006944441</v>
      </c>
      <c r="F175" s="191">
        <v>43077.339768518519</v>
      </c>
      <c r="G175" s="190">
        <v>492</v>
      </c>
      <c r="H175" s="192" t="s">
        <v>670</v>
      </c>
      <c r="I175" s="191">
        <v>43077.35019675926</v>
      </c>
      <c r="J175" s="190">
        <v>0</v>
      </c>
      <c r="K175" s="200" t="str">
        <f t="shared" si="60"/>
        <v>4007/4008</v>
      </c>
      <c r="L175" s="207" t="str">
        <f>VLOOKUP(A175,'Trips&amp;Operators'!$C$1:$G$99911,5,FALSE)</f>
        <v>DELGADO DIANAH</v>
      </c>
      <c r="M175" s="189">
        <f t="shared" si="61"/>
        <v>1.0428240741021E-2</v>
      </c>
      <c r="N175" s="190">
        <f t="shared" si="79"/>
        <v>15.01666666707024</v>
      </c>
      <c r="O175" s="190"/>
      <c r="P175" s="190"/>
      <c r="Q175" s="193"/>
      <c r="R175" s="205"/>
      <c r="S175" s="235">
        <f t="shared" si="80"/>
        <v>1</v>
      </c>
      <c r="T175" s="236" t="str">
        <f t="shared" si="62"/>
        <v>NorthBound</v>
      </c>
      <c r="U175" s="23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37" t="str">
        <f t="shared" si="63"/>
        <v>https://d0f6bd738d7f1b3e5a7ca70fe4ff75f0.us-east-1.aws.found.io/app/kibana#/discover/Steve-Slow-Train-Analysis-(2080s-and-2083s)?_g=(refreshInterval:(display:Off,pause:!f,section:0,value:0),time:(from:'2017-12-08T06:56:39-0700',mode:absolute,to:'2017-12-08T09:24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38" t="str">
        <f>IF(AA175&lt;VLOOKUP(AG175,Variables!$AC$3:$AD$8,2,FALSE),"Y","N")</f>
        <v>N</v>
      </c>
      <c r="X175" s="238">
        <f t="shared" si="64"/>
        <v>1</v>
      </c>
      <c r="Y175" s="238">
        <f t="shared" si="86"/>
        <v>4.3900000000000002E-2</v>
      </c>
      <c r="Z175" s="238">
        <f t="shared" si="87"/>
        <v>5.8975</v>
      </c>
      <c r="AA175" s="238">
        <f t="shared" si="67"/>
        <v>5.8536000000000001</v>
      </c>
      <c r="AB175" s="242" t="e">
        <f>VLOOKUP(A175,Enforcements!$C$7:$K$9,8,0)</f>
        <v>#N/A</v>
      </c>
      <c r="AC175" s="242" t="e">
        <f>VLOOKUP(A175,Enforcements!$C$7:$E$9,3,0)</f>
        <v>#N/A</v>
      </c>
      <c r="AD175" s="243">
        <f t="shared" si="68"/>
        <v>811</v>
      </c>
      <c r="AE175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75" s="197" t="str">
        <f t="shared" si="70"/>
        <v>"C:\Program Files (x86)\AstroGrep\AstroGrep.exe" /e /r /s /spath="%USERPROFILE%\AppData\Local\Temp\OnboardLogs" /stypes="app*4008*20171208*" /stext=" 15:.+((SYSTEM_STATE.+slice.+state.+changed )|(ment ac)|(multiple cpu faults)|(system.+state.+changed )|(\[timeout)|(PRM\|1\|D)|(kpr)|(kdp)|(train st.+moving)|(\|lc)|(penalty))"</v>
      </c>
      <c r="AG175" s="206" t="str">
        <f t="shared" si="71"/>
        <v>NW</v>
      </c>
      <c r="AH175" s="199" t="str">
        <f t="shared" si="72"/>
        <v>"%USERPROFILE%\Documents\GitHub\eaglep3\Utilities\RefineRTDCRunTimes.py" --tripid 811-08 --locoid 4008 --swversion DE.1.0.9.0 --startMP 204:439 --initTime 2017-12-08T07:56:39 --startdatetime 2017-12-08T08:09:16 --delay 492 --endMP 300:58975 --enddatetime 2017-12-08T08:24:17 --enforcementcount 0 &gt;&gt;%USERPROFILE%\Documents\GitHub\eaglep3-reporting\EC\2017-12-08-refined-times.txt</v>
      </c>
      <c r="AI175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{"issue":{"subject":"","project_id":79,"tracker_id":40,"status_id":1,"priority_id":2,"assigned_to_id":338,"start_date":"2017-12-08","description":"","custom_fields":[{"id":1,"name":"Subdivision","value":"NW"},{"id":4,"name":"Milepost","value":"5.8975"},{"id":17,"name":"Train ID","value":"811-08"},{"id":16,"name":"Locomotive ID","value":"4008"},{"id":130,"name":"Impact","value":""},{"id":150,"name":"Time of Event (Mountain Time)","value":"08:24:17"},{"id":151,"name":"Denver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196"/>
      <c r="AL175" s="196"/>
      <c r="AM175" s="203" t="str">
        <f t="shared" si="74"/>
        <v>start /low /b %USERPROFILE%\Documents\GitHub\eaglep3\Utilities\DownloadLogsFromS3.py --loco 4008 --day 2017-12-08</v>
      </c>
      <c r="AN175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95" t="str">
        <f t="shared" si="76"/>
        <v>https://d0f6bd738d7f1b3e5a7ca70fe4ff75f0.us-east-1.aws.found.io/app/kibana#/discover/Steve-Slow-Train-Analysis-(2080s-and-2083s)?_g=(refreshInterval:(display:Off,pause:!f,section:0,value:0),time:(from:'2017-12-08T06:56:39-0700',mode:absolute,to:'2017-12-08T09:24:17-0700'))&amp;_a=(columns:!('Message%20ID',Summary),filters:!(),index:'emp_*',interval:auto,query:(query_string:(analyze_wildcard:!t,query:'%22rtdc.l.rtdc.4008%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194" t="s">
        <v>769</v>
      </c>
      <c r="B176" s="190">
        <v>4007</v>
      </c>
      <c r="C176" s="192" t="s">
        <v>191</v>
      </c>
      <c r="D176" s="192" t="s">
        <v>1050</v>
      </c>
      <c r="E176" s="191">
        <v>43077.351273148146</v>
      </c>
      <c r="F176" s="191">
        <v>43077.362500000003</v>
      </c>
      <c r="G176" s="190">
        <v>54</v>
      </c>
      <c r="H176" s="192" t="s">
        <v>674</v>
      </c>
      <c r="I176" s="191">
        <v>43077.37158564815</v>
      </c>
      <c r="J176" s="190">
        <v>0</v>
      </c>
      <c r="K176" s="200" t="str">
        <f t="shared" si="60"/>
        <v>4007/4008</v>
      </c>
      <c r="L176" s="207" t="str">
        <f>VLOOKUP(A176,'Trips&amp;Operators'!$C$1:$G$99911,5,FALSE)</f>
        <v>DELGADO DIANAH</v>
      </c>
      <c r="M176" s="189">
        <f t="shared" si="61"/>
        <v>9.0856481474475004E-3</v>
      </c>
      <c r="N176" s="190">
        <f t="shared" si="79"/>
        <v>13.083333332324401</v>
      </c>
      <c r="O176" s="190"/>
      <c r="P176" s="190"/>
      <c r="Q176" s="193"/>
      <c r="R176" s="205"/>
      <c r="S176" s="235">
        <f t="shared" si="80"/>
        <v>1</v>
      </c>
      <c r="T176" s="236" t="str">
        <f t="shared" si="62"/>
        <v>Southbound</v>
      </c>
      <c r="U176" s="23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37" t="str">
        <f t="shared" si="63"/>
        <v>https://d0f6bd738d7f1b3e5a7ca70fe4ff75f0.us-east-1.aws.found.io/app/kibana#/discover/Steve-Slow-Train-Analysis-(2080s-and-2083s)?_g=(refreshInterval:(display:Off,pause:!f,section:0,value:0),time:(from:'2017-12-08T07:25:50-0700',mode:absolute,to:'2017-12-08T09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38" t="str">
        <f>IF(AA176&lt;VLOOKUP(AG176,Variables!$AC$3:$AD$8,2,FALSE),"Y","N")</f>
        <v>N</v>
      </c>
      <c r="X176" s="238">
        <f t="shared" si="64"/>
        <v>1</v>
      </c>
      <c r="Y176" s="238">
        <f t="shared" si="86"/>
        <v>5.8658000000000001</v>
      </c>
      <c r="Z176" s="238">
        <f t="shared" si="87"/>
        <v>1.46E-2</v>
      </c>
      <c r="AA176" s="238">
        <f t="shared" si="67"/>
        <v>5.8512000000000004</v>
      </c>
      <c r="AB176" s="242" t="e">
        <f>VLOOKUP(A176,Enforcements!$C$7:$K$9,8,0)</f>
        <v>#N/A</v>
      </c>
      <c r="AC176" s="242" t="e">
        <f>VLOOKUP(A176,Enforcements!$C$7:$E$9,3,0)</f>
        <v>#N/A</v>
      </c>
      <c r="AD176" s="243">
        <f t="shared" si="68"/>
        <v>812</v>
      </c>
      <c r="AE176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76" s="197" t="str">
        <f t="shared" si="70"/>
        <v>"C:\Program Files (x86)\AstroGrep\AstroGrep.exe" /e /r /s /spath="%USERPROFILE%\AppData\Local\Temp\OnboardLogs" /stypes="app*4007*20171208*" /stext=" 15:.+((SYSTEM_STATE.+slice.+state.+changed )|(ment ac)|(multiple cpu faults)|(system.+state.+changed )|(\[timeout)|(PRM\|1\|D)|(kpr)|(kdp)|(train st.+moving)|(\|lc)|(penalty))"</v>
      </c>
      <c r="AG176" s="206" t="str">
        <f t="shared" si="71"/>
        <v>NW</v>
      </c>
      <c r="AH176" s="199" t="str">
        <f t="shared" si="72"/>
        <v>"%USERPROFILE%\Documents\GitHub\eaglep3\Utilities\RefineRTDCRunTimes.py" --tripid 812-08 --locoid 4007 --swversion DE.1.0.9.0 --startMP 300:58658 --initTime 2017-12-08T08:25:50 --startdatetime 2017-12-08T08:42:00 --delay 54 --endMP 204:146 --enddatetime 2017-12-08T08:55:05 --enforcementcount 0 &gt;&gt;%USERPROFILE%\Documents\GitHub\eaglep3-reporting\EC\2017-12-08-refined-times.txt</v>
      </c>
      <c r="AI176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{"issue":{"subject":"","project_id":79,"tracker_id":40,"status_id":1,"priority_id":2,"assigned_to_id":338,"start_date":"2017-12-08","description":"","custom_fields":[{"id":1,"name":"Subdivision","value":"NW"},{"id":4,"name":"Milepost","value":"0.0146"},{"id":17,"name":"Train ID","value":"812-08"},{"id":16,"name":"Locomotive ID","value":"4007"},{"id":130,"name":"Impact","value":""},{"id":150,"name":"Time of Event (Mountain Time)","value":"08:55:05"},{"id":151,"name":"Denver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188"/>
      <c r="AK176" s="196"/>
      <c r="AL176" s="196"/>
      <c r="AM176" s="203" t="str">
        <f t="shared" si="74"/>
        <v>start /low /b %USERPROFILE%\Documents\GitHub\eaglep3\Utilities\DownloadLogsFromS3.py --loco 4007 --day 2017-12-08</v>
      </c>
      <c r="AN176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95" t="str">
        <f t="shared" si="76"/>
        <v>https://d0f6bd738d7f1b3e5a7ca70fe4ff75f0.us-east-1.aws.found.io/app/kibana#/discover/Steve-Slow-Train-Analysis-(2080s-and-2083s)?_g=(refreshInterval:(display:Off,pause:!f,section:0,value:0),time:(from:'2017-12-08T07:25:50-0700',mode:absolute,to:'2017-12-08T09:55:05-0700'))&amp;_a=(columns:!('Message%20ID',Summary),filters:!(),index:'emp_*',interval:auto,query:(query_string:(analyze_wildcard:!t,query:'%22rtdc.l.rtdc.4007%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194" t="s">
        <v>773</v>
      </c>
      <c r="B177" s="190">
        <v>4008</v>
      </c>
      <c r="C177" s="192" t="s">
        <v>191</v>
      </c>
      <c r="D177" s="192" t="s">
        <v>594</v>
      </c>
      <c r="E177" s="191">
        <v>43077.373020833336</v>
      </c>
      <c r="F177" s="191">
        <v>43077.381435185183</v>
      </c>
      <c r="G177" s="190">
        <v>390</v>
      </c>
      <c r="H177" s="192" t="s">
        <v>667</v>
      </c>
      <c r="I177" s="191">
        <v>43077.390983796293</v>
      </c>
      <c r="J177" s="190">
        <v>0</v>
      </c>
      <c r="K177" s="200" t="str">
        <f t="shared" si="60"/>
        <v>4007/4008</v>
      </c>
      <c r="L177" s="207" t="str">
        <f>VLOOKUP(A177,'Trips&amp;Operators'!$C$1:$G$99911,5,FALSE)</f>
        <v>DELGADO DIANAH</v>
      </c>
      <c r="M177" s="189">
        <f t="shared" si="61"/>
        <v>9.5486111094942316E-3</v>
      </c>
      <c r="N177" s="190">
        <f t="shared" si="79"/>
        <v>13.749999997671694</v>
      </c>
      <c r="O177" s="190"/>
      <c r="P177" s="190"/>
      <c r="Q177" s="193"/>
      <c r="R177" s="205"/>
      <c r="S177" s="235">
        <f t="shared" si="80"/>
        <v>1</v>
      </c>
      <c r="T177" s="236" t="str">
        <f t="shared" si="62"/>
        <v>NorthBound</v>
      </c>
      <c r="U177" s="23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37" t="str">
        <f t="shared" si="63"/>
        <v>https://d0f6bd738d7f1b3e5a7ca70fe4ff75f0.us-east-1.aws.found.io/app/kibana#/discover/Steve-Slow-Train-Analysis-(2080s-and-2083s)?_g=(refreshInterval:(display:Off,pause:!f,section:0,value:0),time:(from:'2017-12-08T07:57:09-0700',mode:absolute,to:'2017-12-08T10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38" t="str">
        <f>IF(AA177&lt;VLOOKUP(AG177,Variables!$AC$3:$AD$8,2,FALSE),"Y","N")</f>
        <v>N</v>
      </c>
      <c r="X177" s="238">
        <f t="shared" si="64"/>
        <v>1</v>
      </c>
      <c r="Y177" s="238">
        <f t="shared" si="86"/>
        <v>4.3700000000000003E-2</v>
      </c>
      <c r="Z177" s="238">
        <f t="shared" si="87"/>
        <v>5.8959999999999999</v>
      </c>
      <c r="AA177" s="238">
        <f t="shared" si="67"/>
        <v>5.8522999999999996</v>
      </c>
      <c r="AB177" s="242" t="e">
        <f>VLOOKUP(A177,Enforcements!$C$7:$K$9,8,0)</f>
        <v>#N/A</v>
      </c>
      <c r="AC177" s="242" t="e">
        <f>VLOOKUP(A177,Enforcements!$C$7:$E$9,3,0)</f>
        <v>#N/A</v>
      </c>
      <c r="AD177" s="243">
        <f t="shared" si="68"/>
        <v>813</v>
      </c>
      <c r="AE177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77" s="197" t="str">
        <f t="shared" si="70"/>
        <v>"C:\Program Files (x86)\AstroGrep\AstroGrep.exe" /e /r /s /spath="%USERPROFILE%\AppData\Local\Temp\OnboardLogs" /stypes="app*4008*20171208*" /stext=" 16:.+((SYSTEM_STATE.+slice.+state.+changed )|(ment ac)|(multiple cpu faults)|(system.+state.+changed )|(\[timeout)|(PRM\|1\|D)|(kpr)|(kdp)|(train st.+moving)|(\|lc)|(penalty))"</v>
      </c>
      <c r="AG177" s="206" t="str">
        <f t="shared" si="71"/>
        <v>NW</v>
      </c>
      <c r="AH177" s="199" t="str">
        <f t="shared" si="72"/>
        <v>"%USERPROFILE%\Documents\GitHub\eaglep3\Utilities\RefineRTDCRunTimes.py" --tripid 813-08 --locoid 4008 --swversion DE.1.0.9.0 --startMP 204:437 --initTime 2017-12-08T08:57:09 --startdatetime 2017-12-08T09:09:16 --delay 390 --endMP 300:58960 --enddatetime 2017-12-08T09:23:01 --enforcementcount 0 &gt;&gt;%USERPROFILE%\Documents\GitHub\eaglep3-reporting\EC\2017-12-08-refined-times.txt</v>
      </c>
      <c r="AI177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{"issue":{"subject":"","project_id":79,"tracker_id":40,"status_id":1,"priority_id":2,"assigned_to_id":338,"start_date":"2017-12-08","description":"","custom_fields":[{"id":1,"name":"Subdivision","value":"NW"},{"id":4,"name":"Milepost","value":"5.896"},{"id":17,"name":"Train ID","value":"813-08"},{"id":16,"name":"Locomotive ID","value":"4008"},{"id":130,"name":"Impact","value":""},{"id":150,"name":"Time of Event (Mountain Time)","value":"09:23:01"},{"id":151,"name":"Denver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188"/>
      <c r="AK177" s="196"/>
      <c r="AL177" s="196"/>
      <c r="AM177" s="203" t="str">
        <f t="shared" si="74"/>
        <v>start /low /b %USERPROFILE%\Documents\GitHub\eaglep3\Utilities\DownloadLogsFromS3.py --loco 4008 --day 2017-12-08</v>
      </c>
      <c r="AN177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95" t="str">
        <f t="shared" si="76"/>
        <v>https://d0f6bd738d7f1b3e5a7ca70fe4ff75f0.us-east-1.aws.found.io/app/kibana#/discover/Steve-Slow-Train-Analysis-(2080s-and-2083s)?_g=(refreshInterval:(display:Off,pause:!f,section:0,value:0),time:(from:'2017-12-08T07:57:09-0700',mode:absolute,to:'2017-12-08T10:23:01-0700'))&amp;_a=(columns:!('Message%20ID',Summary),filters:!(),index:'emp_*',interval:auto,query:(query_string:(analyze_wildcard:!t,query:'%22rtdc.l.rtdc.4008%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194" t="s">
        <v>777</v>
      </c>
      <c r="B178" s="190">
        <v>4007</v>
      </c>
      <c r="C178" s="192" t="s">
        <v>191</v>
      </c>
      <c r="D178" s="192" t="s">
        <v>669</v>
      </c>
      <c r="E178" s="191">
        <v>43077.392025462963</v>
      </c>
      <c r="F178" s="191">
        <v>43077.404166666667</v>
      </c>
      <c r="G178" s="190">
        <v>54</v>
      </c>
      <c r="H178" s="192" t="s">
        <v>1051</v>
      </c>
      <c r="I178" s="191">
        <v>43077.412905092591</v>
      </c>
      <c r="J178" s="190">
        <v>0</v>
      </c>
      <c r="K178" s="200" t="str">
        <f t="shared" si="60"/>
        <v>4007/4008</v>
      </c>
      <c r="L178" s="207" t="str">
        <f>VLOOKUP(A178,'Trips&amp;Operators'!$C$1:$G$99911,5,FALSE)</f>
        <v>DELGADO DIANAH</v>
      </c>
      <c r="M178" s="189">
        <f t="shared" si="61"/>
        <v>8.7384259240934625E-3</v>
      </c>
      <c r="N178" s="190">
        <f t="shared" si="79"/>
        <v>12.583333330694586</v>
      </c>
      <c r="O178" s="190"/>
      <c r="P178" s="190"/>
      <c r="Q178" s="193"/>
      <c r="R178" s="205"/>
      <c r="S178" s="235">
        <f t="shared" si="80"/>
        <v>1</v>
      </c>
      <c r="T178" s="236" t="str">
        <f t="shared" si="62"/>
        <v>Southbound</v>
      </c>
      <c r="U178" s="23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37" t="str">
        <f t="shared" si="63"/>
        <v>https://d0f6bd738d7f1b3e5a7ca70fe4ff75f0.us-east-1.aws.found.io/app/kibana#/discover/Steve-Slow-Train-Analysis-(2080s-and-2083s)?_g=(refreshInterval:(display:Off,pause:!f,section:0,value:0),time:(from:'2017-12-08T08:24:31-0700',mode:absolute,to:'2017-12-08T10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38" t="str">
        <f>IF(AA178&lt;VLOOKUP(AG178,Variables!$AC$3:$AD$8,2,FALSE),"Y","N")</f>
        <v>N</v>
      </c>
      <c r="X178" s="238">
        <f t="shared" si="64"/>
        <v>1</v>
      </c>
      <c r="Y178" s="238">
        <f t="shared" si="86"/>
        <v>5.8644999999999996</v>
      </c>
      <c r="Z178" s="238">
        <f t="shared" si="87"/>
        <v>1.3100000000000001E-2</v>
      </c>
      <c r="AA178" s="238">
        <f t="shared" si="67"/>
        <v>5.8513999999999999</v>
      </c>
      <c r="AB178" s="242" t="e">
        <f>VLOOKUP(A178,Enforcements!$C$7:$K$9,8,0)</f>
        <v>#N/A</v>
      </c>
      <c r="AC178" s="242" t="e">
        <f>VLOOKUP(A178,Enforcements!$C$7:$E$9,3,0)</f>
        <v>#N/A</v>
      </c>
      <c r="AD178" s="243">
        <f t="shared" si="68"/>
        <v>814</v>
      </c>
      <c r="AE178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78" s="197" t="str">
        <f t="shared" si="70"/>
        <v>"C:\Program Files (x86)\AstroGrep\AstroGrep.exe" /e /r /s /spath="%USERPROFILE%\AppData\Local\Temp\OnboardLogs" /stypes="app*4007*20171208*" /stext=" 16:.+((SYSTEM_STATE.+slice.+state.+changed )|(ment ac)|(multiple cpu faults)|(system.+state.+changed )|(\[timeout)|(PRM\|1\|D)|(kpr)|(kdp)|(train st.+moving)|(\|lc)|(penalty))"</v>
      </c>
      <c r="AG178" s="206" t="str">
        <f t="shared" si="71"/>
        <v>NW</v>
      </c>
      <c r="AH178" s="199" t="str">
        <f t="shared" si="72"/>
        <v>"%USERPROFILE%\Documents\GitHub\eaglep3\Utilities\RefineRTDCRunTimes.py" --tripid 814-08 --locoid 4007 --swversion DE.1.0.9.0 --startMP 300:58645 --initTime 2017-12-08T09:24:31 --startdatetime 2017-12-08T09:42:00 --delay 54 --endMP 204:131 --enddatetime 2017-12-08T09:54:35 --enforcementcount 0 &gt;&gt;%USERPROFILE%\Documents\GitHub\eaglep3-reporting\EC\2017-12-08-refined-times.txt</v>
      </c>
      <c r="AI178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{"issue":{"subject":"","project_id":79,"tracker_id":40,"status_id":1,"priority_id":2,"assigned_to_id":338,"start_date":"2017-12-08","description":"","custom_fields":[{"id":1,"name":"Subdivision","value":"NW"},{"id":4,"name":"Milepost","value":"0.0131"},{"id":17,"name":"Train ID","value":"814-08"},{"id":16,"name":"Locomotive ID","value":"4007"},{"id":130,"name":"Impact","value":""},{"id":150,"name":"Time of Event (Mountain Time)","value":"09:54:35"},{"id":151,"name":"Denver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188"/>
      <c r="AK178" s="196"/>
      <c r="AL178" s="196"/>
      <c r="AM178" s="203" t="str">
        <f t="shared" si="74"/>
        <v>start /low /b %USERPROFILE%\Documents\GitHub\eaglep3\Utilities\DownloadLogsFromS3.py --loco 4007 --day 2017-12-08</v>
      </c>
      <c r="AN178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16:54:35"},{"id":29,"name":"Sharepoint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95" t="str">
        <f t="shared" si="76"/>
        <v>https://d0f6bd738d7f1b3e5a7ca70fe4ff75f0.us-east-1.aws.found.io/app/kibana#/discover/Steve-Slow-Train-Analysis-(2080s-and-2083s)?_g=(refreshInterval:(display:Off,pause:!f,section:0,value:0),time:(from:'2017-12-08T08:24:31-0700',mode:absolute,to:'2017-12-08T10:54:35-0700'))&amp;_a=(columns:!('Message%20ID',Summary),filters:!(),index:'emp_*',interval:auto,query:(query_string:(analyze_wildcard:!t,query:'%22rtdc.l.rtdc.4007%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188" customFormat="1" x14ac:dyDescent="0.25">
      <c r="A179" s="194" t="s">
        <v>781</v>
      </c>
      <c r="B179" s="190">
        <v>4008</v>
      </c>
      <c r="C179" s="192" t="s">
        <v>191</v>
      </c>
      <c r="D179" s="192" t="s">
        <v>1052</v>
      </c>
      <c r="E179" s="191">
        <v>43077.414270833331</v>
      </c>
      <c r="F179" s="191">
        <v>43077.42324074074</v>
      </c>
      <c r="G179" s="190">
        <v>610</v>
      </c>
      <c r="H179" s="192" t="s">
        <v>1053</v>
      </c>
      <c r="I179" s="191">
        <v>43077.432696759257</v>
      </c>
      <c r="J179" s="190">
        <v>0</v>
      </c>
      <c r="K179" s="200" t="str">
        <f t="shared" si="60"/>
        <v>4007/4008</v>
      </c>
      <c r="L179" s="207" t="str">
        <f>VLOOKUP(A179,'Trips&amp;Operators'!$C$1:$G$99911,5,FALSE)</f>
        <v>DELGADO DIANAH</v>
      </c>
      <c r="M179" s="189">
        <f t="shared" si="61"/>
        <v>9.4560185170848854E-3</v>
      </c>
      <c r="N179" s="190">
        <f t="shared" si="79"/>
        <v>13.616666664602235</v>
      </c>
      <c r="O179" s="190"/>
      <c r="P179" s="190"/>
      <c r="Q179" s="193"/>
      <c r="R179" s="205"/>
      <c r="S179" s="235">
        <f t="shared" si="80"/>
        <v>1</v>
      </c>
      <c r="T179" s="236" t="str">
        <f t="shared" si="62"/>
        <v>NorthBound</v>
      </c>
      <c r="U179" s="23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37" t="str">
        <f t="shared" si="63"/>
        <v>https://d0f6bd738d7f1b3e5a7ca70fe4ff75f0.us-east-1.aws.found.io/app/kibana#/discover/Steve-Slow-Train-Analysis-(2080s-and-2083s)?_g=(refreshInterval:(display:Off,pause:!f,section:0,value:0),time:(from:'2017-12-08T08:56:33-0700',mode:absolute,to:'2017-12-08T11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38" t="str">
        <f>IF(AA179&lt;VLOOKUP(AG179,Variables!$AC$3:$AD$8,2,FALSE),"Y","N")</f>
        <v>N</v>
      </c>
      <c r="X179" s="238">
        <f t="shared" si="64"/>
        <v>1</v>
      </c>
      <c r="Y179" s="238">
        <f t="shared" si="86"/>
        <v>4.1700000000000001E-2</v>
      </c>
      <c r="Z179" s="238">
        <f t="shared" si="87"/>
        <v>5.8944000000000001</v>
      </c>
      <c r="AA179" s="238">
        <f t="shared" si="67"/>
        <v>5.8527000000000005</v>
      </c>
      <c r="AB179" s="242" t="e">
        <f>VLOOKUP(A179,Enforcements!$C$7:$K$9,8,0)</f>
        <v>#N/A</v>
      </c>
      <c r="AC179" s="242" t="e">
        <f>VLOOKUP(A179,Enforcements!$C$7:$E$9,3,0)</f>
        <v>#N/A</v>
      </c>
      <c r="AD179" s="243">
        <f t="shared" si="68"/>
        <v>815</v>
      </c>
      <c r="AE179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79" s="197" t="str">
        <f t="shared" si="70"/>
        <v>"C:\Program Files (x86)\AstroGrep\AstroGrep.exe" /e /r /s /spath="%USERPROFILE%\AppData\Local\Temp\OnboardLogs" /stypes="app*4008*20171208*" /stext=" 17:.+((SYSTEM_STATE.+slice.+state.+changed )|(ment ac)|(multiple cpu faults)|(system.+state.+changed )|(\[timeout)|(PRM\|1\|D)|(kpr)|(kdp)|(train st.+moving)|(\|lc)|(penalty))"</v>
      </c>
      <c r="AG179" s="206" t="str">
        <f t="shared" si="71"/>
        <v>NW</v>
      </c>
      <c r="AH179" s="199" t="str">
        <f t="shared" si="72"/>
        <v>"%USERPROFILE%\Documents\GitHub\eaglep3\Utilities\RefineRTDCRunTimes.py" --tripid 815-08 --locoid 4008 --swversion DE.1.0.9.0 --startMP 204:417 --initTime 2017-12-08T09:56:33 --startdatetime 2017-12-08T10:09:28 --delay 610 --endMP 300:58944 --enddatetime 2017-12-08T10:23:05 --enforcementcount 0 &gt;&gt;%USERPROFILE%\Documents\GitHub\eaglep3-reporting\EC\2017-12-08-refined-times.txt</v>
      </c>
      <c r="AI179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{"issue":{"subject":"","project_id":79,"tracker_id":40,"status_id":1,"priority_id":2,"assigned_to_id":338,"start_date":"2017-12-08","description":"","custom_fields":[{"id":1,"name":"Subdivision","value":"NW"},{"id":4,"name":"Milepost","value":"5.8944"},{"id":17,"name":"Train ID","value":"815-08"},{"id":16,"name":"Locomotive ID","value":"4008"},{"id":130,"name":"Impact","value":""},{"id":150,"name":"Time of Event (Mountain Time)","value":"10:23:05"},{"id":151,"name":"Denver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196"/>
      <c r="AL179" s="196"/>
      <c r="AM179" s="203" t="str">
        <f t="shared" si="74"/>
        <v>start /low /b %USERPROFILE%\Documents\GitHub\eaglep3\Utilities\DownloadLogsFromS3.py --loco 4008 --day 2017-12-08</v>
      </c>
      <c r="AN179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95" t="str">
        <f t="shared" si="76"/>
        <v>https://d0f6bd738d7f1b3e5a7ca70fe4ff75f0.us-east-1.aws.found.io/app/kibana#/discover/Steve-Slow-Train-Analysis-(2080s-and-2083s)?_g=(refreshInterval:(display:Off,pause:!f,section:0,value:0),time:(from:'2017-12-08T08:56:33-0700',mode:absolute,to:'2017-12-08T11:23:05-0700'))&amp;_a=(columns:!('Message%20ID',Summary),filters:!(),index:'emp_*',interval:auto,query:(query_string:(analyze_wildcard:!t,query:'%22rtdc.l.rtdc.4008%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188" customFormat="1" x14ac:dyDescent="0.25">
      <c r="A180" s="194" t="s">
        <v>786</v>
      </c>
      <c r="B180" s="190">
        <v>4007</v>
      </c>
      <c r="C180" s="192" t="s">
        <v>191</v>
      </c>
      <c r="D180" s="192" t="s">
        <v>1054</v>
      </c>
      <c r="E180" s="191">
        <v>43077.433703703704</v>
      </c>
      <c r="F180" s="191">
        <v>43077.445833333331</v>
      </c>
      <c r="G180" s="190">
        <v>95</v>
      </c>
      <c r="H180" s="192" t="s">
        <v>1046</v>
      </c>
      <c r="I180" s="191">
        <v>43077.454722222225</v>
      </c>
      <c r="J180" s="190">
        <v>0</v>
      </c>
      <c r="K180" s="200" t="str">
        <f t="shared" si="60"/>
        <v>4007/4008</v>
      </c>
      <c r="L180" s="207" t="str">
        <f>VLOOKUP(A180,'Trips&amp;Operators'!$C$1:$G$99911,5,FALSE)</f>
        <v>DELGADO DIANAH</v>
      </c>
      <c r="M180" s="189">
        <f t="shared" si="61"/>
        <v>8.8888888931251131E-3</v>
      </c>
      <c r="N180" s="190">
        <f t="shared" si="79"/>
        <v>12.800000006100163</v>
      </c>
      <c r="O180" s="190"/>
      <c r="P180" s="190"/>
      <c r="Q180" s="193"/>
      <c r="R180" s="205"/>
      <c r="S180" s="235">
        <f t="shared" si="80"/>
        <v>1</v>
      </c>
      <c r="T180" s="236" t="str">
        <f t="shared" si="62"/>
        <v>Southbound</v>
      </c>
      <c r="U180" s="23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37" t="str">
        <f t="shared" si="63"/>
        <v>https://d0f6bd738d7f1b3e5a7ca70fe4ff75f0.us-east-1.aws.found.io/app/kibana#/discover/Steve-Slow-Train-Analysis-(2080s-and-2083s)?_g=(refreshInterval:(display:Off,pause:!f,section:0,value:0),time:(from:'2017-12-08T09:24:32-0700',mode:absolute,to:'2017-12-08T11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38" t="str">
        <f>IF(AA180&lt;VLOOKUP(AG180,Variables!$AC$3:$AD$8,2,FALSE),"Y","N")</f>
        <v>N</v>
      </c>
      <c r="X180" s="238">
        <f t="shared" si="64"/>
        <v>1</v>
      </c>
      <c r="Y180" s="238">
        <f t="shared" si="86"/>
        <v>5.8634000000000004</v>
      </c>
      <c r="Z180" s="238">
        <f t="shared" si="87"/>
        <v>1.3299999999999999E-2</v>
      </c>
      <c r="AA180" s="238">
        <f t="shared" si="67"/>
        <v>5.8501000000000003</v>
      </c>
      <c r="AB180" s="242" t="e">
        <f>VLOOKUP(A180,Enforcements!$C$7:$K$9,8,0)</f>
        <v>#N/A</v>
      </c>
      <c r="AC180" s="242" t="e">
        <f>VLOOKUP(A180,Enforcements!$C$7:$E$9,3,0)</f>
        <v>#N/A</v>
      </c>
      <c r="AD180" s="243">
        <f t="shared" si="68"/>
        <v>816</v>
      </c>
      <c r="AE180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80" s="197" t="str">
        <f t="shared" si="70"/>
        <v>"C:\Program Files (x86)\AstroGrep\AstroGrep.exe" /e /r /s /spath="%USERPROFILE%\AppData\Local\Temp\OnboardLogs" /stypes="app*4007*20171208*" /stext=" 17:.+((SYSTEM_STATE.+slice.+state.+changed )|(ment ac)|(multiple cpu faults)|(system.+state.+changed )|(\[timeout)|(PRM\|1\|D)|(kpr)|(kdp)|(train st.+moving)|(\|lc)|(penalty))"</v>
      </c>
      <c r="AG180" s="206" t="str">
        <f t="shared" si="71"/>
        <v>NW</v>
      </c>
      <c r="AH180" s="199" t="str">
        <f t="shared" si="72"/>
        <v>"%USERPROFILE%\Documents\GitHub\eaglep3\Utilities\RefineRTDCRunTimes.py" --tripid 816-08 --locoid 4007 --swversion DE.1.0.9.0 --startMP 300:58634 --initTime 2017-12-08T10:24:32 --startdatetime 2017-12-08T10:42:00 --delay 95 --endMP 204:133 --enddatetime 2017-12-08T10:54:48 --enforcementcount 0 &gt;&gt;%USERPROFILE%\Documents\GitHub\eaglep3-reporting\EC\2017-12-08-refined-times.txt</v>
      </c>
      <c r="AI180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{"issue":{"subject":"","project_id":79,"tracker_id":40,"status_id":1,"priority_id":2,"assigned_to_id":338,"start_date":"2017-12-08","description":"","custom_fields":[{"id":1,"name":"Subdivision","value":"NW"},{"id":4,"name":"Milepost","value":"0.0133"},{"id":17,"name":"Train ID","value":"816-08"},{"id":16,"name":"Locomotive ID","value":"4007"},{"id":130,"name":"Impact","value":""},{"id":150,"name":"Time of Event (Mountain Time)","value":"10:54:48"},{"id":151,"name":"Denver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196"/>
      <c r="AL180" s="196"/>
      <c r="AM180" s="203" t="str">
        <f t="shared" si="74"/>
        <v>start /low /b %USERPROFILE%\Documents\GitHub\eaglep3\Utilities\DownloadLogsFromS3.py --loco 4007 --day 2017-12-08</v>
      </c>
      <c r="AN180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17:54:48"},{"id":29,"name":"Sharepoint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95" t="str">
        <f t="shared" si="76"/>
        <v>https://d0f6bd738d7f1b3e5a7ca70fe4ff75f0.us-east-1.aws.found.io/app/kibana#/discover/Steve-Slow-Train-Analysis-(2080s-and-2083s)?_g=(refreshInterval:(display:Off,pause:!f,section:0,value:0),time:(from:'2017-12-08T09:24:32-0700',mode:absolute,to:'2017-12-08T11:54:48-0700'))&amp;_a=(columns:!('Message%20ID',Summary),filters:!(),index:'emp_*',interval:auto,query:(query_string:(analyze_wildcard:!t,query:'%22rtdc.l.rtdc.4007%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194" t="s">
        <v>689</v>
      </c>
      <c r="B181" s="190">
        <v>4008</v>
      </c>
      <c r="C181" s="192" t="s">
        <v>191</v>
      </c>
      <c r="D181" s="192" t="s">
        <v>1055</v>
      </c>
      <c r="E181" s="191">
        <v>43077.466307870367</v>
      </c>
      <c r="F181" s="191">
        <v>43077.467349537037</v>
      </c>
      <c r="G181" s="190">
        <v>60</v>
      </c>
      <c r="H181" s="192" t="s">
        <v>1056</v>
      </c>
      <c r="I181" s="191">
        <v>43077.476481481484</v>
      </c>
      <c r="J181" s="190">
        <v>0</v>
      </c>
      <c r="K181" s="200" t="str">
        <f t="shared" si="60"/>
        <v>4007/4008</v>
      </c>
      <c r="L181" s="207" t="str">
        <f>VLOOKUP(A181,'Trips&amp;Operators'!$C$1:$G$99911,5,FALSE)</f>
        <v>DELGADO DIANAH</v>
      </c>
      <c r="M181" s="189">
        <f t="shared" si="61"/>
        <v>9.1319444472901523E-3</v>
      </c>
      <c r="N181" s="190">
        <f t="shared" si="79"/>
        <v>13.150000004097819</v>
      </c>
      <c r="O181" s="190"/>
      <c r="P181" s="190"/>
      <c r="Q181" s="193"/>
      <c r="R181" s="205"/>
      <c r="S181" s="235">
        <f t="shared" si="80"/>
        <v>1</v>
      </c>
      <c r="T181" s="236" t="str">
        <f t="shared" si="62"/>
        <v>NorthBound</v>
      </c>
      <c r="U181" s="23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37" t="str">
        <f t="shared" si="63"/>
        <v>https://d0f6bd738d7f1b3e5a7ca70fe4ff75f0.us-east-1.aws.found.io/app/kibana#/discover/Steve-Slow-Train-Analysis-(2080s-and-2083s)?_g=(refreshInterval:(display:Off,pause:!f,section:0,value:0),time:(from:'2017-12-08T10:11:29-0700',mode:absolute,to:'2017-12-08T12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38" t="str">
        <f>IF(AA181&lt;VLOOKUP(AG181,Variables!$AC$3:$AD$8,2,FALSE),"Y","N")</f>
        <v>N</v>
      </c>
      <c r="X181" s="238">
        <f t="shared" si="64"/>
        <v>1</v>
      </c>
      <c r="Y181" s="238">
        <f t="shared" si="86"/>
        <v>0.16220000000000001</v>
      </c>
      <c r="Z181" s="238">
        <f t="shared" si="87"/>
        <v>5.8958000000000004</v>
      </c>
      <c r="AA181" s="238">
        <f t="shared" si="67"/>
        <v>5.7336</v>
      </c>
      <c r="AB181" s="242" t="e">
        <f>VLOOKUP(A181,Enforcements!$C$7:$K$9,8,0)</f>
        <v>#N/A</v>
      </c>
      <c r="AC181" s="242" t="e">
        <f>VLOOKUP(A181,Enforcements!$C$7:$E$9,3,0)</f>
        <v>#N/A</v>
      </c>
      <c r="AD181" s="243">
        <f t="shared" si="68"/>
        <v>817</v>
      </c>
      <c r="AE181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81" s="197" t="str">
        <f t="shared" si="70"/>
        <v>"C:\Program Files (x86)\AstroGrep\AstroGrep.exe" /e /r /s /spath="%USERPROFILE%\AppData\Local\Temp\OnboardLogs" /stypes="app*4008*20171208*" /stext=" 18:.+((SYSTEM_STATE.+slice.+state.+changed )|(ment ac)|(multiple cpu faults)|(system.+state.+changed )|(\[timeout)|(PRM\|1\|D)|(kpr)|(kdp)|(train st.+moving)|(\|lc)|(penalty))"</v>
      </c>
      <c r="AG181" s="206" t="str">
        <f t="shared" si="71"/>
        <v>NW</v>
      </c>
      <c r="AH181" s="199" t="str">
        <f t="shared" si="72"/>
        <v>"%USERPROFILE%\Documents\GitHub\eaglep3\Utilities\RefineRTDCRunTimes.py" --tripid 817-08 --locoid 4008 --swversion DE.1.0.9.0 --startMP 204:1622 --initTime 2017-12-08T11:11:29 --startdatetime 2017-12-08T11:12:59 --delay 60 --endMP 300:58958 --enddatetime 2017-12-08T11:26:08 --enforcementcount 0 &gt;&gt;%USERPROFILE%\Documents\GitHub\eaglep3-reporting\EC\2017-12-08-refined-times.txt</v>
      </c>
      <c r="AI181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{"issue":{"subject":"","project_id":79,"tracker_id":40,"status_id":1,"priority_id":2,"assigned_to_id":338,"start_date":"2017-12-08","description":"","custom_fields":[{"id":1,"name":"Subdivision","value":"NW"},{"id":4,"name":"Milepost","value":"5.8958"},{"id":17,"name":"Train ID","value":"817-08"},{"id":16,"name":"Locomotive ID","value":"4008"},{"id":130,"name":"Impact","value":""},{"id":150,"name":"Time of Event (Mountain Time)","value":"11:26:08"},{"id":151,"name":"Denver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188"/>
      <c r="AK181" s="196"/>
      <c r="AL181" s="196"/>
      <c r="AM181" s="203" t="str">
        <f t="shared" si="74"/>
        <v>start /low /b %USERPROFILE%\Documents\GitHub\eaglep3\Utilities\DownloadLogsFromS3.py --loco 4008 --day 2017-12-08</v>
      </c>
      <c r="AN181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95" t="str">
        <f t="shared" si="76"/>
        <v>https://d0f6bd738d7f1b3e5a7ca70fe4ff75f0.us-east-1.aws.found.io/app/kibana#/discover/Steve-Slow-Train-Analysis-(2080s-and-2083s)?_g=(refreshInterval:(display:Off,pause:!f,section:0,value:0),time:(from:'2017-12-08T10:11:29-0700',mode:absolute,to:'2017-12-08T12:26:08-0700'))&amp;_a=(columns:!('Message%20ID',Summary),filters:!(),index:'emp_*',interval:auto,query:(query_string:(analyze_wildcard:!t,query:'%22rtdc.l.rtdc.4008%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194" t="s">
        <v>689</v>
      </c>
      <c r="B182" s="190">
        <v>4008</v>
      </c>
      <c r="C182" s="192" t="s">
        <v>191</v>
      </c>
      <c r="D182" s="192" t="s">
        <v>570</v>
      </c>
      <c r="E182" s="191">
        <v>43077.458101851851</v>
      </c>
      <c r="F182" s="191">
        <v>43077.467349537037</v>
      </c>
      <c r="G182" s="190">
        <v>430</v>
      </c>
      <c r="H182" s="192" t="s">
        <v>570</v>
      </c>
      <c r="I182" s="191">
        <v>43077.476481481484</v>
      </c>
      <c r="J182" s="190">
        <v>0</v>
      </c>
      <c r="K182" s="200" t="str">
        <f t="shared" si="60"/>
        <v>4007/4008</v>
      </c>
      <c r="L182" s="207" t="str">
        <f>VLOOKUP(A182,'Trips&amp;Operators'!$C$1:$G$99911,5,FALSE)</f>
        <v>DELGADO DIANAH</v>
      </c>
      <c r="M182" s="189">
        <f t="shared" si="61"/>
        <v>9.1319444472901523E-3</v>
      </c>
      <c r="N182" s="190"/>
      <c r="O182" s="190"/>
      <c r="P182" s="190"/>
      <c r="Q182" s="193"/>
      <c r="R182" s="205"/>
      <c r="S182" s="235"/>
      <c r="T182" s="236" t="str">
        <f t="shared" si="62"/>
        <v>NorthBound</v>
      </c>
      <c r="U182" s="23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237" t="str">
        <f t="shared" si="63"/>
        <v>https://d0f6bd738d7f1b3e5a7ca70fe4ff75f0.us-east-1.aws.found.io/app/kibana#/discover/Steve-Slow-Train-Analysis-(2080s-and-2083s)?_g=(refreshInterval:(display:Off,pause:!f,section:0,value:0),time:(from:'2017-12-08T09:59:40-0700',mode:absolute,to:'2017-12-08T12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238" t="str">
        <f>IF(AA182&lt;VLOOKUP(AG182,Variables!$AC$3:$AD$8,2,FALSE),"Y","N")</f>
        <v>Y</v>
      </c>
      <c r="X182" s="238">
        <f t="shared" si="64"/>
        <v>0</v>
      </c>
      <c r="Y182" s="238">
        <f t="shared" si="86"/>
        <v>4.4200000000000003E-2</v>
      </c>
      <c r="Z182" s="238">
        <f t="shared" si="87"/>
        <v>4.4200000000000003E-2</v>
      </c>
      <c r="AA182" s="238">
        <f t="shared" si="67"/>
        <v>0</v>
      </c>
      <c r="AB182" s="242" t="e">
        <f>VLOOKUP(A182,Enforcements!$C$7:$K$9,8,0)</f>
        <v>#N/A</v>
      </c>
      <c r="AC182" s="242" t="e">
        <f>VLOOKUP(A182,Enforcements!$C$7:$E$9,3,0)</f>
        <v>#N/A</v>
      </c>
      <c r="AD182" s="243">
        <f t="shared" si="68"/>
        <v>817</v>
      </c>
      <c r="AE182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82" s="197" t="str">
        <f t="shared" si="70"/>
        <v>"C:\Program Files (x86)\AstroGrep\AstroGrep.exe" /e /r /s /spath="%USERPROFILE%\AppData\Local\Temp\OnboardLogs" /stypes="app*4008*20171208*" /stext=" 18:.+((SYSTEM_STATE.+slice.+state.+changed )|(ment ac)|(multiple cpu faults)|(system.+state.+changed )|(\[timeout)|(PRM\|1\|D)|(kpr)|(kdp)|(train st.+moving)|(\|lc)|(penalty))"</v>
      </c>
      <c r="AG182" s="206" t="str">
        <f t="shared" si="71"/>
        <v>NW</v>
      </c>
      <c r="AH182" s="199" t="str">
        <f t="shared" si="72"/>
        <v>"%USERPROFILE%\Documents\GitHub\eaglep3\Utilities\RefineRTDCRunTimes.py" --tripid 817-08 --locoid 4008 --swversion DE.1.0.9.0 --startMP 204:442 --initTime 2017-12-08T10:59:40 --startdatetime 2017-12-08T11:12:59 --delay 430 --endMP 204:442 --enddatetime 2017-12-08T11:26:08 --enforcementcount 0 &gt;&gt;%USERPROFILE%\Documents\GitHub\eaglep3-reporting\EC\2017-12-08-refined-times.txt</v>
      </c>
      <c r="AI182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{"issue":{"subject":"","project_id":79,"tracker_id":40,"status_id":1,"priority_id":2,"assigned_to_id":338,"start_date":"2017-12-08","description":"","custom_fields":[{"id":1,"name":"Subdivision","value":"NW"},{"id":4,"name":"Milepost","value":"0.0442"},{"id":17,"name":"Train ID","value":"817-08"},{"id":16,"name":"Locomotive ID","value":"4008"},{"id":130,"name":"Impact","value":""},{"id":150,"name":"Time of Event (Mountain Time)","value":"11:26:08"},{"id":151,"name":"Denver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188"/>
      <c r="AK182" s="196"/>
      <c r="AL182" s="196"/>
      <c r="AM182" s="203" t="str">
        <f t="shared" si="74"/>
        <v>start /low /b %USERPROFILE%\Documents\GitHub\eaglep3\Utilities\DownloadLogsFromS3.py --loco 4008 --day 2017-12-08</v>
      </c>
      <c r="AN182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95" t="str">
        <f t="shared" si="76"/>
        <v>https://d0f6bd738d7f1b3e5a7ca70fe4ff75f0.us-east-1.aws.found.io/app/kibana#/discover/Steve-Slow-Train-Analysis-(2080s-and-2083s)?_g=(refreshInterval:(display:Off,pause:!f,section:0,value:0),time:(from:'2017-12-08T09:59:40-0700',mode:absolute,to:'2017-12-08T12:26:08-0700'))&amp;_a=(columns:!('Message%20ID',Summary),filters:!(),index:'emp_*',interval:auto,query:(query_string:(analyze_wildcard:!t,query:'%22rtdc.l.rtdc.4008%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194" t="s">
        <v>796</v>
      </c>
      <c r="B183" s="190">
        <v>4007</v>
      </c>
      <c r="C183" s="192" t="s">
        <v>191</v>
      </c>
      <c r="D183" s="192" t="s">
        <v>1057</v>
      </c>
      <c r="E183" s="191">
        <v>43077.477858796294</v>
      </c>
      <c r="F183" s="191">
        <v>43077.487500000003</v>
      </c>
      <c r="G183" s="190">
        <v>56</v>
      </c>
      <c r="H183" s="192" t="s">
        <v>1058</v>
      </c>
      <c r="I183" s="191">
        <v>43077.496122685188</v>
      </c>
      <c r="J183" s="190">
        <v>0</v>
      </c>
      <c r="K183" s="200" t="str">
        <f t="shared" si="60"/>
        <v>4007/4008</v>
      </c>
      <c r="L183" s="207" t="str">
        <f>VLOOKUP(A183,'Trips&amp;Operators'!$C$1:$G$99911,5,FALSE)</f>
        <v>DELGADO DIANAH</v>
      </c>
      <c r="M183" s="189">
        <f t="shared" si="61"/>
        <v>8.6226851854007691E-3</v>
      </c>
      <c r="N183" s="190">
        <f t="shared" ref="N183:N191" si="88">24*60*SUM($M183:$M183)</f>
        <v>12.416666666977108</v>
      </c>
      <c r="O183" s="190"/>
      <c r="P183" s="190"/>
      <c r="Q183" s="193"/>
      <c r="R183" s="205"/>
      <c r="S183" s="235">
        <f t="shared" ref="S183:S214" si="89">1/IF(AG183="EC",12,1)*SUM(U183:U183)</f>
        <v>1</v>
      </c>
      <c r="T183" s="236" t="str">
        <f t="shared" si="62"/>
        <v>Southbound</v>
      </c>
      <c r="U183" s="23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37" t="str">
        <f t="shared" si="63"/>
        <v>https://d0f6bd738d7f1b3e5a7ca70fe4ff75f0.us-east-1.aws.found.io/app/kibana#/discover/Steve-Slow-Train-Analysis-(2080s-and-2083s)?_g=(refreshInterval:(display:Off,pause:!f,section:0,value:0),time:(from:'2017-12-08T10:28:07-0700',mode:absolute,to:'2017-12-08T12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238" t="str">
        <f>IF(AA183&lt;VLOOKUP(AG183,Variables!$AC$3:$AD$8,2,FALSE),"Y","N")</f>
        <v>N</v>
      </c>
      <c r="X183" s="238">
        <f t="shared" si="64"/>
        <v>1</v>
      </c>
      <c r="Y183" s="238">
        <f t="shared" si="86"/>
        <v>5.8638000000000003</v>
      </c>
      <c r="Z183" s="238">
        <f t="shared" si="87"/>
        <v>1.4200000000000001E-2</v>
      </c>
      <c r="AA183" s="238">
        <f t="shared" si="67"/>
        <v>5.8496000000000006</v>
      </c>
      <c r="AB183" s="242" t="e">
        <f>VLOOKUP(A183,Enforcements!$C$7:$K$9,8,0)</f>
        <v>#N/A</v>
      </c>
      <c r="AC183" s="242" t="e">
        <f>VLOOKUP(A183,Enforcements!$C$7:$E$9,3,0)</f>
        <v>#N/A</v>
      </c>
      <c r="AD183" s="243">
        <f t="shared" si="68"/>
        <v>818</v>
      </c>
      <c r="AE183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83" s="197" t="str">
        <f t="shared" si="70"/>
        <v>"C:\Program Files (x86)\AstroGrep\AstroGrep.exe" /e /r /s /spath="%USERPROFILE%\AppData\Local\Temp\OnboardLogs" /stypes="app*4007*20171208*" /stext=" 18:.+((SYSTEM_STATE.+slice.+state.+changed )|(ment ac)|(multiple cpu faults)|(system.+state.+changed )|(\[timeout)|(PRM\|1\|D)|(kpr)|(kdp)|(train st.+moving)|(\|lc)|(penalty))"</v>
      </c>
      <c r="AG183" s="206" t="str">
        <f t="shared" si="71"/>
        <v>NW</v>
      </c>
      <c r="AH183" s="199" t="str">
        <f t="shared" si="72"/>
        <v>"%USERPROFILE%\Documents\GitHub\eaglep3\Utilities\RefineRTDCRunTimes.py" --tripid 818-08 --locoid 4007 --swversion DE.1.0.9.0 --startMP 300:58638 --initTime 2017-12-08T11:28:07 --startdatetime 2017-12-08T11:42:00 --delay 56 --endMP 204:142 --enddatetime 2017-12-08T11:54:25 --enforcementcount 0 &gt;&gt;%USERPROFILE%\Documents\GitHub\eaglep3-reporting\EC\2017-12-08-refined-times.txt</v>
      </c>
      <c r="AI183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{"issue":{"subject":"","project_id":79,"tracker_id":40,"status_id":1,"priority_id":2,"assigned_to_id":338,"start_date":"2017-12-08","description":"","custom_fields":[{"id":1,"name":"Subdivision","value":"NW"},{"id":4,"name":"Milepost","value":"0.0142"},{"id":17,"name":"Train ID","value":"818-08"},{"id":16,"name":"Locomotive ID","value":"4007"},{"id":130,"name":"Impact","value":""},{"id":150,"name":"Time of Event (Mountain Time)","value":"11:54:25"},{"id":151,"name":"Denver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188"/>
      <c r="AK183" s="196"/>
      <c r="AL183" s="196"/>
      <c r="AM183" s="203" t="str">
        <f t="shared" si="74"/>
        <v>start /low /b %USERPROFILE%\Documents\GitHub\eaglep3\Utilities\DownloadLogsFromS3.py --loco 4007 --day 2017-12-08</v>
      </c>
      <c r="AN183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95" t="str">
        <f t="shared" si="76"/>
        <v>https://d0f6bd738d7f1b3e5a7ca70fe4ff75f0.us-east-1.aws.found.io/app/kibana#/discover/Steve-Slow-Train-Analysis-(2080s-and-2083s)?_g=(refreshInterval:(display:Off,pause:!f,section:0,value:0),time:(from:'2017-12-08T10:28:07-0700',mode:absolute,to:'2017-12-08T12:54:25-0700'))&amp;_a=(columns:!('Message%20ID',Summary),filters:!(),index:'emp_*',interval:auto,query:(query_string:(analyze_wildcard:!t,query:'%22rtdc.l.rtdc.4007%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194" t="s">
        <v>803</v>
      </c>
      <c r="B184" s="190">
        <v>4008</v>
      </c>
      <c r="C184" s="192" t="s">
        <v>191</v>
      </c>
      <c r="D184" s="192" t="s">
        <v>513</v>
      </c>
      <c r="E184" s="191">
        <v>43077.503287037034</v>
      </c>
      <c r="F184" s="191">
        <v>43077.506493055553</v>
      </c>
      <c r="G184" s="190">
        <v>59</v>
      </c>
      <c r="H184" s="192" t="s">
        <v>1053</v>
      </c>
      <c r="I184" s="191">
        <v>43077.516261574077</v>
      </c>
      <c r="J184" s="190">
        <v>0</v>
      </c>
      <c r="K184" s="200" t="str">
        <f t="shared" si="60"/>
        <v>4007/4008</v>
      </c>
      <c r="L184" s="207" t="str">
        <f>VLOOKUP(A184,'Trips&amp;Operators'!$C$1:$G$99911,5,FALSE)</f>
        <v>DELGADO DIANAH</v>
      </c>
      <c r="M184" s="189">
        <f t="shared" si="61"/>
        <v>9.7685185246518813E-3</v>
      </c>
      <c r="N184" s="190">
        <f t="shared" si="88"/>
        <v>14.066666675498709</v>
      </c>
      <c r="O184" s="190"/>
      <c r="P184" s="190"/>
      <c r="Q184" s="193"/>
      <c r="R184" s="205"/>
      <c r="S184" s="235">
        <f t="shared" si="89"/>
        <v>1</v>
      </c>
      <c r="T184" s="236" t="str">
        <f t="shared" si="62"/>
        <v>NorthBound</v>
      </c>
      <c r="U184" s="23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37" t="str">
        <f t="shared" si="63"/>
        <v>https://d0f6bd738d7f1b3e5a7ca70fe4ff75f0.us-east-1.aws.found.io/app/kibana#/discover/Steve-Slow-Train-Analysis-(2080s-and-2083s)?_g=(refreshInterval:(display:Off,pause:!f,section:0,value:0),time:(from:'2017-12-08T11:04:44-0700',mode:absolute,to:'2017-12-08T13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238" t="str">
        <f>IF(AA184&lt;VLOOKUP(AG184,Variables!$AC$3:$AD$8,2,FALSE),"Y","N")</f>
        <v>N</v>
      </c>
      <c r="X184" s="238">
        <f t="shared" si="64"/>
        <v>1</v>
      </c>
      <c r="Y184" s="238">
        <f t="shared" si="86"/>
        <v>4.5900000000000003E-2</v>
      </c>
      <c r="Z184" s="238">
        <f t="shared" si="87"/>
        <v>5.8944000000000001</v>
      </c>
      <c r="AA184" s="238">
        <f t="shared" si="67"/>
        <v>5.8485000000000005</v>
      </c>
      <c r="AB184" s="242" t="e">
        <f>VLOOKUP(A184,Enforcements!$C$7:$K$9,8,0)</f>
        <v>#N/A</v>
      </c>
      <c r="AC184" s="242" t="e">
        <f>VLOOKUP(A184,Enforcements!$C$7:$E$9,3,0)</f>
        <v>#N/A</v>
      </c>
      <c r="AD184" s="243">
        <f t="shared" si="68"/>
        <v>819</v>
      </c>
      <c r="AE184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84" s="197" t="str">
        <f t="shared" si="70"/>
        <v>"C:\Program Files (x86)\AstroGrep\AstroGrep.exe" /e /r /s /spath="%USERPROFILE%\AppData\Local\Temp\OnboardLogs" /stypes="app*4008*20171208*" /stext=" 19:.+((SYSTEM_STATE.+slice.+state.+changed )|(ment ac)|(multiple cpu faults)|(system.+state.+changed )|(\[timeout)|(PRM\|1\|D)|(kpr)|(kdp)|(train st.+moving)|(\|lc)|(penalty))"</v>
      </c>
      <c r="AG184" s="206" t="str">
        <f t="shared" si="71"/>
        <v>NW</v>
      </c>
      <c r="AH184" s="199" t="str">
        <f t="shared" si="72"/>
        <v>"%USERPROFILE%\Documents\GitHub\eaglep3\Utilities\RefineRTDCRunTimes.py" --tripid 819-08 --locoid 4008 --swversion DE.1.0.9.0 --startMP 204:459 --initTime 2017-12-08T12:04:44 --startdatetime 2017-12-08T12:09:21 --delay 59 --endMP 300:58944 --enddatetime 2017-12-08T12:23:25 --enforcementcount 0 &gt;&gt;%USERPROFILE%\Documents\GitHub\eaglep3-reporting\EC\2017-12-08-refined-times.txt</v>
      </c>
      <c r="AI184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{"issue":{"subject":"","project_id":79,"tracker_id":40,"status_id":1,"priority_id":2,"assigned_to_id":338,"start_date":"2017-12-08","description":"","custom_fields":[{"id":1,"name":"Subdivision","value":"NW"},{"id":4,"name":"Milepost","value":"5.8944"},{"id":17,"name":"Train ID","value":"819-08"},{"id":16,"name":"Locomotive ID","value":"4008"},{"id":130,"name":"Impact","value":""},{"id":150,"name":"Time of Event (Mountain Time)","value":"12:23:25"},{"id":151,"name":"Denver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188"/>
      <c r="AK184" s="196"/>
      <c r="AL184" s="196"/>
      <c r="AM184" s="203" t="str">
        <f t="shared" si="74"/>
        <v>start /low /b %USERPROFILE%\Documents\GitHub\eaglep3\Utilities\DownloadLogsFromS3.py --loco 4008 --day 2017-12-08</v>
      </c>
      <c r="AN184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95" t="str">
        <f t="shared" si="76"/>
        <v>https://d0f6bd738d7f1b3e5a7ca70fe4ff75f0.us-east-1.aws.found.io/app/kibana#/discover/Steve-Slow-Train-Analysis-(2080s-and-2083s)?_g=(refreshInterval:(display:Off,pause:!f,section:0,value:0),time:(from:'2017-12-08T11:04:44-0700',mode:absolute,to:'2017-12-08T13:23:25-0700'))&amp;_a=(columns:!('Message%20ID',Summary),filters:!(),index:'emp_*',interval:auto,query:(query_string:(analyze_wildcard:!t,query:'%22rtdc.l.rtdc.4008%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194" t="s">
        <v>807</v>
      </c>
      <c r="B185" s="190">
        <v>4007</v>
      </c>
      <c r="C185" s="192" t="s">
        <v>191</v>
      </c>
      <c r="D185" s="192" t="s">
        <v>1059</v>
      </c>
      <c r="E185" s="191">
        <v>43077.519363425927</v>
      </c>
      <c r="F185" s="191">
        <v>43077.529166666667</v>
      </c>
      <c r="G185" s="190">
        <v>50</v>
      </c>
      <c r="H185" s="192" t="s">
        <v>1044</v>
      </c>
      <c r="I185" s="191">
        <v>43077.537858796299</v>
      </c>
      <c r="J185" s="190">
        <v>0</v>
      </c>
      <c r="K185" s="200" t="str">
        <f t="shared" si="60"/>
        <v>4007/4008</v>
      </c>
      <c r="L185" s="207" t="str">
        <f>VLOOKUP(A185,'Trips&amp;Operators'!$C$1:$G$99911,5,FALSE)</f>
        <v>DELGADO DIANAH</v>
      </c>
      <c r="M185" s="189">
        <f t="shared" si="61"/>
        <v>8.6921296315267682E-3</v>
      </c>
      <c r="N185" s="190">
        <f t="shared" si="88"/>
        <v>12.516666669398546</v>
      </c>
      <c r="O185" s="190"/>
      <c r="P185" s="190"/>
      <c r="Q185" s="193"/>
      <c r="R185" s="205"/>
      <c r="S185" s="235">
        <f t="shared" si="89"/>
        <v>1</v>
      </c>
      <c r="T185" s="236" t="str">
        <f t="shared" si="62"/>
        <v>Southbound</v>
      </c>
      <c r="U185" s="23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37" t="str">
        <f t="shared" si="63"/>
        <v>https://d0f6bd738d7f1b3e5a7ca70fe4ff75f0.us-east-1.aws.found.io/app/kibana#/discover/Steve-Slow-Train-Analysis-(2080s-and-2083s)?_g=(refreshInterval:(display:Off,pause:!f,section:0,value:0),time:(from:'2017-12-08T11:27:53-0700',mode:absolute,to:'2017-12-08T13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238" t="str">
        <f>IF(AA185&lt;VLOOKUP(AG185,Variables!$AC$3:$AD$8,2,FALSE),"Y","N")</f>
        <v>N</v>
      </c>
      <c r="X185" s="238">
        <f t="shared" si="64"/>
        <v>1</v>
      </c>
      <c r="Y185" s="238">
        <f t="shared" si="86"/>
        <v>5.8624000000000001</v>
      </c>
      <c r="Z185" s="238">
        <f t="shared" si="87"/>
        <v>1.26E-2</v>
      </c>
      <c r="AA185" s="238">
        <f t="shared" si="67"/>
        <v>5.8498000000000001</v>
      </c>
      <c r="AB185" s="242" t="e">
        <f>VLOOKUP(A185,Enforcements!$C$7:$K$9,8,0)</f>
        <v>#N/A</v>
      </c>
      <c r="AC185" s="242" t="e">
        <f>VLOOKUP(A185,Enforcements!$C$7:$E$9,3,0)</f>
        <v>#N/A</v>
      </c>
      <c r="AD185" s="243">
        <f t="shared" si="68"/>
        <v>820</v>
      </c>
      <c r="AE185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85" s="197" t="str">
        <f t="shared" si="70"/>
        <v>"C:\Program Files (x86)\AstroGrep\AstroGrep.exe" /e /r /s /spath="%USERPROFILE%\AppData\Local\Temp\OnboardLogs" /stypes="app*4007*20171208*" /stext=" 19:.+((SYSTEM_STATE.+slice.+state.+changed )|(ment ac)|(multiple cpu faults)|(system.+state.+changed )|(\[timeout)|(PRM\|1\|D)|(kpr)|(kdp)|(train st.+moving)|(\|lc)|(penalty))"</v>
      </c>
      <c r="AG185" s="206" t="str">
        <f t="shared" si="71"/>
        <v>NW</v>
      </c>
      <c r="AH185" s="199" t="str">
        <f t="shared" si="72"/>
        <v>"%USERPROFILE%\Documents\GitHub\eaglep3\Utilities\RefineRTDCRunTimes.py" --tripid 820-08 --locoid 4007 --swversion DE.1.0.9.0 --startMP 300:58624 --initTime 2017-12-08T12:27:53 --startdatetime 2017-12-08T12:42:00 --delay 50 --endMP 204:126 --enddatetime 2017-12-08T12:54:31 --enforcementcount 0 &gt;&gt;%USERPROFILE%\Documents\GitHub\eaglep3-reporting\EC\2017-12-08-refined-times.txt</v>
      </c>
      <c r="AI185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{"issue":{"subject":"","project_id":79,"tracker_id":40,"status_id":1,"priority_id":2,"assigned_to_id":338,"start_date":"2017-12-08","description":"","custom_fields":[{"id":1,"name":"Subdivision","value":"NW"},{"id":4,"name":"Milepost","value":"0.0126"},{"id":17,"name":"Train ID","value":"820-08"},{"id":16,"name":"Locomotive ID","value":"4007"},{"id":130,"name":"Impact","value":""},{"id":150,"name":"Time of Event (Mountain Time)","value":"12:54:31"},{"id":151,"name":"Denver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188"/>
      <c r="AK185" s="196"/>
      <c r="AL185" s="196"/>
      <c r="AM185" s="203" t="str">
        <f t="shared" si="74"/>
        <v>start /low /b %USERPROFILE%\Documents\GitHub\eaglep3\Utilities\DownloadLogsFromS3.py --loco 4007 --day 2017-12-08</v>
      </c>
      <c r="AN185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19:54:31"},{"id":29,"name":"Sharepoint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95" t="str">
        <f t="shared" si="76"/>
        <v>https://d0f6bd738d7f1b3e5a7ca70fe4ff75f0.us-east-1.aws.found.io/app/kibana#/discover/Steve-Slow-Train-Analysis-(2080s-and-2083s)?_g=(refreshInterval:(display:Off,pause:!f,section:0,value:0),time:(from:'2017-12-08T11:27:53-0700',mode:absolute,to:'2017-12-08T13:54:31-0700'))&amp;_a=(columns:!('Message%20ID',Summary),filters:!(),index:'emp_*',interval:auto,query:(query_string:(analyze_wildcard:!t,query:'%22rtdc.l.rtdc.4007%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188" customFormat="1" x14ac:dyDescent="0.25">
      <c r="A186" s="194" t="s">
        <v>811</v>
      </c>
      <c r="B186" s="190">
        <v>4008</v>
      </c>
      <c r="C186" s="192" t="s">
        <v>191</v>
      </c>
      <c r="D186" s="192" t="s">
        <v>1060</v>
      </c>
      <c r="E186" s="191">
        <v>43077.540520833332</v>
      </c>
      <c r="F186" s="191">
        <v>43077.548136574071</v>
      </c>
      <c r="G186" s="190">
        <v>101</v>
      </c>
      <c r="H186" s="192" t="s">
        <v>1061</v>
      </c>
      <c r="I186" s="191">
        <v>43077.558715277781</v>
      </c>
      <c r="J186" s="190">
        <v>0</v>
      </c>
      <c r="K186" s="200" t="str">
        <f t="shared" si="60"/>
        <v>4007/4008</v>
      </c>
      <c r="L186" s="207" t="str">
        <f>VLOOKUP(A186,'Trips&amp;Operators'!$C$1:$G$99911,5,FALSE)</f>
        <v>GUNTHIER ERIC</v>
      </c>
      <c r="M186" s="189">
        <f t="shared" si="61"/>
        <v>1.057870371005265E-2</v>
      </c>
      <c r="N186" s="190">
        <f t="shared" si="88"/>
        <v>15.233333342475817</v>
      </c>
      <c r="O186" s="190"/>
      <c r="P186" s="190"/>
      <c r="Q186" s="193"/>
      <c r="R186" s="205"/>
      <c r="S186" s="235">
        <f t="shared" si="89"/>
        <v>1</v>
      </c>
      <c r="T186" s="236" t="str">
        <f t="shared" si="62"/>
        <v>NorthBound</v>
      </c>
      <c r="U186" s="23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37" t="str">
        <f t="shared" si="63"/>
        <v>https://d0f6bd738d7f1b3e5a7ca70fe4ff75f0.us-east-1.aws.found.io/app/kibana#/discover/Steve-Slow-Train-Analysis-(2080s-and-2083s)?_g=(refreshInterval:(display:Off,pause:!f,section:0,value:0),time:(from:'2017-12-08T11:58:21-0700',mode:absolute,to:'2017-12-08T14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238" t="str">
        <f>IF(AA186&lt;VLOOKUP(AG186,Variables!$AC$3:$AD$8,2,FALSE),"Y","N")</f>
        <v>N</v>
      </c>
      <c r="X186" s="238">
        <f t="shared" si="64"/>
        <v>1</v>
      </c>
      <c r="Y186" s="238">
        <f t="shared" si="86"/>
        <v>4.1200000000000001E-2</v>
      </c>
      <c r="Z186" s="238">
        <f t="shared" si="87"/>
        <v>5.8992000000000004</v>
      </c>
      <c r="AA186" s="238">
        <f t="shared" si="67"/>
        <v>5.8580000000000005</v>
      </c>
      <c r="AB186" s="242" t="e">
        <f>VLOOKUP(A186,Enforcements!$C$7:$K$9,8,0)</f>
        <v>#N/A</v>
      </c>
      <c r="AC186" s="242" t="e">
        <f>VLOOKUP(A186,Enforcements!$C$7:$E$9,3,0)</f>
        <v>#N/A</v>
      </c>
      <c r="AD186" s="243">
        <f t="shared" si="68"/>
        <v>821</v>
      </c>
      <c r="AE186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86" s="197" t="str">
        <f t="shared" si="70"/>
        <v>"C:\Program Files (x86)\AstroGrep\AstroGrep.exe" /e /r /s /spath="%USERPROFILE%\AppData\Local\Temp\OnboardLogs" /stypes="app*4008*20171208*" /stext=" 20:.+((SYSTEM_STATE.+slice.+state.+changed )|(ment ac)|(multiple cpu faults)|(system.+state.+changed )|(\[timeout)|(PRM\|1\|D)|(kpr)|(kdp)|(train st.+moving)|(\|lc)|(penalty))"</v>
      </c>
      <c r="AG186" s="206" t="str">
        <f t="shared" si="71"/>
        <v>NW</v>
      </c>
      <c r="AH186" s="199" t="str">
        <f t="shared" si="72"/>
        <v>"%USERPROFILE%\Documents\GitHub\eaglep3\Utilities\RefineRTDCRunTimes.py" --tripid 821-08 --locoid 4008 --swversion DE.1.0.9.0 --startMP 204:412 --initTime 2017-12-08T12:58:21 --startdatetime 2017-12-08T13:09:19 --delay 101 --endMP 300:58992 --enddatetime 2017-12-08T13:24:33 --enforcementcount 0 &gt;&gt;%USERPROFILE%\Documents\GitHub\eaglep3-reporting\EC\2017-12-08-refined-times.txt</v>
      </c>
      <c r="AI186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{"issue":{"subject":"","project_id":79,"tracker_id":40,"status_id":1,"priority_id":2,"assigned_to_id":338,"start_date":"2017-12-08","description":"","custom_fields":[{"id":1,"name":"Subdivision","value":"NW"},{"id":4,"name":"Milepost","value":"5.8992"},{"id":17,"name":"Train ID","value":"821-08"},{"id":16,"name":"Locomotive ID","value":"4008"},{"id":130,"name":"Impact","value":""},{"id":150,"name":"Time of Event (Mountain Time)","value":"13:24:33"},{"id":151,"name":"Denver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196"/>
      <c r="AL186" s="196"/>
      <c r="AM186" s="203" t="str">
        <f t="shared" si="74"/>
        <v>start /low /b %USERPROFILE%\Documents\GitHub\eaglep3\Utilities\DownloadLogsFromS3.py --loco 4008 --day 2017-12-08</v>
      </c>
      <c r="AN186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95" t="str">
        <f t="shared" si="76"/>
        <v>https://d0f6bd738d7f1b3e5a7ca70fe4ff75f0.us-east-1.aws.found.io/app/kibana#/discover/Steve-Slow-Train-Analysis-(2080s-and-2083s)?_g=(refreshInterval:(display:Off,pause:!f,section:0,value:0),time:(from:'2017-12-08T11:58:21-0700',mode:absolute,to:'2017-12-08T14:24:33-0700'))&amp;_a=(columns:!('Message%20ID',Summary),filters:!(),index:'emp_*',interval:auto,query:(query_string:(analyze_wildcard:!t,query:'%22rtdc.l.rtdc.4008%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194" t="s">
        <v>815</v>
      </c>
      <c r="B187" s="190">
        <v>4007</v>
      </c>
      <c r="C187" s="192" t="s">
        <v>191</v>
      </c>
      <c r="D187" s="192" t="s">
        <v>1062</v>
      </c>
      <c r="E187" s="191">
        <v>43077.56009259259</v>
      </c>
      <c r="F187" s="191">
        <v>43077.570833333331</v>
      </c>
      <c r="G187" s="190">
        <v>61</v>
      </c>
      <c r="H187" s="192" t="s">
        <v>1063</v>
      </c>
      <c r="I187" s="191">
        <v>43077.579745370371</v>
      </c>
      <c r="J187" s="190">
        <v>0</v>
      </c>
      <c r="K187" s="200" t="str">
        <f t="shared" si="60"/>
        <v>4007/4008</v>
      </c>
      <c r="L187" s="207" t="str">
        <f>VLOOKUP(A187,'Trips&amp;Operators'!$C$1:$G$99911,5,FALSE)</f>
        <v>GUNTHIER ERIC</v>
      </c>
      <c r="M187" s="189">
        <f t="shared" si="61"/>
        <v>8.9120370394084603E-3</v>
      </c>
      <c r="N187" s="190">
        <f t="shared" si="88"/>
        <v>12.833333336748183</v>
      </c>
      <c r="O187" s="190"/>
      <c r="P187" s="190"/>
      <c r="Q187" s="193"/>
      <c r="R187" s="205"/>
      <c r="S187" s="235">
        <f t="shared" si="89"/>
        <v>1</v>
      </c>
      <c r="T187" s="236" t="str">
        <f t="shared" si="62"/>
        <v>Southbound</v>
      </c>
      <c r="U187" s="23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37" t="str">
        <f t="shared" si="63"/>
        <v>https://d0f6bd738d7f1b3e5a7ca70fe4ff75f0.us-east-1.aws.found.io/app/kibana#/discover/Steve-Slow-Train-Analysis-(2080s-and-2083s)?_g=(refreshInterval:(display:Off,pause:!f,section:0,value:0),time:(from:'2017-12-08T12:26:32-0700',mode:absolute,to:'2017-12-08T14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238" t="str">
        <f>IF(AA187&lt;VLOOKUP(AG187,Variables!$AC$3:$AD$8,2,FALSE),"Y","N")</f>
        <v>N</v>
      </c>
      <c r="X187" s="238">
        <f t="shared" si="64"/>
        <v>1</v>
      </c>
      <c r="Y187" s="238">
        <f t="shared" si="86"/>
        <v>5.8672000000000004</v>
      </c>
      <c r="Z187" s="238">
        <f t="shared" si="87"/>
        <v>1.2E-2</v>
      </c>
      <c r="AA187" s="238">
        <f t="shared" si="67"/>
        <v>5.8552000000000008</v>
      </c>
      <c r="AB187" s="242" t="e">
        <f>VLOOKUP(A187,Enforcements!$C$7:$K$9,8,0)</f>
        <v>#N/A</v>
      </c>
      <c r="AC187" s="242" t="e">
        <f>VLOOKUP(A187,Enforcements!$C$7:$E$9,3,0)</f>
        <v>#N/A</v>
      </c>
      <c r="AD187" s="243">
        <f t="shared" si="68"/>
        <v>822</v>
      </c>
      <c r="AE187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87" s="197" t="str">
        <f t="shared" si="70"/>
        <v>"C:\Program Files (x86)\AstroGrep\AstroGrep.exe" /e /r /s /spath="%USERPROFILE%\AppData\Local\Temp\OnboardLogs" /stypes="app*4007*20171208*" /stext=" 20:.+((SYSTEM_STATE.+slice.+state.+changed )|(ment ac)|(multiple cpu faults)|(system.+state.+changed )|(\[timeout)|(PRM\|1\|D)|(kpr)|(kdp)|(train st.+moving)|(\|lc)|(penalty))"</v>
      </c>
      <c r="AG187" s="206" t="str">
        <f t="shared" si="71"/>
        <v>NW</v>
      </c>
      <c r="AH187" s="199" t="str">
        <f t="shared" si="72"/>
        <v>"%USERPROFILE%\Documents\GitHub\eaglep3\Utilities\RefineRTDCRunTimes.py" --tripid 822-08 --locoid 4007 --swversion DE.1.0.9.0 --startMP 300:58672 --initTime 2017-12-08T13:26:32 --startdatetime 2017-12-08T13:42:00 --delay 61 --endMP 204:120 --enddatetime 2017-12-08T13:54:50 --enforcementcount 0 &gt;&gt;%USERPROFILE%\Documents\GitHub\eaglep3-reporting\EC\2017-12-08-refined-times.txt</v>
      </c>
      <c r="AI187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{"issue":{"subject":"","project_id":79,"tracker_id":40,"status_id":1,"priority_id":2,"assigned_to_id":338,"start_date":"2017-12-08","description":"","custom_fields":[{"id":1,"name":"Subdivision","value":"NW"},{"id":4,"name":"Milepost","value":"0.012"},{"id":17,"name":"Train ID","value":"822-08"},{"id":16,"name":"Locomotive ID","value":"4007"},{"id":130,"name":"Impact","value":""},{"id":150,"name":"Time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188"/>
      <c r="AK187" s="196"/>
      <c r="AL187" s="196"/>
      <c r="AM187" s="203" t="str">
        <f t="shared" si="74"/>
        <v>start /low /b %USERPROFILE%\Documents\GitHub\eaglep3\Utilities\DownloadLogsFromS3.py --loco 4007 --day 2017-12-08</v>
      </c>
      <c r="AN187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20:54:50"},{"id":29,"name":"Sharepoint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95" t="str">
        <f t="shared" si="76"/>
        <v>https://d0f6bd738d7f1b3e5a7ca70fe4ff75f0.us-east-1.aws.found.io/app/kibana#/discover/Steve-Slow-Train-Analysis-(2080s-and-2083s)?_g=(refreshInterval:(display:Off,pause:!f,section:0,value:0),time:(from:'2017-12-08T12:26:32-0700',mode:absolute,to:'2017-12-08T14:54:50-0700'))&amp;_a=(columns:!('Message%20ID',Summary),filters:!(),index:'emp_*',interval:auto,query:(query_string:(analyze_wildcard:!t,query:'%22rtdc.l.rtdc.4007%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194" t="s">
        <v>822</v>
      </c>
      <c r="B188" s="190">
        <v>4008</v>
      </c>
      <c r="C188" s="192" t="s">
        <v>191</v>
      </c>
      <c r="D188" s="192" t="s">
        <v>1064</v>
      </c>
      <c r="E188" s="191">
        <v>43077.581863425927</v>
      </c>
      <c r="F188" s="191">
        <v>43077.589756944442</v>
      </c>
      <c r="G188" s="190">
        <v>73</v>
      </c>
      <c r="H188" s="192" t="s">
        <v>1065</v>
      </c>
      <c r="I188" s="191">
        <v>43077.599664351852</v>
      </c>
      <c r="J188" s="190">
        <v>0</v>
      </c>
      <c r="K188" s="200" t="str">
        <f t="shared" si="60"/>
        <v>4007/4008</v>
      </c>
      <c r="L188" s="207" t="str">
        <f>VLOOKUP(A188,'Trips&amp;Operators'!$C$1:$G$99911,5,FALSE)</f>
        <v>GUNTHIER ERIC</v>
      </c>
      <c r="M188" s="189">
        <f t="shared" si="61"/>
        <v>9.9074074096279219E-3</v>
      </c>
      <c r="N188" s="190">
        <f t="shared" si="88"/>
        <v>14.266666669864208</v>
      </c>
      <c r="O188" s="190"/>
      <c r="P188" s="190"/>
      <c r="Q188" s="193"/>
      <c r="R188" s="205"/>
      <c r="S188" s="235">
        <f t="shared" si="89"/>
        <v>1</v>
      </c>
      <c r="T188" s="236" t="str">
        <f t="shared" si="62"/>
        <v>NorthBound</v>
      </c>
      <c r="U188" s="23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37" t="str">
        <f t="shared" si="63"/>
        <v>https://d0f6bd738d7f1b3e5a7ca70fe4ff75f0.us-east-1.aws.found.io/app/kibana#/discover/Steve-Slow-Train-Analysis-(2080s-and-2083s)?_g=(refreshInterval:(display:Off,pause:!f,section:0,value:0),time:(from:'2017-12-08T12:57:53-0700',mode:absolute,to:'2017-12-08T15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238" t="str">
        <f>IF(AA188&lt;VLOOKUP(AG188,Variables!$AC$3:$AD$8,2,FALSE),"Y","N")</f>
        <v>N</v>
      </c>
      <c r="X188" s="238">
        <f t="shared" si="64"/>
        <v>1</v>
      </c>
      <c r="Y188" s="238">
        <f t="shared" si="86"/>
        <v>4.0300000000000002E-2</v>
      </c>
      <c r="Z188" s="238">
        <f t="shared" si="87"/>
        <v>5.8952</v>
      </c>
      <c r="AA188" s="238">
        <f t="shared" si="67"/>
        <v>5.8548999999999998</v>
      </c>
      <c r="AB188" s="242" t="e">
        <f>VLOOKUP(A188,Enforcements!$C$7:$K$9,8,0)</f>
        <v>#N/A</v>
      </c>
      <c r="AC188" s="242" t="e">
        <f>VLOOKUP(A188,Enforcements!$C$7:$E$9,3,0)</f>
        <v>#N/A</v>
      </c>
      <c r="AD188" s="243">
        <f t="shared" si="68"/>
        <v>823</v>
      </c>
      <c r="AE188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88" s="197" t="str">
        <f t="shared" si="70"/>
        <v>"C:\Program Files (x86)\AstroGrep\AstroGrep.exe" /e /r /s /spath="%USERPROFILE%\AppData\Local\Temp\OnboardLogs" /stypes="app*4008*20171208*" /stext=" 21:.+((SYSTEM_STATE.+slice.+state.+changed )|(ment ac)|(multiple cpu faults)|(system.+state.+changed )|(\[timeout)|(PRM\|1\|D)|(kpr)|(kdp)|(train st.+moving)|(\|lc)|(penalty))"</v>
      </c>
      <c r="AG188" s="206" t="str">
        <f t="shared" si="71"/>
        <v>NW</v>
      </c>
      <c r="AH188" s="199" t="str">
        <f t="shared" si="72"/>
        <v>"%USERPROFILE%\Documents\GitHub\eaglep3\Utilities\RefineRTDCRunTimes.py" --tripid 823-08 --locoid 4008 --swversion DE.1.0.9.0 --startMP 204:403 --initTime 2017-12-08T13:57:53 --startdatetime 2017-12-08T14:09:15 --delay 73 --endMP 300:58952 --enddatetime 2017-12-08T14:23:31 --enforcementcount 0 &gt;&gt;%USERPROFILE%\Documents\GitHub\eaglep3-reporting\EC\2017-12-08-refined-times.txt</v>
      </c>
      <c r="AI188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{"issue":{"subject":"","project_id":79,"tracker_id":40,"status_id":1,"priority_id":2,"assigned_to_id":338,"start_date":"2017-12-08","description":"","custom_fields":[{"id":1,"name":"Subdivision","value":"NW"},{"id":4,"name":"Milepost","value":"5.8952"},{"id":17,"name":"Train ID","value":"823-08"},{"id":16,"name":"Locomotive ID","value":"4008"},{"id":130,"name":"Impact","value":""},{"id":150,"name":"Time of Event (Mountain Time)","value":"14:23:31"},{"id":151,"name":"Denver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188"/>
      <c r="AK188" s="196"/>
      <c r="AL188" s="196"/>
      <c r="AM188" s="203" t="str">
        <f t="shared" si="74"/>
        <v>start /low /b %USERPROFILE%\Documents\GitHub\eaglep3\Utilities\DownloadLogsFromS3.py --loco 4008 --day 2017-12-08</v>
      </c>
      <c r="AN188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95" t="str">
        <f t="shared" si="76"/>
        <v>https://d0f6bd738d7f1b3e5a7ca70fe4ff75f0.us-east-1.aws.found.io/app/kibana#/discover/Steve-Slow-Train-Analysis-(2080s-and-2083s)?_g=(refreshInterval:(display:Off,pause:!f,section:0,value:0),time:(from:'2017-12-08T12:57:53-0700',mode:absolute,to:'2017-12-08T15:23:31-0700'))&amp;_a=(columns:!('Message%20ID',Summary),filters:!(),index:'emp_*',interval:auto,query:(query_string:(analyze_wildcard:!t,query:'%22rtdc.l.rtdc.4008%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194" t="s">
        <v>827</v>
      </c>
      <c r="B189" s="190">
        <v>4007</v>
      </c>
      <c r="C189" s="192" t="s">
        <v>191</v>
      </c>
      <c r="D189" s="192" t="s">
        <v>1037</v>
      </c>
      <c r="E189" s="191">
        <v>43077.601018518515</v>
      </c>
      <c r="F189" s="191">
        <v>43077.612500000003</v>
      </c>
      <c r="G189" s="190">
        <v>46</v>
      </c>
      <c r="H189" s="192" t="s">
        <v>1038</v>
      </c>
      <c r="I189" s="191">
        <v>43077.621446759258</v>
      </c>
      <c r="J189" s="190">
        <v>0</v>
      </c>
      <c r="K189" s="200" t="str">
        <f t="shared" si="60"/>
        <v>4007/4008</v>
      </c>
      <c r="L189" s="207" t="str">
        <f>VLOOKUP(A189,'Trips&amp;Operators'!$C$1:$G$99911,5,FALSE)</f>
        <v>GUNTHIER ERIC</v>
      </c>
      <c r="M189" s="189">
        <f t="shared" si="61"/>
        <v>8.9467592551955022E-3</v>
      </c>
      <c r="N189" s="190">
        <f t="shared" si="88"/>
        <v>12.883333327481523</v>
      </c>
      <c r="O189" s="190"/>
      <c r="P189" s="190"/>
      <c r="Q189" s="193"/>
      <c r="R189" s="205"/>
      <c r="S189" s="235">
        <f t="shared" si="89"/>
        <v>1</v>
      </c>
      <c r="T189" s="236" t="str">
        <f t="shared" si="62"/>
        <v>Southbound</v>
      </c>
      <c r="U189" s="23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37" t="str">
        <f t="shared" si="63"/>
        <v>https://d0f6bd738d7f1b3e5a7ca70fe4ff75f0.us-east-1.aws.found.io/app/kibana#/discover/Steve-Slow-Train-Analysis-(2080s-and-2083s)?_g=(refreshInterval:(display:Off,pause:!f,section:0,value:0),time:(from:'2017-12-08T13:25:28-0700',mode:absolute,to:'2017-12-08T15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238" t="str">
        <f>IF(AA189&lt;VLOOKUP(AG189,Variables!$AC$3:$AD$8,2,FALSE),"Y","N")</f>
        <v>N</v>
      </c>
      <c r="X189" s="238">
        <f t="shared" si="64"/>
        <v>1</v>
      </c>
      <c r="Y189" s="238">
        <f t="shared" si="86"/>
        <v>5.8628</v>
      </c>
      <c r="Z189" s="238">
        <f t="shared" si="87"/>
        <v>0.01</v>
      </c>
      <c r="AA189" s="238">
        <f t="shared" si="67"/>
        <v>5.8528000000000002</v>
      </c>
      <c r="AB189" s="242" t="e">
        <f>VLOOKUP(A189,Enforcements!$C$7:$K$9,8,0)</f>
        <v>#N/A</v>
      </c>
      <c r="AC189" s="242" t="e">
        <f>VLOOKUP(A189,Enforcements!$C$7:$E$9,3,0)</f>
        <v>#N/A</v>
      </c>
      <c r="AD189" s="243">
        <f t="shared" si="68"/>
        <v>824</v>
      </c>
      <c r="AE189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89" s="197" t="str">
        <f t="shared" si="70"/>
        <v>"C:\Program Files (x86)\AstroGrep\AstroGrep.exe" /e /r /s /spath="%USERPROFILE%\AppData\Local\Temp\OnboardLogs" /stypes="app*4007*20171208*" /stext=" 21:.+((SYSTEM_STATE.+slice.+state.+changed )|(ment ac)|(multiple cpu faults)|(system.+state.+changed )|(\[timeout)|(PRM\|1\|D)|(kpr)|(kdp)|(train st.+moving)|(\|lc)|(penalty))"</v>
      </c>
      <c r="AG189" s="206" t="str">
        <f t="shared" si="71"/>
        <v>NW</v>
      </c>
      <c r="AH189" s="199" t="str">
        <f t="shared" si="72"/>
        <v>"%USERPROFILE%\Documents\GitHub\eaglep3\Utilities\RefineRTDCRunTimes.py" --tripid 824-08 --locoid 4007 --swversion DE.1.0.9.0 --startMP 300:58628 --initTime 2017-12-08T14:25:28 --startdatetime 2017-12-08T14:42:00 --delay 46 --endMP 204:100 --enddatetime 2017-12-08T14:54:53 --enforcementcount 0 &gt;&gt;%USERPROFILE%\Documents\GitHub\eaglep3-reporting\EC\2017-12-08-refined-times.txt</v>
      </c>
      <c r="AI189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{"issue":{"subject":"","project_id":79,"tracker_id":40,"status_id":1,"priority_id":2,"assigned_to_id":338,"start_date":"2017-12-08","description":"","custom_fields":[{"id":1,"name":"Subdivision","value":"NW"},{"id":4,"name":"Milepost","value":"0.01"},{"id":17,"name":"Train ID","value":"824-08"},{"id":16,"name":"Locomotive ID","value":"4007"},{"id":130,"name":"Impact","value":""},{"id":150,"name":"Time of Event (Mountain Time)","value":"14:54:53"},{"id":151,"name":"Denver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8"/>
      <c r="AK189" s="196"/>
      <c r="AL189" s="196"/>
      <c r="AM189" s="203" t="str">
        <f t="shared" si="74"/>
        <v>start /low /b %USERPROFILE%\Documents\GitHub\eaglep3\Utilities\DownloadLogsFromS3.py --loco 4007 --day 2017-12-08</v>
      </c>
      <c r="AN189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21:54:53"},{"id":29,"name":"Sharepoint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95" t="str">
        <f t="shared" si="76"/>
        <v>https://d0f6bd738d7f1b3e5a7ca70fe4ff75f0.us-east-1.aws.found.io/app/kibana#/discover/Steve-Slow-Train-Analysis-(2080s-and-2083s)?_g=(refreshInterval:(display:Off,pause:!f,section:0,value:0),time:(from:'2017-12-08T13:25:28-0700',mode:absolute,to:'2017-12-08T15:54:53-0700'))&amp;_a=(columns:!('Message%20ID',Summary),filters:!(),index:'emp_*',interval:auto,query:(query_string:(analyze_wildcard:!t,query:'%22rtdc.l.rtdc.4007%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188" customFormat="1" x14ac:dyDescent="0.25">
      <c r="A190" s="194" t="s">
        <v>696</v>
      </c>
      <c r="B190" s="190">
        <v>4008</v>
      </c>
      <c r="C190" s="192" t="s">
        <v>191</v>
      </c>
      <c r="D190" s="192" t="s">
        <v>1066</v>
      </c>
      <c r="E190" s="191">
        <v>43077.623032407406</v>
      </c>
      <c r="F190" s="191">
        <v>43077.631597222222</v>
      </c>
      <c r="G190" s="190">
        <v>402</v>
      </c>
      <c r="H190" s="192" t="s">
        <v>1067</v>
      </c>
      <c r="I190" s="191">
        <v>43077.641631944447</v>
      </c>
      <c r="J190" s="190">
        <v>0</v>
      </c>
      <c r="K190" s="200" t="str">
        <f t="shared" si="60"/>
        <v>4007/4008</v>
      </c>
      <c r="L190" s="207" t="str">
        <f>VLOOKUP(A190,'Trips&amp;Operators'!$C$1:$G$99911,5,FALSE)</f>
        <v>GUNTHIER ERIC</v>
      </c>
      <c r="M190" s="189">
        <f t="shared" si="61"/>
        <v>1.0034722225100268E-2</v>
      </c>
      <c r="N190" s="190">
        <f t="shared" si="88"/>
        <v>14.450000004144385</v>
      </c>
      <c r="O190" s="190"/>
      <c r="P190" s="190"/>
      <c r="Q190" s="193"/>
      <c r="R190" s="205"/>
      <c r="S190" s="235">
        <f t="shared" si="89"/>
        <v>1</v>
      </c>
      <c r="T190" s="236" t="str">
        <f t="shared" si="62"/>
        <v>NorthBound</v>
      </c>
      <c r="U190" s="23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37" t="str">
        <f t="shared" si="63"/>
        <v>https://d0f6bd738d7f1b3e5a7ca70fe4ff75f0.us-east-1.aws.found.io/app/kibana#/discover/Steve-Slow-Train-Analysis-(2080s-and-2083s)?_g=(refreshInterval:(display:Off,pause:!f,section:0,value:0),time:(from:'2017-12-08T13:57:10-0700',mode:absolute,to:'2017-12-08T16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238" t="str">
        <f>IF(AA190&lt;VLOOKUP(AG190,Variables!$AC$3:$AD$8,2,FALSE),"Y","N")</f>
        <v>N</v>
      </c>
      <c r="X190" s="238">
        <f t="shared" si="64"/>
        <v>1</v>
      </c>
      <c r="Y190" s="238">
        <f t="shared" si="86"/>
        <v>4.0099999999999997E-2</v>
      </c>
      <c r="Z190" s="238">
        <f t="shared" si="87"/>
        <v>5.8912000000000004</v>
      </c>
      <c r="AA190" s="238">
        <f t="shared" si="67"/>
        <v>5.8511000000000006</v>
      </c>
      <c r="AB190" s="242" t="e">
        <f>VLOOKUP(A190,Enforcements!$C$7:$K$9,8,0)</f>
        <v>#N/A</v>
      </c>
      <c r="AC190" s="242" t="e">
        <f>VLOOKUP(A190,Enforcements!$C$7:$E$9,3,0)</f>
        <v>#N/A</v>
      </c>
      <c r="AD190" s="243">
        <f t="shared" si="68"/>
        <v>825</v>
      </c>
      <c r="AE190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90" s="197" t="str">
        <f t="shared" si="70"/>
        <v>"C:\Program Files (x86)\AstroGrep\AstroGrep.exe" /e /r /s /spath="%USERPROFILE%\AppData\Local\Temp\OnboardLogs" /stypes="app*4008*20171208*" /stext=" 22:.+((SYSTEM_STATE.+slice.+state.+changed )|(ment ac)|(multiple cpu faults)|(system.+state.+changed )|(\[timeout)|(PRM\|1\|D)|(kpr)|(kdp)|(train st.+moving)|(\|lc)|(penalty))"</v>
      </c>
      <c r="AG190" s="206" t="str">
        <f t="shared" si="71"/>
        <v>NW</v>
      </c>
      <c r="AH190" s="199" t="str">
        <f t="shared" si="72"/>
        <v>"%USERPROFILE%\Documents\GitHub\eaglep3\Utilities\RefineRTDCRunTimes.py" --tripid 825-08 --locoid 4008 --swversion DE.1.0.9.0 --startMP 204:401 --initTime 2017-12-08T14:57:10 --startdatetime 2017-12-08T15:09:30 --delay 402 --endMP 300:58912 --enddatetime 2017-12-08T15:23:57 --enforcementcount 0 &gt;&gt;%USERPROFILE%\Documents\GitHub\eaglep3-reporting\EC\2017-12-08-refined-times.txt</v>
      </c>
      <c r="AI190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{"issue":{"subject":"","project_id":79,"tracker_id":40,"status_id":1,"priority_id":2,"assigned_to_id":338,"start_date":"2017-12-08","description":"","custom_fields":[{"id":1,"name":"Subdivision","value":"NW"},{"id":4,"name":"Milepost","value":"5.8912"},{"id":17,"name":"Train ID","value":"825-08"},{"id":16,"name":"Locomotive ID","value":"4008"},{"id":130,"name":"Impact","value":""},{"id":150,"name":"Time of Event (Mountain Time)","value":"15:23:57"},{"id":151,"name":"Denver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196"/>
      <c r="AL190" s="196"/>
      <c r="AM190" s="203" t="str">
        <f t="shared" si="74"/>
        <v>start /low /b %USERPROFILE%\Documents\GitHub\eaglep3\Utilities\DownloadLogsFromS3.py --loco 4008 --day 2017-12-08</v>
      </c>
      <c r="AN190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95" t="str">
        <f t="shared" si="76"/>
        <v>https://d0f6bd738d7f1b3e5a7ca70fe4ff75f0.us-east-1.aws.found.io/app/kibana#/discover/Steve-Slow-Train-Analysis-(2080s-and-2083s)?_g=(refreshInterval:(display:Off,pause:!f,section:0,value:0),time:(from:'2017-12-08T13:57:10-0700',mode:absolute,to:'2017-12-08T16:23:57-0700'))&amp;_a=(columns:!('Message%20ID',Summary),filters:!(),index:'emp_*',interval:auto,query:(query_string:(analyze_wildcard:!t,query:'%22rtdc.l.rtdc.4008%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188" customFormat="1" x14ac:dyDescent="0.25">
      <c r="A191" s="194" t="s">
        <v>836</v>
      </c>
      <c r="B191" s="190">
        <v>4007</v>
      </c>
      <c r="C191" s="192" t="s">
        <v>191</v>
      </c>
      <c r="D191" s="192" t="s">
        <v>1068</v>
      </c>
      <c r="E191" s="191">
        <v>43077.643263888887</v>
      </c>
      <c r="F191" s="191">
        <v>43077.654166666667</v>
      </c>
      <c r="G191" s="190">
        <v>57</v>
      </c>
      <c r="H191" s="192" t="s">
        <v>1069</v>
      </c>
      <c r="I191" s="191">
        <v>43077.663391203707</v>
      </c>
      <c r="J191" s="190">
        <v>0</v>
      </c>
      <c r="K191" s="200" t="str">
        <f t="shared" si="60"/>
        <v>4007/4008</v>
      </c>
      <c r="L191" s="207" t="str">
        <f>VLOOKUP(A191,'Trips&amp;Operators'!$C$1:$G$99911,5,FALSE)</f>
        <v>GUNTHIER ERIC</v>
      </c>
      <c r="M191" s="189">
        <f t="shared" si="61"/>
        <v>9.2245370396994986E-3</v>
      </c>
      <c r="N191" s="190">
        <f t="shared" si="88"/>
        <v>13.283333337167278</v>
      </c>
      <c r="O191" s="190"/>
      <c r="P191" s="190"/>
      <c r="Q191" s="193"/>
      <c r="R191" s="205"/>
      <c r="S191" s="235">
        <f t="shared" si="89"/>
        <v>1</v>
      </c>
      <c r="T191" s="236" t="str">
        <f t="shared" si="62"/>
        <v>Southbound</v>
      </c>
      <c r="U191" s="23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37" t="str">
        <f t="shared" si="63"/>
        <v>https://d0f6bd738d7f1b3e5a7ca70fe4ff75f0.us-east-1.aws.found.io/app/kibana#/discover/Steve-Slow-Train-Analysis-(2080s-and-2083s)?_g=(refreshInterval:(display:Off,pause:!f,section:0,value:0),time:(from:'2017-12-08T14:26:18-0700',mode:absolute,to:'2017-12-08T16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238" t="str">
        <f>IF(AA191&lt;VLOOKUP(AG191,Variables!$AC$3:$AD$8,2,FALSE),"Y","N")</f>
        <v>N</v>
      </c>
      <c r="X191" s="238">
        <f t="shared" si="64"/>
        <v>1</v>
      </c>
      <c r="Y191" s="238">
        <f t="shared" si="86"/>
        <v>5.8596000000000004</v>
      </c>
      <c r="Z191" s="238">
        <f t="shared" si="87"/>
        <v>1.2200000000000001E-2</v>
      </c>
      <c r="AA191" s="238">
        <f t="shared" si="67"/>
        <v>5.8474000000000004</v>
      </c>
      <c r="AB191" s="242" t="e">
        <f>VLOOKUP(A191,Enforcements!$C$7:$K$9,8,0)</f>
        <v>#N/A</v>
      </c>
      <c r="AC191" s="242" t="e">
        <f>VLOOKUP(A191,Enforcements!$C$7:$E$9,3,0)</f>
        <v>#N/A</v>
      </c>
      <c r="AD191" s="243">
        <f t="shared" si="68"/>
        <v>826</v>
      </c>
      <c r="AE191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91" s="197" t="str">
        <f t="shared" si="70"/>
        <v>"C:\Program Files (x86)\AstroGrep\AstroGrep.exe" /e /r /s /spath="%USERPROFILE%\AppData\Local\Temp\OnboardLogs" /stypes="app*4007*20171208*" /stext=" 22:.+((SYSTEM_STATE.+slice.+state.+changed )|(ment ac)|(multiple cpu faults)|(system.+state.+changed )|(\[timeout)|(PRM\|1\|D)|(kpr)|(kdp)|(train st.+moving)|(\|lc)|(penalty))"</v>
      </c>
      <c r="AG191" s="206" t="str">
        <f t="shared" si="71"/>
        <v>NW</v>
      </c>
      <c r="AH191" s="199" t="str">
        <f t="shared" si="72"/>
        <v>"%USERPROFILE%\Documents\GitHub\eaglep3\Utilities\RefineRTDCRunTimes.py" --tripid 826-08 --locoid 4007 --swversion DE.1.0.9.0 --startMP 300:58596 --initTime 2017-12-08T15:26:18 --startdatetime 2017-12-08T15:42:00 --delay 57 --endMP 204:122 --enddatetime 2017-12-08T15:55:17 --enforcementcount 0 &gt;&gt;%USERPROFILE%\Documents\GitHub\eaglep3-reporting\EC\2017-12-08-refined-times.txt</v>
      </c>
      <c r="AI191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{"issue":{"subject":"","project_id":79,"tracker_id":40,"status_id":1,"priority_id":2,"assigned_to_id":338,"start_date":"2017-12-08","description":"","custom_fields":[{"id":1,"name":"Subdivision","value":"NW"},{"id":4,"name":"Milepost","value":"0.0122"},{"id":17,"name":"Train ID","value":"826-08"},{"id":16,"name":"Locomotive ID","value":"4007"},{"id":130,"name":"Impact","value":""},{"id":150,"name":"Time of Event (Mountain Time)","value":"15:55:17"},{"id":151,"name":"Denver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196"/>
      <c r="AL191" s="196"/>
      <c r="AM191" s="203" t="str">
        <f t="shared" si="74"/>
        <v>start /low /b %USERPROFILE%\Documents\GitHub\eaglep3\Utilities\DownloadLogsFromS3.py --loco 4007 --day 2017-12-08</v>
      </c>
      <c r="AN191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95" t="str">
        <f t="shared" si="76"/>
        <v>https://d0f6bd738d7f1b3e5a7ca70fe4ff75f0.us-east-1.aws.found.io/app/kibana#/discover/Steve-Slow-Train-Analysis-(2080s-and-2083s)?_g=(refreshInterval:(display:Off,pause:!f,section:0,value:0),time:(from:'2017-12-08T14:26:18-0700',mode:absolute,to:'2017-12-08T16:55:17-0700'))&amp;_a=(columns:!('Message%20ID',Summary),filters:!(),index:'emp_*',interval:auto,query:(query_string:(analyze_wildcard:!t,query:'%22rtdc.l.rtdc.4007%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188" customFormat="1" x14ac:dyDescent="0.25">
      <c r="A192" s="194" t="s">
        <v>837</v>
      </c>
      <c r="B192" s="190">
        <v>4004</v>
      </c>
      <c r="C192" s="192" t="s">
        <v>191</v>
      </c>
      <c r="D192" s="192" t="s">
        <v>593</v>
      </c>
      <c r="E192" s="191">
        <v>43077.646226851852</v>
      </c>
      <c r="F192" s="191">
        <v>43077.647210648145</v>
      </c>
      <c r="G192" s="190">
        <v>80</v>
      </c>
      <c r="H192" s="192" t="s">
        <v>593</v>
      </c>
      <c r="I192" s="191">
        <v>43077.648541666669</v>
      </c>
      <c r="J192" s="190">
        <v>0</v>
      </c>
      <c r="K192" s="200" t="str">
        <f t="shared" si="60"/>
        <v>4003/4004</v>
      </c>
      <c r="L192" s="207" t="str">
        <f>VLOOKUP(A192,'Trips&amp;Operators'!$C$1:$G$99911,5,FALSE)</f>
        <v>LORI SANTOS</v>
      </c>
      <c r="M192" s="189">
        <f t="shared" si="61"/>
        <v>1.3310185240698047E-3</v>
      </c>
      <c r="N192" s="190"/>
      <c r="O192" s="190"/>
      <c r="P192" s="190">
        <f>24*60*SUM($M192:$M192)</f>
        <v>1.9166666746605188</v>
      </c>
      <c r="Q192" s="193"/>
      <c r="R192" s="205" t="s">
        <v>1110</v>
      </c>
      <c r="S192" s="235">
        <f t="shared" si="89"/>
        <v>0</v>
      </c>
      <c r="T192" s="236" t="str">
        <f t="shared" si="62"/>
        <v>NorthBound</v>
      </c>
      <c r="U192" s="23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237" t="str">
        <f t="shared" si="63"/>
        <v>https://d0f6bd738d7f1b3e5a7ca70fe4ff75f0.us-east-1.aws.found.io/app/kibana#/discover/Steve-Slow-Train-Analysis-(2080s-and-2083s)?_g=(refreshInterval:(display:Off,pause:!f,section:0,value:0),time:(from:'2017-12-08T14:30:34-0700',mode:absolute,to:'2017-12-08T16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2" s="238" t="str">
        <f>IF(AA192&lt;VLOOKUP(AG192,Variables!$AC$3:$AD$8,2,FALSE),"Y","N")</f>
        <v>Y</v>
      </c>
      <c r="X192" s="238">
        <f t="shared" si="64"/>
        <v>1</v>
      </c>
      <c r="Y192" s="238">
        <f t="shared" si="86"/>
        <v>4.5499999999999999E-2</v>
      </c>
      <c r="Z192" s="238">
        <f t="shared" si="87"/>
        <v>4.5499999999999999E-2</v>
      </c>
      <c r="AA192" s="238">
        <f t="shared" si="67"/>
        <v>0</v>
      </c>
      <c r="AB192" s="242" t="e">
        <f>VLOOKUP(A192,Enforcements!$C$7:$K$9,8,0)</f>
        <v>#N/A</v>
      </c>
      <c r="AC192" s="242" t="e">
        <f>VLOOKUP(A192,Enforcements!$C$7:$E$9,3,0)</f>
        <v>#N/A</v>
      </c>
      <c r="AD192" s="243">
        <f t="shared" si="68"/>
        <v>827</v>
      </c>
      <c r="AE192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192" s="197" t="str">
        <f t="shared" si="70"/>
        <v>"C:\Program Files (x86)\AstroGrep\AstroGrep.exe" /e /r /s /spath="%USERPROFILE%\AppData\Local\Temp\OnboardLogs" /stypes="app*4004*20171208*" /stext=" 22:.+((SYSTEM_STATE.+slice.+state.+changed )|(ment ac)|(multiple cpu faults)|(system.+state.+changed )|(\[timeout)|(PRM\|1\|D)|(kpr)|(kdp)|(train st.+moving)|(\|lc)|(penalty))"</v>
      </c>
      <c r="AG192" s="206" t="str">
        <f t="shared" si="71"/>
        <v>NW</v>
      </c>
      <c r="AH192" s="199" t="str">
        <f t="shared" si="72"/>
        <v>"%USERPROFILE%\Documents\GitHub\eaglep3\Utilities\RefineRTDCRunTimes.py" --tripid 827-08 --locoid 4004 --swversion DE.1.0.9.0 --startMP 204:455 --initTime 2017-12-08T15:30:34 --startdatetime 2017-12-08T15:31:59 --delay 80 --endMP 204:455 --enddatetime 2017-12-08T15:33:54 --enforcementcount 0 &gt;&gt;%USERPROFILE%\Documents\GitHub\eaglep3-reporting\EC\2017-12-08-refined-times.txt</v>
      </c>
      <c r="AI192" s="201" t="str">
        <f t="shared" si="73"/>
        <v>echo {"issue":{"subject":"Onboard in-route failure","project_id":79,"tracker_id":40,"status_id":1,"priority_id":2,"assigned_to_id":338,"start_date":"2017-12-08","description":"","custom_fields":[{"id":1,"name":"Subdivision","value":"NW"},{"id":4,"name":"Milepost","value":"0.0455"},{"id":17,"name":"Train ID","value":"827-08"},{"id":16,"name":"Locomotive ID","value":"4004"},{"id":130,"name":"Impact","value":""},{"id":150,"name":"Time of Event (Mountain Time)","value":"15:33:54"},{"id":151,"name":"Denver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196"/>
      <c r="AL192" s="196"/>
      <c r="AM192" s="203" t="str">
        <f t="shared" si="74"/>
        <v>start /low /b %USERPROFILE%\Documents\GitHub\eaglep3\Utilities\DownloadLogsFromS3.py --loco 4004 --day 2017-12-08</v>
      </c>
      <c r="AN192" s="204" t="str">
        <f t="shared" si="75"/>
        <v>echo {"issue":{"subject":"Onboard in-route failure","project_id":30,"tracker_id":4,"status_id":1,"priority_id":1,"assigned_to_id":10,"start_date":"2017-12-08","description":"","custom_fields":[{"id":30,"name":"Category","value":"Issue"},{"id":3,"name":"Functional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95" t="str">
        <f t="shared" si="76"/>
        <v>https://d0f6bd738d7f1b3e5a7ca70fe4ff75f0.us-east-1.aws.found.io/app/kibana#/discover/Steve-Slow-Train-Analysis-(2080s-and-2083s)?_g=(refreshInterval:(display:Off,pause:!f,section:0,value:0),time:(from:'2017-12-08T14:30:34-0700',mode:absolute,to:'2017-12-08T16:33:54-0700'))&amp;_a=(columns:!('Message%20ID',Summary),filters:!(),index:'emp_*',interval:auto,query:(query_string:(analyze_wildcard:!t,query:'%22rtdc.l.rtdc.4004%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188" customFormat="1" x14ac:dyDescent="0.25">
      <c r="A193" s="194" t="s">
        <v>843</v>
      </c>
      <c r="B193" s="190">
        <v>4003</v>
      </c>
      <c r="C193" s="192" t="s">
        <v>191</v>
      </c>
      <c r="D193" s="192" t="s">
        <v>1048</v>
      </c>
      <c r="E193" s="191">
        <v>43077.666296296295</v>
      </c>
      <c r="F193" s="191">
        <v>43077.675000000003</v>
      </c>
      <c r="G193" s="190">
        <v>56</v>
      </c>
      <c r="H193" s="192" t="s">
        <v>1058</v>
      </c>
      <c r="I193" s="191">
        <v>43077.684293981481</v>
      </c>
      <c r="J193" s="190">
        <v>0</v>
      </c>
      <c r="K193" s="200" t="str">
        <f t="shared" si="60"/>
        <v>4003/4004</v>
      </c>
      <c r="L193" s="207" t="str">
        <f>VLOOKUP(A193,'Trips&amp;Operators'!$C$1:$G$99911,5,FALSE)</f>
        <v>LORI SANTOS</v>
      </c>
      <c r="M193" s="189">
        <f t="shared" si="61"/>
        <v>9.29398147854954E-3</v>
      </c>
      <c r="N193" s="190">
        <f t="shared" ref="N193:N236" si="90">24*60*SUM($M193:$M193)</f>
        <v>13.383333329111338</v>
      </c>
      <c r="O193" s="190"/>
      <c r="P193" s="190"/>
      <c r="Q193" s="193"/>
      <c r="R193" s="205"/>
      <c r="S193" s="235">
        <f t="shared" si="89"/>
        <v>1</v>
      </c>
      <c r="T193" s="236" t="str">
        <f t="shared" si="62"/>
        <v>Southbound</v>
      </c>
      <c r="U193" s="23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37" t="str">
        <f t="shared" si="63"/>
        <v>https://d0f6bd738d7f1b3e5a7ca70fe4ff75f0.us-east-1.aws.found.io/app/kibana#/discover/Steve-Slow-Train-Analysis-(2080s-and-2083s)?_g=(refreshInterval:(display:Off,pause:!f,section:0,value:0),time:(from:'2017-12-08T14:59:28-0700',mode:absolute,to:'2017-12-08T17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3" s="238" t="str">
        <f>IF(AA193&lt;VLOOKUP(AG193,Variables!$AC$3:$AD$8,2,FALSE),"Y","N")</f>
        <v>N</v>
      </c>
      <c r="X193" s="238">
        <f t="shared" si="64"/>
        <v>1</v>
      </c>
      <c r="Y193" s="238">
        <f t="shared" si="86"/>
        <v>5.8615000000000004</v>
      </c>
      <c r="Z193" s="238">
        <f t="shared" si="87"/>
        <v>1.4200000000000001E-2</v>
      </c>
      <c r="AA193" s="238">
        <f t="shared" si="67"/>
        <v>5.8473000000000006</v>
      </c>
      <c r="AB193" s="242" t="e">
        <f>VLOOKUP(A193,Enforcements!$C$7:$K$9,8,0)</f>
        <v>#N/A</v>
      </c>
      <c r="AC193" s="242" t="e">
        <f>VLOOKUP(A193,Enforcements!$C$7:$E$9,3,0)</f>
        <v>#N/A</v>
      </c>
      <c r="AD193" s="243">
        <f t="shared" si="68"/>
        <v>828</v>
      </c>
      <c r="AE193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93" s="197" t="str">
        <f t="shared" si="70"/>
        <v>"C:\Program Files (x86)\AstroGrep\AstroGrep.exe" /e /r /s /spath="%USERPROFILE%\AppData\Local\Temp\OnboardLogs" /stypes="app*4003*20171208*" /stext=" 23:.+((SYSTEM_STATE.+slice.+state.+changed )|(ment ac)|(multiple cpu faults)|(system.+state.+changed )|(\[timeout)|(PRM\|1\|D)|(kpr)|(kdp)|(train st.+moving)|(\|lc)|(penalty))"</v>
      </c>
      <c r="AG193" s="206" t="str">
        <f t="shared" si="71"/>
        <v>NW</v>
      </c>
      <c r="AH193" s="199" t="str">
        <f t="shared" si="72"/>
        <v>"%USERPROFILE%\Documents\GitHub\eaglep3\Utilities\RefineRTDCRunTimes.py" --tripid 828-08 --locoid 4003 --swversion DE.1.0.9.0 --startMP 300:58615 --initTime 2017-12-08T15:59:28 --startdatetime 2017-12-08T16:12:00 --delay 56 --endMP 204:142 --enddatetime 2017-12-08T16:25:23 --enforcementcount 0 &gt;&gt;%USERPROFILE%\Documents\GitHub\eaglep3-reporting\EC\2017-12-08-refined-times.txt</v>
      </c>
      <c r="AI193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{"issue":{"subject":"","project_id":79,"tracker_id":40,"status_id":1,"priority_id":2,"assigned_to_id":338,"start_date":"2017-12-08","description":"","custom_fields":[{"id":1,"name":"Subdivision","value":"NW"},{"id":4,"name":"Milepost","value":"0.0142"},{"id":17,"name":"Train ID","value":"828-08"},{"id":16,"name":"Locomotive ID","value":"4003"},{"id":130,"name":"Impact","value":""},{"id":150,"name":"Time of Event (Mountain Time)","value":"16:25:23"},{"id":151,"name":"Denver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196"/>
      <c r="AL193" s="196"/>
      <c r="AM193" s="203" t="str">
        <f t="shared" si="74"/>
        <v>start /low /b %USERPROFILE%\Documents\GitHub\eaglep3\Utilities\DownloadLogsFromS3.py --loco 4003 --day 2017-12-08</v>
      </c>
      <c r="AN193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95" t="str">
        <f t="shared" si="76"/>
        <v>https://d0f6bd738d7f1b3e5a7ca70fe4ff75f0.us-east-1.aws.found.io/app/kibana#/discover/Steve-Slow-Train-Analysis-(2080s-and-2083s)?_g=(refreshInterval:(display:Off,pause:!f,section:0,value:0),time:(from:'2017-12-08T14:59:28-0700',mode:absolute,to:'2017-12-08T17:25:23-0700'))&amp;_a=(columns:!('Message%20ID',Summary),filters:!(),index:'emp_*',interval:auto,query:(query_string:(analyze_wildcard:!t,query:'%22rtdc.l.rtdc.4003%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194" t="s">
        <v>842</v>
      </c>
      <c r="B194" s="190">
        <v>4008</v>
      </c>
      <c r="C194" s="192" t="s">
        <v>191</v>
      </c>
      <c r="D194" s="192" t="s">
        <v>1070</v>
      </c>
      <c r="E194" s="191">
        <v>43077.665833333333</v>
      </c>
      <c r="F194" s="191">
        <v>43077.673113425924</v>
      </c>
      <c r="G194" s="190">
        <v>59</v>
      </c>
      <c r="H194" s="192" t="s">
        <v>514</v>
      </c>
      <c r="I194" s="191">
        <v>43077.683912037035</v>
      </c>
      <c r="J194" s="190">
        <v>0</v>
      </c>
      <c r="K194" s="200" t="str">
        <f t="shared" si="60"/>
        <v>4007/4008</v>
      </c>
      <c r="L194" s="207" t="str">
        <f>VLOOKUP(A194,'Trips&amp;Operators'!$C$1:$G$99911,5,FALSE)</f>
        <v>GUNTHIER ERIC</v>
      </c>
      <c r="M194" s="189">
        <f t="shared" si="61"/>
        <v>1.0798611110658385E-2</v>
      </c>
      <c r="N194" s="190">
        <f t="shared" si="90"/>
        <v>15.549999999348074</v>
      </c>
      <c r="O194" s="190"/>
      <c r="P194" s="190"/>
      <c r="Q194" s="193"/>
      <c r="R194" s="205"/>
      <c r="S194" s="235">
        <f t="shared" si="89"/>
        <v>1</v>
      </c>
      <c r="T194" s="236" t="str">
        <f t="shared" si="62"/>
        <v>NorthBound</v>
      </c>
      <c r="U194" s="23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37" t="str">
        <f t="shared" si="63"/>
        <v>https://d0f6bd738d7f1b3e5a7ca70fe4ff75f0.us-east-1.aws.found.io/app/kibana#/discover/Steve-Slow-Train-Analysis-(2080s-and-2083s)?_g=(refreshInterval:(display:Off,pause:!f,section:0,value:0),time:(from:'2017-12-08T14:58:48-0700',mode:absolute,to:'2017-12-08T17:24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238" t="str">
        <f>IF(AA194&lt;VLOOKUP(AG194,Variables!$AC$3:$AD$8,2,FALSE),"Y","N")</f>
        <v>N</v>
      </c>
      <c r="X194" s="238">
        <f t="shared" si="64"/>
        <v>1</v>
      </c>
      <c r="Y194" s="238">
        <f t="shared" ref="Y194:Y225" si="91">RIGHT(D194,LEN(D194)-4)/10000</f>
        <v>4.2799999999999998E-2</v>
      </c>
      <c r="Z194" s="238">
        <f t="shared" ref="Z194:Z225" si="92">RIGHT(H194,LEN(H194)-4)/10000</f>
        <v>5.8933</v>
      </c>
      <c r="AA194" s="238">
        <f t="shared" si="67"/>
        <v>5.8505000000000003</v>
      </c>
      <c r="AB194" s="242" t="e">
        <f>VLOOKUP(A194,Enforcements!$C$7:$K$9,8,0)</f>
        <v>#N/A</v>
      </c>
      <c r="AC194" s="242" t="e">
        <f>VLOOKUP(A194,Enforcements!$C$7:$E$9,3,0)</f>
        <v>#N/A</v>
      </c>
      <c r="AD194" s="243">
        <f t="shared" si="68"/>
        <v>829</v>
      </c>
      <c r="AE194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94" s="197" t="str">
        <f t="shared" si="70"/>
        <v>"C:\Program Files (x86)\AstroGrep\AstroGrep.exe" /e /r /s /spath="%USERPROFILE%\AppData\Local\Temp\OnboardLogs" /stypes="app*4008*20171208*" /stext=" 23:.+((SYSTEM_STATE.+slice.+state.+changed )|(ment ac)|(multiple cpu faults)|(system.+state.+changed )|(\[timeout)|(PRM\|1\|D)|(kpr)|(kdp)|(train st.+moving)|(\|lc)|(penalty))"</v>
      </c>
      <c r="AG194" s="206" t="str">
        <f t="shared" si="71"/>
        <v>NW</v>
      </c>
      <c r="AH194" s="199" t="str">
        <f t="shared" si="72"/>
        <v>"%USERPROFILE%\Documents\GitHub\eaglep3\Utilities\RefineRTDCRunTimes.py" --tripid 829-08 --locoid 4008 --swversion DE.1.0.9.0 --startMP 204:428 --initTime 2017-12-08T15:58:48 --startdatetime 2017-12-08T16:09:17 --delay 59 --endMP 300:58933 --enddatetime 2017-12-08T16:24:50 --enforcementcount 0 &gt;&gt;%USERPROFILE%\Documents\GitHub\eaglep3-reporting\EC\2017-12-08-refined-times.txt</v>
      </c>
      <c r="AI194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{"issue":{"subject":"","project_id":79,"tracker_id":40,"status_id":1,"priority_id":2,"assigned_to_id":338,"start_date":"2017-12-08","description":"","custom_fields":[{"id":1,"name":"Subdivision","value":"NW"},{"id":4,"name":"Milepost","value":"5.8933"},{"id":17,"name":"Train ID","value":"829-08"},{"id":16,"name":"Locomotive ID","value":"4008"},{"id":130,"name":"Impact","value":""},{"id":150,"name":"Time of Event (Mountain Time)","value":"16:24:50"},{"id":151,"name":"Denver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188"/>
      <c r="AK194" s="196"/>
      <c r="AL194" s="196"/>
      <c r="AM194" s="203" t="str">
        <f t="shared" si="74"/>
        <v>start /low /b %USERPROFILE%\Documents\GitHub\eaglep3\Utilities\DownloadLogsFromS3.py --loco 4008 --day 2017-12-08</v>
      </c>
      <c r="AN194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95" t="str">
        <f t="shared" si="76"/>
        <v>https://d0f6bd738d7f1b3e5a7ca70fe4ff75f0.us-east-1.aws.found.io/app/kibana#/discover/Steve-Slow-Train-Analysis-(2080s-and-2083s)?_g=(refreshInterval:(display:Off,pause:!f,section:0,value:0),time:(from:'2017-12-08T14:58:48-0700',mode:absolute,to:'2017-12-08T17:24:50-0700'))&amp;_a=(columns:!('Message%20ID',Summary),filters:!(),index:'emp_*',interval:auto,query:(query_string:(analyze_wildcard:!t,query:'%22rtdc.l.rtdc.4008%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194" t="s">
        <v>852</v>
      </c>
      <c r="B195" s="190">
        <v>4007</v>
      </c>
      <c r="C195" s="192" t="s">
        <v>191</v>
      </c>
      <c r="D195" s="192" t="s">
        <v>1059</v>
      </c>
      <c r="E195" s="191">
        <v>43077.685590277775</v>
      </c>
      <c r="F195" s="191">
        <v>43077.695833333331</v>
      </c>
      <c r="G195" s="190">
        <v>51</v>
      </c>
      <c r="H195" s="192" t="s">
        <v>1071</v>
      </c>
      <c r="I195" s="191">
        <v>43077.704976851855</v>
      </c>
      <c r="J195" s="190">
        <v>0</v>
      </c>
      <c r="K195" s="200" t="str">
        <f t="shared" si="60"/>
        <v>4007/4008</v>
      </c>
      <c r="L195" s="207" t="str">
        <f>VLOOKUP(A195,'Trips&amp;Operators'!$C$1:$G$99911,5,FALSE)</f>
        <v>GUNTHIER ERIC</v>
      </c>
      <c r="M195" s="189">
        <f t="shared" si="61"/>
        <v>9.1435185240698047E-3</v>
      </c>
      <c r="N195" s="190">
        <f t="shared" si="90"/>
        <v>13.166666674660519</v>
      </c>
      <c r="O195" s="190"/>
      <c r="P195" s="190"/>
      <c r="Q195" s="193"/>
      <c r="R195" s="205"/>
      <c r="S195" s="235">
        <f t="shared" si="89"/>
        <v>1</v>
      </c>
      <c r="T195" s="236" t="str">
        <f t="shared" si="62"/>
        <v>Southbound</v>
      </c>
      <c r="U195" s="23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37" t="str">
        <f t="shared" si="63"/>
        <v>https://d0f6bd738d7f1b3e5a7ca70fe4ff75f0.us-east-1.aws.found.io/app/kibana#/discover/Steve-Slow-Train-Analysis-(2080s-and-2083s)?_g=(refreshInterval:(display:Off,pause:!f,section:0,value:0),time:(from:'2017-12-08T15:27:15-0700',mode:absolute,to:'2017-12-08T17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238" t="str">
        <f>IF(AA195&lt;VLOOKUP(AG195,Variables!$AC$3:$AD$8,2,FALSE),"Y","N")</f>
        <v>N</v>
      </c>
      <c r="X195" s="238">
        <f t="shared" si="64"/>
        <v>1</v>
      </c>
      <c r="Y195" s="238">
        <f t="shared" si="91"/>
        <v>5.8624000000000001</v>
      </c>
      <c r="Z195" s="238">
        <f t="shared" si="92"/>
        <v>1.0200000000000001E-2</v>
      </c>
      <c r="AA195" s="238">
        <f t="shared" si="67"/>
        <v>5.8521999999999998</v>
      </c>
      <c r="AB195" s="242" t="e">
        <f>VLOOKUP(A195,Enforcements!$C$7:$K$9,8,0)</f>
        <v>#N/A</v>
      </c>
      <c r="AC195" s="242" t="e">
        <f>VLOOKUP(A195,Enforcements!$C$7:$E$9,3,0)</f>
        <v>#N/A</v>
      </c>
      <c r="AD195" s="243">
        <f t="shared" si="68"/>
        <v>830</v>
      </c>
      <c r="AE195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95" s="197" t="str">
        <f t="shared" si="70"/>
        <v>"C:\Program Files (x86)\AstroGrep\AstroGrep.exe" /e /r /s /spath="%USERPROFILE%\AppData\Local\Temp\OnboardLogs" /stypes="app*4007*20171208*" /stext=" 23:.+((SYSTEM_STATE.+slice.+state.+changed )|(ment ac)|(multiple cpu faults)|(system.+state.+changed )|(\[timeout)|(PRM\|1\|D)|(kpr)|(kdp)|(train st.+moving)|(\|lc)|(penalty))"</v>
      </c>
      <c r="AG195" s="206" t="str">
        <f t="shared" si="71"/>
        <v>NW</v>
      </c>
      <c r="AH195" s="199" t="str">
        <f t="shared" si="72"/>
        <v>"%USERPROFILE%\Documents\GitHub\eaglep3\Utilities\RefineRTDCRunTimes.py" --tripid 830-08 --locoid 4007 --swversion DE.1.0.9.0 --startMP 300:58624 --initTime 2017-12-08T16:27:15 --startdatetime 2017-12-08T16:42:00 --delay 51 --endMP 204:102 --enddatetime 2017-12-08T16:55:10 --enforcementcount 0 &gt;&gt;%USERPROFILE%\Documents\GitHub\eaglep3-reporting\EC\2017-12-08-refined-times.txt</v>
      </c>
      <c r="AI195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{"issue":{"subject":"","project_id":79,"tracker_id":40,"status_id":1,"priority_id":2,"assigned_to_id":338,"start_date":"2017-12-08","description":"","custom_fields":[{"id":1,"name":"Subdivision","value":"NW"},{"id":4,"name":"Milepost","value":"0.0102"},{"id":17,"name":"Train ID","value":"830-08"},{"id":16,"name":"Locomotive ID","value":"4007"},{"id":130,"name":"Impact","value":""},{"id":150,"name":"Time of Event (Mountain Time)","value":"16:55:10"},{"id":151,"name":"Denver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188"/>
      <c r="AK195" s="196"/>
      <c r="AL195" s="196"/>
      <c r="AM195" s="203" t="str">
        <f t="shared" si="74"/>
        <v>start /low /b %USERPROFILE%\Documents\GitHub\eaglep3\Utilities\DownloadLogsFromS3.py --loco 4007 --day 2017-12-08</v>
      </c>
      <c r="AN195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95" t="str">
        <f t="shared" si="76"/>
        <v>https://d0f6bd738d7f1b3e5a7ca70fe4ff75f0.us-east-1.aws.found.io/app/kibana#/discover/Steve-Slow-Train-Analysis-(2080s-and-2083s)?_g=(refreshInterval:(display:Off,pause:!f,section:0,value:0),time:(from:'2017-12-08T15:27:15-0700',mode:absolute,to:'2017-12-08T17:55:10-0700'))&amp;_a=(columns:!('Message%20ID',Summary),filters:!(),index:'emp_*',interval:auto,query:(query_string:(analyze_wildcard:!t,query:'%22rtdc.l.rtdc.4007%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188" customFormat="1" x14ac:dyDescent="0.25">
      <c r="A196" s="194" t="s">
        <v>698</v>
      </c>
      <c r="B196" s="190">
        <v>4004</v>
      </c>
      <c r="C196" s="192" t="s">
        <v>191</v>
      </c>
      <c r="D196" s="192" t="s">
        <v>470</v>
      </c>
      <c r="E196" s="191">
        <v>43077.689525462964</v>
      </c>
      <c r="F196" s="191">
        <v>43077.694050925929</v>
      </c>
      <c r="G196" s="190">
        <v>67</v>
      </c>
      <c r="H196" s="192" t="s">
        <v>1072</v>
      </c>
      <c r="I196" s="191">
        <v>43077.704976851855</v>
      </c>
      <c r="J196" s="190">
        <v>0</v>
      </c>
      <c r="K196" s="200" t="str">
        <f t="shared" si="60"/>
        <v>4003/4004</v>
      </c>
      <c r="L196" s="207" t="str">
        <f>VLOOKUP(A196,'Trips&amp;Operators'!$C$1:$G$99911,5,FALSE)</f>
        <v>LORI SANTOS</v>
      </c>
      <c r="M196" s="189">
        <f t="shared" si="61"/>
        <v>1.0925925926130731E-2</v>
      </c>
      <c r="N196" s="190">
        <f t="shared" si="90"/>
        <v>15.733333333628252</v>
      </c>
      <c r="O196" s="190"/>
      <c r="P196" s="190"/>
      <c r="Q196" s="193"/>
      <c r="R196" s="205"/>
      <c r="S196" s="235">
        <f t="shared" si="89"/>
        <v>1</v>
      </c>
      <c r="T196" s="236" t="str">
        <f t="shared" si="62"/>
        <v>NorthBound</v>
      </c>
      <c r="U196" s="23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37" t="str">
        <f t="shared" si="63"/>
        <v>https://d0f6bd738d7f1b3e5a7ca70fe4ff75f0.us-east-1.aws.found.io/app/kibana#/discover/Steve-Slow-Train-Analysis-(2080s-and-2083s)?_g=(refreshInterval:(display:Off,pause:!f,section:0,value:0),time:(from:'2017-12-08T15:32:55-0700',mode:absolute,to:'2017-12-08T17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6" s="238" t="str">
        <f>IF(AA196&lt;VLOOKUP(AG196,Variables!$AC$3:$AD$8,2,FALSE),"Y","N")</f>
        <v>N</v>
      </c>
      <c r="X196" s="238">
        <f t="shared" si="64"/>
        <v>1</v>
      </c>
      <c r="Y196" s="238">
        <f t="shared" si="91"/>
        <v>4.7100000000000003E-2</v>
      </c>
      <c r="Z196" s="238">
        <f t="shared" si="92"/>
        <v>5.8924000000000003</v>
      </c>
      <c r="AA196" s="238">
        <f t="shared" si="67"/>
        <v>5.8452999999999999</v>
      </c>
      <c r="AB196" s="242" t="e">
        <f>VLOOKUP(A196,Enforcements!$C$7:$K$9,8,0)</f>
        <v>#N/A</v>
      </c>
      <c r="AC196" s="242" t="e">
        <f>VLOOKUP(A196,Enforcements!$C$7:$E$9,3,0)</f>
        <v>#N/A</v>
      </c>
      <c r="AD196" s="243">
        <f t="shared" si="68"/>
        <v>831</v>
      </c>
      <c r="AE196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196" s="197" t="str">
        <f t="shared" si="70"/>
        <v>"C:\Program Files (x86)\AstroGrep\AstroGrep.exe" /e /r /s /spath="%USERPROFILE%\AppData\Local\Temp\OnboardLogs" /stypes="app*4004*20171208*" /stext=" 23:.+((SYSTEM_STATE.+slice.+state.+changed )|(ment ac)|(multiple cpu faults)|(system.+state.+changed )|(\[timeout)|(PRM\|1\|D)|(kpr)|(kdp)|(train st.+moving)|(\|lc)|(penalty))"</v>
      </c>
      <c r="AG196" s="206" t="str">
        <f t="shared" si="71"/>
        <v>NW</v>
      </c>
      <c r="AH196" s="199" t="str">
        <f t="shared" si="72"/>
        <v>"%USERPROFILE%\Documents\GitHub\eaglep3\Utilities\RefineRTDCRunTimes.py" --tripid 831-08 --locoid 4004 --swversion DE.1.0.9.0 --startMP 204:471 --initTime 2017-12-08T16:32:55 --startdatetime 2017-12-08T16:39:26 --delay 67 --endMP 300:58924 --enddatetime 2017-12-08T16:55:10 --enforcementcount 0 &gt;&gt;%USERPROFILE%\Documents\GitHub\eaglep3-reporting\EC\2017-12-08-refined-times.txt</v>
      </c>
      <c r="AI196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{"issue":{"subject":"","project_id":79,"tracker_id":40,"status_id":1,"priority_id":2,"assigned_to_id":338,"start_date":"2017-12-08","description":"","custom_fields":[{"id":1,"name":"Subdivision","value":"NW"},{"id":4,"name":"Milepost","value":"5.8924"},{"id":17,"name":"Train ID","value":"831-08"},{"id":16,"name":"Locomotive ID","value":"4004"},{"id":130,"name":"Impact","value":""},{"id":150,"name":"Time of Event (Mountain Time)","value":"16:55:10"},{"id":151,"name":"Denver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196"/>
      <c r="AL196" s="196"/>
      <c r="AM196" s="203" t="str">
        <f t="shared" si="74"/>
        <v>start /low /b %USERPROFILE%\Documents\GitHub\eaglep3\Utilities\DownloadLogsFromS3.py --loco 4004 --day 2017-12-08</v>
      </c>
      <c r="AN196" s="204" t="str">
        <f t="shared" si="75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95" t="str">
        <f t="shared" si="76"/>
        <v>https://d0f6bd738d7f1b3e5a7ca70fe4ff75f0.us-east-1.aws.found.io/app/kibana#/discover/Steve-Slow-Train-Analysis-(2080s-and-2083s)?_g=(refreshInterval:(display:Off,pause:!f,section:0,value:0),time:(from:'2017-12-08T15:32:55-0700',mode:absolute,to:'2017-12-08T17:55:10-0700'))&amp;_a=(columns:!('Message%20ID',Summary),filters:!(),index:'emp_*',interval:auto,query:(query_string:(analyze_wildcard:!t,query:'%22rtdc.l.rtdc.4004%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194" t="s">
        <v>856</v>
      </c>
      <c r="B197" s="190">
        <v>4003</v>
      </c>
      <c r="C197" s="192" t="s">
        <v>191</v>
      </c>
      <c r="D197" s="192" t="s">
        <v>1073</v>
      </c>
      <c r="E197" s="191">
        <v>43077.706064814818</v>
      </c>
      <c r="F197" s="191">
        <v>43077.716666666667</v>
      </c>
      <c r="G197" s="190">
        <v>51</v>
      </c>
      <c r="H197" s="192" t="s">
        <v>445</v>
      </c>
      <c r="I197" s="191">
        <v>43077.726307870369</v>
      </c>
      <c r="J197" s="190">
        <v>0</v>
      </c>
      <c r="K197" s="200" t="str">
        <f t="shared" si="60"/>
        <v>4003/4004</v>
      </c>
      <c r="L197" s="207" t="str">
        <f>VLOOKUP(A197,'Trips&amp;Operators'!$C$1:$G$99911,5,FALSE)</f>
        <v>LORI SANTOS</v>
      </c>
      <c r="M197" s="189">
        <f t="shared" si="61"/>
        <v>9.6412037019035779E-3</v>
      </c>
      <c r="N197" s="190">
        <f t="shared" si="90"/>
        <v>13.883333330741152</v>
      </c>
      <c r="O197" s="190"/>
      <c r="P197" s="190"/>
      <c r="Q197" s="193"/>
      <c r="R197" s="205"/>
      <c r="S197" s="235">
        <f t="shared" si="89"/>
        <v>1</v>
      </c>
      <c r="T197" s="236" t="str">
        <f t="shared" si="62"/>
        <v>Southbound</v>
      </c>
      <c r="U197" s="23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37" t="str">
        <f t="shared" si="63"/>
        <v>https://d0f6bd738d7f1b3e5a7ca70fe4ff75f0.us-east-1.aws.found.io/app/kibana#/discover/Steve-Slow-Train-Analysis-(2080s-and-2083s)?_g=(refreshInterval:(display:Off,pause:!f,section:0,value:0),time:(from:'2017-12-08T15:56:44-0700',mode:absolute,to:'2017-12-08T18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238" t="str">
        <f>IF(AA197&lt;VLOOKUP(AG197,Variables!$AC$3:$AD$8,2,FALSE),"Y","N")</f>
        <v>N</v>
      </c>
      <c r="X197" s="238">
        <f t="shared" si="64"/>
        <v>1</v>
      </c>
      <c r="Y197" s="238">
        <f t="shared" si="91"/>
        <v>5.8593999999999999</v>
      </c>
      <c r="Z197" s="238">
        <f t="shared" si="92"/>
        <v>1.5800000000000002E-2</v>
      </c>
      <c r="AA197" s="238">
        <f t="shared" si="67"/>
        <v>5.8436000000000003</v>
      </c>
      <c r="AB197" s="242" t="e">
        <f>VLOOKUP(A197,Enforcements!$C$7:$K$9,8,0)</f>
        <v>#N/A</v>
      </c>
      <c r="AC197" s="242" t="e">
        <f>VLOOKUP(A197,Enforcements!$C$7:$E$9,3,0)</f>
        <v>#N/A</v>
      </c>
      <c r="AD197" s="243">
        <f t="shared" si="68"/>
        <v>832</v>
      </c>
      <c r="AE197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197" s="197" t="str">
        <f t="shared" si="70"/>
        <v>"C:\Program Files (x86)\AstroGrep\AstroGrep.exe" /e /r /s /spath="%USERPROFILE%\AppData\Local\Temp\OnboardLogs" /stypes="app*4003*20171209*" /stext=" 00:.+((SYSTEM_STATE.+slice.+state.+changed )|(ment ac)|(multiple cpu faults)|(system.+state.+changed )|(\[timeout)|(PRM\|1\|D)|(kpr)|(kdp)|(train st.+moving)|(\|lc)|(penalty))"</v>
      </c>
      <c r="AG197" s="206" t="str">
        <f t="shared" si="71"/>
        <v>NW</v>
      </c>
      <c r="AH197" s="199" t="str">
        <f t="shared" si="72"/>
        <v>"%USERPROFILE%\Documents\GitHub\eaglep3\Utilities\RefineRTDCRunTimes.py" --tripid 832-08 --locoid 4003 --swversion DE.1.0.9.0 --startMP 300:58594 --initTime 2017-12-08T16:56:44 --startdatetime 2017-12-08T17:12:00 --delay 51 --endMP 204:158 --enddatetime 2017-12-08T17:25:53 --enforcementcount 0 &gt;&gt;%USERPROFILE%\Documents\GitHub\eaglep3-reporting\EC\2017-12-08-refined-times.txt</v>
      </c>
      <c r="AI197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{"issue":{"subject":"","project_id":79,"tracker_id":40,"status_id":1,"priority_id":2,"assigned_to_id":338,"start_date":"2017-12-08","description":"","custom_fields":[{"id":1,"name":"Subdivision","value":"NW"},{"id":4,"name":"Milepost","value":"0.0158"},{"id":17,"name":"Train ID","value":"832-08"},{"id":16,"name":"Locomotive ID","value":"4003"},{"id":130,"name":"Impact","value":""},{"id":150,"name":"Time of Event (Mountain Time)","value":"17:25:53"},{"id":151,"name":"Denver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188"/>
      <c r="AK197" s="196"/>
      <c r="AL197" s="196"/>
      <c r="AM197" s="203" t="str">
        <f t="shared" si="74"/>
        <v>start /low /b %USERPROFILE%\Documents\GitHub\eaglep3\Utilities\DownloadLogsFromS3.py --loco 4003 --day 2017-12-08</v>
      </c>
      <c r="AN197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95" t="str">
        <f t="shared" si="76"/>
        <v>https://d0f6bd738d7f1b3e5a7ca70fe4ff75f0.us-east-1.aws.found.io/app/kibana#/discover/Steve-Slow-Train-Analysis-(2080s-and-2083s)?_g=(refreshInterval:(display:Off,pause:!f,section:0,value:0),time:(from:'2017-12-08T15:56:44-0700',mode:absolute,to:'2017-12-08T18:25:53-0700'))&amp;_a=(columns:!('Message%20ID',Summary),filters:!(),index:'emp_*',interval:auto,query:(query_string:(analyze_wildcard:!t,query:'%22rtdc.l.rtdc.4003%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188" customFormat="1" x14ac:dyDescent="0.25">
      <c r="A198" s="194" t="s">
        <v>699</v>
      </c>
      <c r="B198" s="190">
        <v>4008</v>
      </c>
      <c r="C198" s="192" t="s">
        <v>191</v>
      </c>
      <c r="D198" s="192" t="s">
        <v>1074</v>
      </c>
      <c r="E198" s="191">
        <v>43077.70721064815</v>
      </c>
      <c r="F198" s="191">
        <v>43077.714768518519</v>
      </c>
      <c r="G198" s="190">
        <v>61</v>
      </c>
      <c r="H198" s="192" t="s">
        <v>490</v>
      </c>
      <c r="I198" s="191">
        <v>43077.725613425922</v>
      </c>
      <c r="J198" s="190">
        <v>0</v>
      </c>
      <c r="K198" s="200" t="str">
        <f t="shared" si="60"/>
        <v>4007/4008</v>
      </c>
      <c r="L198" s="207" t="str">
        <f>VLOOKUP(A198,'Trips&amp;Operators'!$C$1:$G$99911,5,FALSE)</f>
        <v>GUNTHIER ERIC</v>
      </c>
      <c r="M198" s="189">
        <f t="shared" si="61"/>
        <v>1.0844907403225079E-2</v>
      </c>
      <c r="N198" s="190">
        <f t="shared" si="90"/>
        <v>15.616666660644114</v>
      </c>
      <c r="O198" s="190"/>
      <c r="P198" s="190"/>
      <c r="Q198" s="193"/>
      <c r="R198" s="205"/>
      <c r="S198" s="235">
        <f t="shared" si="89"/>
        <v>1</v>
      </c>
      <c r="T198" s="236" t="str">
        <f t="shared" si="62"/>
        <v>NorthBound</v>
      </c>
      <c r="U198" s="23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37" t="str">
        <f t="shared" si="63"/>
        <v>https://d0f6bd738d7f1b3e5a7ca70fe4ff75f0.us-east-1.aws.found.io/app/kibana#/discover/Steve-Slow-Train-Analysis-(2080s-and-2083s)?_g=(refreshInterval:(display:Off,pause:!f,section:0,value:0),time:(from:'2017-12-08T15:58:23-0700',mode:absolute,to:'2017-12-08T18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238" t="str">
        <f>IF(AA198&lt;VLOOKUP(AG198,Variables!$AC$3:$AD$8,2,FALSE),"Y","N")</f>
        <v>N</v>
      </c>
      <c r="X198" s="238">
        <f t="shared" si="64"/>
        <v>1</v>
      </c>
      <c r="Y198" s="238">
        <f t="shared" si="91"/>
        <v>4.24E-2</v>
      </c>
      <c r="Z198" s="238">
        <f t="shared" si="92"/>
        <v>5.8940999999999999</v>
      </c>
      <c r="AA198" s="238">
        <f t="shared" si="67"/>
        <v>5.8517000000000001</v>
      </c>
      <c r="AB198" s="242" t="e">
        <f>VLOOKUP(A198,Enforcements!$C$7:$K$9,8,0)</f>
        <v>#N/A</v>
      </c>
      <c r="AC198" s="242" t="e">
        <f>VLOOKUP(A198,Enforcements!$C$7:$E$9,3,0)</f>
        <v>#N/A</v>
      </c>
      <c r="AD198" s="243">
        <f t="shared" si="68"/>
        <v>833</v>
      </c>
      <c r="AE198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198" s="197" t="str">
        <f t="shared" si="70"/>
        <v>"C:\Program Files (x86)\AstroGrep\AstroGrep.exe" /e /r /s /spath="%USERPROFILE%\AppData\Local\Temp\OnboardLogs" /stypes="app*4008*20171209*" /stext=" 00:.+((SYSTEM_STATE.+slice.+state.+changed )|(ment ac)|(multiple cpu faults)|(system.+state.+changed )|(\[timeout)|(PRM\|1\|D)|(kpr)|(kdp)|(train st.+moving)|(\|lc)|(penalty))"</v>
      </c>
      <c r="AG198" s="206" t="str">
        <f t="shared" si="71"/>
        <v>NW</v>
      </c>
      <c r="AH198" s="199" t="str">
        <f t="shared" si="72"/>
        <v>"%USERPROFILE%\Documents\GitHub\eaglep3\Utilities\RefineRTDCRunTimes.py" --tripid 833-08 --locoid 4008 --swversion DE.1.0.9.0 --startMP 204:424 --initTime 2017-12-08T16:58:23 --startdatetime 2017-12-08T17:09:16 --delay 61 --endMP 300:58941 --enddatetime 2017-12-08T17:24:53 --enforcementcount 0 &gt;&gt;%USERPROFILE%\Documents\GitHub\eaglep3-reporting\EC\2017-12-08-refined-times.txt</v>
      </c>
      <c r="AI198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{"issue":{"subject":"","project_id":79,"tracker_id":40,"status_id":1,"priority_id":2,"assigned_to_id":338,"start_date":"2017-12-08","description":"","custom_fields":[{"id":1,"name":"Subdivision","value":"NW"},{"id":4,"name":"Milepost","value":"5.8941"},{"id":17,"name":"Train ID","value":"833-08"},{"id":16,"name":"Locomotive ID","value":"4008"},{"id":130,"name":"Impact","value":""},{"id":150,"name":"Time of Event (Mountain Time)","value":"17:24:53"},{"id":151,"name":"Denver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196"/>
      <c r="AL198" s="196"/>
      <c r="AM198" s="203" t="str">
        <f t="shared" si="74"/>
        <v>start /low /b %USERPROFILE%\Documents\GitHub\eaglep3\Utilities\DownloadLogsFromS3.py --loco 4008 --day 2017-12-08</v>
      </c>
      <c r="AN198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95" t="str">
        <f t="shared" si="76"/>
        <v>https://d0f6bd738d7f1b3e5a7ca70fe4ff75f0.us-east-1.aws.found.io/app/kibana#/discover/Steve-Slow-Train-Analysis-(2080s-and-2083s)?_g=(refreshInterval:(display:Off,pause:!f,section:0,value:0),time:(from:'2017-12-08T15:58:23-0700',mode:absolute,to:'2017-12-08T18:24:53-0700'))&amp;_a=(columns:!('Message%20ID',Summary),filters:!(),index:'emp_*',interval:auto,query:(query_string:(analyze_wildcard:!t,query:'%22rtdc.l.rtdc.4008%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188" customFormat="1" x14ac:dyDescent="0.25">
      <c r="A199" s="194" t="s">
        <v>862</v>
      </c>
      <c r="B199" s="190">
        <v>4007</v>
      </c>
      <c r="C199" s="192" t="s">
        <v>191</v>
      </c>
      <c r="D199" s="192" t="s">
        <v>1075</v>
      </c>
      <c r="E199" s="191">
        <v>43077.72724537037</v>
      </c>
      <c r="F199" s="191">
        <v>43077.737500000003</v>
      </c>
      <c r="G199" s="190">
        <v>50</v>
      </c>
      <c r="H199" s="192" t="s">
        <v>1071</v>
      </c>
      <c r="I199" s="191">
        <v>43077.746666666666</v>
      </c>
      <c r="J199" s="190">
        <v>0</v>
      </c>
      <c r="K199" s="200" t="str">
        <f t="shared" si="60"/>
        <v>4007/4008</v>
      </c>
      <c r="L199" s="207" t="str">
        <f>VLOOKUP(A199,'Trips&amp;Operators'!$C$1:$G$99911,5,FALSE)</f>
        <v>GUNTHIER ERIC</v>
      </c>
      <c r="M199" s="189">
        <f t="shared" si="61"/>
        <v>9.1666666630771942E-3</v>
      </c>
      <c r="N199" s="190">
        <f t="shared" si="90"/>
        <v>13.19999999483116</v>
      </c>
      <c r="O199" s="190"/>
      <c r="P199" s="190"/>
      <c r="Q199" s="193"/>
      <c r="R199" s="205"/>
      <c r="S199" s="235">
        <f t="shared" si="89"/>
        <v>1</v>
      </c>
      <c r="T199" s="236" t="str">
        <f t="shared" si="62"/>
        <v>Southbound</v>
      </c>
      <c r="U199" s="23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37" t="str">
        <f t="shared" si="63"/>
        <v>https://d0f6bd738d7f1b3e5a7ca70fe4ff75f0.us-east-1.aws.found.io/app/kibana#/discover/Steve-Slow-Train-Analysis-(2080s-and-2083s)?_g=(refreshInterval:(display:Off,pause:!f,section:0,value:0),time:(from:'2017-12-08T16:27:14-0700',mode:absolute,to:'2017-12-08T18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238" t="str">
        <f>IF(AA199&lt;VLOOKUP(AG199,Variables!$AC$3:$AD$8,2,FALSE),"Y","N")</f>
        <v>N</v>
      </c>
      <c r="X199" s="238">
        <f t="shared" si="64"/>
        <v>1</v>
      </c>
      <c r="Y199" s="238">
        <f t="shared" si="91"/>
        <v>5.8616999999999999</v>
      </c>
      <c r="Z199" s="238">
        <f t="shared" si="92"/>
        <v>1.0200000000000001E-2</v>
      </c>
      <c r="AA199" s="238">
        <f t="shared" si="67"/>
        <v>5.8514999999999997</v>
      </c>
      <c r="AB199" s="242" t="e">
        <f>VLOOKUP(A199,Enforcements!$C$7:$K$9,8,0)</f>
        <v>#N/A</v>
      </c>
      <c r="AC199" s="242" t="e">
        <f>VLOOKUP(A199,Enforcements!$C$7:$E$9,3,0)</f>
        <v>#N/A</v>
      </c>
      <c r="AD199" s="243">
        <f t="shared" si="68"/>
        <v>834</v>
      </c>
      <c r="AE199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199" s="197" t="str">
        <f t="shared" si="70"/>
        <v>"C:\Program Files (x86)\AstroGrep\AstroGrep.exe" /e /r /s /spath="%USERPROFILE%\AppData\Local\Temp\OnboardLogs" /stypes="app*4007*20171209*" /stext=" 00:.+((SYSTEM_STATE.+slice.+state.+changed )|(ment ac)|(multiple cpu faults)|(system.+state.+changed )|(\[timeout)|(PRM\|1\|D)|(kpr)|(kdp)|(train st.+moving)|(\|lc)|(penalty))"</v>
      </c>
      <c r="AG199" s="206" t="str">
        <f t="shared" si="71"/>
        <v>NW</v>
      </c>
      <c r="AH199" s="199" t="str">
        <f t="shared" si="72"/>
        <v>"%USERPROFILE%\Documents\GitHub\eaglep3\Utilities\RefineRTDCRunTimes.py" --tripid 834-08 --locoid 4007 --swversion DE.1.0.9.0 --startMP 300:58617 --initTime 2017-12-08T17:27:14 --startdatetime 2017-12-08T17:42:00 --delay 50 --endMP 204:102 --enddatetime 2017-12-08T17:55:12 --enforcementcount 0 &gt;&gt;%USERPROFILE%\Documents\GitHub\eaglep3-reporting\EC\2017-12-08-refined-times.txt</v>
      </c>
      <c r="AI199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{"issue":{"subject":"","project_id":79,"tracker_id":40,"status_id":1,"priority_id":2,"assigned_to_id":338,"start_date":"2017-12-08","description":"","custom_fields":[{"id":1,"name":"Subdivision","value":"NW"},{"id":4,"name":"Milepost","value":"0.0102"},{"id":17,"name":"Train ID","value":"834-08"},{"id":16,"name":"Locomotive ID","value":"4007"},{"id":130,"name":"Impact","value":""},{"id":150,"name":"Time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196"/>
      <c r="AL199" s="196"/>
      <c r="AM199" s="203" t="str">
        <f t="shared" si="74"/>
        <v>start /low /b %USERPROFILE%\Documents\GitHub\eaglep3\Utilities\DownloadLogsFromS3.py --loco 4007 --day 2017-12-08</v>
      </c>
      <c r="AN199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95" t="str">
        <f t="shared" si="76"/>
        <v>https://d0f6bd738d7f1b3e5a7ca70fe4ff75f0.us-east-1.aws.found.io/app/kibana#/discover/Steve-Slow-Train-Analysis-(2080s-and-2083s)?_g=(refreshInterval:(display:Off,pause:!f,section:0,value:0),time:(from:'2017-12-08T16:27:14-0700',mode:absolute,to:'2017-12-08T18:55:12-0700'))&amp;_a=(columns:!('Message%20ID',Summary),filters:!(),index:'emp_*',interval:auto,query:(query_string:(analyze_wildcard:!t,query:'%22rtdc.l.rtdc.4007%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194" t="s">
        <v>700</v>
      </c>
      <c r="B200" s="190">
        <v>4004</v>
      </c>
      <c r="C200" s="192" t="s">
        <v>191</v>
      </c>
      <c r="D200" s="192" t="s">
        <v>457</v>
      </c>
      <c r="E200" s="191">
        <v>43077.727847222224</v>
      </c>
      <c r="F200" s="191">
        <v>43077.735868055555</v>
      </c>
      <c r="G200" s="190">
        <v>90</v>
      </c>
      <c r="H200" s="192" t="s">
        <v>1076</v>
      </c>
      <c r="I200" s="191">
        <v>43077.747534722221</v>
      </c>
      <c r="J200" s="190">
        <v>0</v>
      </c>
      <c r="K200" s="200" t="str">
        <f t="shared" si="60"/>
        <v>4003/4004</v>
      </c>
      <c r="L200" s="207" t="str">
        <f>VLOOKUP(A200,'Trips&amp;Operators'!$C$1:$G$99911,5,FALSE)</f>
        <v>LORI SANTOS</v>
      </c>
      <c r="M200" s="189">
        <f t="shared" si="61"/>
        <v>1.1666666665405501E-2</v>
      </c>
      <c r="N200" s="190">
        <f t="shared" si="90"/>
        <v>16.799999998183921</v>
      </c>
      <c r="O200" s="190"/>
      <c r="P200" s="190"/>
      <c r="Q200" s="193"/>
      <c r="R200" s="205"/>
      <c r="S200" s="235">
        <f t="shared" si="89"/>
        <v>1</v>
      </c>
      <c r="T200" s="236" t="str">
        <f t="shared" si="62"/>
        <v>NorthBound</v>
      </c>
      <c r="U200" s="23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37" t="str">
        <f t="shared" si="63"/>
        <v>https://d0f6bd738d7f1b3e5a7ca70fe4ff75f0.us-east-1.aws.found.io/app/kibana#/discover/Steve-Slow-Train-Analysis-(2080s-and-2083s)?_g=(refreshInterval:(display:Off,pause:!f,section:0,value:0),time:(from:'2017-12-08T16:28:06-0700',mode:absolute,to:'2017-12-08T18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0" s="238" t="str">
        <f>IF(AA200&lt;VLOOKUP(AG200,Variables!$AC$3:$AD$8,2,FALSE),"Y","N")</f>
        <v>N</v>
      </c>
      <c r="X200" s="238">
        <f t="shared" si="64"/>
        <v>1</v>
      </c>
      <c r="Y200" s="238">
        <f t="shared" si="91"/>
        <v>4.4400000000000002E-2</v>
      </c>
      <c r="Z200" s="238">
        <f t="shared" si="92"/>
        <v>5.8936999999999999</v>
      </c>
      <c r="AA200" s="238">
        <f t="shared" si="67"/>
        <v>5.8492999999999995</v>
      </c>
      <c r="AB200" s="242" t="e">
        <f>VLOOKUP(A200,Enforcements!$C$7:$K$9,8,0)</f>
        <v>#N/A</v>
      </c>
      <c r="AC200" s="242" t="e">
        <f>VLOOKUP(A200,Enforcements!$C$7:$E$9,3,0)</f>
        <v>#N/A</v>
      </c>
      <c r="AD200" s="243">
        <f t="shared" si="68"/>
        <v>835</v>
      </c>
      <c r="AE200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200" s="197" t="str">
        <f t="shared" si="70"/>
        <v>"C:\Program Files (x86)\AstroGrep\AstroGrep.exe" /e /r /s /spath="%USERPROFILE%\AppData\Local\Temp\OnboardLogs" /stypes="app*4004*20171209*" /stext=" 00:.+((SYSTEM_STATE.+slice.+state.+changed )|(ment ac)|(multiple cpu faults)|(system.+state.+changed )|(\[timeout)|(PRM\|1\|D)|(kpr)|(kdp)|(train st.+moving)|(\|lc)|(penalty))"</v>
      </c>
      <c r="AG200" s="206" t="str">
        <f t="shared" si="71"/>
        <v>NW</v>
      </c>
      <c r="AH200" s="199" t="str">
        <f t="shared" si="72"/>
        <v>"%USERPROFILE%\Documents\GitHub\eaglep3\Utilities\RefineRTDCRunTimes.py" --tripid 835-08 --locoid 4004 --swversion DE.1.0.9.0 --startMP 204:444 --initTime 2017-12-08T17:28:06 --startdatetime 2017-12-08T17:39:39 --delay 90 --endMP 300:58937 --enddatetime 2017-12-08T17:56:27 --enforcementcount 0 &gt;&gt;%USERPROFILE%\Documents\GitHub\eaglep3-reporting\EC\2017-12-08-refined-times.txt</v>
      </c>
      <c r="AI200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{"issue":{"subject":"","project_id":79,"tracker_id":40,"status_id":1,"priority_id":2,"assigned_to_id":338,"start_date":"2017-12-08","description":"","custom_fields":[{"id":1,"name":"Subdivision","value":"NW"},{"id":4,"name":"Milepost","value":"5.8937"},{"id":17,"name":"Train ID","value":"835-08"},{"id":16,"name":"Locomotive ID","value":"4004"},{"id":130,"name":"Impact","value":""},{"id":150,"name":"Time of Event (Mountain Time)","value":"17:56:27"},{"id":151,"name":"Denver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188"/>
      <c r="AK200" s="196"/>
      <c r="AL200" s="196"/>
      <c r="AM200" s="203" t="str">
        <f t="shared" si="74"/>
        <v>start /low /b %USERPROFILE%\Documents\GitHub\eaglep3\Utilities\DownloadLogsFromS3.py --loco 4004 --day 2017-12-08</v>
      </c>
      <c r="AN200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95" t="str">
        <f t="shared" si="76"/>
        <v>https://d0f6bd738d7f1b3e5a7ca70fe4ff75f0.us-east-1.aws.found.io/app/kibana#/discover/Steve-Slow-Train-Analysis-(2080s-and-2083s)?_g=(refreshInterval:(display:Off,pause:!f,section:0,value:0),time:(from:'2017-12-08T16:28:06-0700',mode:absolute,to:'2017-12-08T18:56:27-0700'))&amp;_a=(columns:!('Message%20ID',Summary),filters:!(),index:'emp_*',interval:auto,query:(query_string:(analyze_wildcard:!t,query:'%22rtdc.l.rtdc.4004%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194" t="s">
        <v>868</v>
      </c>
      <c r="B201" s="190">
        <v>4003</v>
      </c>
      <c r="C201" s="192" t="s">
        <v>191</v>
      </c>
      <c r="D201" s="192" t="s">
        <v>489</v>
      </c>
      <c r="E201" s="191">
        <v>43077.74863425926</v>
      </c>
      <c r="F201" s="191">
        <v>43077.758333333331</v>
      </c>
      <c r="G201" s="190">
        <v>55</v>
      </c>
      <c r="H201" s="192" t="s">
        <v>674</v>
      </c>
      <c r="I201" s="191">
        <v>43077.76835648148</v>
      </c>
      <c r="J201" s="190">
        <v>0</v>
      </c>
      <c r="K201" s="200" t="str">
        <f t="shared" si="60"/>
        <v>4003/4004</v>
      </c>
      <c r="L201" s="207" t="str">
        <f>VLOOKUP(A201,'Trips&amp;Operators'!$C$1:$G$99911,5,FALSE)</f>
        <v>LORI SANTOS</v>
      </c>
      <c r="M201" s="189">
        <f t="shared" si="61"/>
        <v>1.0023148148320615E-2</v>
      </c>
      <c r="N201" s="190">
        <f t="shared" si="90"/>
        <v>14.433333333581686</v>
      </c>
      <c r="O201" s="190"/>
      <c r="P201" s="190"/>
      <c r="Q201" s="193"/>
      <c r="R201" s="205"/>
      <c r="S201" s="235">
        <f t="shared" si="89"/>
        <v>1</v>
      </c>
      <c r="T201" s="236" t="str">
        <f t="shared" si="62"/>
        <v>Southbound</v>
      </c>
      <c r="U201" s="23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37" t="str">
        <f t="shared" si="63"/>
        <v>https://d0f6bd738d7f1b3e5a7ca70fe4ff75f0.us-east-1.aws.found.io/app/kibana#/discover/Steve-Slow-Train-Analysis-(2080s-and-2083s)?_g=(refreshInterval:(display:Off,pause:!f,section:0,value:0),time:(from:'2017-12-08T16:58:02-0700',mode:absolute,to:'2017-12-08T19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1" s="238" t="str">
        <f>IF(AA201&lt;VLOOKUP(AG201,Variables!$AC$3:$AD$8,2,FALSE),"Y","N")</f>
        <v>N</v>
      </c>
      <c r="X201" s="238">
        <f t="shared" si="64"/>
        <v>1</v>
      </c>
      <c r="Y201" s="238">
        <f t="shared" si="91"/>
        <v>5.8619000000000003</v>
      </c>
      <c r="Z201" s="238">
        <f t="shared" si="92"/>
        <v>1.46E-2</v>
      </c>
      <c r="AA201" s="238">
        <f t="shared" si="67"/>
        <v>5.8473000000000006</v>
      </c>
      <c r="AB201" s="242" t="e">
        <f>VLOOKUP(A201,Enforcements!$C$7:$K$9,8,0)</f>
        <v>#N/A</v>
      </c>
      <c r="AC201" s="242" t="e">
        <f>VLOOKUP(A201,Enforcements!$C$7:$E$9,3,0)</f>
        <v>#N/A</v>
      </c>
      <c r="AD201" s="243">
        <f t="shared" si="68"/>
        <v>836</v>
      </c>
      <c r="AE201" s="198" t="str">
        <f t="shared" si="69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201" s="197" t="str">
        <f t="shared" si="70"/>
        <v>"C:\Program Files (x86)\AstroGrep\AstroGrep.exe" /e /r /s /spath="%USERPROFILE%\AppData\Local\Temp\OnboardLogs" /stypes="app*4003*20171209*" /stext=" 01:.+((SYSTEM_STATE.+slice.+state.+changed )|(ment ac)|(multiple cpu faults)|(system.+state.+changed )|(\[timeout)|(PRM\|1\|D)|(kpr)|(kdp)|(train st.+moving)|(\|lc)|(penalty))"</v>
      </c>
      <c r="AG201" s="206" t="str">
        <f t="shared" si="71"/>
        <v>NW</v>
      </c>
      <c r="AH201" s="199" t="str">
        <f t="shared" si="72"/>
        <v>"%USERPROFILE%\Documents\GitHub\eaglep3\Utilities\RefineRTDCRunTimes.py" --tripid 836-08 --locoid 4003 --swversion DE.1.0.9.0 --startMP 300:58619 --initTime 2017-12-08T17:58:02 --startdatetime 2017-12-08T18:12:00 --delay 55 --endMP 204:146 --enddatetime 2017-12-08T18:26:26 --enforcementcount 0 &gt;&gt;%USERPROFILE%\Documents\GitHub\eaglep3-reporting\EC\2017-12-08-refined-times.txt</v>
      </c>
      <c r="AI201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{"issue":{"subject":"","project_id":79,"tracker_id":40,"status_id":1,"priority_id":2,"assigned_to_id":338,"start_date":"2017-12-08","description":"","custom_fields":[{"id":1,"name":"Subdivision","value":"NW"},{"id":4,"name":"Milepost","value":"0.0146"},{"id":17,"name":"Train ID","value":"836-08"},{"id":16,"name":"Locomotive ID","value":"4003"},{"id":130,"name":"Impact","value":""},{"id":150,"name":"Time of Event (Mountain Time)","value":"18:26:26"},{"id":151,"name":"Denver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188"/>
      <c r="AK201" s="196"/>
      <c r="AL201" s="196"/>
      <c r="AM201" s="203" t="str">
        <f t="shared" si="74"/>
        <v>start /low /b %USERPROFILE%\Documents\GitHub\eaglep3\Utilities\DownloadLogsFromS3.py --loco 4003 --day 2017-12-08</v>
      </c>
      <c r="AN201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95" t="str">
        <f t="shared" si="76"/>
        <v>https://d0f6bd738d7f1b3e5a7ca70fe4ff75f0.us-east-1.aws.found.io/app/kibana#/discover/Steve-Slow-Train-Analysis-(2080s-and-2083s)?_g=(refreshInterval:(display:Off,pause:!f,section:0,value:0),time:(from:'2017-12-08T16:58:02-0700',mode:absolute,to:'2017-12-08T19:26:26-0700'))&amp;_a=(columns:!('Message%20ID',Summary),filters:!(),index:'emp_*',interval:auto,query:(query_string:(analyze_wildcard:!t,query:'%22rtdc.l.rtdc.4003%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188" customFormat="1" x14ac:dyDescent="0.25">
      <c r="A202" s="194" t="s">
        <v>869</v>
      </c>
      <c r="B202" s="190">
        <v>4008</v>
      </c>
      <c r="C202" s="192" t="s">
        <v>191</v>
      </c>
      <c r="D202" s="192" t="s">
        <v>1042</v>
      </c>
      <c r="E202" s="191">
        <v>43077.748796296299</v>
      </c>
      <c r="F202" s="191">
        <v>43077.756643518522</v>
      </c>
      <c r="G202" s="190">
        <v>56</v>
      </c>
      <c r="H202" s="192" t="s">
        <v>668</v>
      </c>
      <c r="I202" s="191">
        <v>43077.76766203704</v>
      </c>
      <c r="J202" s="190">
        <v>0</v>
      </c>
      <c r="K202" s="200" t="str">
        <f t="shared" si="60"/>
        <v>4007/4008</v>
      </c>
      <c r="L202" s="207" t="str">
        <f>VLOOKUP(A202,'Trips&amp;Operators'!$C$1:$G$99911,5,FALSE)</f>
        <v>GUNTHIER ERIC</v>
      </c>
      <c r="M202" s="189">
        <f t="shared" si="61"/>
        <v>1.1018518518540077E-2</v>
      </c>
      <c r="N202" s="190">
        <f t="shared" si="90"/>
        <v>15.866666666697711</v>
      </c>
      <c r="O202" s="190"/>
      <c r="P202" s="190"/>
      <c r="Q202" s="193"/>
      <c r="R202" s="205"/>
      <c r="S202" s="235">
        <f t="shared" si="89"/>
        <v>1</v>
      </c>
      <c r="T202" s="236" t="str">
        <f t="shared" si="62"/>
        <v>NorthBound</v>
      </c>
      <c r="U202" s="23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37" t="str">
        <f t="shared" si="63"/>
        <v>https://d0f6bd738d7f1b3e5a7ca70fe4ff75f0.us-east-1.aws.found.io/app/kibana#/discover/Steve-Slow-Train-Analysis-(2080s-and-2083s)?_g=(refreshInterval:(display:Off,pause:!f,section:0,value:0),time:(from:'2017-12-08T16:58:16-0700',mode:absolute,to:'2017-12-08T19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238" t="str">
        <f>IF(AA202&lt;VLOOKUP(AG202,Variables!$AC$3:$AD$8,2,FALSE),"Y","N")</f>
        <v>N</v>
      </c>
      <c r="X202" s="238">
        <f t="shared" si="64"/>
        <v>1</v>
      </c>
      <c r="Y202" s="238">
        <f t="shared" si="91"/>
        <v>4.0399999999999998E-2</v>
      </c>
      <c r="Z202" s="238">
        <f t="shared" si="92"/>
        <v>5.8971</v>
      </c>
      <c r="AA202" s="238">
        <f t="shared" si="67"/>
        <v>5.8567</v>
      </c>
      <c r="AB202" s="242" t="e">
        <f>VLOOKUP(A202,Enforcements!$C$7:$K$9,8,0)</f>
        <v>#N/A</v>
      </c>
      <c r="AC202" s="242" t="e">
        <f>VLOOKUP(A202,Enforcements!$C$7:$E$9,3,0)</f>
        <v>#N/A</v>
      </c>
      <c r="AD202" s="243">
        <f t="shared" si="68"/>
        <v>837</v>
      </c>
      <c r="AE202" s="198" t="str">
        <f t="shared" si="69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02" s="197" t="str">
        <f t="shared" si="70"/>
        <v>"C:\Program Files (x86)\AstroGrep\AstroGrep.exe" /e /r /s /spath="%USERPROFILE%\AppData\Local\Temp\OnboardLogs" /stypes="app*4008*20171209*" /stext=" 01:.+((SYSTEM_STATE.+slice.+state.+changed )|(ment ac)|(multiple cpu faults)|(system.+state.+changed )|(\[timeout)|(PRM\|1\|D)|(kpr)|(kdp)|(train st.+moving)|(\|lc)|(penalty))"</v>
      </c>
      <c r="AG202" s="206" t="str">
        <f t="shared" si="71"/>
        <v>NW</v>
      </c>
      <c r="AH202" s="199" t="str">
        <f t="shared" si="72"/>
        <v>"%USERPROFILE%\Documents\GitHub\eaglep3\Utilities\RefineRTDCRunTimes.py" --tripid 837-08 --locoid 4008 --swversion DE.1.0.9.0 --startMP 204:404 --initTime 2017-12-08T17:58:16 --startdatetime 2017-12-08T18:09:34 --delay 56 --endMP 300:58971 --enddatetime 2017-12-08T18:25:26 --enforcementcount 0 &gt;&gt;%USERPROFILE%\Documents\GitHub\eaglep3-reporting\EC\2017-12-08-refined-times.txt</v>
      </c>
      <c r="AI202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{"issue":{"subject":"","project_id":79,"tracker_id":40,"status_id":1,"priority_id":2,"assigned_to_id":338,"start_date":"2017-12-08","description":"","custom_fields":[{"id":1,"name":"Subdivision","value":"NW"},{"id":4,"name":"Milepost","value":"5.8971"},{"id":17,"name":"Train ID","value":"837-08"},{"id":16,"name":"Locomotive ID","value":"4008"},{"id":130,"name":"Impact","value":""},{"id":150,"name":"Time of Event (Mountain Time)","value":"18:25:26"},{"id":151,"name":"Denver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196"/>
      <c r="AL202" s="196"/>
      <c r="AM202" s="203" t="str">
        <f t="shared" si="74"/>
        <v>start /low /b %USERPROFILE%\Documents\GitHub\eaglep3\Utilities\DownloadLogsFromS3.py --loco 4008 --day 2017-12-08</v>
      </c>
      <c r="AN202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95" t="str">
        <f t="shared" si="76"/>
        <v>https://d0f6bd738d7f1b3e5a7ca70fe4ff75f0.us-east-1.aws.found.io/app/kibana#/discover/Steve-Slow-Train-Analysis-(2080s-and-2083s)?_g=(refreshInterval:(display:Off,pause:!f,section:0,value:0),time:(from:'2017-12-08T16:58:16-0700',mode:absolute,to:'2017-12-08T19:25:26-0700'))&amp;_a=(columns:!('Message%20ID',Summary),filters:!(),index:'emp_*',interval:auto,query:(query_string:(analyze_wildcard:!t,query:'%22rtdc.l.rtdc.4008%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194" t="s">
        <v>875</v>
      </c>
      <c r="B203" s="190">
        <v>4007</v>
      </c>
      <c r="C203" s="192" t="s">
        <v>191</v>
      </c>
      <c r="D203" s="192" t="s">
        <v>672</v>
      </c>
      <c r="E203" s="191">
        <v>43077.768796296295</v>
      </c>
      <c r="F203" s="191">
        <v>43077.779166666667</v>
      </c>
      <c r="G203" s="190">
        <v>53</v>
      </c>
      <c r="H203" s="192" t="s">
        <v>1077</v>
      </c>
      <c r="I203" s="191">
        <v>43077.788877314815</v>
      </c>
      <c r="J203" s="190">
        <v>0</v>
      </c>
      <c r="K203" s="200" t="str">
        <f t="shared" si="60"/>
        <v>4007/4008</v>
      </c>
      <c r="L203" s="207" t="str">
        <f>VLOOKUP(A203,'Trips&amp;Operators'!$C$1:$G$99911,5,FALSE)</f>
        <v>GUNTHIER ERIC</v>
      </c>
      <c r="M203" s="189">
        <f t="shared" si="61"/>
        <v>9.710648148029577E-3</v>
      </c>
      <c r="N203" s="190">
        <f t="shared" si="90"/>
        <v>13.983333333162591</v>
      </c>
      <c r="O203" s="190"/>
      <c r="P203" s="190"/>
      <c r="Q203" s="193"/>
      <c r="R203" s="205"/>
      <c r="S203" s="235">
        <f t="shared" si="89"/>
        <v>1</v>
      </c>
      <c r="T203" s="236" t="str">
        <f t="shared" si="62"/>
        <v>Southbound</v>
      </c>
      <c r="U203" s="23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37" t="str">
        <f t="shared" si="63"/>
        <v>https://d0f6bd738d7f1b3e5a7ca70fe4ff75f0.us-east-1.aws.found.io/app/kibana#/discover/Steve-Slow-Train-Analysis-(2080s-and-2083s)?_g=(refreshInterval:(display:Off,pause:!f,section:0,value:0),time:(from:'2017-12-08T17:27:04-0700',mode:absolute,to:'2017-12-08T19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238" t="str">
        <f>IF(AA203&lt;VLOOKUP(AG203,Variables!$AC$3:$AD$8,2,FALSE),"Y","N")</f>
        <v>N</v>
      </c>
      <c r="X203" s="238">
        <f t="shared" si="64"/>
        <v>1</v>
      </c>
      <c r="Y203" s="238">
        <f t="shared" si="91"/>
        <v>5.8662000000000001</v>
      </c>
      <c r="Z203" s="238">
        <f t="shared" si="92"/>
        <v>1.1900000000000001E-2</v>
      </c>
      <c r="AA203" s="238">
        <f t="shared" si="67"/>
        <v>5.8543000000000003</v>
      </c>
      <c r="AB203" s="242" t="e">
        <f>VLOOKUP(A203,Enforcements!$C$7:$K$9,8,0)</f>
        <v>#N/A</v>
      </c>
      <c r="AC203" s="242" t="e">
        <f>VLOOKUP(A203,Enforcements!$C$7:$E$9,3,0)</f>
        <v>#N/A</v>
      </c>
      <c r="AD203" s="243">
        <f t="shared" si="68"/>
        <v>838</v>
      </c>
      <c r="AE203" s="198" t="str">
        <f t="shared" si="69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03" s="197" t="str">
        <f t="shared" si="70"/>
        <v>"C:\Program Files (x86)\AstroGrep\AstroGrep.exe" /e /r /s /spath="%USERPROFILE%\AppData\Local\Temp\OnboardLogs" /stypes="app*4007*20171209*" /stext=" 01:.+((SYSTEM_STATE.+slice.+state.+changed )|(ment ac)|(multiple cpu faults)|(system.+state.+changed )|(\[timeout)|(PRM\|1\|D)|(kpr)|(kdp)|(train st.+moving)|(\|lc)|(penalty))"</v>
      </c>
      <c r="AG203" s="206" t="str">
        <f t="shared" si="71"/>
        <v>NW</v>
      </c>
      <c r="AH203" s="199" t="str">
        <f t="shared" si="72"/>
        <v>"%USERPROFILE%\Documents\GitHub\eaglep3\Utilities\RefineRTDCRunTimes.py" --tripid 838-08 --locoid 4007 --swversion DE.1.0.9.0 --startMP 300:58662 --initTime 2017-12-08T18:27:04 --startdatetime 2017-12-08T18:42:00 --delay 53 --endMP 204:119 --enddatetime 2017-12-08T18:55:59 --enforcementcount 0 &gt;&gt;%USERPROFILE%\Documents\GitHub\eaglep3-reporting\EC\2017-12-08-refined-times.txt</v>
      </c>
      <c r="AI203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{"issue":{"subject":"","project_id":79,"tracker_id":40,"status_id":1,"priority_id":2,"assigned_to_id":338,"start_date":"2017-12-08","description":"","custom_fields":[{"id":1,"name":"Subdivision","value":"NW"},{"id":4,"name":"Milepost","value":"0.0119"},{"id":17,"name":"Train ID","value":"838-08"},{"id":16,"name":"Locomotive ID","value":"4007"},{"id":130,"name":"Impact","value":""},{"id":150,"name":"Time of Event (Mountain Time)","value":"18:55:59"},{"id":151,"name":"Denver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188"/>
      <c r="AK203" s="196"/>
      <c r="AL203" s="196"/>
      <c r="AM203" s="203" t="str">
        <f t="shared" si="74"/>
        <v>start /low /b %USERPROFILE%\Documents\GitHub\eaglep3\Utilities\DownloadLogsFromS3.py --loco 4007 --day 2017-12-08</v>
      </c>
      <c r="AN203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95" t="str">
        <f t="shared" si="76"/>
        <v>https://d0f6bd738d7f1b3e5a7ca70fe4ff75f0.us-east-1.aws.found.io/app/kibana#/discover/Steve-Slow-Train-Analysis-(2080s-and-2083s)?_g=(refreshInterval:(display:Off,pause:!f,section:0,value:0),time:(from:'2017-12-08T17:27:04-0700',mode:absolute,to:'2017-12-08T19:55:59-0700'))&amp;_a=(columns:!('Message%20ID',Summary),filters:!(),index:'emp_*',interval:auto,query:(query_string:(analyze_wildcard:!t,query:'%22rtdc.l.rtdc.4007%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194" t="s">
        <v>876</v>
      </c>
      <c r="B204" s="190">
        <v>4004</v>
      </c>
      <c r="C204" s="192" t="s">
        <v>191</v>
      </c>
      <c r="D204" s="192" t="s">
        <v>457</v>
      </c>
      <c r="E204" s="191">
        <v>43077.770243055558</v>
      </c>
      <c r="F204" s="191">
        <v>43077.777291666665</v>
      </c>
      <c r="G204" s="190">
        <v>60</v>
      </c>
      <c r="H204" s="192" t="s">
        <v>1036</v>
      </c>
      <c r="I204" s="191">
        <v>43077.788587962961</v>
      </c>
      <c r="J204" s="190">
        <v>0</v>
      </c>
      <c r="K204" s="200" t="str">
        <f t="shared" si="60"/>
        <v>4003/4004</v>
      </c>
      <c r="L204" s="207" t="str">
        <f>VLOOKUP(A204,'Trips&amp;Operators'!$C$1:$G$99911,5,FALSE)</f>
        <v>LORI SANTOS</v>
      </c>
      <c r="M204" s="189">
        <f t="shared" si="61"/>
        <v>1.1296296295768116E-2</v>
      </c>
      <c r="N204" s="190">
        <f t="shared" si="90"/>
        <v>16.266666665906087</v>
      </c>
      <c r="O204" s="190"/>
      <c r="P204" s="190"/>
      <c r="Q204" s="193"/>
      <c r="R204" s="205"/>
      <c r="S204" s="235">
        <f t="shared" si="89"/>
        <v>1</v>
      </c>
      <c r="T204" s="236" t="str">
        <f t="shared" si="62"/>
        <v>NorthBound</v>
      </c>
      <c r="U204" s="23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37" t="str">
        <f t="shared" si="63"/>
        <v>https://d0f6bd738d7f1b3e5a7ca70fe4ff75f0.us-east-1.aws.found.io/app/kibana#/discover/Steve-Slow-Train-Analysis-(2080s-and-2083s)?_g=(refreshInterval:(display:Off,pause:!f,section:0,value:0),time:(from:'2017-12-08T17:29:09-0700',mode:absolute,to:'2017-12-08T19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4" s="238" t="str">
        <f>IF(AA204&lt;VLOOKUP(AG204,Variables!$AC$3:$AD$8,2,FALSE),"Y","N")</f>
        <v>N</v>
      </c>
      <c r="X204" s="238">
        <f t="shared" si="64"/>
        <v>1</v>
      </c>
      <c r="Y204" s="238">
        <f t="shared" si="91"/>
        <v>4.4400000000000002E-2</v>
      </c>
      <c r="Z204" s="238">
        <f t="shared" si="92"/>
        <v>5.8929</v>
      </c>
      <c r="AA204" s="238">
        <f t="shared" si="67"/>
        <v>5.8484999999999996</v>
      </c>
      <c r="AB204" s="242" t="e">
        <f>VLOOKUP(A204,Enforcements!$C$7:$K$9,8,0)</f>
        <v>#N/A</v>
      </c>
      <c r="AC204" s="242" t="e">
        <f>VLOOKUP(A204,Enforcements!$C$7:$E$9,3,0)</f>
        <v>#N/A</v>
      </c>
      <c r="AD204" s="243">
        <f t="shared" si="68"/>
        <v>839</v>
      </c>
      <c r="AE204" s="198" t="str">
        <f t="shared" si="69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204" s="197" t="str">
        <f t="shared" si="70"/>
        <v>"C:\Program Files (x86)\AstroGrep\AstroGrep.exe" /e /r /s /spath="%USERPROFILE%\AppData\Local\Temp\OnboardLogs" /stypes="app*4004*20171209*" /stext=" 01:.+((SYSTEM_STATE.+slice.+state.+changed )|(ment ac)|(multiple cpu faults)|(system.+state.+changed )|(\[timeout)|(PRM\|1\|D)|(kpr)|(kdp)|(train st.+moving)|(\|lc)|(penalty))"</v>
      </c>
      <c r="AG204" s="206" t="str">
        <f t="shared" si="71"/>
        <v>NW</v>
      </c>
      <c r="AH204" s="199" t="str">
        <f t="shared" si="72"/>
        <v>"%USERPROFILE%\Documents\GitHub\eaglep3\Utilities\RefineRTDCRunTimes.py" --tripid 839-08 --locoid 4004 --swversion DE.1.0.9.0 --startMP 204:444 --initTime 2017-12-08T18:29:09 --startdatetime 2017-12-08T18:39:18 --delay 60 --endMP 300:58929 --enddatetime 2017-12-08T18:55:34 --enforcementcount 0 &gt;&gt;%USERPROFILE%\Documents\GitHub\eaglep3-reporting\EC\2017-12-08-refined-times.txt</v>
      </c>
      <c r="AI204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{"issue":{"subject":"","project_id":79,"tracker_id":40,"status_id":1,"priority_id":2,"assigned_to_id":338,"start_date":"2017-12-08","description":"","custom_fields":[{"id":1,"name":"Subdivision","value":"NW"},{"id":4,"name":"Milepost","value":"5.8929"},{"id":17,"name":"Train ID","value":"839-08"},{"id":16,"name":"Locomotive ID","value":"4004"},{"id":130,"name":"Impact","value":""},{"id":150,"name":"Time of Event (Mountain Time)","value":"18:55:34"},{"id":151,"name":"Denver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188"/>
      <c r="AK204" s="196"/>
      <c r="AL204" s="196"/>
      <c r="AM204" s="203" t="str">
        <f t="shared" si="74"/>
        <v>start /low /b %USERPROFILE%\Documents\GitHub\eaglep3\Utilities\DownloadLogsFromS3.py --loco 4004 --day 2017-12-08</v>
      </c>
      <c r="AN204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95" t="str">
        <f t="shared" si="76"/>
        <v>https://d0f6bd738d7f1b3e5a7ca70fe4ff75f0.us-east-1.aws.found.io/app/kibana#/discover/Steve-Slow-Train-Analysis-(2080s-and-2083s)?_g=(refreshInterval:(display:Off,pause:!f,section:0,value:0),time:(from:'2017-12-08T17:29:09-0700',mode:absolute,to:'2017-12-08T19:55:34-0700'))&amp;_a=(columns:!('Message%20ID',Summary),filters:!(),index:'emp_*',interval:auto,query:(query_string:(analyze_wildcard:!t,query:'%22rtdc.l.rtdc.4004%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194" t="s">
        <v>886</v>
      </c>
      <c r="B205" s="190">
        <v>4007</v>
      </c>
      <c r="C205" s="192" t="s">
        <v>191</v>
      </c>
      <c r="D205" s="192" t="s">
        <v>1037</v>
      </c>
      <c r="E205" s="191">
        <v>43077.809965277775</v>
      </c>
      <c r="F205" s="191">
        <v>43077.820833333331</v>
      </c>
      <c r="G205" s="190">
        <v>50</v>
      </c>
      <c r="H205" s="192" t="s">
        <v>1078</v>
      </c>
      <c r="I205" s="191">
        <v>43077.83079861111</v>
      </c>
      <c r="J205" s="190">
        <v>0</v>
      </c>
      <c r="K205" s="200" t="str">
        <f t="shared" ref="K205:K236" si="93">IF(ISEVEN(B205),(B205-1)&amp;"/"&amp;B205,B205&amp;"/"&amp;(B205+1))</f>
        <v>4007/4008</v>
      </c>
      <c r="L205" s="207" t="str">
        <f>VLOOKUP(A205,'Trips&amp;Operators'!$C$1:$G$99911,5,FALSE)</f>
        <v>GUNTHIER ERIC</v>
      </c>
      <c r="M205" s="189">
        <f t="shared" ref="M205:M236" si="94">I205-F205</f>
        <v>9.9652777789742686E-3</v>
      </c>
      <c r="N205" s="190">
        <f t="shared" si="90"/>
        <v>14.350000001722947</v>
      </c>
      <c r="O205" s="190"/>
      <c r="P205" s="190"/>
      <c r="Q205" s="193"/>
      <c r="R205" s="205"/>
      <c r="S205" s="235">
        <f t="shared" si="89"/>
        <v>1</v>
      </c>
      <c r="T205" s="236" t="str">
        <f t="shared" ref="T205:T236" si="95">IF(ISEVEN(LEFT(AD205,4)),"Southbound","NorthBound")</f>
        <v>Southbound</v>
      </c>
      <c r="U205" s="23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37" t="str">
        <f t="shared" ref="V205:V236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-08T18:26:21-0700',mode:absolute,to:'2017-12-08T20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238" t="str">
        <f>IF(AA205&lt;VLOOKUP(AG205,Variables!$AC$3:$AD$8,2,FALSE),"Y","N")</f>
        <v>N</v>
      </c>
      <c r="X205" s="238">
        <f t="shared" ref="X205:X236" si="97">VALUE(LEFT(AD205,4))-VALUE(LEFT(AD204,4))</f>
        <v>1</v>
      </c>
      <c r="Y205" s="238">
        <f t="shared" si="91"/>
        <v>5.8628</v>
      </c>
      <c r="Z205" s="238">
        <f t="shared" si="92"/>
        <v>1.17E-2</v>
      </c>
      <c r="AA205" s="238">
        <f t="shared" ref="AA205:AA236" si="98">ABS(Z205-Y205)</f>
        <v>5.8510999999999997</v>
      </c>
      <c r="AB205" s="242" t="e">
        <f>VLOOKUP(A205,Enforcements!$C$7:$K$9,8,0)</f>
        <v>#N/A</v>
      </c>
      <c r="AC205" s="242" t="e">
        <f>VLOOKUP(A205,Enforcements!$C$7:$E$9,3,0)</f>
        <v>#N/A</v>
      </c>
      <c r="AD205" s="243">
        <f t="shared" ref="AD205:AD236" si="99">VALUE(LEFT(A205,LEN(A205)-3))</f>
        <v>840</v>
      </c>
      <c r="AE205" s="198" t="str">
        <f t="shared" ref="AE205:AE236" si="10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05" s="197" t="str">
        <f t="shared" ref="AF205:AF236" si="10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/stypes="app*4007*20171209*" /stext=" 02:.+((SYSTEM_STATE.+slice.+state.+changed )|(ment ac)|(multiple cpu faults)|(system.+state.+changed )|(\[timeout)|(PRM\|1\|D)|(kpr)|(kdp)|(train st.+moving)|(\|lc)|(penalty))"</v>
      </c>
      <c r="AG205" s="206" t="str">
        <f t="shared" ref="AG205:AG236" si="102">DetSubdiv(A205)</f>
        <v>NW</v>
      </c>
      <c r="AH205" s="199" t="str">
        <f t="shared" si="72"/>
        <v>"%USERPROFILE%\Documents\GitHub\eaglep3\Utilities\RefineRTDCRunTimes.py" --tripid 840-08 --locoid 4007 --swversion DE.1.0.9.0 --startMP 300:58628 --initTime 2017-12-08T19:26:21 --startdatetime 2017-12-08T19:42:00 --delay 50 --endMP 204:117 --enddatetime 2017-12-08T19:56:21 --enforcementcount 0 &gt;&gt;%USERPROFILE%\Documents\GitHub\eaglep3-reporting\EC\2017-12-08-refined-times.txt</v>
      </c>
      <c r="AI205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{"issue":{"subject":"","project_id":79,"tracker_id":40,"status_id":1,"priority_id":2,"assigned_to_id":338,"start_date":"2017-12-08","description":"","custom_fields":[{"id":1,"name":"Subdivision","value":"NW"},{"id":4,"name":"Milepost","value":"0.0117"},{"id":17,"name":"Train ID","value":"840-08"},{"id":16,"name":"Locomotive ID","value":"4007"},{"id":130,"name":"Impact","value":""},{"id":150,"name":"Time of Event (Mountain Time)","value":"19:56:21"},{"id":151,"name":"Denver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188"/>
      <c r="AK205" s="196"/>
      <c r="AL205" s="196"/>
      <c r="AM205" s="203" t="str">
        <f t="shared" si="74"/>
        <v>start /low /b %USERPROFILE%\Documents\GitHub\eaglep3\Utilities\DownloadLogsFromS3.py --loco 4007 --day 2017-12-08</v>
      </c>
      <c r="AN205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95" t="str">
        <f t="shared" si="76"/>
        <v>https://d0f6bd738d7f1b3e5a7ca70fe4ff75f0.us-east-1.aws.found.io/app/kibana#/discover/Steve-Slow-Train-Analysis-(2080s-and-2083s)?_g=(refreshInterval:(display:Off,pause:!f,section:0,value:0),time:(from:'2017-12-08T18:26:21-0700',mode:absolute,to:'2017-12-08T20:56:21-0700'))&amp;_a=(columns:!('Message%20ID',Summary),filters:!(),index:'emp_*',interval:auto,query:(query_string:(analyze_wildcard:!t,query:'%22rtdc.l.rtdc.4007%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188" customFormat="1" x14ac:dyDescent="0.25">
      <c r="A206" s="194" t="s">
        <v>882</v>
      </c>
      <c r="B206" s="190">
        <v>4008</v>
      </c>
      <c r="C206" s="192" t="s">
        <v>191</v>
      </c>
      <c r="D206" s="192" t="s">
        <v>1045</v>
      </c>
      <c r="E206" s="191">
        <v>43077.790960648148</v>
      </c>
      <c r="F206" s="191">
        <v>43077.798101851855</v>
      </c>
      <c r="G206" s="190">
        <v>51</v>
      </c>
      <c r="H206" s="192" t="s">
        <v>1079</v>
      </c>
      <c r="I206" s="191">
        <v>43077.808715277781</v>
      </c>
      <c r="J206" s="190">
        <v>0</v>
      </c>
      <c r="K206" s="200" t="str">
        <f t="shared" si="93"/>
        <v>4007/4008</v>
      </c>
      <c r="L206" s="207" t="str">
        <f>VLOOKUP(A206,'Trips&amp;Operators'!$C$1:$G$99911,5,FALSE)</f>
        <v>GUNTHIER ERIC</v>
      </c>
      <c r="M206" s="189">
        <f t="shared" si="94"/>
        <v>1.0613425925839692E-2</v>
      </c>
      <c r="N206" s="190">
        <f t="shared" si="90"/>
        <v>15.283333333209157</v>
      </c>
      <c r="O206" s="190"/>
      <c r="P206" s="190"/>
      <c r="Q206" s="193"/>
      <c r="R206" s="205"/>
      <c r="S206" s="235">
        <f t="shared" si="89"/>
        <v>1</v>
      </c>
      <c r="T206" s="236" t="str">
        <f t="shared" si="95"/>
        <v>NorthBound</v>
      </c>
      <c r="U206" s="23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37" t="str">
        <f t="shared" si="96"/>
        <v>https://d0f6bd738d7f1b3e5a7ca70fe4ff75f0.us-east-1.aws.found.io/app/kibana#/discover/Steve-Slow-Train-Analysis-(2080s-and-2083s)?_g=(refreshInterval:(display:Off,pause:!f,section:0,value:0),time:(from:'2017-12-08T17:58:59-0700',mode:absolute,to:'2017-12-08T20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38" t="str">
        <f>IF(AA206&lt;VLOOKUP(AG206,Variables!$AC$3:$AD$8,2,FALSE),"Y","N")</f>
        <v>N</v>
      </c>
      <c r="X206" s="238">
        <f t="shared" si="97"/>
        <v>1</v>
      </c>
      <c r="Y206" s="238">
        <f t="shared" si="91"/>
        <v>4.2099999999999999E-2</v>
      </c>
      <c r="Z206" s="238">
        <f t="shared" si="92"/>
        <v>5.8943000000000003</v>
      </c>
      <c r="AA206" s="238">
        <f t="shared" si="98"/>
        <v>5.8522000000000007</v>
      </c>
      <c r="AB206" s="242" t="e">
        <f>VLOOKUP(A206,Enforcements!$C$7:$K$9,8,0)</f>
        <v>#N/A</v>
      </c>
      <c r="AC206" s="242" t="e">
        <f>VLOOKUP(A206,Enforcements!$C$7:$E$9,3,0)</f>
        <v>#N/A</v>
      </c>
      <c r="AD206" s="243">
        <f t="shared" si="99"/>
        <v>841</v>
      </c>
      <c r="AE206" s="198" t="str">
        <f t="shared" si="100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06" s="197" t="str">
        <f t="shared" si="101"/>
        <v>"C:\Program Files (x86)\AstroGrep\AstroGrep.exe" /e /r /s /spath="%USERPROFILE%\AppData\Local\Temp\OnboardLogs" /stypes="app*4008*20171209*" /stext=" 02:.+((SYSTEM_STATE.+slice.+state.+changed )|(ment ac)|(multiple cpu faults)|(system.+state.+changed )|(\[timeout)|(PRM\|1\|D)|(kpr)|(kdp)|(train st.+moving)|(\|lc)|(penalty))"</v>
      </c>
      <c r="AG206" s="206" t="str">
        <f t="shared" si="102"/>
        <v>NW</v>
      </c>
      <c r="AH206" s="199" t="str">
        <f t="shared" si="72"/>
        <v>"%USERPROFILE%\Documents\GitHub\eaglep3\Utilities\RefineRTDCRunTimes.py" --tripid 841-08 --locoid 4008 --swversion DE.1.0.9.0 --startMP 204:421 --initTime 2017-12-08T18:58:59 --startdatetime 2017-12-08T19:09:16 --delay 51 --endMP 300:58943 --enddatetime 2017-12-08T19:24:33 --enforcementcount 0 &gt;&gt;%USERPROFILE%\Documents\GitHub\eaglep3-reporting\EC\2017-12-08-refined-times.txt</v>
      </c>
      <c r="AI206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{"issue":{"subject":"","project_id":79,"tracker_id":40,"status_id":1,"priority_id":2,"assigned_to_id":338,"start_date":"2017-12-08","description":"","custom_fields":[{"id":1,"name":"Subdivision","value":"NW"},{"id":4,"name":"Milepost","value":"5.8943"},{"id":17,"name":"Train ID","value":"841-08"},{"id":16,"name":"Locomotive ID","value":"4008"},{"id":130,"name":"Impact","value":""},{"id":150,"name":"Time of Event (Mountain Time)","value":"19:24:33"},{"id":151,"name":"Denver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196"/>
      <c r="AL206" s="196"/>
      <c r="AM206" s="203" t="str">
        <f t="shared" si="74"/>
        <v>start /low /b %USERPROFILE%\Documents\GitHub\eaglep3\Utilities\DownloadLogsFromS3.py --loco 4008 --day 2017-12-08</v>
      </c>
      <c r="AN206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95" t="str">
        <f t="shared" si="76"/>
        <v>https://d0f6bd738d7f1b3e5a7ca70fe4ff75f0.us-east-1.aws.found.io/app/kibana#/discover/Steve-Slow-Train-Analysis-(2080s-and-2083s)?_g=(refreshInterval:(display:Off,pause:!f,section:0,value:0),time:(from:'2017-12-08T17:58:59-0700',mode:absolute,to:'2017-12-08T20:24:33-0700'))&amp;_a=(columns:!('Message%20ID',Summary),filters:!(),index:'emp_*',interval:auto,query:(query_string:(analyze_wildcard:!t,query:'%22rtdc.l.rtdc.4008%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188" customFormat="1" x14ac:dyDescent="0.25">
      <c r="A207" s="194" t="s">
        <v>892</v>
      </c>
      <c r="B207" s="190">
        <v>4007</v>
      </c>
      <c r="C207" s="192" t="s">
        <v>191</v>
      </c>
      <c r="D207" s="192" t="s">
        <v>592</v>
      </c>
      <c r="E207" s="191">
        <v>43077.855046296296</v>
      </c>
      <c r="F207" s="191">
        <v>43077.862500000003</v>
      </c>
      <c r="G207" s="190">
        <v>68</v>
      </c>
      <c r="H207" s="192" t="s">
        <v>1080</v>
      </c>
      <c r="I207" s="191">
        <v>43077.871724537035</v>
      </c>
      <c r="J207" s="190">
        <v>0</v>
      </c>
      <c r="K207" s="200" t="str">
        <f t="shared" si="93"/>
        <v>4007/4008</v>
      </c>
      <c r="L207" s="207" t="str">
        <f>VLOOKUP(A207,'Trips&amp;Operators'!$C$1:$G$99911,5,FALSE)</f>
        <v>ANDREA WILLIAMS</v>
      </c>
      <c r="M207" s="189">
        <f t="shared" si="94"/>
        <v>9.2245370324235409E-3</v>
      </c>
      <c r="N207" s="190">
        <f t="shared" si="90"/>
        <v>13.283333326689899</v>
      </c>
      <c r="O207" s="190"/>
      <c r="P207" s="190"/>
      <c r="Q207" s="193"/>
      <c r="R207" s="205"/>
      <c r="S207" s="235">
        <f t="shared" si="89"/>
        <v>1</v>
      </c>
      <c r="T207" s="236" t="str">
        <f t="shared" si="95"/>
        <v>Southbound</v>
      </c>
      <c r="U207" s="23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37" t="str">
        <f t="shared" si="96"/>
        <v>https://d0f6bd738d7f1b3e5a7ca70fe4ff75f0.us-east-1.aws.found.io/app/kibana#/discover/Steve-Slow-Train-Analysis-(2080s-and-2083s)?_g=(refreshInterval:(display:Off,pause:!f,section:0,value:0),time:(from:'2017-12-08T19:31:16-0700',mode:absolute,to:'2017-12-08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238" t="str">
        <f>IF(AA207&lt;VLOOKUP(AG207,Variables!$AC$3:$AD$8,2,FALSE),"Y","N")</f>
        <v>N</v>
      </c>
      <c r="X207" s="238">
        <f t="shared" si="97"/>
        <v>1</v>
      </c>
      <c r="Y207" s="238">
        <f t="shared" si="91"/>
        <v>5.8608000000000002</v>
      </c>
      <c r="Z207" s="238">
        <f t="shared" si="92"/>
        <v>1.37E-2</v>
      </c>
      <c r="AA207" s="238">
        <f t="shared" si="98"/>
        <v>5.8471000000000002</v>
      </c>
      <c r="AB207" s="242" t="e">
        <f>VLOOKUP(A207,Enforcements!$C$7:$K$9,8,0)</f>
        <v>#N/A</v>
      </c>
      <c r="AC207" s="242" t="e">
        <f>VLOOKUP(A207,Enforcements!$C$7:$E$9,3,0)</f>
        <v>#N/A</v>
      </c>
      <c r="AD207" s="243">
        <f t="shared" si="99"/>
        <v>842</v>
      </c>
      <c r="AE207" s="198" t="str">
        <f t="shared" si="100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07" s="197" t="str">
        <f t="shared" si="101"/>
        <v>"C:\Program Files (x86)\AstroGrep\AstroGrep.exe" /e /r /s /spath="%USERPROFILE%\AppData\Local\Temp\OnboardLogs" /stypes="app*4007*20171209*" /stext=" 03:.+((SYSTEM_STATE.+slice.+state.+changed )|(ment ac)|(multiple cpu faults)|(system.+state.+changed )|(\[timeout)|(PRM\|1\|D)|(kpr)|(kdp)|(train st.+moving)|(\|lc)|(penalty))"</v>
      </c>
      <c r="AG207" s="206" t="str">
        <f t="shared" si="102"/>
        <v>NW</v>
      </c>
      <c r="AH207" s="199" t="str">
        <f t="shared" si="72"/>
        <v>"%USERPROFILE%\Documents\GitHub\eaglep3\Utilities\RefineRTDCRunTimes.py" --tripid 842-08 --locoid 4007 --swversion DE.1.0.9.0 --startMP 300:58608 --initTime 2017-12-08T20:31:16 --startdatetime 2017-12-08T20:42:00 --delay 68 --endMP 204:137 --enddatetime 2017-12-08T20:55:17 --enforcementcount 0 &gt;&gt;%USERPROFILE%\Documents\GitHub\eaglep3-reporting\EC\2017-12-08-refined-times.txt</v>
      </c>
      <c r="AI207" s="201" t="str">
        <f t="shared" si="73"/>
        <v>echo {"issue":{"subject":"","project_id":79,"tracker_id":40,"status_id":1,"priority_id":2,"assigned_to_id":338,"start_date":"2017-12-08","description":"","custom_fields":[{"id":1,"name":"Subdivision","value":"NW"},{"id":4,"name":"Milepost","value":"0.0137"},{"id":17,"name":"Train ID","value":"842-08"},{"id":16,"name":"Locomotive ID","value":"4007"},{"id":130,"name":"Impact","value":""},{"id":150,"name":"Time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196"/>
      <c r="AL207" s="196"/>
      <c r="AM207" s="203" t="str">
        <f t="shared" si="74"/>
        <v>start /low /b %USERPROFILE%\Documents\GitHub\eaglep3\Utilities\DownloadLogsFromS3.py --loco 4007 --day 2017-12-08</v>
      </c>
      <c r="AN207" s="204" t="str">
        <f t="shared" si="75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95" t="str">
        <f t="shared" si="76"/>
        <v>https://d0f6bd738d7f1b3e5a7ca70fe4ff75f0.us-east-1.aws.found.io/app/kibana#/discover/Steve-Slow-Train-Analysis-(2080s-and-2083s)?_g=(refreshInterval:(display:Off,pause:!f,section:0,value:0),time:(from:'2017-12-08T19:31:16-0700',mode:absolute,to:'2017-12-08T21:55:17-0700'))&amp;_a=(columns:!('Message%20ID',Summary),filters:!(),index:'emp_*',interval:auto,query:(query_string:(analyze_wildcard:!t,query:'%22rtdc.l.rtdc.4007%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188" customFormat="1" x14ac:dyDescent="0.25">
      <c r="A208" s="194" t="s">
        <v>889</v>
      </c>
      <c r="B208" s="190">
        <v>4008</v>
      </c>
      <c r="C208" s="192" t="s">
        <v>191</v>
      </c>
      <c r="D208" s="192" t="s">
        <v>1052</v>
      </c>
      <c r="E208" s="191">
        <v>43077.836087962962</v>
      </c>
      <c r="F208" s="191">
        <v>43077.839826388888</v>
      </c>
      <c r="G208" s="190">
        <v>103</v>
      </c>
      <c r="H208" s="192" t="s">
        <v>1072</v>
      </c>
      <c r="I208" s="191">
        <v>43077.849861111114</v>
      </c>
      <c r="J208" s="190">
        <v>0</v>
      </c>
      <c r="K208" s="200" t="str">
        <f t="shared" si="93"/>
        <v>4007/4008</v>
      </c>
      <c r="L208" s="207" t="str">
        <f>VLOOKUP(A208,'Trips&amp;Operators'!$C$1:$G$99911,5,FALSE)</f>
        <v>ANDREA WILLIAMS</v>
      </c>
      <c r="M208" s="189">
        <f t="shared" si="94"/>
        <v>1.0034722225100268E-2</v>
      </c>
      <c r="N208" s="190">
        <f t="shared" si="90"/>
        <v>14.450000004144385</v>
      </c>
      <c r="O208" s="190"/>
      <c r="P208" s="190"/>
      <c r="Q208" s="193"/>
      <c r="R208" s="205"/>
      <c r="S208" s="235">
        <f t="shared" si="89"/>
        <v>1</v>
      </c>
      <c r="T208" s="236" t="str">
        <f t="shared" si="95"/>
        <v>NorthBound</v>
      </c>
      <c r="U208" s="23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37" t="str">
        <f t="shared" si="96"/>
        <v>https://d0f6bd738d7f1b3e5a7ca70fe4ff75f0.us-east-1.aws.found.io/app/kibana#/discover/Steve-Slow-Train-Analysis-(2080s-and-2083s)?_g=(refreshInterval:(display:Off,pause:!f,section:0,value:0),time:(from:'2017-12-08T19:03:58-0700',mode:absolute,to:'2017-12-08T21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238" t="str">
        <f>IF(AA208&lt;VLOOKUP(AG208,Variables!$AC$3:$AD$8,2,FALSE),"Y","N")</f>
        <v>N</v>
      </c>
      <c r="X208" s="238">
        <f t="shared" si="97"/>
        <v>1</v>
      </c>
      <c r="Y208" s="238">
        <f t="shared" si="91"/>
        <v>4.1700000000000001E-2</v>
      </c>
      <c r="Z208" s="238">
        <f t="shared" si="92"/>
        <v>5.8924000000000003</v>
      </c>
      <c r="AA208" s="238">
        <f t="shared" si="98"/>
        <v>5.8507000000000007</v>
      </c>
      <c r="AB208" s="242" t="e">
        <f>VLOOKUP(A208,Enforcements!$C$7:$K$9,8,0)</f>
        <v>#N/A</v>
      </c>
      <c r="AC208" s="242" t="e">
        <f>VLOOKUP(A208,Enforcements!$C$7:$E$9,3,0)</f>
        <v>#N/A</v>
      </c>
      <c r="AD208" s="243">
        <f t="shared" si="99"/>
        <v>843</v>
      </c>
      <c r="AE208" s="198" t="str">
        <f t="shared" si="100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08" s="197" t="str">
        <f t="shared" si="101"/>
        <v>"C:\Program Files (x86)\AstroGrep\AstroGrep.exe" /e /r /s /spath="%USERPROFILE%\AppData\Local\Temp\OnboardLogs" /stypes="app*4008*20171209*" /stext=" 03:.+((SYSTEM_STATE.+slice.+state.+changed )|(ment ac)|(multiple cpu faults)|(system.+state.+changed )|(\[timeout)|(PRM\|1\|D)|(kpr)|(kdp)|(train st.+moving)|(\|lc)|(penalty))"</v>
      </c>
      <c r="AG208" s="206" t="str">
        <f t="shared" si="102"/>
        <v>NW</v>
      </c>
      <c r="AH208" s="199" t="str">
        <f t="shared" ref="AH208:AH236" si="103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843-08 --locoid 4008 --swversion DE.1.0.9.0 --startMP 204:417 --initTime 2017-12-08T20:03:58 --startdatetime 2017-12-08T20:09:21 --delay 103 --endMP 300:58924 --enddatetime 2017-12-08T20:23:48 --enforcementcount 0 &gt;&gt;%USERPROFILE%\Documents\GitHub\eaglep3-reporting\EC\2017-12-08-refined-times.txt</v>
      </c>
      <c r="AI208" s="201" t="str">
        <f t="shared" ref="AI208:AI236" si="104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{"issue":{"subject":"","project_id":79,"tracker_id":40,"status_id":1,"priority_id":2,"assigned_to_id":338,"start_date":"2017-12-08","description":"","custom_fields":[{"id":1,"name":"Subdivision","value":"NW"},{"id":4,"name":"Milepost","value":"5.8924"},{"id":17,"name":"Train ID","value":"843-08"},{"id":16,"name":"Locomotive ID","value":"4008"},{"id":130,"name":"Impact","value":""},{"id":150,"name":"Time of Event (Mountain Time)","value":"20:23:48"},{"id":151,"name":"Denver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196"/>
      <c r="AL208" s="196"/>
      <c r="AM208" s="203" t="str">
        <f t="shared" ref="AM208:AM236" si="105">"start /low /b "&amp;dls3logs&amp;" --loco "&amp;B208&amp;" --day "&amp;TEXT(F208,"YYYY-MM-DD")</f>
        <v>start /low /b %USERPROFILE%\Documents\GitHub\eaglep3\Utilities\DownloadLogsFromS3.py --loco 4008 --day 2017-12-08</v>
      </c>
      <c r="AN208" s="204" t="str">
        <f t="shared" ref="AN208:AN236" si="106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95" t="str">
        <f t="shared" ref="AO208:AO236" si="107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-08T19:03:58-0700',mode:absolute,to:'2017-12-08T21:23:48-0700'))&amp;_a=(columns:!('Message%20ID',Summary),filters:!(),index:'emp_*',interval:auto,query:(query_string:(analyze_wildcard:!t,query:'%22rtdc.l.rtdc.4008%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194" t="s">
        <v>898</v>
      </c>
      <c r="B209" s="190">
        <v>4007</v>
      </c>
      <c r="C209" s="192" t="s">
        <v>191</v>
      </c>
      <c r="D209" s="192" t="s">
        <v>488</v>
      </c>
      <c r="E209" s="191">
        <v>43077.89298611111</v>
      </c>
      <c r="F209" s="191">
        <v>43077.904166666667</v>
      </c>
      <c r="G209" s="190">
        <v>86</v>
      </c>
      <c r="H209" s="192" t="s">
        <v>515</v>
      </c>
      <c r="I209" s="191">
        <v>43077.913854166669</v>
      </c>
      <c r="J209" s="190">
        <v>0</v>
      </c>
      <c r="K209" s="200" t="str">
        <f t="shared" si="93"/>
        <v>4007/4008</v>
      </c>
      <c r="L209" s="207" t="str">
        <f>VLOOKUP(A209,'Trips&amp;Operators'!$C$1:$G$99911,5,FALSE)</f>
        <v>LORI SANTOS</v>
      </c>
      <c r="M209" s="189">
        <f t="shared" si="94"/>
        <v>9.6875000017462298E-3</v>
      </c>
      <c r="N209" s="190">
        <f t="shared" si="90"/>
        <v>13.950000002514571</v>
      </c>
      <c r="O209" s="190"/>
      <c r="P209" s="190"/>
      <c r="Q209" s="193"/>
      <c r="R209" s="205"/>
      <c r="S209" s="235">
        <f t="shared" si="89"/>
        <v>1</v>
      </c>
      <c r="T209" s="236" t="str">
        <f t="shared" si="95"/>
        <v>Southbound</v>
      </c>
      <c r="U209" s="23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37" t="str">
        <f t="shared" si="96"/>
        <v>https://d0f6bd738d7f1b3e5a7ca70fe4ff75f0.us-east-1.aws.found.io/app/kibana#/discover/Steve-Slow-Train-Analysis-(2080s-and-2083s)?_g=(refreshInterval:(display:Off,pause:!f,section:0,value:0),time:(from:'2017-12-08T20:25:54-0700',mode:absolute,to:'2017-12-08T22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238" t="str">
        <f>IF(AA209&lt;VLOOKUP(AG209,Variables!$AC$3:$AD$8,2,FALSE),"Y","N")</f>
        <v>N</v>
      </c>
      <c r="X209" s="238">
        <f t="shared" si="97"/>
        <v>1</v>
      </c>
      <c r="Y209" s="238">
        <f t="shared" si="91"/>
        <v>5.8609</v>
      </c>
      <c r="Z209" s="238">
        <f t="shared" si="92"/>
        <v>1.6199999999999999E-2</v>
      </c>
      <c r="AA209" s="238">
        <f t="shared" si="98"/>
        <v>5.8446999999999996</v>
      </c>
      <c r="AB209" s="242" t="e">
        <f>VLOOKUP(A209,Enforcements!$C$7:$K$9,8,0)</f>
        <v>#N/A</v>
      </c>
      <c r="AC209" s="242" t="e">
        <f>VLOOKUP(A209,Enforcements!$C$7:$E$9,3,0)</f>
        <v>#N/A</v>
      </c>
      <c r="AD209" s="243">
        <f t="shared" si="99"/>
        <v>844</v>
      </c>
      <c r="AE209" s="198" t="str">
        <f t="shared" si="100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09" s="197" t="str">
        <f t="shared" si="101"/>
        <v>"C:\Program Files (x86)\AstroGrep\AstroGrep.exe" /e /r /s /spath="%USERPROFILE%\AppData\Local\Temp\OnboardLogs" /stypes="app*4007*20171209*" /stext=" 04:.+((SYSTEM_STATE.+slice.+state.+changed )|(ment ac)|(multiple cpu faults)|(system.+state.+changed )|(\[timeout)|(PRM\|1\|D)|(kpr)|(kdp)|(train st.+moving)|(\|lc)|(penalty))"</v>
      </c>
      <c r="AG209" s="206" t="str">
        <f t="shared" si="102"/>
        <v>NW</v>
      </c>
      <c r="AH209" s="199" t="str">
        <f t="shared" si="103"/>
        <v>"%USERPROFILE%\Documents\GitHub\eaglep3\Utilities\RefineRTDCRunTimes.py" --tripid 844-08 --locoid 4007 --swversion DE.1.0.9.0 --startMP 300:58609 --initTime 2017-12-08T21:25:54 --startdatetime 2017-12-08T21:42:00 --delay 86 --endMP 204:162 --enddatetime 2017-12-08T21:55:57 --enforcementcount 0 &gt;&gt;%USERPROFILE%\Documents\GitHub\eaglep3-reporting\EC\2017-12-08-refined-times.txt</v>
      </c>
      <c r="AI209" s="201" t="str">
        <f t="shared" si="104"/>
        <v>echo {"issue":{"subject":"","project_id":79,"tracker_id":40,"status_id":1,"priority_id":2,"assigned_to_id":338,"start_date":"2017-12-08","description":"","custom_fields":[{"id":1,"name":"Subdivision","value":"NW"},{"id":4,"name":"Milepost","value":"0.0162"},{"id":17,"name":"Train ID","value":"844-08"},{"id":16,"name":"Locomotive ID","value":"4007"},{"id":130,"name":"Impact","value":""},{"id":150,"name":"Time of Event (Mountain Time)","value":"21:55:57"},{"id":151,"name":"Denver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188"/>
      <c r="AK209" s="196"/>
      <c r="AL209" s="196"/>
      <c r="AM209" s="203" t="str">
        <f t="shared" si="105"/>
        <v>start /low /b %USERPROFILE%\Documents\GitHub\eaglep3\Utilities\DownloadLogsFromS3.py --loco 4007 --day 2017-12-08</v>
      </c>
      <c r="AN209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95" t="str">
        <f t="shared" si="107"/>
        <v>https://d0f6bd738d7f1b3e5a7ca70fe4ff75f0.us-east-1.aws.found.io/app/kibana#/discover/Steve-Slow-Train-Analysis-(2080s-and-2083s)?_g=(refreshInterval:(display:Off,pause:!f,section:0,value:0),time:(from:'2017-12-08T20:25:54-0700',mode:absolute,to:'2017-12-08T22:55:57-0700'))&amp;_a=(columns:!('Message%20ID',Summary),filters:!(),index:'emp_*',interval:auto,query:(query_string:(analyze_wildcard:!t,query:'%22rtdc.l.rtdc.4007%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194" t="s">
        <v>895</v>
      </c>
      <c r="B210" s="190">
        <v>4008</v>
      </c>
      <c r="C210" s="192" t="s">
        <v>191</v>
      </c>
      <c r="D210" s="192" t="s">
        <v>985</v>
      </c>
      <c r="E210" s="191">
        <v>43077.875787037039</v>
      </c>
      <c r="F210" s="191">
        <v>43077.881643518522</v>
      </c>
      <c r="G210" s="190">
        <v>67</v>
      </c>
      <c r="H210" s="192" t="s">
        <v>677</v>
      </c>
      <c r="I210" s="191">
        <v>43077.891597222224</v>
      </c>
      <c r="J210" s="190">
        <v>0</v>
      </c>
      <c r="K210" s="200" t="str">
        <f t="shared" si="93"/>
        <v>4007/4008</v>
      </c>
      <c r="L210" s="207" t="str">
        <f>VLOOKUP(A210,'Trips&amp;Operators'!$C$1:$G$99911,5,FALSE)</f>
        <v>LORI SANTOS</v>
      </c>
      <c r="M210" s="189">
        <f t="shared" si="94"/>
        <v>9.9537037021946162E-3</v>
      </c>
      <c r="N210" s="190">
        <f t="shared" si="90"/>
        <v>14.333333331160247</v>
      </c>
      <c r="O210" s="190"/>
      <c r="P210" s="190"/>
      <c r="Q210" s="193"/>
      <c r="R210" s="205"/>
      <c r="S210" s="235">
        <f t="shared" si="89"/>
        <v>1</v>
      </c>
      <c r="T210" s="236" t="str">
        <f t="shared" si="95"/>
        <v>NorthBound</v>
      </c>
      <c r="U210" s="23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37" t="str">
        <f t="shared" si="96"/>
        <v>https://d0f6bd738d7f1b3e5a7ca70fe4ff75f0.us-east-1.aws.found.io/app/kibana#/discover/Steve-Slow-Train-Analysis-(2080s-and-2083s)?_g=(refreshInterval:(display:Off,pause:!f,section:0,value:0),time:(from:'2017-12-08T20:01:08-0700',mode:absolute,to:'2017-12-08T22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0" s="238" t="str">
        <f>IF(AA210&lt;VLOOKUP(AG210,Variables!$AC$3:$AD$8,2,FALSE),"Y","N")</f>
        <v>N</v>
      </c>
      <c r="X210" s="238">
        <f t="shared" si="97"/>
        <v>1</v>
      </c>
      <c r="Y210" s="238">
        <f t="shared" si="91"/>
        <v>4.7500000000000001E-2</v>
      </c>
      <c r="Z210" s="238">
        <f t="shared" si="92"/>
        <v>5.8920000000000003</v>
      </c>
      <c r="AA210" s="238">
        <f t="shared" si="98"/>
        <v>5.8445</v>
      </c>
      <c r="AB210" s="242" t="e">
        <f>VLOOKUP(A210,Enforcements!$C$7:$K$9,8,0)</f>
        <v>#N/A</v>
      </c>
      <c r="AC210" s="242" t="e">
        <f>VLOOKUP(A210,Enforcements!$C$7:$E$9,3,0)</f>
        <v>#N/A</v>
      </c>
      <c r="AD210" s="243">
        <f t="shared" si="99"/>
        <v>845</v>
      </c>
      <c r="AE210" s="198" t="str">
        <f t="shared" si="100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10" s="197" t="str">
        <f t="shared" si="101"/>
        <v>"C:\Program Files (x86)\AstroGrep\AstroGrep.exe" /e /r /s /spath="%USERPROFILE%\AppData\Local\Temp\OnboardLogs" /stypes="app*4008*20171209*" /stext=" 04:.+((SYSTEM_STATE.+slice.+state.+changed )|(ment ac)|(multiple cpu faults)|(system.+state.+changed )|(\[timeout)|(PRM\|1\|D)|(kpr)|(kdp)|(train st.+moving)|(\|lc)|(penalty))"</v>
      </c>
      <c r="AG210" s="206" t="str">
        <f t="shared" si="102"/>
        <v>NW</v>
      </c>
      <c r="AH210" s="199" t="str">
        <f t="shared" si="103"/>
        <v>"%USERPROFILE%\Documents\GitHub\eaglep3\Utilities\RefineRTDCRunTimes.py" --tripid 845-08 --locoid 4008 --swversion DE.1.0.9.0 --startMP 204:475 --initTime 2017-12-08T21:01:08 --startdatetime 2017-12-08T21:09:34 --delay 67 --endMP 300:58920 --enddatetime 2017-12-08T21:23:54 --enforcementcount 0 &gt;&gt;%USERPROFILE%\Documents\GitHub\eaglep3-reporting\EC\2017-12-08-refined-times.txt</v>
      </c>
      <c r="AI210" s="201" t="str">
        <f t="shared" si="104"/>
        <v>echo {"issue":{"subject":"","project_id":79,"tracker_id":40,"status_id":1,"priority_id":2,"assigned_to_id":338,"start_date":"2017-12-08","description":"","custom_fields":[{"id":1,"name":"Subdivision","value":"NW"},{"id":4,"name":"Milepost","value":"5.892"},{"id":17,"name":"Train ID","value":"845-08"},{"id":16,"name":"Locomotive ID","value":"4008"},{"id":130,"name":"Impact","value":""},{"id":150,"name":"Time of Event (Mountain Time)","value":"21:23:54"},{"id":151,"name":"Denver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188"/>
      <c r="AK210" s="196"/>
      <c r="AL210" s="196"/>
      <c r="AM210" s="203" t="str">
        <f t="shared" si="105"/>
        <v>start /low /b %USERPROFILE%\Documents\GitHub\eaglep3\Utilities\DownloadLogsFromS3.py --loco 4008 --day 2017-12-08</v>
      </c>
      <c r="AN210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04:23:54"},{"id":29,"name":"Sharepoint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95" t="str">
        <f t="shared" si="107"/>
        <v>https://d0f6bd738d7f1b3e5a7ca70fe4ff75f0.us-east-1.aws.found.io/app/kibana#/discover/Steve-Slow-Train-Analysis-(2080s-and-2083s)?_g=(refreshInterval:(display:Off,pause:!f,section:0,value:0),time:(from:'2017-12-08T20:01:08-0700',mode:absolute,to:'2017-12-08T22:23:54-0700'))&amp;_a=(columns:!('Message%20ID',Summary),filters:!(),index:'emp_*',interval:auto,query:(query_string:(analyze_wildcard:!t,query:'%22rtdc.l.rtdc.4008%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194" t="s">
        <v>904</v>
      </c>
      <c r="B211" s="190">
        <v>4007</v>
      </c>
      <c r="C211" s="192" t="s">
        <v>191</v>
      </c>
      <c r="D211" s="192" t="s">
        <v>1081</v>
      </c>
      <c r="E211" s="191">
        <v>43077.934976851851</v>
      </c>
      <c r="F211" s="191">
        <v>43077.945833333331</v>
      </c>
      <c r="G211" s="190">
        <v>55</v>
      </c>
      <c r="H211" s="192" t="s">
        <v>1082</v>
      </c>
      <c r="I211" s="191">
        <v>43077.956030092595</v>
      </c>
      <c r="J211" s="190">
        <v>0</v>
      </c>
      <c r="K211" s="200" t="str">
        <f t="shared" si="93"/>
        <v>4007/4008</v>
      </c>
      <c r="L211" s="207" t="str">
        <f>VLOOKUP(A211,'Trips&amp;Operators'!$C$1:$G$99911,5,FALSE)</f>
        <v>LORI SANTOS</v>
      </c>
      <c r="M211" s="189">
        <f t="shared" si="94"/>
        <v>1.0196759263635613E-2</v>
      </c>
      <c r="N211" s="190">
        <f t="shared" si="90"/>
        <v>14.683333339635283</v>
      </c>
      <c r="O211" s="190"/>
      <c r="P211" s="190"/>
      <c r="Q211" s="193"/>
      <c r="R211" s="205"/>
      <c r="S211" s="235">
        <f t="shared" si="89"/>
        <v>1</v>
      </c>
      <c r="T211" s="236" t="str">
        <f t="shared" si="95"/>
        <v>Southbound</v>
      </c>
      <c r="U211" s="23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37" t="str">
        <f t="shared" si="96"/>
        <v>https://d0f6bd738d7f1b3e5a7ca70fe4ff75f0.us-east-1.aws.found.io/app/kibana#/discover/Steve-Slow-Train-Analysis-(2080s-and-2083s)?_g=(refreshInterval:(display:Off,pause:!f,section:0,value:0),time:(from:'2017-12-08T21:26:22-0700',mode:absolute,to:'2017-12-08T23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238" t="str">
        <f>IF(AA211&lt;VLOOKUP(AG211,Variables!$AC$3:$AD$8,2,FALSE),"Y","N")</f>
        <v>N</v>
      </c>
      <c r="X211" s="238">
        <f t="shared" si="97"/>
        <v>1</v>
      </c>
      <c r="Y211" s="238">
        <f t="shared" si="91"/>
        <v>5.8624999999999998</v>
      </c>
      <c r="Z211" s="238">
        <f t="shared" si="92"/>
        <v>1.55E-2</v>
      </c>
      <c r="AA211" s="238">
        <f t="shared" si="98"/>
        <v>5.8469999999999995</v>
      </c>
      <c r="AB211" s="242" t="e">
        <f>VLOOKUP(A211,Enforcements!$C$7:$K$9,8,0)</f>
        <v>#N/A</v>
      </c>
      <c r="AC211" s="242" t="e">
        <f>VLOOKUP(A211,Enforcements!$C$7:$E$9,3,0)</f>
        <v>#N/A</v>
      </c>
      <c r="AD211" s="243">
        <f t="shared" si="99"/>
        <v>846</v>
      </c>
      <c r="AE211" s="198" t="str">
        <f t="shared" si="100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11" s="197" t="str">
        <f t="shared" si="101"/>
        <v>"C:\Program Files (x86)\AstroGrep\AstroGrep.exe" /e /r /s /spath="%USERPROFILE%\AppData\Local\Temp\OnboardLogs" /stypes="app*4007*20171209*" /stext=" 05:.+((SYSTEM_STATE.+slice.+state.+changed )|(ment ac)|(multiple cpu faults)|(system.+state.+changed )|(\[timeout)|(PRM\|1\|D)|(kpr)|(kdp)|(train st.+moving)|(\|lc)|(penalty))"</v>
      </c>
      <c r="AG211" s="206" t="str">
        <f t="shared" si="102"/>
        <v>NW</v>
      </c>
      <c r="AH211" s="199" t="str">
        <f t="shared" si="103"/>
        <v>"%USERPROFILE%\Documents\GitHub\eaglep3\Utilities\RefineRTDCRunTimes.py" --tripid 846-08 --locoid 4007 --swversion DE.1.0.9.0 --startMP 300:58625 --initTime 2017-12-08T22:26:22 --startdatetime 2017-12-08T22:42:00 --delay 55 --endMP 204:155 --enddatetime 2017-12-08T22:56:41 --enforcementcount 0 &gt;&gt;%USERPROFILE%\Documents\GitHub\eaglep3-reporting\EC\2017-12-08-refined-times.txt</v>
      </c>
      <c r="AI211" s="201" t="str">
        <f t="shared" si="104"/>
        <v>echo {"issue":{"subject":"","project_id":79,"tracker_id":40,"status_id":1,"priority_id":2,"assigned_to_id":338,"start_date":"2017-12-08","description":"","custom_fields":[{"id":1,"name":"Subdivision","value":"NW"},{"id":4,"name":"Milepost","value":"0.0155"},{"id":17,"name":"Train ID","value":"846-08"},{"id":16,"name":"Locomotive ID","value":"4007"},{"id":130,"name":"Impact","value":""},{"id":150,"name":"Time of Event (Mountain Time)","value":"22:56:41"},{"id":151,"name":"Denver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188"/>
      <c r="AK211" s="196"/>
      <c r="AL211" s="196"/>
      <c r="AM211" s="203" t="str">
        <f t="shared" si="105"/>
        <v>start /low /b %USERPROFILE%\Documents\GitHub\eaglep3\Utilities\DownloadLogsFromS3.py --loco 4007 --day 2017-12-08</v>
      </c>
      <c r="AN211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95" t="str">
        <f t="shared" si="107"/>
        <v>https://d0f6bd738d7f1b3e5a7ca70fe4ff75f0.us-east-1.aws.found.io/app/kibana#/discover/Steve-Slow-Train-Analysis-(2080s-and-2083s)?_g=(refreshInterval:(display:Off,pause:!f,section:0,value:0),time:(from:'2017-12-08T21:26:22-0700',mode:absolute,to:'2017-12-08T23:56:41-0700'))&amp;_a=(columns:!('Message%20ID',Summary),filters:!(),index:'emp_*',interval:auto,query:(query_string:(analyze_wildcard:!t,query:'%22rtdc.l.rtdc.4007%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194" t="s">
        <v>901</v>
      </c>
      <c r="B212" s="190">
        <v>4008</v>
      </c>
      <c r="C212" s="192" t="s">
        <v>191</v>
      </c>
      <c r="D212" s="192" t="s">
        <v>1083</v>
      </c>
      <c r="E212" s="191">
        <v>43077.915694444448</v>
      </c>
      <c r="F212" s="191">
        <v>43077.923333333332</v>
      </c>
      <c r="G212" s="190">
        <v>64</v>
      </c>
      <c r="H212" s="192" t="s">
        <v>490</v>
      </c>
      <c r="I212" s="191">
        <v>43077.93340277778</v>
      </c>
      <c r="J212" s="190">
        <v>0</v>
      </c>
      <c r="K212" s="200" t="str">
        <f t="shared" si="93"/>
        <v>4007/4008</v>
      </c>
      <c r="L212" s="207" t="str">
        <f>VLOOKUP(A212,'Trips&amp;Operators'!$C$1:$G$99911,5,FALSE)</f>
        <v>LORI SANTOS</v>
      </c>
      <c r="M212" s="189">
        <f t="shared" si="94"/>
        <v>1.0069444448163267E-2</v>
      </c>
      <c r="N212" s="190">
        <f t="shared" si="90"/>
        <v>14.500000005355105</v>
      </c>
      <c r="O212" s="190"/>
      <c r="P212" s="190"/>
      <c r="Q212" s="193"/>
      <c r="R212" s="205"/>
      <c r="S212" s="235">
        <f t="shared" si="89"/>
        <v>1</v>
      </c>
      <c r="T212" s="236" t="str">
        <f t="shared" si="95"/>
        <v>NorthBound</v>
      </c>
      <c r="U212" s="23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37" t="str">
        <f t="shared" si="96"/>
        <v>https://d0f6bd738d7f1b3e5a7ca70fe4ff75f0.us-east-1.aws.found.io/app/kibana#/discover/Steve-Slow-Train-Analysis-(2080s-and-2083s)?_g=(refreshInterval:(display:Off,pause:!f,section:0,value:0),time:(from:'2017-12-08T20:58:36-0700',mode:absolute,to:'2017-12-08T23:24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2" s="238" t="str">
        <f>IF(AA212&lt;VLOOKUP(AG212,Variables!$AC$3:$AD$8,2,FALSE),"Y","N")</f>
        <v>N</v>
      </c>
      <c r="X212" s="238">
        <f t="shared" si="97"/>
        <v>1</v>
      </c>
      <c r="Y212" s="238">
        <f t="shared" si="91"/>
        <v>4.6800000000000001E-2</v>
      </c>
      <c r="Z212" s="238">
        <f t="shared" si="92"/>
        <v>5.8940999999999999</v>
      </c>
      <c r="AA212" s="238">
        <f t="shared" si="98"/>
        <v>5.8472999999999997</v>
      </c>
      <c r="AB212" s="242" t="e">
        <f>VLOOKUP(A212,Enforcements!$C$7:$K$9,8,0)</f>
        <v>#N/A</v>
      </c>
      <c r="AC212" s="242" t="e">
        <f>VLOOKUP(A212,Enforcements!$C$7:$E$9,3,0)</f>
        <v>#N/A</v>
      </c>
      <c r="AD212" s="243">
        <f t="shared" si="99"/>
        <v>847</v>
      </c>
      <c r="AE212" s="198" t="str">
        <f t="shared" si="100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12" s="197" t="str">
        <f t="shared" si="101"/>
        <v>"C:\Program Files (x86)\AstroGrep\AstroGrep.exe" /e /r /s /spath="%USERPROFILE%\AppData\Local\Temp\OnboardLogs" /stypes="app*4008*20171209*" /stext=" 05:.+((SYSTEM_STATE.+slice.+state.+changed )|(ment ac)|(multiple cpu faults)|(system.+state.+changed )|(\[timeout)|(PRM\|1\|D)|(kpr)|(kdp)|(train st.+moving)|(\|lc)|(penalty))"</v>
      </c>
      <c r="AG212" s="206" t="str">
        <f t="shared" si="102"/>
        <v>NW</v>
      </c>
      <c r="AH212" s="199" t="str">
        <f t="shared" si="103"/>
        <v>"%USERPROFILE%\Documents\GitHub\eaglep3\Utilities\RefineRTDCRunTimes.py" --tripid 847-08 --locoid 4008 --swversion DE.1.0.9.0 --startMP 204:468 --initTime 2017-12-08T21:58:36 --startdatetime 2017-12-08T22:09:36 --delay 64 --endMP 300:58941 --enddatetime 2017-12-08T22:24:06 --enforcementcount 0 &gt;&gt;%USERPROFILE%\Documents\GitHub\eaglep3-reporting\EC\2017-12-08-refined-times.txt</v>
      </c>
      <c r="AI212" s="201" t="str">
        <f t="shared" si="104"/>
        <v>echo {"issue":{"subject":"","project_id":79,"tracker_id":40,"status_id":1,"priority_id":2,"assigned_to_id":338,"start_date":"2017-12-08","description":"","custom_fields":[{"id":1,"name":"Subdivision","value":"NW"},{"id":4,"name":"Milepost","value":"5.8941"},{"id":17,"name":"Train ID","value":"847-08"},{"id":16,"name":"Locomotive ID","value":"4008"},{"id":130,"name":"Impact","value":""},{"id":150,"name":"Time of Event (Mountain Time)","value":"22:24:06"},{"id":151,"name":"Denver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188"/>
      <c r="AK212" s="196"/>
      <c r="AL212" s="196"/>
      <c r="AM212" s="203" t="str">
        <f t="shared" si="105"/>
        <v>start /low /b %USERPROFILE%\Documents\GitHub\eaglep3\Utilities\DownloadLogsFromS3.py --loco 4008 --day 2017-12-08</v>
      </c>
      <c r="AN212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05:24:06"},{"id":29,"name":"Sharepoint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95" t="str">
        <f t="shared" si="107"/>
        <v>https://d0f6bd738d7f1b3e5a7ca70fe4ff75f0.us-east-1.aws.found.io/app/kibana#/discover/Steve-Slow-Train-Analysis-(2080s-and-2083s)?_g=(refreshInterval:(display:Off,pause:!f,section:0,value:0),time:(from:'2017-12-08T20:58:36-0700',mode:absolute,to:'2017-12-08T23:24:06-0700'))&amp;_a=(columns:!('Message%20ID',Summary),filters:!(),index:'emp_*',interval:auto,query:(query_string:(analyze_wildcard:!t,query:'%22rtdc.l.rtdc.4008%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194" t="s">
        <v>907</v>
      </c>
      <c r="B213" s="190">
        <v>4008</v>
      </c>
      <c r="C213" s="192" t="s">
        <v>191</v>
      </c>
      <c r="D213" s="192" t="s">
        <v>487</v>
      </c>
      <c r="E213" s="191">
        <v>43077.958055555559</v>
      </c>
      <c r="F213" s="191">
        <v>43077.964884259258</v>
      </c>
      <c r="G213" s="190">
        <v>63</v>
      </c>
      <c r="H213" s="192" t="s">
        <v>1079</v>
      </c>
      <c r="I213" s="191">
        <v>43077.975115740737</v>
      </c>
      <c r="J213" s="190">
        <v>0</v>
      </c>
      <c r="K213" s="200" t="str">
        <f t="shared" si="93"/>
        <v>4007/4008</v>
      </c>
      <c r="L213" s="207" t="str">
        <f>VLOOKUP(A213,'Trips&amp;Operators'!$C$1:$G$99911,5,FALSE)</f>
        <v>LORI SANTOS</v>
      </c>
      <c r="M213" s="189">
        <f t="shared" si="94"/>
        <v>1.0231481479422655E-2</v>
      </c>
      <c r="N213" s="190">
        <f t="shared" si="90"/>
        <v>14.733333330368623</v>
      </c>
      <c r="O213" s="190"/>
      <c r="P213" s="190"/>
      <c r="Q213" s="193"/>
      <c r="R213" s="205"/>
      <c r="S213" s="235">
        <f t="shared" si="89"/>
        <v>1</v>
      </c>
      <c r="T213" s="236" t="str">
        <f t="shared" si="95"/>
        <v>NorthBound</v>
      </c>
      <c r="U213" s="23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37" t="str">
        <f t="shared" si="96"/>
        <v>https://d0f6bd738d7f1b3e5a7ca70fe4ff75f0.us-east-1.aws.found.io/app/kibana#/discover/Steve-Slow-Train-Analysis-(2080s-and-2083s)?_g=(refreshInterval:(display:Off,pause:!f,section:0,value:0),time:(from:'2017-12-08T21:59:36-0700',mode:absolute,to:'2017-12-09T00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3" s="238" t="str">
        <f>IF(AA213&lt;VLOOKUP(AG213,Variables!$AC$3:$AD$8,2,FALSE),"Y","N")</f>
        <v>N</v>
      </c>
      <c r="X213" s="238">
        <f t="shared" si="97"/>
        <v>2</v>
      </c>
      <c r="Y213" s="238">
        <f t="shared" si="91"/>
        <v>4.4999999999999998E-2</v>
      </c>
      <c r="Z213" s="238">
        <f t="shared" si="92"/>
        <v>5.8943000000000003</v>
      </c>
      <c r="AA213" s="238">
        <f t="shared" si="98"/>
        <v>5.8493000000000004</v>
      </c>
      <c r="AB213" s="242" t="e">
        <f>VLOOKUP(A213,Enforcements!$C$7:$K$9,8,0)</f>
        <v>#N/A</v>
      </c>
      <c r="AC213" s="242" t="e">
        <f>VLOOKUP(A213,Enforcements!$C$7:$E$9,3,0)</f>
        <v>#N/A</v>
      </c>
      <c r="AD213" s="243">
        <f t="shared" si="99"/>
        <v>849</v>
      </c>
      <c r="AE213" s="198" t="str">
        <f t="shared" si="100"/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AF213" s="197" t="str">
        <f t="shared" si="101"/>
        <v>"C:\Program Files (x86)\AstroGrep\AstroGrep.exe" /e /r /s /spath="%USERPROFILE%\AppData\Local\Temp\OnboardLogs" /stypes="app*4008*20171209*" /stext=" 06:.+((SYSTEM_STATE.+slice.+state.+changed )|(ment ac)|(multiple cpu faults)|(system.+state.+changed )|(\[timeout)|(PRM\|1\|D)|(kpr)|(kdp)|(train st.+moving)|(\|lc)|(penalty))"</v>
      </c>
      <c r="AG213" s="206" t="str">
        <f t="shared" si="102"/>
        <v>NW</v>
      </c>
      <c r="AH213" s="199" t="str">
        <f t="shared" si="103"/>
        <v>"%USERPROFILE%\Documents\GitHub\eaglep3\Utilities\RefineRTDCRunTimes.py" --tripid 849-08 --locoid 4008 --swversion DE.1.0.9.0 --startMP 204:450 --initTime 2017-12-08T22:59:36 --startdatetime 2017-12-08T23:09:26 --delay 63 --endMP 300:58943 --enddatetime 2017-12-08T23:24:10 --enforcementcount 0 &gt;&gt;%USERPROFILE%\Documents\GitHub\eaglep3-reporting\EC\2017-12-08-refined-times.txt</v>
      </c>
      <c r="AI213" s="201" t="str">
        <f t="shared" si="104"/>
        <v>echo {"issue":{"subject":"","project_id":79,"tracker_id":40,"status_id":1,"priority_id":2,"assigned_to_id":338,"start_date":"2017-12-08","description":"","custom_fields":[{"id":1,"name":"Subdivision","value":"NW"},{"id":4,"name":"Milepost","value":"5.8943"},{"id":17,"name":"Train ID","value":"849-08"},{"id":16,"name":"Locomotive ID","value":"4008"},{"id":130,"name":"Impact","value":""},{"id":150,"name":"Time of Event (Mountain Time)","value":"23:24:10"},{"id":151,"name":"Denver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188"/>
      <c r="AK213" s="196"/>
      <c r="AL213" s="196"/>
      <c r="AM213" s="203" t="str">
        <f t="shared" si="105"/>
        <v>start /low /b %USERPROFILE%\Documents\GitHub\eaglep3\Utilities\DownloadLogsFromS3.py --loco 4008 --day 2017-12-08</v>
      </c>
      <c r="AN213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95" t="str">
        <f t="shared" si="107"/>
        <v>https://d0f6bd738d7f1b3e5a7ca70fe4ff75f0.us-east-1.aws.found.io/app/kibana#/discover/Steve-Slow-Train-Analysis-(2080s-and-2083s)?_g=(refreshInterval:(display:Off,pause:!f,section:0,value:0),time:(from:'2017-12-08T21:59:36-0700',mode:absolute,to:'2017-12-09T00:24:10-0700'))&amp;_a=(columns:!('Message%20ID',Summary),filters:!(),index:'emp_*',interval:auto,query:(query_string:(analyze_wildcard:!t,query:'%22rtdc.l.rtdc.4008%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194" t="s">
        <v>703</v>
      </c>
      <c r="B214" s="190">
        <v>4009</v>
      </c>
      <c r="C214" s="192" t="s">
        <v>191</v>
      </c>
      <c r="D214" s="192" t="s">
        <v>1014</v>
      </c>
      <c r="E214" s="191">
        <v>43077.115543981483</v>
      </c>
      <c r="F214" s="191">
        <v>43077.119756944441</v>
      </c>
      <c r="G214" s="190">
        <v>65</v>
      </c>
      <c r="H214" s="192" t="s">
        <v>585</v>
      </c>
      <c r="I214" s="191">
        <v>43077.126655092594</v>
      </c>
      <c r="J214" s="190">
        <v>0</v>
      </c>
      <c r="K214" s="200" t="str">
        <f t="shared" si="93"/>
        <v>4009/4010</v>
      </c>
      <c r="L214" s="207" t="str">
        <f>VLOOKUP(A214,'Trips&amp;Operators'!$C$1:$G$99911,5,FALSE)</f>
        <v>YORK EDGAR</v>
      </c>
      <c r="M214" s="189">
        <f t="shared" si="94"/>
        <v>6.8981481526861899E-3</v>
      </c>
      <c r="N214" s="190">
        <f t="shared" si="90"/>
        <v>9.9333333398681134</v>
      </c>
      <c r="O214" s="190"/>
      <c r="P214" s="190"/>
      <c r="Q214" s="193"/>
      <c r="R214" s="205"/>
      <c r="S214" s="235">
        <f t="shared" si="89"/>
        <v>1</v>
      </c>
      <c r="T214" s="236" t="str">
        <f t="shared" si="95"/>
        <v>Southbound</v>
      </c>
      <c r="U214" s="23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37" t="str">
        <f t="shared" si="96"/>
        <v>https://d0f6bd738d7f1b3e5a7ca70fe4ff75f0.us-east-1.aws.found.io/app/kibana#/discover/Steve-Slow-Train-Analysis-(2080s-and-2083s)?_g=(refreshInterval:(display:Off,pause:!f,section:0,value:0),time:(from:'2017-12-08T01:46:23-0700',mode:absolute,to:'2017-12-08T04:02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4" s="238" t="str">
        <f>IF(AA214&lt;VLOOKUP(AG214,Variables!$AC$3:$AD$8,2,FALSE),"Y","N")</f>
        <v>Y</v>
      </c>
      <c r="X214" s="238">
        <f t="shared" si="97"/>
        <v>-549</v>
      </c>
      <c r="Y214" s="238">
        <f t="shared" si="91"/>
        <v>1.9857</v>
      </c>
      <c r="Z214" s="238">
        <f t="shared" si="92"/>
        <v>1.47E-2</v>
      </c>
      <c r="AA214" s="238">
        <f t="shared" si="98"/>
        <v>1.9710000000000001</v>
      </c>
      <c r="AB214" s="242" t="e">
        <f>VLOOKUP(A214,Enforcements!$C$7:$K$9,8,0)</f>
        <v>#N/A</v>
      </c>
      <c r="AC214" s="242" t="e">
        <f>VLOOKUP(A214,Enforcements!$C$7:$E$9,3,0)</f>
        <v>#N/A</v>
      </c>
      <c r="AD214" s="243">
        <f t="shared" si="99"/>
        <v>300</v>
      </c>
      <c r="AE214" s="198" t="str">
        <f t="shared" si="100"/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AF214" s="197" t="str">
        <f t="shared" si="101"/>
        <v>"C:\Program Files (x86)\AstroGrep\AstroGrep.exe" /e /r /s /spath="%USERPROFILE%\AppData\Local\Temp\OnboardLogs" /stypes="app*4009*20171208*" /stext=" 10:.+((SYSTEM_STATE.+slice.+state.+changed )|(ment ac)|(multiple cpu faults)|(system.+state.+changed )|(\[timeout)|(PRM\|1\|D)|(kpr)|(kdp)|(train st.+moving)|(\|lc)|(penalty))"</v>
      </c>
      <c r="AG214" s="206" t="str">
        <f t="shared" si="102"/>
        <v>Other</v>
      </c>
      <c r="AH214" s="199" t="str">
        <f t="shared" si="103"/>
        <v>"%USERPROFILE%\Documents\GitHub\eaglep3\Utilities\RefineRTDCRunTimes.py" --tripid 300-08 --locoid 4009 --swversion DE.1.0.9.0 --startMP 300:19857 --initTime 2017-12-08T02:46:23 --startdatetime 2017-12-08T02:52:27 --delay 65 --endMP 204:147 --enddatetime 2017-12-08T03:02:23 --enforcementcount 0 &gt;&gt;%USERPROFILE%\Documents\GitHub\eaglep3-reporting\EC\2017-12-08-refined-times.txt</v>
      </c>
      <c r="AI214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{"issue":{"subject":"","project_id":79,"tracker_id":40,"status_id":1,"priority_id":2,"assigned_to_id":338,"start_date":"2017-12-08","description":"","custom_fields":[{"id":1,"name":"Subdivision","value":"Other"},{"id":4,"name":"Milepost","value":"0.0147"},{"id":17,"name":"Train ID","value":"300-08"},{"id":16,"name":"Locomotive ID","value":"4009"},{"id":130,"name":"Impact","value":""},{"id":150,"name":"Time of Event (Mountain Time)","value":"03:02:23"},{"id":151,"name":"Denver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188"/>
      <c r="AK214" s="196"/>
      <c r="AL214" s="196"/>
      <c r="AM214" s="203" t="str">
        <f t="shared" si="105"/>
        <v>start /low /b %USERPROFILE%\Documents\GitHub\eaglep3\Utilities\DownloadLogsFromS3.py --loco 4009 --day 2017-12-08</v>
      </c>
      <c r="AN214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10:02:23"},{"id":29,"name":"Sharepoint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95" t="str">
        <f t="shared" si="107"/>
        <v>https://d0f6bd738d7f1b3e5a7ca70fe4ff75f0.us-east-1.aws.found.io/app/kibana#/discover/Steve-Slow-Train-Analysis-(2080s-and-2083s)?_g=(refreshInterval:(display:Off,pause:!f,section:0,value:0),time:(from:'2017-12-08T01:46:23-0700',mode:absolute,to:'2017-12-08T04:02:23-0700'))&amp;_a=(columns:!('Message%20ID',Summary),filters:!(),index:'emp_*',interval:auto,query:(query_string:(analyze_wildcard:!t,query:'%22rtdc.l.rtdc.4009%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194" t="s">
        <v>877</v>
      </c>
      <c r="B215" s="190">
        <v>4050</v>
      </c>
      <c r="C215" s="192" t="s">
        <v>191</v>
      </c>
      <c r="D215" s="192" t="s">
        <v>413</v>
      </c>
      <c r="E215" s="191">
        <v>43077.77753472222</v>
      </c>
      <c r="F215" s="191">
        <v>43077.778935185182</v>
      </c>
      <c r="G215" s="190">
        <v>52</v>
      </c>
      <c r="H215" s="192" t="s">
        <v>1015</v>
      </c>
      <c r="I215" s="191">
        <v>43077.785266203704</v>
      </c>
      <c r="J215" s="190">
        <v>0</v>
      </c>
      <c r="K215" s="200" t="str">
        <f t="shared" si="93"/>
        <v>4049/4050</v>
      </c>
      <c r="L215" s="207" t="str">
        <f>VLOOKUP(A215,'Trips&amp;Operators'!$C$1:$G$99911,5,FALSE)</f>
        <v>GONZALEZ ARMANDO</v>
      </c>
      <c r="M215" s="189">
        <f t="shared" si="94"/>
        <v>6.33101852145046E-3</v>
      </c>
      <c r="N215" s="190">
        <f t="shared" si="90"/>
        <v>9.1166666708886623</v>
      </c>
      <c r="O215" s="190"/>
      <c r="P215" s="190"/>
      <c r="Q215" s="193"/>
      <c r="R215" s="205"/>
      <c r="S215" s="235">
        <f t="shared" ref="S215:S236" si="108">1/IF(AG215="EC",12,1)*SUM(U215:U215)</f>
        <v>1</v>
      </c>
      <c r="T215" s="236" t="str">
        <f t="shared" si="95"/>
        <v>NorthBound</v>
      </c>
      <c r="U215" s="23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37" t="str">
        <f t="shared" si="96"/>
        <v>https://d0f6bd738d7f1b3e5a7ca70fe4ff75f0.us-east-1.aws.found.io/app/kibana#/discover/Steve-Slow-Train-Analysis-(2080s-and-2083s)?_g=(refreshInterval:(display:Off,pause:!f,section:0,value:0),time:(from:'2017-12-08T17:39:39-0700',mode:absolute,to:'2017-12-08T19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238" t="str">
        <f>IF(AA215&lt;VLOOKUP(AG215,Variables!$AC$3:$AD$8,2,FALSE),"Y","N")</f>
        <v>Y</v>
      </c>
      <c r="X215" s="238">
        <f t="shared" si="97"/>
        <v>1</v>
      </c>
      <c r="Y215" s="238">
        <f t="shared" si="91"/>
        <v>5.0799999999999998E-2</v>
      </c>
      <c r="Z215" s="238">
        <f t="shared" si="92"/>
        <v>2.3298999999999999</v>
      </c>
      <c r="AA215" s="238">
        <f t="shared" si="98"/>
        <v>2.2790999999999997</v>
      </c>
      <c r="AB215" s="242" t="e">
        <f>VLOOKUP(A215,Enforcements!$C$7:$K$9,8,0)</f>
        <v>#N/A</v>
      </c>
      <c r="AC215" s="242" t="e">
        <f>VLOOKUP(A215,Enforcements!$C$7:$E$9,3,0)</f>
        <v>#N/A</v>
      </c>
      <c r="AD215" s="243">
        <f t="shared" si="99"/>
        <v>301</v>
      </c>
      <c r="AE215" s="198" t="str">
        <f t="shared" si="100"/>
        <v>aws s3 cp s3://rtdc.mdm.uploadarchive.raw/RTDC4050/ "%USERPROFILE%\AppData\Local\Temp\OnboardLogs"\RTDC4050\2017-12-08 --exclude "*" --recursive --include "*20171208*" &amp; "%USERPROFILE%\Documents\GitHub\mrs-test-scripts\Headless Mode &amp; Sideloading\WalkAndUnGZ.bat" "%USERPROFILE%\AppData\Local\Temp\OnboardLogs"\RTDC4050\2017-12-08 &amp; aws s3 cp s3://rtdc.mdm.uploadarchive.raw/RTDC4050/ "%USERPROFILE%\AppData\Local\Temp\OnboardLogs"\RTDC4050\2017-12-09 --exclude "*" --recursive --include "*20171209*" &amp; "%USERPROFILE%\Documents\GitHub\mrs-test-scripts\Headless Mode &amp; Sideloading\WalkAndUnGZ.bat" "%USERPROFILE%\AppData\Local\Temp\OnboardLogs"\RTDC4050\2017-12-09</v>
      </c>
      <c r="AF215" s="197" t="str">
        <f t="shared" si="101"/>
        <v>"C:\Program Files (x86)\AstroGrep\AstroGrep.exe" /e /r /s /spath="%USERPROFILE%\AppData\Local\Temp\OnboardLogs" /stypes="app*4050*20171209*" /stext=" 01:.+((SYSTEM_STATE.+slice.+state.+changed )|(ment ac)|(multiple cpu faults)|(system.+state.+changed )|(\[timeout)|(PRM\|1\|D)|(kpr)|(kdp)|(train st.+moving)|(\|lc)|(penalty))"</v>
      </c>
      <c r="AG215" s="206" t="str">
        <f t="shared" si="102"/>
        <v>Other</v>
      </c>
      <c r="AH215" s="199" t="str">
        <f t="shared" si="103"/>
        <v>"%USERPROFILE%\Documents\GitHub\eaglep3\Utilities\RefineRTDCRunTimes.py" --tripid 301-08 --locoid 4050 --swversion DE.1.0.9.0 --startMP 204:508 --initTime 2017-12-08T18:39:39 --startdatetime 2017-12-08T18:41:40 --delay 52 --endMP 300:23299 --enddatetime 2017-12-08T18:50:47 --enforcementcount 0 &gt;&gt;%USERPROFILE%\Documents\GitHub\eaglep3-reporting\EC\2017-12-08-refined-times.txt</v>
      </c>
      <c r="AI215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{"issue":{"subject":"","project_id":79,"tracker_id":40,"status_id":1,"priority_id":2,"assigned_to_id":338,"start_date":"2017-12-08","description":"","custom_fields":[{"id":1,"name":"Subdivision","value":"Other"},{"id":4,"name":"Milepost","value":"2.3299"},{"id":17,"name":"Train ID","value":"301-08"},{"id":16,"name":"Locomotive ID","value":"4050"},{"id":130,"name":"Impact","value":""},{"id":150,"name":"Time of Event (Mountain Time)","value":"18:50:47"},{"id":151,"name":"Denver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188"/>
      <c r="AK215" s="196"/>
      <c r="AL215" s="196"/>
      <c r="AM215" s="203" t="str">
        <f t="shared" si="105"/>
        <v>start /low /b %USERPROFILE%\Documents\GitHub\eaglep3\Utilities\DownloadLogsFromS3.py --loco 4050 --day 2017-12-08</v>
      </c>
      <c r="AN215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95" t="str">
        <f t="shared" si="107"/>
        <v>https://d0f6bd738d7f1b3e5a7ca70fe4ff75f0.us-east-1.aws.found.io/app/kibana#/discover/Steve-Slow-Train-Analysis-(2080s-and-2083s)?_g=(refreshInterval:(display:Off,pause:!f,section:0,value:0),time:(from:'2017-12-08T17:39:39-0700',mode:absolute,to:'2017-12-08T19:50:47-0700'))&amp;_a=(columns:!('Message%20ID',Summary),filters:!(),index:'emp_*',interval:auto,query:(query_string:(analyze_wildcard:!t,query:'%22rtdc.l.rtdc.4050%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194" t="s">
        <v>708</v>
      </c>
      <c r="B216" s="190">
        <v>4031</v>
      </c>
      <c r="C216" s="192" t="s">
        <v>191</v>
      </c>
      <c r="D216" s="192" t="s">
        <v>1016</v>
      </c>
      <c r="E216" s="191">
        <v>43077.136458333334</v>
      </c>
      <c r="F216" s="191">
        <v>43077.141932870371</v>
      </c>
      <c r="G216" s="190">
        <v>58</v>
      </c>
      <c r="H216" s="192" t="s">
        <v>663</v>
      </c>
      <c r="I216" s="191">
        <v>43077.146493055552</v>
      </c>
      <c r="J216" s="190">
        <v>0</v>
      </c>
      <c r="K216" s="200" t="str">
        <f t="shared" si="93"/>
        <v>4031/4032</v>
      </c>
      <c r="L216" s="207" t="str">
        <f>VLOOKUP(A216,'Trips&amp;Operators'!$C$1:$G$99911,5,FALSE)</f>
        <v>MAELZER KURT</v>
      </c>
      <c r="M216" s="189">
        <f t="shared" si="94"/>
        <v>4.5601851816172712E-3</v>
      </c>
      <c r="N216" s="190">
        <f t="shared" si="90"/>
        <v>6.5666666615288705</v>
      </c>
      <c r="O216" s="190"/>
      <c r="P216" s="190"/>
      <c r="Q216" s="193"/>
      <c r="R216" s="205"/>
      <c r="S216" s="235">
        <f t="shared" si="108"/>
        <v>1</v>
      </c>
      <c r="T216" s="236" t="str">
        <f t="shared" si="95"/>
        <v>Southbound</v>
      </c>
      <c r="U216" s="23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37" t="str">
        <f t="shared" si="96"/>
        <v>https://d0f6bd738d7f1b3e5a7ca70fe4ff75f0.us-east-1.aws.found.io/app/kibana#/discover/Steve-Slow-Train-Analysis-(2080s-and-2083s)?_g=(refreshInterval:(display:Off,pause:!f,section:0,value:0),time:(from:'2017-12-08T02:16:30-0700',mode:absolute,to:'2017-12-08T04:30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238" t="str">
        <f>IF(AA216&lt;VLOOKUP(AG216,Variables!$AC$3:$AD$8,2,FALSE),"Y","N")</f>
        <v>Y</v>
      </c>
      <c r="X216" s="238">
        <f t="shared" si="97"/>
        <v>1</v>
      </c>
      <c r="Y216" s="238">
        <f t="shared" si="91"/>
        <v>1.9424999999999999</v>
      </c>
      <c r="Z216" s="238">
        <f t="shared" si="92"/>
        <v>1.9800000000000002E-2</v>
      </c>
      <c r="AA216" s="238">
        <f t="shared" si="98"/>
        <v>1.9226999999999999</v>
      </c>
      <c r="AB216" s="242" t="e">
        <f>VLOOKUP(A216,Enforcements!$C$7:$K$9,8,0)</f>
        <v>#N/A</v>
      </c>
      <c r="AC216" s="242" t="e">
        <f>VLOOKUP(A216,Enforcements!$C$7:$E$9,3,0)</f>
        <v>#N/A</v>
      </c>
      <c r="AD216" s="243">
        <f t="shared" si="99"/>
        <v>302</v>
      </c>
      <c r="AE216" s="198" t="str">
        <f t="shared" si="100"/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AF216" s="197" t="str">
        <f t="shared" si="101"/>
        <v>"C:\Program Files (x86)\AstroGrep\AstroGrep.exe" /e /r /s /spath="%USERPROFILE%\AppData\Local\Temp\OnboardLogs" /stypes="app*4031*20171208*" /stext=" 10:.+((SYSTEM_STATE.+slice.+state.+changed )|(ment ac)|(multiple cpu faults)|(system.+state.+changed )|(\[timeout)|(PRM\|1\|D)|(kpr)|(kdp)|(train st.+moving)|(\|lc)|(penalty))"</v>
      </c>
      <c r="AG216" s="206" t="str">
        <f t="shared" si="102"/>
        <v>Other</v>
      </c>
      <c r="AH216" s="199" t="str">
        <f t="shared" si="103"/>
        <v>"%USERPROFILE%\Documents\GitHub\eaglep3\Utilities\RefineRTDCRunTimes.py" --tripid 302-08 --locoid 4031 --swversion DE.1.0.9.0 --startMP 300:19425 --initTime 2017-12-08T03:16:30 --startdatetime 2017-12-08T03:24:23 --delay 58 --endMP 204:198 --enddatetime 2017-12-08T03:30:57 --enforcementcount 0 &gt;&gt;%USERPROFILE%\Documents\GitHub\eaglep3-reporting\EC\2017-12-08-refined-times.txt</v>
      </c>
      <c r="AI216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{"issue":{"subject":"","project_id":79,"tracker_id":40,"status_id":1,"priority_id":2,"assigned_to_id":338,"start_date":"2017-12-08","description":"","custom_fields":[{"id":1,"name":"Subdivision","value":"Other"},{"id":4,"name":"Milepost","value":"0.0198"},{"id":17,"name":"Train ID","value":"302-08"},{"id":16,"name":"Locomotive ID","value":"4031"},{"id":130,"name":"Impact","value":""},{"id":150,"name":"Time of Event (Mountain Time)","value":"03:30:57"},{"id":151,"name":"Denver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188"/>
      <c r="AK216" s="196"/>
      <c r="AL216" s="196"/>
      <c r="AM216" s="203" t="str">
        <f t="shared" si="105"/>
        <v>start /low /b %USERPROFILE%\Documents\GitHub\eaglep3\Utilities\DownloadLogsFromS3.py --loco 4031 --day 2017-12-08</v>
      </c>
      <c r="AN216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10:30:57"},{"id":29,"name":"Sharepoint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95" t="str">
        <f t="shared" si="107"/>
        <v>https://d0f6bd738d7f1b3e5a7ca70fe4ff75f0.us-east-1.aws.found.io/app/kibana#/discover/Steve-Slow-Train-Analysis-(2080s-and-2083s)?_g=(refreshInterval:(display:Off,pause:!f,section:0,value:0),time:(from:'2017-12-08T02:16:30-0700',mode:absolute,to:'2017-12-08T04:30:57-0700'))&amp;_a=(columns:!('Message%20ID',Summary),filters:!(),index:'emp_*',interval:auto,query:(query_string:(analyze_wildcard:!t,query:'%22rtdc.l.rtdc.4031%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194" t="s">
        <v>884</v>
      </c>
      <c r="B217" s="190">
        <v>4020</v>
      </c>
      <c r="C217" s="192" t="s">
        <v>191</v>
      </c>
      <c r="D217" s="192" t="s">
        <v>1017</v>
      </c>
      <c r="E217" s="191">
        <v>43077.799803240741</v>
      </c>
      <c r="F217" s="191">
        <v>43077.801354166666</v>
      </c>
      <c r="G217" s="190">
        <v>68</v>
      </c>
      <c r="H217" s="192" t="s">
        <v>1018</v>
      </c>
      <c r="I217" s="191">
        <v>43077.811782407407</v>
      </c>
      <c r="J217" s="190">
        <v>0</v>
      </c>
      <c r="K217" s="200" t="str">
        <f t="shared" si="93"/>
        <v>4019/4020</v>
      </c>
      <c r="L217" s="207" t="str">
        <f>VLOOKUP(A217,'Trips&amp;Operators'!$C$1:$G$99911,5,FALSE)</f>
        <v>ANDREA WILLIAMS</v>
      </c>
      <c r="M217" s="189">
        <f t="shared" si="94"/>
        <v>1.0428240741021E-2</v>
      </c>
      <c r="N217" s="190">
        <f t="shared" si="90"/>
        <v>15.01666666707024</v>
      </c>
      <c r="O217" s="190"/>
      <c r="P217" s="190"/>
      <c r="Q217" s="193"/>
      <c r="R217" s="205"/>
      <c r="S217" s="235">
        <f t="shared" si="108"/>
        <v>1</v>
      </c>
      <c r="T217" s="236" t="str">
        <f t="shared" si="95"/>
        <v>NorthBound</v>
      </c>
      <c r="U217" s="23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37" t="str">
        <f t="shared" si="96"/>
        <v>https://d0f6bd738d7f1b3e5a7ca70fe4ff75f0.us-east-1.aws.found.io/app/kibana#/discover/Steve-Slow-Train-Analysis-(2080s-and-2083s)?_g=(refreshInterval:(display:Off,pause:!f,section:0,value:0),time:(from:'2017-12-08T18:11:43-0700',mode:absolute,to:'2017-12-08T20:28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238" t="str">
        <f>IF(AA217&lt;VLOOKUP(AG217,Variables!$AC$3:$AD$8,2,FALSE),"Y","N")</f>
        <v>Y</v>
      </c>
      <c r="X217" s="238">
        <f t="shared" si="97"/>
        <v>1</v>
      </c>
      <c r="Y217" s="238">
        <f t="shared" si="91"/>
        <v>0.1341</v>
      </c>
      <c r="Z217" s="238">
        <f t="shared" si="92"/>
        <v>2.331</v>
      </c>
      <c r="AA217" s="238">
        <f t="shared" si="98"/>
        <v>2.1968999999999999</v>
      </c>
      <c r="AB217" s="242" t="e">
        <f>VLOOKUP(A217,Enforcements!$C$7:$K$9,8,0)</f>
        <v>#N/A</v>
      </c>
      <c r="AC217" s="242" t="e">
        <f>VLOOKUP(A217,Enforcements!$C$7:$E$9,3,0)</f>
        <v>#N/A</v>
      </c>
      <c r="AD217" s="243">
        <f t="shared" si="99"/>
        <v>303</v>
      </c>
      <c r="AE217" s="198" t="str">
        <f t="shared" si="100"/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AF217" s="197" t="str">
        <f t="shared" si="101"/>
        <v>"C:\Program Files (x86)\AstroGrep\AstroGrep.exe" /e /r /s /spath="%USERPROFILE%\AppData\Local\Temp\OnboardLogs" /stypes="app*4020*20171209*" /stext=" 02:.+((SYSTEM_STATE.+slice.+state.+changed )|(ment ac)|(multiple cpu faults)|(system.+state.+changed )|(\[timeout)|(PRM\|1\|D)|(kpr)|(kdp)|(train st.+moving)|(\|lc)|(penalty))"</v>
      </c>
      <c r="AG217" s="206" t="str">
        <f t="shared" si="102"/>
        <v>Other</v>
      </c>
      <c r="AH217" s="199" t="str">
        <f t="shared" si="103"/>
        <v>"%USERPROFILE%\Documents\GitHub\eaglep3\Utilities\RefineRTDCRunTimes.py" --tripid 303-08 --locoid 4020 --swversion DE.1.0.9.0 --startMP 204:1341 --initTime 2017-12-08T19:11:43 --startdatetime 2017-12-08T19:13:57 --delay 68 --endMP 300:23310 --enddatetime 2017-12-08T19:28:58 --enforcementcount 0 &gt;&gt;%USERPROFILE%\Documents\GitHub\eaglep3-reporting\EC\2017-12-08-refined-times.txt</v>
      </c>
      <c r="AI217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{"issue":{"subject":"","project_id":79,"tracker_id":40,"status_id":1,"priority_id":2,"assigned_to_id":338,"start_date":"2017-12-08","description":"","custom_fields":[{"id":1,"name":"Subdivision","value":"Other"},{"id":4,"name":"Milepost","value":"2.331"},{"id":17,"name":"Train ID","value":"303-08"},{"id":16,"name":"Locomotive ID","value":"4020"},{"id":130,"name":"Impact","value":""},{"id":150,"name":"Time of Event (Mountain Time)","value":"19:28:58"},{"id":151,"name":"Denver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8"/>
      <c r="AK217" s="196"/>
      <c r="AL217" s="196"/>
      <c r="AM217" s="203" t="str">
        <f t="shared" si="105"/>
        <v>start /low /b %USERPROFILE%\Documents\GitHub\eaglep3\Utilities\DownloadLogsFromS3.py --loco 4020 --day 2017-12-08</v>
      </c>
      <c r="AN217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02:28:58"},{"id":29,"name":"Sharepoint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95" t="str">
        <f t="shared" si="107"/>
        <v>https://d0f6bd738d7f1b3e5a7ca70fe4ff75f0.us-east-1.aws.found.io/app/kibana#/discover/Steve-Slow-Train-Analysis-(2080s-and-2083s)?_g=(refreshInterval:(display:Off,pause:!f,section:0,value:0),time:(from:'2017-12-08T18:11:43-0700',mode:absolute,to:'2017-12-08T20:28:58-0700'))&amp;_a=(columns:!('Message%20ID',Summary),filters:!(),index:'emp_*',interval:auto,query:(query_string:(analyze_wildcard:!t,query:'%22rtdc.l.rtdc.4020%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194" t="s">
        <v>710</v>
      </c>
      <c r="B218" s="190">
        <v>4063</v>
      </c>
      <c r="C218" s="192" t="s">
        <v>191</v>
      </c>
      <c r="D218" s="192" t="s">
        <v>1019</v>
      </c>
      <c r="E218" s="191">
        <v>43077.158993055556</v>
      </c>
      <c r="F218" s="191">
        <v>43077.161504629628</v>
      </c>
      <c r="G218" s="190">
        <v>119</v>
      </c>
      <c r="H218" s="192" t="s">
        <v>619</v>
      </c>
      <c r="I218" s="191">
        <v>43077.161689814813</v>
      </c>
      <c r="J218" s="190">
        <v>0</v>
      </c>
      <c r="K218" s="200" t="str">
        <f t="shared" si="93"/>
        <v>4063/4064</v>
      </c>
      <c r="L218" s="207" t="str">
        <f>VLOOKUP(A218,'Trips&amp;Operators'!$C$1:$G$99911,5,FALSE)</f>
        <v>STARKS ANGELINA</v>
      </c>
      <c r="M218" s="189">
        <f t="shared" si="94"/>
        <v>1.8518518481869251E-4</v>
      </c>
      <c r="N218" s="190">
        <f t="shared" si="90"/>
        <v>0.26666666613891721</v>
      </c>
      <c r="O218" s="190"/>
      <c r="P218" s="190"/>
      <c r="Q218" s="193"/>
      <c r="R218" s="205"/>
      <c r="S218" s="235">
        <f t="shared" si="108"/>
        <v>1</v>
      </c>
      <c r="T218" s="236" t="str">
        <f t="shared" si="95"/>
        <v>Southbound</v>
      </c>
      <c r="U218" s="23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37" t="str">
        <f t="shared" si="96"/>
        <v>https://d0f6bd738d7f1b3e5a7ca70fe4ff75f0.us-east-1.aws.found.io/app/kibana#/discover/Steve-Slow-Train-Analysis-(2080s-and-2083s)?_g=(refreshInterval:(display:Off,pause:!f,section:0,value:0),time:(from:'2017-12-08T02:48:57-0700',mode:absolute,to:'2017-12-08T04:52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8" s="238" t="str">
        <f>IF(AA218&lt;VLOOKUP(AG218,Variables!$AC$3:$AD$8,2,FALSE),"Y","N")</f>
        <v>Y</v>
      </c>
      <c r="X218" s="238">
        <f t="shared" si="97"/>
        <v>1</v>
      </c>
      <c r="Y218" s="238">
        <f t="shared" si="91"/>
        <v>2.6097000000000001</v>
      </c>
      <c r="Z218" s="238">
        <f t="shared" si="92"/>
        <v>1.52E-2</v>
      </c>
      <c r="AA218" s="238">
        <f t="shared" si="98"/>
        <v>2.5945</v>
      </c>
      <c r="AB218" s="242" t="e">
        <f>VLOOKUP(A218,Enforcements!$C$7:$K$9,8,0)</f>
        <v>#N/A</v>
      </c>
      <c r="AC218" s="242" t="e">
        <f>VLOOKUP(A218,Enforcements!$C$7:$E$9,3,0)</f>
        <v>#N/A</v>
      </c>
      <c r="AD218" s="243">
        <f t="shared" si="99"/>
        <v>304</v>
      </c>
      <c r="AE218" s="198" t="str">
        <f t="shared" si="100"/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AF218" s="197" t="str">
        <f t="shared" si="101"/>
        <v>"C:\Program Files (x86)\AstroGrep\AstroGrep.exe" /e /r /s /spath="%USERPROFILE%\AppData\Local\Temp\OnboardLogs" /stypes="app*4063*20171208*" /stext=" 10:.+((SYSTEM_STATE.+slice.+state.+changed )|(ment ac)|(multiple cpu faults)|(system.+state.+changed )|(\[timeout)|(PRM\|1\|D)|(kpr)|(kdp)|(train st.+moving)|(\|lc)|(penalty))"</v>
      </c>
      <c r="AG218" s="206" t="str">
        <f t="shared" si="102"/>
        <v>Other</v>
      </c>
      <c r="AH218" s="199" t="str">
        <f t="shared" si="103"/>
        <v>"%USERPROFILE%\Documents\GitHub\eaglep3\Utilities\RefineRTDCRunTimes.py" --tripid 304-08 --locoid 4063 --swversion DE.1.0.9.0 --startMP 300:26097 --initTime 2017-12-08T03:48:57 --startdatetime 2017-12-08T03:52:34 --delay 119 --endMP 204:152 --enddatetime 2017-12-08T03:52:50 --enforcementcount 0 &gt;&gt;%USERPROFILE%\Documents\GitHub\eaglep3-reporting\EC\2017-12-08-refined-times.txt</v>
      </c>
      <c r="AI218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{"issue":{"subject":"","project_id":79,"tracker_id":40,"status_id":1,"priority_id":2,"assigned_to_id":338,"start_date":"2017-12-08","description":"","custom_fields":[{"id":1,"name":"Subdivision","value":"Other"},{"id":4,"name":"Milepost","value":"0.0152"},{"id":17,"name":"Train ID","value":"304-08"},{"id":16,"name":"Locomotive ID","value":"4063"},{"id":130,"name":"Impact","value":""},{"id":150,"name":"Time of Event (Mountain Time)","value":"03:52:50"},{"id":151,"name":"Denver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8"/>
      <c r="AK218" s="196"/>
      <c r="AL218" s="196"/>
      <c r="AM218" s="203" t="str">
        <f t="shared" si="105"/>
        <v>start /low /b %USERPROFILE%\Documents\GitHub\eaglep3\Utilities\DownloadLogsFromS3.py --loco 4063 --day 2017-12-08</v>
      </c>
      <c r="AN218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10:52:50"},{"id":29,"name":"Sharepoint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95" t="str">
        <f t="shared" si="107"/>
        <v>https://d0f6bd738d7f1b3e5a7ca70fe4ff75f0.us-east-1.aws.found.io/app/kibana#/discover/Steve-Slow-Train-Analysis-(2080s-and-2083s)?_g=(refreshInterval:(display:Off,pause:!f,section:0,value:0),time:(from:'2017-12-08T02:48:57-0700',mode:absolute,to:'2017-12-08T04:52:50-0700'))&amp;_a=(columns:!('Message%20ID',Summary),filters:!(),index:'emp_*',interval:auto,query:(query_string:(analyze_wildcard:!t,query:'%22rtdc.l.rtdc.4063%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194" t="s">
        <v>888</v>
      </c>
      <c r="B219" s="190">
        <v>4016</v>
      </c>
      <c r="C219" s="192" t="s">
        <v>191</v>
      </c>
      <c r="D219" s="192" t="s">
        <v>486</v>
      </c>
      <c r="E219" s="191">
        <v>43077.820023148146</v>
      </c>
      <c r="F219" s="191">
        <v>43077.822071759256</v>
      </c>
      <c r="G219" s="190">
        <v>97</v>
      </c>
      <c r="H219" s="192" t="s">
        <v>1020</v>
      </c>
      <c r="I219" s="191">
        <v>43077.830081018517</v>
      </c>
      <c r="J219" s="190">
        <v>0</v>
      </c>
      <c r="K219" s="200" t="str">
        <f t="shared" si="93"/>
        <v>4015/4016</v>
      </c>
      <c r="L219" s="207" t="str">
        <f>VLOOKUP(A219,'Trips&amp;Operators'!$C$1:$G$99911,5,FALSE)</f>
        <v>HOLCOMB KAMDEN</v>
      </c>
      <c r="M219" s="189">
        <f t="shared" si="94"/>
        <v>8.0092592615983449E-3</v>
      </c>
      <c r="N219" s="190">
        <f t="shared" si="90"/>
        <v>11.533333336701617</v>
      </c>
      <c r="O219" s="190"/>
      <c r="P219" s="190"/>
      <c r="Q219" s="193"/>
      <c r="R219" s="205"/>
      <c r="S219" s="235">
        <f t="shared" si="108"/>
        <v>1</v>
      </c>
      <c r="T219" s="236" t="str">
        <f t="shared" si="95"/>
        <v>NorthBound</v>
      </c>
      <c r="U219" s="23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37" t="str">
        <f t="shared" si="96"/>
        <v>https://d0f6bd738d7f1b3e5a7ca70fe4ff75f0.us-east-1.aws.found.io/app/kibana#/discover/Steve-Slow-Train-Analysis-(2080s-and-2083s)?_g=(refreshInterval:(display:Off,pause:!f,section:0,value:0),time:(from:'2017-12-08T18:40:50-0700',mode:absolute,to:'2017-12-08T20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238" t="str">
        <f>IF(AA219&lt;VLOOKUP(AG219,Variables!$AC$3:$AD$8,2,FALSE),"Y","N")</f>
        <v>Y</v>
      </c>
      <c r="X219" s="238">
        <f t="shared" si="97"/>
        <v>1</v>
      </c>
      <c r="Y219" s="238">
        <f t="shared" si="91"/>
        <v>5.5500000000000001E-2</v>
      </c>
      <c r="Z219" s="238">
        <f t="shared" si="92"/>
        <v>2.3308</v>
      </c>
      <c r="AA219" s="238">
        <f t="shared" si="98"/>
        <v>2.2753000000000001</v>
      </c>
      <c r="AB219" s="242" t="e">
        <f>VLOOKUP(A219,Enforcements!$C$7:$K$9,8,0)</f>
        <v>#N/A</v>
      </c>
      <c r="AC219" s="242" t="e">
        <f>VLOOKUP(A219,Enforcements!$C$7:$E$9,3,0)</f>
        <v>#N/A</v>
      </c>
      <c r="AD219" s="243">
        <f t="shared" si="99"/>
        <v>305</v>
      </c>
      <c r="AE219" s="198" t="str">
        <f t="shared" si="100"/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AF219" s="197" t="str">
        <f t="shared" si="101"/>
        <v>"C:\Program Files (x86)\AstroGrep\AstroGrep.exe" /e /r /s /spath="%USERPROFILE%\AppData\Local\Temp\OnboardLogs" /stypes="app*4016*20171209*" /stext=" 02:.+((SYSTEM_STATE.+slice.+state.+changed )|(ment ac)|(multiple cpu faults)|(system.+state.+changed )|(\[timeout)|(PRM\|1\|D)|(kpr)|(kdp)|(train st.+moving)|(\|lc)|(penalty))"</v>
      </c>
      <c r="AG219" s="206" t="str">
        <f t="shared" si="102"/>
        <v>Other</v>
      </c>
      <c r="AH219" s="199" t="str">
        <f t="shared" si="103"/>
        <v>"%USERPROFILE%\Documents\GitHub\eaglep3\Utilities\RefineRTDCRunTimes.py" --tripid 305-08 --locoid 4016 --swversion DE.1.0.9.0 --startMP 204:555 --initTime 2017-12-08T19:40:50 --startdatetime 2017-12-08T19:43:47 --delay 97 --endMP 300:23308 --enddatetime 2017-12-08T19:55:19 --enforcementcount 0 &gt;&gt;%USERPROFILE%\Documents\GitHub\eaglep3-reporting\EC\2017-12-08-refined-times.txt</v>
      </c>
      <c r="AI219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{"issue":{"subject":"","project_id":79,"tracker_id":40,"status_id":1,"priority_id":2,"assigned_to_id":338,"start_date":"2017-12-08","description":"","custom_fields":[{"id":1,"name":"Subdivision","value":"Other"},{"id":4,"name":"Milepost","value":"2.3308"},{"id":17,"name":"Train ID","value":"305-08"},{"id":16,"name":"Locomotive ID","value":"4016"},{"id":130,"name":"Impact","value":""},{"id":150,"name":"Time of Event (Mountain Time)","value":"19:55:19"},{"id":151,"name":"Denver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188"/>
      <c r="AK219" s="196"/>
      <c r="AL219" s="196"/>
      <c r="AM219" s="203" t="str">
        <f t="shared" si="105"/>
        <v>start /low /b %USERPROFILE%\Documents\GitHub\eaglep3\Utilities\DownloadLogsFromS3.py --loco 4016 --day 2017-12-08</v>
      </c>
      <c r="AN219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95" t="str">
        <f t="shared" si="107"/>
        <v>https://d0f6bd738d7f1b3e5a7ca70fe4ff75f0.us-east-1.aws.found.io/app/kibana#/discover/Steve-Slow-Train-Analysis-(2080s-and-2083s)?_g=(refreshInterval:(display:Off,pause:!f,section:0,value:0),time:(from:'2017-12-08T18:40:50-0700',mode:absolute,to:'2017-12-08T20:55:19-0700'))&amp;_a=(columns:!('Message%20ID',Summary),filters:!(),index:'emp_*',interval:auto,query:(query_string:(analyze_wildcard:!t,query:'%22rtdc.l.rtdc.4016%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188" customFormat="1" x14ac:dyDescent="0.25">
      <c r="A220" s="194" t="s">
        <v>714</v>
      </c>
      <c r="B220" s="190">
        <v>4023</v>
      </c>
      <c r="C220" s="192" t="s">
        <v>191</v>
      </c>
      <c r="D220" s="192" t="s">
        <v>1021</v>
      </c>
      <c r="E220" s="191">
        <v>43077.171006944445</v>
      </c>
      <c r="F220" s="191">
        <v>43077.176469907405</v>
      </c>
      <c r="G220" s="190">
        <v>99</v>
      </c>
      <c r="H220" s="192" t="s">
        <v>581</v>
      </c>
      <c r="I220" s="191">
        <v>43077.182280092595</v>
      </c>
      <c r="J220" s="190">
        <v>0</v>
      </c>
      <c r="K220" s="200" t="str">
        <f t="shared" si="93"/>
        <v>4023/4024</v>
      </c>
      <c r="L220" s="207" t="str">
        <f>VLOOKUP(A220,'Trips&amp;Operators'!$C$1:$G$99911,5,FALSE)</f>
        <v>GEBRETEKLE DAGNEW</v>
      </c>
      <c r="M220" s="189">
        <f t="shared" si="94"/>
        <v>5.810185190057382E-3</v>
      </c>
      <c r="N220" s="190">
        <f t="shared" si="90"/>
        <v>8.3666666736826301</v>
      </c>
      <c r="O220" s="190"/>
      <c r="P220" s="190"/>
      <c r="Q220" s="193"/>
      <c r="R220" s="205"/>
      <c r="S220" s="235">
        <f t="shared" si="108"/>
        <v>1</v>
      </c>
      <c r="T220" s="236" t="str">
        <f t="shared" si="95"/>
        <v>Southbound</v>
      </c>
      <c r="U220" s="23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37" t="str">
        <f t="shared" si="96"/>
        <v>https://d0f6bd738d7f1b3e5a7ca70fe4ff75f0.us-east-1.aws.found.io/app/kibana#/discover/Steve-Slow-Train-Analysis-(2080s-and-2083s)?_g=(refreshInterval:(display:Off,pause:!f,section:0,value:0),time:(from:'2017-12-08T03:06:15-0700',mode:absolute,to:'2017-12-08T05:22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0" s="238" t="str">
        <f>IF(AA220&lt;VLOOKUP(AG220,Variables!$AC$3:$AD$8,2,FALSE),"Y","N")</f>
        <v>Y</v>
      </c>
      <c r="X220" s="238">
        <f t="shared" si="97"/>
        <v>1</v>
      </c>
      <c r="Y220" s="238">
        <f t="shared" si="91"/>
        <v>2.3401999999999998</v>
      </c>
      <c r="Z220" s="238">
        <f t="shared" si="92"/>
        <v>1.67E-2</v>
      </c>
      <c r="AA220" s="238">
        <f t="shared" si="98"/>
        <v>2.3234999999999997</v>
      </c>
      <c r="AB220" s="242" t="e">
        <f>VLOOKUP(A220,Enforcements!$C$7:$K$9,8,0)</f>
        <v>#N/A</v>
      </c>
      <c r="AC220" s="242" t="e">
        <f>VLOOKUP(A220,Enforcements!$C$7:$E$9,3,0)</f>
        <v>#N/A</v>
      </c>
      <c r="AD220" s="243">
        <f t="shared" si="99"/>
        <v>306</v>
      </c>
      <c r="AE220" s="198" t="str">
        <f t="shared" si="100"/>
        <v>aws s3 cp s3://rtdc.mdm.uploadarchive.raw/RTDC4023/ "%USERPROFILE%\AppData\Local\Temp\OnboardLogs"\RTDC4023\2017-12-08 --exclude "*" --recursive --include "*20171208*" &amp; "%USERPROFILE%\Documents\GitHub\mrs-test-scripts\Headless Mode &amp; Sideloading\WalkAndUnGZ.bat" "%USERPROFILE%\AppData\Local\Temp\OnboardLogs"\RTDC4023\2017-12-08 &amp; aws s3 cp s3://rtdc.mdm.uploadarchive.raw/RTDC4023/ "%USERPROFILE%\AppData\Local\Temp\OnboardLogs"\RTDC4023\2017-12-09 --exclude "*" --recursive --include "*20171209*" &amp; "%USERPROFILE%\Documents\GitHub\mrs-test-scripts\Headless Mode &amp; Sideloading\WalkAndUnGZ.bat" "%USERPROFILE%\AppData\Local\Temp\OnboardLogs"\RTDC4023\2017-12-09</v>
      </c>
      <c r="AF220" s="197" t="str">
        <f t="shared" si="101"/>
        <v>"C:\Program Files (x86)\AstroGrep\AstroGrep.exe" /e /r /s /spath="%USERPROFILE%\AppData\Local\Temp\OnboardLogs" /stypes="app*4023*20171208*" /stext=" 11:.+((SYSTEM_STATE.+slice.+state.+changed )|(ment ac)|(multiple cpu faults)|(system.+state.+changed )|(\[timeout)|(PRM\|1\|D)|(kpr)|(kdp)|(train st.+moving)|(\|lc)|(penalty))"</v>
      </c>
      <c r="AG220" s="206" t="str">
        <f t="shared" si="102"/>
        <v>Other</v>
      </c>
      <c r="AH220" s="199" t="str">
        <f t="shared" si="103"/>
        <v>"%USERPROFILE%\Documents\GitHub\eaglep3\Utilities\RefineRTDCRunTimes.py" --tripid 306-08 --locoid 4023 --swversion DE.1.0.9.0 --startMP 300:23402 --initTime 2017-12-08T04:06:15 --startdatetime 2017-12-08T04:14:07 --delay 99 --endMP 204:167 --enddatetime 2017-12-08T04:22:29 --enforcementcount 0 &gt;&gt;%USERPROFILE%\Documents\GitHub\eaglep3-reporting\EC\2017-12-08-refined-times.txt</v>
      </c>
      <c r="AI220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{"issue":{"subject":"","project_id":79,"tracker_id":40,"status_id":1,"priority_id":2,"assigned_to_id":338,"start_date":"2017-12-08","description":"","custom_fields":[{"id":1,"name":"Subdivision","value":"Other"},{"id":4,"name":"Milepost","value":"0.0167"},{"id":17,"name":"Train ID","value":"306-08"},{"id":16,"name":"Locomotive ID","value":"4023"},{"id":130,"name":"Impact","value":""},{"id":150,"name":"Time of Event (Mountain Time)","value":"04:22:29"},{"id":151,"name":"Denver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196"/>
      <c r="AL220" s="196"/>
      <c r="AM220" s="203" t="str">
        <f t="shared" si="105"/>
        <v>start /low /b %USERPROFILE%\Documents\GitHub\eaglep3\Utilities\DownloadLogsFromS3.py --loco 4023 --day 2017-12-08</v>
      </c>
      <c r="AN220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11:22:29"},{"id":29,"name":"Sharepoint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95" t="str">
        <f t="shared" si="107"/>
        <v>https://d0f6bd738d7f1b3e5a7ca70fe4ff75f0.us-east-1.aws.found.io/app/kibana#/discover/Steve-Slow-Train-Analysis-(2080s-and-2083s)?_g=(refreshInterval:(display:Off,pause:!f,section:0,value:0),time:(from:'2017-12-08T03:06:15-0700',mode:absolute,to:'2017-12-08T05:22:29-0700'))&amp;_a=(columns:!('Message%20ID',Summary),filters:!(),index:'emp_*',interval:auto,query:(query_string:(analyze_wildcard:!t,query:'%22rtdc.l.rtdc.4023%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194" t="s">
        <v>918</v>
      </c>
      <c r="B221" s="190">
        <v>4032</v>
      </c>
      <c r="C221" s="192" t="s">
        <v>191</v>
      </c>
      <c r="D221" s="192" t="s">
        <v>414</v>
      </c>
      <c r="E221" s="191">
        <v>43078.047800925924</v>
      </c>
      <c r="F221" s="191">
        <v>43078.050092592595</v>
      </c>
      <c r="G221" s="190">
        <v>130</v>
      </c>
      <c r="H221" s="192" t="s">
        <v>1018</v>
      </c>
      <c r="I221" s="191">
        <v>43078.058252314811</v>
      </c>
      <c r="J221" s="190">
        <v>0</v>
      </c>
      <c r="K221" s="200" t="str">
        <f t="shared" si="93"/>
        <v>4031/4032</v>
      </c>
      <c r="L221" s="207" t="str">
        <f>VLOOKUP(A221,'Trips&amp;Operators'!$C$1:$G$99911,5,FALSE)</f>
        <v>DAVIDSON DAVID</v>
      </c>
      <c r="M221" s="189">
        <f t="shared" si="94"/>
        <v>8.1597222160780802E-3</v>
      </c>
      <c r="N221" s="190">
        <f t="shared" si="90"/>
        <v>11.749999991152436</v>
      </c>
      <c r="O221" s="190"/>
      <c r="P221" s="190"/>
      <c r="Q221" s="193"/>
      <c r="R221" s="205"/>
      <c r="S221" s="235">
        <f t="shared" si="108"/>
        <v>1</v>
      </c>
      <c r="T221" s="236" t="str">
        <f t="shared" si="95"/>
        <v>NorthBound</v>
      </c>
      <c r="U221" s="23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37" t="str">
        <f t="shared" si="96"/>
        <v>https://d0f6bd738d7f1b3e5a7ca70fe4ff75f0.us-east-1.aws.found.io/app/kibana#/discover/Steve-Slow-Train-Analysis-(2080s-and-2083s)?_g=(refreshInterval:(display:Off,pause:!f,section:0,value:0),time:(from:'2017-12-09T00:08:50-0700',mode:absolute,to:'2017-12-09T02:23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1" s="238" t="str">
        <f>IF(AA221&lt;VLOOKUP(AG221,Variables!$AC$3:$AD$8,2,FALSE),"Y","N")</f>
        <v>Y</v>
      </c>
      <c r="X221" s="238">
        <f t="shared" si="97"/>
        <v>1</v>
      </c>
      <c r="Y221" s="238">
        <f t="shared" si="91"/>
        <v>5.3999999999999999E-2</v>
      </c>
      <c r="Z221" s="238">
        <f t="shared" si="92"/>
        <v>2.331</v>
      </c>
      <c r="AA221" s="238">
        <f t="shared" si="98"/>
        <v>2.2770000000000001</v>
      </c>
      <c r="AB221" s="242" t="e">
        <f>VLOOKUP(A221,Enforcements!$C$7:$K$9,8,0)</f>
        <v>#N/A</v>
      </c>
      <c r="AC221" s="242" t="e">
        <f>VLOOKUP(A221,Enforcements!$C$7:$E$9,3,0)</f>
        <v>#N/A</v>
      </c>
      <c r="AD221" s="243">
        <f t="shared" si="99"/>
        <v>307</v>
      </c>
      <c r="AE221" s="198" t="str">
        <f t="shared" si="100"/>
        <v>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 &amp; aws s3 cp s3://rtdc.mdm.uploadarchive.raw/RTDC4032/ "%USERPROFILE%\AppData\Local\Temp\OnboardLogs"\RTDC4032\2017-12-10 --exclude "*" --recursive --include "*20171210*" &amp; "%USERPROFILE%\Documents\GitHub\mrs-test-scripts\Headless Mode &amp; Sideloading\WalkAndUnGZ.bat" "%USERPROFILE%\AppData\Local\Temp\OnboardLogs"\RTDC4032\2017-12-10</v>
      </c>
      <c r="AF221" s="197" t="str">
        <f t="shared" si="101"/>
        <v>"C:\Program Files (x86)\AstroGrep\AstroGrep.exe" /e /r /s /spath="%USERPROFILE%\AppData\Local\Temp\OnboardLogs" /stypes="app*4032*20171209*" /stext=" 08:.+((SYSTEM_STATE.+slice.+state.+changed )|(ment ac)|(multiple cpu faults)|(system.+state.+changed )|(\[timeout)|(PRM\|1\|D)|(kpr)|(kdp)|(train st.+moving)|(\|lc)|(penalty))"</v>
      </c>
      <c r="AG221" s="206" t="str">
        <f t="shared" si="102"/>
        <v>Other</v>
      </c>
      <c r="AH221" s="199" t="str">
        <f t="shared" si="103"/>
        <v>"%USERPROFILE%\Documents\GitHub\eaglep3\Utilities\RefineRTDCRunTimes.py" --tripid 307-08 --locoid 4032 --swversion DE.1.0.9.0 --startMP 204:540 --initTime 2017-12-09T01:08:50 --startdatetime 2017-12-09T01:12:08 --delay 130 --endMP 300:23310 --enddatetime 2017-12-09T01:23:53 --enforcementcount 0 &gt;&gt;%USERPROFILE%\Documents\GitHub\eaglep3-reporting\EC\2017-12-08-refined-times.txt</v>
      </c>
      <c r="AI221" s="201" t="str">
        <f t="shared" si="104"/>
        <v>echo {"issue":{"subject":"","project_id":79,"tracker_id":40,"status_id":1,"priority_id":2,"assigned_to_id":338,"start_date":"2017-12-09","description":"","custom_fields":[{"id":1,"name":"Subdivision","value":"Other"},{"id":4,"name":"Milepost","value":"2.331"},{"id":17,"name":"Train ID","value":"307-08"},{"id":16,"name":"Locomotive ID","value":"4032"},{"id":130,"name":"Impact","value":""},{"id":150,"name":"Time of Event (Mountain Time)","value":"01:23:53"},{"id":151,"name":"Denver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8"/>
      <c r="AK221" s="196"/>
      <c r="AL221" s="196"/>
      <c r="AM221" s="203" t="str">
        <f t="shared" si="105"/>
        <v>start /low /b %USERPROFILE%\Documents\GitHub\eaglep3\Utilities\DownloadLogsFromS3.py --loco 4032 --day 2017-12-09</v>
      </c>
      <c r="AN221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95" t="str">
        <f t="shared" si="107"/>
        <v>https://d0f6bd738d7f1b3e5a7ca70fe4ff75f0.us-east-1.aws.found.io/app/kibana#/discover/Steve-Slow-Train-Analysis-(2080s-and-2083s)?_g=(refreshInterval:(display:Off,pause:!f,section:0,value:0),time:(from:'2017-12-09T00:08:50-0700',mode:absolute,to:'2017-12-09T02:23:53-0700'))&amp;_a=(columns:!('Message%20ID',Summary),filters:!(),index:'emp_*',interval:auto,query:(query_string:(analyze_wildcard:!t,query:'%22rtdc.l.rtdc.4032%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194" t="s">
        <v>679</v>
      </c>
      <c r="B222" s="190">
        <v>4049</v>
      </c>
      <c r="C222" s="192" t="s">
        <v>191</v>
      </c>
      <c r="D222" s="192" t="s">
        <v>1022</v>
      </c>
      <c r="E222" s="191">
        <v>43077.175127314818</v>
      </c>
      <c r="F222" s="191">
        <v>43077.180636574078</v>
      </c>
      <c r="G222" s="190">
        <v>119</v>
      </c>
      <c r="H222" s="192" t="s">
        <v>1023</v>
      </c>
      <c r="I222" s="191">
        <v>43077.190682870372</v>
      </c>
      <c r="J222" s="190">
        <v>0</v>
      </c>
      <c r="K222" s="200" t="str">
        <f t="shared" si="93"/>
        <v>4049/4050</v>
      </c>
      <c r="L222" s="207" t="str">
        <f>VLOOKUP(A222,'Trips&amp;Operators'!$C$1:$G$99911,5,FALSE)</f>
        <v>LOPES KIMBERLY</v>
      </c>
      <c r="M222" s="189">
        <f t="shared" si="94"/>
        <v>1.0046296294603962E-2</v>
      </c>
      <c r="N222" s="190">
        <f t="shared" si="90"/>
        <v>14.466666664229706</v>
      </c>
      <c r="O222" s="190"/>
      <c r="P222" s="190"/>
      <c r="Q222" s="193"/>
      <c r="R222" s="205"/>
      <c r="S222" s="235">
        <f t="shared" si="108"/>
        <v>1</v>
      </c>
      <c r="T222" s="236" t="str">
        <f t="shared" si="95"/>
        <v>Southbound</v>
      </c>
      <c r="U222" s="23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37" t="str">
        <f t="shared" si="96"/>
        <v>https://d0f6bd738d7f1b3e5a7ca70fe4ff75f0.us-east-1.aws.found.io/app/kibana#/discover/Steve-Slow-Train-Analysis-(2080s-and-2083s)?_g=(refreshInterval:(display:Off,pause:!f,section:0,value:0),time:(from:'2017-12-08T03:12:11-0700',mode:absolute,to:'2017-12-08T05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238" t="str">
        <f>IF(AA222&lt;VLOOKUP(AG222,Variables!$AC$3:$AD$8,2,FALSE),"Y","N")</f>
        <v>Y</v>
      </c>
      <c r="X222" s="238">
        <f t="shared" si="97"/>
        <v>1</v>
      </c>
      <c r="Y222" s="238">
        <f t="shared" si="91"/>
        <v>2.3260000000000001</v>
      </c>
      <c r="Z222" s="238">
        <f t="shared" si="92"/>
        <v>0.02</v>
      </c>
      <c r="AA222" s="238">
        <f t="shared" si="98"/>
        <v>2.306</v>
      </c>
      <c r="AB222" s="242" t="e">
        <f>VLOOKUP(A222,Enforcements!$C$7:$K$9,8,0)</f>
        <v>#N/A</v>
      </c>
      <c r="AC222" s="242" t="e">
        <f>VLOOKUP(A222,Enforcements!$C$7:$E$9,3,0)</f>
        <v>#N/A</v>
      </c>
      <c r="AD222" s="243">
        <f t="shared" si="99"/>
        <v>308</v>
      </c>
      <c r="AE222" s="198" t="str">
        <f t="shared" si="100"/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AF222" s="197" t="str">
        <f t="shared" si="101"/>
        <v>"C:\Program Files (x86)\AstroGrep\AstroGrep.exe" /e /r /s /spath="%USERPROFILE%\AppData\Local\Temp\OnboardLogs" /stypes="app*4049*20171208*" /stext=" 11:.+((SYSTEM_STATE.+slice.+state.+changed )|(ment ac)|(multiple cpu faults)|(system.+state.+changed )|(\[timeout)|(PRM\|1\|D)|(kpr)|(kdp)|(train st.+moving)|(\|lc)|(penalty))"</v>
      </c>
      <c r="AG222" s="206" t="str">
        <f t="shared" si="102"/>
        <v>Other</v>
      </c>
      <c r="AH222" s="199" t="str">
        <f t="shared" si="103"/>
        <v>"%USERPROFILE%\Documents\GitHub\eaglep3\Utilities\RefineRTDCRunTimes.py" --tripid 308-08 --locoid 4049 --swversion DE.1.0.9.0 --startMP 300:23260 --initTime 2017-12-08T04:12:11 --startdatetime 2017-12-08T04:20:07 --delay 119 --endMP 204:200 --enddatetime 2017-12-08T04:34:35 --enforcementcount 0 &gt;&gt;%USERPROFILE%\Documents\GitHub\eaglep3-reporting\EC\2017-12-08-refined-times.txt</v>
      </c>
      <c r="AI222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{"issue":{"subject":"","project_id":79,"tracker_id":40,"status_id":1,"priority_id":2,"assigned_to_id":338,"start_date":"2017-12-08","description":"","custom_fields":[{"id":1,"name":"Subdivision","value":"Other"},{"id":4,"name":"Milepost","value":"0.02"},{"id":17,"name":"Train ID","value":"308-08"},{"id":16,"name":"Locomotive ID","value":"4049"},{"id":130,"name":"Impact","value":""},{"id":150,"name":"Time of Event (Mountain Time)","value":"04:34:35"},{"id":151,"name":"Denver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188"/>
      <c r="AK222" s="196"/>
      <c r="AL222" s="196"/>
      <c r="AM222" s="203" t="str">
        <f t="shared" si="105"/>
        <v>start /low /b %USERPROFILE%\Documents\GitHub\eaglep3\Utilities\DownloadLogsFromS3.py --loco 4049 --day 2017-12-08</v>
      </c>
      <c r="AN222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95" t="str">
        <f t="shared" si="107"/>
        <v>https://d0f6bd738d7f1b3e5a7ca70fe4ff75f0.us-east-1.aws.found.io/app/kibana#/discover/Steve-Slow-Train-Analysis-(2080s-and-2083s)?_g=(refreshInterval:(display:Off,pause:!f,section:0,value:0),time:(from:'2017-12-08T03:12:11-0700',mode:absolute,to:'2017-12-08T05:34:35-0700'))&amp;_a=(columns:!('Message%20ID',Summary),filters:!(),index:'emp_*',interval:auto,query:(query_string:(analyze_wildcard:!t,query:'%22rtdc.l.rtdc.4049%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194" t="s">
        <v>919</v>
      </c>
      <c r="B223" s="190">
        <v>4064</v>
      </c>
      <c r="C223" s="192" t="s">
        <v>191</v>
      </c>
      <c r="D223" s="192" t="s">
        <v>1024</v>
      </c>
      <c r="E223" s="191">
        <v>43078.069953703707</v>
      </c>
      <c r="F223" s="191">
        <v>43078.07172453704</v>
      </c>
      <c r="G223" s="190">
        <v>65</v>
      </c>
      <c r="H223" s="192" t="s">
        <v>1025</v>
      </c>
      <c r="I223" s="191">
        <v>43078.082592592589</v>
      </c>
      <c r="J223" s="190">
        <v>0</v>
      </c>
      <c r="K223" s="200" t="str">
        <f t="shared" si="93"/>
        <v>4063/4064</v>
      </c>
      <c r="L223" s="207" t="str">
        <f>VLOOKUP(A223,'Trips&amp;Operators'!$C$1:$G$99911,5,FALSE)</f>
        <v>NICHOLSON WESLEY</v>
      </c>
      <c r="M223" s="189">
        <f t="shared" si="94"/>
        <v>1.0868055549508426E-2</v>
      </c>
      <c r="N223" s="190">
        <f t="shared" si="90"/>
        <v>15.649999991292134</v>
      </c>
      <c r="O223" s="190"/>
      <c r="P223" s="190"/>
      <c r="Q223" s="193"/>
      <c r="R223" s="205"/>
      <c r="S223" s="235">
        <f t="shared" si="108"/>
        <v>1</v>
      </c>
      <c r="T223" s="236" t="str">
        <f t="shared" si="95"/>
        <v>NorthBound</v>
      </c>
      <c r="U223" s="23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37" t="str">
        <f t="shared" si="96"/>
        <v>https://d0f6bd738d7f1b3e5a7ca70fe4ff75f0.us-east-1.aws.found.io/app/kibana#/discover/Steve-Slow-Train-Analysis-(2080s-and-2083s)?_g=(refreshInterval:(display:Off,pause:!f,section:0,value:0),time:(from:'2017-12-09T00:40:44-0700',mode:absolute,to:'2017-12-09T02:58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3" s="238" t="str">
        <f>IF(AA223&lt;VLOOKUP(AG223,Variables!$AC$3:$AD$8,2,FALSE),"Y","N")</f>
        <v>Y</v>
      </c>
      <c r="X223" s="238">
        <f t="shared" si="97"/>
        <v>1</v>
      </c>
      <c r="Y223" s="238">
        <f t="shared" si="91"/>
        <v>5.4399999999999997E-2</v>
      </c>
      <c r="Z223" s="238">
        <f t="shared" si="92"/>
        <v>2.3306</v>
      </c>
      <c r="AA223" s="238">
        <f t="shared" si="98"/>
        <v>2.2762000000000002</v>
      </c>
      <c r="AB223" s="242" t="e">
        <f>VLOOKUP(A223,Enforcements!$C$7:$K$9,8,0)</f>
        <v>#N/A</v>
      </c>
      <c r="AC223" s="242" t="e">
        <f>VLOOKUP(A223,Enforcements!$C$7:$E$9,3,0)</f>
        <v>#N/A</v>
      </c>
      <c r="AD223" s="243">
        <f t="shared" si="99"/>
        <v>309</v>
      </c>
      <c r="AE223" s="198" t="str">
        <f t="shared" si="100"/>
        <v>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 &amp; aws s3 cp s3://rtdc.mdm.uploadarchive.raw/RTDC4064/ "%USERPROFILE%\AppData\Local\Temp\OnboardLogs"\RTDC4064\2017-12-10 --exclude "*" --recursive --include "*20171210*" &amp; "%USERPROFILE%\Documents\GitHub\mrs-test-scripts\Headless Mode &amp; Sideloading\WalkAndUnGZ.bat" "%USERPROFILE%\AppData\Local\Temp\OnboardLogs"\RTDC4064\2017-12-10</v>
      </c>
      <c r="AF223" s="197" t="str">
        <f t="shared" si="101"/>
        <v>"C:\Program Files (x86)\AstroGrep\AstroGrep.exe" /e /r /s /spath="%USERPROFILE%\AppData\Local\Temp\OnboardLogs" /stypes="app*4064*20171209*" /stext=" 08:.+((SYSTEM_STATE.+slice.+state.+changed )|(ment ac)|(multiple cpu faults)|(system.+state.+changed )|(\[timeout)|(PRM\|1\|D)|(kpr)|(kdp)|(train st.+moving)|(\|lc)|(penalty))"</v>
      </c>
      <c r="AG223" s="206" t="str">
        <f t="shared" si="102"/>
        <v>Other</v>
      </c>
      <c r="AH223" s="199" t="str">
        <f t="shared" si="103"/>
        <v>"%USERPROFILE%\Documents\GitHub\eaglep3\Utilities\RefineRTDCRunTimes.py" --tripid 309-08 --locoid 4064 --swversion DE.1.0.9.0 --startMP 204:544 --initTime 2017-12-09T01:40:44 --startdatetime 2017-12-09T01:43:17 --delay 65 --endMP 300:23306 --enddatetime 2017-12-09T01:58:56 --enforcementcount 0 &gt;&gt;%USERPROFILE%\Documents\GitHub\eaglep3-reporting\EC\2017-12-08-refined-times.txt</v>
      </c>
      <c r="AI223" s="201" t="str">
        <f t="shared" si="104"/>
        <v>echo {"issue":{"subject":"","project_id":79,"tracker_id":40,"status_id":1,"priority_id":2,"assigned_to_id":338,"start_date":"2017-12-09","description":"","custom_fields":[{"id":1,"name":"Subdivision","value":"Other"},{"id":4,"name":"Milepost","value":"2.3306"},{"id":17,"name":"Train ID","value":"309-08"},{"id":16,"name":"Locomotive ID","value":"4064"},{"id":130,"name":"Impact","value":""},{"id":150,"name":"Time of Event (Mountain Time)","value":"01:58:56"},{"id":151,"name":"Denver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188"/>
      <c r="AK223" s="196"/>
      <c r="AL223" s="196"/>
      <c r="AM223" s="203" t="str">
        <f t="shared" si="105"/>
        <v>start /low /b %USERPROFILE%\Documents\GitHub\eaglep3\Utilities\DownloadLogsFromS3.py --loco 4064 --day 2017-12-09</v>
      </c>
      <c r="AN223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08:58:56"},{"id":29,"name":"Sharepoint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95" t="str">
        <f t="shared" si="107"/>
        <v>https://d0f6bd738d7f1b3e5a7ca70fe4ff75f0.us-east-1.aws.found.io/app/kibana#/discover/Steve-Slow-Train-Analysis-(2080s-and-2083s)?_g=(refreshInterval:(display:Off,pause:!f,section:0,value:0),time:(from:'2017-12-09T00:40:44-0700',mode:absolute,to:'2017-12-09T02:58:56-0700'))&amp;_a=(columns:!('Message%20ID',Summary),filters:!(),index:'emp_*',interval:auto,query:(query_string:(analyze_wildcard:!t,query:'%22rtdc.l.rtdc.4064%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194" t="s">
        <v>724</v>
      </c>
      <c r="B224" s="190">
        <v>4019</v>
      </c>
      <c r="C224" s="192" t="s">
        <v>191</v>
      </c>
      <c r="D224" s="192" t="s">
        <v>1026</v>
      </c>
      <c r="E224" s="191">
        <v>43077.20511574074</v>
      </c>
      <c r="F224" s="191">
        <v>43077.208090277774</v>
      </c>
      <c r="G224" s="190">
        <v>66</v>
      </c>
      <c r="H224" s="192" t="s">
        <v>929</v>
      </c>
      <c r="I224" s="191">
        <v>43077.213159722225</v>
      </c>
      <c r="J224" s="190">
        <v>0</v>
      </c>
      <c r="K224" s="200" t="str">
        <f t="shared" si="93"/>
        <v>4019/4020</v>
      </c>
      <c r="L224" s="207" t="str">
        <f>VLOOKUP(A224,'Trips&amp;Operators'!$C$1:$G$99911,5,FALSE)</f>
        <v>BIRENBAUM THOMAS</v>
      </c>
      <c r="M224" s="189">
        <f t="shared" si="94"/>
        <v>5.069444450782612E-3</v>
      </c>
      <c r="N224" s="190">
        <f t="shared" si="90"/>
        <v>7.3000000091269612</v>
      </c>
      <c r="O224" s="190"/>
      <c r="P224" s="190"/>
      <c r="Q224" s="193"/>
      <c r="R224" s="205"/>
      <c r="S224" s="235">
        <f t="shared" si="108"/>
        <v>1</v>
      </c>
      <c r="T224" s="236" t="str">
        <f t="shared" si="95"/>
        <v>Southbound</v>
      </c>
      <c r="U224" s="23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37" t="str">
        <f t="shared" si="96"/>
        <v>https://d0f6bd738d7f1b3e5a7ca70fe4ff75f0.us-east-1.aws.found.io/app/kibana#/discover/Steve-Slow-Train-Analysis-(2080s-and-2083s)?_g=(refreshInterval:(display:Off,pause:!f,section:0,value:0),time:(from:'2017-12-08T03:55:22-0700',mode:absolute,to:'2017-12-08T06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4" s="238" t="str">
        <f>IF(AA224&lt;VLOOKUP(AG224,Variables!$AC$3:$AD$8,2,FALSE),"Y","N")</f>
        <v>Y</v>
      </c>
      <c r="X224" s="238">
        <f t="shared" si="97"/>
        <v>1</v>
      </c>
      <c r="Y224" s="238">
        <f t="shared" si="91"/>
        <v>2.3372000000000002</v>
      </c>
      <c r="Z224" s="238">
        <f t="shared" si="92"/>
        <v>1.61E-2</v>
      </c>
      <c r="AA224" s="238">
        <f t="shared" si="98"/>
        <v>2.3211000000000004</v>
      </c>
      <c r="AB224" s="242" t="e">
        <f>VLOOKUP(A224,Enforcements!$C$7:$K$9,8,0)</f>
        <v>#N/A</v>
      </c>
      <c r="AC224" s="242" t="e">
        <f>VLOOKUP(A224,Enforcements!$C$7:$E$9,3,0)</f>
        <v>#N/A</v>
      </c>
      <c r="AD224" s="243">
        <f t="shared" si="99"/>
        <v>310</v>
      </c>
      <c r="AE224" s="198" t="str">
        <f t="shared" si="100"/>
        <v>aws s3 cp s3://rtdc.mdm.uploadarchive.raw/RTDC4019/ "%USERPROFILE%\AppData\Local\Temp\OnboardLogs"\RTDC4019\2017-12-08 --exclude "*" --recursive --include "*20171208*" &amp; "%USERPROFILE%\Documents\GitHub\mrs-test-scripts\Headless Mode &amp; Sideloading\WalkAndUnGZ.bat" "%USERPROFILE%\AppData\Local\Temp\OnboardLogs"\RTDC4019\2017-12-08 &amp; aws s3 cp s3://rtdc.mdm.uploadarchive.raw/RTDC4019/ "%USERPROFILE%\AppData\Local\Temp\OnboardLogs"\RTDC4019\2017-12-09 --exclude "*" --recursive --include "*20171209*" &amp; "%USERPROFILE%\Documents\GitHub\mrs-test-scripts\Headless Mode &amp; Sideloading\WalkAndUnGZ.bat" "%USERPROFILE%\AppData\Local\Temp\OnboardLogs"\RTDC4019\2017-12-09</v>
      </c>
      <c r="AF224" s="197" t="str">
        <f t="shared" si="101"/>
        <v>"C:\Program Files (x86)\AstroGrep\AstroGrep.exe" /e /r /s /spath="%USERPROFILE%\AppData\Local\Temp\OnboardLogs" /stypes="app*4019*20171208*" /stext=" 12:.+((SYSTEM_STATE.+slice.+state.+changed )|(ment ac)|(multiple cpu faults)|(system.+state.+changed )|(\[timeout)|(PRM\|1\|D)|(kpr)|(kdp)|(train st.+moving)|(\|lc)|(penalty))"</v>
      </c>
      <c r="AG224" s="206" t="str">
        <f t="shared" si="102"/>
        <v>Other</v>
      </c>
      <c r="AH224" s="199" t="str">
        <f t="shared" si="103"/>
        <v>"%USERPROFILE%\Documents\GitHub\eaglep3\Utilities\RefineRTDCRunTimes.py" --tripid 310-08 --locoid 4019 --swversion DE.1.0.9.0 --startMP 300:23372 --initTime 2017-12-08T04:55:22 --startdatetime 2017-12-08T04:59:39 --delay 66 --endMP 204:161 --enddatetime 2017-12-08T05:06:57 --enforcementcount 0 &gt;&gt;%USERPROFILE%\Documents\GitHub\eaglep3-reporting\EC\2017-12-08-refined-times.txt</v>
      </c>
      <c r="AI224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{"issue":{"subject":"","project_id":79,"tracker_id":40,"status_id":1,"priority_id":2,"assigned_to_id":338,"start_date":"2017-12-08","description":"","custom_fields":[{"id":1,"name":"Subdivision","value":"Other"},{"id":4,"name":"Milepost","value":"0.0161"},{"id":17,"name":"Train ID","value":"310-08"},{"id":16,"name":"Locomotive ID","value":"4019"},{"id":130,"name":"Impact","value":""},{"id":150,"name":"Time of Event (Mountain Time)","value":"05:06:57"},{"id":151,"name":"Denver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188"/>
      <c r="AK224" s="196"/>
      <c r="AL224" s="196"/>
      <c r="AM224" s="203" t="str">
        <f t="shared" si="105"/>
        <v>start /low /b %USERPROFILE%\Documents\GitHub\eaglep3\Utilities\DownloadLogsFromS3.py --loco 4019 --day 2017-12-08</v>
      </c>
      <c r="AN224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95" t="str">
        <f t="shared" si="107"/>
        <v>https://d0f6bd738d7f1b3e5a7ca70fe4ff75f0.us-east-1.aws.found.io/app/kibana#/discover/Steve-Slow-Train-Analysis-(2080s-and-2083s)?_g=(refreshInterval:(display:Off,pause:!f,section:0,value:0),time:(from:'2017-12-08T03:55:22-0700',mode:absolute,to:'2017-12-08T06:06:57-0700'))&amp;_a=(columns:!('Message%20ID',Summary),filters:!(),index:'emp_*',interval:auto,query:(query_string:(analyze_wildcard:!t,query:'%22rtdc.l.rtdc.4019%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188" customFormat="1" x14ac:dyDescent="0.25">
      <c r="A225" s="194" t="s">
        <v>921</v>
      </c>
      <c r="B225" s="190">
        <v>4024</v>
      </c>
      <c r="C225" s="192" t="s">
        <v>191</v>
      </c>
      <c r="D225" s="192" t="s">
        <v>661</v>
      </c>
      <c r="E225" s="191">
        <v>43078.086435185185</v>
      </c>
      <c r="F225" s="191">
        <v>43078.08792824074</v>
      </c>
      <c r="G225" s="190">
        <v>67</v>
      </c>
      <c r="H225" s="192" t="s">
        <v>1027</v>
      </c>
      <c r="I225" s="191">
        <v>43078.096145833333</v>
      </c>
      <c r="J225" s="190">
        <v>0</v>
      </c>
      <c r="K225" s="200" t="str">
        <f t="shared" si="93"/>
        <v>4023/4024</v>
      </c>
      <c r="L225" s="207" t="str">
        <f>VLOOKUP(A225,'Trips&amp;Operators'!$C$1:$G$99911,5,FALSE)</f>
        <v>ELBAUM MIKE</v>
      </c>
      <c r="M225" s="189">
        <f t="shared" si="94"/>
        <v>8.2175925927003846E-3</v>
      </c>
      <c r="N225" s="190">
        <f t="shared" si="90"/>
        <v>11.833333333488554</v>
      </c>
      <c r="O225" s="190"/>
      <c r="P225" s="190"/>
      <c r="Q225" s="193"/>
      <c r="R225" s="205"/>
      <c r="S225" s="235">
        <f t="shared" si="108"/>
        <v>1</v>
      </c>
      <c r="T225" s="236" t="str">
        <f t="shared" si="95"/>
        <v>NorthBound</v>
      </c>
      <c r="U225" s="23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37" t="str">
        <f t="shared" si="96"/>
        <v>https://d0f6bd738d7f1b3e5a7ca70fe4ff75f0.us-east-1.aws.found.io/app/kibana#/discover/Steve-Slow-Train-Analysis-(2080s-and-2083s)?_g=(refreshInterval:(display:Off,pause:!f,section:0,value:0),time:(from:'2017-12-09T01:04:28-0700',mode:absolute,to:'2017-12-09T03:18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238" t="str">
        <f>IF(AA225&lt;VLOOKUP(AG225,Variables!$AC$3:$AD$8,2,FALSE),"Y","N")</f>
        <v>Y</v>
      </c>
      <c r="X225" s="238">
        <f t="shared" si="97"/>
        <v>1</v>
      </c>
      <c r="Y225" s="238">
        <f t="shared" si="91"/>
        <v>5.62E-2</v>
      </c>
      <c r="Z225" s="238">
        <f t="shared" si="92"/>
        <v>2.306</v>
      </c>
      <c r="AA225" s="238">
        <f t="shared" si="98"/>
        <v>2.2498</v>
      </c>
      <c r="AB225" s="242" t="e">
        <f>VLOOKUP(A225,Enforcements!$C$7:$K$9,8,0)</f>
        <v>#N/A</v>
      </c>
      <c r="AC225" s="242" t="e">
        <f>VLOOKUP(A225,Enforcements!$C$7:$E$9,3,0)</f>
        <v>#N/A</v>
      </c>
      <c r="AD225" s="243">
        <f t="shared" si="99"/>
        <v>311</v>
      </c>
      <c r="AE225" s="198" t="str">
        <f t="shared" si="100"/>
        <v>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 &amp; aws s3 cp s3://rtdc.mdm.uploadarchive.raw/RTDC4024/ "%USERPROFILE%\AppData\Local\Temp\OnboardLogs"\RTDC4024\2017-12-10 --exclude "*" --recursive --include "*20171210*" &amp; "%USERPROFILE%\Documents\GitHub\mrs-test-scripts\Headless Mode &amp; Sideloading\WalkAndUnGZ.bat" "%USERPROFILE%\AppData\Local\Temp\OnboardLogs"\RTDC4024\2017-12-10</v>
      </c>
      <c r="AF225" s="197" t="str">
        <f t="shared" si="101"/>
        <v>"C:\Program Files (x86)\AstroGrep\AstroGrep.exe" /e /r /s /spath="%USERPROFILE%\AppData\Local\Temp\OnboardLogs" /stypes="app*4024*20171209*" /stext=" 09:.+((SYSTEM_STATE.+slice.+state.+changed )|(ment ac)|(multiple cpu faults)|(system.+state.+changed )|(\[timeout)|(PRM\|1\|D)|(kpr)|(kdp)|(train st.+moving)|(\|lc)|(penalty))"</v>
      </c>
      <c r="AG225" s="206" t="str">
        <f t="shared" si="102"/>
        <v>Other</v>
      </c>
      <c r="AH225" s="199" t="str">
        <f t="shared" si="103"/>
        <v>"%USERPROFILE%\Documents\GitHub\eaglep3\Utilities\RefineRTDCRunTimes.py" --tripid 311-08 --locoid 4024 --swversion DE.1.0.9.0 --startMP 204:562 --initTime 2017-12-09T02:04:28 --startdatetime 2017-12-09T02:06:37 --delay 67 --endMP 300:23060 --enddatetime 2017-12-09T02:18:27 --enforcementcount 0 &gt;&gt;%USERPROFILE%\Documents\GitHub\eaglep3-reporting\EC\2017-12-08-refined-times.txt</v>
      </c>
      <c r="AI225" s="201" t="str">
        <f t="shared" si="104"/>
        <v>echo {"issue":{"subject":"","project_id":79,"tracker_id":40,"status_id":1,"priority_id":2,"assigned_to_id":338,"start_date":"2017-12-09","description":"","custom_fields":[{"id":1,"name":"Subdivision","value":"Other"},{"id":4,"name":"Milepost","value":"2.306"},{"id":17,"name":"Train ID","value":"311-08"},{"id":16,"name":"Locomotive ID","value":"4024"},{"id":130,"name":"Impact","value":""},{"id":150,"name":"Time of Event (Mountain Time)","value":"02:18:27"},{"id":151,"name":"Denver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196"/>
      <c r="AL225" s="196"/>
      <c r="AM225" s="203" t="str">
        <f t="shared" si="105"/>
        <v>start /low /b %USERPROFILE%\Documents\GitHub\eaglep3\Utilities\DownloadLogsFromS3.py --loco 4024 --day 2017-12-09</v>
      </c>
      <c r="AN225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09:18:27"},{"id":29,"name":"Sharepoint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95" t="str">
        <f t="shared" si="107"/>
        <v>https://d0f6bd738d7f1b3e5a7ca70fe4ff75f0.us-east-1.aws.found.io/app/kibana#/discover/Steve-Slow-Train-Analysis-(2080s-and-2083s)?_g=(refreshInterval:(display:Off,pause:!f,section:0,value:0),time:(from:'2017-12-09T01:04:28-0700',mode:absolute,to:'2017-12-09T03:18:27-0700'))&amp;_a=(columns:!('Message%20ID',Summary),filters:!(),index:'emp_*',interval:auto,query:(query_string:(analyze_wildcard:!t,query:'%22rtdc.l.rtdc.4024%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194" t="s">
        <v>732</v>
      </c>
      <c r="B226" s="190">
        <v>4015</v>
      </c>
      <c r="C226" s="192" t="s">
        <v>191</v>
      </c>
      <c r="D226" s="192" t="s">
        <v>1028</v>
      </c>
      <c r="E226" s="191">
        <v>43077.224120370367</v>
      </c>
      <c r="F226" s="191">
        <v>43077.228402777779</v>
      </c>
      <c r="G226" s="190">
        <v>106</v>
      </c>
      <c r="H226" s="192" t="s">
        <v>444</v>
      </c>
      <c r="I226" s="191">
        <v>43077.233356481483</v>
      </c>
      <c r="J226" s="190">
        <v>0</v>
      </c>
      <c r="K226" s="200" t="str">
        <f t="shared" si="93"/>
        <v>4015/4016</v>
      </c>
      <c r="L226" s="207" t="str">
        <f>VLOOKUP(A226,'Trips&amp;Operators'!$C$1:$G$99911,5,FALSE)</f>
        <v>HAMMOND JUSTYNN</v>
      </c>
      <c r="M226" s="189">
        <f t="shared" si="94"/>
        <v>4.9537037048139609E-3</v>
      </c>
      <c r="N226" s="190">
        <f t="shared" si="90"/>
        <v>7.1333333349321038</v>
      </c>
      <c r="O226" s="190"/>
      <c r="P226" s="190"/>
      <c r="Q226" s="193"/>
      <c r="R226" s="205"/>
      <c r="S226" s="235">
        <f t="shared" si="108"/>
        <v>1</v>
      </c>
      <c r="T226" s="236" t="str">
        <f t="shared" si="95"/>
        <v>Southbound</v>
      </c>
      <c r="U226" s="23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37" t="str">
        <f t="shared" si="96"/>
        <v>https://d0f6bd738d7f1b3e5a7ca70fe4ff75f0.us-east-1.aws.found.io/app/kibana#/discover/Steve-Slow-Train-Analysis-(2080s-and-2083s)?_g=(refreshInterval:(display:Off,pause:!f,section:0,value:0),time:(from:'2017-12-08T04:22:44-0700',mode:absolute,to:'2017-12-08T06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38" t="str">
        <f>IF(AA226&lt;VLOOKUP(AG226,Variables!$AC$3:$AD$8,2,FALSE),"Y","N")</f>
        <v>Y</v>
      </c>
      <c r="X226" s="238">
        <f t="shared" si="97"/>
        <v>1</v>
      </c>
      <c r="Y226" s="238">
        <f t="shared" ref="Y226:Y236" si="109">RIGHT(D226,LEN(D226)-4)/10000</f>
        <v>2.3220000000000001</v>
      </c>
      <c r="Z226" s="238">
        <f t="shared" ref="Z226:Z236" si="110">RIGHT(H226,LEN(H226)-4)/10000</f>
        <v>2.1600000000000001E-2</v>
      </c>
      <c r="AA226" s="238">
        <f t="shared" si="98"/>
        <v>2.3004000000000002</v>
      </c>
      <c r="AB226" s="242" t="e">
        <f>VLOOKUP(A226,Enforcements!$C$7:$K$9,8,0)</f>
        <v>#N/A</v>
      </c>
      <c r="AC226" s="242" t="e">
        <f>VLOOKUP(A226,Enforcements!$C$7:$E$9,3,0)</f>
        <v>#N/A</v>
      </c>
      <c r="AD226" s="243">
        <f t="shared" si="99"/>
        <v>312</v>
      </c>
      <c r="AE226" s="198" t="str">
        <f t="shared" si="100"/>
        <v>aws s3 cp s3://rtdc.mdm.uploadarchive.raw/RTDC4015/ "%USERPROFILE%\AppData\Local\Temp\OnboardLogs"\RTDC4015\2017-12-08 --exclude "*" --recursive --include "*20171208*" &amp; "%USERPROFILE%\Documents\GitHub\mrs-test-scripts\Headless Mode &amp; Sideloading\WalkAndUnGZ.bat" "%USERPROFILE%\AppData\Local\Temp\OnboardLogs"\RTDC4015\2017-12-08 &amp; aws s3 cp s3://rtdc.mdm.uploadarchive.raw/RTDC4015/ "%USERPROFILE%\AppData\Local\Temp\OnboardLogs"\RTDC4015\2017-12-09 --exclude "*" --recursive --include "*20171209*" &amp; "%USERPROFILE%\Documents\GitHub\mrs-test-scripts\Headless Mode &amp; Sideloading\WalkAndUnGZ.bat" "%USERPROFILE%\AppData\Local\Temp\OnboardLogs"\RTDC4015\2017-12-09</v>
      </c>
      <c r="AF226" s="197" t="str">
        <f t="shared" si="101"/>
        <v>"C:\Program Files (x86)\AstroGrep\AstroGrep.exe" /e /r /s /spath="%USERPROFILE%\AppData\Local\Temp\OnboardLogs" /stypes="app*4015*20171208*" /stext=" 12:.+((SYSTEM_STATE.+slice.+state.+changed )|(ment ac)|(multiple cpu faults)|(system.+state.+changed )|(\[timeout)|(PRM\|1\|D)|(kpr)|(kdp)|(train st.+moving)|(\|lc)|(penalty))"</v>
      </c>
      <c r="AG226" s="206" t="str">
        <f t="shared" si="102"/>
        <v>Other</v>
      </c>
      <c r="AH226" s="199" t="str">
        <f t="shared" si="103"/>
        <v>"%USERPROFILE%\Documents\GitHub\eaglep3\Utilities\RefineRTDCRunTimes.py" --tripid 312-08 --locoid 4015 --swversion DE.1.0.9.0 --startMP 300:23220 --initTime 2017-12-08T05:22:44 --startdatetime 2017-12-08T05:28:54 --delay 106 --endMP 204:216 --enddatetime 2017-12-08T05:36:02 --enforcementcount 0 &gt;&gt;%USERPROFILE%\Documents\GitHub\eaglep3-reporting\EC\2017-12-08-refined-times.txt</v>
      </c>
      <c r="AI226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{"issue":{"subject":"","project_id":79,"tracker_id":40,"status_id":1,"priority_id":2,"assigned_to_id":338,"start_date":"2017-12-08","description":"","custom_fields":[{"id":1,"name":"Subdivision","value":"Other"},{"id":4,"name":"Milepost","value":"0.0216"},{"id":17,"name":"Train ID","value":"312-08"},{"id":16,"name":"Locomotive ID","value":"4015"},{"id":130,"name":"Impact","value":""},{"id":150,"name":"Time of Event (Mountain Time)","value":"05:36:02"},{"id":151,"name":"Denver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8"/>
      <c r="AK226" s="196"/>
      <c r="AL226" s="196"/>
      <c r="AM226" s="203" t="str">
        <f t="shared" si="105"/>
        <v>start /low /b %USERPROFILE%\Documents\GitHub\eaglep3\Utilities\DownloadLogsFromS3.py --loco 4015 --day 2017-12-08</v>
      </c>
      <c r="AN226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95" t="str">
        <f t="shared" si="107"/>
        <v>https://d0f6bd738d7f1b3e5a7ca70fe4ff75f0.us-east-1.aws.found.io/app/kibana#/discover/Steve-Slow-Train-Analysis-(2080s-and-2083s)?_g=(refreshInterval:(display:Off,pause:!f,section:0,value:0),time:(from:'2017-12-08T04:22:44-0700',mode:absolute,to:'2017-12-08T06:36:02-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194" t="s">
        <v>721</v>
      </c>
      <c r="B227" s="190">
        <v>4004</v>
      </c>
      <c r="C227" s="192" t="s">
        <v>191</v>
      </c>
      <c r="D227" s="192" t="s">
        <v>1086</v>
      </c>
      <c r="E227" s="191">
        <v>43077.19740740741</v>
      </c>
      <c r="F227" s="191">
        <v>43077.203553240739</v>
      </c>
      <c r="G227" s="190">
        <v>140</v>
      </c>
      <c r="H227" s="192" t="s">
        <v>1036</v>
      </c>
      <c r="I227" s="191">
        <v>43077.209652777776</v>
      </c>
      <c r="J227" s="190">
        <v>0</v>
      </c>
      <c r="K227" s="200" t="str">
        <f t="shared" si="93"/>
        <v>4003/4004</v>
      </c>
      <c r="L227" s="207" t="str">
        <f>VLOOKUP(A227,'Trips&amp;Operators'!$C$1:$G$99911,5,FALSE)</f>
        <v>WILLIAMS DONTE</v>
      </c>
      <c r="M227" s="189">
        <f t="shared" si="94"/>
        <v>6.0995370367891155E-3</v>
      </c>
      <c r="N227" s="190">
        <f t="shared" si="90"/>
        <v>8.7833333329763263</v>
      </c>
      <c r="O227" s="190"/>
      <c r="P227" s="190"/>
      <c r="Q227" s="193"/>
      <c r="R227" s="205"/>
      <c r="S227" s="235">
        <f t="shared" si="108"/>
        <v>0</v>
      </c>
      <c r="T227" s="236" t="str">
        <f t="shared" si="95"/>
        <v>NorthBound</v>
      </c>
      <c r="U227" s="23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37" t="str">
        <f t="shared" si="96"/>
        <v>https://d0f6bd738d7f1b3e5a7ca70fe4ff75f0.us-east-1.aws.found.io/app/kibana#/discover/Steve-Slow-Train-Analysis-(2080s-and-2083s)?_g=(refreshInterval:(display:Off,pause:!f,section:0,value:0),time:(from:'2017-12-08T03:44:16-0700',mode:absolute,to:'2017-12-08T06:01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238" t="str">
        <f>IF(AA227&lt;VLOOKUP(AG227,Variables!$AC$3:$AD$8,2,FALSE),"Y","N")</f>
        <v>Y</v>
      </c>
      <c r="X227" s="238">
        <f t="shared" si="97"/>
        <v>589</v>
      </c>
      <c r="Y227" s="238">
        <f t="shared" si="109"/>
        <v>2.9859</v>
      </c>
      <c r="Z227" s="238">
        <f t="shared" si="110"/>
        <v>5.8929</v>
      </c>
      <c r="AA227" s="238">
        <f t="shared" si="98"/>
        <v>2.907</v>
      </c>
      <c r="AB227" s="242" t="e">
        <f>VLOOKUP(A227,Enforcements!$C$7:$K$9,8,0)</f>
        <v>#N/A</v>
      </c>
      <c r="AC227" s="242" t="e">
        <f>VLOOKUP(A227,Enforcements!$C$7:$E$9,3,0)</f>
        <v>#N/A</v>
      </c>
      <c r="AD227" s="243">
        <f t="shared" si="99"/>
        <v>901</v>
      </c>
      <c r="AE227" s="198" t="str">
        <f t="shared" si="100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227" s="197" t="str">
        <f t="shared" si="101"/>
        <v>"C:\Program Files (x86)\AstroGrep\AstroGrep.exe" /e /r /s /spath="%USERPROFILE%\AppData\Local\Temp\OnboardLogs" /stypes="app*4004*20171208*" /stext=" 12:.+((SYSTEM_STATE.+slice.+state.+changed )|(ment ac)|(multiple cpu faults)|(system.+state.+changed )|(\[timeout)|(PRM\|1\|D)|(kpr)|(kdp)|(train st.+moving)|(\|lc)|(penalty))"</v>
      </c>
      <c r="AG227" s="206" t="str">
        <f t="shared" si="102"/>
        <v>Other</v>
      </c>
      <c r="AH227" s="199" t="str">
        <f t="shared" si="103"/>
        <v>"%USERPROFILE%\Documents\GitHub\eaglep3\Utilities\RefineRTDCRunTimes.py" --tripid 901-08 --locoid 4004 --swversion DE.1.0.9.0 --startMP 300:29859 --initTime 2017-12-08T04:44:16 --startdatetime 2017-12-08T04:53:07 --delay 140 --endMP 300:58929 --enddatetime 2017-12-08T05:01:54 --enforcementcount 0 &gt;&gt;%USERPROFILE%\Documents\GitHub\eaglep3-reporting\EC\2017-12-08-refined-times.txt</v>
      </c>
      <c r="AI227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{"issue":{"subject":"","project_id":79,"tracker_id":40,"status_id":1,"priority_id":2,"assigned_to_id":338,"start_date":"2017-12-08","description":"","custom_fields":[{"id":1,"name":"Subdivision","value":"Other"},{"id":4,"name":"Milepost","value":"5.8929"},{"id":17,"name":"Train ID","value":"901-08"},{"id":16,"name":"Locomotive ID","value":"4004"},{"id":130,"name":"Impact","value":""},{"id":150,"name":"Time of Event (Mountain Time)","value":"05:01:54"},{"id":151,"name":"Denver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188"/>
      <c r="AK227" s="196"/>
      <c r="AL227" s="196"/>
      <c r="AM227" s="203" t="str">
        <f t="shared" si="105"/>
        <v>start /low /b %USERPROFILE%\Documents\GitHub\eaglep3\Utilities\DownloadLogsFromS3.py --loco 4004 --day 2017-12-08</v>
      </c>
      <c r="AN227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12:01:54"},{"id":29,"name":"Sharepoint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95" t="str">
        <f t="shared" si="107"/>
        <v>https://d0f6bd738d7f1b3e5a7ca70fe4ff75f0.us-east-1.aws.found.io/app/kibana#/discover/Steve-Slow-Train-Analysis-(2080s-and-2083s)?_g=(refreshInterval:(display:Off,pause:!f,section:0,value:0),time:(from:'2017-12-08T03:44:16-0700',mode:absolute,to:'2017-12-08T06:01:54-0700'))&amp;_a=(columns:!('Message%20ID',Summary),filters:!(),index:'emp_*',interval:auto,query:(query_string:(analyze_wildcard:!t,query:'%22rtdc.l.rtdc.4004%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194" t="s">
        <v>737</v>
      </c>
      <c r="B228" s="190">
        <v>4007</v>
      </c>
      <c r="C228" s="192" t="s">
        <v>191</v>
      </c>
      <c r="D228" s="192" t="s">
        <v>1087</v>
      </c>
      <c r="E228" s="191">
        <v>43077.23978009259</v>
      </c>
      <c r="F228" s="191">
        <v>43077.242627314816</v>
      </c>
      <c r="G228" s="190">
        <v>87</v>
      </c>
      <c r="H228" s="192" t="s">
        <v>1069</v>
      </c>
      <c r="I228" s="191">
        <v>43077.247696759259</v>
      </c>
      <c r="J228" s="190">
        <v>0</v>
      </c>
      <c r="K228" s="200" t="str">
        <f t="shared" si="93"/>
        <v>4007/4008</v>
      </c>
      <c r="L228" s="207" t="str">
        <f>VLOOKUP(A228,'Trips&amp;Operators'!$C$1:$G$99911,5,FALSE)</f>
        <v>DELGADO DIANAH</v>
      </c>
      <c r="M228" s="189">
        <f t="shared" si="94"/>
        <v>5.0694444435066544E-3</v>
      </c>
      <c r="N228" s="190">
        <f t="shared" si="90"/>
        <v>7.2999999986495823</v>
      </c>
      <c r="O228" s="190"/>
      <c r="P228" s="190"/>
      <c r="Q228" s="193"/>
      <c r="R228" s="205"/>
      <c r="S228" s="235">
        <f t="shared" si="108"/>
        <v>1</v>
      </c>
      <c r="T228" s="236" t="str">
        <f t="shared" si="95"/>
        <v>Southbound</v>
      </c>
      <c r="U228" s="23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37" t="str">
        <f t="shared" si="96"/>
        <v>https://d0f6bd738d7f1b3e5a7ca70fe4ff75f0.us-east-1.aws.found.io/app/kibana#/discover/Steve-Slow-Train-Analysis-(2080s-and-2083s)?_g=(refreshInterval:(display:Off,pause:!f,section:0,value:0),time:(from:'2017-12-08T04:45:17-0700',mode:absolute,to:'2017-12-08T06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8" s="238" t="str">
        <f>IF(AA228&lt;VLOOKUP(AG228,Variables!$AC$3:$AD$8,2,FALSE),"Y","N")</f>
        <v>Y</v>
      </c>
      <c r="X228" s="238">
        <f t="shared" si="97"/>
        <v>1</v>
      </c>
      <c r="Y228" s="238">
        <f t="shared" si="109"/>
        <v>2.3237000000000001</v>
      </c>
      <c r="Z228" s="238">
        <f t="shared" si="110"/>
        <v>1.2200000000000001E-2</v>
      </c>
      <c r="AA228" s="238">
        <f t="shared" si="98"/>
        <v>2.3115000000000001</v>
      </c>
      <c r="AB228" s="242" t="e">
        <f>VLOOKUP(A228,Enforcements!$C$7:$K$9,8,0)</f>
        <v>#N/A</v>
      </c>
      <c r="AC228" s="242" t="e">
        <f>VLOOKUP(A228,Enforcements!$C$7:$E$9,3,0)</f>
        <v>#N/A</v>
      </c>
      <c r="AD228" s="243">
        <f t="shared" si="99"/>
        <v>902</v>
      </c>
      <c r="AE228" s="198" t="str">
        <f t="shared" si="100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28" s="197" t="str">
        <f t="shared" si="101"/>
        <v>"C:\Program Files (x86)\AstroGrep\AstroGrep.exe" /e /r /s /spath="%USERPROFILE%\AppData\Local\Temp\OnboardLogs" /stypes="app*4007*20171208*" /stext=" 12:.+((SYSTEM_STATE.+slice.+state.+changed )|(ment ac)|(multiple cpu faults)|(system.+state.+changed )|(\[timeout)|(PRM\|1\|D)|(kpr)|(kdp)|(train st.+moving)|(\|lc)|(penalty))"</v>
      </c>
      <c r="AG228" s="206" t="str">
        <f t="shared" si="102"/>
        <v>Other</v>
      </c>
      <c r="AH228" s="199" t="str">
        <f t="shared" si="103"/>
        <v>"%USERPROFILE%\Documents\GitHub\eaglep3\Utilities\RefineRTDCRunTimes.py" --tripid 902-08 --locoid 4007 --swversion DE.1.0.9.0 --startMP 300:23237 --initTime 2017-12-08T05:45:17 --startdatetime 2017-12-08T05:49:23 --delay 87 --endMP 204:122 --enddatetime 2017-12-08T05:56:41 --enforcementcount 0 &gt;&gt;%USERPROFILE%\Documents\GitHub\eaglep3-reporting\EC\2017-12-08-refined-times.txt</v>
      </c>
      <c r="AI228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{"issue":{"subject":"","project_id":79,"tracker_id":40,"status_id":1,"priority_id":2,"assigned_to_id":338,"start_date":"2017-12-08","description":"","custom_fields":[{"id":1,"name":"Subdivision","value":"Other"},{"id":4,"name":"Milepost","value":"0.0122"},{"id":17,"name":"Train ID","value":"902-08"},{"id":16,"name":"Locomotive ID","value":"4007"},{"id":130,"name":"Impact","value":""},{"id":150,"name":"Time of Event (Mountain Time)","value":"05:56:41"},{"id":151,"name":"Denver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188"/>
      <c r="AK228" s="196"/>
      <c r="AL228" s="196"/>
      <c r="AM228" s="203" t="str">
        <f t="shared" si="105"/>
        <v>start /low /b %USERPROFILE%\Documents\GitHub\eaglep3\Utilities\DownloadLogsFromS3.py --loco 4007 --day 2017-12-08</v>
      </c>
      <c r="AN228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12:56:41"},{"id":29,"name":"Sharepoint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95" t="str">
        <f t="shared" si="107"/>
        <v>https://d0f6bd738d7f1b3e5a7ca70fe4ff75f0.us-east-1.aws.found.io/app/kibana#/discover/Steve-Slow-Train-Analysis-(2080s-and-2083s)?_g=(refreshInterval:(display:Off,pause:!f,section:0,value:0),time:(from:'2017-12-08T04:45:17-0700',mode:absolute,to:'2017-12-08T06:56:41-0700'))&amp;_a=(columns:!('Message%20ID',Summary),filters:!(),index:'emp_*',interval:auto,query:(query_string:(analyze_wildcard:!t,query:'%22rtdc.l.rtdc.4007%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194" t="s">
        <v>684</v>
      </c>
      <c r="B229" s="190">
        <v>4004</v>
      </c>
      <c r="C229" s="192" t="s">
        <v>191</v>
      </c>
      <c r="D229" s="192" t="s">
        <v>457</v>
      </c>
      <c r="E229" s="191">
        <v>43077.353449074071</v>
      </c>
      <c r="F229" s="191">
        <v>43077.357141203705</v>
      </c>
      <c r="G229" s="190">
        <v>139</v>
      </c>
      <c r="H229" s="192" t="s">
        <v>1088</v>
      </c>
      <c r="I229" s="191">
        <v>43077.364664351851</v>
      </c>
      <c r="J229" s="190">
        <v>0</v>
      </c>
      <c r="K229" s="200" t="str">
        <f t="shared" si="93"/>
        <v>4003/4004</v>
      </c>
      <c r="L229" s="207" t="str">
        <f>VLOOKUP(A229,'Trips&amp;Operators'!$C$1:$G$99911,5,FALSE)</f>
        <v>WILLIAMS DONTE</v>
      </c>
      <c r="M229" s="189">
        <f t="shared" si="94"/>
        <v>7.5231481459923089E-3</v>
      </c>
      <c r="N229" s="190">
        <f t="shared" si="90"/>
        <v>10.833333330228925</v>
      </c>
      <c r="O229" s="190"/>
      <c r="P229" s="190"/>
      <c r="Q229" s="193"/>
      <c r="R229" s="205"/>
      <c r="S229" s="235">
        <f t="shared" si="108"/>
        <v>1</v>
      </c>
      <c r="T229" s="236" t="str">
        <f t="shared" si="95"/>
        <v>NorthBound</v>
      </c>
      <c r="U229" s="23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37" t="str">
        <f t="shared" si="96"/>
        <v>https://d0f6bd738d7f1b3e5a7ca70fe4ff75f0.us-east-1.aws.found.io/app/kibana#/discover/Steve-Slow-Train-Analysis-(2080s-and-2083s)?_g=(refreshInterval:(display:Off,pause:!f,section:0,value:0),time:(from:'2017-12-08T07:28:58-0700',mode:absolute,to:'2017-12-08T09:45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9" s="238" t="str">
        <f>IF(AA229&lt;VLOOKUP(AG229,Variables!$AC$3:$AD$8,2,FALSE),"Y","N")</f>
        <v>Y</v>
      </c>
      <c r="X229" s="238">
        <f t="shared" si="97"/>
        <v>1</v>
      </c>
      <c r="Y229" s="238">
        <f t="shared" si="109"/>
        <v>4.4400000000000002E-2</v>
      </c>
      <c r="Z229" s="238">
        <f t="shared" si="110"/>
        <v>2.4218000000000002</v>
      </c>
      <c r="AA229" s="238">
        <f t="shared" si="98"/>
        <v>2.3774000000000002</v>
      </c>
      <c r="AB229" s="242" t="e">
        <f>VLOOKUP(A229,Enforcements!$C$7:$K$9,8,0)</f>
        <v>#N/A</v>
      </c>
      <c r="AC229" s="242" t="e">
        <f>VLOOKUP(A229,Enforcements!$C$7:$E$9,3,0)</f>
        <v>#N/A</v>
      </c>
      <c r="AD229" s="243">
        <f t="shared" si="99"/>
        <v>903</v>
      </c>
      <c r="AE229" s="198" t="str">
        <f t="shared" si="100"/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AF229" s="197" t="str">
        <f t="shared" si="101"/>
        <v>"C:\Program Files (x86)\AstroGrep\AstroGrep.exe" /e /r /s /spath="%USERPROFILE%\AppData\Local\Temp\OnboardLogs" /stypes="app*4004*20171208*" /stext=" 15:.+((SYSTEM_STATE.+slice.+state.+changed )|(ment ac)|(multiple cpu faults)|(system.+state.+changed )|(\[timeout)|(PRM\|1\|D)|(kpr)|(kdp)|(train st.+moving)|(\|lc)|(penalty))"</v>
      </c>
      <c r="AG229" s="206" t="str">
        <f t="shared" si="102"/>
        <v>Other</v>
      </c>
      <c r="AH229" s="199" t="str">
        <f t="shared" si="103"/>
        <v>"%USERPROFILE%\Documents\GitHub\eaglep3\Utilities\RefineRTDCRunTimes.py" --tripid 903-08 --locoid 4004 --swversion DE.1.0.9.0 --startMP 204:444 --initTime 2017-12-08T08:28:58 --startdatetime 2017-12-08T08:34:17 --delay 139 --endMP 300:24218 --enddatetime 2017-12-08T08:45:07 --enforcementcount 0 &gt;&gt;%USERPROFILE%\Documents\GitHub\eaglep3-reporting\EC\2017-12-08-refined-times.txt</v>
      </c>
      <c r="AI229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{"issue":{"subject":"","project_id":79,"tracker_id":40,"status_id":1,"priority_id":2,"assigned_to_id":338,"start_date":"2017-12-08","description":"","custom_fields":[{"id":1,"name":"Subdivision","value":"Other"},{"id":4,"name":"Milepost","value":"2.4218"},{"id":17,"name":"Train ID","value":"903-08"},{"id":16,"name":"Locomotive ID","value":"4004"},{"id":130,"name":"Impact","value":""},{"id":150,"name":"Time of Event (Mountain Time)","value":"08:45:07"},{"id":151,"name":"Denver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188"/>
      <c r="AK229" s="196"/>
      <c r="AL229" s="196"/>
      <c r="AM229" s="203" t="str">
        <f t="shared" si="105"/>
        <v>start /low /b %USERPROFILE%\Documents\GitHub\eaglep3\Utilities\DownloadLogsFromS3.py --loco 4004 --day 2017-12-08</v>
      </c>
      <c r="AN229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15:45:07"},{"id":29,"name":"Sharepoint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95" t="str">
        <f t="shared" si="107"/>
        <v>https://d0f6bd738d7f1b3e5a7ca70fe4ff75f0.us-east-1.aws.found.io/app/kibana#/discover/Steve-Slow-Train-Analysis-(2080s-and-2083s)?_g=(refreshInterval:(display:Off,pause:!f,section:0,value:0),time:(from:'2017-12-08T07:28:58-0700',mode:absolute,to:'2017-12-08T09:45:07-0700'))&amp;_a=(columns:!('Message%20ID',Summary),filters:!(),index:'emp_*',interval:auto,query:(query_string:(analyze_wildcard:!t,query:'%22rtdc.l.rtdc.4004%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194" t="s">
        <v>833</v>
      </c>
      <c r="B230" s="190">
        <v>4003</v>
      </c>
      <c r="C230" s="192" t="s">
        <v>191</v>
      </c>
      <c r="D230" s="192" t="s">
        <v>1089</v>
      </c>
      <c r="E230" s="191">
        <v>43077.634884259256</v>
      </c>
      <c r="F230" s="191">
        <v>43077.638032407405</v>
      </c>
      <c r="G230" s="190">
        <v>75</v>
      </c>
      <c r="H230" s="192" t="s">
        <v>445</v>
      </c>
      <c r="I230" s="191">
        <v>43077.643599537034</v>
      </c>
      <c r="J230" s="190">
        <v>0</v>
      </c>
      <c r="K230" s="200" t="str">
        <f t="shared" si="93"/>
        <v>4003/4004</v>
      </c>
      <c r="L230" s="207" t="str">
        <f>VLOOKUP(A230,'Trips&amp;Operators'!$C$1:$G$99911,5,FALSE)</f>
        <v>LORI SANTOS</v>
      </c>
      <c r="M230" s="189">
        <f t="shared" si="94"/>
        <v>5.5671296286163852E-3</v>
      </c>
      <c r="N230" s="190">
        <f t="shared" si="90"/>
        <v>8.0166666652075946</v>
      </c>
      <c r="O230" s="190"/>
      <c r="P230" s="190"/>
      <c r="Q230" s="193"/>
      <c r="R230" s="205"/>
      <c r="S230" s="235">
        <f t="shared" si="108"/>
        <v>1</v>
      </c>
      <c r="T230" s="236" t="str">
        <f t="shared" si="95"/>
        <v>Southbound</v>
      </c>
      <c r="U230" s="23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37" t="str">
        <f t="shared" si="96"/>
        <v>https://d0f6bd738d7f1b3e5a7ca70fe4ff75f0.us-east-1.aws.found.io/app/kibana#/discover/Steve-Slow-Train-Analysis-(2080s-and-2083s)?_g=(refreshInterval:(display:Off,pause:!f,section:0,value:0),time:(from:'2017-12-08T14:14:14-0700',mode:absolute,to:'2017-12-08T16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0" s="238" t="str">
        <f>IF(AA230&lt;VLOOKUP(AG230,Variables!$AC$3:$AD$8,2,FALSE),"Y","N")</f>
        <v>Y</v>
      </c>
      <c r="X230" s="238">
        <f t="shared" si="97"/>
        <v>1</v>
      </c>
      <c r="Y230" s="238">
        <f t="shared" si="109"/>
        <v>2.3344999999999998</v>
      </c>
      <c r="Z230" s="238">
        <f t="shared" si="110"/>
        <v>1.5800000000000002E-2</v>
      </c>
      <c r="AA230" s="238">
        <f t="shared" si="98"/>
        <v>2.3186999999999998</v>
      </c>
      <c r="AB230" s="242" t="e">
        <f>VLOOKUP(A230,Enforcements!$C$7:$K$9,8,0)</f>
        <v>#N/A</v>
      </c>
      <c r="AC230" s="242" t="e">
        <f>VLOOKUP(A230,Enforcements!$C$7:$E$9,3,0)</f>
        <v>#N/A</v>
      </c>
      <c r="AD230" s="243">
        <f t="shared" si="99"/>
        <v>904</v>
      </c>
      <c r="AE230" s="198" t="str">
        <f t="shared" si="100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230" s="197" t="str">
        <f t="shared" si="101"/>
        <v>"C:\Program Files (x86)\AstroGrep\AstroGrep.exe" /e /r /s /spath="%USERPROFILE%\AppData\Local\Temp\OnboardLogs" /stypes="app*4003*20171208*" /stext=" 22:.+((SYSTEM_STATE.+slice.+state.+changed )|(ment ac)|(multiple cpu faults)|(system.+state.+changed )|(\[timeout)|(PRM\|1\|D)|(kpr)|(kdp)|(train st.+moving)|(\|lc)|(penalty))"</v>
      </c>
      <c r="AG230" s="206" t="str">
        <f t="shared" si="102"/>
        <v>Other</v>
      </c>
      <c r="AH230" s="199" t="str">
        <f t="shared" si="103"/>
        <v>"%USERPROFILE%\Documents\GitHub\eaglep3\Utilities\RefineRTDCRunTimes.py" --tripid 904-08 --locoid 4003 --swversion DE.1.0.9.0 --startMP 300:23345 --initTime 2017-12-08T15:14:14 --startdatetime 2017-12-08T15:18:46 --delay 75 --endMP 204:158 --enddatetime 2017-12-08T15:26:47 --enforcementcount 0 &gt;&gt;%USERPROFILE%\Documents\GitHub\eaglep3-reporting\EC\2017-12-08-refined-times.txt</v>
      </c>
      <c r="AI230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{"issue":{"subject":"","project_id":79,"tracker_id":40,"status_id":1,"priority_id":2,"assigned_to_id":338,"start_date":"2017-12-08","description":"","custom_fields":[{"id":1,"name":"Subdivision","value":"Other"},{"id":4,"name":"Milepost","value":"0.0158"},{"id":17,"name":"Train ID","value":"904-08"},{"id":16,"name":"Locomotive ID","value":"4003"},{"id":130,"name":"Impact","value":""},{"id":150,"name":"Time of Event (Mountain Time)","value":"15:26:47"},{"id":151,"name":"Denver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188"/>
      <c r="AK230" s="196"/>
      <c r="AL230" s="196"/>
      <c r="AM230" s="203" t="str">
        <f t="shared" si="105"/>
        <v>start /low /b %USERPROFILE%\Documents\GitHub\eaglep3\Utilities\DownloadLogsFromS3.py --loco 4003 --day 2017-12-08</v>
      </c>
      <c r="AN230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22:26:47"},{"id":29,"name":"Sharepoint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95" t="str">
        <f t="shared" si="107"/>
        <v>https://d0f6bd738d7f1b3e5a7ca70fe4ff75f0.us-east-1.aws.found.io/app/kibana#/discover/Steve-Slow-Train-Analysis-(2080s-and-2083s)?_g=(refreshInterval:(display:Off,pause:!f,section:0,value:0),time:(from:'2017-12-08T14:14:14-0700',mode:absolute,to:'2017-12-08T16:26:47-0700'))&amp;_a=(columns:!('Message%20ID',Summary),filters:!(),index:'emp_*',interval:auto,query:(query_string:(analyze_wildcard:!t,query:'%22rtdc.l.rtdc.4003%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194" t="s">
        <v>880</v>
      </c>
      <c r="B231" s="190">
        <v>4003</v>
      </c>
      <c r="C231" s="192" t="s">
        <v>191</v>
      </c>
      <c r="D231" s="192" t="s">
        <v>1068</v>
      </c>
      <c r="E231" s="191">
        <v>43077.789699074077</v>
      </c>
      <c r="F231" s="191">
        <v>43077.791168981479</v>
      </c>
      <c r="G231" s="190">
        <v>54</v>
      </c>
      <c r="H231" s="192" t="s">
        <v>1090</v>
      </c>
      <c r="I231" s="191">
        <v>43077.797152777777</v>
      </c>
      <c r="J231" s="190">
        <v>0</v>
      </c>
      <c r="K231" s="200" t="str">
        <f t="shared" si="93"/>
        <v>4003/4004</v>
      </c>
      <c r="L231" s="207" t="str">
        <f>VLOOKUP(A231,'Trips&amp;Operators'!$C$1:$G$99911,5,FALSE)</f>
        <v>LORI SANTOS</v>
      </c>
      <c r="M231" s="189">
        <f t="shared" si="94"/>
        <v>5.9837962980964221E-3</v>
      </c>
      <c r="N231" s="190">
        <f t="shared" si="90"/>
        <v>8.6166666692588478</v>
      </c>
      <c r="O231" s="190"/>
      <c r="P231" s="190"/>
      <c r="Q231" s="193"/>
      <c r="R231" s="205"/>
      <c r="S231" s="235">
        <f t="shared" si="108"/>
        <v>0</v>
      </c>
      <c r="T231" s="236" t="str">
        <f t="shared" si="95"/>
        <v>Southbound</v>
      </c>
      <c r="U231" s="23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37" t="str">
        <f t="shared" si="96"/>
        <v>https://d0f6bd738d7f1b3e5a7ca70fe4ff75f0.us-east-1.aws.found.io/app/kibana#/discover/Steve-Slow-Train-Analysis-(2080s-and-2083s)?_g=(refreshInterval:(display:Off,pause:!f,section:0,value:0),time:(from:'2017-12-08T17:57:10-0700',mode:absolute,to:'2017-12-08T20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1" s="238" t="str">
        <f>IF(AA231&lt;VLOOKUP(AG231,Variables!$AC$3:$AD$8,2,FALSE),"Y","N")</f>
        <v>Y</v>
      </c>
      <c r="X231" s="238">
        <f t="shared" si="97"/>
        <v>2</v>
      </c>
      <c r="Y231" s="238">
        <f t="shared" si="109"/>
        <v>5.8596000000000004</v>
      </c>
      <c r="Z231" s="238">
        <f t="shared" si="110"/>
        <v>2.8753000000000002</v>
      </c>
      <c r="AA231" s="238">
        <f t="shared" si="98"/>
        <v>2.9843000000000002</v>
      </c>
      <c r="AB231" s="242" t="e">
        <f>VLOOKUP(A231,Enforcements!$C$7:$K$9,8,0)</f>
        <v>#N/A</v>
      </c>
      <c r="AC231" s="242" t="e">
        <f>VLOOKUP(A231,Enforcements!$C$7:$E$9,3,0)</f>
        <v>#N/A</v>
      </c>
      <c r="AD231" s="243">
        <f t="shared" si="99"/>
        <v>906</v>
      </c>
      <c r="AE231" s="198" t="str">
        <f t="shared" si="100"/>
        <v>aws s3 cp s3://rtdc.mdm.uploadarchive.raw/RTDC4003/ "%USERPROFILE%\AppData\Local\Temp\OnboardLogs"\RTDC4003\2017-12-08 --exclude "*" --recursive --include "*20171208*" &amp; "%USERPROFILE%\Documents\GitHub\mrs-test-scripts\Headless Mode &amp; Sideloading\WalkAndUnGZ.bat" "%USERPROFILE%\AppData\Local\Temp\OnboardLogs"\RTDC4003\2017-12-08 &amp; aws s3 cp s3://rtdc.mdm.uploadarchive.raw/RTDC4003/ "%USERPROFILE%\AppData\Local\Temp\OnboardLogs"\RTDC4003\2017-12-09 --exclude "*" --recursive --include "*20171209*" &amp; "%USERPROFILE%\Documents\GitHub\mrs-test-scripts\Headless Mode &amp; Sideloading\WalkAndUnGZ.bat" "%USERPROFILE%\AppData\Local\Temp\OnboardLogs"\RTDC4003\2017-12-09</v>
      </c>
      <c r="AF231" s="197" t="str">
        <f t="shared" si="101"/>
        <v>"C:\Program Files (x86)\AstroGrep\AstroGrep.exe" /e /r /s /spath="%USERPROFILE%\AppData\Local\Temp\OnboardLogs" /stypes="app*4003*20171209*" /stext=" 02:.+((SYSTEM_STATE.+slice.+state.+changed )|(ment ac)|(multiple cpu faults)|(system.+state.+changed )|(\[timeout)|(PRM\|1\|D)|(kpr)|(kdp)|(train st.+moving)|(\|lc)|(penalty))"</v>
      </c>
      <c r="AG231" s="206" t="str">
        <f t="shared" si="102"/>
        <v>Other</v>
      </c>
      <c r="AH231" s="199" t="str">
        <f t="shared" si="103"/>
        <v>"%USERPROFILE%\Documents\GitHub\eaglep3\Utilities\RefineRTDCRunTimes.py" --tripid 906-08 --locoid 4003 --swversion DE.1.0.9.0 --startMP 300:58596 --initTime 2017-12-08T18:57:10 --startdatetime 2017-12-08T18:59:17 --delay 54 --endMP 300:28753 --enddatetime 2017-12-08T19:07:54 --enforcementcount 0 &gt;&gt;%USERPROFILE%\Documents\GitHub\eaglep3-reporting\EC\2017-12-08-refined-times.txt</v>
      </c>
      <c r="AI231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{"issue":{"subject":"","project_id":79,"tracker_id":40,"status_id":1,"priority_id":2,"assigned_to_id":338,"start_date":"2017-12-08","description":"","custom_fields":[{"id":1,"name":"Subdivision","value":"Other"},{"id":4,"name":"Milepost","value":"2.8753"},{"id":17,"name":"Train ID","value":"906-08"},{"id":16,"name":"Locomotive ID","value":"4003"},{"id":130,"name":"Impact","value":""},{"id":150,"name":"Time of Event (Mountain Time)","value":"19:07:54"},{"id":151,"name":"Denver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188"/>
      <c r="AK231" s="196"/>
      <c r="AL231" s="196"/>
      <c r="AM231" s="203" t="str">
        <f t="shared" si="105"/>
        <v>start /low /b %USERPROFILE%\Documents\GitHub\eaglep3\Utilities\DownloadLogsFromS3.py --loco 4003 --day 2017-12-08</v>
      </c>
      <c r="AN231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02:07:54"},{"id":29,"name":"Sharepoint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95" t="str">
        <f t="shared" si="107"/>
        <v>https://d0f6bd738d7f1b3e5a7ca70fe4ff75f0.us-east-1.aws.found.io/app/kibana#/discover/Steve-Slow-Train-Analysis-(2080s-and-2083s)?_g=(refreshInterval:(display:Off,pause:!f,section:0,value:0),time:(from:'2017-12-08T17:57:10-0700',mode:absolute,to:'2017-12-08T20:07:54-0700'))&amp;_a=(columns:!('Message%20ID',Summary),filters:!(),index:'emp_*',interval:auto,query:(query_string:(analyze_wildcard:!t,query:'%22rtdc.l.rtdc.4003%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194" t="s">
        <v>910</v>
      </c>
      <c r="B232" s="190">
        <v>4007</v>
      </c>
      <c r="C232" s="192" t="s">
        <v>191</v>
      </c>
      <c r="D232" s="192" t="s">
        <v>1091</v>
      </c>
      <c r="E232" s="191">
        <v>43077.976365740738</v>
      </c>
      <c r="F232" s="191">
        <v>43077.978819444441</v>
      </c>
      <c r="G232" s="190">
        <v>56</v>
      </c>
      <c r="H232" s="192" t="s">
        <v>1092</v>
      </c>
      <c r="I232" s="191">
        <v>43077.990798611114</v>
      </c>
      <c r="J232" s="190">
        <v>0</v>
      </c>
      <c r="K232" s="200" t="str">
        <f t="shared" si="93"/>
        <v>4007/4008</v>
      </c>
      <c r="L232" s="207" t="str">
        <f>VLOOKUP(A232,'Trips&amp;Operators'!$C$1:$G$99911,5,FALSE)</f>
        <v>LORI SANTOS</v>
      </c>
      <c r="M232" s="189">
        <f t="shared" si="94"/>
        <v>1.1979166672972497E-2</v>
      </c>
      <c r="N232" s="190">
        <f t="shared" si="90"/>
        <v>17.250000009080395</v>
      </c>
      <c r="O232" s="190"/>
      <c r="P232" s="190"/>
      <c r="Q232" s="193"/>
      <c r="R232" s="205"/>
      <c r="S232" s="235">
        <f t="shared" si="108"/>
        <v>0</v>
      </c>
      <c r="T232" s="236" t="str">
        <f t="shared" si="95"/>
        <v>Southbound</v>
      </c>
      <c r="U232" s="23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37" t="str">
        <f t="shared" si="96"/>
        <v>https://d0f6bd738d7f1b3e5a7ca70fe4ff75f0.us-east-1.aws.found.io/app/kibana#/discover/Steve-Slow-Train-Analysis-(2080s-and-2083s)?_g=(refreshInterval:(display:Off,pause:!f,section:0,value:0),time:(from:'2017-12-08T22:25:58-0700',mode:absolute,to:'2017-12-09T00:46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238" t="str">
        <f>IF(AA232&lt;VLOOKUP(AG232,Variables!$AC$3:$AD$8,2,FALSE),"Y","N")</f>
        <v>Y</v>
      </c>
      <c r="X232" s="238">
        <f t="shared" si="97"/>
        <v>2</v>
      </c>
      <c r="Y232" s="238">
        <f t="shared" si="109"/>
        <v>5.8630000000000004</v>
      </c>
      <c r="Z232" s="238">
        <f t="shared" si="110"/>
        <v>2.8776000000000002</v>
      </c>
      <c r="AA232" s="238">
        <f t="shared" si="98"/>
        <v>2.9854000000000003</v>
      </c>
      <c r="AB232" s="242" t="e">
        <f>VLOOKUP(A232,Enforcements!$C$7:$K$9,8,0)</f>
        <v>#N/A</v>
      </c>
      <c r="AC232" s="242" t="e">
        <f>VLOOKUP(A232,Enforcements!$C$7:$E$9,3,0)</f>
        <v>#N/A</v>
      </c>
      <c r="AD232" s="243">
        <f t="shared" si="99"/>
        <v>908</v>
      </c>
      <c r="AE232" s="198" t="str">
        <f t="shared" si="100"/>
        <v>aws s3 cp s3://rtdc.mdm.uploadarchive.raw/RTDC4007/ "%USERPROFILE%\AppData\Local\Temp\OnboardLogs"\RTDC4007\2017-12-08 --exclude "*" --recursive --include "*20171208*" &amp; "%USERPROFILE%\Documents\GitHub\mrs-test-scripts\Headless Mode &amp; Sideloading\WalkAndUnGZ.bat" "%USERPROFILE%\AppData\Local\Temp\OnboardLogs"\RTDC4007\2017-12-08 &amp; aws s3 cp s3://rtdc.mdm.uploadarchive.raw/RTDC4007/ "%USERPROFILE%\AppData\Local\Temp\OnboardLogs"\RTDC4007\2017-12-09 --exclude "*" --recursive --include "*20171209*" &amp; "%USERPROFILE%\Documents\GitHub\mrs-test-scripts\Headless Mode &amp; Sideloading\WalkAndUnGZ.bat" "%USERPROFILE%\AppData\Local\Temp\OnboardLogs"\RTDC4007\2017-12-09</v>
      </c>
      <c r="AF232" s="197" t="str">
        <f t="shared" si="101"/>
        <v>"C:\Program Files (x86)\AstroGrep\AstroGrep.exe" /e /r /s /spath="%USERPROFILE%\AppData\Local\Temp\OnboardLogs" /stypes="app*4007*20171209*" /stext=" 06:.+((SYSTEM_STATE.+slice.+state.+changed )|(ment ac)|(multiple cpu faults)|(system.+state.+changed )|(\[timeout)|(PRM\|1\|D)|(kpr)|(kdp)|(train st.+moving)|(\|lc)|(penalty))"</v>
      </c>
      <c r="AG232" s="206" t="str">
        <f t="shared" si="102"/>
        <v>Other</v>
      </c>
      <c r="AH232" s="199" t="str">
        <f t="shared" si="103"/>
        <v>"%USERPROFILE%\Documents\GitHub\eaglep3\Utilities\RefineRTDCRunTimes.py" --tripid 908-08 --locoid 4007 --swversion DE.1.0.9.0 --startMP 300:58630 --initTime 2017-12-08T23:25:58 --startdatetime 2017-12-08T23:29:30 --delay 56 --endMP 300:28776 --enddatetime 2017-12-08T23:46:45 --enforcementcount 0 &gt;&gt;%USERPROFILE%\Documents\GitHub\eaglep3-reporting\EC\2017-12-08-refined-times.txt</v>
      </c>
      <c r="AI232" s="201" t="str">
        <f t="shared" si="104"/>
        <v>echo {"issue":{"subject":"","project_id":79,"tracker_id":40,"status_id":1,"priority_id":2,"assigned_to_id":338,"start_date":"2017-12-08","description":"","custom_fields":[{"id":1,"name":"Subdivision","value":"Other"},{"id":4,"name":"Milepost","value":"2.8776"},{"id":17,"name":"Train ID","value":"908-08"},{"id":16,"name":"Locomotive ID","value":"4007"},{"id":130,"name":"Impact","value":""},{"id":150,"name":"Time of Event (Mountain Time)","value":"23:46:45"},{"id":151,"name":"Denver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188"/>
      <c r="AK232" s="196"/>
      <c r="AL232" s="196"/>
      <c r="AM232" s="203" t="str">
        <f t="shared" si="105"/>
        <v>start /low /b %USERPROFILE%\Documents\GitHub\eaglep3\Utilities\DownloadLogsFromS3.py --loco 4007 --day 2017-12-08</v>
      </c>
      <c r="AN232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06:46:45"},{"id":29,"name":"Sharepoint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95" t="str">
        <f t="shared" si="107"/>
        <v>https://d0f6bd738d7f1b3e5a7ca70fe4ff75f0.us-east-1.aws.found.io/app/kibana#/discover/Steve-Slow-Train-Analysis-(2080s-and-2083s)?_g=(refreshInterval:(display:Off,pause:!f,section:0,value:0),time:(from:'2017-12-08T22:25:58-0700',mode:absolute,to:'2017-12-09T00:46:45-0700'))&amp;_a=(columns:!('Message%20ID',Summary),filters:!(),index:'emp_*',interval:auto,query:(query_string:(analyze_wildcard:!t,query:'%22rtdc.l.rtdc.4007%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188" customFormat="1" x14ac:dyDescent="0.25">
      <c r="A233" s="194" t="s">
        <v>705</v>
      </c>
      <c r="B233" s="190">
        <v>4058</v>
      </c>
      <c r="C233" s="192" t="s">
        <v>191</v>
      </c>
      <c r="D233" s="192" t="s">
        <v>643</v>
      </c>
      <c r="E233" s="191">
        <v>43077.131412037037</v>
      </c>
      <c r="F233" s="191">
        <v>43077.133171296293</v>
      </c>
      <c r="G233" s="190">
        <v>65</v>
      </c>
      <c r="H233" s="192" t="s">
        <v>1029</v>
      </c>
      <c r="I233" s="191">
        <v>43077.144386574073</v>
      </c>
      <c r="J233" s="190">
        <v>0</v>
      </c>
      <c r="K233" s="200" t="str">
        <f t="shared" si="93"/>
        <v>4057/4058</v>
      </c>
      <c r="L233" s="207" t="str">
        <f>VLOOKUP(A233,'Trips&amp;Operators'!$C$1:$G$99911,5,FALSE)</f>
        <v>ROCHA YAOTL</v>
      </c>
      <c r="M233" s="189">
        <f t="shared" si="94"/>
        <v>1.1215277780138422E-2</v>
      </c>
      <c r="N233" s="190">
        <f t="shared" si="90"/>
        <v>16.150000003399327</v>
      </c>
      <c r="O233" s="190"/>
      <c r="P233" s="190"/>
      <c r="Q233" s="193"/>
      <c r="R233" s="205"/>
      <c r="S233" s="235">
        <f t="shared" si="108"/>
        <v>1</v>
      </c>
      <c r="T233" s="236" t="str">
        <f t="shared" si="95"/>
        <v>NorthBound</v>
      </c>
      <c r="U233" s="23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37" t="str">
        <f t="shared" si="96"/>
        <v>https://d0f6bd738d7f1b3e5a7ca70fe4ff75f0.us-east-1.aws.found.io/app/kibana#/discover/Steve-Slow-Train-Analysis-(2080s-and-2083s)?_g=(refreshInterval:(display:Off,pause:!f,section:0,value:0),time:(from:'2017-12-08T02:09:14-0700',mode:absolute,to:'2017-12-08T04:27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3" s="238" t="str">
        <f>IF(AA233&lt;VLOOKUP(AG233,Variables!$AC$3:$AD$8,2,FALSE),"Y","N")</f>
        <v>Y</v>
      </c>
      <c r="X233" s="238">
        <f t="shared" si="97"/>
        <v>-851</v>
      </c>
      <c r="Y233" s="238">
        <f t="shared" si="109"/>
        <v>8.9599999999999999E-2</v>
      </c>
      <c r="Z233" s="238">
        <f t="shared" si="110"/>
        <v>2.3302</v>
      </c>
      <c r="AA233" s="238">
        <f t="shared" si="98"/>
        <v>2.2406000000000001</v>
      </c>
      <c r="AB233" s="242" t="e">
        <f>VLOOKUP(A233,Enforcements!$C$7:$K$9,8,0)</f>
        <v>#N/A</v>
      </c>
      <c r="AC233" s="242" t="e">
        <f>VLOOKUP(A233,Enforcements!$C$7:$E$9,3,0)</f>
        <v>#N/A</v>
      </c>
      <c r="AD233" s="243">
        <f t="shared" si="99"/>
        <v>57</v>
      </c>
      <c r="AE233" s="198" t="str">
        <f t="shared" si="100"/>
        <v>aws s3 cp s3://rtdc.mdm.uploadarchive.raw/RTDC4058/ "%USERPROFILE%\AppData\Local\Temp\OnboardLogs"\RTDC4058\2017-12-08 --exclude "*" --recursive --include "*20171208*" &amp; "%USERPROFILE%\Documents\GitHub\mrs-test-scripts\Headless Mode &amp; Sideloading\WalkAndUnGZ.bat" "%USERPROFILE%\AppData\Local\Temp\OnboardLogs"\RTDC4058\2017-12-08 &amp; aws s3 cp s3://rtdc.mdm.uploadarchive.raw/RTDC4058/ "%USERPROFILE%\AppData\Local\Temp\OnboardLogs"\RTDC4058\2017-12-09 --exclude "*" --recursive --include "*20171209*" &amp; "%USERPROFILE%\Documents\GitHub\mrs-test-scripts\Headless Mode &amp; Sideloading\WalkAndUnGZ.bat" "%USERPROFILE%\AppData\Local\Temp\OnboardLogs"\RTDC4058\2017-12-09</v>
      </c>
      <c r="AF233" s="197" t="str">
        <f t="shared" si="101"/>
        <v>"C:\Program Files (x86)\AstroGrep\AstroGrep.exe" /e /r /s /spath="%USERPROFILE%\AppData\Local\Temp\OnboardLogs" /stypes="app*4058*20171208*" /stext=" 10:.+((SYSTEM_STATE.+slice.+state.+changed )|(ment ac)|(multiple cpu faults)|(system.+state.+changed )|(\[timeout)|(PRM\|1\|D)|(kpr)|(kdp)|(train st.+moving)|(\|lc)|(penalty))"</v>
      </c>
      <c r="AG233" s="206" t="str">
        <f t="shared" si="102"/>
        <v>Shuttle/Test</v>
      </c>
      <c r="AH233" s="199" t="str">
        <f t="shared" si="103"/>
        <v>"%USERPROFILE%\Documents\GitHub\eaglep3\Utilities\RefineRTDCRunTimes.py" --tripid 57-08 --locoid 4058 --swversion DE.1.0.9.0 --startMP 204:896 --initTime 2017-12-08T03:09:14 --startdatetime 2017-12-08T03:11:46 --delay 65 --endMP 300:23302 --enddatetime 2017-12-08T03:27:55 --enforcementcount 0 &gt;&gt;%USERPROFILE%\Documents\GitHub\eaglep3-reporting\EC\2017-12-08-refined-times.txt</v>
      </c>
      <c r="AI233" s="201" t="str">
        <f t="shared" si="104"/>
        <v>echo {"issue":{"subject":"","project_id":79,"tracker_id":40,"status_id":1,"priority_id":2,"assigned_to_id":338,"start_date":"2017-12-08","description":"","custom_fields":[{"id":1,"name":"Subdivision","value":"Shuttle/Test"},{"id":4,"name":"Milepost","value":"2.3302"},{"id":17,"name":"Train ID","value":"57-08"},{"id":16,"name":"Locomotive ID","value":"4058"},{"id":130,"name":"Impact","value":""},{"id":150,"name":"Time of Event (Mountain Time)","value":"03:27:55"},{"id":151,"name":"Denver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196"/>
      <c r="AL233" s="196"/>
      <c r="AM233" s="203" t="str">
        <f t="shared" si="105"/>
        <v>start /low /b %USERPROFILE%\Documents\GitHub\eaglep3\Utilities\DownloadLogsFromS3.py --loco 4058 --day 2017-12-08</v>
      </c>
      <c r="AN233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10:27:55"},{"id":29,"name":"Sharepoint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95" t="str">
        <f t="shared" si="107"/>
        <v>https://d0f6bd738d7f1b3e5a7ca70fe4ff75f0.us-east-1.aws.found.io/app/kibana#/discover/Steve-Slow-Train-Analysis-(2080s-and-2083s)?_g=(refreshInterval:(display:Off,pause:!f,section:0,value:0),time:(from:'2017-12-08T02:09:14-0700',mode:absolute,to:'2017-12-08T04:27:55-0700'))&amp;_a=(columns:!('Message%20ID',Summary),filters:!(),index:'emp_*',interval:auto,query:(query_string:(analyze_wildcard:!t,query:'%22rtdc.l.rtdc.4058%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194" t="s">
        <v>849</v>
      </c>
      <c r="B234" s="190">
        <v>4042</v>
      </c>
      <c r="C234" s="192" t="s">
        <v>191</v>
      </c>
      <c r="D234" s="192" t="s">
        <v>1030</v>
      </c>
      <c r="E234" s="191">
        <v>43077.679212962961</v>
      </c>
      <c r="F234" s="191">
        <v>43077.684479166666</v>
      </c>
      <c r="G234" s="190">
        <v>227</v>
      </c>
      <c r="H234" s="192" t="s">
        <v>1020</v>
      </c>
      <c r="I234" s="191">
        <v>43077.692430555559</v>
      </c>
      <c r="J234" s="190">
        <v>0</v>
      </c>
      <c r="K234" s="200" t="str">
        <f t="shared" si="93"/>
        <v>4041/4042</v>
      </c>
      <c r="L234" s="207" t="str">
        <f>VLOOKUP(A234,'Trips&amp;Operators'!$C$1:$G$99911,5,FALSE)</f>
        <v>STRICKLAND EVAN</v>
      </c>
      <c r="M234" s="189">
        <f t="shared" si="94"/>
        <v>7.9513888922519982E-3</v>
      </c>
      <c r="N234" s="190">
        <f t="shared" si="90"/>
        <v>11.450000004842877</v>
      </c>
      <c r="O234" s="190"/>
      <c r="P234" s="190"/>
      <c r="Q234" s="193"/>
      <c r="R234" s="205"/>
      <c r="S234" s="235">
        <f t="shared" si="108"/>
        <v>1</v>
      </c>
      <c r="T234" s="236" t="str">
        <f t="shared" si="95"/>
        <v>NorthBound</v>
      </c>
      <c r="U234" s="23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37" t="str">
        <f t="shared" si="96"/>
        <v>https://d0f6bd738d7f1b3e5a7ca70fe4ff75f0.us-east-1.aws.found.io/app/kibana#/discover/Steve-Slow-Train-Analysis-(2080s-and-2083s)?_g=(refreshInterval:(display:Off,pause:!f,section:0,value:0),time:(from:'2017-12-08T15:18:04-0700',mode:absolute,to:'2017-12-08T17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238" t="str">
        <f>IF(AA234&lt;VLOOKUP(AG234,Variables!$AC$3:$AD$8,2,FALSE),"Y","N")</f>
        <v>Y</v>
      </c>
      <c r="X234" s="238">
        <f t="shared" si="97"/>
        <v>18</v>
      </c>
      <c r="Y234" s="238">
        <f t="shared" si="109"/>
        <v>0.1492</v>
      </c>
      <c r="Z234" s="238">
        <f t="shared" si="110"/>
        <v>2.3308</v>
      </c>
      <c r="AA234" s="238">
        <f t="shared" si="98"/>
        <v>2.1816</v>
      </c>
      <c r="AB234" s="242" t="e">
        <f>VLOOKUP(A234,Enforcements!$C$7:$K$9,8,0)</f>
        <v>#N/A</v>
      </c>
      <c r="AC234" s="242" t="e">
        <f>VLOOKUP(A234,Enforcements!$C$7:$E$9,3,0)</f>
        <v>#N/A</v>
      </c>
      <c r="AD234" s="243">
        <f t="shared" si="99"/>
        <v>75</v>
      </c>
      <c r="AE234" s="198" t="str">
        <f t="shared" si="100"/>
        <v>aws s3 cp s3://rtdc.mdm.uploadarchive.raw/RTDC4042/ "%USERPROFILE%\AppData\Local\Temp\OnboardLogs"\RTDC4042\2017-12-08 --exclude "*" --recursive --include "*20171208*" &amp; "%USERPROFILE%\Documents\GitHub\mrs-test-scripts\Headless Mode &amp; Sideloading\WalkAndUnGZ.bat" "%USERPROFILE%\AppData\Local\Temp\OnboardLogs"\RTDC4042\2017-12-08 &amp; aws s3 cp s3://rtdc.mdm.uploadarchive.raw/RTDC4042/ "%USERPROFILE%\AppData\Local\Temp\OnboardLogs"\RTDC4042\2017-12-09 --exclude "*" --recursive --include "*20171209*" &amp; "%USERPROFILE%\Documents\GitHub\mrs-test-scripts\Headless Mode &amp; Sideloading\WalkAndUnGZ.bat" "%USERPROFILE%\AppData\Local\Temp\OnboardLogs"\RTDC4042\2017-12-09</v>
      </c>
      <c r="AF234" s="197" t="str">
        <f t="shared" si="101"/>
        <v>"C:\Program Files (x86)\AstroGrep\AstroGrep.exe" /e /r /s /spath="%USERPROFILE%\AppData\Local\Temp\OnboardLogs" /stypes="app*4042*20171208*" /stext=" 23:.+((SYSTEM_STATE.+slice.+state.+changed )|(ment ac)|(multiple cpu faults)|(system.+state.+changed )|(\[timeout)|(PRM\|1\|D)|(kpr)|(kdp)|(train st.+moving)|(\|lc)|(penalty))"</v>
      </c>
      <c r="AG234" s="206" t="str">
        <f t="shared" si="102"/>
        <v>Shuttle/Test</v>
      </c>
      <c r="AH234" s="199" t="str">
        <f t="shared" si="103"/>
        <v>"%USERPROFILE%\Documents\GitHub\eaglep3\Utilities\RefineRTDCRunTimes.py" --tripid 75-08 --locoid 4042 --swversion DE.1.0.9.0 --startMP 204:1492 --initTime 2017-12-08T16:18:04 --startdatetime 2017-12-08T16:25:39 --delay 227 --endMP 300:23308 --enddatetime 2017-12-08T16:37:06 --enforcementcount 0 &gt;&gt;%USERPROFILE%\Documents\GitHub\eaglep3-reporting\EC\2017-12-08-refined-times.txt</v>
      </c>
      <c r="AI234" s="201" t="str">
        <f t="shared" si="104"/>
        <v>echo {"issue":{"subject":"","project_id":79,"tracker_id":40,"status_id":1,"priority_id":2,"assigned_to_id":338,"start_date":"2017-12-08","description":"","custom_fields":[{"id":1,"name":"Subdivision","value":"Shuttle/Test"},{"id":4,"name":"Milepost","value":"2.3308"},{"id":17,"name":"Train ID","value":"75-08"},{"id":16,"name":"Locomotive ID","value":"4042"},{"id":130,"name":"Impact","value":""},{"id":150,"name":"Time of Event (Mountain Time)","value":"16:37:06"},{"id":151,"name":"Denver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188"/>
      <c r="AK234" s="196"/>
      <c r="AL234" s="196"/>
      <c r="AM234" s="203" t="str">
        <f t="shared" si="105"/>
        <v>start /low /b %USERPROFILE%\Documents\GitHub\eaglep3\Utilities\DownloadLogsFromS3.py --loco 4042 --day 2017-12-08</v>
      </c>
      <c r="AN234" s="204" t="str">
        <f t="shared" si="106"/>
        <v>echo {"issue":{"subject":"","project_id":30,"tracker_id":4,"status_id":1,"priority_id":1,"assigned_to_id":10,"start_date":"2017-12-08","description":"","custom_fields":[{"id":30,"name":"Category","value":"Issue"},{"id":3,"name":"Functional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UTC","value":"2017-12-08 23:37:06"},{"id":29,"name":"Sharepoint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95" t="str">
        <f t="shared" si="107"/>
        <v>https://d0f6bd738d7f1b3e5a7ca70fe4ff75f0.us-east-1.aws.found.io/app/kibana#/discover/Steve-Slow-Train-Analysis-(2080s-and-2083s)?_g=(refreshInterval:(display:Off,pause:!f,section:0,value:0),time:(from:'2017-12-08T15:18:04-0700',mode:absolute,to:'2017-12-08T17:37:06-0700'))&amp;_a=(columns:!('Message%20ID',Summary),filters:!(),index:'emp_*',interval:auto,query:(query_string:(analyze_wildcard:!t,query:'%22rtdc.l.rtdc.4042%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194" t="s">
        <v>861</v>
      </c>
      <c r="B235" s="190">
        <v>4034</v>
      </c>
      <c r="C235" s="192" t="s">
        <v>191</v>
      </c>
      <c r="D235" s="192" t="s">
        <v>1031</v>
      </c>
      <c r="E235" s="191">
        <v>43077.720601851855</v>
      </c>
      <c r="F235" s="191">
        <v>43077.72619212963</v>
      </c>
      <c r="G235" s="190">
        <v>143</v>
      </c>
      <c r="H235" s="192" t="s">
        <v>1032</v>
      </c>
      <c r="I235" s="191">
        <v>43077.733506944445</v>
      </c>
      <c r="J235" s="190">
        <v>0</v>
      </c>
      <c r="K235" s="200" t="str">
        <f t="shared" si="93"/>
        <v>4033/4034</v>
      </c>
      <c r="L235" s="207" t="str">
        <f>VLOOKUP(A235,'Trips&amp;Operators'!$C$1:$G$99911,5,FALSE)</f>
        <v>ROBINSON KADDIBA</v>
      </c>
      <c r="M235" s="189">
        <f t="shared" si="94"/>
        <v>7.3148148148902692E-3</v>
      </c>
      <c r="N235" s="190">
        <f t="shared" si="90"/>
        <v>10.533333333441988</v>
      </c>
      <c r="O235" s="190"/>
      <c r="P235" s="190"/>
      <c r="Q235" s="193"/>
      <c r="R235" s="205"/>
      <c r="S235" s="235">
        <f t="shared" si="108"/>
        <v>1</v>
      </c>
      <c r="T235" s="236" t="str">
        <f t="shared" si="95"/>
        <v>NorthBound</v>
      </c>
      <c r="U235" s="23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37" t="str">
        <f t="shared" si="96"/>
        <v>https://d0f6bd738d7f1b3e5a7ca70fe4ff75f0.us-east-1.aws.found.io/app/kibana#/discover/Steve-Slow-Train-Analysis-(2080s-and-2083s)?_g=(refreshInterval:(display:Off,pause:!f,section:0,value:0),time:(from:'2017-12-08T16:17:40-0700',mode:absolute,to:'2017-12-08T18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5" s="238" t="str">
        <f>IF(AA235&lt;VLOOKUP(AG235,Variables!$AC$3:$AD$8,2,FALSE),"Y","N")</f>
        <v>Y</v>
      </c>
      <c r="X235" s="238">
        <f t="shared" si="97"/>
        <v>2</v>
      </c>
      <c r="Y235" s="238">
        <f t="shared" si="109"/>
        <v>0.11559999999999999</v>
      </c>
      <c r="Z235" s="238">
        <f t="shared" si="110"/>
        <v>2.3313999999999999</v>
      </c>
      <c r="AA235" s="238">
        <f t="shared" si="98"/>
        <v>2.2157999999999998</v>
      </c>
      <c r="AB235" s="242" t="e">
        <f>VLOOKUP(A235,Enforcements!$C$7:$K$9,8,0)</f>
        <v>#N/A</v>
      </c>
      <c r="AC235" s="242" t="e">
        <f>VLOOKUP(A235,Enforcements!$C$7:$E$9,3,0)</f>
        <v>#N/A</v>
      </c>
      <c r="AD235" s="243">
        <f t="shared" si="99"/>
        <v>77</v>
      </c>
      <c r="AE235" s="198" t="str">
        <f t="shared" si="100"/>
        <v>aws s3 cp s3://rtdc.mdm.uploadarchive.raw/RTDC4034/ "%USERPROFILE%\AppData\Local\Temp\OnboardLogs"\RTDC4034\2017-12-08 --exclude "*" --recursive --include "*20171208*" &amp; "%USERPROFILE%\Documents\GitHub\mrs-test-scripts\Headless Mode &amp; Sideloading\WalkAndUnGZ.bat" "%USERPROFILE%\AppData\Local\Temp\OnboardLogs"\RTDC4034\2017-12-08 &amp; aws s3 cp s3://rtdc.mdm.uploadarchive.raw/RTDC4034/ "%USERPROFILE%\AppData\Local\Temp\OnboardLogs"\RTDC4034\2017-12-09 --exclude "*" --recursive --include "*20171209*" &amp; "%USERPROFILE%\Documents\GitHub\mrs-test-scripts\Headless Mode &amp; Sideloading\WalkAndUnGZ.bat" "%USERPROFILE%\AppData\Local\Temp\OnboardLogs"\RTDC4034\2017-12-09</v>
      </c>
      <c r="AF235" s="197" t="str">
        <f t="shared" si="101"/>
        <v>"C:\Program Files (x86)\AstroGrep\AstroGrep.exe" /e /r /s /spath="%USERPROFILE%\AppData\Local\Temp\OnboardLogs" /stypes="app*4034*20171209*" /stext=" 00:.+((SYSTEM_STATE.+slice.+state.+changed )|(ment ac)|(multiple cpu faults)|(system.+state.+changed )|(\[timeout)|(PRM\|1\|D)|(kpr)|(kdp)|(train st.+moving)|(\|lc)|(penalty))"</v>
      </c>
      <c r="AG235" s="206" t="str">
        <f t="shared" si="102"/>
        <v>Shuttle/Test</v>
      </c>
      <c r="AH235" s="199" t="str">
        <f t="shared" si="103"/>
        <v>"%USERPROFILE%\Documents\GitHub\eaglep3\Utilities\RefineRTDCRunTimes.py" --tripid 77-08 --locoid 4034 --swversion DE.1.0.9.0 --startMP 204:1156 --initTime 2017-12-08T17:17:40 --startdatetime 2017-12-08T17:25:43 --delay 143 --endMP 300:23314 --enddatetime 2017-12-08T17:36:15 --enforcementcount 0 &gt;&gt;%USERPROFILE%\Documents\GitHub\eaglep3-reporting\EC\2017-12-08-refined-times.txt</v>
      </c>
      <c r="AI235" s="201" t="str">
        <f t="shared" si="104"/>
        <v>echo {"issue":{"subject":"","project_id":79,"tracker_id":40,"status_id":1,"priority_id":2,"assigned_to_id":338,"start_date":"2017-12-08","description":"","custom_fields":[{"id":1,"name":"Subdivision","value":"Shuttle/Test"},{"id":4,"name":"Milepost","value":"2.3314"},{"id":17,"name":"Train ID","value":"77-08"},{"id":16,"name":"Locomotive ID","value":"4034"},{"id":130,"name":"Impact","value":""},{"id":150,"name":"Time of Event (Mountain Time)","value":"17:36:15"},{"id":151,"name":"Denver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188"/>
      <c r="AK235" s="196"/>
      <c r="AL235" s="196"/>
      <c r="AM235" s="203" t="str">
        <f t="shared" si="105"/>
        <v>start /low /b %USERPROFILE%\Documents\GitHub\eaglep3\Utilities\DownloadLogsFromS3.py --loco 4034 --day 2017-12-08</v>
      </c>
      <c r="AN235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95" t="str">
        <f t="shared" si="107"/>
        <v>https://d0f6bd738d7f1b3e5a7ca70fe4ff75f0.us-east-1.aws.found.io/app/kibana#/discover/Steve-Slow-Train-Analysis-(2080s-and-2083s)?_g=(refreshInterval:(display:Off,pause:!f,section:0,value:0),time:(from:'2017-12-08T16:17:40-0700',mode:absolute,to:'2017-12-08T18:36:15-0700'))&amp;_a=(columns:!('Message%20ID',Summary),filters:!(),index:'emp_*',interval:auto,query:(query_string:(analyze_wildcard:!t,query:'%22rtdc.l.rtdc.4034%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194" t="s">
        <v>870</v>
      </c>
      <c r="B236" s="190">
        <v>4043</v>
      </c>
      <c r="C236" s="192" t="s">
        <v>191</v>
      </c>
      <c r="D236" s="192" t="s">
        <v>1084</v>
      </c>
      <c r="E236" s="191">
        <v>43077.752986111111</v>
      </c>
      <c r="F236" s="191">
        <v>43077.757800925923</v>
      </c>
      <c r="G236" s="190">
        <v>59</v>
      </c>
      <c r="H236" s="192" t="s">
        <v>1085</v>
      </c>
      <c r="I236" s="191">
        <v>43077.764502314814</v>
      </c>
      <c r="J236" s="190">
        <v>0</v>
      </c>
      <c r="K236" s="200" t="str">
        <f t="shared" si="93"/>
        <v>4043/4044</v>
      </c>
      <c r="L236" s="207" t="str">
        <f>VLOOKUP(A236,'Trips&amp;Operators'!$C$1:$G$99911,5,FALSE)</f>
        <v>MCREYNOLDS KYLE</v>
      </c>
      <c r="M236" s="189">
        <f t="shared" si="94"/>
        <v>6.701388891087845E-3</v>
      </c>
      <c r="N236" s="190">
        <f t="shared" si="90"/>
        <v>9.6500000031664968</v>
      </c>
      <c r="O236" s="190"/>
      <c r="P236" s="190"/>
      <c r="Q236" s="193"/>
      <c r="R236" s="205"/>
      <c r="S236" s="235">
        <f t="shared" si="108"/>
        <v>1</v>
      </c>
      <c r="T236" s="236" t="str">
        <f t="shared" si="95"/>
        <v>Southbound</v>
      </c>
      <c r="U236" s="23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37" t="str">
        <f t="shared" si="96"/>
        <v>https://d0f6bd738d7f1b3e5a7ca70fe4ff75f0.us-east-1.aws.found.io/app/kibana#/discover/Steve-Slow-Train-Analysis-(2080s-and-2083s)?_g=(refreshInterval:(display:Off,pause:!f,section:0,value:0),time:(from:'2017-12-08T17:04:18-0700',mode:absolute,to:'2017-12-08T19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6" s="238" t="str">
        <f>IF(AA236&lt;VLOOKUP(AG236,Variables!$AC$3:$AD$8,2,FALSE),"Y","N")</f>
        <v>Y</v>
      </c>
      <c r="X236" s="238">
        <f t="shared" si="97"/>
        <v>11</v>
      </c>
      <c r="Y236" s="238">
        <f t="shared" si="109"/>
        <v>2.2301000000000002</v>
      </c>
      <c r="Z236" s="238">
        <f t="shared" si="110"/>
        <v>9.9400000000000002E-2</v>
      </c>
      <c r="AA236" s="238">
        <f t="shared" si="98"/>
        <v>2.1307</v>
      </c>
      <c r="AB236" s="242" t="e">
        <f>VLOOKUP(A236,Enforcements!$C$7:$K$9,8,0)</f>
        <v>#N/A</v>
      </c>
      <c r="AC236" s="242" t="e">
        <f>VLOOKUP(A236,Enforcements!$C$7:$E$9,3,0)</f>
        <v>#N/A</v>
      </c>
      <c r="AD236" s="243">
        <f t="shared" si="99"/>
        <v>88</v>
      </c>
      <c r="AE236" s="198" t="str">
        <f t="shared" si="100"/>
        <v>aws s3 cp s3://rtdc.mdm.uploadarchive.raw/RTDC4043/ "%USERPROFILE%\AppData\Local\Temp\OnboardLogs"\RTDC4043\2017-12-08 --exclude "*" --recursive --include "*20171208*" &amp; "%USERPROFILE%\Documents\GitHub\mrs-test-scripts\Headless Mode &amp; Sideloading\WalkAndUnGZ.bat" "%USERPROFILE%\AppData\Local\Temp\OnboardLogs"\RTDC4043\2017-12-08 &amp; aws s3 cp s3://rtdc.mdm.uploadarchive.raw/RTDC4043/ "%USERPROFILE%\AppData\Local\Temp\OnboardLogs"\RTDC4043\2017-12-09 --exclude "*" --recursive --include "*20171209*" &amp; "%USERPROFILE%\Documents\GitHub\mrs-test-scripts\Headless Mode &amp; Sideloading\WalkAndUnGZ.bat" "%USERPROFILE%\AppData\Local\Temp\OnboardLogs"\RTDC4043\2017-12-09</v>
      </c>
      <c r="AF236" s="197" t="str">
        <f t="shared" si="101"/>
        <v>"C:\Program Files (x86)\AstroGrep\AstroGrep.exe" /e /r /s /spath="%USERPROFILE%\AppData\Local\Temp\OnboardLogs" /stypes="app*4043*20171209*" /stext=" 01:.+((SYSTEM_STATE.+slice.+state.+changed )|(ment ac)|(multiple cpu faults)|(system.+state.+changed )|(\[timeout)|(PRM\|1\|D)|(kpr)|(kdp)|(train st.+moving)|(\|lc)|(penalty))"</v>
      </c>
      <c r="AG236" s="206" t="str">
        <f t="shared" si="102"/>
        <v>Shuttle/Test</v>
      </c>
      <c r="AH236" s="199" t="str">
        <f t="shared" si="103"/>
        <v>"%USERPROFILE%\Documents\GitHub\eaglep3\Utilities\RefineRTDCRunTimes.py" --tripid 88-08 --locoid 4043 --swversion DE.1.0.9.0 --startMP 300:22301 --initTime 2017-12-08T18:04:18 --startdatetime 2017-12-08T18:11:14 --delay 59 --endMP 204:994 --enddatetime 2017-12-08T18:20:53 --enforcementcount 0 &gt;&gt;%USERPROFILE%\Documents\GitHub\eaglep3-reporting\EC\2017-12-08-refined-times.txt</v>
      </c>
      <c r="AI236" s="201" t="str">
        <f t="shared" si="104"/>
        <v>echo {"issue":{"subject":"","project_id":79,"tracker_id":40,"status_id":1,"priority_id":2,"assigned_to_id":338,"start_date":"2017-12-08","description":"","custom_fields":[{"id":1,"name":"Subdivision","value":"Shuttle/Test"},{"id":4,"name":"Milepost","value":"0.0994"},{"id":17,"name":"Train ID","value":"88-08"},{"id":16,"name":"Locomotive ID","value":"4043"},{"id":130,"name":"Impact","value":""},{"id":150,"name":"Time of Event (Mountain Time)","value":"18:20:53"},{"id":151,"name":"Denver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188"/>
      <c r="AK236" s="196"/>
      <c r="AL236" s="196"/>
      <c r="AM236" s="203" t="str">
        <f t="shared" si="105"/>
        <v>start /low /b %USERPROFILE%\Documents\GitHub\eaglep3\Utilities\DownloadLogsFromS3.py --loco 4043 --day 2017-12-08</v>
      </c>
      <c r="AN236" s="204" t="str">
        <f t="shared" si="106"/>
        <v>echo {"issue":{"subject":"","project_id":30,"tracker_id":4,"status_id":1,"priority_id":1,"assigned_to_id":10,"start_date":"2017-12-09","description":"","custom_fields":[{"id":30,"name":"Category","value":"Issue"},{"id":3,"name":"Functional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UTC","value":"2017-12-09 01:20:53"},{"id":29,"name":"Sharepoint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95" t="str">
        <f t="shared" si="107"/>
        <v>https://d0f6bd738d7f1b3e5a7ca70fe4ff75f0.us-east-1.aws.found.io/app/kibana#/discover/Steve-Slow-Train-Analysis-(2080s-and-2083s)?_g=(refreshInterval:(display:Off,pause:!f,section:0,value:0),time:(from:'2017-12-08T17:04:18-0700',mode:absolute,to:'2017-12-08T19:20:53-0700'))&amp;_a=(columns:!('Message%20ID',Summary),filters:!(),index:'emp_*',interval:auto,query:(query_string:(analyze_wildcard:!t,query:'%22rtdc.l.rtdc.4043%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188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213"/>
      <c r="T238" s="213"/>
      <c r="U238" s="213"/>
      <c r="V238" s="213"/>
      <c r="W238" s="213"/>
      <c r="X238" s="213"/>
      <c r="Y238" s="213"/>
      <c r="Z238" s="213"/>
      <c r="AA238" s="213"/>
      <c r="AB238" s="213"/>
      <c r="AC238" s="213"/>
      <c r="AD238" s="213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213"/>
      <c r="T239" s="213"/>
      <c r="U239" s="213"/>
      <c r="V239" s="213"/>
      <c r="W239" s="213"/>
      <c r="X239" s="213"/>
      <c r="Y239" s="213"/>
      <c r="Z239" s="213"/>
      <c r="AA239" s="213"/>
      <c r="AB239" s="213"/>
      <c r="AC239" s="213"/>
      <c r="AD239" s="213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213"/>
      <c r="T240" s="213"/>
      <c r="U240" s="213"/>
      <c r="V240" s="213"/>
      <c r="W240" s="213"/>
      <c r="X240" s="213"/>
      <c r="Y240" s="213"/>
      <c r="Z240" s="213"/>
      <c r="AA240" s="213"/>
      <c r="AB240" s="213"/>
      <c r="AC240" s="213"/>
      <c r="AD240" s="213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213"/>
      <c r="T241" s="213"/>
      <c r="U241" s="213"/>
      <c r="V241" s="213"/>
      <c r="W241" s="213"/>
      <c r="X241" s="213"/>
      <c r="Y241" s="213"/>
      <c r="Z241" s="213"/>
      <c r="AA241" s="213"/>
      <c r="AB241" s="213"/>
      <c r="AC241" s="213"/>
      <c r="AD241" s="213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188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213"/>
      <c r="T242" s="213"/>
      <c r="U242" s="213"/>
      <c r="V242" s="213"/>
      <c r="W242" s="213"/>
      <c r="X242" s="213"/>
      <c r="Y242" s="213"/>
      <c r="Z242" s="213"/>
      <c r="AA242" s="213"/>
      <c r="AB242" s="213"/>
      <c r="AC242" s="213"/>
      <c r="AD242" s="213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213"/>
      <c r="T244" s="213"/>
      <c r="U244" s="213"/>
      <c r="V244" s="213"/>
      <c r="W244" s="213"/>
      <c r="X244" s="213"/>
      <c r="Y244" s="213"/>
      <c r="Z244" s="213"/>
      <c r="AA244" s="213"/>
      <c r="AB244" s="213"/>
      <c r="AC244" s="213"/>
      <c r="AD244" s="213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213"/>
      <c r="T245" s="213"/>
      <c r="U245" s="213"/>
      <c r="V245" s="213"/>
      <c r="W245" s="213"/>
      <c r="X245" s="213"/>
      <c r="Y245" s="213"/>
      <c r="Z245" s="213"/>
      <c r="AA245" s="213"/>
      <c r="AB245" s="213"/>
      <c r="AC245" s="213"/>
      <c r="AD245" s="213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213"/>
      <c r="T246" s="213"/>
      <c r="U246" s="213"/>
      <c r="V246" s="213"/>
      <c r="W246" s="213"/>
      <c r="X246" s="213"/>
      <c r="Y246" s="213"/>
      <c r="Z246" s="213"/>
      <c r="AA246" s="213"/>
      <c r="AB246" s="213"/>
      <c r="AC246" s="213"/>
      <c r="AD246" s="213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213"/>
      <c r="T247" s="213"/>
      <c r="U247" s="213"/>
      <c r="V247" s="213"/>
      <c r="W247" s="213"/>
      <c r="X247" s="213"/>
      <c r="Y247" s="213"/>
      <c r="Z247" s="213"/>
      <c r="AA247" s="213"/>
      <c r="AB247" s="213"/>
      <c r="AC247" s="213"/>
      <c r="AD247" s="213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213"/>
      <c r="T248" s="213"/>
      <c r="U248" s="213"/>
      <c r="V248" s="213"/>
      <c r="W248" s="213"/>
      <c r="X248" s="213"/>
      <c r="Y248" s="213"/>
      <c r="Z248" s="213"/>
      <c r="AA248" s="213"/>
      <c r="AB248" s="213"/>
      <c r="AC248" s="213"/>
      <c r="AD248" s="213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213"/>
      <c r="T250" s="213"/>
      <c r="U250" s="213"/>
      <c r="V250" s="213"/>
      <c r="W250" s="213"/>
      <c r="X250" s="213"/>
      <c r="Y250" s="213"/>
      <c r="Z250" s="213"/>
      <c r="AA250" s="213"/>
      <c r="AB250" s="213"/>
      <c r="AC250" s="213"/>
      <c r="AD250" s="213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213"/>
      <c r="T251" s="213"/>
      <c r="U251" s="213"/>
      <c r="V251" s="213"/>
      <c r="W251" s="213"/>
      <c r="X251" s="213"/>
      <c r="Y251" s="213"/>
      <c r="Z251" s="213"/>
      <c r="AA251" s="213"/>
      <c r="AB251" s="213"/>
      <c r="AC251" s="213"/>
      <c r="AD251" s="213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188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213"/>
      <c r="T252" s="213"/>
      <c r="U252" s="213"/>
      <c r="V252" s="213"/>
      <c r="W252" s="213"/>
      <c r="X252" s="213"/>
      <c r="Y252" s="213"/>
      <c r="Z252" s="213"/>
      <c r="AA252" s="213"/>
      <c r="AB252" s="213"/>
      <c r="AC252" s="213"/>
      <c r="AD252" s="213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213"/>
      <c r="T253" s="213"/>
      <c r="U253" s="213"/>
      <c r="V253" s="213"/>
      <c r="W253" s="213"/>
      <c r="X253" s="213"/>
      <c r="Y253" s="213"/>
      <c r="Z253" s="213"/>
      <c r="AA253" s="213"/>
      <c r="AB253" s="213"/>
      <c r="AC253" s="213"/>
      <c r="AD253" s="21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213"/>
      <c r="T254" s="213"/>
      <c r="U254" s="213"/>
      <c r="V254" s="213"/>
      <c r="W254" s="213"/>
      <c r="X254" s="213"/>
      <c r="Y254" s="213"/>
      <c r="Z254" s="213"/>
      <c r="AA254" s="213"/>
      <c r="AB254" s="213"/>
      <c r="AC254" s="213"/>
      <c r="AD254" s="213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213"/>
      <c r="T255" s="213"/>
      <c r="U255" s="213"/>
      <c r="V255" s="213"/>
      <c r="W255" s="213"/>
      <c r="X255" s="213"/>
      <c r="Y255" s="213"/>
      <c r="Z255" s="213"/>
      <c r="AA255" s="213"/>
      <c r="AB255" s="213"/>
      <c r="AC255" s="213"/>
      <c r="AD255" s="213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213"/>
      <c r="T256" s="213"/>
      <c r="U256" s="213"/>
      <c r="V256" s="213"/>
      <c r="W256" s="213"/>
      <c r="X256" s="213"/>
      <c r="Y256" s="213"/>
      <c r="Z256" s="213"/>
      <c r="AA256" s="213"/>
      <c r="AB256" s="213"/>
      <c r="AC256" s="213"/>
      <c r="AD256" s="213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188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213"/>
      <c r="T258" s="213"/>
      <c r="U258" s="213"/>
      <c r="V258" s="213"/>
      <c r="W258" s="213"/>
      <c r="X258" s="213"/>
      <c r="Y258" s="213"/>
      <c r="Z258" s="213"/>
      <c r="AA258" s="213"/>
      <c r="AB258" s="213"/>
      <c r="AC258" s="213"/>
      <c r="AD258" s="213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213"/>
      <c r="T259" s="213"/>
      <c r="U259" s="213"/>
      <c r="V259" s="213"/>
      <c r="W259" s="213"/>
      <c r="X259" s="213"/>
      <c r="Y259" s="213"/>
      <c r="Z259" s="213"/>
      <c r="AA259" s="213"/>
      <c r="AB259" s="213"/>
      <c r="AC259" s="213"/>
      <c r="AD259" s="213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213"/>
      <c r="T260" s="213"/>
      <c r="U260" s="213"/>
      <c r="V260" s="213"/>
      <c r="W260" s="213"/>
      <c r="X260" s="213"/>
      <c r="Y260" s="213"/>
      <c r="Z260" s="213"/>
      <c r="AA260" s="213"/>
      <c r="AB260" s="213"/>
      <c r="AC260" s="213"/>
      <c r="AD260" s="213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213"/>
      <c r="T261" s="213"/>
      <c r="U261" s="213"/>
      <c r="V261" s="213"/>
      <c r="W261" s="213"/>
      <c r="X261" s="213"/>
      <c r="Y261" s="213"/>
      <c r="Z261" s="213"/>
      <c r="AA261" s="213"/>
      <c r="AB261" s="213"/>
      <c r="AC261" s="213"/>
      <c r="AD261" s="213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213"/>
      <c r="T262" s="213"/>
      <c r="U262" s="213"/>
      <c r="V262" s="213"/>
      <c r="W262" s="213"/>
      <c r="X262" s="213"/>
      <c r="Y262" s="213"/>
      <c r="Z262" s="213"/>
      <c r="AA262" s="213"/>
      <c r="AB262" s="213"/>
      <c r="AC262" s="213"/>
      <c r="AD262" s="213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213"/>
      <c r="T263" s="213"/>
      <c r="U263" s="213"/>
      <c r="V263" s="213"/>
      <c r="W263" s="213"/>
      <c r="X263" s="213"/>
      <c r="Y263" s="213"/>
      <c r="Z263" s="213"/>
      <c r="AA263" s="213"/>
      <c r="AB263" s="213"/>
      <c r="AC263" s="213"/>
      <c r="AD263" s="21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213"/>
      <c r="T264" s="213"/>
      <c r="U264" s="213"/>
      <c r="V264" s="213"/>
      <c r="W264" s="213"/>
      <c r="X264" s="213"/>
      <c r="Y264" s="213"/>
      <c r="Z264" s="213"/>
      <c r="AA264" s="213"/>
      <c r="AB264" s="213"/>
      <c r="AC264" s="213"/>
      <c r="AD264" s="213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213"/>
      <c r="T266" s="213"/>
      <c r="U266" s="213"/>
      <c r="V266" s="213"/>
      <c r="W266" s="213"/>
      <c r="X266" s="213"/>
      <c r="Y266" s="213"/>
      <c r="Z266" s="213"/>
      <c r="AA266" s="213"/>
      <c r="AB266" s="213"/>
      <c r="AC266" s="213"/>
      <c r="AD266" s="213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213"/>
      <c r="T267" s="213"/>
      <c r="U267" s="213"/>
      <c r="V267" s="213"/>
      <c r="W267" s="213"/>
      <c r="X267" s="213"/>
      <c r="Y267" s="213"/>
      <c r="Z267" s="213"/>
      <c r="AA267" s="213"/>
      <c r="AB267" s="213"/>
      <c r="AC267" s="213"/>
      <c r="AD267" s="213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213"/>
      <c r="T268" s="213"/>
      <c r="U268" s="213"/>
      <c r="V268" s="213"/>
      <c r="W268" s="213"/>
      <c r="X268" s="213"/>
      <c r="Y268" s="213"/>
      <c r="Z268" s="213"/>
      <c r="AA268" s="213"/>
      <c r="AB268" s="213"/>
      <c r="AC268" s="213"/>
      <c r="AD268" s="213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213"/>
      <c r="T270" s="213"/>
      <c r="U270" s="213"/>
      <c r="V270" s="213"/>
      <c r="W270" s="213"/>
      <c r="X270" s="213"/>
      <c r="Y270" s="213"/>
      <c r="Z270" s="213"/>
      <c r="AA270" s="213"/>
      <c r="AB270" s="213"/>
      <c r="AC270" s="213"/>
      <c r="AD270" s="213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213"/>
      <c r="T271" s="213"/>
      <c r="U271" s="213"/>
      <c r="V271" s="213"/>
      <c r="W271" s="213"/>
      <c r="X271" s="213"/>
      <c r="Y271" s="213"/>
      <c r="Z271" s="213"/>
      <c r="AA271" s="213"/>
      <c r="AB271" s="213"/>
      <c r="AC271" s="213"/>
      <c r="AD271" s="213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213"/>
      <c r="T272" s="213"/>
      <c r="U272" s="213"/>
      <c r="V272" s="213"/>
      <c r="W272" s="213"/>
      <c r="X272" s="213"/>
      <c r="Y272" s="213"/>
      <c r="Z272" s="213"/>
      <c r="AA272" s="213"/>
      <c r="AB272" s="213"/>
      <c r="AC272" s="213"/>
      <c r="AD272" s="213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213"/>
      <c r="T273" s="213"/>
      <c r="U273" s="213"/>
      <c r="V273" s="213"/>
      <c r="W273" s="213"/>
      <c r="X273" s="213"/>
      <c r="Y273" s="213"/>
      <c r="Z273" s="213"/>
      <c r="AA273" s="213"/>
      <c r="AB273" s="213"/>
      <c r="AC273" s="213"/>
      <c r="AD273" s="21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213"/>
      <c r="T274" s="213"/>
      <c r="U274" s="213"/>
      <c r="V274" s="213"/>
      <c r="W274" s="213"/>
      <c r="X274" s="213"/>
      <c r="Y274" s="213"/>
      <c r="Z274" s="213"/>
      <c r="AA274" s="213"/>
      <c r="AB274" s="213"/>
      <c r="AC274" s="213"/>
      <c r="AD274" s="213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213"/>
      <c r="T275" s="213"/>
      <c r="U275" s="213"/>
      <c r="V275" s="213"/>
      <c r="W275" s="213"/>
      <c r="X275" s="213"/>
      <c r="Y275" s="213"/>
      <c r="Z275" s="213"/>
      <c r="AA275" s="213"/>
      <c r="AB275" s="213"/>
      <c r="AC275" s="213"/>
      <c r="AD275" s="213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213"/>
      <c r="T276" s="213"/>
      <c r="U276" s="213"/>
      <c r="V276" s="213"/>
      <c r="W276" s="213"/>
      <c r="X276" s="213"/>
      <c r="Y276" s="213"/>
      <c r="Z276" s="213"/>
      <c r="AA276" s="213"/>
      <c r="AB276" s="213"/>
      <c r="AC276" s="213"/>
      <c r="AD276" s="213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213"/>
      <c r="T277" s="213"/>
      <c r="U277" s="213"/>
      <c r="V277" s="213"/>
      <c r="W277" s="213"/>
      <c r="X277" s="213"/>
      <c r="Y277" s="213"/>
      <c r="Z277" s="213"/>
      <c r="AA277" s="213"/>
      <c r="AB277" s="213"/>
      <c r="AC277" s="213"/>
      <c r="AD277" s="213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213"/>
      <c r="T278" s="213"/>
      <c r="U278" s="213"/>
      <c r="V278" s="213"/>
      <c r="W278" s="213"/>
      <c r="X278" s="213"/>
      <c r="Y278" s="213"/>
      <c r="Z278" s="213"/>
      <c r="AA278" s="213"/>
      <c r="AB278" s="213"/>
      <c r="AC278" s="213"/>
      <c r="AD278" s="213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213"/>
      <c r="T279" s="213"/>
      <c r="U279" s="213"/>
      <c r="V279" s="213"/>
      <c r="W279" s="213"/>
      <c r="X279" s="213"/>
      <c r="Y279" s="213"/>
      <c r="Z279" s="213"/>
      <c r="AA279" s="213"/>
      <c r="AB279" s="213"/>
      <c r="AC279" s="213"/>
      <c r="AD279" s="213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213"/>
      <c r="T280" s="213"/>
      <c r="U280" s="213"/>
      <c r="V280" s="213"/>
      <c r="W280" s="213"/>
      <c r="X280" s="213"/>
      <c r="Y280" s="213"/>
      <c r="Z280" s="213"/>
      <c r="AA280" s="213"/>
      <c r="AB280" s="213"/>
      <c r="AC280" s="213"/>
      <c r="AD280" s="213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213"/>
      <c r="T281" s="213"/>
      <c r="U281" s="213"/>
      <c r="V281" s="213"/>
      <c r="W281" s="213"/>
      <c r="X281" s="213"/>
      <c r="Y281" s="213"/>
      <c r="Z281" s="213"/>
      <c r="AA281" s="213"/>
      <c r="AB281" s="213"/>
      <c r="AC281" s="213"/>
      <c r="AD281" s="213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213"/>
      <c r="T282" s="213"/>
      <c r="U282" s="213"/>
      <c r="V282" s="213"/>
      <c r="W282" s="213"/>
      <c r="X282" s="213"/>
      <c r="Y282" s="213"/>
      <c r="Z282" s="213"/>
      <c r="AA282" s="213"/>
      <c r="AB282" s="213"/>
      <c r="AC282" s="213"/>
      <c r="AD282" s="213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213"/>
      <c r="T283" s="213"/>
      <c r="U283" s="213"/>
      <c r="V283" s="213"/>
      <c r="W283" s="213"/>
      <c r="X283" s="213"/>
      <c r="Y283" s="213"/>
      <c r="Z283" s="213"/>
      <c r="AA283" s="213"/>
      <c r="AB283" s="213"/>
      <c r="AC283" s="213"/>
      <c r="AD283" s="21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213"/>
      <c r="T284" s="213"/>
      <c r="U284" s="213"/>
      <c r="V284" s="213"/>
      <c r="W284" s="213"/>
      <c r="X284" s="213"/>
      <c r="Y284" s="213"/>
      <c r="Z284" s="213"/>
      <c r="AA284" s="213"/>
      <c r="AB284" s="213"/>
      <c r="AC284" s="213"/>
      <c r="AD284" s="213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213"/>
      <c r="T285" s="213"/>
      <c r="U285" s="213"/>
      <c r="V285" s="213"/>
      <c r="W285" s="213"/>
      <c r="X285" s="213"/>
      <c r="Y285" s="213"/>
      <c r="Z285" s="213"/>
      <c r="AA285" s="213"/>
      <c r="AB285" s="213"/>
      <c r="AC285" s="213"/>
      <c r="AD285" s="213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213"/>
      <c r="T286" s="213"/>
      <c r="U286" s="213"/>
      <c r="V286" s="213"/>
      <c r="W286" s="213"/>
      <c r="X286" s="213"/>
      <c r="Y286" s="213"/>
      <c r="Z286" s="213"/>
      <c r="AA286" s="213"/>
      <c r="AB286" s="213"/>
      <c r="AC286" s="213"/>
      <c r="AD286" s="213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213"/>
      <c r="T287" s="213"/>
      <c r="U287" s="213"/>
      <c r="V287" s="213"/>
      <c r="W287" s="213"/>
      <c r="X287" s="213"/>
      <c r="Y287" s="213"/>
      <c r="Z287" s="213"/>
      <c r="AA287" s="213"/>
      <c r="AB287" s="213"/>
      <c r="AC287" s="213"/>
      <c r="AD287" s="213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213"/>
      <c r="T288" s="213"/>
      <c r="U288" s="213"/>
      <c r="V288" s="213"/>
      <c r="W288" s="213"/>
      <c r="X288" s="213"/>
      <c r="Y288" s="213"/>
      <c r="Z288" s="213"/>
      <c r="AA288" s="213"/>
      <c r="AB288" s="213"/>
      <c r="AC288" s="213"/>
      <c r="AD288" s="213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213"/>
      <c r="T289" s="213"/>
      <c r="U289" s="213"/>
      <c r="V289" s="213"/>
      <c r="W289" s="213"/>
      <c r="X289" s="213"/>
      <c r="Y289" s="213"/>
      <c r="Z289" s="213"/>
      <c r="AA289" s="213"/>
      <c r="AB289" s="213"/>
      <c r="AC289" s="213"/>
      <c r="AD289" s="213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213"/>
      <c r="T290" s="213"/>
      <c r="U290" s="213"/>
      <c r="V290" s="213"/>
      <c r="W290" s="213"/>
      <c r="X290" s="213"/>
      <c r="Y290" s="213"/>
      <c r="Z290" s="213"/>
      <c r="AA290" s="213"/>
      <c r="AB290" s="213"/>
      <c r="AC290" s="213"/>
      <c r="AD290" s="213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213"/>
      <c r="T291" s="213"/>
      <c r="U291" s="213"/>
      <c r="V291" s="213"/>
      <c r="W291" s="213"/>
      <c r="X291" s="213"/>
      <c r="Y291" s="213"/>
      <c r="Z291" s="213"/>
      <c r="AA291" s="213"/>
      <c r="AB291" s="213"/>
      <c r="AC291" s="213"/>
      <c r="AD291" s="213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213"/>
      <c r="T292" s="213"/>
      <c r="U292" s="213"/>
      <c r="V292" s="213"/>
      <c r="W292" s="213"/>
      <c r="X292" s="213"/>
      <c r="Y292" s="213"/>
      <c r="Z292" s="213"/>
      <c r="AA292" s="213"/>
      <c r="AB292" s="213"/>
      <c r="AC292" s="213"/>
      <c r="AD292" s="213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213"/>
      <c r="T295" s="213"/>
      <c r="U295" s="213"/>
      <c r="V295" s="213"/>
      <c r="W295" s="213"/>
      <c r="X295" s="213"/>
      <c r="Y295" s="213"/>
      <c r="Z295" s="213"/>
      <c r="AA295" s="213"/>
      <c r="AB295" s="213"/>
      <c r="AC295" s="213"/>
      <c r="AD295" s="213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213"/>
      <c r="T296" s="213"/>
      <c r="U296" s="213"/>
      <c r="V296" s="213"/>
      <c r="W296" s="213"/>
      <c r="X296" s="213"/>
      <c r="Y296" s="213"/>
      <c r="Z296" s="213"/>
      <c r="AA296" s="213"/>
      <c r="AB296" s="213"/>
      <c r="AC296" s="213"/>
      <c r="AD296" s="213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213"/>
      <c r="T297" s="213"/>
      <c r="U297" s="213"/>
      <c r="V297" s="213"/>
      <c r="W297" s="213"/>
      <c r="X297" s="213"/>
      <c r="Y297" s="213"/>
      <c r="Z297" s="213"/>
      <c r="AA297" s="213"/>
      <c r="AB297" s="213"/>
      <c r="AC297" s="213"/>
      <c r="AD297" s="213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213"/>
      <c r="T298" s="213"/>
      <c r="U298" s="213"/>
      <c r="V298" s="213"/>
      <c r="W298" s="213"/>
      <c r="X298" s="213"/>
      <c r="Y298" s="213"/>
      <c r="Z298" s="213"/>
      <c r="AA298" s="213"/>
      <c r="AB298" s="213"/>
      <c r="AC298" s="213"/>
      <c r="AD298" s="213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213"/>
      <c r="T299" s="213"/>
      <c r="U299" s="213"/>
      <c r="V299" s="213"/>
      <c r="W299" s="213"/>
      <c r="X299" s="213"/>
      <c r="Y299" s="213"/>
      <c r="Z299" s="213"/>
      <c r="AA299" s="213"/>
      <c r="AB299" s="213"/>
      <c r="AC299" s="213"/>
      <c r="AD299" s="213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213"/>
      <c r="T300" s="213"/>
      <c r="U300" s="213"/>
      <c r="V300" s="213"/>
      <c r="W300" s="213"/>
      <c r="X300" s="213"/>
      <c r="Y300" s="213"/>
      <c r="Z300" s="213"/>
      <c r="AA300" s="213"/>
      <c r="AB300" s="213"/>
      <c r="AC300" s="213"/>
      <c r="AD300" s="213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213"/>
      <c r="T301" s="213"/>
      <c r="U301" s="213"/>
      <c r="V301" s="213"/>
      <c r="W301" s="213"/>
      <c r="X301" s="213"/>
      <c r="Y301" s="213"/>
      <c r="Z301" s="213"/>
      <c r="AA301" s="213"/>
      <c r="AB301" s="213"/>
      <c r="AC301" s="213"/>
      <c r="AD301" s="213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213"/>
      <c r="T302" s="213"/>
      <c r="U302" s="213"/>
      <c r="V302" s="213"/>
      <c r="W302" s="213"/>
      <c r="X302" s="213"/>
      <c r="Y302" s="213"/>
      <c r="Z302" s="213"/>
      <c r="AA302" s="213"/>
      <c r="AB302" s="213"/>
      <c r="AC302" s="213"/>
      <c r="AD302" s="213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213"/>
      <c r="T303" s="213"/>
      <c r="U303" s="213"/>
      <c r="V303" s="213"/>
      <c r="W303" s="213"/>
      <c r="X303" s="213"/>
      <c r="Y303" s="213"/>
      <c r="Z303" s="213"/>
      <c r="AA303" s="213"/>
      <c r="AB303" s="213"/>
      <c r="AC303" s="213"/>
      <c r="AD303" s="21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213"/>
      <c r="T304" s="213"/>
      <c r="U304" s="213"/>
      <c r="V304" s="213"/>
      <c r="W304" s="213"/>
      <c r="X304" s="213"/>
      <c r="Y304" s="213"/>
      <c r="Z304" s="213"/>
      <c r="AA304" s="213"/>
      <c r="AB304" s="213"/>
      <c r="AC304" s="213"/>
      <c r="AD304" s="213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213"/>
      <c r="T305" s="213"/>
      <c r="U305" s="213"/>
      <c r="V305" s="213"/>
      <c r="W305" s="213"/>
      <c r="X305" s="213"/>
      <c r="Y305" s="213"/>
      <c r="Z305" s="213"/>
      <c r="AA305" s="213"/>
      <c r="AB305" s="213"/>
      <c r="AC305" s="213"/>
      <c r="AD305" s="213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213"/>
      <c r="T306" s="213"/>
      <c r="U306" s="213"/>
      <c r="V306" s="213"/>
      <c r="W306" s="213"/>
      <c r="X306" s="213"/>
      <c r="Y306" s="213"/>
      <c r="Z306" s="213"/>
      <c r="AA306" s="213"/>
      <c r="AB306" s="213"/>
      <c r="AC306" s="213"/>
      <c r="AD306" s="213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213"/>
      <c r="T308" s="213"/>
      <c r="U308" s="213"/>
      <c r="V308" s="213"/>
      <c r="W308" s="213"/>
      <c r="X308" s="213"/>
      <c r="Y308" s="213"/>
      <c r="Z308" s="213"/>
      <c r="AA308" s="213"/>
      <c r="AB308" s="213"/>
      <c r="AC308" s="213"/>
      <c r="AD308" s="213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213"/>
      <c r="T309" s="213"/>
      <c r="U309" s="213"/>
      <c r="V309" s="213"/>
      <c r="W309" s="213"/>
      <c r="X309" s="213"/>
      <c r="Y309" s="213"/>
      <c r="Z309" s="213"/>
      <c r="AA309" s="213"/>
      <c r="AB309" s="213"/>
      <c r="AC309" s="213"/>
      <c r="AD309" s="213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213"/>
      <c r="T310" s="213"/>
      <c r="U310" s="213"/>
      <c r="V310" s="213"/>
      <c r="W310" s="213"/>
      <c r="X310" s="213"/>
      <c r="Y310" s="213"/>
      <c r="Z310" s="213"/>
      <c r="AA310" s="213"/>
      <c r="AB310" s="213"/>
      <c r="AC310" s="213"/>
      <c r="AD310" s="213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213"/>
      <c r="T311" s="213"/>
      <c r="U311" s="213"/>
      <c r="V311" s="213"/>
      <c r="W311" s="213"/>
      <c r="X311" s="213"/>
      <c r="Y311" s="213"/>
      <c r="Z311" s="213"/>
      <c r="AA311" s="213"/>
      <c r="AB311" s="213"/>
      <c r="AC311" s="213"/>
      <c r="AD311" s="213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213"/>
      <c r="T312" s="213"/>
      <c r="U312" s="213"/>
      <c r="V312" s="213"/>
      <c r="W312" s="213"/>
      <c r="X312" s="213"/>
      <c r="Y312" s="213"/>
      <c r="Z312" s="213"/>
      <c r="AA312" s="213"/>
      <c r="AB312" s="213"/>
      <c r="AC312" s="213"/>
      <c r="AD312" s="213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 s="213"/>
      <c r="T313" s="213"/>
      <c r="U313" s="213"/>
      <c r="V313" s="213"/>
      <c r="W313" s="213"/>
      <c r="X313" s="213"/>
      <c r="Y313" s="213"/>
      <c r="Z313" s="213"/>
      <c r="AA313" s="213"/>
      <c r="AB313" s="213"/>
      <c r="AC313" s="213"/>
      <c r="AD313" s="2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213"/>
      <c r="T314" s="213"/>
      <c r="U314" s="213"/>
      <c r="V314" s="213"/>
      <c r="W314" s="213"/>
      <c r="X314" s="213"/>
      <c r="Y314" s="213"/>
      <c r="Z314" s="213"/>
      <c r="AA314" s="213"/>
      <c r="AB314" s="213"/>
      <c r="AC314" s="213"/>
      <c r="AD314" s="213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213"/>
      <c r="T315" s="213"/>
      <c r="U315" s="213"/>
      <c r="V315" s="213"/>
      <c r="W315" s="213"/>
      <c r="X315" s="213"/>
      <c r="Y315" s="213"/>
      <c r="Z315" s="213"/>
      <c r="AA315" s="213"/>
      <c r="AB315" s="213"/>
      <c r="AC315" s="213"/>
      <c r="AD315" s="213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213"/>
      <c r="T316" s="213"/>
      <c r="U316" s="213"/>
      <c r="V316" s="213"/>
      <c r="W316" s="213"/>
      <c r="X316" s="213"/>
      <c r="Y316" s="213"/>
      <c r="Z316" s="213"/>
      <c r="AA316" s="213"/>
      <c r="AB316" s="213"/>
      <c r="AC316" s="213"/>
      <c r="AD316" s="213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213"/>
      <c r="T317" s="213"/>
      <c r="U317" s="213"/>
      <c r="V317" s="213"/>
      <c r="W317" s="213"/>
      <c r="X317" s="213"/>
      <c r="Y317" s="213"/>
      <c r="Z317" s="213"/>
      <c r="AA317" s="213"/>
      <c r="AB317" s="213"/>
      <c r="AC317" s="213"/>
      <c r="AD317" s="213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213"/>
      <c r="T318" s="213"/>
      <c r="U318" s="213"/>
      <c r="V318" s="213"/>
      <c r="W318" s="213"/>
      <c r="X318" s="213"/>
      <c r="Y318" s="213"/>
      <c r="Z318" s="213"/>
      <c r="AA318" s="213"/>
      <c r="AB318" s="213"/>
      <c r="AC318" s="213"/>
      <c r="AD318" s="213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 s="213"/>
      <c r="T319" s="213"/>
      <c r="U319" s="213"/>
      <c r="V319" s="213"/>
      <c r="W319" s="213"/>
      <c r="X319" s="213"/>
      <c r="Y319" s="213"/>
      <c r="Z319" s="213"/>
      <c r="AA319" s="213"/>
      <c r="AB319" s="213"/>
      <c r="AC319" s="213"/>
      <c r="AD319" s="213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 s="213"/>
      <c r="T320" s="213"/>
      <c r="U320" s="213"/>
      <c r="V320" s="213"/>
      <c r="W320" s="213"/>
      <c r="X320" s="213"/>
      <c r="Y320" s="213"/>
      <c r="Z320" s="213"/>
      <c r="AA320" s="213"/>
      <c r="AB320" s="213"/>
      <c r="AC320" s="213"/>
      <c r="AD320" s="213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213"/>
      <c r="T321" s="213"/>
      <c r="U321" s="213"/>
      <c r="V321" s="213"/>
      <c r="W321" s="213"/>
      <c r="X321" s="213"/>
      <c r="Y321" s="213"/>
      <c r="Z321" s="213"/>
      <c r="AA321" s="213"/>
      <c r="AB321" s="213"/>
      <c r="AC321" s="213"/>
      <c r="AD321" s="213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213"/>
      <c r="T322" s="213"/>
      <c r="U322" s="213"/>
      <c r="V322" s="213"/>
      <c r="W322" s="213"/>
      <c r="X322" s="213"/>
      <c r="Y322" s="213"/>
      <c r="Z322" s="213"/>
      <c r="AA322" s="213"/>
      <c r="AB322" s="213"/>
      <c r="AC322" s="213"/>
      <c r="AD322" s="213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213"/>
      <c r="T324" s="213"/>
      <c r="U324" s="213"/>
      <c r="V324" s="213"/>
      <c r="W324" s="213"/>
      <c r="X324" s="213"/>
      <c r="Y324" s="213"/>
      <c r="Z324" s="213"/>
      <c r="AA324" s="213"/>
      <c r="AB324" s="213"/>
      <c r="AC324" s="213"/>
      <c r="AD324" s="213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213"/>
      <c r="T325" s="213"/>
      <c r="U325" s="213"/>
      <c r="V325" s="213"/>
      <c r="W325" s="213"/>
      <c r="X325" s="213"/>
      <c r="Y325" s="213"/>
      <c r="Z325" s="213"/>
      <c r="AA325" s="213"/>
      <c r="AB325" s="213"/>
      <c r="AC325" s="213"/>
      <c r="AD325" s="213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213"/>
      <c r="T326" s="213"/>
      <c r="U326" s="213"/>
      <c r="V326" s="213"/>
      <c r="W326" s="213"/>
      <c r="X326" s="213"/>
      <c r="Y326" s="213"/>
      <c r="Z326" s="213"/>
      <c r="AA326" s="213"/>
      <c r="AB326" s="213"/>
      <c r="AC326" s="213"/>
      <c r="AD326" s="213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213"/>
      <c r="T328" s="213"/>
      <c r="U328" s="213"/>
      <c r="V328" s="213"/>
      <c r="W328" s="213"/>
      <c r="X328" s="213"/>
      <c r="Y328" s="213"/>
      <c r="Z328" s="213"/>
      <c r="AA328" s="213"/>
      <c r="AB328" s="213"/>
      <c r="AC328" s="213"/>
      <c r="AD328" s="213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 s="213"/>
      <c r="T329" s="213"/>
      <c r="U329" s="213"/>
      <c r="V329" s="213"/>
      <c r="W329" s="213"/>
      <c r="X329" s="213"/>
      <c r="Y329" s="213"/>
      <c r="Z329" s="213"/>
      <c r="AA329" s="213"/>
      <c r="AB329" s="213"/>
      <c r="AC329" s="213"/>
      <c r="AD329" s="213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213"/>
      <c r="T330" s="213"/>
      <c r="U330" s="213"/>
      <c r="V330" s="213"/>
      <c r="W330" s="213"/>
      <c r="X330" s="213"/>
      <c r="Y330" s="213"/>
      <c r="Z330" s="213"/>
      <c r="AA330" s="213"/>
      <c r="AB330" s="213"/>
      <c r="AC330" s="213"/>
      <c r="AD330" s="213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 s="213"/>
      <c r="T331" s="213"/>
      <c r="U331" s="213"/>
      <c r="V331" s="213"/>
      <c r="W331" s="213"/>
      <c r="X331" s="213"/>
      <c r="Y331" s="213"/>
      <c r="Z331" s="213"/>
      <c r="AA331" s="213"/>
      <c r="AB331" s="213"/>
      <c r="AC331" s="213"/>
      <c r="AD331" s="213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213"/>
      <c r="T332" s="213"/>
      <c r="U332" s="213"/>
      <c r="V332" s="213"/>
      <c r="W332" s="213"/>
      <c r="X332" s="213"/>
      <c r="Y332" s="213"/>
      <c r="Z332" s="213"/>
      <c r="AA332" s="213"/>
      <c r="AB332" s="213"/>
      <c r="AC332" s="213"/>
      <c r="AD332" s="213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213"/>
      <c r="T334" s="213"/>
      <c r="U334" s="213"/>
      <c r="V334" s="213"/>
      <c r="W334" s="213"/>
      <c r="X334" s="213"/>
      <c r="Y334" s="213"/>
      <c r="Z334" s="213"/>
      <c r="AA334" s="213"/>
      <c r="AB334" s="213"/>
      <c r="AC334" s="213"/>
      <c r="AD334" s="213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213"/>
      <c r="T335" s="213"/>
      <c r="U335" s="213"/>
      <c r="V335" s="213"/>
      <c r="W335" s="213"/>
      <c r="X335" s="213"/>
      <c r="Y335" s="213"/>
      <c r="Z335" s="213"/>
      <c r="AA335" s="213"/>
      <c r="AB335" s="213"/>
      <c r="AC335" s="213"/>
      <c r="AD335" s="213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213"/>
      <c r="T337" s="213"/>
      <c r="U337" s="213"/>
      <c r="V337" s="213"/>
      <c r="W337" s="213"/>
      <c r="X337" s="213"/>
      <c r="Y337" s="213"/>
      <c r="Z337" s="213"/>
      <c r="AA337" s="213"/>
      <c r="AB337" s="213"/>
      <c r="AC337" s="213"/>
      <c r="AD337" s="213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 s="213"/>
      <c r="T338" s="213"/>
      <c r="U338" s="213"/>
      <c r="V338" s="213"/>
      <c r="W338" s="213"/>
      <c r="X338" s="213"/>
      <c r="Y338" s="213"/>
      <c r="Z338" s="213"/>
      <c r="AA338" s="213"/>
      <c r="AB338" s="213"/>
      <c r="AC338" s="213"/>
      <c r="AD338" s="213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213"/>
      <c r="T339" s="213"/>
      <c r="U339" s="213"/>
      <c r="V339" s="213"/>
      <c r="W339" s="213"/>
      <c r="X339" s="213"/>
      <c r="Y339" s="213"/>
      <c r="Z339" s="213"/>
      <c r="AA339" s="213"/>
      <c r="AB339" s="213"/>
      <c r="AC339" s="213"/>
      <c r="AD339" s="213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213"/>
      <c r="T340" s="213"/>
      <c r="U340" s="213"/>
      <c r="V340" s="213"/>
      <c r="W340" s="213"/>
      <c r="X340" s="213"/>
      <c r="Y340" s="213"/>
      <c r="Z340" s="213"/>
      <c r="AA340" s="213"/>
      <c r="AB340" s="213"/>
      <c r="AC340" s="213"/>
      <c r="AD340" s="213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 s="213"/>
      <c r="T342" s="213"/>
      <c r="U342" s="213"/>
      <c r="V342" s="213"/>
      <c r="W342" s="213"/>
      <c r="X342" s="213"/>
      <c r="Y342" s="213"/>
      <c r="Z342" s="213"/>
      <c r="AA342" s="213"/>
      <c r="AB342" s="213"/>
      <c r="AC342" s="213"/>
      <c r="AD342" s="213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213"/>
      <c r="T343" s="213"/>
      <c r="U343" s="213"/>
      <c r="V343" s="213"/>
      <c r="W343" s="213"/>
      <c r="X343" s="213"/>
      <c r="Y343" s="213"/>
      <c r="Z343" s="213"/>
      <c r="AA343" s="213"/>
      <c r="AB343" s="213"/>
      <c r="AC343" s="213"/>
      <c r="AD343" s="21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213"/>
      <c r="T344" s="213"/>
      <c r="U344" s="213"/>
      <c r="V344" s="213"/>
      <c r="W344" s="213"/>
      <c r="X344" s="213"/>
      <c r="Y344" s="213"/>
      <c r="Z344" s="213"/>
      <c r="AA344" s="213"/>
      <c r="AB344" s="213"/>
      <c r="AC344" s="213"/>
      <c r="AD344" s="213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213"/>
      <c r="T345" s="213"/>
      <c r="U345" s="213"/>
      <c r="V345" s="213"/>
      <c r="W345" s="213"/>
      <c r="X345" s="213"/>
      <c r="Y345" s="213"/>
      <c r="Z345" s="213"/>
      <c r="AA345" s="213"/>
      <c r="AB345" s="213"/>
      <c r="AC345" s="213"/>
      <c r="AD345" s="213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 s="213"/>
      <c r="T346" s="213"/>
      <c r="U346" s="213"/>
      <c r="V346" s="213"/>
      <c r="W346" s="213"/>
      <c r="X346" s="213"/>
      <c r="Y346" s="213"/>
      <c r="Z346" s="213"/>
      <c r="AA346" s="213"/>
      <c r="AB346" s="213"/>
      <c r="AC346" s="213"/>
      <c r="AD346" s="213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213"/>
      <c r="T348" s="213"/>
      <c r="U348" s="213"/>
      <c r="V348" s="213"/>
      <c r="W348" s="213"/>
      <c r="X348" s="213"/>
      <c r="Y348" s="213"/>
      <c r="Z348" s="213"/>
      <c r="AA348" s="213"/>
      <c r="AB348" s="213"/>
      <c r="AC348" s="213"/>
      <c r="AD348" s="213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213"/>
      <c r="T349" s="213"/>
      <c r="U349" s="213"/>
      <c r="V349" s="213"/>
      <c r="W349" s="213"/>
      <c r="X349" s="213"/>
      <c r="Y349" s="213"/>
      <c r="Z349" s="213"/>
      <c r="AA349" s="213"/>
      <c r="AB349" s="213"/>
      <c r="AC349" s="213"/>
      <c r="AD349" s="213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 s="213"/>
      <c r="T351" s="213"/>
      <c r="U351" s="213"/>
      <c r="V351" s="213"/>
      <c r="W351" s="213"/>
      <c r="X351" s="213"/>
      <c r="Y351" s="213"/>
      <c r="Z351" s="213"/>
      <c r="AA351" s="213"/>
      <c r="AB351" s="213"/>
      <c r="AC351" s="213"/>
      <c r="AD351" s="213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 s="213"/>
      <c r="T352" s="213"/>
      <c r="U352" s="213"/>
      <c r="V352" s="213"/>
      <c r="W352" s="213"/>
      <c r="X352" s="213"/>
      <c r="Y352" s="213"/>
      <c r="Z352" s="213"/>
      <c r="AA352" s="213"/>
      <c r="AB352" s="213"/>
      <c r="AC352" s="213"/>
      <c r="AD352" s="213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213"/>
      <c r="T353" s="213"/>
      <c r="U353" s="213"/>
      <c r="V353" s="213"/>
      <c r="W353" s="213"/>
      <c r="X353" s="213"/>
      <c r="Y353" s="213"/>
      <c r="Z353" s="213"/>
      <c r="AA353" s="213"/>
      <c r="AB353" s="213"/>
      <c r="AC353" s="213"/>
      <c r="AD353" s="21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 s="213"/>
      <c r="T354" s="213"/>
      <c r="U354" s="213"/>
      <c r="V354" s="213"/>
      <c r="W354" s="213"/>
      <c r="X354" s="213"/>
      <c r="Y354" s="213"/>
      <c r="Z354" s="213"/>
      <c r="AA354" s="213"/>
      <c r="AB354" s="213"/>
      <c r="AC354" s="213"/>
      <c r="AD354" s="213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213"/>
      <c r="T355" s="213"/>
      <c r="U355" s="213"/>
      <c r="V355" s="213"/>
      <c r="W355" s="213"/>
      <c r="X355" s="213"/>
      <c r="Y355" s="213"/>
      <c r="Z355" s="213"/>
      <c r="AA355" s="213"/>
      <c r="AB355" s="213"/>
      <c r="AC355" s="213"/>
      <c r="AD355" s="213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213"/>
      <c r="T356" s="213"/>
      <c r="U356" s="213"/>
      <c r="V356" s="213"/>
      <c r="W356" s="213"/>
      <c r="X356" s="213"/>
      <c r="Y356" s="213"/>
      <c r="Z356" s="213"/>
      <c r="AA356" s="213"/>
      <c r="AB356" s="213"/>
      <c r="AC356" s="213"/>
      <c r="AD356" s="213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213"/>
      <c r="T357" s="213"/>
      <c r="U357" s="213"/>
      <c r="V357" s="213"/>
      <c r="W357" s="213"/>
      <c r="X357" s="213"/>
      <c r="Y357" s="213"/>
      <c r="Z357" s="213"/>
      <c r="AA357" s="213"/>
      <c r="AB357" s="213"/>
      <c r="AC357" s="213"/>
      <c r="AD357" s="213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 s="213"/>
      <c r="T360" s="213"/>
      <c r="U360" s="213"/>
      <c r="V360" s="213"/>
      <c r="W360" s="213"/>
      <c r="X360" s="213"/>
      <c r="Y360" s="213"/>
      <c r="Z360" s="213"/>
      <c r="AA360" s="213"/>
      <c r="AB360" s="213"/>
      <c r="AC360" s="213"/>
      <c r="AD360" s="213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213"/>
      <c r="T361" s="213"/>
      <c r="U361" s="213"/>
      <c r="V361" s="213"/>
      <c r="W361" s="213"/>
      <c r="X361" s="213"/>
      <c r="Y361" s="213"/>
      <c r="Z361" s="213"/>
      <c r="AA361" s="213"/>
      <c r="AB361" s="213"/>
      <c r="AC361" s="213"/>
      <c r="AD361" s="213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 s="213"/>
      <c r="T362" s="213"/>
      <c r="U362" s="213"/>
      <c r="V362" s="213"/>
      <c r="W362" s="213"/>
      <c r="X362" s="213"/>
      <c r="Y362" s="213"/>
      <c r="Z362" s="213"/>
      <c r="AA362" s="213"/>
      <c r="AB362" s="213"/>
      <c r="AC362" s="213"/>
      <c r="AD362" s="213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 s="213"/>
      <c r="T363" s="213"/>
      <c r="U363" s="213"/>
      <c r="V363" s="213"/>
      <c r="W363" s="213"/>
      <c r="X363" s="213"/>
      <c r="Y363" s="213"/>
      <c r="Z363" s="213"/>
      <c r="AA363" s="213"/>
      <c r="AB363" s="213"/>
      <c r="AC363" s="213"/>
      <c r="AD363" s="21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 s="213"/>
      <c r="T364" s="213"/>
      <c r="U364" s="213"/>
      <c r="V364" s="213"/>
      <c r="W364" s="213"/>
      <c r="X364" s="213"/>
      <c r="Y364" s="213"/>
      <c r="Z364" s="213"/>
      <c r="AA364" s="213"/>
      <c r="AB364" s="213"/>
      <c r="AC364" s="213"/>
      <c r="AD364" s="213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 s="213"/>
      <c r="T365" s="213"/>
      <c r="U365" s="213"/>
      <c r="V365" s="213"/>
      <c r="W365" s="213"/>
      <c r="X365" s="213"/>
      <c r="Y365" s="213"/>
      <c r="Z365" s="213"/>
      <c r="AA365" s="213"/>
      <c r="AB365" s="213"/>
      <c r="AC365" s="213"/>
      <c r="AD365" s="213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 s="213"/>
      <c r="T366" s="213"/>
      <c r="U366" s="213"/>
      <c r="V366" s="213"/>
      <c r="W366" s="213"/>
      <c r="X366" s="213"/>
      <c r="Y366" s="213"/>
      <c r="Z366" s="213"/>
      <c r="AA366" s="213"/>
      <c r="AB366" s="213"/>
      <c r="AC366" s="213"/>
      <c r="AD366" s="213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213"/>
      <c r="T367" s="213"/>
      <c r="U367" s="213"/>
      <c r="V367" s="213"/>
      <c r="W367" s="213"/>
      <c r="X367" s="213"/>
      <c r="Y367" s="213"/>
      <c r="Z367" s="213"/>
      <c r="AA367" s="213"/>
      <c r="AB367" s="213"/>
      <c r="AC367" s="213"/>
      <c r="AD367" s="213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213"/>
      <c r="T368" s="213"/>
      <c r="U368" s="213"/>
      <c r="V368" s="213"/>
      <c r="W368" s="213"/>
      <c r="X368" s="213"/>
      <c r="Y368" s="213"/>
      <c r="Z368" s="213"/>
      <c r="AA368" s="213"/>
      <c r="AB368" s="213"/>
      <c r="AC368" s="213"/>
      <c r="AD368" s="213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 s="213"/>
      <c r="T369" s="213"/>
      <c r="U369" s="213"/>
      <c r="V369" s="213"/>
      <c r="W369" s="213"/>
      <c r="X369" s="213"/>
      <c r="Y369" s="213"/>
      <c r="Z369" s="213"/>
      <c r="AA369" s="213"/>
      <c r="AB369" s="213"/>
      <c r="AC369" s="213"/>
      <c r="AD369" s="213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 s="213"/>
      <c r="T370" s="213"/>
      <c r="U370" s="213"/>
      <c r="V370" s="213"/>
      <c r="W370" s="213"/>
      <c r="X370" s="213"/>
      <c r="Y370" s="213"/>
      <c r="Z370" s="213"/>
      <c r="AA370" s="213"/>
      <c r="AB370" s="213"/>
      <c r="AC370" s="213"/>
      <c r="AD370" s="213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213"/>
      <c r="T371" s="213"/>
      <c r="U371" s="213"/>
      <c r="V371" s="213"/>
      <c r="W371" s="213"/>
      <c r="X371" s="213"/>
      <c r="Y371" s="213"/>
      <c r="Z371" s="213"/>
      <c r="AA371" s="213"/>
      <c r="AB371" s="213"/>
      <c r="AC371" s="213"/>
      <c r="AD371" s="213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 s="213"/>
      <c r="T372" s="213"/>
      <c r="U372" s="213"/>
      <c r="V372" s="213"/>
      <c r="W372" s="213"/>
      <c r="X372" s="213"/>
      <c r="Y372" s="213"/>
      <c r="Z372" s="213"/>
      <c r="AA372" s="213"/>
      <c r="AB372" s="213"/>
      <c r="AC372" s="213"/>
      <c r="AD372" s="213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 s="213"/>
      <c r="T373" s="213"/>
      <c r="U373" s="213"/>
      <c r="V373" s="213"/>
      <c r="W373" s="213"/>
      <c r="X373" s="213"/>
      <c r="Y373" s="213"/>
      <c r="Z373" s="213"/>
      <c r="AA373" s="213"/>
      <c r="AB373" s="213"/>
      <c r="AC373" s="213"/>
      <c r="AD373" s="21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 s="213"/>
      <c r="T374" s="213"/>
      <c r="U374" s="213"/>
      <c r="V374" s="213"/>
      <c r="W374" s="213"/>
      <c r="X374" s="213"/>
      <c r="Y374" s="213"/>
      <c r="Z374" s="213"/>
      <c r="AA374" s="213"/>
      <c r="AB374" s="213"/>
      <c r="AC374" s="213"/>
      <c r="AD374" s="213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 s="213"/>
      <c r="T375" s="213"/>
      <c r="U375" s="213"/>
      <c r="V375" s="213"/>
      <c r="W375" s="213"/>
      <c r="X375" s="213"/>
      <c r="Y375" s="213"/>
      <c r="Z375" s="213"/>
      <c r="AA375" s="213"/>
      <c r="AB375" s="213"/>
      <c r="AC375" s="213"/>
      <c r="AD375" s="213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 s="213"/>
      <c r="T376" s="213"/>
      <c r="U376" s="213"/>
      <c r="V376" s="213"/>
      <c r="W376" s="213"/>
      <c r="X376" s="213"/>
      <c r="Y376" s="213"/>
      <c r="Z376" s="213"/>
      <c r="AA376" s="213"/>
      <c r="AB376" s="213"/>
      <c r="AC376" s="213"/>
      <c r="AD376" s="213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 s="213"/>
      <c r="T377" s="213"/>
      <c r="U377" s="213"/>
      <c r="V377" s="213"/>
      <c r="W377" s="213"/>
      <c r="X377" s="213"/>
      <c r="Y377" s="213"/>
      <c r="Z377" s="213"/>
      <c r="AA377" s="213"/>
      <c r="AB377" s="213"/>
      <c r="AC377" s="213"/>
      <c r="AD377" s="213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 s="213"/>
      <c r="T378" s="213"/>
      <c r="U378" s="213"/>
      <c r="V378" s="213"/>
      <c r="W378" s="213"/>
      <c r="X378" s="213"/>
      <c r="Y378" s="213"/>
      <c r="Z378" s="213"/>
      <c r="AA378" s="213"/>
      <c r="AB378" s="213"/>
      <c r="AC378" s="213"/>
      <c r="AD378" s="213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 s="213"/>
      <c r="T379" s="213"/>
      <c r="U379" s="213"/>
      <c r="V379" s="213"/>
      <c r="W379" s="213"/>
      <c r="X379" s="213"/>
      <c r="Y379" s="213"/>
      <c r="Z379" s="213"/>
      <c r="AA379" s="213"/>
      <c r="AB379" s="213"/>
      <c r="AC379" s="213"/>
      <c r="AD379" s="213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 s="213"/>
      <c r="T380" s="213"/>
      <c r="U380" s="213"/>
      <c r="V380" s="213"/>
      <c r="W380" s="213"/>
      <c r="X380" s="213"/>
      <c r="Y380" s="213"/>
      <c r="Z380" s="213"/>
      <c r="AA380" s="213"/>
      <c r="AB380" s="213"/>
      <c r="AC380" s="213"/>
      <c r="AD380" s="213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 s="213"/>
      <c r="T381" s="213"/>
      <c r="U381" s="213"/>
      <c r="V381" s="213"/>
      <c r="W381" s="213"/>
      <c r="X381" s="213"/>
      <c r="Y381" s="213"/>
      <c r="Z381" s="213"/>
      <c r="AA381" s="213"/>
      <c r="AB381" s="213"/>
      <c r="AC381" s="213"/>
      <c r="AD381" s="213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213"/>
      <c r="T382" s="213"/>
      <c r="U382" s="213"/>
      <c r="V382" s="213"/>
      <c r="W382" s="213"/>
      <c r="X382" s="213"/>
      <c r="Y382" s="213"/>
      <c r="Z382" s="213"/>
      <c r="AA382" s="213"/>
      <c r="AB382" s="213"/>
      <c r="AC382" s="213"/>
      <c r="AD382" s="213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 s="213"/>
      <c r="T383" s="213"/>
      <c r="U383" s="213"/>
      <c r="V383" s="213"/>
      <c r="W383" s="213"/>
      <c r="X383" s="213"/>
      <c r="Y383" s="213"/>
      <c r="Z383" s="213"/>
      <c r="AA383" s="213"/>
      <c r="AB383" s="213"/>
      <c r="AC383" s="213"/>
      <c r="AD383" s="21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 s="213"/>
      <c r="T384" s="213"/>
      <c r="U384" s="213"/>
      <c r="V384" s="213"/>
      <c r="W384" s="213"/>
      <c r="X384" s="213"/>
      <c r="Y384" s="213"/>
      <c r="Z384" s="213"/>
      <c r="AA384" s="213"/>
      <c r="AB384" s="213"/>
      <c r="AC384" s="213"/>
      <c r="AD384" s="213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 s="213"/>
      <c r="T385" s="213"/>
      <c r="U385" s="213"/>
      <c r="V385" s="213"/>
      <c r="W385" s="213"/>
      <c r="X385" s="213"/>
      <c r="Y385" s="213"/>
      <c r="Z385" s="213"/>
      <c r="AA385" s="213"/>
      <c r="AB385" s="213"/>
      <c r="AC385" s="213"/>
      <c r="AD385" s="213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 s="213"/>
      <c r="T386" s="213"/>
      <c r="U386" s="213"/>
      <c r="V386" s="213"/>
      <c r="W386" s="213"/>
      <c r="X386" s="213"/>
      <c r="Y386" s="213"/>
      <c r="Z386" s="213"/>
      <c r="AA386" s="213"/>
      <c r="AB386" s="213"/>
      <c r="AC386" s="213"/>
      <c r="AD386" s="213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 s="213"/>
      <c r="T387" s="213"/>
      <c r="U387" s="213"/>
      <c r="V387" s="213"/>
      <c r="W387" s="213"/>
      <c r="X387" s="213"/>
      <c r="Y387" s="213"/>
      <c r="Z387" s="213"/>
      <c r="AA387" s="213"/>
      <c r="AB387" s="213"/>
      <c r="AC387" s="213"/>
      <c r="AD387" s="213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213"/>
      <c r="T388" s="213"/>
      <c r="U388" s="213"/>
      <c r="V388" s="213"/>
      <c r="W388" s="213"/>
      <c r="X388" s="213"/>
      <c r="Y388" s="213"/>
      <c r="Z388" s="213"/>
      <c r="AA388" s="213"/>
      <c r="AB388" s="213"/>
      <c r="AC388" s="213"/>
      <c r="AD388" s="213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 s="213"/>
      <c r="T389" s="213"/>
      <c r="U389" s="213"/>
      <c r="V389" s="213"/>
      <c r="W389" s="213"/>
      <c r="X389" s="213"/>
      <c r="Y389" s="213"/>
      <c r="Z389" s="213"/>
      <c r="AA389" s="213"/>
      <c r="AB389" s="213"/>
      <c r="AC389" s="213"/>
      <c r="AD389" s="213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 s="213"/>
      <c r="T390" s="213"/>
      <c r="U390" s="213"/>
      <c r="V390" s="213"/>
      <c r="W390" s="213"/>
      <c r="X390" s="213"/>
      <c r="Y390" s="213"/>
      <c r="Z390" s="213"/>
      <c r="AA390" s="213"/>
      <c r="AB390" s="213"/>
      <c r="AC390" s="213"/>
      <c r="AD390" s="213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 s="213"/>
      <c r="T391" s="213"/>
      <c r="U391" s="213"/>
      <c r="V391" s="213"/>
      <c r="W391" s="213"/>
      <c r="X391" s="213"/>
      <c r="Y391" s="213"/>
      <c r="Z391" s="213"/>
      <c r="AA391" s="213"/>
      <c r="AB391" s="213"/>
      <c r="AC391" s="213"/>
      <c r="AD391" s="213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 s="213"/>
      <c r="T392" s="213"/>
      <c r="U392" s="213"/>
      <c r="V392" s="213"/>
      <c r="W392" s="213"/>
      <c r="X392" s="213"/>
      <c r="Y392" s="213"/>
      <c r="Z392" s="213"/>
      <c r="AA392" s="213"/>
      <c r="AB392" s="213"/>
      <c r="AC392" s="213"/>
      <c r="AD392" s="213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 s="213"/>
      <c r="T393" s="213"/>
      <c r="U393" s="213"/>
      <c r="V393" s="213"/>
      <c r="W393" s="213"/>
      <c r="X393" s="213"/>
      <c r="Y393" s="213"/>
      <c r="Z393" s="213"/>
      <c r="AA393" s="213"/>
      <c r="AB393" s="213"/>
      <c r="AC393" s="213"/>
      <c r="AD393" s="21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 s="213"/>
      <c r="T394" s="213"/>
      <c r="U394" s="213"/>
      <c r="V394" s="213"/>
      <c r="W394" s="213"/>
      <c r="X394" s="213"/>
      <c r="Y394" s="213"/>
      <c r="Z394" s="213"/>
      <c r="AA394" s="213"/>
      <c r="AB394" s="213"/>
      <c r="AC394" s="213"/>
      <c r="AD394" s="213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 s="213"/>
      <c r="T395" s="213"/>
      <c r="U395" s="213"/>
      <c r="V395" s="213"/>
      <c r="W395" s="213"/>
      <c r="X395" s="213"/>
      <c r="Y395" s="213"/>
      <c r="Z395" s="213"/>
      <c r="AA395" s="213"/>
      <c r="AB395" s="213"/>
      <c r="AC395" s="213"/>
      <c r="AD395" s="213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 s="213"/>
      <c r="T396" s="213"/>
      <c r="U396" s="213"/>
      <c r="V396" s="213"/>
      <c r="W396" s="213"/>
      <c r="X396" s="213"/>
      <c r="Y396" s="213"/>
      <c r="Z396" s="213"/>
      <c r="AA396" s="213"/>
      <c r="AB396" s="213"/>
      <c r="AC396" s="213"/>
      <c r="AD396" s="213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 s="213"/>
      <c r="T397" s="213"/>
      <c r="U397" s="213"/>
      <c r="V397" s="213"/>
      <c r="W397" s="213"/>
      <c r="X397" s="213"/>
      <c r="Y397" s="213"/>
      <c r="Z397" s="213"/>
      <c r="AA397" s="213"/>
      <c r="AB397" s="213"/>
      <c r="AC397" s="213"/>
      <c r="AD397" s="213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 s="213"/>
      <c r="T398" s="213"/>
      <c r="U398" s="213"/>
      <c r="V398" s="213"/>
      <c r="W398" s="213"/>
      <c r="X398" s="213"/>
      <c r="Y398" s="213"/>
      <c r="Z398" s="213"/>
      <c r="AA398" s="213"/>
      <c r="AB398" s="213"/>
      <c r="AC398" s="213"/>
      <c r="AD398" s="213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 s="213"/>
      <c r="T399" s="213"/>
      <c r="U399" s="213"/>
      <c r="V399" s="213"/>
      <c r="W399" s="213"/>
      <c r="X399" s="213"/>
      <c r="Y399" s="213"/>
      <c r="Z399" s="213"/>
      <c r="AA399" s="213"/>
      <c r="AB399" s="213"/>
      <c r="AC399" s="213"/>
      <c r="AD399" s="213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 s="213"/>
      <c r="T400" s="213"/>
      <c r="U400" s="213"/>
      <c r="V400" s="213"/>
      <c r="W400" s="213"/>
      <c r="X400" s="213"/>
      <c r="Y400" s="213"/>
      <c r="Z400" s="213"/>
      <c r="AA400" s="213"/>
      <c r="AB400" s="213"/>
      <c r="AC400" s="213"/>
      <c r="AD400" s="213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 s="213"/>
      <c r="T401" s="213"/>
      <c r="U401" s="213"/>
      <c r="V401" s="213"/>
      <c r="W401" s="213"/>
      <c r="X401" s="213"/>
      <c r="Y401" s="213"/>
      <c r="Z401" s="213"/>
      <c r="AA401" s="213"/>
      <c r="AB401" s="213"/>
      <c r="AC401" s="213"/>
      <c r="AD401" s="213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 s="213"/>
      <c r="T402" s="213"/>
      <c r="U402" s="213"/>
      <c r="V402" s="213"/>
      <c r="W402" s="213"/>
      <c r="X402" s="213"/>
      <c r="Y402" s="213"/>
      <c r="Z402" s="213"/>
      <c r="AA402" s="213"/>
      <c r="AB402" s="213"/>
      <c r="AC402" s="213"/>
      <c r="AD402" s="213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 s="213"/>
      <c r="T403" s="213"/>
      <c r="U403" s="213"/>
      <c r="V403" s="213"/>
      <c r="W403" s="213"/>
      <c r="X403" s="213"/>
      <c r="Y403" s="213"/>
      <c r="Z403" s="213"/>
      <c r="AA403" s="213"/>
      <c r="AB403" s="213"/>
      <c r="AC403" s="213"/>
      <c r="AD403" s="21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 s="213"/>
      <c r="T404" s="213"/>
      <c r="U404" s="213"/>
      <c r="V404" s="213"/>
      <c r="W404" s="213"/>
      <c r="X404" s="213"/>
      <c r="Y404" s="213"/>
      <c r="Z404" s="213"/>
      <c r="AA404" s="213"/>
      <c r="AB404" s="213"/>
      <c r="AC404" s="213"/>
      <c r="AD404" s="213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213"/>
      <c r="T405" s="213"/>
      <c r="U405" s="213"/>
      <c r="V405" s="213"/>
      <c r="W405" s="213"/>
      <c r="X405" s="213"/>
      <c r="Y405" s="213"/>
      <c r="Z405" s="213"/>
      <c r="AA405" s="213"/>
      <c r="AB405" s="213"/>
      <c r="AC405" s="213"/>
      <c r="AD405" s="213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 s="213"/>
      <c r="T406" s="213"/>
      <c r="U406" s="213"/>
      <c r="V406" s="213"/>
      <c r="W406" s="213"/>
      <c r="X406" s="213"/>
      <c r="Y406" s="213"/>
      <c r="Z406" s="213"/>
      <c r="AA406" s="213"/>
      <c r="AB406" s="213"/>
      <c r="AC406" s="213"/>
      <c r="AD406" s="213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 s="213"/>
      <c r="T407" s="213"/>
      <c r="U407" s="213"/>
      <c r="V407" s="213"/>
      <c r="W407" s="213"/>
      <c r="X407" s="213"/>
      <c r="Y407" s="213"/>
      <c r="Z407" s="213"/>
      <c r="AA407" s="213"/>
      <c r="AB407" s="213"/>
      <c r="AC407" s="213"/>
      <c r="AD407" s="213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 s="213"/>
      <c r="T408" s="213"/>
      <c r="U408" s="213"/>
      <c r="V408" s="213"/>
      <c r="W408" s="213"/>
      <c r="X408" s="213"/>
      <c r="Y408" s="213"/>
      <c r="Z408" s="213"/>
      <c r="AA408" s="213"/>
      <c r="AB408" s="213"/>
      <c r="AC408" s="213"/>
      <c r="AD408" s="213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213"/>
      <c r="T409" s="213"/>
      <c r="U409" s="213"/>
      <c r="V409" s="213"/>
      <c r="W409" s="213"/>
      <c r="X409" s="213"/>
      <c r="Y409" s="213"/>
      <c r="Z409" s="213"/>
      <c r="AA409" s="213"/>
      <c r="AB409" s="213"/>
      <c r="AC409" s="213"/>
      <c r="AD409" s="213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 s="213"/>
      <c r="T410" s="213"/>
      <c r="U410" s="213"/>
      <c r="V410" s="213"/>
      <c r="W410" s="213"/>
      <c r="X410" s="213"/>
      <c r="Y410" s="213"/>
      <c r="Z410" s="213"/>
      <c r="AA410" s="213"/>
      <c r="AB410" s="213"/>
      <c r="AC410" s="213"/>
      <c r="AD410" s="213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 s="213"/>
      <c r="T411" s="213"/>
      <c r="U411" s="213"/>
      <c r="V411" s="213"/>
      <c r="W411" s="213"/>
      <c r="X411" s="213"/>
      <c r="Y411" s="213"/>
      <c r="Z411" s="213"/>
      <c r="AA411" s="213"/>
      <c r="AB411" s="213"/>
      <c r="AC411" s="213"/>
      <c r="AD411" s="213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 s="213"/>
      <c r="T412" s="213"/>
      <c r="U412" s="213"/>
      <c r="V412" s="213"/>
      <c r="W412" s="213"/>
      <c r="X412" s="213"/>
      <c r="Y412" s="213"/>
      <c r="Z412" s="213"/>
      <c r="AA412" s="213"/>
      <c r="AB412" s="213"/>
      <c r="AC412" s="213"/>
      <c r="AD412" s="213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 s="213"/>
      <c r="T413" s="213"/>
      <c r="U413" s="213"/>
      <c r="V413" s="213"/>
      <c r="W413" s="213"/>
      <c r="X413" s="213"/>
      <c r="Y413" s="213"/>
      <c r="Z413" s="213"/>
      <c r="AA413" s="213"/>
      <c r="AB413" s="213"/>
      <c r="AC413" s="213"/>
      <c r="AD413" s="2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 s="213"/>
      <c r="T414" s="213"/>
      <c r="U414" s="213"/>
      <c r="V414" s="213"/>
      <c r="W414" s="213"/>
      <c r="X414" s="213"/>
      <c r="Y414" s="213"/>
      <c r="Z414" s="213"/>
      <c r="AA414" s="213"/>
      <c r="AB414" s="213"/>
      <c r="AC414" s="213"/>
      <c r="AD414" s="213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 s="213"/>
      <c r="T415" s="213"/>
      <c r="U415" s="213"/>
      <c r="V415" s="213"/>
      <c r="W415" s="213"/>
      <c r="X415" s="213"/>
      <c r="Y415" s="213"/>
      <c r="Z415" s="213"/>
      <c r="AA415" s="213"/>
      <c r="AB415" s="213"/>
      <c r="AC415" s="213"/>
      <c r="AD415" s="213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 s="213"/>
      <c r="T416" s="213"/>
      <c r="U416" s="213"/>
      <c r="V416" s="213"/>
      <c r="W416" s="213"/>
      <c r="X416" s="213"/>
      <c r="Y416" s="213"/>
      <c r="Z416" s="213"/>
      <c r="AA416" s="213"/>
      <c r="AB416" s="213"/>
      <c r="AC416" s="213"/>
      <c r="AD416" s="213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 s="213"/>
      <c r="T417" s="213"/>
      <c r="U417" s="213"/>
      <c r="V417" s="213"/>
      <c r="W417" s="213"/>
      <c r="X417" s="213"/>
      <c r="Y417" s="213"/>
      <c r="Z417" s="213"/>
      <c r="AA417" s="213"/>
      <c r="AB417" s="213"/>
      <c r="AC417" s="213"/>
      <c r="AD417" s="213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 s="213"/>
      <c r="T418" s="213"/>
      <c r="U418" s="213"/>
      <c r="V418" s="213"/>
      <c r="W418" s="213"/>
      <c r="X418" s="213"/>
      <c r="Y418" s="213"/>
      <c r="Z418" s="213"/>
      <c r="AA418" s="213"/>
      <c r="AB418" s="213"/>
      <c r="AC418" s="213"/>
      <c r="AD418" s="213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 s="213"/>
      <c r="T419" s="213"/>
      <c r="U419" s="213"/>
      <c r="V419" s="213"/>
      <c r="W419" s="213"/>
      <c r="X419" s="213"/>
      <c r="Y419" s="213"/>
      <c r="Z419" s="213"/>
      <c r="AA419" s="213"/>
      <c r="AB419" s="213"/>
      <c r="AC419" s="213"/>
      <c r="AD419" s="213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 s="213"/>
      <c r="V420" s="213"/>
      <c r="W420" s="213"/>
      <c r="X420" s="213"/>
      <c r="Y420" s="213"/>
      <c r="Z420" s="213"/>
      <c r="AA420" s="213"/>
      <c r="AB420" s="213"/>
      <c r="AC420" s="213"/>
      <c r="AE420"/>
      <c r="AF420"/>
      <c r="AG420"/>
      <c r="AH420"/>
      <c r="AI420"/>
      <c r="AM420"/>
      <c r="AO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 s="213"/>
      <c r="T421" s="213"/>
      <c r="U421" s="213"/>
      <c r="V421" s="213"/>
      <c r="W421" s="213"/>
      <c r="X421" s="213"/>
      <c r="Y421" s="213"/>
      <c r="Z421" s="213"/>
      <c r="AA421" s="213"/>
      <c r="AB421" s="213"/>
      <c r="AC421" s="213"/>
      <c r="AD421" s="213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 s="213"/>
      <c r="T422" s="213"/>
      <c r="U422" s="213"/>
      <c r="V422" s="213"/>
      <c r="W422" s="213"/>
      <c r="X422" s="213"/>
      <c r="Y422" s="213"/>
      <c r="Z422" s="213"/>
      <c r="AA422" s="213"/>
      <c r="AB422" s="213"/>
      <c r="AC422" s="213"/>
      <c r="AD422" s="213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 s="213"/>
      <c r="T423" s="213"/>
      <c r="U423" s="213"/>
      <c r="V423" s="213"/>
      <c r="W423" s="213"/>
      <c r="X423" s="213"/>
      <c r="Y423" s="213"/>
      <c r="Z423" s="213"/>
      <c r="AA423" s="213"/>
      <c r="AB423" s="213"/>
      <c r="AC423" s="213"/>
      <c r="AD423" s="21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 s="213"/>
      <c r="T424" s="213"/>
      <c r="U424" s="213"/>
      <c r="V424" s="213"/>
      <c r="W424" s="213"/>
      <c r="X424" s="213"/>
      <c r="Y424" s="213"/>
      <c r="Z424" s="213"/>
      <c r="AA424" s="213"/>
      <c r="AB424" s="213"/>
      <c r="AC424" s="213"/>
      <c r="AD424" s="213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 s="213"/>
      <c r="T425" s="213"/>
      <c r="U425" s="213"/>
      <c r="V425" s="213"/>
      <c r="W425" s="213"/>
      <c r="X425" s="213"/>
      <c r="Y425" s="213"/>
      <c r="Z425" s="213"/>
      <c r="AA425" s="213"/>
      <c r="AB425" s="213"/>
      <c r="AC425" s="213"/>
      <c r="AD425" s="213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 s="213"/>
      <c r="V426" s="213"/>
      <c r="W426" s="213"/>
      <c r="X426" s="213"/>
      <c r="Y426" s="213"/>
      <c r="Z426" s="213"/>
      <c r="AA426" s="213"/>
      <c r="AB426" s="213"/>
      <c r="AC426" s="213"/>
      <c r="AE426"/>
      <c r="AF426"/>
      <c r="AG426"/>
      <c r="AH426"/>
      <c r="AI426"/>
      <c r="AM426"/>
      <c r="AO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 s="213"/>
      <c r="V427" s="213"/>
      <c r="W427" s="213"/>
      <c r="X427" s="213"/>
      <c r="Y427" s="213"/>
      <c r="Z427" s="213"/>
      <c r="AA427" s="213"/>
      <c r="AB427" s="213"/>
      <c r="AC427" s="213"/>
      <c r="AE427"/>
      <c r="AF427"/>
      <c r="AG427"/>
      <c r="AH427"/>
      <c r="AI427"/>
      <c r="AM427"/>
      <c r="AO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 s="213"/>
      <c r="T428" s="213"/>
      <c r="U428" s="213"/>
      <c r="V428" s="213"/>
      <c r="W428" s="213"/>
      <c r="X428" s="213"/>
      <c r="Y428" s="213"/>
      <c r="Z428" s="213"/>
      <c r="AA428" s="213"/>
      <c r="AB428" s="213"/>
      <c r="AC428" s="213"/>
      <c r="AD428" s="213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 s="213"/>
      <c r="T429" s="213"/>
      <c r="U429" s="213"/>
      <c r="V429" s="213"/>
      <c r="W429" s="213"/>
      <c r="X429" s="213"/>
      <c r="Y429" s="213"/>
      <c r="Z429" s="213"/>
      <c r="AA429" s="213"/>
      <c r="AB429" s="213"/>
      <c r="AC429" s="213"/>
      <c r="AD429" s="213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 s="213"/>
      <c r="T430" s="213"/>
      <c r="U430" s="213"/>
      <c r="V430" s="213"/>
      <c r="W430" s="213"/>
      <c r="X430" s="213"/>
      <c r="Y430" s="213"/>
      <c r="Z430" s="213"/>
      <c r="AA430" s="213"/>
      <c r="AB430" s="213"/>
      <c r="AC430" s="213"/>
      <c r="AD430" s="213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 s="213"/>
      <c r="T431" s="213"/>
      <c r="U431" s="213"/>
      <c r="V431" s="213"/>
      <c r="W431" s="213"/>
      <c r="X431" s="213"/>
      <c r="Y431" s="213"/>
      <c r="Z431" s="213"/>
      <c r="AA431" s="213"/>
      <c r="AB431" s="213"/>
      <c r="AC431" s="213"/>
      <c r="AD431" s="213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 s="213"/>
      <c r="T432" s="213"/>
      <c r="U432" s="213"/>
      <c r="V432" s="213"/>
      <c r="W432" s="213"/>
      <c r="X432" s="213"/>
      <c r="Y432" s="213"/>
      <c r="Z432" s="213"/>
      <c r="AA432" s="213"/>
      <c r="AB432" s="213"/>
      <c r="AC432" s="213"/>
      <c r="AD432" s="213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 s="213"/>
      <c r="T433" s="213"/>
      <c r="U433" s="213"/>
      <c r="V433" s="213"/>
      <c r="W433" s="213"/>
      <c r="X433" s="213"/>
      <c r="Y433" s="213"/>
      <c r="Z433" s="213"/>
      <c r="AA433" s="213"/>
      <c r="AB433" s="213"/>
      <c r="AC433" s="213"/>
      <c r="AD433" s="21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 s="213"/>
      <c r="V434" s="213"/>
      <c r="W434" s="213"/>
      <c r="X434" s="213"/>
      <c r="Y434" s="213"/>
      <c r="Z434" s="213"/>
      <c r="AA434" s="213"/>
      <c r="AB434" s="213"/>
      <c r="AC434" s="213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 s="213"/>
      <c r="T435" s="213"/>
      <c r="U435" s="213"/>
      <c r="V435" s="213"/>
      <c r="W435" s="213"/>
      <c r="X435" s="213"/>
      <c r="Y435" s="213"/>
      <c r="Z435" s="213"/>
      <c r="AA435" s="213"/>
      <c r="AB435" s="213"/>
      <c r="AC435" s="213"/>
      <c r="AD435" s="213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 s="213"/>
      <c r="V436" s="213"/>
      <c r="W436" s="213"/>
      <c r="X436" s="213"/>
      <c r="Y436" s="213"/>
      <c r="Z436" s="213"/>
      <c r="AA436" s="213"/>
      <c r="AB436" s="213"/>
      <c r="AC436" s="213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 s="213"/>
      <c r="T437" s="213"/>
      <c r="U437" s="213"/>
      <c r="V437" s="213"/>
      <c r="W437" s="213"/>
      <c r="X437" s="213"/>
      <c r="Y437" s="213"/>
      <c r="Z437" s="213"/>
      <c r="AA437" s="213"/>
      <c r="AB437" s="213"/>
      <c r="AC437" s="213"/>
      <c r="AD437" s="213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 s="213"/>
      <c r="V438" s="213"/>
      <c r="W438" s="213"/>
      <c r="X438" s="213"/>
      <c r="Y438" s="213"/>
      <c r="Z438" s="213"/>
      <c r="AA438" s="213"/>
      <c r="AB438" s="213"/>
      <c r="AC438" s="213"/>
      <c r="AE438"/>
      <c r="AF438"/>
      <c r="AG438"/>
      <c r="AH438"/>
      <c r="AI438"/>
      <c r="AM438"/>
      <c r="AO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 s="213"/>
      <c r="T439" s="213"/>
      <c r="U439" s="213"/>
      <c r="V439" s="213"/>
      <c r="W439" s="213"/>
      <c r="X439" s="213"/>
      <c r="Y439" s="213"/>
      <c r="Z439" s="213"/>
      <c r="AA439" s="213"/>
      <c r="AB439" s="213"/>
      <c r="AC439" s="213"/>
      <c r="AD439" s="213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 s="213"/>
      <c r="V440" s="213"/>
      <c r="W440" s="213"/>
      <c r="X440" s="213"/>
      <c r="Y440" s="213"/>
      <c r="Z440" s="213"/>
      <c r="AA440" s="213"/>
      <c r="AB440" s="213"/>
      <c r="AC440" s="213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 s="213"/>
      <c r="T441" s="213"/>
      <c r="U441" s="213"/>
      <c r="V441" s="213"/>
      <c r="W441" s="213"/>
      <c r="X441" s="213"/>
      <c r="Y441" s="213"/>
      <c r="Z441" s="213"/>
      <c r="AA441" s="213"/>
      <c r="AB441" s="213"/>
      <c r="AC441" s="213"/>
      <c r="AD441" s="213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 s="213"/>
      <c r="T442" s="213"/>
      <c r="U442" s="213"/>
      <c r="V442" s="213"/>
      <c r="W442" s="213"/>
      <c r="X442" s="213"/>
      <c r="Y442" s="213"/>
      <c r="Z442" s="213"/>
      <c r="AA442" s="213"/>
      <c r="AB442" s="213"/>
      <c r="AC442" s="213"/>
      <c r="AD442" s="213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 s="213"/>
      <c r="V443" s="213"/>
      <c r="W443" s="213"/>
      <c r="X443" s="213"/>
      <c r="Y443" s="213"/>
      <c r="Z443" s="213"/>
      <c r="AA443" s="213"/>
      <c r="AB443" s="213"/>
      <c r="AC443" s="21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 s="213"/>
      <c r="T444" s="213"/>
      <c r="U444" s="213"/>
      <c r="V444" s="213"/>
      <c r="W444" s="213"/>
      <c r="X444" s="213"/>
      <c r="Y444" s="213"/>
      <c r="Z444" s="213"/>
      <c r="AA444" s="213"/>
      <c r="AB444" s="213"/>
      <c r="AC444" s="213"/>
      <c r="AD444" s="213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 s="213"/>
      <c r="V445" s="213"/>
      <c r="W445" s="213"/>
      <c r="X445" s="213"/>
      <c r="Y445" s="213"/>
      <c r="Z445" s="213"/>
      <c r="AA445" s="213"/>
      <c r="AB445" s="213"/>
      <c r="AC445" s="213"/>
      <c r="AE445"/>
      <c r="AF445"/>
      <c r="AG445"/>
      <c r="AH445"/>
      <c r="AI445"/>
      <c r="AM445"/>
      <c r="AO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 s="213"/>
      <c r="T446" s="213"/>
      <c r="U446" s="213"/>
      <c r="V446" s="213"/>
      <c r="W446" s="213"/>
      <c r="X446" s="213"/>
      <c r="Y446" s="213"/>
      <c r="Z446" s="213"/>
      <c r="AA446" s="213"/>
      <c r="AB446" s="213"/>
      <c r="AC446" s="213"/>
      <c r="AD446" s="213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 s="213"/>
      <c r="T447" s="213"/>
      <c r="U447" s="213"/>
      <c r="V447" s="213"/>
      <c r="W447" s="213"/>
      <c r="X447" s="213"/>
      <c r="Y447" s="213"/>
      <c r="Z447" s="213"/>
      <c r="AA447" s="213"/>
      <c r="AB447" s="213"/>
      <c r="AC447" s="213"/>
      <c r="AD447" s="213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 s="213"/>
      <c r="T448" s="213"/>
      <c r="U448" s="213"/>
      <c r="V448" s="213"/>
      <c r="W448" s="213"/>
      <c r="X448" s="213"/>
      <c r="Y448" s="213"/>
      <c r="Z448" s="213"/>
      <c r="AA448" s="213"/>
      <c r="AB448" s="213"/>
      <c r="AC448" s="213"/>
      <c r="AD448" s="213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 s="213"/>
      <c r="V449" s="213"/>
      <c r="W449" s="213"/>
      <c r="X449" s="213"/>
      <c r="Y449" s="213"/>
      <c r="Z449" s="213"/>
      <c r="AA449" s="213"/>
      <c r="AB449" s="213"/>
      <c r="AC449" s="213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 s="213"/>
      <c r="T450" s="213"/>
      <c r="U450" s="213"/>
      <c r="V450" s="213"/>
      <c r="W450" s="213"/>
      <c r="X450" s="213"/>
      <c r="Y450" s="213"/>
      <c r="Z450" s="213"/>
      <c r="AA450" s="213"/>
      <c r="AB450" s="213"/>
      <c r="AC450" s="213"/>
      <c r="AD450" s="213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 s="213"/>
      <c r="T451" s="213"/>
      <c r="U451" s="213"/>
      <c r="V451" s="213"/>
      <c r="W451" s="213"/>
      <c r="X451" s="213"/>
      <c r="Y451" s="213"/>
      <c r="Z451" s="213"/>
      <c r="AA451" s="213"/>
      <c r="AB451" s="213"/>
      <c r="AC451" s="213"/>
      <c r="AD451" s="213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 s="213"/>
      <c r="T452" s="213"/>
      <c r="U452" s="213"/>
      <c r="V452" s="213"/>
      <c r="W452" s="213"/>
      <c r="X452" s="213"/>
      <c r="Y452" s="213"/>
      <c r="Z452" s="213"/>
      <c r="AA452" s="213"/>
      <c r="AB452" s="213"/>
      <c r="AC452" s="213"/>
      <c r="AD452" s="213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 s="213"/>
      <c r="V453" s="213"/>
      <c r="W453" s="213"/>
      <c r="X453" s="213"/>
      <c r="Y453" s="213"/>
      <c r="Z453" s="213"/>
      <c r="AA453" s="213"/>
      <c r="AB453" s="213"/>
      <c r="AC453" s="213"/>
      <c r="AE453"/>
      <c r="AF453"/>
      <c r="AG453"/>
      <c r="AH453"/>
      <c r="AI453"/>
      <c r="AM453"/>
      <c r="AO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 s="213"/>
      <c r="T454" s="213"/>
      <c r="U454" s="213"/>
      <c r="V454" s="213"/>
      <c r="W454" s="213"/>
      <c r="X454" s="213"/>
      <c r="Y454" s="213"/>
      <c r="Z454" s="213"/>
      <c r="AA454" s="213"/>
      <c r="AB454" s="213"/>
      <c r="AC454" s="213"/>
      <c r="AD454" s="213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 s="213"/>
      <c r="T455" s="213"/>
      <c r="U455" s="213"/>
      <c r="V455" s="213"/>
      <c r="W455" s="213"/>
      <c r="X455" s="213"/>
      <c r="Y455" s="213"/>
      <c r="Z455" s="213"/>
      <c r="AA455" s="213"/>
      <c r="AB455" s="213"/>
      <c r="AC455" s="213"/>
      <c r="AD455" s="213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 s="213"/>
      <c r="T456" s="213"/>
      <c r="U456" s="213"/>
      <c r="V456" s="213"/>
      <c r="W456" s="213"/>
      <c r="X456" s="213"/>
      <c r="Y456" s="213"/>
      <c r="Z456" s="213"/>
      <c r="AA456" s="213"/>
      <c r="AB456" s="213"/>
      <c r="AC456" s="213"/>
      <c r="AD456" s="213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 s="213"/>
      <c r="T457" s="213"/>
      <c r="U457" s="213"/>
      <c r="V457" s="213"/>
      <c r="W457" s="213"/>
      <c r="X457" s="213"/>
      <c r="Y457" s="213"/>
      <c r="Z457" s="213"/>
      <c r="AA457" s="213"/>
      <c r="AB457" s="213"/>
      <c r="AC457" s="213"/>
      <c r="AD457" s="213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 s="213"/>
      <c r="V458" s="213"/>
      <c r="W458" s="213"/>
      <c r="X458" s="213"/>
      <c r="Y458" s="213"/>
      <c r="Z458" s="213"/>
      <c r="AA458" s="213"/>
      <c r="AB458" s="213"/>
      <c r="AC458" s="213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 s="213"/>
      <c r="V459" s="213"/>
      <c r="W459" s="213"/>
      <c r="X459" s="213"/>
      <c r="Y459" s="213"/>
      <c r="Z459" s="213"/>
      <c r="AA459" s="213"/>
      <c r="AB459" s="213"/>
      <c r="AC459" s="213"/>
      <c r="AE459"/>
      <c r="AF459"/>
      <c r="AG459"/>
      <c r="AH459"/>
      <c r="AI459"/>
      <c r="AM459"/>
      <c r="AO459"/>
    </row>
    <row r="460" spans="1:91" s="2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 s="213"/>
      <c r="T460" s="213"/>
      <c r="U460" s="213"/>
      <c r="V460" s="213"/>
      <c r="W460" s="213"/>
      <c r="X460" s="213"/>
      <c r="Y460" s="213"/>
      <c r="Z460" s="213"/>
      <c r="AA460" s="213"/>
      <c r="AB460" s="213"/>
      <c r="AC460" s="213"/>
      <c r="AD460" s="213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 s="213"/>
      <c r="V461" s="213"/>
      <c r="W461" s="213"/>
      <c r="X461" s="213"/>
      <c r="Y461" s="213"/>
      <c r="Z461" s="213"/>
      <c r="AA461" s="213"/>
      <c r="AB461" s="213"/>
      <c r="AC461" s="213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 s="213"/>
      <c r="T462" s="213"/>
      <c r="U462" s="213"/>
      <c r="V462" s="213"/>
      <c r="W462" s="213"/>
      <c r="X462" s="213"/>
      <c r="Y462" s="213"/>
      <c r="Z462" s="213"/>
      <c r="AA462" s="213"/>
      <c r="AB462" s="213"/>
      <c r="AC462" s="213"/>
      <c r="AD462" s="213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 s="213"/>
      <c r="T463" s="213"/>
      <c r="U463" s="213"/>
      <c r="V463" s="213"/>
      <c r="W463" s="213"/>
      <c r="X463" s="213"/>
      <c r="Y463" s="213"/>
      <c r="Z463" s="213"/>
      <c r="AA463" s="213"/>
      <c r="AB463" s="213"/>
      <c r="AC463" s="213"/>
      <c r="AD463" s="21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 s="213"/>
      <c r="T464" s="213"/>
      <c r="U464" s="213"/>
      <c r="V464" s="213"/>
      <c r="W464" s="213"/>
      <c r="X464" s="213"/>
      <c r="Y464" s="213"/>
      <c r="Z464" s="213"/>
      <c r="AA464" s="213"/>
      <c r="AB464" s="213"/>
      <c r="AC464" s="213"/>
      <c r="AD464" s="213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 s="213"/>
      <c r="V465" s="213"/>
      <c r="W465" s="213"/>
      <c r="X465" s="213"/>
      <c r="Y465" s="213"/>
      <c r="Z465" s="213"/>
      <c r="AA465" s="213"/>
      <c r="AB465" s="213"/>
      <c r="AC465" s="213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 s="213"/>
      <c r="V466" s="213"/>
      <c r="W466" s="213"/>
      <c r="X466" s="213"/>
      <c r="Y466" s="213"/>
      <c r="Z466" s="213"/>
      <c r="AA466" s="213"/>
      <c r="AB466" s="213"/>
      <c r="AC466" s="213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 s="213"/>
      <c r="V467" s="213"/>
      <c r="W467" s="213"/>
      <c r="X467" s="213"/>
      <c r="Y467" s="213"/>
      <c r="Z467" s="213"/>
      <c r="AA467" s="213"/>
      <c r="AB467" s="213"/>
      <c r="AC467" s="213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 s="213"/>
      <c r="T468" s="213"/>
      <c r="U468" s="213"/>
      <c r="V468" s="213"/>
      <c r="W468" s="213"/>
      <c r="X468" s="213"/>
      <c r="Y468" s="213"/>
      <c r="Z468" s="213"/>
      <c r="AA468" s="213"/>
      <c r="AB468" s="213"/>
      <c r="AC468" s="213"/>
      <c r="AD468" s="213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 s="213"/>
      <c r="V469" s="213"/>
      <c r="W469" s="213"/>
      <c r="X469" s="213"/>
      <c r="Y469" s="213"/>
      <c r="Z469" s="213"/>
      <c r="AA469" s="213"/>
      <c r="AB469" s="213"/>
      <c r="AC469" s="213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 s="213"/>
      <c r="V470" s="213"/>
      <c r="W470" s="213"/>
      <c r="X470" s="213"/>
      <c r="Y470" s="213"/>
      <c r="Z470" s="213"/>
      <c r="AA470" s="213"/>
      <c r="AB470" s="213"/>
      <c r="AC470" s="213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 s="213"/>
      <c r="V471" s="213"/>
      <c r="W471" s="213"/>
      <c r="X471" s="213"/>
      <c r="Y471" s="213"/>
      <c r="Z471" s="213"/>
      <c r="AA471" s="213"/>
      <c r="AB471" s="213"/>
      <c r="AC471" s="213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 s="213"/>
      <c r="V472" s="213"/>
      <c r="W472" s="213"/>
      <c r="X472" s="213"/>
      <c r="Y472" s="213"/>
      <c r="Z472" s="213"/>
      <c r="AA472" s="213"/>
      <c r="AB472" s="213"/>
      <c r="AC472" s="213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 s="213"/>
      <c r="V473" s="213"/>
      <c r="W473" s="213"/>
      <c r="X473" s="213"/>
      <c r="Y473" s="213"/>
      <c r="Z473" s="213"/>
      <c r="AA473" s="213"/>
      <c r="AB473" s="213"/>
      <c r="AC473" s="213"/>
      <c r="AE473"/>
      <c r="AF473"/>
      <c r="AG473"/>
      <c r="AH473"/>
      <c r="AI473"/>
      <c r="AM473"/>
      <c r="AO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 s="213"/>
      <c r="T474" s="213"/>
      <c r="U474" s="213"/>
      <c r="V474" s="213"/>
      <c r="W474" s="213"/>
      <c r="X474" s="213"/>
      <c r="Y474" s="213"/>
      <c r="Z474" s="213"/>
      <c r="AA474" s="213"/>
      <c r="AB474" s="213"/>
      <c r="AC474" s="213"/>
      <c r="AD474" s="213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 s="213"/>
      <c r="T475" s="213"/>
      <c r="U475" s="213"/>
      <c r="V475" s="213"/>
      <c r="W475" s="213"/>
      <c r="X475" s="213"/>
      <c r="Y475" s="213"/>
      <c r="Z475" s="213"/>
      <c r="AA475" s="213"/>
      <c r="AB475" s="213"/>
      <c r="AC475" s="213"/>
      <c r="AD475" s="213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 s="213"/>
      <c r="V476" s="213"/>
      <c r="W476" s="213"/>
      <c r="X476" s="213"/>
      <c r="Y476" s="213"/>
      <c r="Z476" s="213"/>
      <c r="AA476" s="213"/>
      <c r="AB476" s="213"/>
      <c r="AC476" s="213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 s="213"/>
      <c r="V477" s="213"/>
      <c r="W477" s="213"/>
      <c r="X477" s="213"/>
      <c r="Y477" s="213"/>
      <c r="Z477" s="213"/>
      <c r="AA477" s="213"/>
      <c r="AB477" s="213"/>
      <c r="AC477" s="213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 s="213"/>
      <c r="T478" s="213"/>
      <c r="U478" s="213"/>
      <c r="V478" s="213"/>
      <c r="W478" s="213"/>
      <c r="X478" s="213"/>
      <c r="Y478" s="213"/>
      <c r="Z478" s="213"/>
      <c r="AA478" s="213"/>
      <c r="AB478" s="213"/>
      <c r="AC478" s="213"/>
      <c r="AD478" s="213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 s="213"/>
      <c r="V479" s="213"/>
      <c r="W479" s="213"/>
      <c r="X479" s="213"/>
      <c r="Y479" s="213"/>
      <c r="Z479" s="213"/>
      <c r="AA479" s="213"/>
      <c r="AB479" s="213"/>
      <c r="AC479" s="213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 s="213"/>
      <c r="V480" s="213"/>
      <c r="W480" s="213"/>
      <c r="X480" s="213"/>
      <c r="Y480" s="213"/>
      <c r="Z480" s="213"/>
      <c r="AA480" s="213"/>
      <c r="AB480" s="213"/>
      <c r="AC480" s="213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 s="213"/>
      <c r="V481" s="213"/>
      <c r="W481" s="213"/>
      <c r="X481" s="213"/>
      <c r="Y481" s="213"/>
      <c r="Z481" s="213"/>
      <c r="AA481" s="213"/>
      <c r="AB481" s="213"/>
      <c r="AC481" s="213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 s="213"/>
      <c r="V482" s="213"/>
      <c r="W482" s="213"/>
      <c r="X482" s="213"/>
      <c r="Y482" s="213"/>
      <c r="Z482" s="213"/>
      <c r="AA482" s="213"/>
      <c r="AB482" s="213"/>
      <c r="AC482" s="213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 s="213"/>
      <c r="V483" s="213"/>
      <c r="W483" s="213"/>
      <c r="X483" s="213"/>
      <c r="Y483" s="213"/>
      <c r="Z483" s="213"/>
      <c r="AA483" s="213"/>
      <c r="AB483" s="213"/>
      <c r="AC483" s="21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 s="213"/>
      <c r="V484" s="213"/>
      <c r="W484" s="213"/>
      <c r="X484" s="213"/>
      <c r="Y484" s="213"/>
      <c r="Z484" s="213"/>
      <c r="AA484" s="213"/>
      <c r="AB484" s="213"/>
      <c r="AC484" s="213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 s="213"/>
      <c r="V485" s="213"/>
      <c r="W485" s="213"/>
      <c r="X485" s="213"/>
      <c r="Y485" s="213"/>
      <c r="Z485" s="213"/>
      <c r="AA485" s="213"/>
      <c r="AB485" s="213"/>
      <c r="AC485" s="213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 s="213"/>
      <c r="V486" s="213"/>
      <c r="W486" s="213"/>
      <c r="X486" s="213"/>
      <c r="Y486" s="213"/>
      <c r="Z486" s="213"/>
      <c r="AA486" s="213"/>
      <c r="AB486" s="213"/>
      <c r="AC486" s="213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 s="213"/>
      <c r="V487" s="213"/>
      <c r="W487" s="213"/>
      <c r="X487" s="213"/>
      <c r="Y487" s="213"/>
      <c r="Z487" s="213"/>
      <c r="AA487" s="213"/>
      <c r="AB487" s="213"/>
      <c r="AC487" s="213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 s="213"/>
      <c r="V488" s="213"/>
      <c r="W488" s="213"/>
      <c r="X488" s="213"/>
      <c r="Y488" s="213"/>
      <c r="Z488" s="213"/>
      <c r="AA488" s="213"/>
      <c r="AB488" s="213"/>
      <c r="AC488" s="213"/>
      <c r="AE488"/>
      <c r="AF488"/>
      <c r="AG488"/>
      <c r="AH488"/>
      <c r="AI488"/>
      <c r="AM488"/>
      <c r="AO488"/>
    </row>
    <row r="489" spans="1:91" s="2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 s="213"/>
      <c r="T489" s="213"/>
      <c r="U489" s="213"/>
      <c r="V489" s="213"/>
      <c r="W489" s="213"/>
      <c r="X489" s="213"/>
      <c r="Y489" s="213"/>
      <c r="Z489" s="213"/>
      <c r="AA489" s="213"/>
      <c r="AB489" s="213"/>
      <c r="AC489" s="213"/>
      <c r="AD489" s="213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 s="213"/>
      <c r="V490" s="213"/>
      <c r="W490" s="213"/>
      <c r="X490" s="213"/>
      <c r="Y490" s="213"/>
      <c r="Z490" s="213"/>
      <c r="AA490" s="213"/>
      <c r="AB490" s="213"/>
      <c r="AC490" s="213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 s="213"/>
      <c r="V491" s="213"/>
      <c r="W491" s="213"/>
      <c r="X491" s="213"/>
      <c r="Y491" s="213"/>
      <c r="Z491" s="213"/>
      <c r="AA491" s="213"/>
      <c r="AB491" s="213"/>
      <c r="AC491" s="213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 s="213"/>
      <c r="V492" s="213"/>
      <c r="W492" s="213"/>
      <c r="X492" s="213"/>
      <c r="Y492" s="213"/>
      <c r="Z492" s="213"/>
      <c r="AA492" s="213"/>
      <c r="AB492" s="213"/>
      <c r="AC492" s="213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 s="213"/>
      <c r="V493" s="213"/>
      <c r="W493" s="213"/>
      <c r="X493" s="213"/>
      <c r="Y493" s="213"/>
      <c r="Z493" s="213"/>
      <c r="AA493" s="213"/>
      <c r="AB493" s="213"/>
      <c r="AC493" s="21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 s="213"/>
      <c r="V494" s="213"/>
      <c r="W494" s="213"/>
      <c r="X494" s="213"/>
      <c r="Y494" s="213"/>
      <c r="Z494" s="213"/>
      <c r="AA494" s="213"/>
      <c r="AB494" s="213"/>
      <c r="AC494" s="213"/>
      <c r="AE494"/>
      <c r="AF494"/>
      <c r="AG494"/>
      <c r="AH494"/>
      <c r="AI494"/>
      <c r="AM494"/>
      <c r="AO494"/>
    </row>
    <row r="495" spans="1:91" s="2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 s="213"/>
      <c r="T495" s="213"/>
      <c r="U495" s="213"/>
      <c r="V495" s="213"/>
      <c r="W495" s="213"/>
      <c r="X495" s="213"/>
      <c r="Y495" s="213"/>
      <c r="Z495" s="213"/>
      <c r="AA495" s="213"/>
      <c r="AB495" s="213"/>
      <c r="AC495" s="213"/>
      <c r="AD495" s="213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 s="213"/>
      <c r="V496" s="213"/>
      <c r="W496" s="213"/>
      <c r="X496" s="213"/>
      <c r="Y496" s="213"/>
      <c r="Z496" s="213"/>
      <c r="AA496" s="213"/>
      <c r="AB496" s="213"/>
      <c r="AC496" s="213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 s="213"/>
      <c r="V497" s="213"/>
      <c r="W497" s="213"/>
      <c r="X497" s="213"/>
      <c r="Y497" s="213"/>
      <c r="Z497" s="213"/>
      <c r="AA497" s="213"/>
      <c r="AB497" s="213"/>
      <c r="AC497" s="213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 s="213"/>
      <c r="V498" s="213"/>
      <c r="W498" s="213"/>
      <c r="X498" s="213"/>
      <c r="Y498" s="213"/>
      <c r="Z498" s="213"/>
      <c r="AA498" s="213"/>
      <c r="AB498" s="213"/>
      <c r="AC498" s="213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 s="213"/>
      <c r="V499" s="213"/>
      <c r="W499" s="213"/>
      <c r="X499" s="213"/>
      <c r="Y499" s="213"/>
      <c r="Z499" s="213"/>
      <c r="AA499" s="213"/>
      <c r="AB499" s="213"/>
      <c r="AC499" s="213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 s="213"/>
      <c r="V500" s="213"/>
      <c r="W500" s="213"/>
      <c r="X500" s="213"/>
      <c r="Y500" s="213"/>
      <c r="Z500" s="213"/>
      <c r="AA500" s="213"/>
      <c r="AB500" s="213"/>
      <c r="AC500" s="213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 s="213"/>
      <c r="V501" s="213"/>
      <c r="W501" s="213"/>
      <c r="X501" s="213"/>
      <c r="Y501" s="213"/>
      <c r="Z501" s="213"/>
      <c r="AA501" s="213"/>
      <c r="AB501" s="213"/>
      <c r="AC501" s="213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 s="213"/>
      <c r="V502" s="213"/>
      <c r="W502" s="213"/>
      <c r="X502" s="213"/>
      <c r="Y502" s="213"/>
      <c r="Z502" s="213"/>
      <c r="AA502" s="213"/>
      <c r="AB502" s="213"/>
      <c r="AC502" s="213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 s="213"/>
      <c r="V503" s="213"/>
      <c r="W503" s="213"/>
      <c r="X503" s="213"/>
      <c r="Y503" s="213"/>
      <c r="Z503" s="213"/>
      <c r="AA503" s="213"/>
      <c r="AB503" s="213"/>
      <c r="AC503" s="21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 s="213"/>
      <c r="V504" s="213"/>
      <c r="W504" s="213"/>
      <c r="X504" s="213"/>
      <c r="Y504" s="213"/>
      <c r="Z504" s="213"/>
      <c r="AA504" s="213"/>
      <c r="AB504" s="213"/>
      <c r="AC504" s="213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 s="213"/>
      <c r="V505" s="213"/>
      <c r="W505" s="213"/>
      <c r="X505" s="213"/>
      <c r="Y505" s="213"/>
      <c r="Z505" s="213"/>
      <c r="AA505" s="213"/>
      <c r="AB505" s="213"/>
      <c r="AC505" s="213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 s="213"/>
      <c r="V506" s="213"/>
      <c r="W506" s="213"/>
      <c r="X506" s="213"/>
      <c r="Y506" s="213"/>
      <c r="Z506" s="213"/>
      <c r="AA506" s="213"/>
      <c r="AB506" s="213"/>
      <c r="AC506" s="213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 s="213"/>
      <c r="V507" s="213"/>
      <c r="W507" s="213"/>
      <c r="X507" s="213"/>
      <c r="Y507" s="213"/>
      <c r="Z507" s="213"/>
      <c r="AA507" s="213"/>
      <c r="AB507" s="213"/>
      <c r="AC507" s="213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 s="213"/>
      <c r="V508" s="213"/>
      <c r="W508" s="213"/>
      <c r="X508" s="213"/>
      <c r="Y508" s="213"/>
      <c r="Z508" s="213"/>
      <c r="AA508" s="213"/>
      <c r="AB508" s="213"/>
      <c r="AC508" s="213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 s="213"/>
      <c r="V509" s="213"/>
      <c r="W509" s="213"/>
      <c r="X509" s="213"/>
      <c r="Y509" s="213"/>
      <c r="Z509" s="213"/>
      <c r="AA509" s="213"/>
      <c r="AB509" s="213"/>
      <c r="AC509" s="213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 s="213"/>
      <c r="V510" s="213"/>
      <c r="W510" s="213"/>
      <c r="X510" s="213"/>
      <c r="Y510" s="213"/>
      <c r="Z510" s="213"/>
      <c r="AA510" s="213"/>
      <c r="AB510" s="213"/>
      <c r="AC510" s="213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 s="213"/>
      <c r="V511" s="213"/>
      <c r="W511" s="213"/>
      <c r="X511" s="213"/>
      <c r="Y511" s="213"/>
      <c r="Z511" s="213"/>
      <c r="AA511" s="213"/>
      <c r="AB511" s="213"/>
      <c r="AC511" s="213"/>
      <c r="AE511"/>
      <c r="AF511"/>
      <c r="AG511"/>
      <c r="AH511"/>
      <c r="AI511"/>
      <c r="AM511"/>
      <c r="AO511"/>
    </row>
    <row r="512" spans="1:91" s="2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 s="213"/>
      <c r="T512" s="213"/>
      <c r="U512" s="213"/>
      <c r="V512" s="213"/>
      <c r="W512" s="213"/>
      <c r="X512" s="213"/>
      <c r="Y512" s="213"/>
      <c r="Z512" s="213"/>
      <c r="AA512" s="213"/>
      <c r="AB512" s="213"/>
      <c r="AC512" s="213"/>
      <c r="AD512" s="213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 s="213"/>
      <c r="V513" s="213"/>
      <c r="W513" s="213"/>
      <c r="X513" s="213"/>
      <c r="Y513" s="213"/>
      <c r="Z513" s="213"/>
      <c r="AA513" s="213"/>
      <c r="AB513" s="213"/>
      <c r="AC513" s="2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 s="213"/>
      <c r="V514" s="213"/>
      <c r="W514" s="213"/>
      <c r="X514" s="213"/>
      <c r="Y514" s="213"/>
      <c r="Z514" s="213"/>
      <c r="AA514" s="213"/>
      <c r="AB514" s="213"/>
      <c r="AC514" s="213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 s="213"/>
      <c r="V515" s="213"/>
      <c r="W515" s="213"/>
      <c r="X515" s="213"/>
      <c r="Y515" s="213"/>
      <c r="Z515" s="213"/>
      <c r="AA515" s="213"/>
      <c r="AB515" s="213"/>
      <c r="AC515" s="213"/>
      <c r="AE515"/>
      <c r="AF515"/>
      <c r="AG515"/>
      <c r="AH515"/>
      <c r="AI515"/>
      <c r="AM515"/>
      <c r="AO515"/>
    </row>
    <row r="516" spans="1:91" s="2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 s="213"/>
      <c r="T516" s="213"/>
      <c r="U516" s="213"/>
      <c r="V516" s="213"/>
      <c r="W516" s="213"/>
      <c r="X516" s="213"/>
      <c r="Y516" s="213"/>
      <c r="Z516" s="213"/>
      <c r="AA516" s="213"/>
      <c r="AB516" s="213"/>
      <c r="AC516" s="213"/>
      <c r="AD516" s="213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:9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 s="213"/>
      <c r="V517" s="213"/>
      <c r="W517" s="213"/>
      <c r="X517" s="213"/>
      <c r="Y517" s="213"/>
      <c r="Z517" s="213"/>
      <c r="AA517" s="213"/>
      <c r="AB517" s="213"/>
      <c r="AC517" s="213"/>
      <c r="AE517"/>
      <c r="AF517"/>
      <c r="AG517"/>
      <c r="AH517"/>
      <c r="AI517"/>
      <c r="AM517"/>
      <c r="AO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 s="213"/>
      <c r="V518" s="213"/>
      <c r="W518" s="213"/>
      <c r="X518" s="213"/>
      <c r="Y518" s="213"/>
      <c r="Z518" s="213"/>
      <c r="AA518" s="213"/>
      <c r="AB518" s="213"/>
      <c r="AC518" s="213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 s="213"/>
      <c r="V519" s="213"/>
      <c r="W519" s="213"/>
      <c r="X519" s="213"/>
      <c r="Y519" s="213"/>
      <c r="Z519" s="213"/>
      <c r="AA519" s="213"/>
      <c r="AB519" s="213"/>
      <c r="AC519" s="213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 s="213"/>
      <c r="V520" s="213"/>
      <c r="W520" s="213"/>
      <c r="X520" s="213"/>
      <c r="Y520" s="213"/>
      <c r="Z520" s="213"/>
      <c r="AA520" s="213"/>
      <c r="AB520" s="213"/>
      <c r="AC520" s="213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 s="213"/>
      <c r="V521" s="213"/>
      <c r="W521" s="213"/>
      <c r="X521" s="213"/>
      <c r="Y521" s="213"/>
      <c r="Z521" s="213"/>
      <c r="AA521" s="213"/>
      <c r="AB521" s="213"/>
      <c r="AC521" s="213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 s="213"/>
      <c r="V522" s="213"/>
      <c r="W522" s="213"/>
      <c r="X522" s="213"/>
      <c r="Y522" s="213"/>
      <c r="Z522" s="213"/>
      <c r="AA522" s="213"/>
      <c r="AB522" s="213"/>
      <c r="AC522" s="213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 s="213"/>
      <c r="V523" s="213"/>
      <c r="W523" s="213"/>
      <c r="X523" s="213"/>
      <c r="Y523" s="213"/>
      <c r="Z523" s="213"/>
      <c r="AA523" s="213"/>
      <c r="AB523" s="213"/>
      <c r="AC523" s="21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 s="213"/>
      <c r="V524" s="213"/>
      <c r="W524" s="213"/>
      <c r="X524" s="213"/>
      <c r="Y524" s="213"/>
      <c r="Z524" s="213"/>
      <c r="AA524" s="213"/>
      <c r="AB524" s="213"/>
      <c r="AC524" s="213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 s="213"/>
      <c r="V525" s="213"/>
      <c r="W525" s="213"/>
      <c r="X525" s="213"/>
      <c r="Y525" s="213"/>
      <c r="Z525" s="213"/>
      <c r="AA525" s="213"/>
      <c r="AB525" s="213"/>
      <c r="AC525" s="213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 s="213"/>
      <c r="V526" s="213"/>
      <c r="W526" s="213"/>
      <c r="X526" s="213"/>
      <c r="Y526" s="213"/>
      <c r="Z526" s="213"/>
      <c r="AA526" s="213"/>
      <c r="AB526" s="213"/>
      <c r="AC526" s="213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 s="213"/>
      <c r="V527" s="213"/>
      <c r="W527" s="213"/>
      <c r="X527" s="213"/>
      <c r="Y527" s="213"/>
      <c r="Z527" s="213"/>
      <c r="AA527" s="213"/>
      <c r="AB527" s="213"/>
      <c r="AC527" s="213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 s="213"/>
      <c r="V528" s="213"/>
      <c r="W528" s="213"/>
      <c r="X528" s="213"/>
      <c r="Y528" s="213"/>
      <c r="Z528" s="213"/>
      <c r="AA528" s="213"/>
      <c r="AB528" s="213"/>
      <c r="AC528" s="213"/>
      <c r="AE528"/>
      <c r="AF528"/>
      <c r="AG528"/>
      <c r="AH528"/>
      <c r="AI528"/>
      <c r="AM528"/>
      <c r="AO528"/>
    </row>
    <row r="529" spans="1:4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 s="213"/>
      <c r="V529" s="213"/>
      <c r="W529" s="213"/>
      <c r="X529" s="213"/>
      <c r="Y529" s="213"/>
      <c r="Z529" s="213"/>
      <c r="AA529" s="213"/>
      <c r="AB529" s="213"/>
      <c r="AC529" s="213"/>
      <c r="AE529"/>
      <c r="AF529"/>
      <c r="AG529"/>
      <c r="AH529"/>
      <c r="AI529"/>
      <c r="AM529"/>
      <c r="AO529"/>
    </row>
    <row r="530" spans="1:4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 s="213"/>
      <c r="V530" s="213"/>
      <c r="W530" s="213"/>
      <c r="X530" s="213"/>
      <c r="Y530" s="213"/>
      <c r="Z530" s="213"/>
      <c r="AA530" s="213"/>
      <c r="AB530" s="213"/>
      <c r="AC530" s="213"/>
      <c r="AE530"/>
      <c r="AF530"/>
      <c r="AG530"/>
      <c r="AH530"/>
      <c r="AI530"/>
      <c r="AM530"/>
      <c r="AO530"/>
    </row>
    <row r="531" spans="1:4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 s="213"/>
      <c r="V531" s="213"/>
      <c r="W531" s="213"/>
      <c r="X531" s="213"/>
      <c r="Y531" s="213"/>
      <c r="Z531" s="213"/>
      <c r="AA531" s="213"/>
      <c r="AB531" s="213"/>
      <c r="AC531" s="213"/>
      <c r="AE531"/>
      <c r="AF531"/>
      <c r="AG531"/>
      <c r="AH531"/>
      <c r="AI531"/>
      <c r="AM531"/>
      <c r="AO531"/>
    </row>
    <row r="532" spans="1:4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 s="213"/>
      <c r="V532" s="213"/>
      <c r="W532" s="213"/>
      <c r="X532" s="213"/>
      <c r="Y532" s="213"/>
      <c r="Z532" s="213"/>
      <c r="AA532" s="213"/>
      <c r="AB532" s="213"/>
      <c r="AC532" s="213"/>
      <c r="AE532"/>
      <c r="AF532"/>
      <c r="AG532"/>
      <c r="AH532"/>
      <c r="AI532"/>
      <c r="AM532"/>
      <c r="AO532"/>
    </row>
    <row r="533" spans="1:4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 s="213"/>
      <c r="V533" s="213"/>
      <c r="W533" s="213"/>
      <c r="X533" s="213"/>
      <c r="Y533" s="213"/>
      <c r="Z533" s="213"/>
      <c r="AA533" s="213"/>
      <c r="AB533" s="213"/>
      <c r="AC533" s="213"/>
      <c r="AE533"/>
      <c r="AF533"/>
      <c r="AG533"/>
      <c r="AH533"/>
      <c r="AI533"/>
      <c r="AM533"/>
      <c r="AO533"/>
    </row>
    <row r="534" spans="1:4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 s="213"/>
      <c r="V534" s="213"/>
      <c r="W534" s="213"/>
      <c r="X534" s="213"/>
      <c r="Y534" s="213"/>
      <c r="Z534" s="213"/>
      <c r="AA534" s="213"/>
      <c r="AB534" s="213"/>
      <c r="AC534" s="213"/>
      <c r="AE534"/>
      <c r="AF534"/>
      <c r="AG534"/>
      <c r="AH534"/>
      <c r="AI534"/>
      <c r="AM534"/>
      <c r="AO534"/>
    </row>
    <row r="535" spans="1:4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 s="213"/>
      <c r="V535" s="213"/>
      <c r="W535" s="213"/>
      <c r="X535" s="213"/>
      <c r="Y535" s="213"/>
      <c r="Z535" s="213"/>
      <c r="AA535" s="213"/>
      <c r="AB535" s="213"/>
      <c r="AC535" s="213"/>
      <c r="AE535"/>
      <c r="AF535"/>
      <c r="AG535"/>
      <c r="AH535"/>
      <c r="AI535"/>
      <c r="AM535"/>
      <c r="AO535"/>
    </row>
    <row r="536" spans="1:4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 s="213"/>
      <c r="V536" s="213"/>
      <c r="W536" s="213"/>
      <c r="X536" s="213"/>
      <c r="Y536" s="213"/>
      <c r="Z536" s="213"/>
      <c r="AA536" s="213"/>
      <c r="AB536" s="213"/>
      <c r="AC536" s="213"/>
      <c r="AE536"/>
      <c r="AF536"/>
      <c r="AG536"/>
      <c r="AH536"/>
      <c r="AI536"/>
      <c r="AM536"/>
      <c r="AO536"/>
    </row>
    <row r="537" spans="1:4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 s="213"/>
      <c r="V537" s="213"/>
      <c r="W537" s="213"/>
      <c r="X537" s="213"/>
      <c r="Y537" s="213"/>
      <c r="Z537" s="213"/>
      <c r="AA537" s="213"/>
      <c r="AB537" s="213"/>
      <c r="AC537" s="213"/>
      <c r="AE537"/>
      <c r="AF537"/>
      <c r="AG537"/>
      <c r="AH537"/>
      <c r="AI537"/>
      <c r="AM537"/>
      <c r="AO537"/>
    </row>
  </sheetData>
  <autoFilter ref="A12:AG532"/>
  <sortState ref="A13:AN437">
    <sortCondition ref="AG13:AG437"/>
    <sortCondition ref="AD13:AD437"/>
  </sortState>
  <mergeCells count="1">
    <mergeCell ref="A11:P11"/>
  </mergeCells>
  <conditionalFormatting sqref="W11:W12 W538:X1048576 W13:X236">
    <cfRule type="cellIs" dxfId="10" priority="465" operator="equal">
      <formula>"Y"</formula>
    </cfRule>
  </conditionalFormatting>
  <conditionalFormatting sqref="X538:X1048576 X13:X236">
    <cfRule type="cellIs" dxfId="9" priority="448" operator="greaterThan">
      <formula>1</formula>
    </cfRule>
  </conditionalFormatting>
  <conditionalFormatting sqref="X538:X1048576 X12:X236">
    <cfRule type="cellIs" dxfId="8" priority="445" operator="equal">
      <formula>0</formula>
    </cfRule>
  </conditionalFormatting>
  <conditionalFormatting sqref="A13:S236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3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07" customWidth="1"/>
    <col min="5" max="5" width="29.42578125" style="107" customWidth="1"/>
    <col min="6" max="6" width="5.7109375" style="107" customWidth="1"/>
    <col min="7" max="7" width="5.85546875" style="107" customWidth="1"/>
    <col min="8" max="8" width="7.85546875" style="107" customWidth="1"/>
    <col min="9" max="9" width="9" style="107" customWidth="1"/>
    <col min="10" max="10" width="11.5703125" style="107" hidden="1" customWidth="1"/>
    <col min="11" max="11" width="9.140625" style="107" customWidth="1"/>
    <col min="12" max="12" width="4.85546875" style="107" customWidth="1"/>
    <col min="13" max="13" width="7.85546875" style="2" customWidth="1"/>
    <col min="14" max="14" width="15.5703125" style="106" customWidth="1"/>
    <col min="15" max="15" width="4.42578125" style="160" customWidth="1"/>
    <col min="16" max="16" width="24.7109375" style="107" customWidth="1"/>
    <col min="17" max="17" width="5" hidden="1" customWidth="1"/>
    <col min="18" max="18" width="5.5703125" style="69" customWidth="1"/>
    <col min="19" max="19" width="5.5703125" style="76" customWidth="1"/>
    <col min="20" max="20" width="6" style="66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0" customWidth="1"/>
    <col min="27" max="27" width="5.28515625" customWidth="1"/>
    <col min="28" max="28" width="5.5703125" customWidth="1"/>
    <col min="29" max="29" width="5.28515625" style="109" customWidth="1"/>
    <col min="30" max="30" width="6.7109375" customWidth="1"/>
    <col min="31" max="31" width="9.140625" style="135"/>
  </cols>
  <sheetData>
    <row r="1" spans="1:32" s="20" customFormat="1" ht="15.75" hidden="1" thickBot="1" x14ac:dyDescent="0.3">
      <c r="A1" s="8"/>
      <c r="D1" s="107"/>
      <c r="E1" s="107"/>
      <c r="F1" s="107"/>
      <c r="G1" s="107"/>
      <c r="H1" s="107"/>
      <c r="I1" s="107"/>
      <c r="J1" s="107"/>
      <c r="K1" s="107"/>
      <c r="L1" s="107"/>
      <c r="M1" s="2"/>
      <c r="N1" s="106"/>
      <c r="O1" s="160"/>
      <c r="P1" s="107"/>
      <c r="R1" s="69"/>
      <c r="S1" s="76"/>
      <c r="T1" s="66"/>
      <c r="V1" s="43"/>
      <c r="X1" s="2"/>
      <c r="Z1" s="150"/>
      <c r="AC1" s="109"/>
      <c r="AE1" s="135"/>
    </row>
    <row r="2" spans="1:32" s="20" customFormat="1" x14ac:dyDescent="0.25">
      <c r="A2" s="8"/>
      <c r="D2" s="107"/>
      <c r="E2" s="107"/>
      <c r="F2" s="107"/>
      <c r="G2" s="107"/>
      <c r="H2" s="107"/>
      <c r="I2" s="107"/>
      <c r="J2" s="107"/>
      <c r="K2" s="107"/>
      <c r="L2" s="118" t="s">
        <v>80</v>
      </c>
      <c r="M2" s="102"/>
      <c r="N2" s="119"/>
      <c r="O2" s="184">
        <f>COUNTIF($O$7:$O$118,"=Y")</f>
        <v>5</v>
      </c>
      <c r="P2" s="104"/>
      <c r="R2" s="69"/>
      <c r="S2" s="76"/>
      <c r="T2" s="66"/>
      <c r="V2" s="43"/>
      <c r="X2" s="2"/>
      <c r="Z2" s="150"/>
      <c r="AC2" s="110"/>
      <c r="AE2" s="135"/>
    </row>
    <row r="3" spans="1:32" s="20" customFormat="1" ht="15.75" thickBot="1" x14ac:dyDescent="0.3">
      <c r="A3" s="8"/>
      <c r="D3" s="107"/>
      <c r="E3" s="107"/>
      <c r="F3" s="107"/>
      <c r="G3" s="107"/>
      <c r="H3" s="107"/>
      <c r="I3" s="107"/>
      <c r="J3" s="107"/>
      <c r="K3" s="107"/>
      <c r="L3" s="120" t="s">
        <v>81</v>
      </c>
      <c r="M3" s="103"/>
      <c r="N3" s="121"/>
      <c r="O3" s="185">
        <f>COUNTA($O$7:$O$118)-O2</f>
        <v>15</v>
      </c>
      <c r="P3" s="104"/>
      <c r="R3" s="69"/>
      <c r="S3" s="76"/>
      <c r="T3" s="66"/>
      <c r="V3" s="43"/>
      <c r="X3" s="2"/>
      <c r="Z3" s="150"/>
      <c r="AC3" s="110"/>
      <c r="AE3" s="135"/>
    </row>
    <row r="4" spans="1:32" s="20" customFormat="1" x14ac:dyDescent="0.25">
      <c r="A4" s="8"/>
      <c r="D4" s="107"/>
      <c r="E4" s="107"/>
      <c r="F4" s="107"/>
      <c r="G4" s="107"/>
      <c r="H4" s="107"/>
      <c r="I4" s="107"/>
      <c r="J4" s="107"/>
      <c r="K4" s="107"/>
      <c r="L4" s="107"/>
      <c r="M4" s="2"/>
      <c r="N4" s="106"/>
      <c r="O4" s="181"/>
      <c r="P4" s="107"/>
      <c r="R4" s="69"/>
      <c r="S4" s="76"/>
      <c r="T4" s="66"/>
      <c r="V4" s="43"/>
      <c r="X4" s="2"/>
      <c r="Z4" s="150"/>
      <c r="AC4" s="110"/>
      <c r="AE4" s="135"/>
    </row>
    <row r="5" spans="1:32" s="10" customFormat="1" ht="15" customHeight="1" x14ac:dyDescent="0.25">
      <c r="A5" s="208" t="str">
        <f>"Eagle P3 Braking Events - "&amp;TEXT(Variables!$A$2,"YYYY-mm-dd")</f>
        <v>Eagle P3 Braking Events - 2017-12-08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22"/>
      <c r="R5" s="74"/>
      <c r="S5" s="77"/>
      <c r="T5" s="79"/>
      <c r="V5" s="44"/>
      <c r="X5" s="169"/>
      <c r="AC5" s="111"/>
      <c r="AE5" s="137"/>
    </row>
    <row r="6" spans="1:32" s="101" customFormat="1" ht="69.75" customHeight="1" x14ac:dyDescent="0.2">
      <c r="A6" s="91" t="s">
        <v>38</v>
      </c>
      <c r="B6" s="92" t="s">
        <v>37</v>
      </c>
      <c r="C6" s="92" t="s">
        <v>36</v>
      </c>
      <c r="D6" s="108" t="s">
        <v>35</v>
      </c>
      <c r="E6" s="108" t="s">
        <v>34</v>
      </c>
      <c r="F6" s="108" t="s">
        <v>33</v>
      </c>
      <c r="G6" s="108" t="s">
        <v>32</v>
      </c>
      <c r="H6" s="108" t="s">
        <v>31</v>
      </c>
      <c r="I6" s="108" t="s">
        <v>146</v>
      </c>
      <c r="J6" s="108" t="s">
        <v>30</v>
      </c>
      <c r="K6" s="108" t="s">
        <v>29</v>
      </c>
      <c r="L6" s="108" t="s">
        <v>28</v>
      </c>
      <c r="M6" s="93" t="s">
        <v>147</v>
      </c>
      <c r="N6" s="123" t="s">
        <v>47</v>
      </c>
      <c r="O6" s="166" t="s">
        <v>27</v>
      </c>
      <c r="P6" s="108" t="s">
        <v>24</v>
      </c>
      <c r="Q6" s="94"/>
      <c r="R6" s="95" t="s">
        <v>89</v>
      </c>
      <c r="S6" s="96" t="s">
        <v>55</v>
      </c>
      <c r="T6" s="97" t="s">
        <v>88</v>
      </c>
      <c r="U6" s="92" t="s">
        <v>83</v>
      </c>
      <c r="V6" s="98" t="s">
        <v>84</v>
      </c>
      <c r="W6" s="94" t="s">
        <v>342</v>
      </c>
      <c r="X6" s="170" t="s">
        <v>335</v>
      </c>
      <c r="Y6" s="99" t="s">
        <v>141</v>
      </c>
      <c r="Z6" s="151" t="s">
        <v>142</v>
      </c>
      <c r="AA6" s="100" t="s">
        <v>115</v>
      </c>
      <c r="AB6" s="100" t="s">
        <v>143</v>
      </c>
      <c r="AC6" s="112" t="s">
        <v>166</v>
      </c>
      <c r="AD6" s="101" t="s">
        <v>181</v>
      </c>
      <c r="AE6" s="136" t="s">
        <v>186</v>
      </c>
    </row>
    <row r="7" spans="1:32" s="1" customFormat="1" x14ac:dyDescent="0.25">
      <c r="A7" s="31">
        <v>43077.837731481479</v>
      </c>
      <c r="B7" s="30" t="s">
        <v>478</v>
      </c>
      <c r="C7" s="30" t="s">
        <v>702</v>
      </c>
      <c r="D7" s="30" t="s">
        <v>49</v>
      </c>
      <c r="E7" s="30" t="s">
        <v>182</v>
      </c>
      <c r="F7" s="42">
        <v>0</v>
      </c>
      <c r="G7" s="42">
        <v>239</v>
      </c>
      <c r="H7" s="42">
        <v>26872</v>
      </c>
      <c r="I7" s="42">
        <v>27236</v>
      </c>
      <c r="J7" s="30" t="s">
        <v>183</v>
      </c>
      <c r="K7" s="42">
        <v>27053</v>
      </c>
      <c r="L7" s="125" t="s">
        <v>50</v>
      </c>
      <c r="M7" s="126">
        <f t="shared" ref="M7:M26" si="0">CONVERT((I7-K7)/10000,"mi","ft")*IF(L7="Increasing Mileposts (1)",-1,1)</f>
        <v>-96.623999999999995</v>
      </c>
      <c r="N7" s="127" t="str">
        <f>VLOOKUP(C7,'Trips&amp;Operators'!$C$1:$G$99911,5,FALSE)</f>
        <v>ZEWDU DEREJE</v>
      </c>
      <c r="O7" s="167" t="s">
        <v>177</v>
      </c>
      <c r="P7" s="202" t="s">
        <v>491</v>
      </c>
      <c r="Q7" s="30"/>
      <c r="R7" s="75" t="str">
        <f>VLOOKUP(C7,'Train Runs'!$A$13:$AE$10191,31,0)</f>
        <v>aws s3 cp s3://rtdc.mdm.uploadarchive.raw/RTDC4064/ "%USERPROFILE%\AppData\Local\Temp\OnboardLogs"\RTDC4064\2017-12-08 --exclude "*" --recursive --include "*20171208*" &amp; "%USERPROFILE%\Documents\GitHub\mrs-test-scripts\Headless Mode &amp; Sideloading\WalkAndUnGZ.bat" "%USERPROFILE%\AppData\Local\Temp\OnboardLogs"\RTDC4064\2017-12-08 &amp; aws s3 cp s3://rtdc.mdm.uploadarchive.raw/RTDC4064/ "%USERPROFILE%\AppData\Local\Temp\OnboardLogs"\RTDC4064\2017-12-09 --exclude "*" --recursive --include "*20171209*" &amp; "%USERPROFILE%\Documents\GitHub\mrs-test-scripts\Headless Mode &amp; Sideloading\WalkAndUnGZ.bat" "%USERPROFILE%\AppData\Local\Temp\OnboardLogs"\RTDC4064\2017-12-09</v>
      </c>
      <c r="S7" s="78" t="str">
        <f>VLOOKUP(C7,'Train Runs'!$A$13:$AE$10191,22,0)</f>
        <v>https://d0f6bd738d7f1b3e5a7ca70fe4ff75f0.us-east-1.aws.found.io/app/kibana#/discover/Steve-Slow-Train-Analysis-(2080s-and-2083s)?_g=(refreshInterval:(display:Off,pause:!f,section:0,value:0),time:(from:'2017-12-08T18:55:29-0700',mode:absolute,to:'2017-12-08T21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7" s="80" t="str">
        <f t="shared" ref="T7:T2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/stypes="*4064*201712090*" /stext=" 03:.+((SYSTEM_STATE.+slice.+state.+changed )|(ment ac)|(multiple cpu faults)|(system.+state.+changed )|(\[timeout)|(PRM\|1\|D)|(kpr)|(kdp)|(train st.+moving)|(\|lc)|(penalty))"</v>
      </c>
      <c r="U7" s="9" t="str">
        <f t="shared" ref="U7:U26" si="2">MID(B7,13,4)</f>
        <v>4064</v>
      </c>
      <c r="V7" s="31">
        <f t="shared" ref="V7:V26" si="3">A7-utc_offset/24</f>
        <v>43078.129398148143</v>
      </c>
      <c r="W7" s="45" t="str">
        <f t="shared" ref="W7:W26" si="4">DetSubdiv(C7)</f>
        <v>EC</v>
      </c>
      <c r="X7" s="22">
        <f t="shared" ref="X7:X26" si="5">VALUE(LEFT(C7,LEN(C7)-3))</f>
        <v>225</v>
      </c>
      <c r="Y7" s="90" t="str">
        <f t="shared" ref="Y7:Y2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Arrival","project_id":79,"tracker_id":40,"status_id":1,"priority_id":2,"assigned_to_id":338,"start_date":"2017-12-08","description":"","custom_fields":[{"id":1,"name":"Subdivision","value":"EC"},{"id":4,"name":"Milepost","value":"2.7053"},{"id":17,"name":"Train ID","value":"225-08"},{"id":16,"name":"Locomotive ID","value":"4064"},{"id":130,"name":"Impact","value":""},{"id":150,"name":"Time of Event (Mountain Time)","value":"20:06:20"},{"id":151,"name":"Denver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2"/>
      <c r="AA7" s="47"/>
      <c r="AB7" s="47"/>
      <c r="AC7" s="109" t="str">
        <f t="shared" ref="AC7:AC26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/c/Users/stu/AppData/Local/Temp/OnboardLogs/RTDC4064 --include="*4064*201712090*"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"%USERPROFILE%\AppData\Local\Temp\OnboardLogs"\RTDC4064\*4064*201712090* &gt;&gt; 2017-12-08-SliceDisagreementCheck.txt</v>
      </c>
      <c r="AE7" s="138" t="str">
        <f t="shared" ref="AE7" si="8">"start /low /b "&amp;dls3logs&amp;" --loco "&amp;U7&amp;" --day "&amp;TEXT(V7,"YYYY-MM-DD")</f>
        <v>start /low /b %USERPROFILE%\Documents\GitHub\eaglep3\Utilities\DownloadLogsFromS3.py --loco 4064 --day 2017-12-09</v>
      </c>
    </row>
    <row r="8" spans="1:32" s="1" customFormat="1" x14ac:dyDescent="0.25">
      <c r="A8" s="31">
        <v>43077.608611111114</v>
      </c>
      <c r="B8" s="30" t="s">
        <v>493</v>
      </c>
      <c r="C8" s="30" t="s">
        <v>695</v>
      </c>
      <c r="D8" s="30" t="s">
        <v>49</v>
      </c>
      <c r="E8" s="30" t="s">
        <v>182</v>
      </c>
      <c r="F8" s="42">
        <v>180</v>
      </c>
      <c r="G8" s="42">
        <v>318</v>
      </c>
      <c r="H8" s="42">
        <v>26343</v>
      </c>
      <c r="I8" s="42">
        <v>26888</v>
      </c>
      <c r="J8" s="30" t="s">
        <v>183</v>
      </c>
      <c r="K8" s="42">
        <v>27053</v>
      </c>
      <c r="L8" s="125" t="s">
        <v>50</v>
      </c>
      <c r="M8" s="126">
        <f t="shared" si="0"/>
        <v>87.12</v>
      </c>
      <c r="N8" s="127" t="str">
        <f>VLOOKUP(C8,'Trips&amp;Operators'!$C$1:$G$99911,5,FALSE)</f>
        <v>LONG FULLER</v>
      </c>
      <c r="O8" s="167" t="s">
        <v>177</v>
      </c>
      <c r="P8" s="202" t="s">
        <v>491</v>
      </c>
      <c r="Q8" s="30"/>
      <c r="R8" s="75" t="str">
        <f>VLOOKUP(C8,'Train Runs'!$A$13:$AE$10191,31,0)</f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S8" s="78" t="str">
        <f>VLOOKUP(C8,'Train Runs'!$A$13:$AE$10191,22,0)</f>
        <v>https://d0f6bd738d7f1b3e5a7ca70fe4ff75f0.us-east-1.aws.found.io/app/kibana#/discover/Steve-Slow-Train-Analysis-(2080s-and-2083s)?_g=(refreshInterval:(display:Off,pause:!f,section:0,value:0),time:(from:'2017-12-08T13:20:23-0700',mode:absolute,to:'2017-12-08T16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0" t="str">
        <f t="shared" si="1"/>
        <v>"C:\Program Files (x86)\AstroGrep\AstroGrep.exe" /e /r /s /spath="%USERPROFILE%\AppData\Local\Temp\OnboardLogs" /stypes="*4016*201712082*"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4016</v>
      </c>
      <c r="V8" s="31">
        <f t="shared" si="3"/>
        <v>43077.900277777779</v>
      </c>
      <c r="W8" s="45" t="str">
        <f t="shared" si="4"/>
        <v>EC</v>
      </c>
      <c r="X8" s="193">
        <f t="shared" si="5"/>
        <v>187</v>
      </c>
      <c r="Y8" s="201" t="str">
        <f t="shared" si="6"/>
        <v>echo {"issue":{"subject":"Early Arrival","project_id":79,"tracker_id":40,"status_id":1,"priority_id":2,"assigned_to_id":338,"start_date":"2017-12-08","description":"","custom_fields":[{"id":1,"name":"Subdivision","value":"EC"},{"id":4,"name":"Milepost","value":"2.7053"},{"id":17,"name":"Train ID","value":"187-08"},{"id":16,"name":"Locomotive ID","value":"4016"},{"id":130,"name":"Impact","value":""},{"id":150,"name":"Time of Event (Mountain Time)","value":"14:36:24"},{"id":151,"name":"Denver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2"/>
      <c r="AA8" s="196"/>
      <c r="AB8" s="196"/>
      <c r="AC8" s="109" t="str">
        <f t="shared" si="7"/>
        <v>grep -hrE -A400 "Enforcement Action" /c/Users/stu/AppData/Local/Temp/OnboardLogs/RTDC4016 --include="*4016*201712082*"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"%USERPROFILE%\AppData\Local\Temp\OnboardLogs"\RTDC4016\*4016*201712082* &gt;&gt; 2017-12-08-SliceDisagreementCheck.txt</v>
      </c>
      <c r="AE8" s="138" t="str">
        <f t="shared" ref="AE8:AE26" si="9">"start /low /b "&amp;dls3logs&amp;" --loco "&amp;U8&amp;" --day "&amp;TEXT(V8,"YYYY-MM-DD")</f>
        <v>start /low /b %USERPROFILE%\Documents\GitHub\eaglep3\Utilities\DownloadLogsFromS3.py --loco 4016 --day 2017-12-08</v>
      </c>
    </row>
    <row r="9" spans="1:32" s="1" customFormat="1" x14ac:dyDescent="0.25">
      <c r="A9" s="31">
        <v>43077.381736111114</v>
      </c>
      <c r="B9" s="30" t="s">
        <v>461</v>
      </c>
      <c r="C9" s="30" t="s">
        <v>685</v>
      </c>
      <c r="D9" s="30" t="s">
        <v>49</v>
      </c>
      <c r="E9" s="30" t="s">
        <v>182</v>
      </c>
      <c r="F9" s="42">
        <v>0</v>
      </c>
      <c r="G9" s="42">
        <v>488</v>
      </c>
      <c r="H9" s="42">
        <v>48666</v>
      </c>
      <c r="I9" s="42">
        <v>47374</v>
      </c>
      <c r="J9" s="30" t="s">
        <v>183</v>
      </c>
      <c r="K9" s="42">
        <v>48048</v>
      </c>
      <c r="L9" s="125" t="s">
        <v>51</v>
      </c>
      <c r="M9" s="126">
        <f t="shared" si="0"/>
        <v>-355.87200000000001</v>
      </c>
      <c r="N9" s="127" t="str">
        <f>VLOOKUP(C9,'Trips&amp;Operators'!$C$1:$G$99911,5,FALSE)</f>
        <v>STARKS ANGELINA</v>
      </c>
      <c r="O9" s="167" t="s">
        <v>177</v>
      </c>
      <c r="P9" s="202" t="s">
        <v>491</v>
      </c>
      <c r="Q9" s="30"/>
      <c r="R9" s="75" t="str">
        <f>VLOOKUP(C9,'Train Runs'!$A$13:$AE$10191,31,0)</f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S9" s="78" t="str">
        <f>VLOOKUP(C9,'Train Runs'!$A$13:$AE$10191,22,0)</f>
        <v>https://d0f6bd738d7f1b3e5a7ca70fe4ff75f0.us-east-1.aws.found.io/app/kibana#/discover/Steve-Slow-Train-Analysis-(2080s-and-2083s)?_g=(refreshInterval:(display:Off,pause:!f,section:0,value:0),time:(from:'2017-12-08T07:39:37-0700',mode:absolute,to:'2017-12-08T10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0" t="str">
        <f t="shared" si="1"/>
        <v>"C:\Program Files (x86)\AstroGrep\AstroGrep.exe" /e /r /s /spath="%USERPROFILE%\AppData\Local\Temp\OnboardLogs" /stypes="*4063*201712081*"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4063</v>
      </c>
      <c r="V9" s="31">
        <f t="shared" si="3"/>
        <v>43077.673402777778</v>
      </c>
      <c r="W9" s="45" t="str">
        <f t="shared" si="4"/>
        <v>EC</v>
      </c>
      <c r="X9" s="193">
        <f t="shared" si="5"/>
        <v>134</v>
      </c>
      <c r="Y9" s="201" t="str">
        <f t="shared" si="6"/>
        <v>echo {"issue":{"subject":"Early Arrival","project_id":79,"tracker_id":40,"status_id":1,"priority_id":2,"assigned_to_id":338,"start_date":"2017-12-08","description":"","custom_fields":[{"id":1,"name":"Subdivision","value":"EC"},{"id":4,"name":"Milepost","value":"4.8048"},{"id":17,"name":"Train ID","value":"134-08"},{"id":16,"name":"Locomotive ID","value":"4063"},{"id":130,"name":"Impact","value":""},{"id":150,"name":"Time of Event (Mountain Time)","value":"09:09:42"},{"id":151,"name":"Denver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2"/>
      <c r="AA9" s="196"/>
      <c r="AB9" s="196"/>
      <c r="AC9" s="109" t="str">
        <f t="shared" si="7"/>
        <v>grep -hrE -A400 "Enforcement Action" /c/Users/stu/AppData/Local/Temp/OnboardLogs/RTDC4063 --include="*4063*201712081*"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"%USERPROFILE%\AppData\Local\Temp\OnboardLogs"\RTDC4063\*4063*201712081* &gt;&gt; 2017-12-08-SliceDisagreementCheck.txt</v>
      </c>
      <c r="AE9" s="138" t="str">
        <f t="shared" si="9"/>
        <v>start /low /b %USERPROFILE%\Documents\GitHub\eaglep3\Utilities\DownloadLogsFromS3.py --loco 4063 --day 2017-12-08</v>
      </c>
    </row>
    <row r="10" spans="1:32" x14ac:dyDescent="0.25">
      <c r="A10" s="31">
        <v>43077.34269675926</v>
      </c>
      <c r="B10" s="30" t="s">
        <v>595</v>
      </c>
      <c r="C10" s="30" t="s">
        <v>682</v>
      </c>
      <c r="D10" s="30" t="s">
        <v>49</v>
      </c>
      <c r="E10" s="30" t="s">
        <v>182</v>
      </c>
      <c r="F10" s="42">
        <v>0</v>
      </c>
      <c r="G10" s="42">
        <v>412</v>
      </c>
      <c r="H10" s="42">
        <v>62654</v>
      </c>
      <c r="I10" s="42">
        <v>63544</v>
      </c>
      <c r="J10" s="30" t="s">
        <v>183</v>
      </c>
      <c r="K10" s="42">
        <v>63069</v>
      </c>
      <c r="L10" s="125" t="s">
        <v>50</v>
      </c>
      <c r="M10" s="126">
        <f t="shared" si="0"/>
        <v>-250.8</v>
      </c>
      <c r="N10" s="127" t="str">
        <f>VLOOKUP(C10,'Trips&amp;Operators'!$C$1:$G$99911,5,FALSE)</f>
        <v>PAGE MARCUS</v>
      </c>
      <c r="O10" s="167" t="s">
        <v>177</v>
      </c>
      <c r="P10" s="202" t="s">
        <v>491</v>
      </c>
      <c r="Q10" s="30"/>
      <c r="R10" s="75" t="str">
        <f>VLOOKUP(C10,'Train Runs'!$A$13:$AE$10191,31,0)</f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S10" s="78" t="str">
        <f>VLOOKUP(C10,'Train Runs'!$A$13:$AE$10191,22,0)</f>
        <v>https://d0f6bd738d7f1b3e5a7ca70fe4ff75f0.us-east-1.aws.found.io/app/kibana#/discover/Steve-Slow-Train-Analysis-(2080s-and-2083s)?_g=(refreshInterval:(display:Off,pause:!f,section:0,value:0),time:(from:'2017-12-08T06:53:40-0700',mode:absolute,to:'2017-12-08T09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0" t="str">
        <f t="shared" si="1"/>
        <v>"C:\Program Files (x86)\AstroGrep\AstroGrep.exe" /e /r /s /spath="%USERPROFILE%\AppData\Local\Temp\OnboardLogs" /stypes="*4024*201712081*"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43077.634363425925</v>
      </c>
      <c r="W10" s="45" t="str">
        <f t="shared" si="4"/>
        <v>EC</v>
      </c>
      <c r="X10" s="193">
        <f t="shared" si="5"/>
        <v>135</v>
      </c>
      <c r="Y10" s="201" t="str">
        <f t="shared" si="6"/>
        <v>echo {"issue":{"subject":"Early Arrival","project_id":79,"tracker_id":40,"status_id":1,"priority_id":2,"assigned_to_id":338,"start_date":"2017-12-08","description":"","custom_fields":[{"id":1,"name":"Subdivision","value":"EC"},{"id":4,"name":"Milepost","value":"6.3069"},{"id":17,"name":"Train ID","value":"135-08"},{"id":16,"name":"Locomotive ID","value":"4024"},{"id":130,"name":"Impact","value":""},{"id":150,"name":"Time of Event (Mountain Time)","value":"08:13:29"},{"id":151,"name":"Denver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2"/>
      <c r="AA10" s="196"/>
      <c r="AB10" s="196"/>
      <c r="AC10" s="109" t="str">
        <f t="shared" si="7"/>
        <v>grep -hrE -A400 "Enforcement Action" /c/Users/stu/AppData/Local/Temp/OnboardLogs/RTDC4024 --include="*4024*201712081*"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"%USERPROFILE%\AppData\Local\Temp\OnboardLogs"\RTDC4024\*4024*201712081* &gt;&gt; 2017-12-08-SliceDisagreementCheck.txt</v>
      </c>
      <c r="AE10" s="138" t="str">
        <f t="shared" si="9"/>
        <v>start /low /b %USERPROFILE%\Documents\GitHub\eaglep3\Utilities\DownloadLogsFromS3.py --loco 4024 --day 2017-12-08</v>
      </c>
      <c r="AF10" s="1"/>
    </row>
    <row r="11" spans="1:32" x14ac:dyDescent="0.25">
      <c r="A11" s="31">
        <v>43077.625636574077</v>
      </c>
      <c r="B11" s="30" t="s">
        <v>493</v>
      </c>
      <c r="C11" s="30" t="s">
        <v>695</v>
      </c>
      <c r="D11" s="30" t="s">
        <v>49</v>
      </c>
      <c r="E11" s="30" t="s">
        <v>189</v>
      </c>
      <c r="F11" s="42">
        <v>600</v>
      </c>
      <c r="G11" s="42">
        <v>715</v>
      </c>
      <c r="H11" s="42">
        <v>181259</v>
      </c>
      <c r="I11" s="42">
        <v>184376</v>
      </c>
      <c r="J11" s="30" t="s">
        <v>190</v>
      </c>
      <c r="K11" s="42">
        <v>183829</v>
      </c>
      <c r="L11" s="125" t="s">
        <v>50</v>
      </c>
      <c r="M11" s="126">
        <f t="shared" si="0"/>
        <v>-288.81599999999997</v>
      </c>
      <c r="N11" s="127" t="str">
        <f>VLOOKUP(C11,'Trips&amp;Operators'!$C$1:$G$99911,5,FALSE)</f>
        <v>LONG FULLER</v>
      </c>
      <c r="O11" s="167" t="s">
        <v>177</v>
      </c>
      <c r="P11" s="202"/>
      <c r="Q11" s="30"/>
      <c r="R11" s="75" t="str">
        <f>VLOOKUP(C11,'Train Runs'!$A$13:$AE$10191,31,0)</f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S11" s="78" t="str">
        <f>VLOOKUP(C11,'Train Runs'!$A$13:$AE$10191,22,0)</f>
        <v>https://d0f6bd738d7f1b3e5a7ca70fe4ff75f0.us-east-1.aws.found.io/app/kibana#/discover/Steve-Slow-Train-Analysis-(2080s-and-2083s)?_g=(refreshInterval:(display:Off,pause:!f,section:0,value:0),time:(from:'2017-12-08T13:20:23-0700',mode:absolute,to:'2017-12-08T16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0" t="str">
        <f t="shared" si="1"/>
        <v>"C:\Program Files (x86)\AstroGrep\AstroGrep.exe" /e /r /s /spath="%USERPROFILE%\AppData\Local\Temp\OnboardLogs" /stypes="*4016*201712082*"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4016</v>
      </c>
      <c r="V11" s="31">
        <f t="shared" si="3"/>
        <v>43077.917303240742</v>
      </c>
      <c r="W11" s="45" t="str">
        <f t="shared" si="4"/>
        <v>EC</v>
      </c>
      <c r="X11" s="193">
        <f t="shared" si="5"/>
        <v>187</v>
      </c>
      <c r="Y11" s="201" t="str">
        <f t="shared" si="6"/>
        <v>echo {"issue":{"subject":"","project_id":79,"tracker_id":40,"status_id":1,"priority_id":2,"assigned_to_id":338,"start_date":"2017-12-08","description":"","custom_fields":[{"id":1,"name":"Subdivision","value":"EC"},{"id":4,"name":"Milepost","value":"18.3829"},{"id":17,"name":"Train ID","value":"187-08"},{"id":16,"name":"Locomotive ID","value":"4016"},{"id":130,"name":"Impact","value":""},{"id":150,"name":"Time of Event (Mountain Time)","value":"15:00:55"},{"id":151,"name":"Denver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2"/>
      <c r="AA11" s="196"/>
      <c r="AB11" s="196"/>
      <c r="AC11" s="109" t="str">
        <f t="shared" si="7"/>
        <v>grep -hrE -A400 "Enforcement Action" /c/Users/stu/AppData/Local/Temp/OnboardLogs/RTDC4016 --include="*4016*201712082*"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"%USERPROFILE%\AppData\Local\Temp\OnboardLogs"\RTDC4016\*4016*201712082* &gt;&gt; 2017-12-08-SliceDisagreementCheck.txt</v>
      </c>
      <c r="AE11" s="138" t="str">
        <f t="shared" si="9"/>
        <v>start /low /b %USERPROFILE%\Documents\GitHub\eaglep3\Utilities\DownloadLogsFromS3.py --loco 4016 --day 2017-12-08</v>
      </c>
      <c r="AF11" s="1"/>
    </row>
    <row r="12" spans="1:32" x14ac:dyDescent="0.25">
      <c r="A12" s="31">
        <v>43077.751030092593</v>
      </c>
      <c r="B12" s="30" t="s">
        <v>693</v>
      </c>
      <c r="C12" s="30" t="s">
        <v>701</v>
      </c>
      <c r="D12" s="30" t="s">
        <v>49</v>
      </c>
      <c r="E12" s="30" t="s">
        <v>189</v>
      </c>
      <c r="F12" s="42">
        <v>600</v>
      </c>
      <c r="G12" s="42">
        <v>695</v>
      </c>
      <c r="H12" s="42">
        <v>181779</v>
      </c>
      <c r="I12" s="42">
        <v>184493</v>
      </c>
      <c r="J12" s="30" t="s">
        <v>190</v>
      </c>
      <c r="K12" s="42">
        <v>183829</v>
      </c>
      <c r="L12" s="125" t="s">
        <v>50</v>
      </c>
      <c r="M12" s="126">
        <f t="shared" si="0"/>
        <v>-350.59199999999998</v>
      </c>
      <c r="N12" s="127" t="str">
        <f>VLOOKUP(C12,'Trips&amp;Operators'!$C$1:$G$99911,5,FALSE)</f>
        <v>ANDREA WILLIAMS</v>
      </c>
      <c r="O12" s="167" t="s">
        <v>177</v>
      </c>
      <c r="P12" s="202"/>
      <c r="Q12" s="30"/>
      <c r="R12" s="75" t="str">
        <f>VLOOKUP(C12,'Train Runs'!$A$13:$AE$10191,31,0)</f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S12" s="78" t="str">
        <f>VLOOKUP(C12,'Train Runs'!$A$13:$AE$10191,22,0)</f>
        <v>https://d0f6bd738d7f1b3e5a7ca70fe4ff75f0.us-east-1.aws.found.io/app/kibana#/discover/Steve-Slow-Train-Analysis-(2080s-and-2083s)?_g=(refreshInterval:(display:Off,pause:!f,section:0,value:0),time:(from:'2017-12-08T16:27:03-0700',mode:absolute,to:'2017-12-08T19:09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0" t="str">
        <f t="shared" si="1"/>
        <v>"C:\Program Files (x86)\AstroGrep\AstroGrep.exe" /e /r /s /spath="%USERPROFILE%\AppData\Local\Temp\OnboardLogs" /stypes="*4020*201712090*"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4020</v>
      </c>
      <c r="V12" s="31">
        <f t="shared" si="3"/>
        <v>43078.042696759258</v>
      </c>
      <c r="W12" s="45" t="str">
        <f t="shared" si="4"/>
        <v>EC</v>
      </c>
      <c r="X12" s="193">
        <f t="shared" si="5"/>
        <v>211</v>
      </c>
      <c r="Y12" s="201" t="str">
        <f t="shared" si="6"/>
        <v>echo {"issue":{"subject":"","project_id":79,"tracker_id":40,"status_id":1,"priority_id":2,"assigned_to_id":338,"start_date":"2017-12-08","description":"","custom_fields":[{"id":1,"name":"Subdivision","value":"EC"},{"id":4,"name":"Milepost","value":"18.3829"},{"id":17,"name":"Train ID","value":"211-08"},{"id":16,"name":"Locomotive ID","value":"4020"},{"id":130,"name":"Impact","value":""},{"id":150,"name":"Time of Event (Mountain Time)","value":"18:01:29"},{"id":151,"name":"Denver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2"/>
      <c r="AA12" s="196"/>
      <c r="AB12" s="196"/>
      <c r="AC12" s="109" t="str">
        <f t="shared" si="7"/>
        <v>grep -hrE -A400 "Enforcement Action" /c/Users/stu/AppData/Local/Temp/OnboardLogs/RTDC4020 --include="*4020*201712090*"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"%USERPROFILE%\AppData\Local\Temp\OnboardLogs"\RTDC4020\*4020*201712090* &gt;&gt; 2017-12-08-SliceDisagreementCheck.txt</v>
      </c>
      <c r="AE12" s="138" t="str">
        <f t="shared" si="9"/>
        <v>start /low /b %USERPROFILE%\Documents\GitHub\eaglep3\Utilities\DownloadLogsFromS3.py --loco 4020 --day 2017-12-09</v>
      </c>
      <c r="AF12" s="1"/>
    </row>
    <row r="13" spans="1:32" x14ac:dyDescent="0.25">
      <c r="A13" s="31">
        <v>43077.629351851851</v>
      </c>
      <c r="B13" s="30" t="s">
        <v>493</v>
      </c>
      <c r="C13" s="30" t="s">
        <v>695</v>
      </c>
      <c r="D13" s="30" t="s">
        <v>49</v>
      </c>
      <c r="E13" s="30" t="s">
        <v>189</v>
      </c>
      <c r="F13" s="42">
        <v>350</v>
      </c>
      <c r="G13" s="42">
        <v>462</v>
      </c>
      <c r="H13" s="42">
        <v>223255</v>
      </c>
      <c r="I13" s="42">
        <v>224495</v>
      </c>
      <c r="J13" s="30" t="s">
        <v>190</v>
      </c>
      <c r="K13" s="42">
        <v>224581</v>
      </c>
      <c r="L13" s="125" t="s">
        <v>50</v>
      </c>
      <c r="M13" s="126">
        <f t="shared" si="0"/>
        <v>45.408000000000001</v>
      </c>
      <c r="N13" s="127" t="str">
        <f>VLOOKUP(C13,'Trips&amp;Operators'!$C$1:$G$99911,5,FALSE)</f>
        <v>LONG FULLER</v>
      </c>
      <c r="O13" s="167" t="s">
        <v>177</v>
      </c>
      <c r="P13" s="202"/>
      <c r="Q13" s="30"/>
      <c r="R13" s="75" t="str">
        <f>VLOOKUP(C13,'Train Runs'!$A$13:$AE$10191,31,0)</f>
        <v>aws s3 cp s3://rtdc.mdm.uploadarchive.raw/RTDC4016/ "%USERPROFILE%\AppData\Local\Temp\OnboardLogs"\RTDC4016\2017-12-08 --exclude "*" --recursive --include "*20171208*" &amp; "%USERPROFILE%\Documents\GitHub\mrs-test-scripts\Headless Mode &amp; Sideloading\WalkAndUnGZ.bat" "%USERPROFILE%\AppData\Local\Temp\OnboardLogs"\RTDC4016\2017-12-08 &amp; aws s3 cp s3://rtdc.mdm.uploadarchive.raw/RTDC4016/ "%USERPROFILE%\AppData\Local\Temp\OnboardLogs"\RTDC4016\2017-12-09 --exclude "*" --recursive --include "*20171209*" &amp; "%USERPROFILE%\Documents\GitHub\mrs-test-scripts\Headless Mode &amp; Sideloading\WalkAndUnGZ.bat" "%USERPROFILE%\AppData\Local\Temp\OnboardLogs"\RTDC4016\2017-12-09</v>
      </c>
      <c r="S13" s="78" t="str">
        <f>VLOOKUP(C13,'Train Runs'!$A$13:$AE$10191,22,0)</f>
        <v>https://d0f6bd738d7f1b3e5a7ca70fe4ff75f0.us-east-1.aws.found.io/app/kibana#/discover/Steve-Slow-Train-Analysis-(2080s-and-2083s)?_g=(refreshInterval:(display:Off,pause:!f,section:0,value:0),time:(from:'2017-12-08T13:20:23-0700',mode:absolute,to:'2017-12-08T16:10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80" t="str">
        <f t="shared" si="1"/>
        <v>"C:\Program Files (x86)\AstroGrep\AstroGrep.exe" /e /r /s /spath="%USERPROFILE%\AppData\Local\Temp\OnboardLogs" /stypes="*4016*201712082*"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4016</v>
      </c>
      <c r="V13" s="31">
        <f t="shared" si="3"/>
        <v>43077.921018518515</v>
      </c>
      <c r="W13" s="45" t="str">
        <f t="shared" si="4"/>
        <v>EC</v>
      </c>
      <c r="X13" s="193">
        <f t="shared" si="5"/>
        <v>187</v>
      </c>
      <c r="Y13" s="201" t="str">
        <f t="shared" si="6"/>
        <v>echo {"issue":{"subject":"","project_id":79,"tracker_id":40,"status_id":1,"priority_id":2,"assigned_to_id":338,"start_date":"2017-12-08","description":"","custom_fields":[{"id":1,"name":"Subdivision","value":"EC"},{"id":4,"name":"Milepost","value":"22.4581"},{"id":17,"name":"Train ID","value":"187-08"},{"id":16,"name":"Locomotive ID","value":"4016"},{"id":130,"name":"Impact","value":""},{"id":150,"name":"Time of Event (Mountain Time)","value":"15:06:16"},{"id":151,"name":"Denver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2"/>
      <c r="AA13" s="196"/>
      <c r="AB13" s="196"/>
      <c r="AC13" s="109" t="str">
        <f t="shared" si="7"/>
        <v>grep -hrE -A400 "Enforcement Action" /c/Users/stu/AppData/Local/Temp/OnboardLogs/RTDC4016 --include="*4016*201712082*"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"%USERPROFILE%\AppData\Local\Temp\OnboardLogs"\RTDC4016\*4016*201712082* &gt;&gt; 2017-12-08-SliceDisagreementCheck.txt</v>
      </c>
      <c r="AE13" s="138" t="str">
        <f t="shared" si="9"/>
        <v>start /low /b %USERPROFILE%\Documents\GitHub\eaglep3\Utilities\DownloadLogsFromS3.py --loco 4016 --day 2017-12-08</v>
      </c>
      <c r="AF13" s="1"/>
    </row>
    <row r="14" spans="1:32" x14ac:dyDescent="0.25">
      <c r="A14" s="31">
        <v>43077.489548611113</v>
      </c>
      <c r="B14" s="30" t="s">
        <v>448</v>
      </c>
      <c r="C14" s="30" t="s">
        <v>691</v>
      </c>
      <c r="D14" s="30" t="s">
        <v>95</v>
      </c>
      <c r="E14" s="30" t="s">
        <v>189</v>
      </c>
      <c r="F14" s="42">
        <v>350</v>
      </c>
      <c r="G14" s="42">
        <v>401</v>
      </c>
      <c r="H14" s="42">
        <v>225913</v>
      </c>
      <c r="I14" s="42">
        <v>225014</v>
      </c>
      <c r="J14" s="30" t="s">
        <v>190</v>
      </c>
      <c r="K14" s="42">
        <v>228668</v>
      </c>
      <c r="L14" s="125" t="s">
        <v>51</v>
      </c>
      <c r="M14" s="126">
        <f t="shared" si="0"/>
        <v>-1929.3119999999999</v>
      </c>
      <c r="N14" s="127" t="str">
        <f>VLOOKUP(C14,'Trips&amp;Operators'!$C$1:$G$99911,5,FALSE)</f>
        <v>BADERTSCHER DIANE</v>
      </c>
      <c r="O14" s="167" t="s">
        <v>177</v>
      </c>
      <c r="P14" s="202"/>
      <c r="Q14" s="30"/>
      <c r="R14" s="75" t="str">
        <f>VLOOKUP(C14,'Train Runs'!$A$13:$AE$10191,31,0)</f>
        <v>aws s3 cp s3://rtdc.mdm.uploadarchive.raw/RTDC4031/ "%USERPROFILE%\AppData\Local\Temp\OnboardLogs"\RTDC4031\2017-12-08 --exclude "*" --recursive --include "*20171208*" &amp; "%USERPROFILE%\Documents\GitHub\mrs-test-scripts\Headless Mode &amp; Sideloading\WalkAndUnGZ.bat" "%USERPROFILE%\AppData\Local\Temp\OnboardLogs"\RTDC4031\2017-12-08 &amp; aws s3 cp s3://rtdc.mdm.uploadarchive.raw/RTDC4031/ "%USERPROFILE%\AppData\Local\Temp\OnboardLogs"\RTDC4031\2017-12-09 --exclude "*" --recursive --include "*20171209*" &amp; "%USERPROFILE%\Documents\GitHub\mrs-test-scripts\Headless Mode &amp; Sideloading\WalkAndUnGZ.bat" "%USERPROFILE%\AppData\Local\Temp\OnboardLogs"\RTDC4031\2017-12-09</v>
      </c>
      <c r="S14" s="78" t="str">
        <f>VLOOKUP(C14,'Train Runs'!$A$13:$AE$10191,22,0)</f>
        <v>https://d0f6bd738d7f1b3e5a7ca70fe4ff75f0.us-east-1.aws.found.io/app/kibana#/discover/Steve-Slow-Train-Analysis-(2080s-and-2083s)?_g=(refreshInterval:(display:Off,pause:!f,section:0,value:0),time:(from:'2017-12-08T10:35:55-0700',mode:absolute,to:'2017-12-08T13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0" t="str">
        <f t="shared" si="1"/>
        <v>"C:\Program Files (x86)\AstroGrep\AstroGrep.exe" /e /r /s /spath="%USERPROFILE%\AppData\Local\Temp\OnboardLogs" /stypes="*4031*201712081*"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4031</v>
      </c>
      <c r="V14" s="31">
        <f t="shared" si="3"/>
        <v>43077.781215277777</v>
      </c>
      <c r="W14" s="45" t="str">
        <f t="shared" si="4"/>
        <v>EC</v>
      </c>
      <c r="X14" s="193">
        <f t="shared" si="5"/>
        <v>158</v>
      </c>
      <c r="Y14" s="201" t="str">
        <f t="shared" si="6"/>
        <v>echo {"issue":{"subject":"","project_id":79,"tracker_id":40,"status_id":1,"priority_id":2,"assigned_to_id":338,"start_date":"2017-12-08","description":"","custom_fields":[{"id":1,"name":"Subdivision","value":"EC"},{"id":4,"name":"Milepost","value":"22.8668"},{"id":17,"name":"Train ID","value":"158-08"},{"id":16,"name":"Locomotive ID","value":"4031"},{"id":130,"name":"Impact","value":""},{"id":150,"name":"Time of Event (Mountain Time)","value":"11:44:57"},{"id":151,"name":"Denver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2"/>
      <c r="AA14" s="196"/>
      <c r="AB14" s="196"/>
      <c r="AC14" s="109" t="str">
        <f t="shared" si="7"/>
        <v>grep -hrE -A400 "Enforcement Action" /c/Users/stu/AppData/Local/Temp/OnboardLogs/RTDC4031 --include="*4031*201712081*"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"%USERPROFILE%\AppData\Local\Temp\OnboardLogs"\RTDC4031\*4031*201712081* &gt;&gt; 2017-12-08-SliceDisagreementCheck.txt</v>
      </c>
      <c r="AE14" s="138" t="str">
        <f t="shared" si="9"/>
        <v>start /low /b %USERPROFILE%\Documents\GitHub\eaglep3\Utilities\DownloadLogsFromS3.py --loco 4031 --day 2017-12-08</v>
      </c>
      <c r="AF14" s="1"/>
    </row>
    <row r="15" spans="1:32" x14ac:dyDescent="0.25">
      <c r="A15" s="31">
        <v>43077.540879629632</v>
      </c>
      <c r="B15" s="30" t="s">
        <v>459</v>
      </c>
      <c r="C15" s="30" t="s">
        <v>692</v>
      </c>
      <c r="D15" s="30" t="s">
        <v>95</v>
      </c>
      <c r="E15" s="30" t="s">
        <v>189</v>
      </c>
      <c r="F15" s="42">
        <v>350</v>
      </c>
      <c r="G15" s="42">
        <v>400</v>
      </c>
      <c r="H15" s="42">
        <v>228451</v>
      </c>
      <c r="I15" s="42">
        <v>227652</v>
      </c>
      <c r="J15" s="30" t="s">
        <v>190</v>
      </c>
      <c r="K15" s="42">
        <v>232107</v>
      </c>
      <c r="L15" s="125" t="s">
        <v>51</v>
      </c>
      <c r="M15" s="126">
        <f t="shared" si="0"/>
        <v>-2352.2399999999998</v>
      </c>
      <c r="N15" s="127" t="str">
        <f>VLOOKUP(C15,'Trips&amp;Operators'!$C$1:$G$99911,5,FALSE)</f>
        <v>FORTUNATO FRANK</v>
      </c>
      <c r="O15" s="167" t="s">
        <v>177</v>
      </c>
      <c r="P15" s="202"/>
      <c r="Q15" s="30"/>
      <c r="R15" s="75" t="str">
        <f>VLOOKUP(C15,'Train Runs'!$A$13:$AE$10191,31,0)</f>
        <v>aws s3 cp s3://rtdc.mdm.uploadarchive.raw/RTDC4009/ "%USERPROFILE%\AppData\Local\Temp\OnboardLogs"\RTDC4009\2017-12-08 --exclude "*" --recursive --include "*20171208*" &amp; "%USERPROFILE%\Documents\GitHub\mrs-test-scripts\Headless Mode &amp; Sideloading\WalkAndUnGZ.bat" "%USERPROFILE%\AppData\Local\Temp\OnboardLogs"\RTDC4009\2017-12-08 &amp; aws s3 cp s3://rtdc.mdm.uploadarchive.raw/RTDC4009/ "%USERPROFILE%\AppData\Local\Temp\OnboardLogs"\RTDC4009\2017-12-09 --exclude "*" --recursive --include "*20171209*" &amp; "%USERPROFILE%\Documents\GitHub\mrs-test-scripts\Headless Mode &amp; Sideloading\WalkAndUnGZ.bat" "%USERPROFILE%\AppData\Local\Temp\OnboardLogs"\RTDC4009\2017-12-09</v>
      </c>
      <c r="S15" s="78" t="str">
        <f>VLOOKUP(C15,'Train Runs'!$A$13:$AE$10191,22,0)</f>
        <v>https://d0f6bd738d7f1b3e5a7ca70fe4ff75f0.us-east-1.aws.found.io/app/kibana#/discover/Steve-Slow-Train-Analysis-(2080s-and-2083s)?_g=(refreshInterval:(display:Off,pause:!f,section:0,value:0),time:(from:'2017-12-08T11:37:34-0700',mode:absolute,to:'2017-12-08T14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0" t="str">
        <f t="shared" si="1"/>
        <v>"C:\Program Files (x86)\AstroGrep\AstroGrep.exe" /e /r /s /spath="%USERPROFILE%\AppData\Local\Temp\OnboardLogs" /stypes="*4009*201712081*"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43077.832546296297</v>
      </c>
      <c r="W15" s="45" t="str">
        <f t="shared" si="4"/>
        <v>EC</v>
      </c>
      <c r="X15" s="193">
        <f t="shared" si="5"/>
        <v>168</v>
      </c>
      <c r="Y15" s="201" t="str">
        <f t="shared" si="6"/>
        <v>echo {"issue":{"subject":"","project_id":79,"tracker_id":40,"status_id":1,"priority_id":2,"assigned_to_id":338,"start_date":"2017-12-08","description":"","custom_fields":[{"id":1,"name":"Subdivision","value":"EC"},{"id":4,"name":"Milepost","value":"23.2107"},{"id":17,"name":"Train ID","value":"168-08"},{"id":16,"name":"Locomotive ID","value":"4009"},{"id":130,"name":"Impact","value":""},{"id":150,"name":"Time of Event (Mountain Time)","value":"12:58:52"},{"id":151,"name":"Denver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2"/>
      <c r="AA15" s="196"/>
      <c r="AB15" s="196"/>
      <c r="AC15" s="109" t="str">
        <f t="shared" si="7"/>
        <v>grep -hrE -A400 "Enforcement Action" /c/Users/stu/AppData/Local/Temp/OnboardLogs/RTDC4009 --include="*4009*201712081*"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"%USERPROFILE%\AppData\Local\Temp\OnboardLogs"\RTDC4009\*4009*201712081* &gt;&gt; 2017-12-08-SliceDisagreementCheck.txt</v>
      </c>
      <c r="AE15" s="138" t="str">
        <f t="shared" si="9"/>
        <v>start /low /b %USERPROFILE%\Documents\GitHub\eaglep3\Utilities\DownloadLogsFromS3.py --loco 4009 --day 2017-12-08</v>
      </c>
      <c r="AF15" s="1"/>
    </row>
    <row r="16" spans="1:32" x14ac:dyDescent="0.25">
      <c r="A16" s="31">
        <v>43077.584074074075</v>
      </c>
      <c r="B16" s="30" t="s">
        <v>693</v>
      </c>
      <c r="C16" s="30" t="s">
        <v>694</v>
      </c>
      <c r="D16" s="30" t="s">
        <v>49</v>
      </c>
      <c r="E16" s="30" t="s">
        <v>353</v>
      </c>
      <c r="F16" s="42">
        <v>0</v>
      </c>
      <c r="G16" s="42">
        <v>157</v>
      </c>
      <c r="H16" s="42">
        <v>2419</v>
      </c>
      <c r="I16" s="42">
        <v>2600</v>
      </c>
      <c r="J16" s="30" t="s">
        <v>354</v>
      </c>
      <c r="K16" s="42">
        <v>2789</v>
      </c>
      <c r="L16" s="125" t="s">
        <v>50</v>
      </c>
      <c r="M16" s="126">
        <f t="shared" si="0"/>
        <v>99.792000000000002</v>
      </c>
      <c r="N16" s="127" t="str">
        <f>VLOOKUP(C16,'Trips&amp;Operators'!$C$1:$G$99911,5,FALSE)</f>
        <v>LEVIN SCOTT</v>
      </c>
      <c r="O16" s="167" t="s">
        <v>177</v>
      </c>
      <c r="P16" s="202" t="s">
        <v>1109</v>
      </c>
      <c r="Q16" s="30"/>
      <c r="R16" s="75" t="str">
        <f>VLOOKUP(C16,'Train Runs'!$A$13:$AE$10191,31,0)</f>
        <v>aws s3 cp s3://rtdc.mdm.uploadarchive.raw/RTDC4020/ "%USERPROFILE%\AppData\Local\Temp\OnboardLogs"\RTDC4020\2017-12-08 --exclude "*" --recursive --include "*20171208*" &amp; "%USERPROFILE%\Documents\GitHub\mrs-test-scripts\Headless Mode &amp; Sideloading\WalkAndUnGZ.bat" "%USERPROFILE%\AppData\Local\Temp\OnboardLogs"\RTDC4020\2017-12-08 &amp; aws s3 cp s3://rtdc.mdm.uploadarchive.raw/RTDC4020/ "%USERPROFILE%\AppData\Local\Temp\OnboardLogs"\RTDC4020\2017-12-09 --exclude "*" --recursive --include "*20171209*" &amp; "%USERPROFILE%\Documents\GitHub\mrs-test-scripts\Headless Mode &amp; Sideloading\WalkAndUnGZ.bat" "%USERPROFILE%\AppData\Local\Temp\OnboardLogs"\RTDC4020\2017-12-09</v>
      </c>
      <c r="S16" s="78" t="str">
        <f>VLOOKUP(C16,'Train Runs'!$A$13:$AE$10191,22,0)</f>
        <v>https://d0f6bd738d7f1b3e5a7ca70fe4ff75f0.us-east-1.aws.found.io/app/kibana#/discover/Steve-Slow-Train-Analysis-(2080s-and-2083s)?_g=(refreshInterval:(display:Off,pause:!f,section:0,value:0),time:(from:'2017-12-08T12:56:26-0700',mode:absolute,to:'2017-12-08T15:37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6" s="80" t="str">
        <f t="shared" si="1"/>
        <v>"C:\Program Files (x86)\AstroGrep\AstroGrep.exe" /e /r /s /spath="%USERPROFILE%\AppData\Local\Temp\OnboardLogs" /stypes="*4020*201712082*"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4020</v>
      </c>
      <c r="V16" s="31">
        <f t="shared" si="3"/>
        <v>43077.875740740739</v>
      </c>
      <c r="W16" s="45" t="str">
        <f t="shared" si="4"/>
        <v>EC</v>
      </c>
      <c r="X16" s="193">
        <f t="shared" si="5"/>
        <v>183</v>
      </c>
      <c r="Y16" s="201" t="str">
        <f t="shared" si="6"/>
        <v>echo {"issue":{"subject":"Premature downgrade @ DUS 20N (likely UPS issue)","project_id":79,"tracker_id":40,"status_id":1,"priority_id":2,"assigned_to_id":338,"start_date":"2017-12-08","description":"","custom_fields":[{"id":1,"name":"Subdivision","value":"EC"},{"id":4,"name":"Milepost","value":"0.2789"},{"id":17,"name":"Train ID","value":"183-08"},{"id":16,"name":"Locomotive ID","value":"4020"},{"id":130,"name":"Impact","value":""},{"id":150,"name":"Time of Event (Mountain Time)","value":"14:01:04"},{"id":151,"name":"Denver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2"/>
      <c r="AA16" s="196"/>
      <c r="AB16" s="196"/>
      <c r="AC16" s="109" t="str">
        <f t="shared" si="7"/>
        <v>grep -hrE -A400 "Enforcement Action" /c/Users/stu/AppData/Local/Temp/OnboardLogs/RTDC4020 --include="*4020*201712082*"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"%USERPROFILE%\AppData\Local\Temp\OnboardLogs"\RTDC4020\*4020*201712082* &gt;&gt; 2017-12-08-SliceDisagreementCheck.txt</v>
      </c>
      <c r="AE16" s="138" t="str">
        <f t="shared" si="9"/>
        <v>start /low /b %USERPROFILE%\Documents\GitHub\eaglep3\Utilities\DownloadLogsFromS3.py --loco 4020 --day 2017-12-08</v>
      </c>
      <c r="AF16" s="1"/>
    </row>
    <row r="17" spans="1:32" x14ac:dyDescent="0.25">
      <c r="A17" s="31">
        <v>43077.303576388891</v>
      </c>
      <c r="B17" s="30" t="s">
        <v>461</v>
      </c>
      <c r="C17" s="30" t="s">
        <v>681</v>
      </c>
      <c r="D17" s="30" t="s">
        <v>49</v>
      </c>
      <c r="E17" s="30" t="s">
        <v>353</v>
      </c>
      <c r="F17" s="42">
        <v>0</v>
      </c>
      <c r="G17" s="42">
        <v>557</v>
      </c>
      <c r="H17" s="42">
        <v>83212</v>
      </c>
      <c r="I17" s="42">
        <v>80662</v>
      </c>
      <c r="J17" s="30" t="s">
        <v>354</v>
      </c>
      <c r="K17" s="42">
        <v>81751</v>
      </c>
      <c r="L17" s="125" t="s">
        <v>51</v>
      </c>
      <c r="M17" s="126">
        <f t="shared" si="0"/>
        <v>-574.99199999999996</v>
      </c>
      <c r="N17" s="127" t="str">
        <f>VLOOKUP(C17,'Trips&amp;Operators'!$C$1:$G$99911,5,FALSE)</f>
        <v>ROCHA YAOTL</v>
      </c>
      <c r="O17" s="167" t="s">
        <v>347</v>
      </c>
      <c r="P17" s="202" t="s">
        <v>440</v>
      </c>
      <c r="Q17" s="30"/>
      <c r="R17" s="75" t="str">
        <f>VLOOKUP(C17,'Train Runs'!$A$13:$AE$10191,31,0)</f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S17" s="78" t="str">
        <f>VLOOKUP(C17,'Train Runs'!$A$13:$AE$10191,22,0)</f>
        <v>https://d0f6bd738d7f1b3e5a7ca70fe4ff75f0.us-east-1.aws.found.io/app/kibana#/discover/Steve-Slow-Train-Analysis-(2080s-and-2083s)?_g=(refreshInterval:(display:Off,pause:!f,section:0,value:0),time:(from:'2017-12-08T05:54:26-0700',mode:absolute,to:'2017-12-08T08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0" t="str">
        <f t="shared" si="1"/>
        <v>"C:\Program Files (x86)\AstroGrep\AstroGrep.exe" /e /r /s /spath="%USERPROFILE%\AppData\Local\Temp\OnboardLogs" /stypes="*4063*201712081*"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43077.595243055555</v>
      </c>
      <c r="W17" s="45" t="str">
        <f t="shared" si="4"/>
        <v>EC</v>
      </c>
      <c r="X17" s="193">
        <f t="shared" si="5"/>
        <v>120</v>
      </c>
      <c r="Y17" s="201" t="str">
        <f t="shared" si="6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drop","project_id":79,"tracker_id":40,"status_id":1,"priority_id":2,"assigned_to_id":338,"start_date":"2017-12-08","description":"","custom_fields":[{"id":1,"name":"Subdivision","value":"EC"},{"id":4,"name":"Milepost","value":"8.1751"},{"id":17,"name":"Train ID","value":"120-08"},{"id":16,"name":"Locomotive ID","value":"4063"},{"id":130,"name":"Impact","value":""},{"id":150,"name":"Time of Event (Mountain Time)","value":"07:17:09"},{"id":151,"name":"Denver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2"/>
      <c r="AA17" s="196"/>
      <c r="AB17" s="196"/>
      <c r="AC17" s="109" t="str">
        <f t="shared" si="7"/>
        <v>grep -hrE -A400 "Enforcement Action" /c/Users/stu/AppData/Local/Temp/OnboardLogs/RTDC4063 --include="*4063*201712081*"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"%USERPROFILE%\AppData\Local\Temp\OnboardLogs"\RTDC4063\*4063*201712081* &gt;&gt; 2017-12-08-SliceDisagreementCheck.txt</v>
      </c>
      <c r="AE17" s="138" t="str">
        <f t="shared" si="9"/>
        <v>start /low /b %USERPROFILE%\Documents\GitHub\eaglep3\Utilities\DownloadLogsFromS3.py --loco 4063 --day 2017-12-08</v>
      </c>
      <c r="AF17" s="1"/>
    </row>
    <row r="18" spans="1:32" x14ac:dyDescent="0.25">
      <c r="A18" s="31">
        <v>43077.241400462961</v>
      </c>
      <c r="B18" s="30" t="s">
        <v>449</v>
      </c>
      <c r="C18" s="30" t="s">
        <v>680</v>
      </c>
      <c r="D18" s="30" t="s">
        <v>49</v>
      </c>
      <c r="E18" s="30" t="s">
        <v>353</v>
      </c>
      <c r="F18" s="42">
        <v>0</v>
      </c>
      <c r="G18" s="42">
        <v>82</v>
      </c>
      <c r="H18" s="42">
        <v>86379</v>
      </c>
      <c r="I18" s="42">
        <v>86438</v>
      </c>
      <c r="J18" s="30" t="s">
        <v>354</v>
      </c>
      <c r="K18" s="42">
        <v>87889</v>
      </c>
      <c r="L18" s="125" t="s">
        <v>50</v>
      </c>
      <c r="M18" s="126">
        <f t="shared" si="0"/>
        <v>766.12800000000004</v>
      </c>
      <c r="N18" s="127" t="str">
        <f>VLOOKUP(C18,'Trips&amp;Operators'!$C$1:$G$99911,5,FALSE)</f>
        <v>MAELZER KURT</v>
      </c>
      <c r="O18" s="167" t="s">
        <v>347</v>
      </c>
      <c r="P18" s="202" t="s">
        <v>440</v>
      </c>
      <c r="Q18" s="30"/>
      <c r="R18" s="75" t="str">
        <f>VLOOKUP(C18,'Train Runs'!$A$13:$AE$10191,31,0)</f>
        <v>aws s3 cp s3://rtdc.mdm.uploadarchive.raw/RTDC4032/ "%USERPROFILE%\AppData\Local\Temp\OnboardLogs"\RTDC4032\2017-12-08 --exclude "*" --recursive --include "*20171208*" &amp; "%USERPROFILE%\Documents\GitHub\mrs-test-scripts\Headless Mode &amp; Sideloading\WalkAndUnGZ.bat" "%USERPROFILE%\AppData\Local\Temp\OnboardLogs"\RTDC4032\2017-12-08 &amp; aws s3 cp s3://rtdc.mdm.uploadarchive.raw/RTDC4032/ "%USERPROFILE%\AppData\Local\Temp\OnboardLogs"\RTDC4032\2017-12-09 --exclude "*" --recursive --include "*20171209*" &amp; "%USERPROFILE%\Documents\GitHub\mrs-test-scripts\Headless Mode &amp; Sideloading\WalkAndUnGZ.bat" "%USERPROFILE%\AppData\Local\Temp\OnboardLogs"\RTDC4032\2017-12-09</v>
      </c>
      <c r="S18" s="78" t="str">
        <f>VLOOKUP(C18,'Train Runs'!$A$13:$AE$10191,22,0)</f>
        <v>https://d0f6bd738d7f1b3e5a7ca70fe4ff75f0.us-east-1.aws.found.io/app/kibana#/discover/Steve-Slow-Train-Analysis-(2080s-and-2083s)?_g=(refreshInterval:(display:Off,pause:!f,section:0,value:0),time:(from:'2017-12-08T04:26:18-0700',mode:absolute,to:'2017-12-08T07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80" t="str">
        <f t="shared" si="1"/>
        <v>"C:\Program Files (x86)\AstroGrep\AstroGrep.exe" /e /r /s /spath="%USERPROFILE%\AppData\Local\Temp\OnboardLogs" /stypes="*4032*201712081*"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4032</v>
      </c>
      <c r="V18" s="31">
        <f t="shared" si="3"/>
        <v>43077.533067129625</v>
      </c>
      <c r="W18" s="45" t="str">
        <f t="shared" si="4"/>
        <v>EC</v>
      </c>
      <c r="X18" s="193">
        <f t="shared" si="5"/>
        <v>115</v>
      </c>
      <c r="Y18" s="201" t="str">
        <f t="shared" si="6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drop","project_id":79,"tracker_id":40,"status_id":1,"priority_id":2,"assigned_to_id":338,"start_date":"2017-12-08","description":"","custom_fields":[{"id":1,"name":"Subdivision","value":"EC"},{"id":4,"name":"Milepost","value":"8.7889"},{"id":17,"name":"Train ID","value":"115-08"},{"id":16,"name":"Locomotive ID","value":"4032"},{"id":130,"name":"Impact","value":""},{"id":150,"name":"Time of Event (Mountain Time)","value":"05:47:37"},{"id":151,"name":"Denver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2"/>
      <c r="AA18" s="196"/>
      <c r="AB18" s="196"/>
      <c r="AC18" s="109" t="str">
        <f t="shared" si="7"/>
        <v>grep -hrE -A400 "Enforcement Action" /c/Users/stu/AppData/Local/Temp/OnboardLogs/RTDC4032 --include="*4032*201712081*"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"%USERPROFILE%\AppData\Local\Temp\OnboardLogs"\RTDC4032\*4032*201712081* &gt;&gt; 2017-12-08-SliceDisagreementCheck.txt</v>
      </c>
      <c r="AE18" s="138" t="str">
        <f t="shared" si="9"/>
        <v>start /low /b %USERPROFILE%\Documents\GitHub\eaglep3\Utilities\DownloadLogsFromS3.py --loco 4032 --day 2017-12-08</v>
      </c>
      <c r="AF18" s="1"/>
    </row>
    <row r="19" spans="1:32" x14ac:dyDescent="0.25">
      <c r="A19" s="31">
        <v>43077.666226851848</v>
      </c>
      <c r="B19" s="30" t="s">
        <v>461</v>
      </c>
      <c r="C19" s="30" t="s">
        <v>697</v>
      </c>
      <c r="D19" s="30" t="s">
        <v>49</v>
      </c>
      <c r="E19" s="30" t="s">
        <v>471</v>
      </c>
      <c r="F19" s="42">
        <v>0</v>
      </c>
      <c r="G19" s="42">
        <v>455</v>
      </c>
      <c r="H19" s="42">
        <v>107683</v>
      </c>
      <c r="I19" s="42">
        <v>106010</v>
      </c>
      <c r="J19" s="30" t="s">
        <v>472</v>
      </c>
      <c r="K19" s="42">
        <v>104776</v>
      </c>
      <c r="L19" s="125" t="s">
        <v>51</v>
      </c>
      <c r="M19" s="126">
        <f t="shared" si="0"/>
        <v>651.55200000000002</v>
      </c>
      <c r="N19" s="127" t="str">
        <f>VLOOKUP(C19,'Trips&amp;Operators'!$C$1:$G$99911,5,FALSE)</f>
        <v>SAFIEF AEIMEN</v>
      </c>
      <c r="O19" s="167" t="s">
        <v>347</v>
      </c>
      <c r="P19" s="202" t="s">
        <v>440</v>
      </c>
      <c r="Q19" s="30"/>
      <c r="R19" s="75" t="str">
        <f>VLOOKUP(C19,'Train Runs'!$A$13:$AE$10191,31,0)</f>
        <v>aws s3 cp s3://rtdc.mdm.uploadarchive.raw/RTDC4063/ "%USERPROFILE%\AppData\Local\Temp\OnboardLogs"\RTDC4063\2017-12-08 --exclude "*" --recursive --include "*20171208*" &amp; "%USERPROFILE%\Documents\GitHub\mrs-test-scripts\Headless Mode &amp; Sideloading\WalkAndUnGZ.bat" "%USERPROFILE%\AppData\Local\Temp\OnboardLogs"\RTDC4063\2017-12-08 &amp; aws s3 cp s3://rtdc.mdm.uploadarchive.raw/RTDC4063/ "%USERPROFILE%\AppData\Local\Temp\OnboardLogs"\RTDC4063\2017-12-09 --exclude "*" --recursive --include "*20171209*" &amp; "%USERPROFILE%\Documents\GitHub\mrs-test-scripts\Headless Mode &amp; Sideloading\WalkAndUnGZ.bat" "%USERPROFILE%\AppData\Local\Temp\OnboardLogs"\RTDC4063\2017-12-09</v>
      </c>
      <c r="S19" s="78" t="str">
        <f>VLOOKUP(C19,'Train Runs'!$A$13:$AE$10191,22,0)</f>
        <v>https://d0f6bd738d7f1b3e5a7ca70fe4ff75f0.us-east-1.aws.found.io/app/kibana#/discover/Steve-Slow-Train-Analysis-(2080s-and-2083s)?_g=(refreshInterval:(display:Off,pause:!f,section:0,value:0),time:(from:'2017-12-08T14:24:46-0700',mode:absolute,to:'2017-12-08T17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9" s="80" t="str">
        <f t="shared" si="1"/>
        <v>"C:\Program Files (x86)\AstroGrep\AstroGrep.exe" /e /r /s /spath="%USERPROFILE%\AppData\Local\Temp\OnboardLogs" /stypes="*4063*201712082*"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4063</v>
      </c>
      <c r="V19" s="31">
        <f t="shared" si="3"/>
        <v>43077.957893518513</v>
      </c>
      <c r="W19" s="45" t="str">
        <f t="shared" si="4"/>
        <v>EC</v>
      </c>
      <c r="X19" s="193">
        <f t="shared" si="5"/>
        <v>190</v>
      </c>
      <c r="Y19" s="201" t="str">
        <f t="shared" si="6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drop","project_id":79,"tracker_id":40,"status_id":1,"priority_id":2,"assigned_to_id":338,"start_date":"2017-12-08","description":"","custom_fields":[{"id":1,"name":"Subdivision","value":"EC"},{"id":4,"name":"Milepost","value":"10.4776"},{"id":17,"name":"Train ID","value":"190-08"},{"id":16,"name":"Locomotive ID","value":"4063"},{"id":130,"name":"Impact","value":""},{"id":150,"name":"Time of Event (Mountain Time)","value":"15:59:22"},{"id":151,"name":"Denver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2"/>
      <c r="AA19" s="196"/>
      <c r="AB19" s="196"/>
      <c r="AC19" s="109" t="str">
        <f t="shared" si="7"/>
        <v>grep -hrE -A400 "Enforcement Action" /c/Users/stu/AppData/Local/Temp/OnboardLogs/RTDC4063 --include="*4063*201712082*"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"%USERPROFILE%\AppData\Local\Temp\OnboardLogs"\RTDC4063\*4063*201712082* &gt;&gt; 2017-12-08-SliceDisagreementCheck.txt</v>
      </c>
      <c r="AE19" s="138" t="str">
        <f t="shared" si="9"/>
        <v>start /low /b %USERPROFILE%\Documents\GitHub\eaglep3\Utilities\DownloadLogsFromS3.py --loco 4063 --day 2017-12-08</v>
      </c>
      <c r="AF19" s="1"/>
    </row>
    <row r="20" spans="1:32" x14ac:dyDescent="0.25">
      <c r="A20" s="31">
        <v>43077.419953703706</v>
      </c>
      <c r="B20" s="30" t="s">
        <v>595</v>
      </c>
      <c r="C20" s="30" t="s">
        <v>686</v>
      </c>
      <c r="D20" s="30" t="s">
        <v>95</v>
      </c>
      <c r="E20" s="30" t="s">
        <v>471</v>
      </c>
      <c r="F20" s="42">
        <v>0</v>
      </c>
      <c r="G20" s="42">
        <v>702</v>
      </c>
      <c r="H20" s="42">
        <v>109124</v>
      </c>
      <c r="I20" s="42">
        <v>112306</v>
      </c>
      <c r="J20" s="30" t="s">
        <v>472</v>
      </c>
      <c r="K20" s="42">
        <v>107939</v>
      </c>
      <c r="L20" s="125" t="s">
        <v>50</v>
      </c>
      <c r="M20" s="126">
        <f t="shared" si="0"/>
        <v>-2305.7759999999998</v>
      </c>
      <c r="N20" s="127" t="str">
        <f>VLOOKUP(C20,'Trips&amp;Operators'!$C$1:$G$99911,5,FALSE)</f>
        <v>GEBRETEKLE DAGNEW</v>
      </c>
      <c r="O20" s="167" t="s">
        <v>347</v>
      </c>
      <c r="P20" s="202" t="s">
        <v>440</v>
      </c>
      <c r="Q20" s="30"/>
      <c r="R20" s="75" t="str">
        <f>VLOOKUP(C20,'Train Runs'!$A$13:$AE$10191,31,0)</f>
        <v>aws s3 cp s3://rtdc.mdm.uploadarchive.raw/RTDC4024/ "%USERPROFILE%\AppData\Local\Temp\OnboardLogs"\RTDC4024\2017-12-08 --exclude "*" --recursive --include "*20171208*" &amp; "%USERPROFILE%\Documents\GitHub\mrs-test-scripts\Headless Mode &amp; Sideloading\WalkAndUnGZ.bat" "%USERPROFILE%\AppData\Local\Temp\OnboardLogs"\RTDC4024\2017-12-08 &amp; aws s3 cp s3://rtdc.mdm.uploadarchive.raw/RTDC4024/ "%USERPROFILE%\AppData\Local\Temp\OnboardLogs"\RTDC4024\2017-12-09 --exclude "*" --recursive --include "*20171209*" &amp; "%USERPROFILE%\Documents\GitHub\mrs-test-scripts\Headless Mode &amp; Sideloading\WalkAndUnGZ.bat" "%USERPROFILE%\AppData\Local\Temp\OnboardLogs"\RTDC4024\2017-12-09</v>
      </c>
      <c r="S20" s="78" t="str">
        <f>VLOOKUP(C20,'Train Runs'!$A$13:$AE$10191,22,0)</f>
        <v>https://d0f6bd738d7f1b3e5a7ca70fe4ff75f0.us-east-1.aws.found.io/app/kibana#/discover/Steve-Slow-Train-Analysis-(2080s-and-2083s)?_g=(refreshInterval:(display:Off,pause:!f,section:0,value:0),time:(from:'2017-12-08T08:36:34-0700',mode:absolute,to:'2017-12-08T11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0" s="80" t="str">
        <f t="shared" si="1"/>
        <v>"C:\Program Files (x86)\AstroGrep\AstroGrep.exe" /e /r /s /spath="%USERPROFILE%\AppData\Local\Temp\OnboardLogs" /stypes="*4024*201712081*"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4024</v>
      </c>
      <c r="V20" s="31">
        <f t="shared" si="3"/>
        <v>43077.71162037037</v>
      </c>
      <c r="W20" s="45" t="str">
        <f t="shared" si="4"/>
        <v>EC</v>
      </c>
      <c r="X20" s="193">
        <f t="shared" si="5"/>
        <v>149</v>
      </c>
      <c r="Y20" s="201" t="str">
        <f t="shared" si="6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drop","project_id":79,"tracker_id":40,"status_id":1,"priority_id":2,"assigned_to_id":338,"start_date":"2017-12-08","description":"","custom_fields":[{"id":1,"name":"Subdivision","value":"EC"},{"id":4,"name":"Milepost","value":"10.7939"},{"id":17,"name":"Train ID","value":"149-08"},{"id":16,"name":"Locomotive ID","value":"4024"},{"id":130,"name":"Impact","value":""},{"id":150,"name":"Time of Event (Mountain Time)","value":"10:04:44"},{"id":151,"name":"Denver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2"/>
      <c r="AA20" s="196"/>
      <c r="AB20" s="196"/>
      <c r="AC20" s="109" t="str">
        <f t="shared" si="7"/>
        <v>grep -hrE -A400 "Enforcement Action" /c/Users/stu/AppData/Local/Temp/OnboardLogs/RTDC4024 --include="*4024*201712081*"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"%USERPROFILE%\AppData\Local\Temp\OnboardLogs"\RTDC4024\*4024*201712081* &gt;&gt; 2017-12-08-SliceDisagreementCheck.txt</v>
      </c>
      <c r="AE20" s="138" t="str">
        <f t="shared" si="9"/>
        <v>start /low /b %USERPROFILE%\Documents\GitHub\eaglep3\Utilities\DownloadLogsFromS3.py --loco 4024 --day 2017-12-08</v>
      </c>
      <c r="AF20" s="1"/>
    </row>
    <row r="21" spans="1:32" x14ac:dyDescent="0.25">
      <c r="A21" s="31">
        <v>43077.460069444445</v>
      </c>
      <c r="B21" s="30" t="s">
        <v>525</v>
      </c>
      <c r="C21" s="30" t="s">
        <v>688</v>
      </c>
      <c r="D21" s="30" t="s">
        <v>49</v>
      </c>
      <c r="E21" s="30" t="s">
        <v>471</v>
      </c>
      <c r="F21" s="42">
        <v>0</v>
      </c>
      <c r="G21" s="42">
        <v>448</v>
      </c>
      <c r="H21" s="42">
        <v>193381</v>
      </c>
      <c r="I21" s="42">
        <v>191592</v>
      </c>
      <c r="J21" s="30" t="s">
        <v>472</v>
      </c>
      <c r="K21" s="42">
        <v>191723</v>
      </c>
      <c r="L21" s="125" t="s">
        <v>51</v>
      </c>
      <c r="M21" s="126">
        <f t="shared" si="0"/>
        <v>-69.168000000000006</v>
      </c>
      <c r="N21" s="127" t="str">
        <f>VLOOKUP(C21,'Trips&amp;Operators'!$C$1:$G$99911,5,FALSE)</f>
        <v>LOPES KIMBERLY</v>
      </c>
      <c r="O21" s="167" t="s">
        <v>347</v>
      </c>
      <c r="P21" s="202" t="s">
        <v>440</v>
      </c>
      <c r="Q21" s="30"/>
      <c r="R21" s="75" t="str">
        <f>VLOOKUP(C21,'Train Runs'!$A$13:$AE$10191,31,0)</f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S21" s="78" t="str">
        <f>VLOOKUP(C21,'Train Runs'!$A$13:$AE$10191,22,0)</f>
        <v>https://d0f6bd738d7f1b3e5a7ca70fe4ff75f0.us-east-1.aws.found.io/app/kibana#/discover/Steve-Slow-Train-Analysis-(2080s-and-2083s)?_g=(refreshInterval:(display:Off,pause:!f,section:0,value:0),time:(from:'2017-12-08T09:45:12-0700',mode:absolute,to:'2017-12-08T12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1" s="80" t="str">
        <f t="shared" si="1"/>
        <v>"C:\Program Files (x86)\AstroGrep\AstroGrep.exe" /e /r /s /spath="%USERPROFILE%\AppData\Local\Temp\OnboardLogs" /stypes="*4049*201712081*"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4049</v>
      </c>
      <c r="V21" s="31">
        <f t="shared" si="3"/>
        <v>43077.751736111109</v>
      </c>
      <c r="W21" s="45" t="str">
        <f t="shared" si="4"/>
        <v>EC</v>
      </c>
      <c r="X21" s="193">
        <f t="shared" si="5"/>
        <v>152</v>
      </c>
      <c r="Y21" s="201" t="str">
        <f t="shared" si="6"/>
        <v>echo {"issue":{"subject":"Wi-MAX data drop","project_id":79,"tracker_id":40,"status_id":1,"priority_id":2,"assigned_to_id":338,"start_date":"2017-12-08","description":"","custom_fields":[{"id":1,"name":"Subdivision","value":"EC"},{"id":4,"name":"Milepost","value":"19.1723"},{"id":17,"name":"Train ID","value":"152-08"},{"id":16,"name":"Locomotive ID","value":"4049"},{"id":130,"name":"Impact","value":""},{"id":150,"name":"Time of Event (Mountain Time)","value":"11:02:30"},{"id":151,"name":"Denver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2"/>
      <c r="AA21" s="196"/>
      <c r="AB21" s="196"/>
      <c r="AC21" s="109" t="str">
        <f t="shared" si="7"/>
        <v>grep -hrE -A400 "Enforcement Action" /c/Users/stu/AppData/Local/Temp/OnboardLogs/RTDC4049 --include="*4049*201712081*"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"%USERPROFILE%\AppData\Local\Temp\OnboardLogs"\RTDC4049\*4049*201712081* &gt;&gt; 2017-12-08-SliceDisagreementCheck.txt</v>
      </c>
      <c r="AE21" s="138" t="str">
        <f t="shared" si="9"/>
        <v>start /low /b %USERPROFILE%\Documents\GitHub\eaglep3\Utilities\DownloadLogsFromS3.py --loco 4049 --day 2017-12-08</v>
      </c>
      <c r="AF21" s="1"/>
    </row>
    <row r="22" spans="1:32" x14ac:dyDescent="0.25">
      <c r="A22" s="31">
        <v>43077.699178240742</v>
      </c>
      <c r="B22" s="30" t="s">
        <v>683</v>
      </c>
      <c r="C22" s="30" t="s">
        <v>698</v>
      </c>
      <c r="D22" s="30" t="s">
        <v>49</v>
      </c>
      <c r="E22" s="30" t="s">
        <v>353</v>
      </c>
      <c r="F22" s="42">
        <v>0</v>
      </c>
      <c r="G22" s="42">
        <v>276</v>
      </c>
      <c r="H22" s="42">
        <v>32681</v>
      </c>
      <c r="I22" s="42">
        <v>33393</v>
      </c>
      <c r="J22" s="30" t="s">
        <v>354</v>
      </c>
      <c r="K22" s="42">
        <v>34583</v>
      </c>
      <c r="L22" s="125" t="s">
        <v>50</v>
      </c>
      <c r="M22" s="126">
        <f t="shared" si="0"/>
        <v>628.32000000000005</v>
      </c>
      <c r="N22" s="127" t="str">
        <f>VLOOKUP(C22,'Trips&amp;Operators'!$C$1:$G$99911,5,FALSE)</f>
        <v>LORI SANTOS</v>
      </c>
      <c r="O22" s="167" t="s">
        <v>177</v>
      </c>
      <c r="P22" s="202" t="s">
        <v>1111</v>
      </c>
      <c r="Q22" s="30"/>
      <c r="R22" s="75" t="str">
        <f>VLOOKUP(C22,'Train Runs'!$A$13:$AE$10191,31,0)</f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S22" s="78" t="str">
        <f>VLOOKUP(C22,'Train Runs'!$A$13:$AE$10191,22,0)</f>
        <v>https://d0f6bd738d7f1b3e5a7ca70fe4ff75f0.us-east-1.aws.found.io/app/kibana#/discover/Steve-Slow-Train-Analysis-(2080s-and-2083s)?_g=(refreshInterval:(display:Off,pause:!f,section:0,value:0),time:(from:'2017-12-08T15:32:55-0700',mode:absolute,to:'2017-12-08T17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80" t="str">
        <f t="shared" si="1"/>
        <v>"C:\Program Files (x86)\AstroGrep\AstroGrep.exe" /e /r /s /spath="%USERPROFILE%\AppData\Local\Temp\OnboardLogs" /stypes="*4004*201712082*"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4004</v>
      </c>
      <c r="V22" s="31">
        <f t="shared" si="3"/>
        <v>43077.990844907406</v>
      </c>
      <c r="W22" s="45" t="str">
        <f t="shared" si="4"/>
        <v>NW</v>
      </c>
      <c r="X22" s="193">
        <f t="shared" si="5"/>
        <v>831</v>
      </c>
      <c r="Y22" s="201" t="str">
        <f t="shared" si="6"/>
        <v>echo {"issue":{"subject":"Restricting aspect","project_id":79,"tracker_id":40,"status_id":1,"priority_id":2,"assigned_to_id":338,"start_date":"2017-12-08","description":"","custom_fields":[{"id":1,"name":"Subdivision","value":"NW"},{"id":4,"name":"Milepost","value":"3.4583"},{"id":17,"name":"Train ID","value":"831-08"},{"id":16,"name":"Locomotive ID","value":"4004"},{"id":130,"name":"Impact","value":""},{"id":150,"name":"Time of Event (Mountain Time)","value":"16:46:49"},{"id":151,"name":"Denver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2"/>
      <c r="AA22" s="196"/>
      <c r="AB22" s="196"/>
      <c r="AC22" s="109" t="str">
        <f t="shared" si="7"/>
        <v>grep -hrE -A400 "Enforcement Action" /c/Users/stu/AppData/Local/Temp/OnboardLogs/RTDC4004 --include="*4004*201712082*"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"%USERPROFILE%\AppData\Local\Temp\OnboardLogs"\RTDC4004\*4004*201712082* &gt;&gt; 2017-12-08-SliceDisagreementCheck.txt</v>
      </c>
      <c r="AE22" s="138" t="str">
        <f t="shared" si="9"/>
        <v>start /low /b %USERPROFILE%\Documents\GitHub\eaglep3\Utilities\DownloadLogsFromS3.py --loco 4004 --day 2017-12-08</v>
      </c>
      <c r="AF22" s="1"/>
    </row>
    <row r="23" spans="1:32" x14ac:dyDescent="0.25">
      <c r="A23" s="31">
        <v>43077.719965277778</v>
      </c>
      <c r="B23" s="30" t="s">
        <v>355</v>
      </c>
      <c r="C23" s="30" t="s">
        <v>699</v>
      </c>
      <c r="D23" s="30" t="s">
        <v>49</v>
      </c>
      <c r="E23" s="30" t="s">
        <v>353</v>
      </c>
      <c r="F23" s="42">
        <v>0</v>
      </c>
      <c r="G23" s="42">
        <v>257</v>
      </c>
      <c r="H23" s="42">
        <v>32986</v>
      </c>
      <c r="I23" s="42">
        <v>33537</v>
      </c>
      <c r="J23" s="30" t="s">
        <v>354</v>
      </c>
      <c r="K23" s="42">
        <v>34583</v>
      </c>
      <c r="L23" s="125" t="s">
        <v>50</v>
      </c>
      <c r="M23" s="126">
        <f t="shared" si="0"/>
        <v>552.28800000000001</v>
      </c>
      <c r="N23" s="127" t="str">
        <f>VLOOKUP(C23,'Trips&amp;Operators'!$C$1:$G$99911,5,FALSE)</f>
        <v>GUNTHIER ERIC</v>
      </c>
      <c r="O23" s="167" t="s">
        <v>177</v>
      </c>
      <c r="P23" s="202" t="s">
        <v>1111</v>
      </c>
      <c r="Q23" s="30"/>
      <c r="R23" s="75" t="str">
        <f>VLOOKUP(C23,'Train Runs'!$A$13:$AE$10191,31,0)</f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S23" s="78" t="str">
        <f>VLOOKUP(C23,'Train Runs'!$A$13:$AE$10191,22,0)</f>
        <v>https://d0f6bd738d7f1b3e5a7ca70fe4ff75f0.us-east-1.aws.found.io/app/kibana#/discover/Steve-Slow-Train-Analysis-(2080s-and-2083s)?_g=(refreshInterval:(display:Off,pause:!f,section:0,value:0),time:(from:'2017-12-08T15:58:23-0700',mode:absolute,to:'2017-12-08T18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80" t="str">
        <f t="shared" si="1"/>
        <v>"C:\Program Files (x86)\AstroGrep\AstroGrep.exe" /e /r /s /spath="%USERPROFILE%\AppData\Local\Temp\OnboardLogs" /stypes="*4008*201712090*"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4008</v>
      </c>
      <c r="V23" s="31">
        <f t="shared" si="3"/>
        <v>43078.011631944442</v>
      </c>
      <c r="W23" s="45" t="str">
        <f t="shared" si="4"/>
        <v>NW</v>
      </c>
      <c r="X23" s="193">
        <f t="shared" si="5"/>
        <v>833</v>
      </c>
      <c r="Y23" s="201" t="str">
        <f t="shared" si="6"/>
        <v>echo {"issue":{"subject":"Restricting aspect","project_id":79,"tracker_id":40,"status_id":1,"priority_id":2,"assigned_to_id":338,"start_date":"2017-12-08","description":"","custom_fields":[{"id":1,"name":"Subdivision","value":"NW"},{"id":4,"name":"Milepost","value":"3.4583"},{"id":17,"name":"Train ID","value":"833-08"},{"id":16,"name":"Locomotive ID","value":"4008"},{"id":130,"name":"Impact","value":""},{"id":150,"name":"Time of Event (Mountain Time)","value":"17:16:45"},{"id":151,"name":"Denver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2"/>
      <c r="AA23" s="196"/>
      <c r="AB23" s="196"/>
      <c r="AC23" s="109" t="str">
        <f t="shared" si="7"/>
        <v>grep -hrE -A400 "Enforcement Action" /c/Users/stu/AppData/Local/Temp/OnboardLogs/RTDC4008 --include="*4008*201712090*"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"%USERPROFILE%\AppData\Local\Temp\OnboardLogs"\RTDC4008\*4008*201712090* &gt;&gt; 2017-12-08-SliceDisagreementCheck.txt</v>
      </c>
      <c r="AE23" s="138" t="str">
        <f t="shared" si="9"/>
        <v>start /low /b %USERPROFILE%\Documents\GitHub\eaglep3\Utilities\DownloadLogsFromS3.py --loco 4008 --day 2017-12-09</v>
      </c>
      <c r="AF23" s="1"/>
    </row>
    <row r="24" spans="1:32" x14ac:dyDescent="0.25">
      <c r="A24" s="31">
        <v>43077.467951388891</v>
      </c>
      <c r="B24" s="30" t="s">
        <v>355</v>
      </c>
      <c r="C24" s="30" t="s">
        <v>689</v>
      </c>
      <c r="D24" s="30" t="s">
        <v>49</v>
      </c>
      <c r="E24" s="30" t="s">
        <v>690</v>
      </c>
      <c r="F24" s="42">
        <v>100</v>
      </c>
      <c r="G24" s="42">
        <v>150</v>
      </c>
      <c r="H24" s="42">
        <v>3547</v>
      </c>
      <c r="I24" s="42">
        <v>3827</v>
      </c>
      <c r="J24" s="30" t="s">
        <v>183</v>
      </c>
      <c r="K24" s="42">
        <v>3900</v>
      </c>
      <c r="L24" s="125" t="s">
        <v>50</v>
      </c>
      <c r="M24" s="126">
        <f t="shared" si="0"/>
        <v>38.543999999999997</v>
      </c>
      <c r="N24" s="127" t="str">
        <f>VLOOKUP(C24,'Trips&amp;Operators'!$C$1:$G$99911,5,FALSE)</f>
        <v>DELGADO DIANAH</v>
      </c>
      <c r="O24" s="167" t="s">
        <v>177</v>
      </c>
      <c r="P24" s="202"/>
      <c r="Q24" s="30"/>
      <c r="R24" s="75" t="str">
        <f>VLOOKUP(C24,'Train Runs'!$A$13:$AE$10191,31,0)</f>
        <v>aws s3 cp s3://rtdc.mdm.uploadarchive.raw/RTDC4008/ "%USERPROFILE%\AppData\Local\Temp\OnboardLogs"\RTDC4008\2017-12-08 --exclude "*" --recursive --include "*20171208*" &amp; "%USERPROFILE%\Documents\GitHub\mrs-test-scripts\Headless Mode &amp; Sideloading\WalkAndUnGZ.bat" "%USERPROFILE%\AppData\Local\Temp\OnboardLogs"\RTDC4008\2017-12-08 &amp; aws s3 cp s3://rtdc.mdm.uploadarchive.raw/RTDC4008/ "%USERPROFILE%\AppData\Local\Temp\OnboardLogs"\RTDC4008\2017-12-09 --exclude "*" --recursive --include "*20171209*" &amp; "%USERPROFILE%\Documents\GitHub\mrs-test-scripts\Headless Mode &amp; Sideloading\WalkAndUnGZ.bat" "%USERPROFILE%\AppData\Local\Temp\OnboardLogs"\RTDC4008\2017-12-09</v>
      </c>
      <c r="S24" s="78" t="str">
        <f>VLOOKUP(C24,'Train Runs'!$A$13:$AE$10191,22,0)</f>
        <v>https://d0f6bd738d7f1b3e5a7ca70fe4ff75f0.us-east-1.aws.found.io/app/kibana#/discover/Steve-Slow-Train-Analysis-(2080s-and-2083s)?_g=(refreshInterval:(display:Off,pause:!f,section:0,value:0),time:(from:'2017-12-08T10:11:29-0700',mode:absolute,to:'2017-12-08T12:26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4" s="80" t="str">
        <f t="shared" si="1"/>
        <v>"C:\Program Files (x86)\AstroGrep\AstroGrep.exe" /e /r /s /spath="%USERPROFILE%\AppData\Local\Temp\OnboardLogs" /stypes="*4008*201712081*"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4008</v>
      </c>
      <c r="V24" s="31">
        <f t="shared" si="3"/>
        <v>43077.759618055556</v>
      </c>
      <c r="W24" s="45" t="str">
        <f t="shared" si="4"/>
        <v>NW</v>
      </c>
      <c r="X24" s="193">
        <f t="shared" si="5"/>
        <v>817</v>
      </c>
      <c r="Y24" s="201" t="str">
        <f t="shared" si="6"/>
        <v>echo {"issue":{"subject":"","project_id":79,"tracker_id":40,"status_id":1,"priority_id":2,"assigned_to_id":338,"start_date":"2017-12-08","description":"","custom_fields":[{"id":1,"name":"Subdivision","value":"NW"},{"id":4,"name":"Milepost","value":"0.39"},{"id":17,"name":"Train ID","value":"817-08"},{"id":16,"name":"Locomotive ID","value":"4008"},{"id":130,"name":"Impact","value":""},{"id":150,"name":"Time of Event (Mountain Time)","value":"11:13:51"},{"id":151,"name":"Denver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2"/>
      <c r="AA24" s="196"/>
      <c r="AB24" s="196"/>
      <c r="AC24" s="109" t="str">
        <f t="shared" si="7"/>
        <v>grep -hrE -A400 "Enforcement Action" /c/Users/stu/AppData/Local/Temp/OnboardLogs/RTDC4008 --include="*4008*201712081*"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"%USERPROFILE%\AppData\Local\Temp\OnboardLogs"\RTDC4008\*4008*201712081* &gt;&gt; 2017-12-08-SliceDisagreementCheck.txt</v>
      </c>
      <c r="AE24" s="138" t="str">
        <f t="shared" si="9"/>
        <v>start /low /b %USERPROFILE%\Documents\GitHub\eaglep3\Utilities\DownloadLogsFromS3.py --loco 4008 --day 2017-12-08</v>
      </c>
      <c r="AF24" s="1"/>
    </row>
    <row r="25" spans="1:32" x14ac:dyDescent="0.25">
      <c r="A25" s="31">
        <v>43077.18346064815</v>
      </c>
      <c r="B25" s="30" t="s">
        <v>525</v>
      </c>
      <c r="C25" s="30" t="s">
        <v>679</v>
      </c>
      <c r="D25" s="30" t="s">
        <v>49</v>
      </c>
      <c r="E25" s="30" t="s">
        <v>353</v>
      </c>
      <c r="F25" s="42">
        <v>0</v>
      </c>
      <c r="G25" s="42">
        <v>351</v>
      </c>
      <c r="H25" s="42">
        <v>8928</v>
      </c>
      <c r="I25" s="42">
        <v>8309</v>
      </c>
      <c r="J25" s="30" t="s">
        <v>354</v>
      </c>
      <c r="K25" s="42">
        <v>6799</v>
      </c>
      <c r="L25" s="125" t="s">
        <v>51</v>
      </c>
      <c r="M25" s="126">
        <f t="shared" si="0"/>
        <v>797.28</v>
      </c>
      <c r="N25" s="127" t="str">
        <f>VLOOKUP(C25,'Trips&amp;Operators'!$C$1:$G$99911,5,FALSE)</f>
        <v>LOPES KIMBERLY</v>
      </c>
      <c r="O25" s="167" t="s">
        <v>177</v>
      </c>
      <c r="P25" s="202"/>
      <c r="Q25" s="30"/>
      <c r="R25" s="75" t="str">
        <f>VLOOKUP(C25,'Train Runs'!$A$13:$AE$10191,31,0)</f>
        <v>aws s3 cp s3://rtdc.mdm.uploadarchive.raw/RTDC4049/ "%USERPROFILE%\AppData\Local\Temp\OnboardLogs"\RTDC4049\2017-12-08 --exclude "*" --recursive --include "*20171208*" &amp; "%USERPROFILE%\Documents\GitHub\mrs-test-scripts\Headless Mode &amp; Sideloading\WalkAndUnGZ.bat" "%USERPROFILE%\AppData\Local\Temp\OnboardLogs"\RTDC4049\2017-12-08 &amp; aws s3 cp s3://rtdc.mdm.uploadarchive.raw/RTDC4049/ "%USERPROFILE%\AppData\Local\Temp\OnboardLogs"\RTDC4049\2017-12-09 --exclude "*" --recursive --include "*20171209*" &amp; "%USERPROFILE%\Documents\GitHub\mrs-test-scripts\Headless Mode &amp; Sideloading\WalkAndUnGZ.bat" "%USERPROFILE%\AppData\Local\Temp\OnboardLogs"\RTDC4049\2017-12-09</v>
      </c>
      <c r="S25" s="78" t="str">
        <f>VLOOKUP(C25,'Train Runs'!$A$13:$AE$10191,22,0)</f>
        <v>https://d0f6bd738d7f1b3e5a7ca70fe4ff75f0.us-east-1.aws.found.io/app/kibana#/discover/Steve-Slow-Train-Analysis-(2080s-and-2083s)?_g=(refreshInterval:(display:Off,pause:!f,section:0,value:0),time:(from:'2017-12-08T03:12:11-0700',mode:absolute,to:'2017-12-08T05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5" s="80" t="str">
        <f t="shared" si="1"/>
        <v>"C:\Program Files (x86)\AstroGrep\AstroGrep.exe" /e /r /s /spath="%USERPROFILE%\AppData\Local\Temp\OnboardLogs" /stypes="*4049*201712081*"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4049</v>
      </c>
      <c r="V25" s="31">
        <f t="shared" si="3"/>
        <v>43077.475127314814</v>
      </c>
      <c r="W25" s="45" t="str">
        <f t="shared" si="4"/>
        <v>Other</v>
      </c>
      <c r="X25" s="193">
        <f t="shared" si="5"/>
        <v>308</v>
      </c>
      <c r="Y25" s="201" t="str">
        <f t="shared" si="6"/>
        <v>echo {"issue":{"subject":"","project_id":79,"tracker_id":40,"status_id":1,"priority_id":2,"assigned_to_id":338,"start_date":"2017-12-08","description":"","custom_fields":[{"id":1,"name":"Subdivision","value":"Other"},{"id":4,"name":"Milepost","value":"0.6799"},{"id":17,"name":"Train ID","value":"308-08"},{"id":16,"name":"Locomotive ID","value":"4049"},{"id":130,"name":"Impact","value":""},{"id":150,"name":"Time of Event (Mountain Time)","value":"04:24:11"},{"id":151,"name":"Denver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2"/>
      <c r="AA25" s="196"/>
      <c r="AB25" s="196"/>
      <c r="AC25" s="109" t="str">
        <f t="shared" si="7"/>
        <v>grep -hrE -A400 "Enforcement Action" /c/Users/stu/AppData/Local/Temp/OnboardLogs/RTDC4049 --include="*4049*201712081*"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"%USERPROFILE%\AppData\Local\Temp\OnboardLogs"\RTDC4049\*4049*201712081* &gt;&gt; 2017-12-08-SliceDisagreementCheck.txt</v>
      </c>
      <c r="AE25" s="138" t="str">
        <f t="shared" si="9"/>
        <v>start /low /b %USERPROFILE%\Documents\GitHub\eaglep3\Utilities\DownloadLogsFromS3.py --loco 4049 --day 2017-12-08</v>
      </c>
      <c r="AF25" s="1"/>
    </row>
    <row r="26" spans="1:32" x14ac:dyDescent="0.25">
      <c r="A26" s="31">
        <v>43077.360266203701</v>
      </c>
      <c r="B26" s="30" t="s">
        <v>683</v>
      </c>
      <c r="C26" s="30" t="s">
        <v>684</v>
      </c>
      <c r="D26" s="30" t="s">
        <v>95</v>
      </c>
      <c r="E26" s="30" t="s">
        <v>353</v>
      </c>
      <c r="F26" s="42">
        <v>0</v>
      </c>
      <c r="G26" s="42">
        <v>202</v>
      </c>
      <c r="H26" s="42">
        <v>10997</v>
      </c>
      <c r="I26" s="42">
        <v>11385</v>
      </c>
      <c r="J26" s="30" t="s">
        <v>354</v>
      </c>
      <c r="K26" s="42">
        <v>10988</v>
      </c>
      <c r="L26" s="125" t="s">
        <v>50</v>
      </c>
      <c r="M26" s="126">
        <f t="shared" si="0"/>
        <v>-209.61600000000001</v>
      </c>
      <c r="N26" s="127" t="str">
        <f>VLOOKUP(C26,'Trips&amp;Operators'!$C$1:$G$99911,5,FALSE)</f>
        <v>WILLIAMS DONTE</v>
      </c>
      <c r="O26" s="167" t="s">
        <v>177</v>
      </c>
      <c r="P26" s="202"/>
      <c r="Q26" s="30"/>
      <c r="R26" s="75" t="str">
        <f>VLOOKUP(C26,'Train Runs'!$A$13:$AE$10191,31,0)</f>
        <v>aws s3 cp s3://rtdc.mdm.uploadarchive.raw/RTDC4004/ "%USERPROFILE%\AppData\Local\Temp\OnboardLogs"\RTDC4004\2017-12-08 --exclude "*" --recursive --include "*20171208*" &amp; "%USERPROFILE%\Documents\GitHub\mrs-test-scripts\Headless Mode &amp; Sideloading\WalkAndUnGZ.bat" "%USERPROFILE%\AppData\Local\Temp\OnboardLogs"\RTDC4004\2017-12-08 &amp; aws s3 cp s3://rtdc.mdm.uploadarchive.raw/RTDC4004/ "%USERPROFILE%\AppData\Local\Temp\OnboardLogs"\RTDC4004\2017-12-09 --exclude "*" --recursive --include "*20171209*" &amp; "%USERPROFILE%\Documents\GitHub\mrs-test-scripts\Headless Mode &amp; Sideloading\WalkAndUnGZ.bat" "%USERPROFILE%\AppData\Local\Temp\OnboardLogs"\RTDC4004\2017-12-09</v>
      </c>
      <c r="S26" s="78" t="str">
        <f>VLOOKUP(C26,'Train Runs'!$A$13:$AE$10191,22,0)</f>
        <v>https://d0f6bd738d7f1b3e5a7ca70fe4ff75f0.us-east-1.aws.found.io/app/kibana#/discover/Steve-Slow-Train-Analysis-(2080s-and-2083s)?_g=(refreshInterval:(display:Off,pause:!f,section:0,value:0),time:(from:'2017-12-08T07:28:58-0700',mode:absolute,to:'2017-12-08T09:45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80" t="str">
        <f t="shared" si="1"/>
        <v>"C:\Program Files (x86)\AstroGrep\AstroGrep.exe" /e /r /s /spath="%USERPROFILE%\AppData\Local\Temp\OnboardLogs" /stypes="*4004*201712081*"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4004</v>
      </c>
      <c r="V26" s="31">
        <f t="shared" si="3"/>
        <v>43077.651932870365</v>
      </c>
      <c r="W26" s="45" t="str">
        <f t="shared" si="4"/>
        <v>Other</v>
      </c>
      <c r="X26" s="193">
        <f t="shared" si="5"/>
        <v>903</v>
      </c>
      <c r="Y26" s="201" t="str">
        <f t="shared" si="6"/>
        <v>echo {"issue":{"subject":"","project_id":79,"tracker_id":40,"status_id":1,"priority_id":2,"assigned_to_id":338,"start_date":"2017-12-08","description":"","custom_fields":[{"id":1,"name":"Subdivision","value":"Other"},{"id":4,"name":"Milepost","value":"1.0988"},{"id":17,"name":"Train ID","value":"903-08"},{"id":16,"name":"Locomotive ID","value":"4004"},{"id":130,"name":"Impact","value":""},{"id":150,"name":"Time of Event (Mountain Time)","value":"08:38:47"},{"id":151,"name":"Denver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2"/>
      <c r="AA26" s="196"/>
      <c r="AB26" s="196"/>
      <c r="AC26" s="109" t="str">
        <f t="shared" si="7"/>
        <v>grep -hrE -A400 "Enforcement Action" /c/Users/stu/AppData/Local/Temp/OnboardLogs/RTDC4004 --include="*4004*201712081*"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"%USERPROFILE%\AppData\Local\Temp\OnboardLogs"\RTDC4004\*4004*201712081* &gt;&gt; 2017-12-08-SliceDisagreementCheck.txt</v>
      </c>
      <c r="AE26" s="138" t="str">
        <f t="shared" si="9"/>
        <v>start /low /b %USERPROFILE%\Documents\GitHub\eaglep3\Utilities\DownloadLogsFromS3.py --loco 4004 --day 2017-12-08</v>
      </c>
      <c r="AF26" s="1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</sheetData>
  <autoFilter ref="A6:AC15">
    <sortState ref="A7:AC26">
      <sortCondition ref="W7:W26"/>
      <sortCondition ref="E7:E26"/>
      <sortCondition ref="K7:K26"/>
      <sortCondition ref="F7:F26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4:O1048576 O7:O2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81" customWidth="1"/>
    <col min="2" max="2" width="9.140625" style="2" customWidth="1"/>
    <col min="3" max="3" width="8" style="82" bestFit="1" customWidth="1"/>
    <col min="4" max="4" width="11.28515625" style="13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78" customWidth="1"/>
    <col min="10" max="10" width="9.140625" customWidth="1"/>
  </cols>
  <sheetData>
    <row r="1" spans="1:10" s="20" customFormat="1" x14ac:dyDescent="0.25">
      <c r="A1" s="181"/>
      <c r="B1" s="209" t="str">
        <f>"Trips that did not appear in PTC Data "&amp;TEXT(Variables!$A$2,"YYYY-mm-dd")</f>
        <v>Trips that did not appear in PTC Data 2017-12-08</v>
      </c>
      <c r="C1" s="209"/>
      <c r="D1" s="209"/>
      <c r="E1" s="209"/>
      <c r="F1" s="209"/>
      <c r="I1" s="178"/>
    </row>
    <row r="2" spans="1:10" s="23" customFormat="1" ht="45" x14ac:dyDescent="0.25">
      <c r="A2" s="186"/>
      <c r="B2" s="84" t="s">
        <v>58</v>
      </c>
      <c r="C2" s="81" t="s">
        <v>59</v>
      </c>
      <c r="D2" s="14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79" t="s">
        <v>101</v>
      </c>
      <c r="J2" s="28" t="s">
        <v>60</v>
      </c>
    </row>
    <row r="3" spans="1:10" x14ac:dyDescent="0.25">
      <c r="A3" s="182"/>
      <c r="B3" s="42" t="str">
        <f>A3&amp;"-"&amp;IF(DAY(Variables!$A$2)&lt;10,0,"")&amp;DAY(Variables!$A$2)</f>
        <v>-08</v>
      </c>
      <c r="C3" s="128"/>
      <c r="D3" s="187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Runs'!$A$13:$A$100188,1,FALSE)</f>
        <v>#N/A</v>
      </c>
    </row>
    <row r="4" spans="1:10" x14ac:dyDescent="0.25">
      <c r="A4" s="182"/>
      <c r="B4" s="42" t="str">
        <f>A4&amp;"-"&amp;IF(DAY(Variables!$A$2)&lt;10,0,"")&amp;DAY(Variables!$A$2)</f>
        <v>-08</v>
      </c>
      <c r="C4" s="128"/>
      <c r="D4" s="146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Runs'!$A$13:$A$100188,1,FALSE)</f>
        <v>#N/A</v>
      </c>
    </row>
    <row r="5" spans="1:10" x14ac:dyDescent="0.25">
      <c r="A5" s="182"/>
      <c r="B5" s="42" t="str">
        <f>A5&amp;"-"&amp;IF(DAY(Variables!$A$2)&lt;10,0,"")&amp;DAY(Variables!$A$2)</f>
        <v>-08</v>
      </c>
      <c r="C5" s="128"/>
      <c r="D5" s="146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Runs'!$A$13:$A$100188,1,FALSE)</f>
        <v>#N/A</v>
      </c>
    </row>
    <row r="6" spans="1:10" x14ac:dyDescent="0.25">
      <c r="A6" s="182"/>
      <c r="B6" s="42" t="str">
        <f>A6&amp;"-"&amp;IF(DAY(Variables!$A$2)&lt;10,0,"")&amp;DAY(Variables!$A$2)</f>
        <v>-08</v>
      </c>
      <c r="C6" s="128"/>
      <c r="D6" s="146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Runs'!$A$13:$A$100188,1,FALSE)</f>
        <v>#N/A</v>
      </c>
    </row>
    <row r="7" spans="1:10" x14ac:dyDescent="0.25">
      <c r="A7" s="182"/>
      <c r="B7" s="42" t="str">
        <f>A7&amp;"-"&amp;IF(DAY(Variables!$A$2)&lt;10,0,"")&amp;DAY(Variables!$A$2)</f>
        <v>-08</v>
      </c>
      <c r="C7" s="128"/>
      <c r="D7" s="146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Runs'!$A$13:$A$100188,1,FALSE)</f>
        <v>#N/A</v>
      </c>
    </row>
    <row r="8" spans="1:10" x14ac:dyDescent="0.25">
      <c r="A8" s="182"/>
      <c r="B8" s="42" t="str">
        <f>A8&amp;"-"&amp;IF(DAY(Variables!$A$2)&lt;10,0,"")&amp;DAY(Variables!$A$2)</f>
        <v>-08</v>
      </c>
      <c r="C8" s="128"/>
      <c r="D8" s="146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Runs'!$A$13:$A$100188,1,FALSE)</f>
        <v>#N/A</v>
      </c>
    </row>
    <row r="9" spans="1:10" x14ac:dyDescent="0.25">
      <c r="A9" s="182"/>
      <c r="B9" s="42" t="str">
        <f>A9&amp;"-"&amp;IF(DAY(Variables!$A$2)&lt;10,0,"")&amp;DAY(Variables!$A$2)</f>
        <v>-08</v>
      </c>
      <c r="C9" s="128"/>
      <c r="D9" s="146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Runs'!$A$13:$A$100188,1,FALSE)</f>
        <v>#N/A</v>
      </c>
    </row>
    <row r="10" spans="1:10" x14ac:dyDescent="0.25">
      <c r="A10" s="182"/>
      <c r="B10" s="42" t="str">
        <f>A10&amp;"-"&amp;IF(DAY(Variables!$A$2)&lt;10,0,"")&amp;DAY(Variables!$A$2)</f>
        <v>-08</v>
      </c>
      <c r="C10" s="128"/>
      <c r="D10" s="146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Runs'!$A$13:$A$100188,1,FALSE)</f>
        <v>#N/A</v>
      </c>
    </row>
    <row r="11" spans="1:10" x14ac:dyDescent="0.25">
      <c r="A11" s="182"/>
      <c r="B11" s="42" t="str">
        <f>A11&amp;"-"&amp;IF(DAY(Variables!$A$2)&lt;10,0,"")&amp;DAY(Variables!$A$2)</f>
        <v>-08</v>
      </c>
      <c r="C11" s="128"/>
      <c r="D11" s="146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Runs'!$A$13:$A$100188,1,FALSE)</f>
        <v>#N/A</v>
      </c>
    </row>
    <row r="12" spans="1:10" x14ac:dyDescent="0.25">
      <c r="A12" s="182"/>
      <c r="B12" s="42" t="str">
        <f>A12&amp;"-"&amp;IF(DAY(Variables!$A$2)&lt;10,0,"")&amp;DAY(Variables!$A$2)</f>
        <v>-08</v>
      </c>
      <c r="C12" s="128"/>
      <c r="D12" s="146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Runs'!$A$13:$A$100188,1,FALSE)</f>
        <v>#N/A</v>
      </c>
    </row>
    <row r="13" spans="1:10" x14ac:dyDescent="0.25">
      <c r="A13" s="182"/>
      <c r="B13" s="42" t="str">
        <f>A13&amp;"-"&amp;IF(DAY(Variables!$A$2)&lt;10,0,"")&amp;DAY(Variables!$A$2)</f>
        <v>-08</v>
      </c>
      <c r="C13" s="128"/>
      <c r="D13" s="146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Runs'!$A$13:$A$100188,1,FALSE)</f>
        <v>#N/A</v>
      </c>
    </row>
    <row r="14" spans="1:10" x14ac:dyDescent="0.25">
      <c r="A14" s="182"/>
      <c r="B14" s="42" t="str">
        <f>A14&amp;"-"&amp;IF(DAY(Variables!$A$2)&lt;10,0,"")&amp;DAY(Variables!$A$2)</f>
        <v>-08</v>
      </c>
      <c r="C14" s="128"/>
      <c r="D14" s="146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Runs'!$A$13:$A$100188,1,FALSE)</f>
        <v>#N/A</v>
      </c>
    </row>
    <row r="15" spans="1:10" x14ac:dyDescent="0.25">
      <c r="A15" s="182"/>
      <c r="B15" s="42" t="str">
        <f>A15&amp;"-"&amp;IF(DAY(Variables!$A$2)&lt;10,0,"")&amp;DAY(Variables!$A$2)</f>
        <v>-08</v>
      </c>
      <c r="C15" s="128"/>
      <c r="D15" s="146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Runs'!$A$13:$A$100188,1,FALSE)</f>
        <v>#N/A</v>
      </c>
    </row>
    <row r="16" spans="1:10" x14ac:dyDescent="0.25">
      <c r="A16" s="182"/>
      <c r="B16" s="42" t="str">
        <f>A16&amp;"-"&amp;IF(DAY(Variables!$A$2)&lt;10,0,"")&amp;DAY(Variables!$A$2)</f>
        <v>-08</v>
      </c>
      <c r="C16" s="128"/>
      <c r="D16" s="146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Runs'!$A$13:$A$100188,1,FALSE)</f>
        <v>#N/A</v>
      </c>
    </row>
    <row r="17" spans="1:10" x14ac:dyDescent="0.25">
      <c r="A17" s="182"/>
      <c r="B17" s="42" t="str">
        <f>A17&amp;"-"&amp;IF(DAY(Variables!$A$2)&lt;10,0,"")&amp;DAY(Variables!$A$2)</f>
        <v>-08</v>
      </c>
      <c r="C17" s="128"/>
      <c r="D17" s="146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Runs'!$A$13:$A$100188,1,FALSE)</f>
        <v>#N/A</v>
      </c>
    </row>
    <row r="18" spans="1:10" x14ac:dyDescent="0.25">
      <c r="A18" s="182"/>
      <c r="B18" s="42" t="str">
        <f>A18&amp;"-"&amp;IF(DAY(Variables!$A$2)&lt;10,0,"")&amp;DAY(Variables!$A$2)</f>
        <v>-08</v>
      </c>
      <c r="C18" s="128"/>
      <c r="D18" s="146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Runs'!$A$13:$A$100188,1,FALSE)</f>
        <v>#N/A</v>
      </c>
    </row>
    <row r="19" spans="1:10" x14ac:dyDescent="0.25">
      <c r="A19" s="182"/>
      <c r="B19" s="42"/>
      <c r="C19" s="128"/>
      <c r="D19" s="146"/>
      <c r="E19" s="30"/>
      <c r="F19" s="21"/>
      <c r="G19" s="21"/>
      <c r="H19" s="29"/>
      <c r="I19" s="180"/>
      <c r="J19" s="30"/>
    </row>
    <row r="20" spans="1:10" x14ac:dyDescent="0.25">
      <c r="A20" s="182"/>
      <c r="B20" s="42"/>
      <c r="C20" s="128"/>
      <c r="D20" s="146"/>
      <c r="E20" s="30"/>
      <c r="F20" s="21"/>
      <c r="G20" s="21"/>
      <c r="H20" s="29"/>
      <c r="I20" s="180"/>
      <c r="J20" s="30"/>
    </row>
    <row r="21" spans="1:10" x14ac:dyDescent="0.25">
      <c r="A21" s="182"/>
      <c r="B21" s="42"/>
      <c r="C21" s="128"/>
      <c r="D21" s="146"/>
      <c r="E21" s="30"/>
      <c r="F21" s="21"/>
      <c r="G21" s="21"/>
      <c r="H21" s="29"/>
      <c r="I21" s="180"/>
      <c r="J21" s="30"/>
    </row>
    <row r="22" spans="1:10" x14ac:dyDescent="0.25">
      <c r="A22" s="182"/>
      <c r="B22" s="42"/>
      <c r="C22" s="128"/>
      <c r="D22" s="146"/>
      <c r="E22" s="30"/>
      <c r="F22" s="21"/>
      <c r="G22" s="21"/>
      <c r="H22" s="29"/>
      <c r="I22" s="180"/>
      <c r="J22" s="30"/>
    </row>
    <row r="23" spans="1:10" x14ac:dyDescent="0.25">
      <c r="A23" s="182"/>
      <c r="B23" s="42"/>
      <c r="C23" s="128"/>
      <c r="D23" s="146"/>
      <c r="E23" s="30"/>
      <c r="F23" s="21"/>
      <c r="G23" s="21"/>
      <c r="H23" s="29"/>
      <c r="I23" s="180"/>
      <c r="J23" s="30"/>
    </row>
    <row r="24" spans="1:10" x14ac:dyDescent="0.25">
      <c r="A24" s="182"/>
      <c r="B24" s="42"/>
      <c r="C24" s="128"/>
      <c r="D24" s="146"/>
      <c r="E24" s="30"/>
      <c r="F24" s="21"/>
      <c r="G24" s="21"/>
      <c r="H24" s="29"/>
      <c r="I24" s="180"/>
      <c r="J24" s="30"/>
    </row>
    <row r="25" spans="1:10" x14ac:dyDescent="0.25">
      <c r="A25" s="182"/>
      <c r="B25" s="42"/>
      <c r="C25" s="128"/>
      <c r="D25" s="146"/>
      <c r="E25" s="30"/>
      <c r="F25" s="21"/>
      <c r="G25" s="21"/>
      <c r="H25" s="29"/>
      <c r="I25" s="180"/>
      <c r="J25" s="30"/>
    </row>
    <row r="26" spans="1:10" x14ac:dyDescent="0.25">
      <c r="A26" s="182"/>
      <c r="B26" s="42"/>
      <c r="C26" s="128"/>
      <c r="D26" s="146"/>
      <c r="E26" s="30"/>
      <c r="F26" s="21"/>
      <c r="G26" s="21"/>
      <c r="H26" s="29"/>
      <c r="I26" s="180"/>
      <c r="J26" s="30"/>
    </row>
    <row r="27" spans="1:10" x14ac:dyDescent="0.25">
      <c r="A27" s="182"/>
      <c r="B27" s="42"/>
      <c r="C27" s="128"/>
      <c r="D27" s="146"/>
      <c r="E27" s="30"/>
      <c r="F27" s="21"/>
      <c r="G27" s="21"/>
      <c r="H27" s="29"/>
      <c r="I27" s="180"/>
      <c r="J27" s="30"/>
    </row>
    <row r="28" spans="1:10" x14ac:dyDescent="0.25">
      <c r="A28" s="182"/>
      <c r="B28" s="42"/>
      <c r="C28" s="128"/>
      <c r="D28" s="146"/>
      <c r="E28" s="30"/>
      <c r="F28" s="21"/>
      <c r="G28" s="21"/>
      <c r="H28" s="29"/>
      <c r="I28" s="180"/>
      <c r="J28" s="30"/>
    </row>
    <row r="29" spans="1:10" x14ac:dyDescent="0.25">
      <c r="A29" s="182"/>
      <c r="B29" s="42"/>
      <c r="C29" s="128"/>
      <c r="D29" s="146"/>
      <c r="E29" s="30"/>
      <c r="F29" s="21"/>
      <c r="G29" s="21"/>
      <c r="H29" s="29"/>
      <c r="I29" s="180"/>
      <c r="J29" s="30"/>
    </row>
    <row r="30" spans="1:10" x14ac:dyDescent="0.25">
      <c r="A30" s="182"/>
      <c r="B30" s="42"/>
      <c r="C30" s="128"/>
      <c r="D30" s="146"/>
      <c r="E30" s="30"/>
      <c r="F30" s="21"/>
      <c r="G30" s="21"/>
      <c r="H30" s="29"/>
      <c r="I30" s="180"/>
      <c r="J30" s="30"/>
    </row>
    <row r="31" spans="1:10" x14ac:dyDescent="0.25">
      <c r="A31" s="182"/>
      <c r="B31" s="42"/>
      <c r="C31" s="128"/>
      <c r="D31" s="146"/>
      <c r="E31" s="30"/>
      <c r="F31" s="21"/>
      <c r="G31" s="21"/>
      <c r="H31" s="29"/>
      <c r="I31" s="180"/>
      <c r="J31" s="30"/>
    </row>
    <row r="32" spans="1:10" x14ac:dyDescent="0.25">
      <c r="A32" s="182"/>
      <c r="B32" s="42"/>
      <c r="C32" s="128"/>
      <c r="D32" s="146"/>
      <c r="E32" s="30"/>
      <c r="F32" s="21"/>
      <c r="G32" s="21"/>
      <c r="H32" s="29"/>
      <c r="I32" s="180"/>
      <c r="J32" s="30"/>
    </row>
    <row r="33" spans="1:10" x14ac:dyDescent="0.25">
      <c r="A33" s="182"/>
      <c r="B33" s="42"/>
      <c r="C33" s="128"/>
      <c r="D33" s="146"/>
      <c r="E33" s="30"/>
      <c r="F33" s="21"/>
      <c r="G33" s="21"/>
      <c r="H33" s="29"/>
      <c r="I33" s="180"/>
      <c r="J33" s="30"/>
    </row>
    <row r="34" spans="1:10" x14ac:dyDescent="0.25">
      <c r="A34" s="182"/>
      <c r="B34" s="42"/>
      <c r="C34" s="128"/>
      <c r="D34" s="146"/>
      <c r="E34" s="30"/>
      <c r="F34" s="21"/>
      <c r="G34" s="21"/>
      <c r="H34" s="29"/>
      <c r="I34" s="180"/>
      <c r="J34" s="30"/>
    </row>
    <row r="35" spans="1:10" x14ac:dyDescent="0.25">
      <c r="A35" s="182"/>
      <c r="B35" s="42"/>
      <c r="C35" s="128"/>
      <c r="D35" s="146"/>
      <c r="E35" s="30"/>
      <c r="F35" s="21"/>
      <c r="G35" s="21"/>
      <c r="H35" s="29"/>
      <c r="I35" s="180"/>
      <c r="J35" s="30"/>
    </row>
    <row r="36" spans="1:10" x14ac:dyDescent="0.25">
      <c r="A36" s="182"/>
      <c r="B36" s="42"/>
      <c r="C36" s="128"/>
      <c r="D36" s="146"/>
      <c r="E36" s="30"/>
      <c r="F36" s="21"/>
      <c r="G36" s="21"/>
      <c r="H36" s="29"/>
      <c r="I36" s="180"/>
      <c r="J36" s="30"/>
    </row>
    <row r="37" spans="1:10" x14ac:dyDescent="0.25">
      <c r="A37" s="182"/>
      <c r="B37" s="42"/>
      <c r="C37" s="128"/>
      <c r="D37" s="146"/>
      <c r="E37" s="30"/>
      <c r="F37" s="21"/>
      <c r="G37" s="21"/>
      <c r="H37" s="29"/>
      <c r="I37" s="180"/>
      <c r="J37" s="30"/>
    </row>
    <row r="38" spans="1:10" x14ac:dyDescent="0.25">
      <c r="A38" s="182"/>
      <c r="B38" s="42"/>
      <c r="C38" s="128"/>
      <c r="D38" s="146"/>
      <c r="E38" s="30"/>
      <c r="F38" s="21"/>
      <c r="G38" s="21"/>
      <c r="H38" s="29"/>
      <c r="I38" s="180"/>
      <c r="J38" s="30"/>
    </row>
    <row r="39" spans="1:10" x14ac:dyDescent="0.25">
      <c r="A39" s="182"/>
      <c r="B39" s="42"/>
      <c r="C39" s="128"/>
      <c r="D39" s="146"/>
      <c r="E39" s="30"/>
      <c r="F39" s="21"/>
      <c r="G39" s="21"/>
      <c r="H39" s="29"/>
      <c r="I39" s="180"/>
      <c r="J39" s="30"/>
    </row>
    <row r="40" spans="1:10" x14ac:dyDescent="0.25">
      <c r="A40" s="182"/>
      <c r="B40" s="42"/>
      <c r="C40" s="128"/>
      <c r="D40" s="146"/>
      <c r="E40" s="30"/>
      <c r="F40" s="21"/>
      <c r="G40" s="21"/>
      <c r="H40" s="29"/>
      <c r="I40" s="180"/>
      <c r="J40" s="30"/>
    </row>
    <row r="41" spans="1:10" x14ac:dyDescent="0.25">
      <c r="A41" s="182"/>
      <c r="B41" s="42"/>
      <c r="C41" s="128"/>
      <c r="D41" s="146"/>
      <c r="E41" s="30"/>
      <c r="F41" s="21"/>
      <c r="G41" s="21"/>
      <c r="H41" s="29"/>
      <c r="I41" s="180"/>
      <c r="J41" s="30"/>
    </row>
    <row r="42" spans="1:10" x14ac:dyDescent="0.25">
      <c r="A42" s="182"/>
      <c r="B42" s="42"/>
      <c r="C42" s="128"/>
      <c r="D42" s="146"/>
      <c r="E42" s="30"/>
      <c r="F42" s="21"/>
      <c r="G42" s="21"/>
      <c r="H42" s="29"/>
      <c r="I42" s="180"/>
      <c r="J42" s="30"/>
    </row>
    <row r="43" spans="1:10" x14ac:dyDescent="0.25">
      <c r="A43" s="182"/>
      <c r="B43" s="42"/>
      <c r="C43" s="128"/>
      <c r="D43" s="146"/>
      <c r="E43" s="30"/>
      <c r="F43" s="21"/>
      <c r="G43" s="21"/>
      <c r="H43" s="29"/>
      <c r="I43" s="180"/>
      <c r="J43" s="30"/>
    </row>
    <row r="44" spans="1:10" x14ac:dyDescent="0.25">
      <c r="A44" s="182"/>
      <c r="B44" s="42"/>
      <c r="C44" s="128"/>
      <c r="D44" s="146"/>
      <c r="E44" s="30"/>
      <c r="F44" s="21"/>
      <c r="G44" s="21"/>
      <c r="H44" s="29"/>
      <c r="I44" s="180"/>
      <c r="J44" s="30"/>
    </row>
    <row r="45" spans="1:10" x14ac:dyDescent="0.25">
      <c r="A45" s="182"/>
      <c r="B45" s="42"/>
      <c r="C45" s="128"/>
      <c r="D45" s="146"/>
      <c r="E45" s="30"/>
      <c r="F45" s="21"/>
      <c r="G45" s="21"/>
      <c r="H45" s="29"/>
      <c r="I45" s="180"/>
      <c r="J45" s="30"/>
    </row>
    <row r="46" spans="1:10" x14ac:dyDescent="0.25">
      <c r="A46" s="182"/>
      <c r="B46" s="42"/>
      <c r="C46" s="128"/>
      <c r="D46" s="146"/>
      <c r="E46" s="30"/>
      <c r="F46" s="21"/>
      <c r="G46" s="21"/>
      <c r="H46" s="29"/>
      <c r="I46" s="180"/>
      <c r="J46" s="30"/>
    </row>
    <row r="47" spans="1:10" x14ac:dyDescent="0.25">
      <c r="A47" s="182"/>
      <c r="B47" s="42"/>
      <c r="C47" s="128"/>
      <c r="D47" s="146"/>
      <c r="E47" s="30"/>
      <c r="F47" s="21"/>
      <c r="G47" s="21"/>
      <c r="H47" s="29"/>
      <c r="I47" s="180"/>
      <c r="J47" s="30"/>
    </row>
    <row r="48" spans="1:10" x14ac:dyDescent="0.25">
      <c r="A48" s="182"/>
      <c r="B48" s="42"/>
      <c r="C48" s="128"/>
      <c r="D48" s="146"/>
      <c r="E48" s="30"/>
      <c r="F48" s="21"/>
      <c r="G48" s="21"/>
      <c r="H48" s="29"/>
      <c r="I48" s="180"/>
      <c r="J48" s="30"/>
    </row>
    <row r="49" spans="1:10" x14ac:dyDescent="0.25">
      <c r="A49" s="182"/>
      <c r="B49" s="42"/>
      <c r="C49" s="128"/>
      <c r="D49" s="146"/>
      <c r="E49" s="30"/>
      <c r="F49" s="21"/>
      <c r="G49" s="21"/>
      <c r="H49" s="29"/>
      <c r="I49" s="180"/>
      <c r="J49" s="30"/>
    </row>
    <row r="50" spans="1:10" x14ac:dyDescent="0.25">
      <c r="A50" s="182"/>
      <c r="B50" s="42"/>
      <c r="C50" s="128"/>
      <c r="D50" s="146"/>
      <c r="E50" s="30"/>
      <c r="F50" s="21"/>
      <c r="G50" s="21"/>
      <c r="H50" s="29"/>
      <c r="I50" s="180"/>
      <c r="J50" s="30"/>
    </row>
    <row r="51" spans="1:10" x14ac:dyDescent="0.25">
      <c r="A51" s="182"/>
      <c r="B51" s="42"/>
      <c r="C51" s="128"/>
      <c r="D51" s="146"/>
      <c r="E51" s="30"/>
      <c r="F51" s="21"/>
      <c r="G51" s="21"/>
      <c r="H51" s="29"/>
      <c r="I51" s="180"/>
      <c r="J51" s="30"/>
    </row>
    <row r="52" spans="1:10" x14ac:dyDescent="0.25">
      <c r="A52" s="182"/>
      <c r="B52" s="42"/>
      <c r="C52" s="128"/>
      <c r="D52" s="146"/>
      <c r="E52" s="30"/>
      <c r="F52" s="21"/>
      <c r="G52" s="21"/>
      <c r="H52" s="29"/>
      <c r="I52" s="180"/>
      <c r="J52" s="30"/>
    </row>
    <row r="53" spans="1:10" x14ac:dyDescent="0.25">
      <c r="A53" s="182"/>
      <c r="B53" s="42"/>
      <c r="C53" s="128"/>
      <c r="D53" s="146"/>
      <c r="E53" s="30"/>
      <c r="F53" s="21"/>
      <c r="G53" s="21"/>
      <c r="H53" s="29"/>
      <c r="I53" s="180"/>
      <c r="J53" s="30"/>
    </row>
    <row r="54" spans="1:10" x14ac:dyDescent="0.25">
      <c r="A54" s="182"/>
      <c r="B54" s="42"/>
      <c r="C54" s="128"/>
      <c r="D54" s="146"/>
      <c r="E54" s="30"/>
      <c r="F54" s="21"/>
      <c r="G54" s="21"/>
      <c r="H54" s="29"/>
      <c r="I54" s="180"/>
      <c r="J54" s="30"/>
    </row>
    <row r="55" spans="1:10" x14ac:dyDescent="0.25">
      <c r="A55" s="182"/>
      <c r="B55" s="42"/>
      <c r="C55" s="128"/>
      <c r="D55" s="146"/>
      <c r="E55" s="30"/>
      <c r="F55" s="21"/>
      <c r="G55" s="21"/>
      <c r="H55" s="29"/>
      <c r="I55" s="180"/>
      <c r="J55" s="30"/>
    </row>
    <row r="56" spans="1:10" x14ac:dyDescent="0.25">
      <c r="A56" s="182"/>
      <c r="B56" s="42"/>
      <c r="C56" s="128"/>
      <c r="D56" s="146"/>
      <c r="E56" s="30"/>
      <c r="F56" s="21"/>
      <c r="G56" s="21"/>
      <c r="H56" s="29"/>
      <c r="I56" s="180"/>
      <c r="J56" s="30"/>
    </row>
    <row r="57" spans="1:10" x14ac:dyDescent="0.25">
      <c r="A57" s="182"/>
      <c r="B57" s="42"/>
      <c r="C57" s="128"/>
      <c r="D57" s="146"/>
      <c r="E57" s="30"/>
      <c r="F57" s="21"/>
      <c r="G57" s="21"/>
      <c r="H57" s="29"/>
      <c r="I57" s="180"/>
      <c r="J57" s="30"/>
    </row>
    <row r="58" spans="1:10" x14ac:dyDescent="0.25">
      <c r="A58" s="182"/>
      <c r="B58" s="42"/>
      <c r="C58" s="128"/>
      <c r="D58" s="146"/>
      <c r="E58" s="30"/>
      <c r="F58" s="21"/>
      <c r="G58" s="21"/>
      <c r="H58" s="29"/>
      <c r="I58" s="180"/>
      <c r="J58" s="30"/>
    </row>
    <row r="59" spans="1:10" x14ac:dyDescent="0.25">
      <c r="A59" s="182"/>
      <c r="B59" s="42"/>
      <c r="C59" s="128"/>
      <c r="D59" s="146"/>
      <c r="E59" s="30"/>
      <c r="F59" s="21"/>
      <c r="G59" s="21"/>
      <c r="H59" s="29"/>
      <c r="I59" s="180"/>
      <c r="J59" s="30"/>
    </row>
    <row r="60" spans="1:10" x14ac:dyDescent="0.25">
      <c r="A60" s="182"/>
      <c r="B60" s="42"/>
      <c r="C60" s="128"/>
      <c r="D60" s="146"/>
      <c r="E60" s="30"/>
      <c r="F60" s="21"/>
      <c r="G60" s="21"/>
      <c r="H60" s="29"/>
      <c r="I60" s="180"/>
      <c r="J60" s="30"/>
    </row>
    <row r="61" spans="1:10" x14ac:dyDescent="0.25">
      <c r="A61" s="182"/>
      <c r="B61" s="42"/>
      <c r="C61" s="128"/>
      <c r="D61" s="146"/>
      <c r="E61" s="30"/>
      <c r="F61" s="21"/>
      <c r="G61" s="21"/>
      <c r="H61" s="29"/>
      <c r="I61" s="180"/>
      <c r="J61" s="30"/>
    </row>
    <row r="62" spans="1:10" x14ac:dyDescent="0.25">
      <c r="A62" s="182"/>
      <c r="B62" s="42"/>
      <c r="C62" s="128"/>
      <c r="D62" s="146"/>
      <c r="E62" s="30"/>
      <c r="F62" s="21"/>
      <c r="G62" s="21"/>
      <c r="H62" s="29"/>
      <c r="I62" s="180"/>
      <c r="J62" s="30"/>
    </row>
    <row r="63" spans="1:10" x14ac:dyDescent="0.25">
      <c r="A63" s="182"/>
      <c r="B63" s="42"/>
      <c r="C63" s="128"/>
      <c r="D63" s="146"/>
      <c r="E63" s="30"/>
      <c r="F63" s="21"/>
      <c r="G63" s="21"/>
      <c r="H63" s="29"/>
      <c r="I63" s="180"/>
      <c r="J63" s="30"/>
    </row>
    <row r="64" spans="1:10" x14ac:dyDescent="0.25">
      <c r="A64" s="182"/>
      <c r="B64" s="42"/>
      <c r="C64" s="128"/>
      <c r="D64" s="146"/>
      <c r="E64" s="30"/>
      <c r="F64" s="21"/>
      <c r="G64" s="21"/>
      <c r="H64" s="29"/>
      <c r="I64" s="180"/>
      <c r="J64" s="30"/>
    </row>
    <row r="65" spans="1:10" x14ac:dyDescent="0.25">
      <c r="A65" s="182"/>
      <c r="B65" s="42"/>
      <c r="C65" s="128"/>
      <c r="D65" s="146"/>
      <c r="E65" s="30"/>
      <c r="F65" s="21"/>
      <c r="G65" s="21"/>
      <c r="H65" s="29"/>
      <c r="I65" s="180"/>
      <c r="J65" s="30"/>
    </row>
    <row r="66" spans="1:10" x14ac:dyDescent="0.25">
      <c r="A66" s="182"/>
      <c r="B66" s="42"/>
      <c r="C66" s="128"/>
      <c r="D66" s="146"/>
      <c r="E66" s="30"/>
      <c r="F66" s="21"/>
      <c r="G66" s="21"/>
      <c r="H66" s="29"/>
      <c r="I66" s="180"/>
      <c r="J66" s="30"/>
    </row>
    <row r="67" spans="1:10" x14ac:dyDescent="0.25">
      <c r="A67" s="182"/>
      <c r="B67" s="42"/>
      <c r="C67" s="128"/>
      <c r="D67" s="146"/>
      <c r="E67" s="30"/>
      <c r="F67" s="21"/>
      <c r="G67" s="21"/>
      <c r="H67" s="29"/>
      <c r="I67" s="180"/>
      <c r="J67" s="30"/>
    </row>
    <row r="68" spans="1:10" x14ac:dyDescent="0.25">
      <c r="A68" s="182"/>
      <c r="B68" s="42"/>
      <c r="C68" s="128"/>
      <c r="D68" s="146"/>
      <c r="E68" s="30"/>
      <c r="F68" s="21"/>
      <c r="G68" s="21"/>
      <c r="H68" s="29"/>
      <c r="I68" s="180"/>
      <c r="J68" s="30"/>
    </row>
    <row r="69" spans="1:10" x14ac:dyDescent="0.25">
      <c r="A69" s="182"/>
      <c r="B69" s="42"/>
      <c r="C69" s="128"/>
      <c r="D69" s="146"/>
      <c r="E69" s="30"/>
      <c r="F69" s="21"/>
      <c r="G69" s="21"/>
      <c r="H69" s="29"/>
      <c r="I69" s="180"/>
      <c r="J69" s="30"/>
    </row>
    <row r="70" spans="1:10" x14ac:dyDescent="0.25">
      <c r="A70" s="182"/>
      <c r="B70" s="42"/>
      <c r="C70" s="128"/>
      <c r="D70" s="146"/>
      <c r="E70" s="30"/>
      <c r="F70" s="21"/>
      <c r="G70" s="21"/>
      <c r="H70" s="29"/>
      <c r="I70" s="180"/>
      <c r="J70" s="30"/>
    </row>
    <row r="71" spans="1:10" x14ac:dyDescent="0.25">
      <c r="A71" s="182"/>
      <c r="B71" s="42"/>
      <c r="C71" s="128"/>
      <c r="D71" s="146"/>
      <c r="E71" s="30"/>
      <c r="F71" s="21"/>
      <c r="G71" s="21"/>
      <c r="H71" s="29"/>
      <c r="I71" s="180"/>
      <c r="J71" s="30"/>
    </row>
    <row r="72" spans="1:10" x14ac:dyDescent="0.25">
      <c r="A72" s="182"/>
      <c r="B72" s="42"/>
      <c r="C72" s="128"/>
      <c r="D72" s="146"/>
      <c r="E72" s="30"/>
      <c r="F72" s="21"/>
      <c r="G72" s="21"/>
      <c r="H72" s="29"/>
      <c r="I72" s="180"/>
      <c r="J72" s="30"/>
    </row>
    <row r="73" spans="1:10" x14ac:dyDescent="0.25">
      <c r="A73" s="182"/>
      <c r="B73" s="42"/>
      <c r="C73" s="128"/>
      <c r="D73" s="146"/>
      <c r="E73" s="30"/>
      <c r="F73" s="21"/>
      <c r="G73" s="21"/>
      <c r="H73" s="29"/>
      <c r="I73" s="180"/>
      <c r="J73" s="30"/>
    </row>
    <row r="74" spans="1:10" x14ac:dyDescent="0.25">
      <c r="A74" s="182"/>
      <c r="B74" s="42"/>
      <c r="C74" s="128"/>
      <c r="D74" s="146"/>
      <c r="E74" s="30"/>
      <c r="F74" s="21"/>
      <c r="G74" s="21"/>
      <c r="H74" s="29"/>
      <c r="I74" s="18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167</v>
      </c>
      <c r="B1" s="20" t="s">
        <v>168</v>
      </c>
      <c r="C1" s="20" t="s">
        <v>0</v>
      </c>
      <c r="D1" s="131" t="s">
        <v>169</v>
      </c>
      <c r="E1" s="20" t="s">
        <v>170</v>
      </c>
      <c r="F1" s="20" t="s">
        <v>185</v>
      </c>
      <c r="G1" s="8" t="s">
        <v>184</v>
      </c>
      <c r="H1" s="20" t="s">
        <v>60</v>
      </c>
    </row>
    <row r="2" spans="1:8" x14ac:dyDescent="0.25">
      <c r="A2" s="8">
        <v>43077.04886574074</v>
      </c>
      <c r="B2" s="20" t="s">
        <v>412</v>
      </c>
      <c r="C2" s="20" t="s">
        <v>607</v>
      </c>
      <c r="D2" s="131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4056</v>
      </c>
    </row>
    <row r="3" spans="1:8" x14ac:dyDescent="0.25">
      <c r="A3" s="8">
        <v>43077.058067129627</v>
      </c>
      <c r="B3" s="20" t="s">
        <v>476</v>
      </c>
      <c r="C3" s="20" t="s">
        <v>608</v>
      </c>
      <c r="D3" s="131">
        <v>2040000</v>
      </c>
      <c r="E3" s="20" t="s">
        <v>381</v>
      </c>
      <c r="F3" s="20" t="s">
        <v>382</v>
      </c>
      <c r="G3" s="8" t="str">
        <f t="shared" ref="G3:G66" si="0">E3&amp;" "&amp;F3</f>
        <v>MOSES BRADLEY</v>
      </c>
      <c r="H3" s="20" t="str">
        <f t="shared" ref="H3:H66" si="1">MID(B3,13,4)</f>
        <v>4057</v>
      </c>
    </row>
    <row r="4" spans="1:8" x14ac:dyDescent="0.25">
      <c r="A4" s="8">
        <v>43077.083622685182</v>
      </c>
      <c r="B4" s="20" t="s">
        <v>476</v>
      </c>
      <c r="C4" s="20" t="s">
        <v>608</v>
      </c>
      <c r="D4" s="131">
        <v>2040000</v>
      </c>
      <c r="E4" s="20" t="s">
        <v>381</v>
      </c>
      <c r="F4" s="20" t="s">
        <v>382</v>
      </c>
      <c r="G4" s="8" t="str">
        <f t="shared" si="0"/>
        <v>MOSES BRADLEY</v>
      </c>
      <c r="H4" s="20" t="str">
        <f t="shared" si="1"/>
        <v>4057</v>
      </c>
    </row>
    <row r="5" spans="1:8" x14ac:dyDescent="0.25">
      <c r="A5" s="8">
        <v>43077.110266203701</v>
      </c>
      <c r="B5" s="20" t="s">
        <v>517</v>
      </c>
      <c r="C5" s="20" t="s">
        <v>609</v>
      </c>
      <c r="D5" s="131">
        <v>1090000</v>
      </c>
      <c r="E5" s="20" t="s">
        <v>473</v>
      </c>
      <c r="F5" s="20" t="s">
        <v>351</v>
      </c>
      <c r="G5" s="8" t="str">
        <f t="shared" si="0"/>
        <v>SPECTOR MICHAEL</v>
      </c>
      <c r="H5" s="20" t="str">
        <f t="shared" si="1"/>
        <v>4041</v>
      </c>
    </row>
    <row r="6" spans="1:8" x14ac:dyDescent="0.25">
      <c r="A6" s="8">
        <v>43077.116087962961</v>
      </c>
      <c r="B6" s="20" t="s">
        <v>459</v>
      </c>
      <c r="C6" s="20" t="s">
        <v>703</v>
      </c>
      <c r="D6" s="131">
        <v>1830000</v>
      </c>
      <c r="E6" s="20" t="s">
        <v>345</v>
      </c>
      <c r="F6" s="20" t="s">
        <v>346</v>
      </c>
      <c r="G6" s="8" t="str">
        <f t="shared" si="0"/>
        <v>YORK EDGAR</v>
      </c>
      <c r="H6" s="20" t="str">
        <f t="shared" si="1"/>
        <v>4009</v>
      </c>
    </row>
    <row r="7" spans="1:8" x14ac:dyDescent="0.25">
      <c r="A7" s="8">
        <v>43077.12908564815</v>
      </c>
      <c r="B7" s="20" t="s">
        <v>460</v>
      </c>
      <c r="C7" s="20" t="s">
        <v>704</v>
      </c>
      <c r="D7" s="131">
        <v>1830000</v>
      </c>
      <c r="E7" s="20" t="s">
        <v>345</v>
      </c>
      <c r="F7" s="20" t="s">
        <v>346</v>
      </c>
      <c r="G7" s="8" t="str">
        <f t="shared" si="0"/>
        <v>YORK EDGAR</v>
      </c>
      <c r="H7" s="20" t="str">
        <f t="shared" si="1"/>
        <v>4010</v>
      </c>
    </row>
    <row r="8" spans="1:8" x14ac:dyDescent="0.25">
      <c r="A8" s="8">
        <v>43077.131828703707</v>
      </c>
      <c r="B8" s="20" t="s">
        <v>441</v>
      </c>
      <c r="C8" s="20" t="s">
        <v>705</v>
      </c>
      <c r="D8" s="131">
        <v>900000</v>
      </c>
      <c r="E8" s="20" t="s">
        <v>706</v>
      </c>
      <c r="F8" s="20" t="s">
        <v>707</v>
      </c>
      <c r="G8" s="8" t="str">
        <f t="shared" si="0"/>
        <v>ROCHA YAOTL</v>
      </c>
      <c r="H8" s="20" t="str">
        <f t="shared" si="1"/>
        <v>4058</v>
      </c>
    </row>
    <row r="9" spans="1:8" ht="15.75" thickBot="1" x14ac:dyDescent="0.3">
      <c r="A9" s="24">
        <v>43077.13689814815</v>
      </c>
      <c r="B9" s="20" t="s">
        <v>448</v>
      </c>
      <c r="C9" s="20" t="s">
        <v>708</v>
      </c>
      <c r="D9" s="131">
        <v>2010000</v>
      </c>
      <c r="E9" s="20" t="s">
        <v>597</v>
      </c>
      <c r="F9" s="20" t="s">
        <v>598</v>
      </c>
      <c r="G9" s="8" t="str">
        <f t="shared" si="0"/>
        <v>MAELZER KURT</v>
      </c>
      <c r="H9" s="20" t="str">
        <f t="shared" si="1"/>
        <v>4031</v>
      </c>
    </row>
    <row r="10" spans="1:8" x14ac:dyDescent="0.25">
      <c r="A10" s="8">
        <v>43077.14949074074</v>
      </c>
      <c r="B10" s="20" t="s">
        <v>449</v>
      </c>
      <c r="C10" s="20" t="s">
        <v>709</v>
      </c>
      <c r="D10" s="131">
        <v>2010000</v>
      </c>
      <c r="E10" s="20" t="s">
        <v>597</v>
      </c>
      <c r="F10" s="20" t="s">
        <v>598</v>
      </c>
      <c r="G10" s="8" t="str">
        <f t="shared" si="0"/>
        <v>MAELZER KURT</v>
      </c>
      <c r="H10" s="20" t="str">
        <f t="shared" si="1"/>
        <v>4032</v>
      </c>
    </row>
    <row r="11" spans="1:8" x14ac:dyDescent="0.25">
      <c r="A11" s="8">
        <v>43077.159583333334</v>
      </c>
      <c r="B11" s="20" t="s">
        <v>461</v>
      </c>
      <c r="C11" s="20" t="s">
        <v>710</v>
      </c>
      <c r="D11" s="131">
        <v>1110000</v>
      </c>
      <c r="E11" s="20" t="s">
        <v>711</v>
      </c>
      <c r="F11" s="20" t="s">
        <v>712</v>
      </c>
      <c r="G11" s="8" t="str">
        <f t="shared" si="0"/>
        <v>STARKS ANGELINA</v>
      </c>
      <c r="H11" s="20" t="str">
        <f t="shared" si="1"/>
        <v>4063</v>
      </c>
    </row>
    <row r="12" spans="1:8" x14ac:dyDescent="0.25">
      <c r="A12" s="8">
        <v>43077.160543981481</v>
      </c>
      <c r="B12" s="20" t="s">
        <v>459</v>
      </c>
      <c r="C12" s="20" t="s">
        <v>713</v>
      </c>
      <c r="D12" s="131">
        <v>1830000</v>
      </c>
      <c r="E12" s="20" t="s">
        <v>345</v>
      </c>
      <c r="F12" s="20" t="s">
        <v>346</v>
      </c>
      <c r="G12" s="8" t="str">
        <f t="shared" si="0"/>
        <v>YORK EDGAR</v>
      </c>
      <c r="H12" s="20" t="str">
        <f t="shared" si="1"/>
        <v>4009</v>
      </c>
    </row>
    <row r="13" spans="1:8" x14ac:dyDescent="0.25">
      <c r="A13" s="8">
        <v>43077.171875</v>
      </c>
      <c r="B13" s="20" t="s">
        <v>596</v>
      </c>
      <c r="C13" s="20" t="s">
        <v>714</v>
      </c>
      <c r="D13" s="131">
        <v>1100000</v>
      </c>
      <c r="E13" s="20" t="s">
        <v>715</v>
      </c>
      <c r="F13" s="20" t="s">
        <v>716</v>
      </c>
      <c r="G13" s="8" t="str">
        <f t="shared" si="0"/>
        <v>GEBRETEKLE DAGNEW</v>
      </c>
      <c r="H13" s="20" t="str">
        <f t="shared" si="1"/>
        <v>4023</v>
      </c>
    </row>
    <row r="14" spans="1:8" x14ac:dyDescent="0.25">
      <c r="A14" s="8">
        <v>43077.172766203701</v>
      </c>
      <c r="B14" s="20" t="s">
        <v>478</v>
      </c>
      <c r="C14" s="20" t="s">
        <v>717</v>
      </c>
      <c r="D14" s="131">
        <v>1110000</v>
      </c>
      <c r="E14" s="20" t="s">
        <v>711</v>
      </c>
      <c r="F14" s="20" t="s">
        <v>712</v>
      </c>
      <c r="G14" s="8" t="str">
        <f t="shared" si="0"/>
        <v>STARKS ANGELINA</v>
      </c>
      <c r="H14" s="20" t="str">
        <f t="shared" si="1"/>
        <v>4064</v>
      </c>
    </row>
    <row r="15" spans="1:8" x14ac:dyDescent="0.25">
      <c r="A15" s="8">
        <v>43077.175856481481</v>
      </c>
      <c r="B15" s="20" t="s">
        <v>525</v>
      </c>
      <c r="C15" s="20" t="s">
        <v>679</v>
      </c>
      <c r="D15" s="131">
        <v>2440000</v>
      </c>
      <c r="E15" s="20" t="s">
        <v>523</v>
      </c>
      <c r="F15" s="20" t="s">
        <v>524</v>
      </c>
      <c r="G15" s="8" t="str">
        <f t="shared" si="0"/>
        <v>LOPES KIMBERLY</v>
      </c>
      <c r="H15" s="20" t="str">
        <f t="shared" si="1"/>
        <v>4049</v>
      </c>
    </row>
    <row r="16" spans="1:8" x14ac:dyDescent="0.25">
      <c r="A16" s="8">
        <v>43077.185949074075</v>
      </c>
      <c r="B16" s="20" t="s">
        <v>595</v>
      </c>
      <c r="C16" s="20" t="s">
        <v>718</v>
      </c>
      <c r="D16" s="131">
        <v>1100000</v>
      </c>
      <c r="E16" s="20" t="s">
        <v>715</v>
      </c>
      <c r="F16" s="20" t="s">
        <v>716</v>
      </c>
      <c r="G16" s="8" t="str">
        <f t="shared" si="0"/>
        <v>GEBRETEKLE DAGNEW</v>
      </c>
      <c r="H16" s="20" t="str">
        <f t="shared" si="1"/>
        <v>4024</v>
      </c>
    </row>
    <row r="17" spans="1:8" x14ac:dyDescent="0.25">
      <c r="A17" s="8">
        <v>43077.186145833337</v>
      </c>
      <c r="B17" s="20" t="s">
        <v>448</v>
      </c>
      <c r="C17" s="20" t="s">
        <v>719</v>
      </c>
      <c r="D17" s="131">
        <v>2010000</v>
      </c>
      <c r="E17" s="20" t="s">
        <v>597</v>
      </c>
      <c r="F17" s="20" t="s">
        <v>598</v>
      </c>
      <c r="G17" s="8" t="str">
        <f t="shared" si="0"/>
        <v>MAELZER KURT</v>
      </c>
      <c r="H17" s="20" t="str">
        <f t="shared" si="1"/>
        <v>4031</v>
      </c>
    </row>
    <row r="18" spans="1:8" x14ac:dyDescent="0.25">
      <c r="A18" s="8">
        <v>43077.194247685184</v>
      </c>
      <c r="B18" s="20" t="s">
        <v>518</v>
      </c>
      <c r="C18" s="20" t="s">
        <v>720</v>
      </c>
      <c r="D18" s="131">
        <v>2440000</v>
      </c>
      <c r="E18" s="20" t="s">
        <v>523</v>
      </c>
      <c r="F18" s="20" t="s">
        <v>524</v>
      </c>
      <c r="G18" s="8" t="str">
        <f t="shared" si="0"/>
        <v>LOPES KIMBERLY</v>
      </c>
      <c r="H18" s="20" t="str">
        <f t="shared" si="1"/>
        <v>4050</v>
      </c>
    </row>
    <row r="19" spans="1:8" x14ac:dyDescent="0.25">
      <c r="A19" s="8">
        <v>43077.198796296296</v>
      </c>
      <c r="B19" s="20" t="s">
        <v>683</v>
      </c>
      <c r="C19" s="20" t="s">
        <v>721</v>
      </c>
      <c r="D19" s="131">
        <v>3040000</v>
      </c>
      <c r="E19" s="20" t="s">
        <v>364</v>
      </c>
      <c r="F19" s="20" t="s">
        <v>417</v>
      </c>
      <c r="G19" s="8" t="str">
        <f t="shared" si="0"/>
        <v>WILLIAMS DONTE</v>
      </c>
      <c r="H19" s="20" t="str">
        <f t="shared" si="1"/>
        <v>4004</v>
      </c>
    </row>
    <row r="20" spans="1:8" x14ac:dyDescent="0.25">
      <c r="A20" s="8">
        <v>43077.203136574077</v>
      </c>
      <c r="B20" s="20" t="s">
        <v>460</v>
      </c>
      <c r="C20" s="20" t="s">
        <v>722</v>
      </c>
      <c r="D20" s="131">
        <v>1830000</v>
      </c>
      <c r="E20" s="20" t="s">
        <v>345</v>
      </c>
      <c r="F20" s="20" t="s">
        <v>346</v>
      </c>
      <c r="G20" s="8" t="str">
        <f t="shared" si="0"/>
        <v>YORK EDGAR</v>
      </c>
      <c r="H20" s="20" t="str">
        <f t="shared" si="1"/>
        <v>4010</v>
      </c>
    </row>
    <row r="21" spans="1:8" x14ac:dyDescent="0.25">
      <c r="A21" s="8">
        <v>43077.205671296295</v>
      </c>
      <c r="B21" s="20" t="s">
        <v>723</v>
      </c>
      <c r="C21" s="20" t="s">
        <v>724</v>
      </c>
      <c r="D21" s="131">
        <v>3030000</v>
      </c>
      <c r="E21" s="20" t="s">
        <v>725</v>
      </c>
      <c r="F21" s="20" t="s">
        <v>726</v>
      </c>
      <c r="G21" s="8" t="str">
        <f t="shared" si="0"/>
        <v>BIRENBAUM THOMAS</v>
      </c>
      <c r="H21" s="20" t="str">
        <f t="shared" si="1"/>
        <v>4019</v>
      </c>
    </row>
    <row r="22" spans="1:8" x14ac:dyDescent="0.25">
      <c r="A22" s="26">
        <v>43077.211273148147</v>
      </c>
      <c r="B22" s="20" t="s">
        <v>727</v>
      </c>
      <c r="C22" s="20" t="s">
        <v>728</v>
      </c>
      <c r="D22" s="131">
        <v>3040000</v>
      </c>
      <c r="E22" s="20" t="s">
        <v>364</v>
      </c>
      <c r="F22" s="20" t="s">
        <v>417</v>
      </c>
      <c r="G22" s="8" t="str">
        <f t="shared" si="0"/>
        <v>WILLIAMS DONTE</v>
      </c>
      <c r="H22" s="20" t="str">
        <f t="shared" si="1"/>
        <v>4003</v>
      </c>
    </row>
    <row r="23" spans="1:8" x14ac:dyDescent="0.25">
      <c r="A23" s="8">
        <v>43077.214143518519</v>
      </c>
      <c r="B23" s="20" t="s">
        <v>596</v>
      </c>
      <c r="C23" s="20" t="s">
        <v>729</v>
      </c>
      <c r="D23" s="131">
        <v>1100000</v>
      </c>
      <c r="E23" s="20" t="s">
        <v>715</v>
      </c>
      <c r="F23" s="20" t="s">
        <v>716</v>
      </c>
      <c r="G23" s="8" t="str">
        <f t="shared" si="0"/>
        <v>GEBRETEKLE DAGNEW</v>
      </c>
      <c r="H23" s="20" t="str">
        <f t="shared" si="1"/>
        <v>4023</v>
      </c>
    </row>
    <row r="24" spans="1:8" x14ac:dyDescent="0.25">
      <c r="A24" s="8">
        <v>43077.215428240743</v>
      </c>
      <c r="B24" s="20" t="s">
        <v>693</v>
      </c>
      <c r="C24" s="20" t="s">
        <v>730</v>
      </c>
      <c r="D24" s="131">
        <v>3030000</v>
      </c>
      <c r="E24" s="20" t="s">
        <v>725</v>
      </c>
      <c r="F24" s="20" t="s">
        <v>726</v>
      </c>
      <c r="G24" s="8" t="str">
        <f t="shared" si="0"/>
        <v>BIRENBAUM THOMAS</v>
      </c>
      <c r="H24" s="20" t="str">
        <f t="shared" si="1"/>
        <v>4020</v>
      </c>
    </row>
    <row r="25" spans="1:8" x14ac:dyDescent="0.25">
      <c r="A25" s="8">
        <v>43077.215532407405</v>
      </c>
      <c r="B25" s="20" t="s">
        <v>461</v>
      </c>
      <c r="C25" s="20" t="s">
        <v>731</v>
      </c>
      <c r="D25" s="131">
        <v>1110000</v>
      </c>
      <c r="E25" s="20" t="s">
        <v>711</v>
      </c>
      <c r="F25" s="20" t="s">
        <v>712</v>
      </c>
      <c r="G25" s="8" t="str">
        <f t="shared" si="0"/>
        <v>STARKS ANGELINA</v>
      </c>
      <c r="H25" s="20" t="str">
        <f t="shared" si="1"/>
        <v>4063</v>
      </c>
    </row>
    <row r="26" spans="1:8" x14ac:dyDescent="0.25">
      <c r="A26" s="8">
        <v>43077.225127314814</v>
      </c>
      <c r="B26" s="20" t="s">
        <v>492</v>
      </c>
      <c r="C26" s="20" t="s">
        <v>732</v>
      </c>
      <c r="D26" s="131">
        <v>3680000</v>
      </c>
      <c r="E26" s="20" t="s">
        <v>474</v>
      </c>
      <c r="F26" s="20" t="s">
        <v>475</v>
      </c>
      <c r="G26" s="8" t="str">
        <f t="shared" si="0"/>
        <v>HAMMOND JUSTYNN</v>
      </c>
      <c r="H26" s="20" t="str">
        <f t="shared" si="1"/>
        <v>4015</v>
      </c>
    </row>
    <row r="27" spans="1:8" x14ac:dyDescent="0.25">
      <c r="A27" s="8">
        <v>43077.226944444446</v>
      </c>
      <c r="B27" s="20" t="s">
        <v>449</v>
      </c>
      <c r="C27" s="20" t="s">
        <v>680</v>
      </c>
      <c r="D27" s="131">
        <v>2010000</v>
      </c>
      <c r="E27" s="20" t="s">
        <v>597</v>
      </c>
      <c r="F27" s="20" t="s">
        <v>598</v>
      </c>
      <c r="G27" s="8" t="str">
        <f t="shared" si="0"/>
        <v>MAELZER KURT</v>
      </c>
      <c r="H27" s="20" t="str">
        <f t="shared" si="1"/>
        <v>4032</v>
      </c>
    </row>
    <row r="28" spans="1:8" x14ac:dyDescent="0.25">
      <c r="A28" s="8">
        <v>43077.230671296296</v>
      </c>
      <c r="B28" s="20" t="s">
        <v>525</v>
      </c>
      <c r="C28" s="20" t="s">
        <v>733</v>
      </c>
      <c r="D28" s="131">
        <v>2440000</v>
      </c>
      <c r="E28" s="20" t="s">
        <v>523</v>
      </c>
      <c r="F28" s="20" t="s">
        <v>524</v>
      </c>
      <c r="G28" s="8" t="str">
        <f t="shared" si="0"/>
        <v>LOPES KIMBERLY</v>
      </c>
      <c r="H28" s="20" t="str">
        <f t="shared" si="1"/>
        <v>4049</v>
      </c>
    </row>
    <row r="29" spans="1:8" x14ac:dyDescent="0.25">
      <c r="A29" s="8">
        <v>43077.234074074076</v>
      </c>
      <c r="B29" s="20" t="s">
        <v>683</v>
      </c>
      <c r="C29" s="20" t="s">
        <v>734</v>
      </c>
      <c r="D29" s="131">
        <v>3040000</v>
      </c>
      <c r="E29" s="20" t="s">
        <v>364</v>
      </c>
      <c r="F29" s="20" t="s">
        <v>417</v>
      </c>
      <c r="G29" s="8" t="str">
        <f t="shared" si="0"/>
        <v>WILLIAMS DONTE</v>
      </c>
      <c r="H29" s="20" t="str">
        <f t="shared" si="1"/>
        <v>4004</v>
      </c>
    </row>
    <row r="30" spans="1:8" x14ac:dyDescent="0.25">
      <c r="A30" s="8">
        <v>43077.235173611109</v>
      </c>
      <c r="B30" s="20" t="s">
        <v>459</v>
      </c>
      <c r="C30" s="20" t="s">
        <v>735</v>
      </c>
      <c r="D30" s="131">
        <v>1830000</v>
      </c>
      <c r="E30" s="20" t="s">
        <v>345</v>
      </c>
      <c r="F30" s="20" t="s">
        <v>346</v>
      </c>
      <c r="G30" s="8" t="str">
        <f t="shared" si="0"/>
        <v>YORK EDGAR</v>
      </c>
      <c r="H30" s="20" t="str">
        <f t="shared" si="1"/>
        <v>4009</v>
      </c>
    </row>
    <row r="31" spans="1:8" x14ac:dyDescent="0.25">
      <c r="A31" s="8">
        <v>43077.236215277779</v>
      </c>
      <c r="B31" s="20" t="s">
        <v>493</v>
      </c>
      <c r="C31" s="20" t="s">
        <v>736</v>
      </c>
      <c r="D31" s="131">
        <v>3680000</v>
      </c>
      <c r="E31" s="20" t="s">
        <v>474</v>
      </c>
      <c r="F31" s="20" t="s">
        <v>475</v>
      </c>
      <c r="G31" s="8" t="str">
        <f t="shared" si="0"/>
        <v>HAMMOND JUSTYNN</v>
      </c>
      <c r="H31" s="20" t="str">
        <f t="shared" si="1"/>
        <v>4016</v>
      </c>
    </row>
    <row r="32" spans="1:8" x14ac:dyDescent="0.25">
      <c r="A32" s="8">
        <v>43077.240590277775</v>
      </c>
      <c r="B32" s="20" t="s">
        <v>357</v>
      </c>
      <c r="C32" s="20" t="s">
        <v>737</v>
      </c>
      <c r="D32" s="131">
        <v>2370000</v>
      </c>
      <c r="E32" s="20" t="s">
        <v>738</v>
      </c>
      <c r="F32" s="20" t="s">
        <v>739</v>
      </c>
      <c r="G32" s="8" t="str">
        <f t="shared" si="0"/>
        <v>DELGADO DIANAH</v>
      </c>
      <c r="H32" s="20" t="str">
        <f t="shared" si="1"/>
        <v>4007</v>
      </c>
    </row>
    <row r="33" spans="1:8" x14ac:dyDescent="0.25">
      <c r="A33" s="8">
        <v>43077.245057870372</v>
      </c>
      <c r="B33" s="20" t="s">
        <v>723</v>
      </c>
      <c r="C33" s="20" t="s">
        <v>740</v>
      </c>
      <c r="D33" s="131">
        <v>3030000</v>
      </c>
      <c r="E33" s="20" t="s">
        <v>725</v>
      </c>
      <c r="F33" s="20" t="s">
        <v>726</v>
      </c>
      <c r="G33" s="8" t="str">
        <f t="shared" si="0"/>
        <v>BIRENBAUM THOMAS</v>
      </c>
      <c r="H33" s="20" t="str">
        <f t="shared" si="1"/>
        <v>4019</v>
      </c>
    </row>
    <row r="34" spans="1:8" x14ac:dyDescent="0.25">
      <c r="A34" s="8">
        <v>43077.245671296296</v>
      </c>
      <c r="B34" s="20" t="s">
        <v>478</v>
      </c>
      <c r="C34" s="20" t="s">
        <v>741</v>
      </c>
      <c r="D34" s="131">
        <v>900000</v>
      </c>
      <c r="E34" s="20" t="s">
        <v>706</v>
      </c>
      <c r="F34" s="20" t="s">
        <v>707</v>
      </c>
      <c r="G34" s="8" t="str">
        <f t="shared" si="0"/>
        <v>ROCHA YAOTL</v>
      </c>
      <c r="H34" s="20" t="str">
        <f t="shared" si="1"/>
        <v>4064</v>
      </c>
    </row>
    <row r="35" spans="1:8" x14ac:dyDescent="0.25">
      <c r="A35" s="8">
        <v>43077.246724537035</v>
      </c>
      <c r="B35" s="20" t="s">
        <v>727</v>
      </c>
      <c r="C35" s="20" t="s">
        <v>742</v>
      </c>
      <c r="D35" s="131">
        <v>3040000</v>
      </c>
      <c r="E35" s="20" t="s">
        <v>364</v>
      </c>
      <c r="F35" s="20" t="s">
        <v>417</v>
      </c>
      <c r="G35" s="8" t="str">
        <f t="shared" si="0"/>
        <v>WILLIAMS DONTE</v>
      </c>
      <c r="H35" s="20" t="str">
        <f t="shared" si="1"/>
        <v>4003</v>
      </c>
    </row>
    <row r="36" spans="1:8" x14ac:dyDescent="0.25">
      <c r="A36" s="8">
        <v>43077.252083333333</v>
      </c>
      <c r="B36" s="20" t="s">
        <v>355</v>
      </c>
      <c r="C36" s="20" t="s">
        <v>743</v>
      </c>
      <c r="D36" s="131">
        <v>2370000</v>
      </c>
      <c r="E36" s="20" t="s">
        <v>738</v>
      </c>
      <c r="F36" s="20" t="s">
        <v>739</v>
      </c>
      <c r="G36" s="8" t="str">
        <f t="shared" si="0"/>
        <v>DELGADO DIANAH</v>
      </c>
      <c r="H36" s="20" t="str">
        <f t="shared" si="1"/>
        <v>4008</v>
      </c>
    </row>
    <row r="37" spans="1:8" x14ac:dyDescent="0.25">
      <c r="A37" s="8">
        <v>43077.255983796298</v>
      </c>
      <c r="B37" s="20" t="s">
        <v>595</v>
      </c>
      <c r="C37" s="20" t="s">
        <v>744</v>
      </c>
      <c r="D37" s="131">
        <v>1100000</v>
      </c>
      <c r="E37" s="20" t="s">
        <v>715</v>
      </c>
      <c r="F37" s="20" t="s">
        <v>716</v>
      </c>
      <c r="G37" s="8" t="str">
        <f t="shared" si="0"/>
        <v>GEBRETEKLE DAGNEW</v>
      </c>
      <c r="H37" s="20" t="str">
        <f t="shared" si="1"/>
        <v>4024</v>
      </c>
    </row>
    <row r="38" spans="1:8" x14ac:dyDescent="0.25">
      <c r="A38" s="8">
        <v>43077.262442129628</v>
      </c>
      <c r="B38" s="20" t="s">
        <v>448</v>
      </c>
      <c r="C38" s="20" t="s">
        <v>745</v>
      </c>
      <c r="D38" s="131">
        <v>2010000</v>
      </c>
      <c r="E38" s="20" t="s">
        <v>597</v>
      </c>
      <c r="F38" s="20" t="s">
        <v>598</v>
      </c>
      <c r="G38" s="8" t="str">
        <f t="shared" si="0"/>
        <v>MAELZER KURT</v>
      </c>
      <c r="H38" s="20" t="str">
        <f t="shared" si="1"/>
        <v>4031</v>
      </c>
    </row>
    <row r="39" spans="1:8" x14ac:dyDescent="0.25">
      <c r="A39" s="8">
        <v>43077.265868055554</v>
      </c>
      <c r="B39" s="20" t="s">
        <v>518</v>
      </c>
      <c r="C39" s="20" t="s">
        <v>746</v>
      </c>
      <c r="D39" s="131">
        <v>2440000</v>
      </c>
      <c r="E39" s="20" t="s">
        <v>523</v>
      </c>
      <c r="F39" s="20" t="s">
        <v>524</v>
      </c>
      <c r="G39" s="8" t="str">
        <f t="shared" si="0"/>
        <v>LOPES KIMBERLY</v>
      </c>
      <c r="H39" s="20" t="str">
        <f t="shared" si="1"/>
        <v>4050</v>
      </c>
    </row>
    <row r="40" spans="1:8" x14ac:dyDescent="0.25">
      <c r="A40" s="8">
        <v>43077.267962962964</v>
      </c>
      <c r="B40" s="25" t="s">
        <v>357</v>
      </c>
      <c r="C40" s="20" t="s">
        <v>747</v>
      </c>
      <c r="D40" s="131">
        <v>2370000</v>
      </c>
      <c r="E40" s="20" t="s">
        <v>738</v>
      </c>
      <c r="F40" s="20" t="s">
        <v>739</v>
      </c>
      <c r="G40" s="8" t="str">
        <f t="shared" si="0"/>
        <v>DELGADO DIANAH</v>
      </c>
      <c r="H40" s="20" t="str">
        <f t="shared" si="1"/>
        <v>4007</v>
      </c>
    </row>
    <row r="41" spans="1:8" x14ac:dyDescent="0.25">
      <c r="A41" s="8">
        <v>43077.275462962964</v>
      </c>
      <c r="B41" s="20" t="s">
        <v>683</v>
      </c>
      <c r="C41" s="20" t="s">
        <v>748</v>
      </c>
      <c r="D41" s="131">
        <v>3040000</v>
      </c>
      <c r="E41" s="20" t="s">
        <v>364</v>
      </c>
      <c r="F41" s="20" t="s">
        <v>417</v>
      </c>
      <c r="G41" s="8" t="str">
        <f t="shared" si="0"/>
        <v>WILLIAMS DONTE</v>
      </c>
      <c r="H41" s="20" t="str">
        <f t="shared" si="1"/>
        <v>4004</v>
      </c>
    </row>
    <row r="42" spans="1:8" x14ac:dyDescent="0.25">
      <c r="A42" s="8">
        <v>43077.275740740741</v>
      </c>
      <c r="B42" s="20" t="s">
        <v>460</v>
      </c>
      <c r="C42" s="20" t="s">
        <v>749</v>
      </c>
      <c r="D42" s="131">
        <v>1830000</v>
      </c>
      <c r="E42" s="20" t="s">
        <v>345</v>
      </c>
      <c r="F42" s="20" t="s">
        <v>346</v>
      </c>
      <c r="G42" s="8" t="str">
        <f t="shared" si="0"/>
        <v>YORK EDGAR</v>
      </c>
      <c r="H42" s="20" t="str">
        <f t="shared" si="1"/>
        <v>4010</v>
      </c>
    </row>
    <row r="43" spans="1:8" x14ac:dyDescent="0.25">
      <c r="A43" s="8">
        <v>43077.276238425926</v>
      </c>
      <c r="B43" s="20" t="s">
        <v>492</v>
      </c>
      <c r="C43" s="20" t="s">
        <v>750</v>
      </c>
      <c r="D43" s="131">
        <v>3680000</v>
      </c>
      <c r="E43" s="20" t="s">
        <v>474</v>
      </c>
      <c r="F43" s="20" t="s">
        <v>475</v>
      </c>
      <c r="G43" s="8" t="str">
        <f t="shared" si="0"/>
        <v>HAMMOND JUSTYNN</v>
      </c>
      <c r="H43" s="20" t="str">
        <f t="shared" si="1"/>
        <v>4015</v>
      </c>
    </row>
    <row r="44" spans="1:8" x14ac:dyDescent="0.25">
      <c r="A44" s="8">
        <v>43077.28665509259</v>
      </c>
      <c r="B44" s="20" t="s">
        <v>596</v>
      </c>
      <c r="C44" s="20" t="s">
        <v>751</v>
      </c>
      <c r="D44" s="131">
        <v>1100000</v>
      </c>
      <c r="E44" s="20" t="s">
        <v>715</v>
      </c>
      <c r="F44" s="20" t="s">
        <v>716</v>
      </c>
      <c r="G44" s="8" t="str">
        <f t="shared" si="0"/>
        <v>GEBRETEKLE DAGNEW</v>
      </c>
      <c r="H44" s="20" t="str">
        <f t="shared" si="1"/>
        <v>4023</v>
      </c>
    </row>
    <row r="45" spans="1:8" x14ac:dyDescent="0.25">
      <c r="A45" s="8">
        <v>43077.288437499999</v>
      </c>
      <c r="B45" s="20" t="s">
        <v>461</v>
      </c>
      <c r="C45" s="20" t="s">
        <v>681</v>
      </c>
      <c r="D45" s="131">
        <v>900000</v>
      </c>
      <c r="E45" s="20" t="s">
        <v>706</v>
      </c>
      <c r="F45" s="20" t="s">
        <v>707</v>
      </c>
      <c r="G45" s="8" t="str">
        <f t="shared" si="0"/>
        <v>ROCHA YAOTL</v>
      </c>
      <c r="H45" s="20" t="str">
        <f t="shared" si="1"/>
        <v>4063</v>
      </c>
    </row>
    <row r="46" spans="1:8" x14ac:dyDescent="0.25">
      <c r="A46" s="8">
        <v>43077.289155092592</v>
      </c>
      <c r="B46" s="20" t="s">
        <v>693</v>
      </c>
      <c r="C46" s="20" t="s">
        <v>752</v>
      </c>
      <c r="D46" s="131">
        <v>3030000</v>
      </c>
      <c r="E46" s="20" t="s">
        <v>725</v>
      </c>
      <c r="F46" s="20" t="s">
        <v>726</v>
      </c>
      <c r="G46" s="8" t="str">
        <f t="shared" si="0"/>
        <v>BIRENBAUM THOMAS</v>
      </c>
      <c r="H46" s="20" t="str">
        <f t="shared" si="1"/>
        <v>4020</v>
      </c>
    </row>
    <row r="47" spans="1:8" x14ac:dyDescent="0.25">
      <c r="A47" s="8">
        <v>43077.289270833331</v>
      </c>
      <c r="B47" s="20" t="s">
        <v>727</v>
      </c>
      <c r="C47" s="20" t="s">
        <v>753</v>
      </c>
      <c r="D47" s="131">
        <v>3040000</v>
      </c>
      <c r="E47" s="20" t="s">
        <v>364</v>
      </c>
      <c r="F47" s="20" t="s">
        <v>417</v>
      </c>
      <c r="G47" s="8" t="str">
        <f t="shared" si="0"/>
        <v>WILLIAMS DONTE</v>
      </c>
      <c r="H47" s="20" t="str">
        <f t="shared" si="1"/>
        <v>4003</v>
      </c>
    </row>
    <row r="48" spans="1:8" x14ac:dyDescent="0.25">
      <c r="A48" s="8">
        <v>43077.292245370372</v>
      </c>
      <c r="B48" s="20" t="s">
        <v>355</v>
      </c>
      <c r="C48" s="20" t="s">
        <v>754</v>
      </c>
      <c r="D48" s="131">
        <v>2370000</v>
      </c>
      <c r="E48" s="20" t="s">
        <v>738</v>
      </c>
      <c r="F48" s="20" t="s">
        <v>739</v>
      </c>
      <c r="G48" s="8" t="str">
        <f t="shared" si="0"/>
        <v>DELGADO DIANAH</v>
      </c>
      <c r="H48" s="20" t="str">
        <f t="shared" si="1"/>
        <v>4008</v>
      </c>
    </row>
    <row r="49" spans="1:8" x14ac:dyDescent="0.25">
      <c r="A49" s="8">
        <v>43077.299178240741</v>
      </c>
      <c r="B49" s="20" t="s">
        <v>449</v>
      </c>
      <c r="C49" s="20" t="s">
        <v>755</v>
      </c>
      <c r="D49" s="131">
        <v>2010000</v>
      </c>
      <c r="E49" s="20" t="s">
        <v>597</v>
      </c>
      <c r="F49" s="20" t="s">
        <v>598</v>
      </c>
      <c r="G49" s="8" t="str">
        <f t="shared" si="0"/>
        <v>MAELZER KURT</v>
      </c>
      <c r="H49" s="20" t="str">
        <f t="shared" si="1"/>
        <v>4032</v>
      </c>
    </row>
    <row r="50" spans="1:8" x14ac:dyDescent="0.25">
      <c r="A50" s="8">
        <v>43077.306875000002</v>
      </c>
      <c r="B50" s="20" t="s">
        <v>459</v>
      </c>
      <c r="C50" s="20" t="s">
        <v>756</v>
      </c>
      <c r="D50" s="131">
        <v>1830000</v>
      </c>
      <c r="E50" s="20" t="s">
        <v>345</v>
      </c>
      <c r="F50" s="20" t="s">
        <v>346</v>
      </c>
      <c r="G50" s="8" t="str">
        <f t="shared" si="0"/>
        <v>YORK EDGAR</v>
      </c>
      <c r="H50" s="20" t="str">
        <f t="shared" si="1"/>
        <v>4009</v>
      </c>
    </row>
    <row r="51" spans="1:8" x14ac:dyDescent="0.25">
      <c r="A51" s="8">
        <v>43077.308344907404</v>
      </c>
      <c r="B51" s="20" t="s">
        <v>493</v>
      </c>
      <c r="C51" s="20" t="s">
        <v>757</v>
      </c>
      <c r="D51" s="131">
        <v>3680000</v>
      </c>
      <c r="E51" s="20" t="s">
        <v>474</v>
      </c>
      <c r="F51" s="20" t="s">
        <v>475</v>
      </c>
      <c r="G51" s="8" t="str">
        <f t="shared" si="0"/>
        <v>HAMMOND JUSTYNN</v>
      </c>
      <c r="H51" s="20" t="str">
        <f t="shared" si="1"/>
        <v>4016</v>
      </c>
    </row>
    <row r="52" spans="1:8" x14ac:dyDescent="0.25">
      <c r="A52" s="8">
        <v>43077.308356481481</v>
      </c>
      <c r="B52" s="20" t="s">
        <v>525</v>
      </c>
      <c r="C52" s="20" t="s">
        <v>758</v>
      </c>
      <c r="D52" s="131">
        <v>2440000</v>
      </c>
      <c r="E52" s="20" t="s">
        <v>523</v>
      </c>
      <c r="F52" s="20" t="s">
        <v>524</v>
      </c>
      <c r="G52" s="8" t="str">
        <f t="shared" si="0"/>
        <v>LOPES KIMBERLY</v>
      </c>
      <c r="H52" s="20" t="str">
        <f t="shared" si="1"/>
        <v>4049</v>
      </c>
    </row>
    <row r="53" spans="1:8" x14ac:dyDescent="0.25">
      <c r="A53" s="8">
        <v>43077.309895833336</v>
      </c>
      <c r="B53" s="20" t="s">
        <v>357</v>
      </c>
      <c r="C53" s="20" t="s">
        <v>759</v>
      </c>
      <c r="D53" s="131">
        <v>2370000</v>
      </c>
      <c r="E53" s="20" t="s">
        <v>738</v>
      </c>
      <c r="F53" s="20" t="s">
        <v>739</v>
      </c>
      <c r="G53" s="8" t="str">
        <f t="shared" si="0"/>
        <v>DELGADO DIANAH</v>
      </c>
      <c r="H53" s="20" t="str">
        <f t="shared" si="1"/>
        <v>4007</v>
      </c>
    </row>
    <row r="54" spans="1:8" x14ac:dyDescent="0.25">
      <c r="A54" s="8">
        <v>43077.315300925926</v>
      </c>
      <c r="B54" s="20" t="s">
        <v>683</v>
      </c>
      <c r="C54" s="20" t="s">
        <v>760</v>
      </c>
      <c r="D54" s="131">
        <v>3040000</v>
      </c>
      <c r="E54" s="20" t="s">
        <v>364</v>
      </c>
      <c r="F54" s="20" t="s">
        <v>417</v>
      </c>
      <c r="G54" s="8" t="str">
        <f t="shared" si="0"/>
        <v>WILLIAMS DONTE</v>
      </c>
      <c r="H54" s="20" t="str">
        <f t="shared" si="1"/>
        <v>4004</v>
      </c>
    </row>
    <row r="55" spans="1:8" x14ac:dyDescent="0.25">
      <c r="A55" s="8">
        <v>43077.317488425928</v>
      </c>
      <c r="B55" s="20" t="s">
        <v>723</v>
      </c>
      <c r="C55" s="20" t="s">
        <v>761</v>
      </c>
      <c r="D55" s="131">
        <v>3030000</v>
      </c>
      <c r="E55" s="20" t="s">
        <v>725</v>
      </c>
      <c r="F55" s="20" t="s">
        <v>726</v>
      </c>
      <c r="G55" s="8" t="str">
        <f t="shared" si="0"/>
        <v>BIRENBAUM THOMAS</v>
      </c>
      <c r="H55" s="20" t="str">
        <f t="shared" si="1"/>
        <v>4019</v>
      </c>
    </row>
    <row r="56" spans="1:8" x14ac:dyDescent="0.25">
      <c r="A56" s="8">
        <v>43077.322222222225</v>
      </c>
      <c r="B56" s="20" t="s">
        <v>478</v>
      </c>
      <c r="C56" s="20" t="s">
        <v>762</v>
      </c>
      <c r="D56" s="131">
        <v>1110000</v>
      </c>
      <c r="E56" s="20" t="s">
        <v>711</v>
      </c>
      <c r="F56" s="20" t="s">
        <v>712</v>
      </c>
      <c r="G56" s="8" t="str">
        <f t="shared" si="0"/>
        <v>STARKS ANGELINA</v>
      </c>
      <c r="H56" s="20" t="str">
        <f t="shared" si="1"/>
        <v>4064</v>
      </c>
    </row>
    <row r="57" spans="1:8" x14ac:dyDescent="0.25">
      <c r="A57" s="8">
        <v>43077.329513888886</v>
      </c>
      <c r="B57" s="20" t="s">
        <v>595</v>
      </c>
      <c r="C57" s="20" t="s">
        <v>682</v>
      </c>
      <c r="D57" s="131">
        <v>3260000</v>
      </c>
      <c r="E57" s="20" t="s">
        <v>599</v>
      </c>
      <c r="F57" s="20" t="s">
        <v>600</v>
      </c>
      <c r="G57" s="8" t="str">
        <f t="shared" si="0"/>
        <v>PAGE MARCUS</v>
      </c>
      <c r="H57" s="20" t="str">
        <f t="shared" si="1"/>
        <v>4024</v>
      </c>
    </row>
    <row r="58" spans="1:8" x14ac:dyDescent="0.25">
      <c r="A58" s="8">
        <v>43077.330671296295</v>
      </c>
      <c r="B58" s="20" t="s">
        <v>727</v>
      </c>
      <c r="C58" s="20" t="s">
        <v>763</v>
      </c>
      <c r="D58" s="131">
        <v>3040000</v>
      </c>
      <c r="E58" s="20" t="s">
        <v>364</v>
      </c>
      <c r="F58" s="20" t="s">
        <v>417</v>
      </c>
      <c r="G58" s="8" t="str">
        <f t="shared" si="0"/>
        <v>WILLIAMS DONTE</v>
      </c>
      <c r="H58" s="20" t="str">
        <f t="shared" si="1"/>
        <v>4003</v>
      </c>
    </row>
    <row r="59" spans="1:8" x14ac:dyDescent="0.25">
      <c r="A59" s="8">
        <v>43077.331562500003</v>
      </c>
      <c r="B59" s="20" t="s">
        <v>355</v>
      </c>
      <c r="C59" s="20" t="s">
        <v>764</v>
      </c>
      <c r="D59" s="131">
        <v>2370000</v>
      </c>
      <c r="E59" s="20" t="s">
        <v>738</v>
      </c>
      <c r="F59" s="20" t="s">
        <v>739</v>
      </c>
      <c r="G59" s="8" t="str">
        <f t="shared" si="0"/>
        <v>DELGADO DIANAH</v>
      </c>
      <c r="H59" s="20" t="str">
        <f t="shared" si="1"/>
        <v>4008</v>
      </c>
    </row>
    <row r="60" spans="1:8" x14ac:dyDescent="0.25">
      <c r="A60" s="8">
        <v>43077.332557870373</v>
      </c>
      <c r="B60" s="20" t="s">
        <v>448</v>
      </c>
      <c r="C60" s="20" t="s">
        <v>765</v>
      </c>
      <c r="D60" s="131">
        <v>2010000</v>
      </c>
      <c r="E60" s="20" t="s">
        <v>597</v>
      </c>
      <c r="F60" s="20" t="s">
        <v>598</v>
      </c>
      <c r="G60" s="8" t="str">
        <f t="shared" si="0"/>
        <v>MAELZER KURT</v>
      </c>
      <c r="H60" s="20" t="str">
        <f t="shared" si="1"/>
        <v>4031</v>
      </c>
    </row>
    <row r="61" spans="1:8" x14ac:dyDescent="0.25">
      <c r="A61" s="8">
        <v>43077.338750000003</v>
      </c>
      <c r="B61" s="20" t="s">
        <v>518</v>
      </c>
      <c r="C61" s="20" t="s">
        <v>766</v>
      </c>
      <c r="D61" s="131">
        <v>2440000</v>
      </c>
      <c r="E61" s="20" t="s">
        <v>523</v>
      </c>
      <c r="F61" s="20" t="s">
        <v>524</v>
      </c>
      <c r="G61" s="8" t="str">
        <f t="shared" si="0"/>
        <v>LOPES KIMBERLY</v>
      </c>
      <c r="H61" s="20" t="str">
        <f t="shared" si="1"/>
        <v>4050</v>
      </c>
    </row>
    <row r="62" spans="1:8" x14ac:dyDescent="0.25">
      <c r="A62" s="8">
        <v>43077.339259259257</v>
      </c>
      <c r="B62" s="20" t="s">
        <v>492</v>
      </c>
      <c r="C62" s="20" t="s">
        <v>767</v>
      </c>
      <c r="D62" s="131">
        <v>3680000</v>
      </c>
      <c r="E62" s="20" t="s">
        <v>474</v>
      </c>
      <c r="F62" s="20" t="s">
        <v>475</v>
      </c>
      <c r="G62" s="8" t="str">
        <f t="shared" si="0"/>
        <v>HAMMOND JUSTYNN</v>
      </c>
      <c r="H62" s="20" t="str">
        <f t="shared" si="1"/>
        <v>4015</v>
      </c>
    </row>
    <row r="63" spans="1:8" x14ac:dyDescent="0.25">
      <c r="A63" s="8">
        <v>43077.348402777781</v>
      </c>
      <c r="B63" s="20" t="s">
        <v>460</v>
      </c>
      <c r="C63" s="20" t="s">
        <v>768</v>
      </c>
      <c r="D63" s="131">
        <v>1830000</v>
      </c>
      <c r="E63" s="20" t="s">
        <v>345</v>
      </c>
      <c r="F63" s="20" t="s">
        <v>346</v>
      </c>
      <c r="G63" s="8" t="str">
        <f t="shared" si="0"/>
        <v>YORK EDGAR</v>
      </c>
      <c r="H63" s="20" t="str">
        <f t="shared" si="1"/>
        <v>4010</v>
      </c>
    </row>
    <row r="64" spans="1:8" x14ac:dyDescent="0.25">
      <c r="A64" s="26">
        <v>43077.351643518516</v>
      </c>
      <c r="B64" s="20" t="s">
        <v>357</v>
      </c>
      <c r="C64" s="20" t="s">
        <v>769</v>
      </c>
      <c r="D64" s="131">
        <v>2370000</v>
      </c>
      <c r="E64" s="20" t="s">
        <v>738</v>
      </c>
      <c r="F64" s="20" t="s">
        <v>739</v>
      </c>
      <c r="G64" s="8" t="str">
        <f t="shared" si="0"/>
        <v>DELGADO DIANAH</v>
      </c>
      <c r="H64" s="20" t="str">
        <f t="shared" si="1"/>
        <v>4007</v>
      </c>
    </row>
    <row r="65" spans="1:8" x14ac:dyDescent="0.25">
      <c r="A65" s="8">
        <v>43077.354675925926</v>
      </c>
      <c r="B65" s="20" t="s">
        <v>683</v>
      </c>
      <c r="C65" s="20" t="s">
        <v>684</v>
      </c>
      <c r="D65" s="131">
        <v>3040000</v>
      </c>
      <c r="E65" s="20" t="s">
        <v>364</v>
      </c>
      <c r="F65" s="20" t="s">
        <v>417</v>
      </c>
      <c r="G65" s="8" t="str">
        <f t="shared" si="0"/>
        <v>WILLIAMS DONTE</v>
      </c>
      <c r="H65" s="20" t="str">
        <f t="shared" si="1"/>
        <v>4004</v>
      </c>
    </row>
    <row r="66" spans="1:8" x14ac:dyDescent="0.25">
      <c r="A66" s="8">
        <v>43077.361250000002</v>
      </c>
      <c r="B66" s="20" t="s">
        <v>596</v>
      </c>
      <c r="C66" s="20" t="s">
        <v>770</v>
      </c>
      <c r="D66" s="131">
        <v>3260000</v>
      </c>
      <c r="E66" s="20" t="s">
        <v>599</v>
      </c>
      <c r="F66" s="20" t="s">
        <v>600</v>
      </c>
      <c r="G66" s="8" t="str">
        <f t="shared" si="0"/>
        <v>PAGE MARCUS</v>
      </c>
      <c r="H66" s="20" t="str">
        <f t="shared" si="1"/>
        <v>4023</v>
      </c>
    </row>
    <row r="67" spans="1:8" x14ac:dyDescent="0.25">
      <c r="A67" s="8">
        <v>43077.361620370371</v>
      </c>
      <c r="B67" s="20" t="s">
        <v>461</v>
      </c>
      <c r="C67" s="20" t="s">
        <v>685</v>
      </c>
      <c r="D67" s="131">
        <v>1110000</v>
      </c>
      <c r="E67" s="20" t="s">
        <v>711</v>
      </c>
      <c r="F67" s="20" t="s">
        <v>712</v>
      </c>
      <c r="G67" s="8" t="str">
        <f t="shared" ref="G67:G130" si="2">E67&amp;" "&amp;F67</f>
        <v>STARKS ANGELINA</v>
      </c>
      <c r="H67" s="20" t="str">
        <f t="shared" ref="H67:H130" si="3">MID(B67,13,4)</f>
        <v>4063</v>
      </c>
    </row>
    <row r="68" spans="1:8" x14ac:dyDescent="0.25">
      <c r="A68" s="8">
        <v>43077.361967592595</v>
      </c>
      <c r="B68" s="20" t="s">
        <v>693</v>
      </c>
      <c r="C68" s="20" t="s">
        <v>771</v>
      </c>
      <c r="D68" s="131">
        <v>3030000</v>
      </c>
      <c r="E68" s="20" t="s">
        <v>725</v>
      </c>
      <c r="F68" s="20" t="s">
        <v>726</v>
      </c>
      <c r="G68" s="8" t="str">
        <f t="shared" si="2"/>
        <v>BIRENBAUM THOMAS</v>
      </c>
      <c r="H68" s="20" t="str">
        <f t="shared" si="3"/>
        <v>4020</v>
      </c>
    </row>
    <row r="69" spans="1:8" x14ac:dyDescent="0.25">
      <c r="A69" s="8">
        <v>43077.372546296298</v>
      </c>
      <c r="B69" s="20" t="s">
        <v>449</v>
      </c>
      <c r="C69" s="20" t="s">
        <v>772</v>
      </c>
      <c r="D69" s="131">
        <v>2010000</v>
      </c>
      <c r="E69" s="20" t="s">
        <v>597</v>
      </c>
      <c r="F69" s="20" t="s">
        <v>598</v>
      </c>
      <c r="G69" s="8" t="str">
        <f t="shared" si="2"/>
        <v>MAELZER KURT</v>
      </c>
      <c r="H69" s="20" t="str">
        <f t="shared" si="3"/>
        <v>4032</v>
      </c>
    </row>
    <row r="70" spans="1:8" x14ac:dyDescent="0.25">
      <c r="A70" s="8">
        <v>43077.373541666668</v>
      </c>
      <c r="B70" s="20" t="s">
        <v>355</v>
      </c>
      <c r="C70" s="20" t="s">
        <v>773</v>
      </c>
      <c r="D70" s="131">
        <v>2370000</v>
      </c>
      <c r="E70" s="20" t="s">
        <v>738</v>
      </c>
      <c r="F70" s="20" t="s">
        <v>739</v>
      </c>
      <c r="G70" s="8" t="str">
        <f t="shared" si="2"/>
        <v>DELGADO DIANAH</v>
      </c>
      <c r="H70" s="20" t="str">
        <f t="shared" si="3"/>
        <v>4008</v>
      </c>
    </row>
    <row r="71" spans="1:8" x14ac:dyDescent="0.25">
      <c r="A71" s="8">
        <v>43077.377905092595</v>
      </c>
      <c r="B71" s="20" t="s">
        <v>525</v>
      </c>
      <c r="C71" s="20" t="s">
        <v>774</v>
      </c>
      <c r="D71" s="131">
        <v>2440000</v>
      </c>
      <c r="E71" s="20" t="s">
        <v>523</v>
      </c>
      <c r="F71" s="20" t="s">
        <v>524</v>
      </c>
      <c r="G71" s="8" t="str">
        <f t="shared" si="2"/>
        <v>LOPES KIMBERLY</v>
      </c>
      <c r="H71" s="20" t="str">
        <f t="shared" si="3"/>
        <v>4049</v>
      </c>
    </row>
    <row r="72" spans="1:8" x14ac:dyDescent="0.25">
      <c r="A72" s="8">
        <v>43077.381215277775</v>
      </c>
      <c r="B72" s="20" t="s">
        <v>493</v>
      </c>
      <c r="C72" s="20" t="s">
        <v>775</v>
      </c>
      <c r="D72" s="131">
        <v>3680000</v>
      </c>
      <c r="E72" s="20" t="s">
        <v>474</v>
      </c>
      <c r="F72" s="20" t="s">
        <v>475</v>
      </c>
      <c r="G72" s="8" t="str">
        <f t="shared" si="2"/>
        <v>HAMMOND JUSTYNN</v>
      </c>
      <c r="H72" s="20" t="str">
        <f t="shared" si="3"/>
        <v>4016</v>
      </c>
    </row>
    <row r="73" spans="1:8" x14ac:dyDescent="0.25">
      <c r="A73" s="8">
        <v>43077.39230324074</v>
      </c>
      <c r="B73" s="20" t="s">
        <v>723</v>
      </c>
      <c r="C73" s="20" t="s">
        <v>776</v>
      </c>
      <c r="D73" s="131">
        <v>3030000</v>
      </c>
      <c r="E73" s="20" t="s">
        <v>725</v>
      </c>
      <c r="F73" s="20" t="s">
        <v>726</v>
      </c>
      <c r="G73" s="8" t="str">
        <f t="shared" si="2"/>
        <v>BIRENBAUM THOMAS</v>
      </c>
      <c r="H73" s="20" t="str">
        <f t="shared" si="3"/>
        <v>4019</v>
      </c>
    </row>
    <row r="74" spans="1:8" x14ac:dyDescent="0.25">
      <c r="A74" s="8">
        <v>43077.392430555556</v>
      </c>
      <c r="B74" s="20" t="s">
        <v>357</v>
      </c>
      <c r="C74" s="20" t="s">
        <v>777</v>
      </c>
      <c r="D74" s="131">
        <v>2370000</v>
      </c>
      <c r="E74" s="20" t="s">
        <v>738</v>
      </c>
      <c r="F74" s="20" t="s">
        <v>739</v>
      </c>
      <c r="G74" s="8" t="str">
        <f t="shared" si="2"/>
        <v>DELGADO DIANAH</v>
      </c>
      <c r="H74" s="20" t="str">
        <f t="shared" si="3"/>
        <v>4007</v>
      </c>
    </row>
    <row r="75" spans="1:8" x14ac:dyDescent="0.25">
      <c r="A75" s="8">
        <v>43077.392546296294</v>
      </c>
      <c r="B75" s="20" t="s">
        <v>459</v>
      </c>
      <c r="C75" s="20" t="s">
        <v>778</v>
      </c>
      <c r="D75" s="131">
        <v>1830000</v>
      </c>
      <c r="E75" s="20" t="s">
        <v>345</v>
      </c>
      <c r="F75" s="20" t="s">
        <v>346</v>
      </c>
      <c r="G75" s="8" t="str">
        <f t="shared" si="2"/>
        <v>YORK EDGAR</v>
      </c>
      <c r="H75" s="20" t="str">
        <f t="shared" si="3"/>
        <v>4009</v>
      </c>
    </row>
    <row r="76" spans="1:8" x14ac:dyDescent="0.25">
      <c r="A76" s="8">
        <v>43077.393252314818</v>
      </c>
      <c r="B76" s="20" t="s">
        <v>478</v>
      </c>
      <c r="C76" s="20" t="s">
        <v>779</v>
      </c>
      <c r="D76" s="131">
        <v>1110000</v>
      </c>
      <c r="E76" s="20" t="s">
        <v>711</v>
      </c>
      <c r="F76" s="20" t="s">
        <v>712</v>
      </c>
      <c r="G76" s="8" t="str">
        <f t="shared" si="2"/>
        <v>STARKS ANGELINA</v>
      </c>
      <c r="H76" s="20" t="str">
        <f t="shared" si="3"/>
        <v>4064</v>
      </c>
    </row>
    <row r="77" spans="1:8" x14ac:dyDescent="0.25">
      <c r="A77" s="8">
        <v>43077.401041666664</v>
      </c>
      <c r="B77" s="20" t="s">
        <v>595</v>
      </c>
      <c r="C77" s="20" t="s">
        <v>686</v>
      </c>
      <c r="D77" s="131">
        <v>1100000</v>
      </c>
      <c r="E77" s="20" t="s">
        <v>715</v>
      </c>
      <c r="F77" s="20" t="s">
        <v>716</v>
      </c>
      <c r="G77" s="8" t="str">
        <f t="shared" si="2"/>
        <v>GEBRETEKLE DAGNEW</v>
      </c>
      <c r="H77" s="20" t="str">
        <f t="shared" si="3"/>
        <v>4024</v>
      </c>
    </row>
    <row r="78" spans="1:8" x14ac:dyDescent="0.25">
      <c r="A78" s="8">
        <v>43077.411215277774</v>
      </c>
      <c r="B78" s="20" t="s">
        <v>448</v>
      </c>
      <c r="C78" s="20" t="s">
        <v>780</v>
      </c>
      <c r="D78" s="131">
        <v>2010000</v>
      </c>
      <c r="E78" s="20" t="s">
        <v>597</v>
      </c>
      <c r="F78" s="20" t="s">
        <v>598</v>
      </c>
      <c r="G78" s="8" t="str">
        <f t="shared" si="2"/>
        <v>MAELZER KURT</v>
      </c>
      <c r="H78" s="20" t="str">
        <f t="shared" si="3"/>
        <v>4031</v>
      </c>
    </row>
    <row r="79" spans="1:8" x14ac:dyDescent="0.25">
      <c r="A79" s="8">
        <v>43077.411226851851</v>
      </c>
      <c r="B79" s="20" t="s">
        <v>518</v>
      </c>
      <c r="C79" s="20" t="s">
        <v>687</v>
      </c>
      <c r="D79" s="131">
        <v>2440000</v>
      </c>
      <c r="E79" s="20" t="s">
        <v>523</v>
      </c>
      <c r="F79" s="20" t="s">
        <v>524</v>
      </c>
      <c r="G79" s="8" t="str">
        <f t="shared" si="2"/>
        <v>LOPES KIMBERLY</v>
      </c>
      <c r="H79" s="20" t="str">
        <f t="shared" si="3"/>
        <v>4050</v>
      </c>
    </row>
    <row r="80" spans="1:8" x14ac:dyDescent="0.25">
      <c r="A80" s="8">
        <v>43077.414641203701</v>
      </c>
      <c r="B80" s="20" t="s">
        <v>355</v>
      </c>
      <c r="C80" s="20" t="s">
        <v>781</v>
      </c>
      <c r="D80" s="131">
        <v>2370000</v>
      </c>
      <c r="E80" s="20" t="s">
        <v>738</v>
      </c>
      <c r="F80" s="20" t="s">
        <v>739</v>
      </c>
      <c r="G80" s="8" t="str">
        <f t="shared" si="2"/>
        <v>DELGADO DIANAH</v>
      </c>
      <c r="H80" s="20" t="str">
        <f t="shared" si="3"/>
        <v>4008</v>
      </c>
    </row>
    <row r="81" spans="1:8" x14ac:dyDescent="0.25">
      <c r="A81" s="8">
        <v>43077.422731481478</v>
      </c>
      <c r="B81" s="20" t="s">
        <v>492</v>
      </c>
      <c r="C81" s="20" t="s">
        <v>782</v>
      </c>
      <c r="D81" s="131">
        <v>3680000</v>
      </c>
      <c r="E81" s="20" t="s">
        <v>474</v>
      </c>
      <c r="F81" s="20" t="s">
        <v>475</v>
      </c>
      <c r="G81" s="8" t="str">
        <f t="shared" si="2"/>
        <v>HAMMOND JUSTYNN</v>
      </c>
      <c r="H81" s="20" t="str">
        <f t="shared" si="3"/>
        <v>4015</v>
      </c>
    </row>
    <row r="82" spans="1:8" x14ac:dyDescent="0.25">
      <c r="A82" s="8">
        <v>43077.42423611111</v>
      </c>
      <c r="B82" s="20" t="s">
        <v>460</v>
      </c>
      <c r="C82" s="20" t="s">
        <v>783</v>
      </c>
      <c r="D82" s="131">
        <v>3040000</v>
      </c>
      <c r="E82" s="20" t="s">
        <v>364</v>
      </c>
      <c r="F82" s="20" t="s">
        <v>417</v>
      </c>
      <c r="G82" s="8" t="str">
        <f t="shared" si="2"/>
        <v>WILLIAMS DONTE</v>
      </c>
      <c r="H82" s="20" t="str">
        <f t="shared" si="3"/>
        <v>4010</v>
      </c>
    </row>
    <row r="83" spans="1:8" x14ac:dyDescent="0.25">
      <c r="A83" s="8">
        <v>43077.43378472222</v>
      </c>
      <c r="B83" s="20" t="s">
        <v>596</v>
      </c>
      <c r="C83" s="20" t="s">
        <v>784</v>
      </c>
      <c r="D83" s="131">
        <v>1100000</v>
      </c>
      <c r="E83" s="20" t="s">
        <v>715</v>
      </c>
      <c r="F83" s="20" t="s">
        <v>716</v>
      </c>
      <c r="G83" s="8" t="str">
        <f t="shared" si="2"/>
        <v>GEBRETEKLE DAGNEW</v>
      </c>
      <c r="H83" s="20" t="str">
        <f t="shared" si="3"/>
        <v>4023</v>
      </c>
    </row>
    <row r="84" spans="1:8" x14ac:dyDescent="0.25">
      <c r="A84" s="8">
        <v>43077.434560185182</v>
      </c>
      <c r="B84" s="20" t="s">
        <v>693</v>
      </c>
      <c r="C84" s="20" t="s">
        <v>785</v>
      </c>
      <c r="D84" s="131">
        <v>3030000</v>
      </c>
      <c r="E84" s="20" t="s">
        <v>725</v>
      </c>
      <c r="F84" s="20" t="s">
        <v>726</v>
      </c>
      <c r="G84" s="8" t="str">
        <f t="shared" si="2"/>
        <v>BIRENBAUM THOMAS</v>
      </c>
      <c r="H84" s="20" t="str">
        <f t="shared" si="3"/>
        <v>4020</v>
      </c>
    </row>
    <row r="85" spans="1:8" x14ac:dyDescent="0.25">
      <c r="A85" s="8">
        <v>43077.434606481482</v>
      </c>
      <c r="B85" s="20" t="s">
        <v>357</v>
      </c>
      <c r="C85" s="20" t="s">
        <v>786</v>
      </c>
      <c r="D85" s="131">
        <v>2370000</v>
      </c>
      <c r="E85" s="20" t="s">
        <v>738</v>
      </c>
      <c r="F85" s="20" t="s">
        <v>739</v>
      </c>
      <c r="G85" s="8" t="str">
        <f t="shared" si="2"/>
        <v>DELGADO DIANAH</v>
      </c>
      <c r="H85" s="20" t="str">
        <f t="shared" si="3"/>
        <v>4007</v>
      </c>
    </row>
    <row r="86" spans="1:8" x14ac:dyDescent="0.25">
      <c r="A86" s="8">
        <v>43077.43478009259</v>
      </c>
      <c r="B86" s="20" t="s">
        <v>461</v>
      </c>
      <c r="C86" s="20" t="s">
        <v>787</v>
      </c>
      <c r="D86" s="131">
        <v>1110000</v>
      </c>
      <c r="E86" s="20" t="s">
        <v>711</v>
      </c>
      <c r="F86" s="20" t="s">
        <v>712</v>
      </c>
      <c r="G86" s="8" t="str">
        <f t="shared" si="2"/>
        <v>STARKS ANGELINA</v>
      </c>
      <c r="H86" s="20" t="str">
        <f t="shared" si="3"/>
        <v>4063</v>
      </c>
    </row>
    <row r="87" spans="1:8" x14ac:dyDescent="0.25">
      <c r="A87" s="8">
        <v>43077.443379629629</v>
      </c>
      <c r="B87" s="20" t="s">
        <v>449</v>
      </c>
      <c r="C87" s="20" t="s">
        <v>788</v>
      </c>
      <c r="D87" s="131">
        <v>2550000</v>
      </c>
      <c r="E87" s="20" t="s">
        <v>601</v>
      </c>
      <c r="F87" s="20" t="s">
        <v>602</v>
      </c>
      <c r="G87" s="8" t="str">
        <f t="shared" si="2"/>
        <v>BADERTSCHER DIANE</v>
      </c>
      <c r="H87" s="20" t="str">
        <f t="shared" si="3"/>
        <v>4032</v>
      </c>
    </row>
    <row r="88" spans="1:8" x14ac:dyDescent="0.25">
      <c r="A88" s="8">
        <v>43077.448599537034</v>
      </c>
      <c r="B88" s="20" t="s">
        <v>525</v>
      </c>
      <c r="C88" s="20" t="s">
        <v>688</v>
      </c>
      <c r="D88" s="131">
        <v>2440000</v>
      </c>
      <c r="E88" s="20" t="s">
        <v>523</v>
      </c>
      <c r="F88" s="20" t="s">
        <v>524</v>
      </c>
      <c r="G88" s="8" t="str">
        <f t="shared" si="2"/>
        <v>LOPES KIMBERLY</v>
      </c>
      <c r="H88" s="20" t="str">
        <f t="shared" si="3"/>
        <v>4049</v>
      </c>
    </row>
    <row r="89" spans="1:8" x14ac:dyDescent="0.25">
      <c r="A89" s="8">
        <v>43077.456180555557</v>
      </c>
      <c r="B89" s="20" t="s">
        <v>493</v>
      </c>
      <c r="C89" s="20" t="s">
        <v>789</v>
      </c>
      <c r="D89" s="131">
        <v>3680000</v>
      </c>
      <c r="E89" s="20" t="s">
        <v>474</v>
      </c>
      <c r="F89" s="20" t="s">
        <v>475</v>
      </c>
      <c r="G89" s="8" t="str">
        <f t="shared" si="2"/>
        <v>HAMMOND JUSTYNN</v>
      </c>
      <c r="H89" s="20" t="str">
        <f t="shared" si="3"/>
        <v>4016</v>
      </c>
    </row>
    <row r="90" spans="1:8" x14ac:dyDescent="0.25">
      <c r="A90" s="8">
        <v>43077.458472222221</v>
      </c>
      <c r="B90" s="20" t="s">
        <v>355</v>
      </c>
      <c r="C90" s="20" t="s">
        <v>689</v>
      </c>
      <c r="D90" s="131">
        <v>2370000</v>
      </c>
      <c r="E90" s="20" t="s">
        <v>738</v>
      </c>
      <c r="F90" s="20" t="s">
        <v>739</v>
      </c>
      <c r="G90" s="8" t="str">
        <f t="shared" si="2"/>
        <v>DELGADO DIANAH</v>
      </c>
      <c r="H90" s="20" t="str">
        <f t="shared" si="3"/>
        <v>4008</v>
      </c>
    </row>
    <row r="91" spans="1:8" x14ac:dyDescent="0.25">
      <c r="A91" s="8">
        <v>43077.46365740741</v>
      </c>
      <c r="B91" s="20" t="s">
        <v>525</v>
      </c>
      <c r="C91" s="20" t="s">
        <v>688</v>
      </c>
      <c r="D91" s="131">
        <v>2440000</v>
      </c>
      <c r="E91" s="20" t="s">
        <v>523</v>
      </c>
      <c r="F91" s="20" t="s">
        <v>524</v>
      </c>
      <c r="G91" s="8" t="str">
        <f t="shared" si="2"/>
        <v>LOPES KIMBERLY</v>
      </c>
      <c r="H91" s="20" t="str">
        <f t="shared" si="3"/>
        <v>4049</v>
      </c>
    </row>
    <row r="92" spans="1:8" x14ac:dyDescent="0.25">
      <c r="A92" s="8">
        <v>43077.464375000003</v>
      </c>
      <c r="B92" s="20" t="s">
        <v>459</v>
      </c>
      <c r="C92" s="20" t="s">
        <v>790</v>
      </c>
      <c r="D92" s="131">
        <v>3040000</v>
      </c>
      <c r="E92" s="20" t="s">
        <v>364</v>
      </c>
      <c r="F92" s="20" t="s">
        <v>417</v>
      </c>
      <c r="G92" s="8" t="str">
        <f t="shared" si="2"/>
        <v>WILLIAMS DONTE</v>
      </c>
      <c r="H92" s="20" t="str">
        <f t="shared" si="3"/>
        <v>4009</v>
      </c>
    </row>
    <row r="93" spans="1:8" x14ac:dyDescent="0.25">
      <c r="A93" s="8">
        <v>43077.465856481482</v>
      </c>
      <c r="B93" s="20" t="s">
        <v>723</v>
      </c>
      <c r="C93" s="20" t="s">
        <v>791</v>
      </c>
      <c r="D93" s="131">
        <v>3030000</v>
      </c>
      <c r="E93" s="20" t="s">
        <v>725</v>
      </c>
      <c r="F93" s="20" t="s">
        <v>726</v>
      </c>
      <c r="G93" s="8" t="str">
        <f t="shared" si="2"/>
        <v>BIRENBAUM THOMAS</v>
      </c>
      <c r="H93" s="20" t="str">
        <f t="shared" si="3"/>
        <v>4019</v>
      </c>
    </row>
    <row r="94" spans="1:8" x14ac:dyDescent="0.25">
      <c r="A94" s="8">
        <v>43077.466666666667</v>
      </c>
      <c r="B94" s="20" t="s">
        <v>478</v>
      </c>
      <c r="C94" s="20" t="s">
        <v>792</v>
      </c>
      <c r="D94" s="131">
        <v>2630000</v>
      </c>
      <c r="E94" s="20" t="s">
        <v>793</v>
      </c>
      <c r="F94" s="20" t="s">
        <v>794</v>
      </c>
      <c r="G94" s="8" t="str">
        <f t="shared" si="2"/>
        <v>SAFIEF AEIMEN</v>
      </c>
      <c r="H94" s="20" t="str">
        <f t="shared" si="3"/>
        <v>4064</v>
      </c>
    </row>
    <row r="95" spans="1:8" x14ac:dyDescent="0.25">
      <c r="A95" s="8">
        <v>43077.466793981483</v>
      </c>
      <c r="B95" s="20" t="s">
        <v>355</v>
      </c>
      <c r="C95" s="20" t="s">
        <v>689</v>
      </c>
      <c r="D95" s="131">
        <v>2370000</v>
      </c>
      <c r="E95" s="20" t="s">
        <v>738</v>
      </c>
      <c r="F95" s="20" t="s">
        <v>739</v>
      </c>
      <c r="G95" s="8" t="str">
        <f t="shared" si="2"/>
        <v>DELGADO DIANAH</v>
      </c>
      <c r="H95" s="20" t="str">
        <f t="shared" si="3"/>
        <v>4008</v>
      </c>
    </row>
    <row r="96" spans="1:8" x14ac:dyDescent="0.25">
      <c r="A96" s="8">
        <v>43077.476284722223</v>
      </c>
      <c r="B96" s="20" t="s">
        <v>595</v>
      </c>
      <c r="C96" s="20" t="s">
        <v>795</v>
      </c>
      <c r="D96" s="131">
        <v>1770000</v>
      </c>
      <c r="E96" s="20" t="s">
        <v>496</v>
      </c>
      <c r="F96" s="20" t="s">
        <v>497</v>
      </c>
      <c r="G96" s="8" t="str">
        <f t="shared" si="2"/>
        <v>BRUDER RICHARD</v>
      </c>
      <c r="H96" s="20" t="str">
        <f t="shared" si="3"/>
        <v>4024</v>
      </c>
    </row>
    <row r="97" spans="1:8" x14ac:dyDescent="0.25">
      <c r="A97" s="8">
        <v>43077.478252314817</v>
      </c>
      <c r="B97" s="20" t="s">
        <v>357</v>
      </c>
      <c r="C97" s="20" t="s">
        <v>796</v>
      </c>
      <c r="D97" s="131">
        <v>2370000</v>
      </c>
      <c r="E97" s="20" t="s">
        <v>738</v>
      </c>
      <c r="F97" s="20" t="s">
        <v>739</v>
      </c>
      <c r="G97" s="8" t="str">
        <f t="shared" si="2"/>
        <v>DELGADO DIANAH</v>
      </c>
      <c r="H97" s="20" t="str">
        <f t="shared" si="3"/>
        <v>4007</v>
      </c>
    </row>
    <row r="98" spans="1:8" x14ac:dyDescent="0.25">
      <c r="A98" s="8">
        <v>43077.484282407408</v>
      </c>
      <c r="B98" s="20" t="s">
        <v>448</v>
      </c>
      <c r="C98" s="20" t="s">
        <v>691</v>
      </c>
      <c r="D98" s="131">
        <v>2550000</v>
      </c>
      <c r="E98" s="20" t="s">
        <v>601</v>
      </c>
      <c r="F98" s="20" t="s">
        <v>602</v>
      </c>
      <c r="G98" s="8" t="str">
        <f t="shared" si="2"/>
        <v>BADERTSCHER DIANE</v>
      </c>
      <c r="H98" s="20" t="str">
        <f t="shared" si="3"/>
        <v>4031</v>
      </c>
    </row>
    <row r="99" spans="1:8" x14ac:dyDescent="0.25">
      <c r="A99" s="8">
        <v>43077.484826388885</v>
      </c>
      <c r="B99" s="20" t="s">
        <v>492</v>
      </c>
      <c r="C99" s="20" t="s">
        <v>797</v>
      </c>
      <c r="D99" s="131">
        <v>3680000</v>
      </c>
      <c r="E99" s="20" t="s">
        <v>474</v>
      </c>
      <c r="F99" s="20" t="s">
        <v>475</v>
      </c>
      <c r="G99" s="8" t="str">
        <f t="shared" si="2"/>
        <v>HAMMOND JUSTYNN</v>
      </c>
      <c r="H99" s="20" t="str">
        <f t="shared" si="3"/>
        <v>4015</v>
      </c>
    </row>
    <row r="100" spans="1:8" x14ac:dyDescent="0.25">
      <c r="A100" s="8">
        <v>43077.485266203701</v>
      </c>
      <c r="B100" s="20" t="s">
        <v>518</v>
      </c>
      <c r="C100" s="20" t="s">
        <v>798</v>
      </c>
      <c r="D100" s="131">
        <v>3330000</v>
      </c>
      <c r="E100" s="20" t="s">
        <v>799</v>
      </c>
      <c r="F100" s="20" t="s">
        <v>800</v>
      </c>
      <c r="G100" s="8" t="str">
        <f t="shared" si="2"/>
        <v>GONZALEZ ARMANDO</v>
      </c>
      <c r="H100" s="20" t="str">
        <f t="shared" si="3"/>
        <v>4050</v>
      </c>
    </row>
    <row r="101" spans="1:8" x14ac:dyDescent="0.25">
      <c r="A101" s="8">
        <v>43077.495046296295</v>
      </c>
      <c r="B101" s="20" t="s">
        <v>460</v>
      </c>
      <c r="C101" s="20" t="s">
        <v>801</v>
      </c>
      <c r="D101" s="131">
        <v>3000000</v>
      </c>
      <c r="E101" s="20" t="s">
        <v>494</v>
      </c>
      <c r="F101" s="20" t="s">
        <v>495</v>
      </c>
      <c r="G101" s="8" t="str">
        <f t="shared" si="2"/>
        <v>FORTUNATO FRANK</v>
      </c>
      <c r="H101" s="20" t="str">
        <f t="shared" si="3"/>
        <v>4010</v>
      </c>
    </row>
    <row r="102" spans="1:8" x14ac:dyDescent="0.25">
      <c r="A102" s="8">
        <v>43077.495682870373</v>
      </c>
      <c r="B102" s="20" t="s">
        <v>461</v>
      </c>
      <c r="C102" s="20" t="s">
        <v>802</v>
      </c>
      <c r="D102" s="131">
        <v>2630000</v>
      </c>
      <c r="E102" s="20" t="s">
        <v>793</v>
      </c>
      <c r="F102" s="20" t="s">
        <v>794</v>
      </c>
      <c r="G102" s="8" t="str">
        <f t="shared" si="2"/>
        <v>SAFIEF AEIMEN</v>
      </c>
      <c r="H102" s="20" t="str">
        <f t="shared" si="3"/>
        <v>4063</v>
      </c>
    </row>
    <row r="103" spans="1:8" x14ac:dyDescent="0.25">
      <c r="A103" s="8">
        <v>43077.503761574073</v>
      </c>
      <c r="B103" s="20" t="s">
        <v>355</v>
      </c>
      <c r="C103" s="20" t="s">
        <v>803</v>
      </c>
      <c r="D103" s="131">
        <v>2370000</v>
      </c>
      <c r="E103" s="20" t="s">
        <v>738</v>
      </c>
      <c r="F103" s="20" t="s">
        <v>739</v>
      </c>
      <c r="G103" s="8" t="str">
        <f t="shared" si="2"/>
        <v>DELGADO DIANAH</v>
      </c>
      <c r="H103" s="20" t="str">
        <f t="shared" si="3"/>
        <v>4008</v>
      </c>
    </row>
    <row r="104" spans="1:8" x14ac:dyDescent="0.25">
      <c r="A104" s="8">
        <v>43077.506053240744</v>
      </c>
      <c r="B104" s="20" t="s">
        <v>693</v>
      </c>
      <c r="C104" s="20" t="s">
        <v>804</v>
      </c>
      <c r="D104" s="131">
        <v>1300000</v>
      </c>
      <c r="E104" s="20" t="s">
        <v>481</v>
      </c>
      <c r="F104" s="20" t="s">
        <v>482</v>
      </c>
      <c r="G104" s="8" t="str">
        <f t="shared" si="2"/>
        <v>LEVIN SCOTT</v>
      </c>
      <c r="H104" s="20" t="str">
        <f t="shared" si="3"/>
        <v>4020</v>
      </c>
    </row>
    <row r="105" spans="1:8" x14ac:dyDescent="0.25">
      <c r="A105" s="8">
        <v>43077.51666666667</v>
      </c>
      <c r="B105" s="20" t="s">
        <v>596</v>
      </c>
      <c r="C105" s="20" t="s">
        <v>805</v>
      </c>
      <c r="D105" s="131">
        <v>1770000</v>
      </c>
      <c r="E105" s="20" t="s">
        <v>496</v>
      </c>
      <c r="F105" s="20" t="s">
        <v>497</v>
      </c>
      <c r="G105" s="8" t="str">
        <f t="shared" si="2"/>
        <v>BRUDER RICHARD</v>
      </c>
      <c r="H105" s="20" t="str">
        <f t="shared" si="3"/>
        <v>4023</v>
      </c>
    </row>
    <row r="106" spans="1:8" x14ac:dyDescent="0.25">
      <c r="A106" s="8">
        <v>43077.518125000002</v>
      </c>
      <c r="B106" s="20" t="s">
        <v>449</v>
      </c>
      <c r="C106" s="20" t="s">
        <v>806</v>
      </c>
      <c r="D106" s="131">
        <v>2550000</v>
      </c>
      <c r="E106" s="20" t="s">
        <v>601</v>
      </c>
      <c r="F106" s="20" t="s">
        <v>602</v>
      </c>
      <c r="G106" s="8" t="str">
        <f t="shared" si="2"/>
        <v>BADERTSCHER DIANE</v>
      </c>
      <c r="H106" s="20" t="str">
        <f t="shared" si="3"/>
        <v>4032</v>
      </c>
    </row>
    <row r="107" spans="1:8" x14ac:dyDescent="0.25">
      <c r="A107" s="8">
        <v>43077.51972222222</v>
      </c>
      <c r="B107" s="20" t="s">
        <v>357</v>
      </c>
      <c r="C107" s="20" t="s">
        <v>807</v>
      </c>
      <c r="D107" s="131">
        <v>2370000</v>
      </c>
      <c r="E107" s="20" t="s">
        <v>738</v>
      </c>
      <c r="F107" s="20" t="s">
        <v>739</v>
      </c>
      <c r="G107" s="8" t="str">
        <f t="shared" si="2"/>
        <v>DELGADO DIANAH</v>
      </c>
      <c r="H107" s="20" t="str">
        <f t="shared" si="3"/>
        <v>4007</v>
      </c>
    </row>
    <row r="108" spans="1:8" x14ac:dyDescent="0.25">
      <c r="A108" s="8">
        <v>43077.523368055554</v>
      </c>
      <c r="B108" s="20" t="s">
        <v>525</v>
      </c>
      <c r="C108" s="20" t="s">
        <v>808</v>
      </c>
      <c r="D108" s="131">
        <v>3330000</v>
      </c>
      <c r="E108" s="20" t="s">
        <v>799</v>
      </c>
      <c r="F108" s="20" t="s">
        <v>800</v>
      </c>
      <c r="G108" s="8" t="str">
        <f t="shared" si="2"/>
        <v>GONZALEZ ARMANDO</v>
      </c>
      <c r="H108" s="20" t="str">
        <f t="shared" si="3"/>
        <v>4049</v>
      </c>
    </row>
    <row r="109" spans="1:8" x14ac:dyDescent="0.25">
      <c r="A109" s="8">
        <v>43077.526597222219</v>
      </c>
      <c r="B109" s="20" t="s">
        <v>459</v>
      </c>
      <c r="C109" s="20" t="s">
        <v>692</v>
      </c>
      <c r="D109" s="131">
        <v>3000000</v>
      </c>
      <c r="E109" s="20" t="s">
        <v>494</v>
      </c>
      <c r="F109" s="20" t="s">
        <v>495</v>
      </c>
      <c r="G109" s="8" t="str">
        <f t="shared" si="2"/>
        <v>FORTUNATO FRANK</v>
      </c>
      <c r="H109" s="20" t="str">
        <f t="shared" si="3"/>
        <v>4009</v>
      </c>
    </row>
    <row r="110" spans="1:8" x14ac:dyDescent="0.25">
      <c r="A110" s="8">
        <v>43077.527754629627</v>
      </c>
      <c r="B110" s="20" t="s">
        <v>493</v>
      </c>
      <c r="C110" s="20" t="s">
        <v>809</v>
      </c>
      <c r="D110" s="131">
        <v>3840000</v>
      </c>
      <c r="E110" s="20" t="s">
        <v>479</v>
      </c>
      <c r="F110" s="20" t="s">
        <v>480</v>
      </c>
      <c r="G110" s="8" t="str">
        <f t="shared" si="2"/>
        <v>LONG FULLER</v>
      </c>
      <c r="H110" s="20" t="str">
        <f t="shared" si="3"/>
        <v>4016</v>
      </c>
    </row>
    <row r="111" spans="1:8" x14ac:dyDescent="0.25">
      <c r="A111" s="8">
        <v>43077.537499999999</v>
      </c>
      <c r="B111" s="20" t="s">
        <v>478</v>
      </c>
      <c r="C111" s="20" t="s">
        <v>810</v>
      </c>
      <c r="D111" s="131">
        <v>2630000</v>
      </c>
      <c r="E111" s="20" t="s">
        <v>793</v>
      </c>
      <c r="F111" s="20" t="s">
        <v>794</v>
      </c>
      <c r="G111" s="8" t="str">
        <f t="shared" si="2"/>
        <v>SAFIEF AEIMEN</v>
      </c>
      <c r="H111" s="20" t="str">
        <f t="shared" si="3"/>
        <v>4064</v>
      </c>
    </row>
    <row r="112" spans="1:8" x14ac:dyDescent="0.25">
      <c r="A112" s="8">
        <v>43077.541400462964</v>
      </c>
      <c r="B112" s="20" t="s">
        <v>355</v>
      </c>
      <c r="C112" s="20" t="s">
        <v>811</v>
      </c>
      <c r="D112" s="131">
        <v>3500000</v>
      </c>
      <c r="E112" s="20" t="s">
        <v>367</v>
      </c>
      <c r="F112" s="20" t="s">
        <v>368</v>
      </c>
      <c r="G112" s="8" t="str">
        <f t="shared" si="2"/>
        <v>GUNTHIER ERIC</v>
      </c>
      <c r="H112" s="20" t="str">
        <f t="shared" si="3"/>
        <v>4008</v>
      </c>
    </row>
    <row r="113" spans="1:8" x14ac:dyDescent="0.25">
      <c r="A113" s="8">
        <v>43077.545648148145</v>
      </c>
      <c r="B113" s="20" t="s">
        <v>723</v>
      </c>
      <c r="C113" s="20" t="s">
        <v>812</v>
      </c>
      <c r="D113" s="131">
        <v>1300000</v>
      </c>
      <c r="E113" s="20" t="s">
        <v>481</v>
      </c>
      <c r="F113" s="20" t="s">
        <v>482</v>
      </c>
      <c r="G113" s="8" t="str">
        <f t="shared" si="2"/>
        <v>LEVIN SCOTT</v>
      </c>
      <c r="H113" s="20" t="str">
        <f t="shared" si="3"/>
        <v>4019</v>
      </c>
    </row>
    <row r="114" spans="1:8" x14ac:dyDescent="0.25">
      <c r="A114" s="8">
        <v>43077.549756944441</v>
      </c>
      <c r="B114" s="20" t="s">
        <v>595</v>
      </c>
      <c r="C114" s="20" t="s">
        <v>813</v>
      </c>
      <c r="D114" s="131">
        <v>1770000</v>
      </c>
      <c r="E114" s="20" t="s">
        <v>496</v>
      </c>
      <c r="F114" s="20" t="s">
        <v>497</v>
      </c>
      <c r="G114" s="8" t="str">
        <f t="shared" si="2"/>
        <v>BRUDER RICHARD</v>
      </c>
      <c r="H114" s="20" t="str">
        <f t="shared" si="3"/>
        <v>4024</v>
      </c>
    </row>
    <row r="115" spans="1:8" x14ac:dyDescent="0.25">
      <c r="A115" s="8">
        <v>43077.557233796295</v>
      </c>
      <c r="B115" s="20" t="s">
        <v>448</v>
      </c>
      <c r="C115" s="20" t="s">
        <v>814</v>
      </c>
      <c r="D115" s="131">
        <v>2550000</v>
      </c>
      <c r="E115" s="20" t="s">
        <v>601</v>
      </c>
      <c r="F115" s="20" t="s">
        <v>602</v>
      </c>
      <c r="G115" s="8" t="str">
        <f t="shared" si="2"/>
        <v>BADERTSCHER DIANE</v>
      </c>
      <c r="H115" s="20" t="str">
        <f t="shared" si="3"/>
        <v>4031</v>
      </c>
    </row>
    <row r="116" spans="1:8" x14ac:dyDescent="0.25">
      <c r="A116" s="8">
        <v>43077.560601851852</v>
      </c>
      <c r="B116" s="20" t="s">
        <v>357</v>
      </c>
      <c r="C116" s="20" t="s">
        <v>815</v>
      </c>
      <c r="D116" s="131">
        <v>3500000</v>
      </c>
      <c r="E116" s="20" t="s">
        <v>367</v>
      </c>
      <c r="F116" s="20" t="s">
        <v>368</v>
      </c>
      <c r="G116" s="8" t="str">
        <f t="shared" si="2"/>
        <v>GUNTHIER ERIC</v>
      </c>
      <c r="H116" s="20" t="str">
        <f t="shared" si="3"/>
        <v>4007</v>
      </c>
    </row>
    <row r="117" spans="1:8" x14ac:dyDescent="0.25">
      <c r="A117" s="8">
        <v>43077.560694444444</v>
      </c>
      <c r="B117" s="20" t="s">
        <v>518</v>
      </c>
      <c r="C117" s="20" t="s">
        <v>816</v>
      </c>
      <c r="D117" s="131">
        <v>3330000</v>
      </c>
      <c r="E117" s="20" t="s">
        <v>799</v>
      </c>
      <c r="F117" s="20" t="s">
        <v>800</v>
      </c>
      <c r="G117" s="8" t="str">
        <f t="shared" si="2"/>
        <v>GONZALEZ ARMANDO</v>
      </c>
      <c r="H117" s="20" t="str">
        <f t="shared" si="3"/>
        <v>4050</v>
      </c>
    </row>
    <row r="118" spans="1:8" x14ac:dyDescent="0.25">
      <c r="A118" s="8">
        <v>43077.566851851851</v>
      </c>
      <c r="B118" s="20" t="s">
        <v>492</v>
      </c>
      <c r="C118" s="20" t="s">
        <v>817</v>
      </c>
      <c r="D118" s="131">
        <v>3840000</v>
      </c>
      <c r="E118" s="20" t="s">
        <v>479</v>
      </c>
      <c r="F118" s="20" t="s">
        <v>480</v>
      </c>
      <c r="G118" s="8" t="str">
        <f t="shared" si="2"/>
        <v>LONG FULLER</v>
      </c>
      <c r="H118" s="20" t="str">
        <f t="shared" si="3"/>
        <v>4015</v>
      </c>
    </row>
    <row r="119" spans="1:8" x14ac:dyDescent="0.25">
      <c r="A119" s="8">
        <v>43077.568368055552</v>
      </c>
      <c r="B119" s="20" t="s">
        <v>460</v>
      </c>
      <c r="C119" s="20" t="s">
        <v>818</v>
      </c>
      <c r="D119" s="131">
        <v>1760000</v>
      </c>
      <c r="E119" s="20" t="s">
        <v>819</v>
      </c>
      <c r="F119" s="20" t="s">
        <v>820</v>
      </c>
      <c r="G119" s="8" t="str">
        <f t="shared" si="2"/>
        <v>STRICKLAND EVAN</v>
      </c>
      <c r="H119" s="20" t="str">
        <f t="shared" si="3"/>
        <v>4010</v>
      </c>
    </row>
    <row r="120" spans="1:8" x14ac:dyDescent="0.25">
      <c r="A120" s="8">
        <v>43077.569062499999</v>
      </c>
      <c r="B120" s="20" t="s">
        <v>461</v>
      </c>
      <c r="C120" s="20" t="s">
        <v>821</v>
      </c>
      <c r="D120" s="131">
        <v>2630000</v>
      </c>
      <c r="E120" s="20" t="s">
        <v>793</v>
      </c>
      <c r="F120" s="20" t="s">
        <v>794</v>
      </c>
      <c r="G120" s="8" t="str">
        <f t="shared" si="2"/>
        <v>SAFIEF AEIMEN</v>
      </c>
      <c r="H120" s="20" t="str">
        <f t="shared" si="3"/>
        <v>4063</v>
      </c>
    </row>
    <row r="121" spans="1:8" x14ac:dyDescent="0.25">
      <c r="A121" s="8">
        <v>43077.581388888888</v>
      </c>
      <c r="B121" s="20" t="s">
        <v>693</v>
      </c>
      <c r="C121" s="20" t="s">
        <v>694</v>
      </c>
      <c r="D121" s="131">
        <v>1300000</v>
      </c>
      <c r="E121" s="20" t="s">
        <v>481</v>
      </c>
      <c r="F121" s="20" t="s">
        <v>482</v>
      </c>
      <c r="G121" s="8" t="str">
        <f t="shared" si="2"/>
        <v>LEVIN SCOTT</v>
      </c>
      <c r="H121" s="20" t="str">
        <f t="shared" si="3"/>
        <v>4020</v>
      </c>
    </row>
    <row r="122" spans="1:8" x14ac:dyDescent="0.25">
      <c r="A122" s="8">
        <v>43077.582337962966</v>
      </c>
      <c r="B122" s="25" t="s">
        <v>355</v>
      </c>
      <c r="C122" s="20" t="s">
        <v>822</v>
      </c>
      <c r="D122" s="131">
        <v>3500000</v>
      </c>
      <c r="E122" s="20" t="s">
        <v>367</v>
      </c>
      <c r="F122" s="20" t="s">
        <v>368</v>
      </c>
      <c r="G122" s="8" t="str">
        <f t="shared" si="2"/>
        <v>GUNTHIER ERIC</v>
      </c>
      <c r="H122" s="20" t="str">
        <f t="shared" si="3"/>
        <v>4008</v>
      </c>
    </row>
    <row r="123" spans="1:8" x14ac:dyDescent="0.25">
      <c r="A123" s="8">
        <v>43077.588194444441</v>
      </c>
      <c r="B123" s="20" t="s">
        <v>693</v>
      </c>
      <c r="C123" s="20" t="s">
        <v>694</v>
      </c>
      <c r="D123" s="131">
        <v>1300000</v>
      </c>
      <c r="E123" s="20" t="s">
        <v>481</v>
      </c>
      <c r="F123" s="20" t="s">
        <v>482</v>
      </c>
      <c r="G123" s="8" t="str">
        <f t="shared" si="2"/>
        <v>LEVIN SCOTT</v>
      </c>
      <c r="H123" s="20" t="str">
        <f t="shared" si="3"/>
        <v>4020</v>
      </c>
    </row>
    <row r="124" spans="1:8" x14ac:dyDescent="0.25">
      <c r="A124" s="8">
        <v>43077.589166666665</v>
      </c>
      <c r="B124" s="20" t="s">
        <v>596</v>
      </c>
      <c r="C124" s="20" t="s">
        <v>823</v>
      </c>
      <c r="D124" s="131">
        <v>1770000</v>
      </c>
      <c r="E124" s="20" t="s">
        <v>496</v>
      </c>
      <c r="F124" s="20" t="s">
        <v>497</v>
      </c>
      <c r="G124" s="8" t="str">
        <f t="shared" si="2"/>
        <v>BRUDER RICHARD</v>
      </c>
      <c r="H124" s="20" t="str">
        <f t="shared" si="3"/>
        <v>4023</v>
      </c>
    </row>
    <row r="125" spans="1:8" x14ac:dyDescent="0.25">
      <c r="A125" s="8">
        <v>43077.591446759259</v>
      </c>
      <c r="B125" s="20" t="s">
        <v>449</v>
      </c>
      <c r="C125" s="20" t="s">
        <v>824</v>
      </c>
      <c r="D125" s="131">
        <v>2550000</v>
      </c>
      <c r="E125" s="20" t="s">
        <v>601</v>
      </c>
      <c r="F125" s="20" t="s">
        <v>602</v>
      </c>
      <c r="G125" s="8" t="str">
        <f t="shared" si="2"/>
        <v>BADERTSCHER DIANE</v>
      </c>
      <c r="H125" s="20" t="str">
        <f t="shared" si="3"/>
        <v>4032</v>
      </c>
    </row>
    <row r="126" spans="1:8" x14ac:dyDescent="0.25">
      <c r="A126" s="8">
        <v>43077.596770833334</v>
      </c>
      <c r="B126" s="20" t="s">
        <v>525</v>
      </c>
      <c r="C126" s="20" t="s">
        <v>825</v>
      </c>
      <c r="D126" s="131">
        <v>3330000</v>
      </c>
      <c r="E126" s="20" t="s">
        <v>799</v>
      </c>
      <c r="F126" s="20" t="s">
        <v>800</v>
      </c>
      <c r="G126" s="8" t="str">
        <f t="shared" si="2"/>
        <v>GONZALEZ ARMANDO</v>
      </c>
      <c r="H126" s="20" t="str">
        <f t="shared" si="3"/>
        <v>4049</v>
      </c>
    </row>
    <row r="127" spans="1:8" x14ac:dyDescent="0.25">
      <c r="A127" s="8">
        <v>43077.598449074074</v>
      </c>
      <c r="B127" s="20" t="s">
        <v>493</v>
      </c>
      <c r="C127" s="20" t="s">
        <v>695</v>
      </c>
      <c r="D127" s="131">
        <v>3840000</v>
      </c>
      <c r="E127" s="20" t="s">
        <v>479</v>
      </c>
      <c r="F127" s="20" t="s">
        <v>480</v>
      </c>
      <c r="G127" s="8" t="str">
        <f t="shared" si="2"/>
        <v>LONG FULLER</v>
      </c>
      <c r="H127" s="20" t="str">
        <f t="shared" si="3"/>
        <v>4016</v>
      </c>
    </row>
    <row r="128" spans="1:8" x14ac:dyDescent="0.25">
      <c r="A128" s="8">
        <v>43077.60015046296</v>
      </c>
      <c r="B128" s="20" t="s">
        <v>459</v>
      </c>
      <c r="C128" s="20" t="s">
        <v>826</v>
      </c>
      <c r="D128" s="131">
        <v>1760000</v>
      </c>
      <c r="E128" s="20" t="s">
        <v>819</v>
      </c>
      <c r="F128" s="20" t="s">
        <v>820</v>
      </c>
      <c r="G128" s="8" t="str">
        <f t="shared" si="2"/>
        <v>STRICKLAND EVAN</v>
      </c>
      <c r="H128" s="20" t="str">
        <f t="shared" si="3"/>
        <v>4009</v>
      </c>
    </row>
    <row r="129" spans="1:8" x14ac:dyDescent="0.25">
      <c r="A129" s="8">
        <v>43077.601342592592</v>
      </c>
      <c r="B129" s="20" t="s">
        <v>357</v>
      </c>
      <c r="C129" s="20" t="s">
        <v>827</v>
      </c>
      <c r="D129" s="131">
        <v>3500000</v>
      </c>
      <c r="E129" s="20" t="s">
        <v>367</v>
      </c>
      <c r="F129" s="20" t="s">
        <v>368</v>
      </c>
      <c r="G129" s="8" t="str">
        <f t="shared" si="2"/>
        <v>GUNTHIER ERIC</v>
      </c>
      <c r="H129" s="20" t="str">
        <f t="shared" si="3"/>
        <v>4007</v>
      </c>
    </row>
    <row r="130" spans="1:8" x14ac:dyDescent="0.25">
      <c r="A130" s="8">
        <v>43077.61278935185</v>
      </c>
      <c r="B130" s="20" t="s">
        <v>478</v>
      </c>
      <c r="C130" s="20" t="s">
        <v>828</v>
      </c>
      <c r="D130" s="131">
        <v>2630000</v>
      </c>
      <c r="E130" s="20" t="s">
        <v>793</v>
      </c>
      <c r="F130" s="20" t="s">
        <v>794</v>
      </c>
      <c r="G130" s="8" t="str">
        <f t="shared" si="2"/>
        <v>SAFIEF AEIMEN</v>
      </c>
      <c r="H130" s="20" t="str">
        <f t="shared" si="3"/>
        <v>4064</v>
      </c>
    </row>
    <row r="131" spans="1:8" x14ac:dyDescent="0.25">
      <c r="A131" s="8">
        <v>43077.614525462966</v>
      </c>
      <c r="B131" s="20" t="s">
        <v>723</v>
      </c>
      <c r="C131" s="20" t="s">
        <v>829</v>
      </c>
      <c r="D131" s="131">
        <v>1300000</v>
      </c>
      <c r="E131" s="20" t="s">
        <v>481</v>
      </c>
      <c r="F131" s="20" t="s">
        <v>482</v>
      </c>
      <c r="G131" s="8" t="str">
        <f t="shared" ref="G131:G194" si="4">E131&amp;" "&amp;F131</f>
        <v>LEVIN SCOTT</v>
      </c>
      <c r="H131" s="20" t="str">
        <f t="shared" ref="H131:H194" si="5">MID(B131,13,4)</f>
        <v>4019</v>
      </c>
    </row>
    <row r="132" spans="1:8" x14ac:dyDescent="0.25">
      <c r="A132" s="8">
        <v>43077.622835648152</v>
      </c>
      <c r="B132" s="20" t="s">
        <v>595</v>
      </c>
      <c r="C132" s="20" t="s">
        <v>830</v>
      </c>
      <c r="D132" s="131">
        <v>1770000</v>
      </c>
      <c r="E132" s="20" t="s">
        <v>496</v>
      </c>
      <c r="F132" s="20" t="s">
        <v>497</v>
      </c>
      <c r="G132" s="8" t="str">
        <f t="shared" si="4"/>
        <v>BRUDER RICHARD</v>
      </c>
      <c r="H132" s="20" t="str">
        <f t="shared" si="5"/>
        <v>4024</v>
      </c>
    </row>
    <row r="133" spans="1:8" x14ac:dyDescent="0.25">
      <c r="A133" s="8">
        <v>43077.627453703702</v>
      </c>
      <c r="B133" s="20" t="s">
        <v>355</v>
      </c>
      <c r="C133" s="20" t="s">
        <v>696</v>
      </c>
      <c r="D133" s="131">
        <v>3500000</v>
      </c>
      <c r="E133" s="20" t="s">
        <v>367</v>
      </c>
      <c r="F133" s="20" t="s">
        <v>368</v>
      </c>
      <c r="G133" s="8" t="str">
        <f t="shared" si="4"/>
        <v>GUNTHIER ERIC</v>
      </c>
      <c r="H133" s="20" t="str">
        <f t="shared" si="5"/>
        <v>4008</v>
      </c>
    </row>
    <row r="134" spans="1:8" x14ac:dyDescent="0.25">
      <c r="A134" s="8">
        <v>43077.627824074072</v>
      </c>
      <c r="B134" s="20" t="s">
        <v>448</v>
      </c>
      <c r="C134" s="20" t="s">
        <v>831</v>
      </c>
      <c r="D134" s="131">
        <v>2550000</v>
      </c>
      <c r="E134" s="20" t="s">
        <v>601</v>
      </c>
      <c r="F134" s="20" t="s">
        <v>602</v>
      </c>
      <c r="G134" s="8" t="str">
        <f t="shared" si="4"/>
        <v>BADERTSCHER DIANE</v>
      </c>
      <c r="H134" s="20" t="str">
        <f t="shared" si="5"/>
        <v>4031</v>
      </c>
    </row>
    <row r="135" spans="1:8" x14ac:dyDescent="0.25">
      <c r="A135" s="8">
        <v>43077.630578703705</v>
      </c>
      <c r="B135" s="20" t="s">
        <v>518</v>
      </c>
      <c r="C135" s="20" t="s">
        <v>832</v>
      </c>
      <c r="D135" s="131">
        <v>1360000</v>
      </c>
      <c r="E135" s="20" t="s">
        <v>605</v>
      </c>
      <c r="F135" s="20" t="s">
        <v>606</v>
      </c>
      <c r="G135" s="8" t="str">
        <f t="shared" si="4"/>
        <v>SANTIZO D. EDY</v>
      </c>
      <c r="H135" s="20" t="str">
        <f t="shared" si="5"/>
        <v>4050</v>
      </c>
    </row>
    <row r="136" spans="1:8" x14ac:dyDescent="0.25">
      <c r="A136" s="8">
        <v>43077.63553240741</v>
      </c>
      <c r="B136" s="20" t="s">
        <v>727</v>
      </c>
      <c r="C136" s="20" t="s">
        <v>833</v>
      </c>
      <c r="D136" s="131">
        <v>3810000</v>
      </c>
      <c r="E136" s="20" t="s">
        <v>422</v>
      </c>
      <c r="F136" s="20" t="s">
        <v>423</v>
      </c>
      <c r="G136" s="8" t="str">
        <f t="shared" si="4"/>
        <v>LORI SANTOS</v>
      </c>
      <c r="H136" s="20" t="str">
        <f t="shared" si="5"/>
        <v>4003</v>
      </c>
    </row>
    <row r="137" spans="1:8" x14ac:dyDescent="0.25">
      <c r="A137" s="8">
        <v>43077.642592592594</v>
      </c>
      <c r="B137" s="20" t="s">
        <v>460</v>
      </c>
      <c r="C137" s="20" t="s">
        <v>834</v>
      </c>
      <c r="D137" s="131">
        <v>3000000</v>
      </c>
      <c r="E137" s="20" t="s">
        <v>494</v>
      </c>
      <c r="F137" s="20" t="s">
        <v>495</v>
      </c>
      <c r="G137" s="8" t="str">
        <f t="shared" si="4"/>
        <v>FORTUNATO FRANK</v>
      </c>
      <c r="H137" s="20" t="str">
        <f t="shared" si="5"/>
        <v>4010</v>
      </c>
    </row>
    <row r="138" spans="1:8" x14ac:dyDescent="0.25">
      <c r="A138" s="8">
        <v>43077.642638888887</v>
      </c>
      <c r="B138" s="20" t="s">
        <v>492</v>
      </c>
      <c r="C138" s="20" t="s">
        <v>835</v>
      </c>
      <c r="D138" s="131">
        <v>3840000</v>
      </c>
      <c r="E138" s="20" t="s">
        <v>479</v>
      </c>
      <c r="F138" s="20" t="s">
        <v>480</v>
      </c>
      <c r="G138" s="8" t="str">
        <f t="shared" si="4"/>
        <v>LONG FULLER</v>
      </c>
      <c r="H138" s="20" t="str">
        <f t="shared" si="5"/>
        <v>4015</v>
      </c>
    </row>
    <row r="139" spans="1:8" x14ac:dyDescent="0.25">
      <c r="A139" s="8">
        <v>43077.64267361111</v>
      </c>
      <c r="B139" s="20" t="s">
        <v>461</v>
      </c>
      <c r="C139" s="20" t="s">
        <v>697</v>
      </c>
      <c r="D139" s="131">
        <v>2630000</v>
      </c>
      <c r="E139" s="20" t="s">
        <v>793</v>
      </c>
      <c r="F139" s="20" t="s">
        <v>794</v>
      </c>
      <c r="G139" s="8" t="str">
        <f t="shared" si="4"/>
        <v>SAFIEF AEIMEN</v>
      </c>
      <c r="H139" s="20" t="str">
        <f t="shared" si="5"/>
        <v>4063</v>
      </c>
    </row>
    <row r="140" spans="1:8" x14ac:dyDescent="0.25">
      <c r="A140" s="8">
        <v>43077.643645833334</v>
      </c>
      <c r="B140" s="20" t="s">
        <v>357</v>
      </c>
      <c r="C140" s="20" t="s">
        <v>836</v>
      </c>
      <c r="D140" s="131">
        <v>3500000</v>
      </c>
      <c r="E140" s="20" t="s">
        <v>367</v>
      </c>
      <c r="F140" s="20" t="s">
        <v>368</v>
      </c>
      <c r="G140" s="8" t="str">
        <f t="shared" si="4"/>
        <v>GUNTHIER ERIC</v>
      </c>
      <c r="H140" s="20" t="str">
        <f t="shared" si="5"/>
        <v>4007</v>
      </c>
    </row>
    <row r="141" spans="1:8" x14ac:dyDescent="0.25">
      <c r="A141" s="8">
        <v>43077.646921296298</v>
      </c>
      <c r="B141" s="20" t="s">
        <v>683</v>
      </c>
      <c r="C141" s="20" t="s">
        <v>837</v>
      </c>
      <c r="D141" s="131">
        <v>3810000</v>
      </c>
      <c r="E141" s="20" t="s">
        <v>422</v>
      </c>
      <c r="F141" s="20" t="s">
        <v>423</v>
      </c>
      <c r="G141" s="8" t="str">
        <f t="shared" si="4"/>
        <v>LORI SANTOS</v>
      </c>
      <c r="H141" s="20" t="str">
        <f t="shared" si="5"/>
        <v>4004</v>
      </c>
    </row>
    <row r="142" spans="1:8" x14ac:dyDescent="0.25">
      <c r="A142" s="8">
        <v>43077.654756944445</v>
      </c>
      <c r="B142" s="20" t="s">
        <v>693</v>
      </c>
      <c r="C142" s="20" t="s">
        <v>838</v>
      </c>
      <c r="D142" s="131">
        <v>3670000</v>
      </c>
      <c r="E142" s="20" t="s">
        <v>371</v>
      </c>
      <c r="F142" s="20" t="s">
        <v>364</v>
      </c>
      <c r="G142" s="8" t="str">
        <f t="shared" si="4"/>
        <v>ANDREA WILLIAMS</v>
      </c>
      <c r="H142" s="20" t="str">
        <f t="shared" si="5"/>
        <v>4020</v>
      </c>
    </row>
    <row r="143" spans="1:8" x14ac:dyDescent="0.25">
      <c r="A143" s="8">
        <v>43077.661631944444</v>
      </c>
      <c r="B143" s="20" t="s">
        <v>596</v>
      </c>
      <c r="C143" s="20" t="s">
        <v>839</v>
      </c>
      <c r="D143" s="131">
        <v>1770000</v>
      </c>
      <c r="E143" s="20" t="s">
        <v>496</v>
      </c>
      <c r="F143" s="20" t="s">
        <v>497</v>
      </c>
      <c r="G143" s="8" t="str">
        <f t="shared" si="4"/>
        <v>BRUDER RICHARD</v>
      </c>
      <c r="H143" s="20" t="str">
        <f t="shared" si="5"/>
        <v>4023</v>
      </c>
    </row>
    <row r="144" spans="1:8" x14ac:dyDescent="0.25">
      <c r="A144" s="8">
        <v>43077.662592592591</v>
      </c>
      <c r="B144" s="20" t="s">
        <v>525</v>
      </c>
      <c r="C144" s="20" t="s">
        <v>840</v>
      </c>
      <c r="D144" s="131">
        <v>1360000</v>
      </c>
      <c r="E144" s="20" t="s">
        <v>605</v>
      </c>
      <c r="F144" s="20" t="s">
        <v>606</v>
      </c>
      <c r="G144" s="8" t="str">
        <f t="shared" si="4"/>
        <v>SANTIZO D. EDY</v>
      </c>
      <c r="H144" s="20" t="str">
        <f t="shared" si="5"/>
        <v>4049</v>
      </c>
    </row>
    <row r="145" spans="1:8" x14ac:dyDescent="0.25">
      <c r="A145" s="8">
        <v>43077.662847222222</v>
      </c>
      <c r="B145" s="20" t="s">
        <v>449</v>
      </c>
      <c r="C145" s="20" t="s">
        <v>841</v>
      </c>
      <c r="D145" s="131">
        <v>2550000</v>
      </c>
      <c r="E145" s="20" t="s">
        <v>601</v>
      </c>
      <c r="F145" s="20" t="s">
        <v>602</v>
      </c>
      <c r="G145" s="8" t="str">
        <f t="shared" si="4"/>
        <v>BADERTSCHER DIANE</v>
      </c>
      <c r="H145" s="20" t="str">
        <f t="shared" si="5"/>
        <v>4032</v>
      </c>
    </row>
    <row r="146" spans="1:8" x14ac:dyDescent="0.25">
      <c r="A146" s="8">
        <v>43077.666284722225</v>
      </c>
      <c r="B146" s="20" t="s">
        <v>355</v>
      </c>
      <c r="C146" s="20" t="s">
        <v>842</v>
      </c>
      <c r="D146" s="131">
        <v>3500000</v>
      </c>
      <c r="E146" s="20" t="s">
        <v>367</v>
      </c>
      <c r="F146" s="20" t="s">
        <v>368</v>
      </c>
      <c r="G146" s="8" t="str">
        <f t="shared" si="4"/>
        <v>GUNTHIER ERIC</v>
      </c>
      <c r="H146" s="20" t="str">
        <f t="shared" si="5"/>
        <v>4008</v>
      </c>
    </row>
    <row r="147" spans="1:8" x14ac:dyDescent="0.25">
      <c r="A147" s="8">
        <v>43077.666689814818</v>
      </c>
      <c r="B147" s="20" t="s">
        <v>727</v>
      </c>
      <c r="C147" s="20" t="s">
        <v>843</v>
      </c>
      <c r="D147" s="131">
        <v>3810000</v>
      </c>
      <c r="E147" s="20" t="s">
        <v>422</v>
      </c>
      <c r="F147" s="20" t="s">
        <v>423</v>
      </c>
      <c r="G147" s="8" t="str">
        <f t="shared" si="4"/>
        <v>LORI SANTOS</v>
      </c>
      <c r="H147" s="20" t="str">
        <f t="shared" si="5"/>
        <v>4003</v>
      </c>
    </row>
    <row r="148" spans="1:8" x14ac:dyDescent="0.25">
      <c r="A148" s="8">
        <v>43077.672974537039</v>
      </c>
      <c r="B148" s="20" t="s">
        <v>459</v>
      </c>
      <c r="C148" s="20" t="s">
        <v>844</v>
      </c>
      <c r="D148" s="131">
        <v>3000000</v>
      </c>
      <c r="E148" s="20" t="s">
        <v>494</v>
      </c>
      <c r="F148" s="20" t="s">
        <v>495</v>
      </c>
      <c r="G148" s="8" t="str">
        <f t="shared" si="4"/>
        <v>FORTUNATO FRANK</v>
      </c>
      <c r="H148" s="20" t="str">
        <f t="shared" si="5"/>
        <v>4009</v>
      </c>
    </row>
    <row r="149" spans="1:8" x14ac:dyDescent="0.25">
      <c r="A149" s="8">
        <v>43077.673900462964</v>
      </c>
      <c r="B149" s="20" t="s">
        <v>493</v>
      </c>
      <c r="C149" s="20" t="s">
        <v>845</v>
      </c>
      <c r="D149" s="131">
        <v>2420000</v>
      </c>
      <c r="E149" s="20" t="s">
        <v>846</v>
      </c>
      <c r="F149" s="20" t="s">
        <v>847</v>
      </c>
      <c r="G149" s="8" t="str">
        <f t="shared" si="4"/>
        <v>HOLCOMB KAMDEN</v>
      </c>
      <c r="H149" s="20" t="str">
        <f t="shared" si="5"/>
        <v>4016</v>
      </c>
    </row>
    <row r="150" spans="1:8" x14ac:dyDescent="0.25">
      <c r="A150" s="8">
        <v>43077.681574074071</v>
      </c>
      <c r="B150" s="20" t="s">
        <v>848</v>
      </c>
      <c r="C150" s="20" t="s">
        <v>849</v>
      </c>
      <c r="D150" s="131">
        <v>1760000</v>
      </c>
      <c r="E150" s="20" t="s">
        <v>819</v>
      </c>
      <c r="F150" s="20" t="s">
        <v>820</v>
      </c>
      <c r="G150" s="8" t="str">
        <f t="shared" si="4"/>
        <v>STRICKLAND EVAN</v>
      </c>
      <c r="H150" s="20" t="str">
        <f t="shared" si="5"/>
        <v>4042</v>
      </c>
    </row>
    <row r="151" spans="1:8" x14ac:dyDescent="0.25">
      <c r="A151" s="8">
        <v>43077.685636574075</v>
      </c>
      <c r="B151" s="20" t="s">
        <v>478</v>
      </c>
      <c r="C151" s="20" t="s">
        <v>850</v>
      </c>
      <c r="D151" s="131">
        <v>2630000</v>
      </c>
      <c r="E151" s="20" t="s">
        <v>793</v>
      </c>
      <c r="F151" s="20" t="s">
        <v>794</v>
      </c>
      <c r="G151" s="8" t="str">
        <f t="shared" si="4"/>
        <v>SAFIEF AEIMEN</v>
      </c>
      <c r="H151" s="20" t="str">
        <f t="shared" si="5"/>
        <v>4064</v>
      </c>
    </row>
    <row r="152" spans="1:8" x14ac:dyDescent="0.25">
      <c r="A152" s="8">
        <v>43077.685937499999</v>
      </c>
      <c r="B152" s="20" t="s">
        <v>723</v>
      </c>
      <c r="C152" s="20" t="s">
        <v>851</v>
      </c>
      <c r="D152" s="131">
        <v>3670000</v>
      </c>
      <c r="E152" s="20" t="s">
        <v>371</v>
      </c>
      <c r="F152" s="20" t="s">
        <v>364</v>
      </c>
      <c r="G152" s="8" t="str">
        <f t="shared" si="4"/>
        <v>ANDREA WILLIAMS</v>
      </c>
      <c r="H152" s="20" t="str">
        <f t="shared" si="5"/>
        <v>4019</v>
      </c>
    </row>
    <row r="153" spans="1:8" x14ac:dyDescent="0.25">
      <c r="A153" s="8">
        <v>43077.685972222222</v>
      </c>
      <c r="B153" s="20" t="s">
        <v>357</v>
      </c>
      <c r="C153" s="20" t="s">
        <v>852</v>
      </c>
      <c r="D153" s="131">
        <v>3500000</v>
      </c>
      <c r="E153" s="20" t="s">
        <v>367</v>
      </c>
      <c r="F153" s="20" t="s">
        <v>368</v>
      </c>
      <c r="G153" s="8" t="str">
        <f t="shared" si="4"/>
        <v>GUNTHIER ERIC</v>
      </c>
      <c r="H153" s="20" t="str">
        <f t="shared" si="5"/>
        <v>4007</v>
      </c>
    </row>
    <row r="154" spans="1:8" x14ac:dyDescent="0.25">
      <c r="A154" s="8">
        <v>43077.690081018518</v>
      </c>
      <c r="B154" s="20" t="s">
        <v>683</v>
      </c>
      <c r="C154" s="20" t="s">
        <v>698</v>
      </c>
      <c r="D154" s="131">
        <v>3810000</v>
      </c>
      <c r="E154" s="20" t="s">
        <v>422</v>
      </c>
      <c r="F154" s="20" t="s">
        <v>423</v>
      </c>
      <c r="G154" s="8" t="str">
        <f t="shared" si="4"/>
        <v>LORI SANTOS</v>
      </c>
      <c r="H154" s="20" t="str">
        <f t="shared" si="5"/>
        <v>4004</v>
      </c>
    </row>
    <row r="155" spans="1:8" x14ac:dyDescent="0.25">
      <c r="A155" s="8">
        <v>43077.695219907408</v>
      </c>
      <c r="B155" s="20" t="s">
        <v>595</v>
      </c>
      <c r="C155" s="20" t="s">
        <v>853</v>
      </c>
      <c r="D155" s="131">
        <v>1770000</v>
      </c>
      <c r="E155" s="20" t="s">
        <v>496</v>
      </c>
      <c r="F155" s="20" t="s">
        <v>497</v>
      </c>
      <c r="G155" s="8" t="str">
        <f t="shared" si="4"/>
        <v>BRUDER RICHARD</v>
      </c>
      <c r="H155" s="20" t="str">
        <f t="shared" si="5"/>
        <v>4024</v>
      </c>
    </row>
    <row r="156" spans="1:8" x14ac:dyDescent="0.25">
      <c r="A156" s="8">
        <v>43077.70239583333</v>
      </c>
      <c r="B156" s="20" t="s">
        <v>448</v>
      </c>
      <c r="C156" s="20" t="s">
        <v>854</v>
      </c>
      <c r="D156" s="131">
        <v>2550000</v>
      </c>
      <c r="E156" s="20" t="s">
        <v>601</v>
      </c>
      <c r="F156" s="20" t="s">
        <v>602</v>
      </c>
      <c r="G156" s="8" t="str">
        <f t="shared" si="4"/>
        <v>BADERTSCHER DIANE</v>
      </c>
      <c r="H156" s="20" t="str">
        <f t="shared" si="5"/>
        <v>4031</v>
      </c>
    </row>
    <row r="157" spans="1:8" x14ac:dyDescent="0.25">
      <c r="A157" s="8">
        <v>43077.704027777778</v>
      </c>
      <c r="B157" s="20" t="s">
        <v>518</v>
      </c>
      <c r="C157" s="20" t="s">
        <v>855</v>
      </c>
      <c r="D157" s="131">
        <v>3330000</v>
      </c>
      <c r="E157" s="20" t="s">
        <v>799</v>
      </c>
      <c r="F157" s="20" t="s">
        <v>800</v>
      </c>
      <c r="G157" s="8" t="str">
        <f t="shared" si="4"/>
        <v>GONZALEZ ARMANDO</v>
      </c>
      <c r="H157" s="20" t="str">
        <f t="shared" si="5"/>
        <v>4050</v>
      </c>
    </row>
    <row r="158" spans="1:8" x14ac:dyDescent="0.25">
      <c r="A158" s="8">
        <v>43077.706435185188</v>
      </c>
      <c r="B158" s="20" t="s">
        <v>727</v>
      </c>
      <c r="C158" s="20" t="s">
        <v>856</v>
      </c>
      <c r="D158" s="131">
        <v>3810000</v>
      </c>
      <c r="E158" s="20" t="s">
        <v>422</v>
      </c>
      <c r="F158" s="20" t="s">
        <v>423</v>
      </c>
      <c r="G158" s="8" t="str">
        <f t="shared" si="4"/>
        <v>LORI SANTOS</v>
      </c>
      <c r="H158" s="20" t="str">
        <f t="shared" si="5"/>
        <v>4003</v>
      </c>
    </row>
    <row r="159" spans="1:8" x14ac:dyDescent="0.25">
      <c r="A159" s="8">
        <v>43077.707638888889</v>
      </c>
      <c r="B159" s="20" t="s">
        <v>355</v>
      </c>
      <c r="C159" s="20" t="s">
        <v>699</v>
      </c>
      <c r="D159" s="131">
        <v>3500000</v>
      </c>
      <c r="E159" s="20" t="s">
        <v>367</v>
      </c>
      <c r="F159" s="20" t="s">
        <v>368</v>
      </c>
      <c r="G159" s="8" t="str">
        <f t="shared" si="4"/>
        <v>GUNTHIER ERIC</v>
      </c>
      <c r="H159" s="20" t="str">
        <f t="shared" si="5"/>
        <v>4008</v>
      </c>
    </row>
    <row r="160" spans="1:8" x14ac:dyDescent="0.25">
      <c r="A160" s="8">
        <v>43077.714131944442</v>
      </c>
      <c r="B160" s="20" t="s">
        <v>492</v>
      </c>
      <c r="C160" s="20" t="s">
        <v>857</v>
      </c>
      <c r="D160" s="131">
        <v>2420000</v>
      </c>
      <c r="E160" s="20" t="s">
        <v>846</v>
      </c>
      <c r="F160" s="20" t="s">
        <v>847</v>
      </c>
      <c r="G160" s="8" t="str">
        <f t="shared" si="4"/>
        <v>HOLCOMB KAMDEN</v>
      </c>
      <c r="H160" s="20" t="str">
        <f t="shared" si="5"/>
        <v>4015</v>
      </c>
    </row>
    <row r="161" spans="1:8" x14ac:dyDescent="0.25">
      <c r="A161" s="8">
        <v>43077.714513888888</v>
      </c>
      <c r="B161" s="20" t="s">
        <v>460</v>
      </c>
      <c r="C161" s="20" t="s">
        <v>858</v>
      </c>
      <c r="D161" s="131">
        <v>3000000</v>
      </c>
      <c r="E161" s="20" t="s">
        <v>494</v>
      </c>
      <c r="F161" s="20" t="s">
        <v>495</v>
      </c>
      <c r="G161" s="8" t="str">
        <f t="shared" si="4"/>
        <v>FORTUNATO FRANK</v>
      </c>
      <c r="H161" s="20" t="str">
        <f t="shared" si="5"/>
        <v>4010</v>
      </c>
    </row>
    <row r="162" spans="1:8" x14ac:dyDescent="0.25">
      <c r="A162" s="8">
        <v>43077.715416666666</v>
      </c>
      <c r="B162" s="20" t="s">
        <v>461</v>
      </c>
      <c r="C162" s="20" t="s">
        <v>859</v>
      </c>
      <c r="D162" s="131">
        <v>2630000</v>
      </c>
      <c r="E162" s="20" t="s">
        <v>793</v>
      </c>
      <c r="F162" s="20" t="s">
        <v>794</v>
      </c>
      <c r="G162" s="8" t="str">
        <f t="shared" si="4"/>
        <v>SAFIEF AEIMEN</v>
      </c>
      <c r="H162" s="20" t="str">
        <f t="shared" si="5"/>
        <v>4063</v>
      </c>
    </row>
    <row r="163" spans="1:8" x14ac:dyDescent="0.25">
      <c r="A163" s="8">
        <v>43077.722037037034</v>
      </c>
      <c r="B163" s="20" t="s">
        <v>860</v>
      </c>
      <c r="C163" s="20" t="s">
        <v>861</v>
      </c>
      <c r="D163" s="131">
        <v>2140000</v>
      </c>
      <c r="E163" s="20" t="s">
        <v>603</v>
      </c>
      <c r="F163" s="20" t="s">
        <v>604</v>
      </c>
      <c r="G163" s="8" t="str">
        <f t="shared" si="4"/>
        <v>ROBINSON KADDIBA</v>
      </c>
      <c r="H163" s="20" t="str">
        <f t="shared" si="5"/>
        <v>4034</v>
      </c>
    </row>
    <row r="164" spans="1:8" x14ac:dyDescent="0.25">
      <c r="A164" s="8">
        <v>43077.727592592593</v>
      </c>
      <c r="B164" s="20" t="s">
        <v>357</v>
      </c>
      <c r="C164" s="20" t="s">
        <v>862</v>
      </c>
      <c r="D164" s="131">
        <v>3500000</v>
      </c>
      <c r="E164" s="20" t="s">
        <v>367</v>
      </c>
      <c r="F164" s="20" t="s">
        <v>368</v>
      </c>
      <c r="G164" s="8" t="str">
        <f t="shared" si="4"/>
        <v>GUNTHIER ERIC</v>
      </c>
      <c r="H164" s="20" t="str">
        <f t="shared" si="5"/>
        <v>4007</v>
      </c>
    </row>
    <row r="165" spans="1:8" x14ac:dyDescent="0.25">
      <c r="A165" s="8">
        <v>43077.727719907409</v>
      </c>
      <c r="B165" s="20" t="s">
        <v>693</v>
      </c>
      <c r="C165" s="20" t="s">
        <v>701</v>
      </c>
      <c r="D165" s="131">
        <v>3670000</v>
      </c>
      <c r="E165" s="20" t="s">
        <v>371</v>
      </c>
      <c r="F165" s="20" t="s">
        <v>364</v>
      </c>
      <c r="G165" s="8" t="str">
        <f t="shared" si="4"/>
        <v>ANDREA WILLIAMS</v>
      </c>
      <c r="H165" s="20" t="str">
        <f t="shared" si="5"/>
        <v>4020</v>
      </c>
    </row>
    <row r="166" spans="1:8" x14ac:dyDescent="0.25">
      <c r="A166" s="8">
        <v>43077.728668981479</v>
      </c>
      <c r="B166" s="20" t="s">
        <v>683</v>
      </c>
      <c r="C166" s="20" t="s">
        <v>700</v>
      </c>
      <c r="D166" s="131">
        <v>3810000</v>
      </c>
      <c r="E166" s="20" t="s">
        <v>422</v>
      </c>
      <c r="F166" s="20" t="s">
        <v>423</v>
      </c>
      <c r="G166" s="8" t="str">
        <f t="shared" si="4"/>
        <v>LORI SANTOS</v>
      </c>
      <c r="H166" s="20" t="str">
        <f t="shared" si="5"/>
        <v>4004</v>
      </c>
    </row>
    <row r="167" spans="1:8" x14ac:dyDescent="0.25">
      <c r="A167" s="8">
        <v>43077.734699074077</v>
      </c>
      <c r="B167" s="20" t="s">
        <v>596</v>
      </c>
      <c r="C167" s="20" t="s">
        <v>863</v>
      </c>
      <c r="D167" s="131">
        <v>1770000</v>
      </c>
      <c r="E167" s="20" t="s">
        <v>496</v>
      </c>
      <c r="F167" s="20" t="s">
        <v>497</v>
      </c>
      <c r="G167" s="8" t="str">
        <f t="shared" si="4"/>
        <v>BRUDER RICHARD</v>
      </c>
      <c r="H167" s="20" t="str">
        <f t="shared" si="5"/>
        <v>4023</v>
      </c>
    </row>
    <row r="168" spans="1:8" x14ac:dyDescent="0.25">
      <c r="A168" s="8">
        <v>43077.736712962964</v>
      </c>
      <c r="B168" s="20" t="s">
        <v>449</v>
      </c>
      <c r="C168" s="20" t="s">
        <v>864</v>
      </c>
      <c r="D168" s="131">
        <v>2600000</v>
      </c>
      <c r="E168" s="20" t="s">
        <v>477</v>
      </c>
      <c r="F168" s="20" t="s">
        <v>410</v>
      </c>
      <c r="G168" s="8" t="str">
        <f t="shared" si="4"/>
        <v>DAVIDSON DAVID</v>
      </c>
      <c r="H168" s="20" t="str">
        <f t="shared" si="5"/>
        <v>4032</v>
      </c>
    </row>
    <row r="169" spans="1:8" x14ac:dyDescent="0.25">
      <c r="A169" s="8">
        <v>43077.742037037038</v>
      </c>
      <c r="B169" s="20" t="s">
        <v>525</v>
      </c>
      <c r="C169" s="20" t="s">
        <v>865</v>
      </c>
      <c r="D169" s="131">
        <v>3330000</v>
      </c>
      <c r="E169" s="20" t="s">
        <v>799</v>
      </c>
      <c r="F169" s="20" t="s">
        <v>800</v>
      </c>
      <c r="G169" s="8" t="str">
        <f t="shared" si="4"/>
        <v>GONZALEZ ARMANDO</v>
      </c>
      <c r="H169" s="20" t="str">
        <f t="shared" si="5"/>
        <v>4049</v>
      </c>
    </row>
    <row r="170" spans="1:8" x14ac:dyDescent="0.25">
      <c r="A170" s="8">
        <v>43077.746377314812</v>
      </c>
      <c r="B170" s="20" t="s">
        <v>493</v>
      </c>
      <c r="C170" s="20" t="s">
        <v>866</v>
      </c>
      <c r="D170" s="131">
        <v>2420000</v>
      </c>
      <c r="E170" s="20" t="s">
        <v>846</v>
      </c>
      <c r="F170" s="20" t="s">
        <v>847</v>
      </c>
      <c r="G170" s="8" t="str">
        <f t="shared" si="4"/>
        <v>HOLCOMB KAMDEN</v>
      </c>
      <c r="H170" s="20" t="str">
        <f t="shared" si="5"/>
        <v>4016</v>
      </c>
    </row>
    <row r="171" spans="1:8" x14ac:dyDescent="0.25">
      <c r="A171" s="8">
        <v>43077.746712962966</v>
      </c>
      <c r="B171" s="20" t="s">
        <v>459</v>
      </c>
      <c r="C171" s="20" t="s">
        <v>867</v>
      </c>
      <c r="D171" s="131">
        <v>3000000</v>
      </c>
      <c r="E171" s="20" t="s">
        <v>494</v>
      </c>
      <c r="F171" s="20" t="s">
        <v>495</v>
      </c>
      <c r="G171" s="8" t="str">
        <f t="shared" si="4"/>
        <v>FORTUNATO FRANK</v>
      </c>
      <c r="H171" s="20" t="str">
        <f t="shared" si="5"/>
        <v>4009</v>
      </c>
    </row>
    <row r="172" spans="1:8" x14ac:dyDescent="0.25">
      <c r="A172" s="8">
        <v>43077.749050925922</v>
      </c>
      <c r="B172" s="20" t="s">
        <v>727</v>
      </c>
      <c r="C172" s="20" t="s">
        <v>868</v>
      </c>
      <c r="D172" s="131">
        <v>3810000</v>
      </c>
      <c r="E172" s="20" t="s">
        <v>422</v>
      </c>
      <c r="F172" s="20" t="s">
        <v>423</v>
      </c>
      <c r="G172" s="8" t="str">
        <f t="shared" si="4"/>
        <v>LORI SANTOS</v>
      </c>
      <c r="H172" s="20" t="str">
        <f t="shared" si="5"/>
        <v>4003</v>
      </c>
    </row>
    <row r="173" spans="1:8" x14ac:dyDescent="0.25">
      <c r="A173" s="8">
        <v>43077.749224537038</v>
      </c>
      <c r="B173" s="20" t="s">
        <v>355</v>
      </c>
      <c r="C173" s="20" t="s">
        <v>869</v>
      </c>
      <c r="D173" s="131">
        <v>3500000</v>
      </c>
      <c r="E173" s="20" t="s">
        <v>367</v>
      </c>
      <c r="F173" s="20" t="s">
        <v>368</v>
      </c>
      <c r="G173" s="8" t="str">
        <f t="shared" si="4"/>
        <v>GUNTHIER ERIC</v>
      </c>
      <c r="H173" s="20" t="str">
        <f t="shared" si="5"/>
        <v>4008</v>
      </c>
    </row>
    <row r="174" spans="1:8" x14ac:dyDescent="0.25">
      <c r="A174" s="8">
        <v>43077.753460648149</v>
      </c>
      <c r="B174" s="20" t="s">
        <v>419</v>
      </c>
      <c r="C174" s="20" t="s">
        <v>870</v>
      </c>
      <c r="D174" s="131">
        <v>2540000</v>
      </c>
      <c r="E174" s="20" t="s">
        <v>532</v>
      </c>
      <c r="F174" s="20" t="s">
        <v>533</v>
      </c>
      <c r="G174" s="8" t="str">
        <f t="shared" si="4"/>
        <v>MCREYNOLDS KYLE</v>
      </c>
      <c r="H174" s="20" t="str">
        <f t="shared" si="5"/>
        <v>4043</v>
      </c>
    </row>
    <row r="175" spans="1:8" x14ac:dyDescent="0.25">
      <c r="A175" s="8">
        <v>43077.756736111114</v>
      </c>
      <c r="B175" s="20" t="s">
        <v>478</v>
      </c>
      <c r="C175" s="20" t="s">
        <v>871</v>
      </c>
      <c r="D175" s="131">
        <v>3320000</v>
      </c>
      <c r="E175" s="20" t="s">
        <v>359</v>
      </c>
      <c r="F175" s="20" t="s">
        <v>360</v>
      </c>
      <c r="G175" s="8" t="str">
        <f t="shared" si="4"/>
        <v>NICHOLSON WESLEY</v>
      </c>
      <c r="H175" s="20" t="str">
        <f t="shared" si="5"/>
        <v>4064</v>
      </c>
    </row>
    <row r="176" spans="1:8" x14ac:dyDescent="0.25">
      <c r="A176" s="8">
        <v>43077.76353009259</v>
      </c>
      <c r="B176" s="20" t="s">
        <v>723</v>
      </c>
      <c r="C176" s="20" t="s">
        <v>872</v>
      </c>
      <c r="D176" s="131">
        <v>3670000</v>
      </c>
      <c r="E176" s="20" t="s">
        <v>371</v>
      </c>
      <c r="F176" s="20" t="s">
        <v>364</v>
      </c>
      <c r="G176" s="8" t="str">
        <f t="shared" si="4"/>
        <v>ANDREA WILLIAMS</v>
      </c>
      <c r="H176" s="20" t="str">
        <f t="shared" si="5"/>
        <v>4019</v>
      </c>
    </row>
    <row r="177" spans="1:8" x14ac:dyDescent="0.25">
      <c r="A177" s="8">
        <v>43077.765601851854</v>
      </c>
      <c r="B177" s="20" t="s">
        <v>595</v>
      </c>
      <c r="C177" s="20" t="s">
        <v>873</v>
      </c>
      <c r="D177" s="131">
        <v>3340000</v>
      </c>
      <c r="E177" s="20" t="s">
        <v>408</v>
      </c>
      <c r="F177" s="20" t="s">
        <v>409</v>
      </c>
      <c r="G177" s="8" t="str">
        <f t="shared" si="4"/>
        <v>ELBAUM MIKE</v>
      </c>
      <c r="H177" s="20" t="str">
        <f t="shared" si="5"/>
        <v>4024</v>
      </c>
    </row>
    <row r="178" spans="1:8" x14ac:dyDescent="0.25">
      <c r="A178" s="8">
        <v>43077.767337962963</v>
      </c>
      <c r="B178" s="20" t="s">
        <v>595</v>
      </c>
      <c r="C178" s="20" t="s">
        <v>873</v>
      </c>
      <c r="D178" s="131">
        <v>3340000</v>
      </c>
      <c r="E178" s="20" t="s">
        <v>408</v>
      </c>
      <c r="F178" s="20" t="s">
        <v>409</v>
      </c>
      <c r="G178" s="8" t="str">
        <f t="shared" si="4"/>
        <v>ELBAUM MIKE</v>
      </c>
      <c r="H178" s="20" t="str">
        <f t="shared" si="5"/>
        <v>4024</v>
      </c>
    </row>
    <row r="179" spans="1:8" x14ac:dyDescent="0.25">
      <c r="A179" s="8">
        <v>43077.768587962964</v>
      </c>
      <c r="B179" s="20" t="s">
        <v>448</v>
      </c>
      <c r="C179" s="20" t="s">
        <v>874</v>
      </c>
      <c r="D179" s="131">
        <v>2600000</v>
      </c>
      <c r="E179" s="20" t="s">
        <v>477</v>
      </c>
      <c r="F179" s="20" t="s">
        <v>410</v>
      </c>
      <c r="G179" s="8" t="str">
        <f t="shared" si="4"/>
        <v>DAVIDSON DAVID</v>
      </c>
      <c r="H179" s="20" t="str">
        <f t="shared" si="5"/>
        <v>4031</v>
      </c>
    </row>
    <row r="180" spans="1:8" x14ac:dyDescent="0.25">
      <c r="A180" s="8">
        <v>43077.769189814811</v>
      </c>
      <c r="B180" s="20" t="s">
        <v>357</v>
      </c>
      <c r="C180" s="20" t="s">
        <v>875</v>
      </c>
      <c r="D180" s="131">
        <v>3500000</v>
      </c>
      <c r="E180" s="20" t="s">
        <v>367</v>
      </c>
      <c r="F180" s="20" t="s">
        <v>368</v>
      </c>
      <c r="G180" s="8" t="str">
        <f t="shared" si="4"/>
        <v>GUNTHIER ERIC</v>
      </c>
      <c r="H180" s="20" t="str">
        <f t="shared" si="5"/>
        <v>4007</v>
      </c>
    </row>
    <row r="181" spans="1:8" x14ac:dyDescent="0.25">
      <c r="A181" s="8">
        <v>43077.77070601852</v>
      </c>
      <c r="B181" s="20" t="s">
        <v>683</v>
      </c>
      <c r="C181" s="20" t="s">
        <v>876</v>
      </c>
      <c r="D181" s="131">
        <v>3810000</v>
      </c>
      <c r="E181" s="20" t="s">
        <v>422</v>
      </c>
      <c r="F181" s="20" t="s">
        <v>423</v>
      </c>
      <c r="G181" s="8" t="str">
        <f t="shared" si="4"/>
        <v>LORI SANTOS</v>
      </c>
      <c r="H181" s="20" t="str">
        <f t="shared" si="5"/>
        <v>4004</v>
      </c>
    </row>
    <row r="182" spans="1:8" x14ac:dyDescent="0.25">
      <c r="A182" s="8">
        <v>43077.777928240743</v>
      </c>
      <c r="B182" s="20" t="s">
        <v>518</v>
      </c>
      <c r="C182" s="20" t="s">
        <v>877</v>
      </c>
      <c r="D182" s="131">
        <v>3330000</v>
      </c>
      <c r="E182" s="20" t="s">
        <v>799</v>
      </c>
      <c r="F182" s="20" t="s">
        <v>800</v>
      </c>
      <c r="G182" s="8" t="str">
        <f t="shared" si="4"/>
        <v>GONZALEZ ARMANDO</v>
      </c>
      <c r="H182" s="20" t="str">
        <f t="shared" si="5"/>
        <v>4050</v>
      </c>
    </row>
    <row r="183" spans="1:8" x14ac:dyDescent="0.25">
      <c r="A183" s="8">
        <v>43077.787210648145</v>
      </c>
      <c r="B183" s="20" t="s">
        <v>492</v>
      </c>
      <c r="C183" s="20" t="s">
        <v>878</v>
      </c>
      <c r="D183" s="131">
        <v>2420000</v>
      </c>
      <c r="E183" s="20" t="s">
        <v>846</v>
      </c>
      <c r="F183" s="20" t="s">
        <v>847</v>
      </c>
      <c r="G183" s="8" t="str">
        <f t="shared" si="4"/>
        <v>HOLCOMB KAMDEN</v>
      </c>
      <c r="H183" s="20" t="str">
        <f t="shared" si="5"/>
        <v>4015</v>
      </c>
    </row>
    <row r="184" spans="1:8" x14ac:dyDescent="0.25">
      <c r="A184" s="8">
        <v>43077.788344907407</v>
      </c>
      <c r="B184" s="20" t="s">
        <v>460</v>
      </c>
      <c r="C184" s="20" t="s">
        <v>879</v>
      </c>
      <c r="D184" s="131">
        <v>3310000</v>
      </c>
      <c r="E184" s="20" t="s">
        <v>442</v>
      </c>
      <c r="F184" s="20" t="s">
        <v>443</v>
      </c>
      <c r="G184" s="8" t="str">
        <f t="shared" si="4"/>
        <v>ANDERS STEVEN</v>
      </c>
      <c r="H184" s="20" t="str">
        <f t="shared" si="5"/>
        <v>4010</v>
      </c>
    </row>
    <row r="185" spans="1:8" x14ac:dyDescent="0.25">
      <c r="A185" s="8">
        <v>43077.79011574074</v>
      </c>
      <c r="B185" s="20" t="s">
        <v>727</v>
      </c>
      <c r="C185" s="20" t="s">
        <v>880</v>
      </c>
      <c r="D185" s="131">
        <v>3810000</v>
      </c>
      <c r="E185" s="20" t="s">
        <v>422</v>
      </c>
      <c r="F185" s="20" t="s">
        <v>423</v>
      </c>
      <c r="G185" s="8" t="str">
        <f t="shared" si="4"/>
        <v>LORI SANTOS</v>
      </c>
      <c r="H185" s="20" t="str">
        <f t="shared" si="5"/>
        <v>4003</v>
      </c>
    </row>
    <row r="186" spans="1:8" x14ac:dyDescent="0.25">
      <c r="A186" s="8">
        <v>43077.791192129633</v>
      </c>
      <c r="B186" s="20" t="s">
        <v>461</v>
      </c>
      <c r="C186" s="20" t="s">
        <v>881</v>
      </c>
      <c r="D186" s="131">
        <v>3320000</v>
      </c>
      <c r="E186" s="20" t="s">
        <v>359</v>
      </c>
      <c r="F186" s="20" t="s">
        <v>360</v>
      </c>
      <c r="G186" s="8" t="str">
        <f t="shared" si="4"/>
        <v>NICHOLSON WESLEY</v>
      </c>
      <c r="H186" s="20" t="str">
        <f t="shared" si="5"/>
        <v>4063</v>
      </c>
    </row>
    <row r="187" spans="1:8" x14ac:dyDescent="0.25">
      <c r="A187" s="8">
        <v>43077.791331018518</v>
      </c>
      <c r="B187" s="20" t="s">
        <v>355</v>
      </c>
      <c r="C187" s="20" t="s">
        <v>882</v>
      </c>
      <c r="D187" s="131">
        <v>3500000</v>
      </c>
      <c r="E187" s="20" t="s">
        <v>367</v>
      </c>
      <c r="F187" s="20" t="s">
        <v>368</v>
      </c>
      <c r="G187" s="8" t="str">
        <f t="shared" si="4"/>
        <v>GUNTHIER ERIC</v>
      </c>
      <c r="H187" s="20" t="str">
        <f t="shared" si="5"/>
        <v>4008</v>
      </c>
    </row>
    <row r="188" spans="1:8" x14ac:dyDescent="0.25">
      <c r="A188" s="8">
        <v>43077.799201388887</v>
      </c>
      <c r="B188" s="20" t="s">
        <v>596</v>
      </c>
      <c r="C188" s="20" t="s">
        <v>883</v>
      </c>
      <c r="D188" s="131">
        <v>3340000</v>
      </c>
      <c r="E188" s="20" t="s">
        <v>408</v>
      </c>
      <c r="F188" s="20" t="s">
        <v>409</v>
      </c>
      <c r="G188" s="8" t="str">
        <f t="shared" si="4"/>
        <v>ELBAUM MIKE</v>
      </c>
      <c r="H188" s="20" t="str">
        <f t="shared" si="5"/>
        <v>4023</v>
      </c>
    </row>
    <row r="189" spans="1:8" x14ac:dyDescent="0.25">
      <c r="A189" s="8">
        <v>43077.800381944442</v>
      </c>
      <c r="B189" s="20" t="s">
        <v>693</v>
      </c>
      <c r="C189" s="20" t="s">
        <v>884</v>
      </c>
      <c r="D189" s="131">
        <v>3670000</v>
      </c>
      <c r="E189" s="20" t="s">
        <v>371</v>
      </c>
      <c r="F189" s="20" t="s">
        <v>364</v>
      </c>
      <c r="G189" s="8" t="str">
        <f t="shared" si="4"/>
        <v>ANDREA WILLIAMS</v>
      </c>
      <c r="H189" s="20" t="str">
        <f t="shared" si="5"/>
        <v>4020</v>
      </c>
    </row>
    <row r="190" spans="1:8" x14ac:dyDescent="0.25">
      <c r="A190" s="8">
        <v>43077.808611111112</v>
      </c>
      <c r="B190" s="20" t="s">
        <v>449</v>
      </c>
      <c r="C190" s="20" t="s">
        <v>885</v>
      </c>
      <c r="D190" s="131">
        <v>2600000</v>
      </c>
      <c r="E190" s="20" t="s">
        <v>477</v>
      </c>
      <c r="F190" s="20" t="s">
        <v>410</v>
      </c>
      <c r="G190" s="8" t="str">
        <f t="shared" si="4"/>
        <v>DAVIDSON DAVID</v>
      </c>
      <c r="H190" s="20" t="str">
        <f t="shared" si="5"/>
        <v>4032</v>
      </c>
    </row>
    <row r="191" spans="1:8" x14ac:dyDescent="0.25">
      <c r="A191" s="8">
        <v>43077.810324074075</v>
      </c>
      <c r="B191" s="20" t="s">
        <v>357</v>
      </c>
      <c r="C191" s="20" t="s">
        <v>886</v>
      </c>
      <c r="D191" s="131">
        <v>3500000</v>
      </c>
      <c r="E191" s="20" t="s">
        <v>367</v>
      </c>
      <c r="F191" s="20" t="s">
        <v>368</v>
      </c>
      <c r="G191" s="8" t="str">
        <f t="shared" si="4"/>
        <v>GUNTHIER ERIC</v>
      </c>
      <c r="H191" s="20" t="str">
        <f t="shared" si="5"/>
        <v>4007</v>
      </c>
    </row>
    <row r="192" spans="1:8" x14ac:dyDescent="0.25">
      <c r="A192" s="8">
        <v>43077.82</v>
      </c>
      <c r="B192" s="20" t="s">
        <v>459</v>
      </c>
      <c r="C192" s="20" t="s">
        <v>887</v>
      </c>
      <c r="D192" s="131">
        <v>3310000</v>
      </c>
      <c r="E192" s="20" t="s">
        <v>442</v>
      </c>
      <c r="F192" s="20" t="s">
        <v>443</v>
      </c>
      <c r="G192" s="8" t="str">
        <f t="shared" si="4"/>
        <v>ANDERS STEVEN</v>
      </c>
      <c r="H192" s="20" t="str">
        <f t="shared" si="5"/>
        <v>4009</v>
      </c>
    </row>
    <row r="193" spans="1:8" x14ac:dyDescent="0.25">
      <c r="A193" s="8">
        <v>43077.820752314816</v>
      </c>
      <c r="B193" s="20" t="s">
        <v>493</v>
      </c>
      <c r="C193" s="20" t="s">
        <v>888</v>
      </c>
      <c r="D193" s="131">
        <v>2420000</v>
      </c>
      <c r="E193" s="20" t="s">
        <v>846</v>
      </c>
      <c r="F193" s="20" t="s">
        <v>847</v>
      </c>
      <c r="G193" s="8" t="str">
        <f t="shared" si="4"/>
        <v>HOLCOMB KAMDEN</v>
      </c>
      <c r="H193" s="20" t="str">
        <f t="shared" si="5"/>
        <v>4016</v>
      </c>
    </row>
    <row r="194" spans="1:8" x14ac:dyDescent="0.25">
      <c r="A194" s="8">
        <v>43077.83079861111</v>
      </c>
      <c r="B194" s="20" t="s">
        <v>478</v>
      </c>
      <c r="C194" s="20" t="s">
        <v>702</v>
      </c>
      <c r="D194" s="131">
        <v>3130000</v>
      </c>
      <c r="E194" s="20" t="s">
        <v>498</v>
      </c>
      <c r="F194" s="20" t="s">
        <v>499</v>
      </c>
      <c r="G194" s="8" t="str">
        <f t="shared" si="4"/>
        <v>ZEWDU DEREJE</v>
      </c>
      <c r="H194" s="20" t="str">
        <f t="shared" si="5"/>
        <v>4064</v>
      </c>
    </row>
    <row r="195" spans="1:8" x14ac:dyDescent="0.25">
      <c r="A195" s="8">
        <v>43077.836921296293</v>
      </c>
      <c r="B195" s="20" t="s">
        <v>355</v>
      </c>
      <c r="C195" s="20" t="s">
        <v>889</v>
      </c>
      <c r="D195" s="131">
        <v>3670000</v>
      </c>
      <c r="E195" s="20" t="s">
        <v>371</v>
      </c>
      <c r="F195" s="20" t="s">
        <v>364</v>
      </c>
      <c r="G195" s="8" t="str">
        <f t="shared" ref="G195:G258" si="6">E195&amp;" "&amp;F195</f>
        <v>ANDREA WILLIAMS</v>
      </c>
      <c r="H195" s="20" t="str">
        <f t="shared" ref="H195:H258" si="7">MID(B195,13,4)</f>
        <v>4008</v>
      </c>
    </row>
    <row r="196" spans="1:8" x14ac:dyDescent="0.25">
      <c r="A196" s="8">
        <v>43077.838854166665</v>
      </c>
      <c r="B196" s="20" t="s">
        <v>595</v>
      </c>
      <c r="C196" s="20" t="s">
        <v>890</v>
      </c>
      <c r="D196" s="131">
        <v>3340000</v>
      </c>
      <c r="E196" s="20" t="s">
        <v>408</v>
      </c>
      <c r="F196" s="20" t="s">
        <v>409</v>
      </c>
      <c r="G196" s="8" t="str">
        <f t="shared" si="6"/>
        <v>ELBAUM MIKE</v>
      </c>
      <c r="H196" s="20" t="str">
        <f t="shared" si="7"/>
        <v>4024</v>
      </c>
    </row>
    <row r="197" spans="1:8" x14ac:dyDescent="0.25">
      <c r="A197" s="8">
        <v>43077.840891203705</v>
      </c>
      <c r="B197" s="20" t="s">
        <v>448</v>
      </c>
      <c r="C197" s="20" t="s">
        <v>891</v>
      </c>
      <c r="D197" s="131">
        <v>2600000</v>
      </c>
      <c r="E197" s="20" t="s">
        <v>477</v>
      </c>
      <c r="F197" s="20" t="s">
        <v>410</v>
      </c>
      <c r="G197" s="8" t="str">
        <f t="shared" si="6"/>
        <v>DAVIDSON DAVID</v>
      </c>
      <c r="H197" s="20" t="str">
        <f t="shared" si="7"/>
        <v>4031</v>
      </c>
    </row>
    <row r="198" spans="1:8" x14ac:dyDescent="0.25">
      <c r="A198" s="8">
        <v>43077.849282407406</v>
      </c>
      <c r="B198" s="20" t="s">
        <v>595</v>
      </c>
      <c r="C198" s="20" t="s">
        <v>890</v>
      </c>
      <c r="D198" s="131">
        <v>2040000</v>
      </c>
      <c r="E198" s="20" t="s">
        <v>381</v>
      </c>
      <c r="F198" s="20" t="s">
        <v>382</v>
      </c>
      <c r="G198" s="8" t="str">
        <f t="shared" si="6"/>
        <v>MOSES BRADLEY</v>
      </c>
      <c r="H198" s="20" t="str">
        <f t="shared" si="7"/>
        <v>4024</v>
      </c>
    </row>
    <row r="199" spans="1:8" x14ac:dyDescent="0.25">
      <c r="A199" s="8">
        <v>43077.855613425927</v>
      </c>
      <c r="B199" s="20" t="s">
        <v>357</v>
      </c>
      <c r="C199" s="20" t="s">
        <v>892</v>
      </c>
      <c r="D199" s="131">
        <v>3670000</v>
      </c>
      <c r="E199" s="20" t="s">
        <v>371</v>
      </c>
      <c r="F199" s="20" t="s">
        <v>364</v>
      </c>
      <c r="G199" s="8" t="str">
        <f t="shared" si="6"/>
        <v>ANDREA WILLIAMS</v>
      </c>
      <c r="H199" s="20" t="str">
        <f t="shared" si="7"/>
        <v>4007</v>
      </c>
    </row>
    <row r="200" spans="1:8" x14ac:dyDescent="0.25">
      <c r="A200" s="8">
        <v>43077.860798611109</v>
      </c>
      <c r="B200" s="20" t="s">
        <v>460</v>
      </c>
      <c r="C200" s="20" t="s">
        <v>893</v>
      </c>
      <c r="D200" s="131">
        <v>3310000</v>
      </c>
      <c r="E200" s="20" t="s">
        <v>442</v>
      </c>
      <c r="F200" s="20" t="s">
        <v>443</v>
      </c>
      <c r="G200" s="8" t="str">
        <f t="shared" si="6"/>
        <v>ANDERS STEVEN</v>
      </c>
      <c r="H200" s="20" t="str">
        <f t="shared" si="7"/>
        <v>4010</v>
      </c>
    </row>
    <row r="201" spans="1:8" x14ac:dyDescent="0.25">
      <c r="A201" s="8">
        <v>43077.867893518516</v>
      </c>
      <c r="B201" s="20" t="s">
        <v>461</v>
      </c>
      <c r="C201" s="20" t="s">
        <v>894</v>
      </c>
      <c r="D201" s="131">
        <v>3130000</v>
      </c>
      <c r="E201" s="20" t="s">
        <v>498</v>
      </c>
      <c r="F201" s="20" t="s">
        <v>499</v>
      </c>
      <c r="G201" s="8" t="str">
        <f t="shared" si="6"/>
        <v>ZEWDU DEREJE</v>
      </c>
      <c r="H201" s="20" t="str">
        <f t="shared" si="7"/>
        <v>4063</v>
      </c>
    </row>
    <row r="202" spans="1:8" x14ac:dyDescent="0.25">
      <c r="A202" s="26">
        <v>43077.876319444447</v>
      </c>
      <c r="B202" s="20" t="s">
        <v>355</v>
      </c>
      <c r="C202" s="20" t="s">
        <v>895</v>
      </c>
      <c r="D202" s="131">
        <v>3810000</v>
      </c>
      <c r="E202" s="20" t="s">
        <v>422</v>
      </c>
      <c r="F202" s="20" t="s">
        <v>423</v>
      </c>
      <c r="G202" s="8" t="str">
        <f t="shared" si="6"/>
        <v>LORI SANTOS</v>
      </c>
      <c r="H202" s="20" t="str">
        <f t="shared" si="7"/>
        <v>4008</v>
      </c>
    </row>
    <row r="203" spans="1:8" x14ac:dyDescent="0.25">
      <c r="A203" s="8">
        <v>43077.881724537037</v>
      </c>
      <c r="B203" s="20" t="s">
        <v>449</v>
      </c>
      <c r="C203" s="20" t="s">
        <v>896</v>
      </c>
      <c r="D203" s="131">
        <v>2600000</v>
      </c>
      <c r="E203" s="20" t="s">
        <v>477</v>
      </c>
      <c r="F203" s="20" t="s">
        <v>410</v>
      </c>
      <c r="G203" s="8" t="str">
        <f t="shared" si="6"/>
        <v>DAVIDSON DAVID</v>
      </c>
      <c r="H203" s="20" t="str">
        <f t="shared" si="7"/>
        <v>4032</v>
      </c>
    </row>
    <row r="204" spans="1:8" x14ac:dyDescent="0.25">
      <c r="A204" s="8">
        <v>43077.892592592594</v>
      </c>
      <c r="B204" s="20" t="s">
        <v>596</v>
      </c>
      <c r="C204" s="20" t="s">
        <v>897</v>
      </c>
      <c r="D204" s="131">
        <v>2040000</v>
      </c>
      <c r="E204" s="20" t="s">
        <v>381</v>
      </c>
      <c r="F204" s="20" t="s">
        <v>382</v>
      </c>
      <c r="G204" s="8" t="str">
        <f t="shared" si="6"/>
        <v>MOSES BRADLEY</v>
      </c>
      <c r="H204" s="20" t="str">
        <f t="shared" si="7"/>
        <v>4023</v>
      </c>
    </row>
    <row r="205" spans="1:8" x14ac:dyDescent="0.25">
      <c r="A205" s="8">
        <v>43077.893761574072</v>
      </c>
      <c r="B205" s="20" t="s">
        <v>357</v>
      </c>
      <c r="C205" s="20" t="s">
        <v>898</v>
      </c>
      <c r="D205" s="131">
        <v>3810000</v>
      </c>
      <c r="E205" s="20" t="s">
        <v>422</v>
      </c>
      <c r="F205" s="20" t="s">
        <v>423</v>
      </c>
      <c r="G205" s="8" t="str">
        <f t="shared" si="6"/>
        <v>LORI SANTOS</v>
      </c>
      <c r="H205" s="20" t="str">
        <f t="shared" si="7"/>
        <v>4007</v>
      </c>
    </row>
    <row r="206" spans="1:8" x14ac:dyDescent="0.25">
      <c r="A206" s="8">
        <v>43077.908368055556</v>
      </c>
      <c r="B206" s="20" t="s">
        <v>478</v>
      </c>
      <c r="C206" s="20" t="s">
        <v>899</v>
      </c>
      <c r="D206" s="131">
        <v>3320000</v>
      </c>
      <c r="E206" s="20" t="s">
        <v>359</v>
      </c>
      <c r="F206" s="20" t="s">
        <v>360</v>
      </c>
      <c r="G206" s="8" t="str">
        <f t="shared" si="6"/>
        <v>NICHOLSON WESLEY</v>
      </c>
      <c r="H206" s="20" t="str">
        <f t="shared" si="7"/>
        <v>4064</v>
      </c>
    </row>
    <row r="207" spans="1:8" x14ac:dyDescent="0.25">
      <c r="A207" s="8">
        <v>43077.913101851853</v>
      </c>
      <c r="B207" s="20" t="s">
        <v>459</v>
      </c>
      <c r="C207" s="20" t="s">
        <v>900</v>
      </c>
      <c r="D207" s="131">
        <v>3310000</v>
      </c>
      <c r="E207" s="20" t="s">
        <v>442</v>
      </c>
      <c r="F207" s="20" t="s">
        <v>443</v>
      </c>
      <c r="G207" s="8" t="str">
        <f t="shared" si="6"/>
        <v>ANDERS STEVEN</v>
      </c>
      <c r="H207" s="20" t="str">
        <f t="shared" si="7"/>
        <v>4009</v>
      </c>
    </row>
    <row r="208" spans="1:8" x14ac:dyDescent="0.25">
      <c r="A208" s="8">
        <v>43077.916215277779</v>
      </c>
      <c r="B208" s="20" t="s">
        <v>355</v>
      </c>
      <c r="C208" s="20" t="s">
        <v>901</v>
      </c>
      <c r="D208" s="131">
        <v>3810000</v>
      </c>
      <c r="E208" s="20" t="s">
        <v>422</v>
      </c>
      <c r="F208" s="20" t="s">
        <v>423</v>
      </c>
      <c r="G208" s="8" t="str">
        <f t="shared" si="6"/>
        <v>LORI SANTOS</v>
      </c>
      <c r="H208" s="20" t="str">
        <f t="shared" si="7"/>
        <v>4008</v>
      </c>
    </row>
    <row r="209" spans="1:8" x14ac:dyDescent="0.25">
      <c r="A209" s="8">
        <v>43077.922349537039</v>
      </c>
      <c r="B209" s="20" t="s">
        <v>595</v>
      </c>
      <c r="C209" s="20" t="s">
        <v>902</v>
      </c>
      <c r="D209" s="131">
        <v>3340000</v>
      </c>
      <c r="E209" s="20" t="s">
        <v>408</v>
      </c>
      <c r="F209" s="20" t="s">
        <v>409</v>
      </c>
      <c r="G209" s="8" t="str">
        <f t="shared" si="6"/>
        <v>ELBAUM MIKE</v>
      </c>
      <c r="H209" s="20" t="str">
        <f t="shared" si="7"/>
        <v>4024</v>
      </c>
    </row>
    <row r="210" spans="1:8" x14ac:dyDescent="0.25">
      <c r="A210" s="8">
        <v>43077.92459490741</v>
      </c>
      <c r="B210" s="20" t="s">
        <v>448</v>
      </c>
      <c r="C210" s="20" t="s">
        <v>903</v>
      </c>
      <c r="D210" s="131">
        <v>2600000</v>
      </c>
      <c r="E210" s="20" t="s">
        <v>477</v>
      </c>
      <c r="F210" s="20" t="s">
        <v>410</v>
      </c>
      <c r="G210" s="8" t="str">
        <f t="shared" si="6"/>
        <v>DAVIDSON DAVID</v>
      </c>
      <c r="H210" s="20" t="str">
        <f t="shared" si="7"/>
        <v>4031</v>
      </c>
    </row>
    <row r="211" spans="1:8" x14ac:dyDescent="0.25">
      <c r="A211" s="8">
        <v>43077.93540509259</v>
      </c>
      <c r="B211" s="20" t="s">
        <v>357</v>
      </c>
      <c r="C211" s="20" t="s">
        <v>904</v>
      </c>
      <c r="D211" s="131">
        <v>3810000</v>
      </c>
      <c r="E211" s="20" t="s">
        <v>422</v>
      </c>
      <c r="F211" s="20" t="s">
        <v>423</v>
      </c>
      <c r="G211" s="8" t="str">
        <f t="shared" si="6"/>
        <v>LORI SANTOS</v>
      </c>
      <c r="H211" s="20" t="str">
        <f t="shared" si="7"/>
        <v>4007</v>
      </c>
    </row>
    <row r="212" spans="1:8" x14ac:dyDescent="0.25">
      <c r="A212" s="8">
        <v>43077.945937500001</v>
      </c>
      <c r="B212" s="20" t="s">
        <v>460</v>
      </c>
      <c r="C212" s="20" t="s">
        <v>905</v>
      </c>
      <c r="D212" s="131">
        <v>3310000</v>
      </c>
      <c r="E212" s="20" t="s">
        <v>442</v>
      </c>
      <c r="F212" s="20" t="s">
        <v>443</v>
      </c>
      <c r="G212" s="8" t="str">
        <f t="shared" si="6"/>
        <v>ANDERS STEVEN</v>
      </c>
      <c r="H212" s="20" t="str">
        <f t="shared" si="7"/>
        <v>4010</v>
      </c>
    </row>
    <row r="213" spans="1:8" x14ac:dyDescent="0.25">
      <c r="A213" s="8">
        <v>43077.954745370371</v>
      </c>
      <c r="B213" s="20" t="s">
        <v>461</v>
      </c>
      <c r="C213" s="20" t="s">
        <v>906</v>
      </c>
      <c r="D213" s="131">
        <v>3320000</v>
      </c>
      <c r="E213" s="20" t="s">
        <v>359</v>
      </c>
      <c r="F213" s="20" t="s">
        <v>360</v>
      </c>
      <c r="G213" s="8" t="str">
        <f t="shared" si="6"/>
        <v>NICHOLSON WESLEY</v>
      </c>
      <c r="H213" s="20" t="str">
        <f t="shared" si="7"/>
        <v>4063</v>
      </c>
    </row>
    <row r="214" spans="1:8" x14ac:dyDescent="0.25">
      <c r="A214" s="8">
        <v>43077.958553240744</v>
      </c>
      <c r="B214" s="20" t="s">
        <v>355</v>
      </c>
      <c r="C214" s="20" t="s">
        <v>907</v>
      </c>
      <c r="D214" s="131">
        <v>3810000</v>
      </c>
      <c r="E214" s="20" t="s">
        <v>422</v>
      </c>
      <c r="F214" s="20" t="s">
        <v>423</v>
      </c>
      <c r="G214" s="8" t="str">
        <f t="shared" si="6"/>
        <v>LORI SANTOS</v>
      </c>
      <c r="H214" s="20" t="str">
        <f t="shared" si="7"/>
        <v>4008</v>
      </c>
    </row>
    <row r="215" spans="1:8" x14ac:dyDescent="0.25">
      <c r="A215" s="8">
        <v>43077.966134259259</v>
      </c>
      <c r="B215" s="20" t="s">
        <v>449</v>
      </c>
      <c r="C215" s="20" t="s">
        <v>908</v>
      </c>
      <c r="D215" s="131">
        <v>2600000</v>
      </c>
      <c r="E215" s="20" t="s">
        <v>477</v>
      </c>
      <c r="F215" s="20" t="s">
        <v>410</v>
      </c>
      <c r="G215" s="8" t="str">
        <f t="shared" si="6"/>
        <v>DAVIDSON DAVID</v>
      </c>
      <c r="H215" s="20" t="str">
        <f t="shared" si="7"/>
        <v>4032</v>
      </c>
    </row>
    <row r="216" spans="1:8" x14ac:dyDescent="0.25">
      <c r="A216" s="8">
        <v>43077.966793981483</v>
      </c>
      <c r="B216" s="20" t="s">
        <v>596</v>
      </c>
      <c r="C216" s="20" t="s">
        <v>909</v>
      </c>
      <c r="D216" s="131">
        <v>3340000</v>
      </c>
      <c r="E216" s="20" t="s">
        <v>408</v>
      </c>
      <c r="F216" s="20" t="s">
        <v>409</v>
      </c>
      <c r="G216" s="8" t="str">
        <f t="shared" si="6"/>
        <v>ELBAUM MIKE</v>
      </c>
      <c r="H216" s="20" t="str">
        <f t="shared" si="7"/>
        <v>4023</v>
      </c>
    </row>
    <row r="217" spans="1:8" x14ac:dyDescent="0.25">
      <c r="A217" s="8">
        <v>43077.976793981485</v>
      </c>
      <c r="B217" s="20" t="s">
        <v>357</v>
      </c>
      <c r="C217" s="20" t="s">
        <v>910</v>
      </c>
      <c r="D217" s="131">
        <v>3810000</v>
      </c>
      <c r="E217" s="20" t="s">
        <v>422</v>
      </c>
      <c r="F217" s="20" t="s">
        <v>423</v>
      </c>
      <c r="G217" s="8" t="str">
        <f t="shared" si="6"/>
        <v>LORI SANTOS</v>
      </c>
      <c r="H217" s="20" t="str">
        <f t="shared" si="7"/>
        <v>4007</v>
      </c>
    </row>
    <row r="218" spans="1:8" x14ac:dyDescent="0.25">
      <c r="A218" s="8">
        <v>43077.985671296294</v>
      </c>
      <c r="B218" s="20" t="s">
        <v>459</v>
      </c>
      <c r="C218" s="20" t="s">
        <v>911</v>
      </c>
      <c r="D218" s="131">
        <v>3310000</v>
      </c>
      <c r="E218" s="20" t="s">
        <v>442</v>
      </c>
      <c r="F218" s="20" t="s">
        <v>443</v>
      </c>
      <c r="G218" s="8" t="str">
        <f t="shared" si="6"/>
        <v>ANDERS STEVEN</v>
      </c>
      <c r="H218" s="20" t="str">
        <f t="shared" si="7"/>
        <v>4009</v>
      </c>
    </row>
    <row r="219" spans="1:8" x14ac:dyDescent="0.25">
      <c r="A219" s="8">
        <v>43077.991875</v>
      </c>
      <c r="B219" s="20" t="s">
        <v>478</v>
      </c>
      <c r="C219" s="20" t="s">
        <v>912</v>
      </c>
      <c r="D219" s="131">
        <v>3320000</v>
      </c>
      <c r="E219" s="20" t="s">
        <v>359</v>
      </c>
      <c r="F219" s="20" t="s">
        <v>360</v>
      </c>
      <c r="G219" s="8" t="str">
        <f t="shared" si="6"/>
        <v>NICHOLSON WESLEY</v>
      </c>
      <c r="H219" s="20" t="str">
        <f t="shared" si="7"/>
        <v>4064</v>
      </c>
    </row>
    <row r="220" spans="1:8" x14ac:dyDescent="0.25">
      <c r="A220" s="8">
        <v>43078.007430555554</v>
      </c>
      <c r="B220" s="20" t="s">
        <v>448</v>
      </c>
      <c r="C220" s="20" t="s">
        <v>913</v>
      </c>
      <c r="D220" s="131">
        <v>2600000</v>
      </c>
      <c r="E220" s="20" t="s">
        <v>477</v>
      </c>
      <c r="F220" s="20" t="s">
        <v>410</v>
      </c>
      <c r="G220" s="8" t="str">
        <f t="shared" si="6"/>
        <v>DAVIDSON DAVID</v>
      </c>
      <c r="H220" s="20" t="str">
        <f t="shared" si="7"/>
        <v>4031</v>
      </c>
    </row>
    <row r="221" spans="1:8" x14ac:dyDescent="0.25">
      <c r="A221" s="8">
        <v>43078.007627314815</v>
      </c>
      <c r="B221" s="20" t="s">
        <v>595</v>
      </c>
      <c r="C221" s="20" t="s">
        <v>914</v>
      </c>
      <c r="D221" s="131">
        <v>3340000</v>
      </c>
      <c r="E221" s="20" t="s">
        <v>408</v>
      </c>
      <c r="F221" s="20" t="s">
        <v>409</v>
      </c>
      <c r="G221" s="8" t="str">
        <f t="shared" si="6"/>
        <v>ELBAUM MIKE</v>
      </c>
      <c r="H221" s="20" t="str">
        <f t="shared" si="7"/>
        <v>4024</v>
      </c>
    </row>
    <row r="222" spans="1:8" x14ac:dyDescent="0.25">
      <c r="A222" s="8">
        <v>43078.016736111109</v>
      </c>
      <c r="B222" s="20" t="s">
        <v>448</v>
      </c>
      <c r="C222" s="20" t="s">
        <v>913</v>
      </c>
      <c r="D222" s="131">
        <v>2600000</v>
      </c>
      <c r="E222" s="20" t="s">
        <v>477</v>
      </c>
      <c r="F222" s="20" t="s">
        <v>410</v>
      </c>
      <c r="G222" s="8" t="str">
        <f t="shared" si="6"/>
        <v>DAVIDSON DAVID</v>
      </c>
      <c r="H222" s="20" t="str">
        <f t="shared" si="7"/>
        <v>4031</v>
      </c>
    </row>
    <row r="223" spans="1:8" x14ac:dyDescent="0.25">
      <c r="A223" s="8">
        <v>43078.027569444443</v>
      </c>
      <c r="B223" s="20" t="s">
        <v>460</v>
      </c>
      <c r="C223" s="20" t="s">
        <v>915</v>
      </c>
      <c r="D223" s="131">
        <v>3310000</v>
      </c>
      <c r="E223" s="20" t="s">
        <v>442</v>
      </c>
      <c r="F223" s="20" t="s">
        <v>443</v>
      </c>
      <c r="G223" s="8" t="str">
        <f t="shared" si="6"/>
        <v>ANDERS STEVEN</v>
      </c>
      <c r="H223" s="20" t="str">
        <f t="shared" si="7"/>
        <v>4010</v>
      </c>
    </row>
    <row r="224" spans="1:8" x14ac:dyDescent="0.25">
      <c r="A224" s="8">
        <v>43078.035416666666</v>
      </c>
      <c r="B224" t="s">
        <v>461</v>
      </c>
      <c r="C224" t="s">
        <v>916</v>
      </c>
      <c r="D224" s="131">
        <v>3320000</v>
      </c>
      <c r="E224" t="s">
        <v>359</v>
      </c>
      <c r="F224" s="20" t="s">
        <v>360</v>
      </c>
      <c r="G224" s="8" t="str">
        <f t="shared" si="6"/>
        <v>NICHOLSON WESLEY</v>
      </c>
      <c r="H224" s="20" t="str">
        <f t="shared" si="7"/>
        <v>4063</v>
      </c>
    </row>
    <row r="225" spans="1:8" x14ac:dyDescent="0.25">
      <c r="A225" s="8">
        <v>43078.047175925924</v>
      </c>
      <c r="B225" t="s">
        <v>596</v>
      </c>
      <c r="C225" t="s">
        <v>917</v>
      </c>
      <c r="D225" s="131">
        <v>3340000</v>
      </c>
      <c r="E225" t="s">
        <v>408</v>
      </c>
      <c r="F225" s="20" t="s">
        <v>409</v>
      </c>
      <c r="G225" s="8" t="str">
        <f t="shared" si="6"/>
        <v>ELBAUM MIKE</v>
      </c>
      <c r="H225" s="20" t="str">
        <f t="shared" si="7"/>
        <v>4023</v>
      </c>
    </row>
    <row r="226" spans="1:8" x14ac:dyDescent="0.25">
      <c r="A226" s="8">
        <v>43078.048564814817</v>
      </c>
      <c r="B226" t="s">
        <v>596</v>
      </c>
      <c r="C226" t="s">
        <v>917</v>
      </c>
      <c r="D226" s="131">
        <v>3340000</v>
      </c>
      <c r="E226" t="s">
        <v>408</v>
      </c>
      <c r="F226" s="20" t="s">
        <v>409</v>
      </c>
      <c r="G226" s="8" t="str">
        <f t="shared" si="6"/>
        <v>ELBAUM MIKE</v>
      </c>
      <c r="H226" s="20" t="str">
        <f t="shared" si="7"/>
        <v>4023</v>
      </c>
    </row>
    <row r="227" spans="1:8" x14ac:dyDescent="0.25">
      <c r="A227" s="8">
        <v>43078.049016203702</v>
      </c>
      <c r="B227" t="s">
        <v>449</v>
      </c>
      <c r="C227" t="s">
        <v>918</v>
      </c>
      <c r="D227" s="131">
        <v>2600000</v>
      </c>
      <c r="E227" t="s">
        <v>477</v>
      </c>
      <c r="F227" s="20" t="s">
        <v>410</v>
      </c>
      <c r="G227" s="8" t="str">
        <f t="shared" si="6"/>
        <v>DAVIDSON DAVID</v>
      </c>
      <c r="H227" s="20" t="str">
        <f t="shared" si="7"/>
        <v>4032</v>
      </c>
    </row>
    <row r="228" spans="1:8" x14ac:dyDescent="0.25">
      <c r="A228" s="8">
        <v>43078.070416666669</v>
      </c>
      <c r="B228" t="s">
        <v>478</v>
      </c>
      <c r="C228" t="s">
        <v>919</v>
      </c>
      <c r="D228" s="131">
        <v>3320000</v>
      </c>
      <c r="E228" t="s">
        <v>359</v>
      </c>
      <c r="F228" s="20" t="s">
        <v>360</v>
      </c>
      <c r="G228" s="8" t="str">
        <f t="shared" si="6"/>
        <v>NICHOLSON WESLEY</v>
      </c>
      <c r="H228" s="20" t="str">
        <f t="shared" si="7"/>
        <v>4064</v>
      </c>
    </row>
    <row r="229" spans="1:8" x14ac:dyDescent="0.25">
      <c r="A229" s="8">
        <v>43078.080949074072</v>
      </c>
      <c r="B229" t="s">
        <v>459</v>
      </c>
      <c r="C229" t="s">
        <v>920</v>
      </c>
      <c r="D229" s="131">
        <v>3310000</v>
      </c>
      <c r="E229" t="s">
        <v>442</v>
      </c>
      <c r="F229" s="20" t="s">
        <v>443</v>
      </c>
      <c r="G229" s="8" t="str">
        <f t="shared" si="6"/>
        <v>ANDERS STEVEN</v>
      </c>
      <c r="H229" s="20" t="str">
        <f t="shared" si="7"/>
        <v>4009</v>
      </c>
    </row>
    <row r="230" spans="1:8" x14ac:dyDescent="0.25">
      <c r="A230" s="8">
        <v>43078.08699074074</v>
      </c>
      <c r="B230" t="s">
        <v>595</v>
      </c>
      <c r="C230" t="s">
        <v>921</v>
      </c>
      <c r="D230" s="131">
        <v>3340000</v>
      </c>
      <c r="E230" t="s">
        <v>408</v>
      </c>
      <c r="F230" s="20" t="s">
        <v>409</v>
      </c>
      <c r="G230" s="8" t="str">
        <f t="shared" si="6"/>
        <v>ELBAUM MIKE</v>
      </c>
      <c r="H230" s="20" t="str">
        <f t="shared" si="7"/>
        <v>4024</v>
      </c>
    </row>
    <row r="231" spans="1:8" x14ac:dyDescent="0.25">
      <c r="A231" s="8">
        <v>43078.110902777778</v>
      </c>
      <c r="B231" t="s">
        <v>460</v>
      </c>
      <c r="C231" t="s">
        <v>922</v>
      </c>
      <c r="D231" s="131">
        <v>3310000</v>
      </c>
      <c r="E231" t="s">
        <v>442</v>
      </c>
      <c r="F231" s="20" t="s">
        <v>443</v>
      </c>
      <c r="G231" s="8" t="str">
        <f t="shared" si="6"/>
        <v>ANDERS STEVEN</v>
      </c>
      <c r="H231" s="20" t="str">
        <f t="shared" si="7"/>
        <v>4010</v>
      </c>
    </row>
    <row r="232" spans="1:8" x14ac:dyDescent="0.25">
      <c r="A232" s="8">
        <v>43075.83085648148</v>
      </c>
      <c r="B232" t="s">
        <v>449</v>
      </c>
      <c r="C232" t="s">
        <v>534</v>
      </c>
      <c r="D232" s="131">
        <v>3840000</v>
      </c>
      <c r="E232" t="s">
        <v>479</v>
      </c>
      <c r="F232" s="20" t="s">
        <v>480</v>
      </c>
      <c r="G232" s="8" t="str">
        <f t="shared" si="6"/>
        <v>LONG FULLER</v>
      </c>
      <c r="H232" s="20" t="str">
        <f t="shared" si="7"/>
        <v>4032</v>
      </c>
    </row>
    <row r="233" spans="1:8" x14ac:dyDescent="0.25">
      <c r="A233" s="8">
        <v>43075.834108796298</v>
      </c>
      <c r="B233" t="s">
        <v>518</v>
      </c>
      <c r="C233" t="s">
        <v>535</v>
      </c>
      <c r="D233" s="131">
        <v>1180000</v>
      </c>
      <c r="E233" t="s">
        <v>527</v>
      </c>
      <c r="F233" s="20" t="s">
        <v>528</v>
      </c>
      <c r="G233" s="8" t="str">
        <f t="shared" si="6"/>
        <v>LEVERE CRAIG</v>
      </c>
      <c r="H233" s="20" t="str">
        <f t="shared" si="7"/>
        <v>4050</v>
      </c>
    </row>
    <row r="234" spans="1:8" x14ac:dyDescent="0.25">
      <c r="A234" s="8">
        <v>43075.840150462966</v>
      </c>
      <c r="B234" t="s">
        <v>492</v>
      </c>
      <c r="C234" t="s">
        <v>529</v>
      </c>
      <c r="D234" s="131">
        <v>1200000</v>
      </c>
      <c r="E234" t="s">
        <v>530</v>
      </c>
      <c r="F234" s="20" t="s">
        <v>531</v>
      </c>
      <c r="G234" s="8" t="str">
        <f t="shared" si="6"/>
        <v>CUSHING HARRY</v>
      </c>
      <c r="H234" s="20" t="str">
        <f t="shared" si="7"/>
        <v>4015</v>
      </c>
    </row>
    <row r="235" spans="1:8" x14ac:dyDescent="0.25">
      <c r="A235" s="8">
        <v>43075.840509259258</v>
      </c>
      <c r="B235" t="s">
        <v>478</v>
      </c>
      <c r="C235" t="s">
        <v>536</v>
      </c>
      <c r="D235" s="131">
        <v>3310000</v>
      </c>
      <c r="E235" t="s">
        <v>442</v>
      </c>
      <c r="F235" s="20" t="s">
        <v>443</v>
      </c>
      <c r="G235" s="8" t="str">
        <f t="shared" si="6"/>
        <v>ANDERS STEVEN</v>
      </c>
      <c r="H235" s="20" t="str">
        <f t="shared" si="7"/>
        <v>4064</v>
      </c>
    </row>
    <row r="236" spans="1:8" x14ac:dyDescent="0.25">
      <c r="A236" s="8">
        <v>43075.846250000002</v>
      </c>
      <c r="B236" t="s">
        <v>459</v>
      </c>
      <c r="C236" t="s">
        <v>537</v>
      </c>
      <c r="D236" s="131">
        <v>3220000</v>
      </c>
      <c r="E236" t="s">
        <v>369</v>
      </c>
      <c r="F236" s="20" t="s">
        <v>370</v>
      </c>
      <c r="G236" s="8" t="str">
        <f t="shared" si="6"/>
        <v>RESPASS AARON</v>
      </c>
      <c r="H236" s="20" t="str">
        <f t="shared" si="7"/>
        <v>4009</v>
      </c>
    </row>
    <row r="237" spans="1:8" x14ac:dyDescent="0.25">
      <c r="A237" s="8">
        <v>43075.850219907406</v>
      </c>
      <c r="B237" t="s">
        <v>493</v>
      </c>
      <c r="C237" t="s">
        <v>526</v>
      </c>
      <c r="D237" s="131">
        <v>1200000</v>
      </c>
      <c r="E237" t="s">
        <v>530</v>
      </c>
      <c r="F237" s="20" t="s">
        <v>531</v>
      </c>
      <c r="G237" s="8" t="str">
        <f t="shared" si="6"/>
        <v>CUSHING HARRY</v>
      </c>
      <c r="H237" s="20" t="str">
        <f t="shared" si="7"/>
        <v>4016</v>
      </c>
    </row>
    <row r="238" spans="1:8" x14ac:dyDescent="0.25">
      <c r="A238" s="8">
        <v>43075.85260416667</v>
      </c>
      <c r="B238" t="s">
        <v>525</v>
      </c>
      <c r="C238" t="s">
        <v>538</v>
      </c>
      <c r="D238" s="131">
        <v>1180000</v>
      </c>
      <c r="E238" t="s">
        <v>527</v>
      </c>
      <c r="F238" s="20" t="s">
        <v>528</v>
      </c>
      <c r="G238" s="8" t="str">
        <f t="shared" si="6"/>
        <v>LEVERE CRAIG</v>
      </c>
      <c r="H238" s="20" t="str">
        <f t="shared" si="7"/>
        <v>4049</v>
      </c>
    </row>
    <row r="239" spans="1:8" x14ac:dyDescent="0.25">
      <c r="A239" s="8">
        <v>43075.86409722222</v>
      </c>
      <c r="B239" t="s">
        <v>492</v>
      </c>
      <c r="C239" t="s">
        <v>529</v>
      </c>
      <c r="D239" s="131">
        <v>1200000</v>
      </c>
      <c r="E239" t="s">
        <v>530</v>
      </c>
      <c r="F239" s="20" t="s">
        <v>531</v>
      </c>
      <c r="G239" s="8" t="str">
        <f t="shared" si="6"/>
        <v>CUSHING HARRY</v>
      </c>
      <c r="H239" s="20" t="str">
        <f t="shared" si="7"/>
        <v>4015</v>
      </c>
    </row>
    <row r="240" spans="1:8" x14ac:dyDescent="0.25">
      <c r="A240" s="8">
        <v>43075.867800925924</v>
      </c>
      <c r="B240" t="s">
        <v>355</v>
      </c>
      <c r="C240" t="s">
        <v>539</v>
      </c>
      <c r="D240" s="131">
        <v>2040000</v>
      </c>
      <c r="E240" t="s">
        <v>381</v>
      </c>
      <c r="F240" s="20" t="s">
        <v>382</v>
      </c>
      <c r="G240" s="8" t="str">
        <f t="shared" si="6"/>
        <v>MOSES BRADLEY</v>
      </c>
      <c r="H240" s="20" t="str">
        <f t="shared" si="7"/>
        <v>4008</v>
      </c>
    </row>
    <row r="241" spans="1:8" x14ac:dyDescent="0.25">
      <c r="A241" s="8">
        <v>43075.869490740741</v>
      </c>
      <c r="B241" t="s">
        <v>448</v>
      </c>
      <c r="C241" t="s">
        <v>520</v>
      </c>
      <c r="D241" s="131">
        <v>3840000</v>
      </c>
      <c r="E241" t="s">
        <v>479</v>
      </c>
      <c r="F241" s="20" t="s">
        <v>480</v>
      </c>
      <c r="G241" s="8" t="str">
        <f t="shared" si="6"/>
        <v>LONG FULLER</v>
      </c>
      <c r="H241" s="20" t="str">
        <f t="shared" si="7"/>
        <v>4031</v>
      </c>
    </row>
    <row r="242" spans="1:8" x14ac:dyDescent="0.25">
      <c r="A242" s="8">
        <v>43075.875775462962</v>
      </c>
      <c r="B242" t="s">
        <v>518</v>
      </c>
      <c r="C242" t="s">
        <v>519</v>
      </c>
      <c r="D242" s="131">
        <v>2000000</v>
      </c>
      <c r="E242" t="s">
        <v>379</v>
      </c>
      <c r="F242" s="20" t="s">
        <v>380</v>
      </c>
      <c r="G242" s="8" t="str">
        <f t="shared" si="6"/>
        <v>STAMBAUGH JAMES</v>
      </c>
      <c r="H242" s="20" t="str">
        <f t="shared" si="7"/>
        <v>4050</v>
      </c>
    </row>
    <row r="243" spans="1:8" x14ac:dyDescent="0.25">
      <c r="A243" s="8">
        <v>43075.881805555553</v>
      </c>
      <c r="B243" t="s">
        <v>460</v>
      </c>
      <c r="C243" t="s">
        <v>540</v>
      </c>
      <c r="D243" s="131">
        <v>3220000</v>
      </c>
      <c r="E243" t="s">
        <v>369</v>
      </c>
      <c r="F243" s="20" t="s">
        <v>370</v>
      </c>
      <c r="G243" s="8" t="str">
        <f t="shared" si="6"/>
        <v>RESPASS AARON</v>
      </c>
      <c r="H243" s="20" t="str">
        <f t="shared" si="7"/>
        <v>4010</v>
      </c>
    </row>
    <row r="244" spans="1:8" x14ac:dyDescent="0.25">
      <c r="A244" s="8">
        <v>43075.892326388886</v>
      </c>
      <c r="B244" t="s">
        <v>461</v>
      </c>
      <c r="C244" t="s">
        <v>521</v>
      </c>
      <c r="D244" s="131">
        <v>3310000</v>
      </c>
      <c r="E244" t="s">
        <v>442</v>
      </c>
      <c r="F244" s="20" t="s">
        <v>443</v>
      </c>
      <c r="G244" s="8" t="str">
        <f t="shared" si="6"/>
        <v>ANDERS STEVEN</v>
      </c>
      <c r="H244" s="20" t="str">
        <f t="shared" si="7"/>
        <v>4063</v>
      </c>
    </row>
    <row r="245" spans="1:8" x14ac:dyDescent="0.25">
      <c r="A245" s="8">
        <v>43075.892372685186</v>
      </c>
      <c r="B245" t="s">
        <v>493</v>
      </c>
      <c r="C245" t="s">
        <v>526</v>
      </c>
      <c r="D245" s="131">
        <v>1200000</v>
      </c>
      <c r="E245" t="s">
        <v>530</v>
      </c>
      <c r="F245" s="20" t="s">
        <v>531</v>
      </c>
      <c r="G245" s="8" t="str">
        <f t="shared" si="6"/>
        <v>CUSHING HARRY</v>
      </c>
      <c r="H245" s="20" t="str">
        <f t="shared" si="7"/>
        <v>4016</v>
      </c>
    </row>
    <row r="246" spans="1:8" x14ac:dyDescent="0.25">
      <c r="A246" s="8">
        <v>43075.892743055556</v>
      </c>
      <c r="B246" t="s">
        <v>525</v>
      </c>
      <c r="C246" t="s">
        <v>519</v>
      </c>
      <c r="D246" s="131">
        <v>2000000</v>
      </c>
      <c r="E246" t="s">
        <v>379</v>
      </c>
      <c r="F246" s="20" t="s">
        <v>380</v>
      </c>
      <c r="G246" s="8" t="str">
        <f t="shared" si="6"/>
        <v>STAMBAUGH JAMES</v>
      </c>
      <c r="H246" s="20" t="str">
        <f t="shared" si="7"/>
        <v>4049</v>
      </c>
    </row>
    <row r="247" spans="1:8" x14ac:dyDescent="0.25">
      <c r="A247" s="8">
        <v>43075.893865740742</v>
      </c>
      <c r="B247" t="s">
        <v>525</v>
      </c>
      <c r="C247" t="s">
        <v>541</v>
      </c>
      <c r="D247" s="131">
        <v>2000000</v>
      </c>
      <c r="E247" t="s">
        <v>379</v>
      </c>
      <c r="F247" s="20" t="s">
        <v>380</v>
      </c>
      <c r="G247" s="8" t="str">
        <f t="shared" si="6"/>
        <v>STAMBAUGH JAMES</v>
      </c>
      <c r="H247" s="20" t="str">
        <f t="shared" si="7"/>
        <v>4049</v>
      </c>
    </row>
    <row r="248" spans="1:8" x14ac:dyDescent="0.25">
      <c r="A248" s="8">
        <v>43075.912824074076</v>
      </c>
      <c r="B248" t="s">
        <v>357</v>
      </c>
      <c r="C248" t="s">
        <v>542</v>
      </c>
      <c r="D248" s="131">
        <v>2040000</v>
      </c>
      <c r="E248" t="s">
        <v>381</v>
      </c>
      <c r="F248" s="20" t="s">
        <v>382</v>
      </c>
      <c r="G248" s="8" t="str">
        <f t="shared" si="6"/>
        <v>MOSES BRADLEY</v>
      </c>
      <c r="H248" s="20" t="str">
        <f t="shared" si="7"/>
        <v>4007</v>
      </c>
    </row>
    <row r="249" spans="1:8" x14ac:dyDescent="0.25">
      <c r="A249" s="8">
        <v>43075.915231481478</v>
      </c>
      <c r="B249" t="s">
        <v>449</v>
      </c>
      <c r="C249" t="s">
        <v>543</v>
      </c>
      <c r="D249" s="131">
        <v>890000</v>
      </c>
      <c r="E249" t="s">
        <v>343</v>
      </c>
      <c r="F249" s="20" t="s">
        <v>344</v>
      </c>
      <c r="G249" s="8" t="str">
        <f t="shared" si="6"/>
        <v>LOZA FIDEL</v>
      </c>
      <c r="H249" s="20" t="str">
        <f t="shared" si="7"/>
        <v>4032</v>
      </c>
    </row>
    <row r="250" spans="1:8" x14ac:dyDescent="0.25">
      <c r="A250" s="8">
        <v>43075.920555555553</v>
      </c>
      <c r="B250" t="s">
        <v>518</v>
      </c>
      <c r="C250" t="s">
        <v>544</v>
      </c>
      <c r="D250" s="131">
        <v>2000000</v>
      </c>
      <c r="E250" t="s">
        <v>379</v>
      </c>
      <c r="F250" s="20" t="s">
        <v>380</v>
      </c>
      <c r="G250" s="8" t="str">
        <f t="shared" si="6"/>
        <v>STAMBAUGH JAMES</v>
      </c>
      <c r="H250" s="20" t="str">
        <f t="shared" si="7"/>
        <v>4050</v>
      </c>
    </row>
    <row r="251" spans="1:8" x14ac:dyDescent="0.25">
      <c r="A251" s="8">
        <v>43075.923715277779</v>
      </c>
      <c r="B251" t="s">
        <v>478</v>
      </c>
      <c r="C251" t="s">
        <v>545</v>
      </c>
      <c r="D251" s="131">
        <v>3310000</v>
      </c>
      <c r="E251" t="s">
        <v>442</v>
      </c>
      <c r="F251" s="20" t="s">
        <v>443</v>
      </c>
      <c r="G251" s="8" t="str">
        <f t="shared" si="6"/>
        <v>ANDERS STEVEN</v>
      </c>
      <c r="H251" s="20" t="str">
        <f t="shared" si="7"/>
        <v>4064</v>
      </c>
    </row>
    <row r="252" spans="1:8" x14ac:dyDescent="0.25">
      <c r="A252" s="8">
        <v>43075.929502314815</v>
      </c>
      <c r="B252" t="s">
        <v>459</v>
      </c>
      <c r="C252" t="s">
        <v>546</v>
      </c>
      <c r="D252" s="131">
        <v>3220000</v>
      </c>
      <c r="E252" t="s">
        <v>369</v>
      </c>
      <c r="F252" s="20" t="s">
        <v>370</v>
      </c>
      <c r="G252" s="8" t="str">
        <f t="shared" si="6"/>
        <v>RESPASS AARON</v>
      </c>
      <c r="H252" s="20" t="str">
        <f t="shared" si="7"/>
        <v>4009</v>
      </c>
    </row>
    <row r="253" spans="1:8" x14ac:dyDescent="0.25">
      <c r="A253" s="8">
        <v>43075.93340277778</v>
      </c>
      <c r="B253" t="s">
        <v>525</v>
      </c>
      <c r="C253" t="s">
        <v>547</v>
      </c>
      <c r="D253" s="131">
        <v>2000000</v>
      </c>
      <c r="E253" t="s">
        <v>379</v>
      </c>
      <c r="F253" s="20" t="s">
        <v>380</v>
      </c>
      <c r="G253" s="8" t="str">
        <f t="shared" si="6"/>
        <v>STAMBAUGH JAMES</v>
      </c>
      <c r="H253" s="20" t="str">
        <f t="shared" si="7"/>
        <v>4049</v>
      </c>
    </row>
    <row r="254" spans="1:8" x14ac:dyDescent="0.25">
      <c r="A254" s="8">
        <v>43075.952314814815</v>
      </c>
      <c r="B254" t="s">
        <v>448</v>
      </c>
      <c r="C254" t="s">
        <v>548</v>
      </c>
      <c r="D254" s="131">
        <v>3840000</v>
      </c>
      <c r="E254" t="s">
        <v>479</v>
      </c>
      <c r="F254" s="20" t="s">
        <v>480</v>
      </c>
      <c r="G254" s="8" t="str">
        <f t="shared" si="6"/>
        <v>LONG FULLER</v>
      </c>
      <c r="H254" s="20" t="str">
        <f t="shared" si="7"/>
        <v>4031</v>
      </c>
    </row>
    <row r="255" spans="1:8" x14ac:dyDescent="0.25">
      <c r="A255" s="8">
        <v>43075.956990740742</v>
      </c>
      <c r="B255" t="s">
        <v>355</v>
      </c>
      <c r="C255" t="s">
        <v>549</v>
      </c>
      <c r="D255" s="131">
        <v>2040000</v>
      </c>
      <c r="E255" t="s">
        <v>381</v>
      </c>
      <c r="F255" s="20" t="s">
        <v>382</v>
      </c>
      <c r="G255" s="8" t="str">
        <f t="shared" si="6"/>
        <v>MOSES BRADLEY</v>
      </c>
      <c r="H255" s="20" t="str">
        <f t="shared" si="7"/>
        <v>4008</v>
      </c>
    </row>
    <row r="256" spans="1:8" x14ac:dyDescent="0.25">
      <c r="A256" s="8">
        <v>43075.959849537037</v>
      </c>
      <c r="B256" t="s">
        <v>518</v>
      </c>
      <c r="C256" t="s">
        <v>550</v>
      </c>
      <c r="D256" s="131">
        <v>2000000</v>
      </c>
      <c r="E256" t="s">
        <v>379</v>
      </c>
      <c r="F256" s="20" t="s">
        <v>380</v>
      </c>
      <c r="G256" s="8" t="str">
        <f t="shared" si="6"/>
        <v>STAMBAUGH JAMES</v>
      </c>
      <c r="H256" s="20" t="str">
        <f t="shared" si="7"/>
        <v>4050</v>
      </c>
    </row>
    <row r="257" spans="1:8" x14ac:dyDescent="0.25">
      <c r="A257" s="8">
        <v>43075.966597222221</v>
      </c>
      <c r="B257" t="s">
        <v>461</v>
      </c>
      <c r="C257" t="s">
        <v>522</v>
      </c>
      <c r="D257" s="131">
        <v>3310000</v>
      </c>
      <c r="E257" t="s">
        <v>442</v>
      </c>
      <c r="F257" s="20" t="s">
        <v>443</v>
      </c>
      <c r="G257" s="8" t="str">
        <f t="shared" si="6"/>
        <v>ANDERS STEVEN</v>
      </c>
      <c r="H257" s="20" t="str">
        <f t="shared" si="7"/>
        <v>4063</v>
      </c>
    </row>
    <row r="258" spans="1:8" x14ac:dyDescent="0.25">
      <c r="A258" s="8">
        <v>43075.97451388889</v>
      </c>
      <c r="B258" t="s">
        <v>460</v>
      </c>
      <c r="C258" t="s">
        <v>551</v>
      </c>
      <c r="D258" s="131">
        <v>3220000</v>
      </c>
      <c r="E258" t="s">
        <v>369</v>
      </c>
      <c r="F258" s="20" t="s">
        <v>370</v>
      </c>
      <c r="G258" s="8" t="str">
        <f t="shared" si="6"/>
        <v>RESPASS AARON</v>
      </c>
      <c r="H258" s="20" t="str">
        <f t="shared" si="7"/>
        <v>4010</v>
      </c>
    </row>
    <row r="259" spans="1:8" x14ac:dyDescent="0.25">
      <c r="A259" s="8">
        <v>43075.97483796296</v>
      </c>
      <c r="B259" t="s">
        <v>525</v>
      </c>
      <c r="C259" t="s">
        <v>552</v>
      </c>
      <c r="D259" s="131">
        <v>2000000</v>
      </c>
      <c r="E259" t="s">
        <v>379</v>
      </c>
      <c r="F259" s="20" t="s">
        <v>380</v>
      </c>
      <c r="G259" s="8" t="str">
        <f t="shared" ref="G259:G313" si="8">E259&amp;" "&amp;F259</f>
        <v>STAMBAUGH JAMES</v>
      </c>
      <c r="H259" s="20" t="str">
        <f t="shared" ref="H259:H313" si="9">MID(B259,13,4)</f>
        <v>4049</v>
      </c>
    </row>
    <row r="260" spans="1:8" x14ac:dyDescent="0.25">
      <c r="A260" s="8">
        <v>43075.983958333331</v>
      </c>
      <c r="B260" t="s">
        <v>357</v>
      </c>
      <c r="C260" t="s">
        <v>553</v>
      </c>
      <c r="D260" s="131">
        <v>2040000</v>
      </c>
      <c r="E260" t="s">
        <v>381</v>
      </c>
      <c r="F260" s="20" t="s">
        <v>382</v>
      </c>
      <c r="G260" s="8" t="str">
        <f t="shared" si="8"/>
        <v>MOSES BRADLEY</v>
      </c>
      <c r="H260" s="20" t="str">
        <f t="shared" si="9"/>
        <v>4007</v>
      </c>
    </row>
    <row r="261" spans="1:8" x14ac:dyDescent="0.25">
      <c r="A261" s="8">
        <v>43075.98678240741</v>
      </c>
      <c r="B261" t="s">
        <v>449</v>
      </c>
      <c r="C261" t="s">
        <v>554</v>
      </c>
      <c r="D261" s="131">
        <v>890000</v>
      </c>
      <c r="E261" t="s">
        <v>343</v>
      </c>
      <c r="F261" s="20" t="s">
        <v>344</v>
      </c>
      <c r="G261" s="8" t="str">
        <f t="shared" si="8"/>
        <v>LOZA FIDEL</v>
      </c>
      <c r="H261" s="20" t="str">
        <f t="shared" si="9"/>
        <v>4032</v>
      </c>
    </row>
    <row r="262" spans="1:8" x14ac:dyDescent="0.25">
      <c r="A262" s="8">
        <v>43076.008206018516</v>
      </c>
      <c r="B262" t="s">
        <v>478</v>
      </c>
      <c r="C262" t="s">
        <v>555</v>
      </c>
      <c r="D262" s="131">
        <v>3310000</v>
      </c>
      <c r="E262" t="s">
        <v>442</v>
      </c>
      <c r="F262" s="20" t="s">
        <v>443</v>
      </c>
      <c r="G262" s="8" t="str">
        <f t="shared" si="8"/>
        <v>ANDERS STEVEN</v>
      </c>
      <c r="H262" s="20" t="str">
        <f t="shared" si="9"/>
        <v>4064</v>
      </c>
    </row>
    <row r="263" spans="1:8" x14ac:dyDescent="0.25">
      <c r="A263" s="8">
        <v>43076.015740740739</v>
      </c>
      <c r="B263" t="s">
        <v>459</v>
      </c>
      <c r="C263" t="s">
        <v>556</v>
      </c>
      <c r="D263" s="131">
        <v>3220000</v>
      </c>
      <c r="E263" t="s">
        <v>369</v>
      </c>
      <c r="F263" s="20" t="s">
        <v>370</v>
      </c>
      <c r="G263" s="8" t="str">
        <f t="shared" si="8"/>
        <v>RESPASS AARON</v>
      </c>
      <c r="H263" s="20" t="str">
        <f t="shared" si="9"/>
        <v>4009</v>
      </c>
    </row>
    <row r="264" spans="1:8" x14ac:dyDescent="0.25">
      <c r="A264" s="8">
        <v>43076.02616898148</v>
      </c>
      <c r="B264" t="s">
        <v>355</v>
      </c>
      <c r="C264" t="s">
        <v>557</v>
      </c>
      <c r="D264" s="131">
        <v>2040000</v>
      </c>
      <c r="E264" t="s">
        <v>381</v>
      </c>
      <c r="F264" s="20" t="s">
        <v>382</v>
      </c>
      <c r="G264" s="8" t="str">
        <f t="shared" si="8"/>
        <v>MOSES BRADLEY</v>
      </c>
      <c r="H264" s="20" t="str">
        <f t="shared" si="9"/>
        <v>4008</v>
      </c>
    </row>
    <row r="265" spans="1:8" x14ac:dyDescent="0.25">
      <c r="A265" s="8">
        <v>43076.03392361111</v>
      </c>
      <c r="B265" t="s">
        <v>448</v>
      </c>
      <c r="C265" t="s">
        <v>558</v>
      </c>
      <c r="D265" s="131">
        <v>3840000</v>
      </c>
      <c r="E265" t="s">
        <v>479</v>
      </c>
      <c r="F265" s="20" t="s">
        <v>480</v>
      </c>
      <c r="G265" s="8" t="str">
        <f t="shared" si="8"/>
        <v>LONG FULLER</v>
      </c>
      <c r="H265" s="20" t="str">
        <f t="shared" si="9"/>
        <v>4031</v>
      </c>
    </row>
    <row r="266" spans="1:8" x14ac:dyDescent="0.25">
      <c r="A266" s="8">
        <v>43076.04546296296</v>
      </c>
      <c r="B266" t="s">
        <v>460</v>
      </c>
      <c r="C266" t="s">
        <v>559</v>
      </c>
      <c r="D266" s="131">
        <v>3220000</v>
      </c>
      <c r="E266" t="s">
        <v>369</v>
      </c>
      <c r="F266" s="20" t="s">
        <v>370</v>
      </c>
      <c r="G266" s="8" t="str">
        <f t="shared" si="8"/>
        <v>RESPASS AARON</v>
      </c>
      <c r="H266" s="20" t="str">
        <f t="shared" si="9"/>
        <v>4010</v>
      </c>
    </row>
    <row r="267" spans="1:8" x14ac:dyDescent="0.25">
      <c r="A267" s="8">
        <v>43076.051261574074</v>
      </c>
      <c r="B267" t="s">
        <v>461</v>
      </c>
      <c r="C267" t="s">
        <v>560</v>
      </c>
      <c r="D267" s="131">
        <v>3310000</v>
      </c>
      <c r="E267" t="s">
        <v>442</v>
      </c>
      <c r="F267" s="20" t="s">
        <v>443</v>
      </c>
      <c r="G267" s="8" t="str">
        <f t="shared" si="8"/>
        <v>ANDERS STEVEN</v>
      </c>
      <c r="H267" s="20" t="str">
        <f t="shared" si="9"/>
        <v>4063</v>
      </c>
    </row>
    <row r="268" spans="1:8" x14ac:dyDescent="0.25">
      <c r="A268" s="8">
        <v>43076.070243055554</v>
      </c>
      <c r="B268" t="s">
        <v>449</v>
      </c>
      <c r="C268" t="s">
        <v>561</v>
      </c>
      <c r="D268" s="131">
        <v>3840000</v>
      </c>
      <c r="E268" t="s">
        <v>479</v>
      </c>
      <c r="F268" s="20" t="s">
        <v>480</v>
      </c>
      <c r="G268" s="8" t="str">
        <f t="shared" si="8"/>
        <v>LONG FULLER</v>
      </c>
      <c r="H268" s="20" t="str">
        <f t="shared" si="9"/>
        <v>4032</v>
      </c>
    </row>
    <row r="269" spans="1:8" x14ac:dyDescent="0.25">
      <c r="A269" s="8">
        <v>43076.08935185185</v>
      </c>
      <c r="B269" t="s">
        <v>478</v>
      </c>
      <c r="C269" t="s">
        <v>562</v>
      </c>
      <c r="D269" s="131">
        <v>3310000</v>
      </c>
      <c r="E269" t="s">
        <v>442</v>
      </c>
      <c r="F269" s="20" t="s">
        <v>443</v>
      </c>
      <c r="G269" s="8" t="str">
        <f t="shared" si="8"/>
        <v>ANDERS STEVEN</v>
      </c>
      <c r="H269" s="20" t="str">
        <f t="shared" si="9"/>
        <v>4064</v>
      </c>
    </row>
    <row r="270" spans="1:8" x14ac:dyDescent="0.25">
      <c r="A270" s="8">
        <v>43069.090451388889</v>
      </c>
      <c r="B270" t="s">
        <v>450</v>
      </c>
      <c r="C270" t="s">
        <v>451</v>
      </c>
      <c r="D270" s="131">
        <v>3310000</v>
      </c>
      <c r="E270" t="s">
        <v>442</v>
      </c>
      <c r="F270" s="20" t="s">
        <v>443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450</v>
      </c>
      <c r="C271" t="s">
        <v>451</v>
      </c>
      <c r="D271" s="131">
        <v>3310000</v>
      </c>
      <c r="E271" t="s">
        <v>442</v>
      </c>
      <c r="F271" s="20" t="s">
        <v>443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350</v>
      </c>
      <c r="C272" t="s">
        <v>424</v>
      </c>
      <c r="D272" s="131">
        <v>2000000</v>
      </c>
      <c r="E272" t="s">
        <v>379</v>
      </c>
      <c r="F272" s="20" t="s">
        <v>380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356</v>
      </c>
      <c r="C273" t="s">
        <v>425</v>
      </c>
      <c r="D273" s="131">
        <v>3340000</v>
      </c>
      <c r="E273" t="s">
        <v>408</v>
      </c>
      <c r="F273" s="20" t="s">
        <v>409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419</v>
      </c>
      <c r="C274" t="s">
        <v>426</v>
      </c>
      <c r="D274" s="131">
        <v>3500000</v>
      </c>
      <c r="E274" t="s">
        <v>367</v>
      </c>
      <c r="F274" s="20" t="s">
        <v>368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412</v>
      </c>
      <c r="C275" t="s">
        <v>427</v>
      </c>
      <c r="D275" s="131">
        <v>2000000</v>
      </c>
      <c r="E275" t="s">
        <v>379</v>
      </c>
      <c r="F275" s="20" t="s">
        <v>380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373</v>
      </c>
      <c r="C276" t="s">
        <v>428</v>
      </c>
      <c r="D276" s="131">
        <v>890000</v>
      </c>
      <c r="E276" t="s">
        <v>343</v>
      </c>
      <c r="F276" s="20" t="s">
        <v>344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415</v>
      </c>
      <c r="C277" t="s">
        <v>429</v>
      </c>
      <c r="D277" s="131">
        <v>3040000</v>
      </c>
      <c r="E277" t="s">
        <v>364</v>
      </c>
      <c r="F277" s="20" t="s">
        <v>417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350</v>
      </c>
      <c r="C278" t="s">
        <v>430</v>
      </c>
      <c r="D278" s="131">
        <v>2000000</v>
      </c>
      <c r="E278" t="s">
        <v>379</v>
      </c>
      <c r="F278" s="20" t="s">
        <v>380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358</v>
      </c>
      <c r="C279" t="s">
        <v>431</v>
      </c>
      <c r="D279" s="131">
        <v>3340000</v>
      </c>
      <c r="E279" t="s">
        <v>408</v>
      </c>
      <c r="F279" s="20" t="s">
        <v>409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418</v>
      </c>
      <c r="C280" t="s">
        <v>432</v>
      </c>
      <c r="D280" s="131">
        <v>3220000</v>
      </c>
      <c r="E280" t="s">
        <v>369</v>
      </c>
      <c r="F280" s="20" t="s">
        <v>370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421</v>
      </c>
      <c r="C281" t="s">
        <v>433</v>
      </c>
      <c r="D281" s="131">
        <v>890000</v>
      </c>
      <c r="E281" t="s">
        <v>343</v>
      </c>
      <c r="F281" s="20" t="s">
        <v>344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416</v>
      </c>
      <c r="C282" t="s">
        <v>434</v>
      </c>
      <c r="D282" s="131">
        <v>3040000</v>
      </c>
      <c r="E282" t="s">
        <v>364</v>
      </c>
      <c r="F282" s="20" t="s">
        <v>417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356</v>
      </c>
      <c r="C283" t="s">
        <v>435</v>
      </c>
      <c r="D283" s="131">
        <v>3340000</v>
      </c>
      <c r="E283" t="s">
        <v>408</v>
      </c>
      <c r="F283" s="20" t="s">
        <v>409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419</v>
      </c>
      <c r="C284" t="s">
        <v>436</v>
      </c>
      <c r="D284" s="131">
        <v>3220000</v>
      </c>
      <c r="E284" t="s">
        <v>369</v>
      </c>
      <c r="F284" s="20" t="s">
        <v>370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373</v>
      </c>
      <c r="C285" t="s">
        <v>420</v>
      </c>
      <c r="D285" s="131">
        <v>890000</v>
      </c>
      <c r="E285" t="s">
        <v>343</v>
      </c>
      <c r="F285" s="20" t="s">
        <v>344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415</v>
      </c>
      <c r="C286" t="s">
        <v>437</v>
      </c>
      <c r="D286" s="131">
        <v>3040000</v>
      </c>
      <c r="E286" t="s">
        <v>364</v>
      </c>
      <c r="F286" s="20" t="s">
        <v>417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418</v>
      </c>
      <c r="C287" t="s">
        <v>438</v>
      </c>
      <c r="D287" s="131">
        <v>3220000</v>
      </c>
      <c r="E287" t="s">
        <v>369</v>
      </c>
      <c r="F287" s="20" t="s">
        <v>370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416</v>
      </c>
      <c r="C288" t="s">
        <v>439</v>
      </c>
      <c r="D288" s="131">
        <v>3040000</v>
      </c>
      <c r="E288" t="s">
        <v>364</v>
      </c>
      <c r="F288" s="20" t="s">
        <v>417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363</v>
      </c>
      <c r="C289" t="s">
        <v>383</v>
      </c>
      <c r="D289" s="131">
        <v>2040000</v>
      </c>
      <c r="E289" t="s">
        <v>381</v>
      </c>
      <c r="F289" s="20" t="s">
        <v>382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374</v>
      </c>
      <c r="C290" t="s">
        <v>384</v>
      </c>
      <c r="D290" s="131">
        <v>2000000</v>
      </c>
      <c r="E290" t="s">
        <v>379</v>
      </c>
      <c r="F290" s="20" t="s">
        <v>380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365</v>
      </c>
      <c r="C291" t="s">
        <v>385</v>
      </c>
      <c r="D291" s="131">
        <v>3320000</v>
      </c>
      <c r="E291" t="s">
        <v>359</v>
      </c>
      <c r="F291" s="20" t="s">
        <v>360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357</v>
      </c>
      <c r="C292" t="s">
        <v>386</v>
      </c>
      <c r="D292" s="131">
        <v>3500000</v>
      </c>
      <c r="E292" t="s">
        <v>367</v>
      </c>
      <c r="F292" s="20" t="s">
        <v>368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372</v>
      </c>
      <c r="C293" t="s">
        <v>387</v>
      </c>
      <c r="D293" s="131">
        <v>3220000</v>
      </c>
      <c r="E293" t="s">
        <v>369</v>
      </c>
      <c r="F293" s="20" t="s">
        <v>370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375</v>
      </c>
      <c r="C294" t="s">
        <v>376</v>
      </c>
      <c r="D294" s="131">
        <v>3670000</v>
      </c>
      <c r="E294" t="s">
        <v>371</v>
      </c>
      <c r="F294" s="20" t="s">
        <v>364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362</v>
      </c>
      <c r="C295" t="s">
        <v>388</v>
      </c>
      <c r="D295" s="131">
        <v>2040000</v>
      </c>
      <c r="E295" t="s">
        <v>381</v>
      </c>
      <c r="F295" s="20" t="s">
        <v>382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374</v>
      </c>
      <c r="C296" t="s">
        <v>389</v>
      </c>
      <c r="D296" s="131">
        <v>3220000</v>
      </c>
      <c r="E296" t="s">
        <v>369</v>
      </c>
      <c r="F296" s="20" t="s">
        <v>370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390</v>
      </c>
      <c r="D297" s="131">
        <v>3500000</v>
      </c>
      <c r="E297" t="s">
        <v>367</v>
      </c>
      <c r="F297" s="20" t="s">
        <v>368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366</v>
      </c>
      <c r="C298" t="s">
        <v>391</v>
      </c>
      <c r="D298" s="131">
        <v>3320000</v>
      </c>
      <c r="E298" t="s">
        <v>359</v>
      </c>
      <c r="F298" s="20" t="s">
        <v>360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372</v>
      </c>
      <c r="C299" t="s">
        <v>392</v>
      </c>
      <c r="D299" s="131">
        <v>2000000</v>
      </c>
      <c r="E299" t="s">
        <v>379</v>
      </c>
      <c r="F299" s="20" t="s">
        <v>380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378</v>
      </c>
      <c r="C300" t="s">
        <v>393</v>
      </c>
      <c r="D300" s="131">
        <v>3670000</v>
      </c>
      <c r="E300" t="s">
        <v>371</v>
      </c>
      <c r="F300" s="20" t="s">
        <v>364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363</v>
      </c>
      <c r="C301" t="s">
        <v>394</v>
      </c>
      <c r="D301" s="131">
        <v>2040000</v>
      </c>
      <c r="E301" t="s">
        <v>381</v>
      </c>
      <c r="F301" s="20" t="s">
        <v>382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374</v>
      </c>
      <c r="C302" t="s">
        <v>395</v>
      </c>
      <c r="D302" s="131">
        <v>2000000</v>
      </c>
      <c r="E302" t="s">
        <v>379</v>
      </c>
      <c r="F302" s="20" t="s">
        <v>380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357</v>
      </c>
      <c r="C303" t="s">
        <v>377</v>
      </c>
      <c r="D303" s="131">
        <v>3500000</v>
      </c>
      <c r="E303" t="s">
        <v>367</v>
      </c>
      <c r="F303" s="20" t="s">
        <v>368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365</v>
      </c>
      <c r="C304" t="s">
        <v>396</v>
      </c>
      <c r="D304" s="131">
        <v>3320000</v>
      </c>
      <c r="E304" t="s">
        <v>359</v>
      </c>
      <c r="F304" s="20" t="s">
        <v>360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375</v>
      </c>
      <c r="C305" t="s">
        <v>397</v>
      </c>
      <c r="D305" s="131">
        <v>3670000</v>
      </c>
      <c r="E305" t="s">
        <v>371</v>
      </c>
      <c r="F305" s="20" t="s">
        <v>364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362</v>
      </c>
      <c r="C306" t="s">
        <v>398</v>
      </c>
      <c r="D306" s="131">
        <v>2040000</v>
      </c>
      <c r="E306" t="s">
        <v>381</v>
      </c>
      <c r="F306" s="20" t="s">
        <v>382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399</v>
      </c>
      <c r="D307" s="131">
        <v>3500000</v>
      </c>
      <c r="E307" t="s">
        <v>367</v>
      </c>
      <c r="F307" s="20" t="s">
        <v>368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366</v>
      </c>
      <c r="C308" t="s">
        <v>400</v>
      </c>
      <c r="D308" s="131">
        <v>3320000</v>
      </c>
      <c r="E308" t="s">
        <v>359</v>
      </c>
      <c r="F308" s="20" t="s">
        <v>360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378</v>
      </c>
      <c r="C309" t="s">
        <v>401</v>
      </c>
      <c r="D309" s="131">
        <v>3670000</v>
      </c>
      <c r="E309" t="s">
        <v>371</v>
      </c>
      <c r="F309" s="20" t="s">
        <v>364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363</v>
      </c>
      <c r="C310" t="s">
        <v>402</v>
      </c>
      <c r="D310" s="131">
        <v>2040000</v>
      </c>
      <c r="E310" t="s">
        <v>381</v>
      </c>
      <c r="F310" s="20" t="s">
        <v>382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365</v>
      </c>
      <c r="C311" t="s">
        <v>403</v>
      </c>
      <c r="D311" s="131">
        <v>3320000</v>
      </c>
      <c r="E311" t="s">
        <v>359</v>
      </c>
      <c r="F311" s="20" t="s">
        <v>360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362</v>
      </c>
      <c r="C312" t="s">
        <v>404</v>
      </c>
      <c r="D312" s="131">
        <v>2040000</v>
      </c>
      <c r="E312" t="s">
        <v>381</v>
      </c>
      <c r="F312" s="20" t="s">
        <v>382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361</v>
      </c>
      <c r="D313" s="131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40625" defaultRowHeight="15" x14ac:dyDescent="0.25"/>
  <cols>
    <col min="1" max="1" width="22.5703125" style="134" customWidth="1"/>
    <col min="2" max="2" width="8.42578125" style="134" bestFit="1" customWidth="1"/>
    <col min="3" max="3" width="12.5703125" style="134" bestFit="1" customWidth="1"/>
    <col min="4" max="4" width="18.5703125" style="124" bestFit="1" customWidth="1"/>
    <col min="5" max="5" width="9.85546875" style="134" bestFit="1" customWidth="1"/>
    <col min="6" max="6" width="9" style="134" bestFit="1" customWidth="1"/>
    <col min="7" max="7" width="8.85546875" style="134" bestFit="1" customWidth="1"/>
    <col min="8" max="8" width="14" style="134" bestFit="1" customWidth="1"/>
    <col min="9" max="9" width="21.140625" style="134" bestFit="1" customWidth="1"/>
    <col min="10" max="10" width="8.7109375" style="134" bestFit="1" customWidth="1"/>
    <col min="11" max="11" width="11.28515625" style="134" bestFit="1" customWidth="1"/>
    <col min="12" max="12" width="11" style="134" bestFit="1" customWidth="1"/>
    <col min="13" max="13" width="11.28515625" style="134" bestFit="1" customWidth="1"/>
    <col min="14" max="14" width="13.7109375" style="134" bestFit="1" customWidth="1"/>
    <col min="15" max="15" width="14.85546875" style="134" bestFit="1" customWidth="1"/>
    <col min="16" max="16" width="16.7109375" style="134" bestFit="1" customWidth="1"/>
    <col min="17" max="17" width="9.42578125" style="104" bestFit="1" customWidth="1"/>
    <col min="18" max="16384" width="9.140625" style="104"/>
  </cols>
  <sheetData>
    <row r="1" spans="1:20" s="105" customFormat="1" x14ac:dyDescent="0.25">
      <c r="A1" s="183" t="s">
        <v>155</v>
      </c>
      <c r="B1" s="183" t="s">
        <v>158</v>
      </c>
      <c r="C1" s="183" t="s">
        <v>151</v>
      </c>
      <c r="D1" s="129" t="s">
        <v>163</v>
      </c>
      <c r="E1" s="183" t="s">
        <v>152</v>
      </c>
      <c r="F1" s="183" t="s">
        <v>150</v>
      </c>
      <c r="G1" s="183" t="s">
        <v>148</v>
      </c>
      <c r="H1" s="183" t="s">
        <v>161</v>
      </c>
      <c r="I1" s="183" t="s">
        <v>162</v>
      </c>
      <c r="J1" s="183" t="s">
        <v>610</v>
      </c>
      <c r="K1" s="183" t="s">
        <v>156</v>
      </c>
      <c r="L1" s="183" t="s">
        <v>154</v>
      </c>
      <c r="M1" s="183" t="s">
        <v>149</v>
      </c>
      <c r="N1" s="183" t="s">
        <v>159</v>
      </c>
      <c r="O1" s="183" t="s">
        <v>333</v>
      </c>
      <c r="P1" s="183" t="s">
        <v>153</v>
      </c>
      <c r="Q1" s="183" t="s">
        <v>160</v>
      </c>
      <c r="R1" s="183" t="s">
        <v>334</v>
      </c>
      <c r="S1" s="183" t="s">
        <v>157</v>
      </c>
      <c r="T1"/>
    </row>
    <row r="2" spans="1:20" x14ac:dyDescent="0.25">
      <c r="A2" s="181">
        <v>34.520000000000003</v>
      </c>
      <c r="B2" s="181">
        <v>0.97</v>
      </c>
      <c r="C2" s="181">
        <v>19.670000000000002</v>
      </c>
      <c r="D2" s="8">
        <v>43077</v>
      </c>
      <c r="E2" s="181">
        <v>0.54</v>
      </c>
      <c r="F2" s="181" t="s">
        <v>611</v>
      </c>
      <c r="G2" s="181">
        <v>304.14999999999998</v>
      </c>
      <c r="H2" s="181">
        <v>0</v>
      </c>
      <c r="I2" s="181">
        <v>0</v>
      </c>
      <c r="J2" s="181"/>
      <c r="K2" s="181">
        <v>1025.3499999999999</v>
      </c>
      <c r="L2" s="181" t="s">
        <v>612</v>
      </c>
      <c r="M2" s="181">
        <v>34.520000000000003</v>
      </c>
      <c r="N2" s="181">
        <v>1512716400</v>
      </c>
      <c r="O2" s="181">
        <v>0</v>
      </c>
      <c r="P2" s="181">
        <v>4.04</v>
      </c>
      <c r="Q2" s="181">
        <v>234</v>
      </c>
      <c r="R2" s="181">
        <v>3.45</v>
      </c>
      <c r="S2" s="181">
        <v>1.07</v>
      </c>
      <c r="T2"/>
    </row>
    <row r="3" spans="1:20" x14ac:dyDescent="0.25">
      <c r="A3" s="181">
        <v>35.4</v>
      </c>
      <c r="B3" s="181">
        <v>1</v>
      </c>
      <c r="C3" s="181">
        <v>19.29</v>
      </c>
      <c r="D3" s="8">
        <v>43077.041666666664</v>
      </c>
      <c r="E3" s="181">
        <v>0.51</v>
      </c>
      <c r="F3" s="181" t="s">
        <v>611</v>
      </c>
      <c r="G3" s="181">
        <v>304.89999999999998</v>
      </c>
      <c r="H3" s="181">
        <v>0</v>
      </c>
      <c r="I3" s="181">
        <v>0</v>
      </c>
      <c r="J3" s="181"/>
      <c r="K3" s="181">
        <v>1024.6199999999999</v>
      </c>
      <c r="L3" s="181" t="s">
        <v>612</v>
      </c>
      <c r="M3" s="181">
        <v>35.4</v>
      </c>
      <c r="N3" s="181">
        <v>1512720000</v>
      </c>
      <c r="O3" s="181">
        <v>0</v>
      </c>
      <c r="P3" s="181">
        <v>4.04</v>
      </c>
      <c r="Q3" s="181">
        <v>256</v>
      </c>
      <c r="R3" s="181">
        <v>2.93</v>
      </c>
      <c r="S3" s="181">
        <v>0.57999999999999996</v>
      </c>
      <c r="T3"/>
    </row>
    <row r="4" spans="1:20" x14ac:dyDescent="0.25">
      <c r="A4" s="181">
        <v>35.770000000000003</v>
      </c>
      <c r="B4" s="181">
        <v>1</v>
      </c>
      <c r="C4" s="181">
        <v>19.420000000000002</v>
      </c>
      <c r="D4" s="8">
        <v>43077.083333333336</v>
      </c>
      <c r="E4" s="181">
        <v>0.51</v>
      </c>
      <c r="F4" s="181" t="s">
        <v>611</v>
      </c>
      <c r="G4" s="181">
        <v>305.11</v>
      </c>
      <c r="H4" s="181">
        <v>0</v>
      </c>
      <c r="I4" s="181">
        <v>0</v>
      </c>
      <c r="J4" s="181"/>
      <c r="K4" s="181">
        <v>1024.43</v>
      </c>
      <c r="L4" s="181" t="s">
        <v>612</v>
      </c>
      <c r="M4" s="181">
        <v>35.770000000000003</v>
      </c>
      <c r="N4" s="181">
        <v>1512723600</v>
      </c>
      <c r="O4" s="181">
        <v>0</v>
      </c>
      <c r="P4" s="181">
        <v>3.62</v>
      </c>
      <c r="Q4" s="181">
        <v>230</v>
      </c>
      <c r="R4" s="181">
        <v>3.26</v>
      </c>
      <c r="S4" s="181">
        <v>0.97</v>
      </c>
      <c r="T4"/>
    </row>
    <row r="5" spans="1:20" x14ac:dyDescent="0.25">
      <c r="A5" s="181">
        <v>36.479999999999997</v>
      </c>
      <c r="B5" s="181">
        <v>0.94</v>
      </c>
      <c r="C5" s="181">
        <v>19.399999999999999</v>
      </c>
      <c r="D5" s="8">
        <v>43077.125</v>
      </c>
      <c r="E5" s="181">
        <v>0.5</v>
      </c>
      <c r="F5" s="181" t="s">
        <v>611</v>
      </c>
      <c r="G5" s="181">
        <v>304.45999999999998</v>
      </c>
      <c r="H5" s="181">
        <v>0</v>
      </c>
      <c r="I5" s="181">
        <v>0</v>
      </c>
      <c r="J5" s="181"/>
      <c r="K5" s="181">
        <v>1023.87</v>
      </c>
      <c r="L5" s="181" t="s">
        <v>612</v>
      </c>
      <c r="M5" s="181">
        <v>36.479999999999997</v>
      </c>
      <c r="N5" s="181">
        <v>1512727200</v>
      </c>
      <c r="O5" s="181">
        <v>0</v>
      </c>
      <c r="P5" s="181">
        <v>4.04</v>
      </c>
      <c r="Q5" s="181">
        <v>234</v>
      </c>
      <c r="R5" s="181">
        <v>3.56</v>
      </c>
      <c r="S5" s="181">
        <v>1.07</v>
      </c>
      <c r="T5"/>
    </row>
    <row r="6" spans="1:20" x14ac:dyDescent="0.25">
      <c r="A6" s="181">
        <v>37.700000000000003</v>
      </c>
      <c r="B6" s="181">
        <v>0.98</v>
      </c>
      <c r="C6" s="181">
        <v>19.68</v>
      </c>
      <c r="D6" s="8">
        <v>43077.166666666664</v>
      </c>
      <c r="E6" s="181">
        <v>0.48</v>
      </c>
      <c r="F6" s="181" t="s">
        <v>611</v>
      </c>
      <c r="G6" s="181">
        <v>303.37</v>
      </c>
      <c r="H6" s="181">
        <v>0</v>
      </c>
      <c r="I6" s="181">
        <v>0</v>
      </c>
      <c r="J6" s="181"/>
      <c r="K6" s="181">
        <v>1023.72</v>
      </c>
      <c r="L6" s="181" t="s">
        <v>612</v>
      </c>
      <c r="M6" s="181">
        <v>37.700000000000003</v>
      </c>
      <c r="N6" s="181">
        <v>1512730800</v>
      </c>
      <c r="O6" s="181">
        <v>0</v>
      </c>
      <c r="P6" s="181">
        <v>4.04</v>
      </c>
      <c r="Q6" s="181">
        <v>233</v>
      </c>
      <c r="R6" s="181">
        <v>3.82</v>
      </c>
      <c r="S6" s="181">
        <v>1.17</v>
      </c>
      <c r="T6"/>
    </row>
    <row r="7" spans="1:20" x14ac:dyDescent="0.25">
      <c r="A7" s="181">
        <v>37.93</v>
      </c>
      <c r="B7" s="181">
        <v>0.65</v>
      </c>
      <c r="C7" s="181">
        <v>19.25</v>
      </c>
      <c r="D7" s="8">
        <v>43077.208333333336</v>
      </c>
      <c r="E7" s="181">
        <v>0.46</v>
      </c>
      <c r="F7" s="181" t="s">
        <v>563</v>
      </c>
      <c r="G7" s="181">
        <v>300.42</v>
      </c>
      <c r="H7" s="181">
        <v>0</v>
      </c>
      <c r="I7" s="181">
        <v>0</v>
      </c>
      <c r="J7" s="181"/>
      <c r="K7" s="181">
        <v>1023.38</v>
      </c>
      <c r="L7" s="181" t="s">
        <v>565</v>
      </c>
      <c r="M7" s="181">
        <v>37.93</v>
      </c>
      <c r="N7" s="181">
        <v>1512734400</v>
      </c>
      <c r="O7" s="181">
        <v>0</v>
      </c>
      <c r="P7" s="181">
        <v>4.04</v>
      </c>
      <c r="Q7" s="181">
        <v>257</v>
      </c>
      <c r="R7" s="181">
        <v>4.47</v>
      </c>
      <c r="S7" s="181">
        <v>1.1100000000000001</v>
      </c>
      <c r="T7"/>
    </row>
    <row r="8" spans="1:20" x14ac:dyDescent="0.25">
      <c r="A8" s="181">
        <v>39.08</v>
      </c>
      <c r="B8" s="181">
        <v>0.75</v>
      </c>
      <c r="C8" s="181">
        <v>18.510000000000002</v>
      </c>
      <c r="D8" s="8">
        <v>43077.25</v>
      </c>
      <c r="E8" s="181">
        <v>0.43</v>
      </c>
      <c r="F8" s="181" t="s">
        <v>563</v>
      </c>
      <c r="G8" s="181">
        <v>298.77999999999997</v>
      </c>
      <c r="H8" s="181">
        <v>0</v>
      </c>
      <c r="I8" s="181">
        <v>0</v>
      </c>
      <c r="J8" s="181"/>
      <c r="K8" s="181">
        <v>1024.45</v>
      </c>
      <c r="L8" s="181" t="s">
        <v>565</v>
      </c>
      <c r="M8" s="181">
        <v>39.08</v>
      </c>
      <c r="N8" s="181">
        <v>1512738000</v>
      </c>
      <c r="O8" s="181">
        <v>0</v>
      </c>
      <c r="P8" s="181">
        <v>4.57</v>
      </c>
      <c r="Q8" s="181">
        <v>253</v>
      </c>
      <c r="R8" s="181">
        <v>4.8099999999999996</v>
      </c>
      <c r="S8" s="181">
        <v>1.06</v>
      </c>
      <c r="T8"/>
    </row>
    <row r="9" spans="1:20" x14ac:dyDescent="0.25">
      <c r="A9" s="181">
        <v>40.35</v>
      </c>
      <c r="B9" s="181">
        <v>0.67</v>
      </c>
      <c r="C9" s="181">
        <v>16.8</v>
      </c>
      <c r="D9" s="8">
        <v>43077.291666666664</v>
      </c>
      <c r="E9" s="181">
        <v>0.38</v>
      </c>
      <c r="F9" s="181" t="s">
        <v>563</v>
      </c>
      <c r="G9" s="181">
        <v>297.23</v>
      </c>
      <c r="H9" s="181">
        <v>0</v>
      </c>
      <c r="I9" s="181">
        <v>0</v>
      </c>
      <c r="J9" s="181"/>
      <c r="K9" s="181">
        <v>1024.03</v>
      </c>
      <c r="L9" s="181" t="s">
        <v>565</v>
      </c>
      <c r="M9" s="181">
        <v>40.35</v>
      </c>
      <c r="N9" s="181">
        <v>1512741600</v>
      </c>
      <c r="O9" s="181">
        <v>0</v>
      </c>
      <c r="P9" s="181">
        <v>5.59</v>
      </c>
      <c r="Q9" s="181">
        <v>281</v>
      </c>
      <c r="R9" s="181">
        <v>5.14</v>
      </c>
      <c r="S9" s="181">
        <v>1.3</v>
      </c>
      <c r="T9"/>
    </row>
    <row r="10" spans="1:20" x14ac:dyDescent="0.25">
      <c r="A10" s="181">
        <v>40.98</v>
      </c>
      <c r="B10" s="181">
        <v>0.49</v>
      </c>
      <c r="C10" s="181">
        <v>16.47</v>
      </c>
      <c r="D10" s="8">
        <v>43077.333333333336</v>
      </c>
      <c r="E10" s="181">
        <v>0.37</v>
      </c>
      <c r="F10" s="181" t="s">
        <v>566</v>
      </c>
      <c r="G10" s="181">
        <v>295.89999999999998</v>
      </c>
      <c r="H10" s="181">
        <v>0</v>
      </c>
      <c r="I10" s="181">
        <v>0</v>
      </c>
      <c r="J10" s="181"/>
      <c r="K10" s="181">
        <v>1024.58</v>
      </c>
      <c r="L10" s="181" t="s">
        <v>564</v>
      </c>
      <c r="M10" s="181">
        <v>40.98</v>
      </c>
      <c r="N10" s="181">
        <v>1512745200</v>
      </c>
      <c r="O10" s="181">
        <v>0</v>
      </c>
      <c r="P10" s="181">
        <v>5.59</v>
      </c>
      <c r="Q10" s="181">
        <v>267</v>
      </c>
      <c r="R10" s="181">
        <v>5.05</v>
      </c>
      <c r="S10" s="181">
        <v>1.53</v>
      </c>
      <c r="T10"/>
    </row>
    <row r="11" spans="1:20" x14ac:dyDescent="0.25">
      <c r="A11" s="181">
        <v>44.17</v>
      </c>
      <c r="B11" s="181">
        <v>0.74</v>
      </c>
      <c r="C11" s="181">
        <v>15.74</v>
      </c>
      <c r="D11" s="8">
        <v>43077.375</v>
      </c>
      <c r="E11" s="181">
        <v>0.31</v>
      </c>
      <c r="F11" s="181" t="s">
        <v>566</v>
      </c>
      <c r="G11" s="181">
        <v>295.13</v>
      </c>
      <c r="H11" s="181">
        <v>0</v>
      </c>
      <c r="I11" s="181">
        <v>0</v>
      </c>
      <c r="J11" s="181"/>
      <c r="K11" s="181">
        <v>1024.43</v>
      </c>
      <c r="L11" s="181" t="s">
        <v>565</v>
      </c>
      <c r="M11" s="181">
        <v>44.17</v>
      </c>
      <c r="N11" s="181">
        <v>1512748800</v>
      </c>
      <c r="O11" s="181">
        <v>1</v>
      </c>
      <c r="P11" s="181">
        <v>5.45</v>
      </c>
      <c r="Q11" s="181">
        <v>266</v>
      </c>
      <c r="R11" s="181">
        <v>5.76</v>
      </c>
      <c r="S11" s="181">
        <v>1.77</v>
      </c>
      <c r="T11"/>
    </row>
    <row r="12" spans="1:20" x14ac:dyDescent="0.25">
      <c r="A12" s="181">
        <v>47.92</v>
      </c>
      <c r="B12" s="181">
        <v>0.69</v>
      </c>
      <c r="C12" s="181">
        <v>14.82</v>
      </c>
      <c r="D12" s="8">
        <v>43077.416666666664</v>
      </c>
      <c r="E12" s="181">
        <v>0.26</v>
      </c>
      <c r="F12" s="181" t="s">
        <v>566</v>
      </c>
      <c r="G12" s="181">
        <v>294.45999999999998</v>
      </c>
      <c r="H12" s="181">
        <v>2.0000000000000001E-4</v>
      </c>
      <c r="I12" s="181">
        <v>0.02</v>
      </c>
      <c r="J12" s="181" t="s">
        <v>923</v>
      </c>
      <c r="K12" s="181">
        <v>1023.91</v>
      </c>
      <c r="L12" s="181" t="s">
        <v>565</v>
      </c>
      <c r="M12" s="181">
        <v>47.92</v>
      </c>
      <c r="N12" s="181">
        <v>1512752400</v>
      </c>
      <c r="O12" s="181">
        <v>1</v>
      </c>
      <c r="P12" s="181">
        <v>5.59</v>
      </c>
      <c r="Q12" s="181">
        <v>283</v>
      </c>
      <c r="R12" s="181">
        <v>6.54</v>
      </c>
      <c r="S12" s="181">
        <v>1.48</v>
      </c>
      <c r="T12"/>
    </row>
    <row r="13" spans="1:20" x14ac:dyDescent="0.25">
      <c r="A13" s="181">
        <v>51.58</v>
      </c>
      <c r="B13" s="181">
        <v>0.49</v>
      </c>
      <c r="C13" s="181">
        <v>11.01</v>
      </c>
      <c r="D13" s="8">
        <v>43077.458333333336</v>
      </c>
      <c r="E13" s="181">
        <v>0.19</v>
      </c>
      <c r="F13" s="181" t="s">
        <v>566</v>
      </c>
      <c r="G13" s="181">
        <v>290.29000000000002</v>
      </c>
      <c r="H13" s="181">
        <v>1E-4</v>
      </c>
      <c r="I13" s="181">
        <v>0.01</v>
      </c>
      <c r="J13" s="181" t="s">
        <v>923</v>
      </c>
      <c r="K13" s="181">
        <v>1022.53</v>
      </c>
      <c r="L13" s="181" t="s">
        <v>564</v>
      </c>
      <c r="M13" s="181">
        <v>51.58</v>
      </c>
      <c r="N13" s="181">
        <v>1512756000</v>
      </c>
      <c r="O13" s="181">
        <v>2</v>
      </c>
      <c r="P13" s="181">
        <v>5.59</v>
      </c>
      <c r="Q13" s="181">
        <v>336</v>
      </c>
      <c r="R13" s="181">
        <v>9.09</v>
      </c>
      <c r="S13" s="181">
        <v>2.87</v>
      </c>
      <c r="T13"/>
    </row>
    <row r="14" spans="1:20" x14ac:dyDescent="0.25">
      <c r="A14" s="181">
        <v>53.17</v>
      </c>
      <c r="B14" s="181">
        <v>0.35</v>
      </c>
      <c r="C14" s="181">
        <v>7.73</v>
      </c>
      <c r="D14" s="8">
        <v>43077.5</v>
      </c>
      <c r="E14" s="181">
        <v>0.16</v>
      </c>
      <c r="F14" s="181" t="s">
        <v>566</v>
      </c>
      <c r="G14" s="181">
        <v>289.94</v>
      </c>
      <c r="H14" s="181">
        <v>0</v>
      </c>
      <c r="I14" s="181">
        <v>0</v>
      </c>
      <c r="J14" s="181"/>
      <c r="K14" s="181">
        <v>1021.55</v>
      </c>
      <c r="L14" s="181" t="s">
        <v>564</v>
      </c>
      <c r="M14" s="181">
        <v>53.17</v>
      </c>
      <c r="N14" s="181">
        <v>1512759600</v>
      </c>
      <c r="O14" s="181">
        <v>2</v>
      </c>
      <c r="P14" s="181">
        <v>5.59</v>
      </c>
      <c r="Q14" s="181">
        <v>349</v>
      </c>
      <c r="R14" s="181">
        <v>11.93</v>
      </c>
      <c r="S14" s="181">
        <v>3.91</v>
      </c>
      <c r="T14"/>
    </row>
    <row r="15" spans="1:20" x14ac:dyDescent="0.25">
      <c r="A15" s="181">
        <v>54.76</v>
      </c>
      <c r="B15" s="181">
        <v>0.44</v>
      </c>
      <c r="C15" s="181">
        <v>4.71</v>
      </c>
      <c r="D15" s="8">
        <v>43077.541666666664</v>
      </c>
      <c r="E15" s="181">
        <v>0.13</v>
      </c>
      <c r="F15" s="181" t="s">
        <v>566</v>
      </c>
      <c r="G15" s="181">
        <v>290.05</v>
      </c>
      <c r="H15" s="181">
        <v>0</v>
      </c>
      <c r="I15" s="181">
        <v>0</v>
      </c>
      <c r="J15" s="181"/>
      <c r="K15" s="181">
        <v>1020.94</v>
      </c>
      <c r="L15" s="181" t="s">
        <v>564</v>
      </c>
      <c r="M15" s="181">
        <v>54.76</v>
      </c>
      <c r="N15" s="181">
        <v>1512763200</v>
      </c>
      <c r="O15" s="181">
        <v>2</v>
      </c>
      <c r="P15" s="181">
        <v>5.24</v>
      </c>
      <c r="Q15" s="181">
        <v>352</v>
      </c>
      <c r="R15" s="181">
        <v>14.97</v>
      </c>
      <c r="S15" s="181">
        <v>5.76</v>
      </c>
      <c r="T15"/>
    </row>
    <row r="16" spans="1:20" x14ac:dyDescent="0.25">
      <c r="A16" s="181">
        <v>56.17</v>
      </c>
      <c r="B16" s="181">
        <v>0.33</v>
      </c>
      <c r="C16" s="181">
        <v>5.48</v>
      </c>
      <c r="D16" s="8">
        <v>43077.583333333336</v>
      </c>
      <c r="E16" s="181">
        <v>0.13</v>
      </c>
      <c r="F16" s="181" t="s">
        <v>566</v>
      </c>
      <c r="G16" s="181">
        <v>289.81</v>
      </c>
      <c r="H16" s="181">
        <v>0</v>
      </c>
      <c r="I16" s="181">
        <v>0</v>
      </c>
      <c r="J16" s="181"/>
      <c r="K16" s="181">
        <v>1020.54</v>
      </c>
      <c r="L16" s="181" t="s">
        <v>564</v>
      </c>
      <c r="M16" s="181">
        <v>56.17</v>
      </c>
      <c r="N16" s="181">
        <v>1512766800</v>
      </c>
      <c r="O16" s="181">
        <v>1</v>
      </c>
      <c r="P16" s="181">
        <v>5.4</v>
      </c>
      <c r="Q16" s="181">
        <v>334</v>
      </c>
      <c r="R16" s="181">
        <v>14.4</v>
      </c>
      <c r="S16" s="181">
        <v>5.19</v>
      </c>
      <c r="T16"/>
    </row>
    <row r="17" spans="1:20" x14ac:dyDescent="0.25">
      <c r="A17" s="181">
        <v>56.04</v>
      </c>
      <c r="B17" s="181">
        <v>0.3</v>
      </c>
      <c r="C17" s="181">
        <v>6.1</v>
      </c>
      <c r="D17" s="8">
        <v>43077.625</v>
      </c>
      <c r="E17" s="181">
        <v>0.13</v>
      </c>
      <c r="F17" s="181" t="s">
        <v>566</v>
      </c>
      <c r="G17" s="181">
        <v>288.44</v>
      </c>
      <c r="H17" s="181">
        <v>6.9999999999999999E-4</v>
      </c>
      <c r="I17" s="181">
        <v>0.01</v>
      </c>
      <c r="J17" s="181" t="s">
        <v>923</v>
      </c>
      <c r="K17" s="181">
        <v>1020.44</v>
      </c>
      <c r="L17" s="181" t="s">
        <v>564</v>
      </c>
      <c r="M17" s="181">
        <v>56.04</v>
      </c>
      <c r="N17" s="181">
        <v>1512770400</v>
      </c>
      <c r="O17" s="181">
        <v>1</v>
      </c>
      <c r="P17" s="181">
        <v>5.59</v>
      </c>
      <c r="Q17" s="181">
        <v>322</v>
      </c>
      <c r="R17" s="181">
        <v>15.62</v>
      </c>
      <c r="S17" s="181">
        <v>5.47</v>
      </c>
      <c r="T17"/>
    </row>
    <row r="18" spans="1:20" x14ac:dyDescent="0.25">
      <c r="A18" s="181">
        <v>54.01</v>
      </c>
      <c r="B18" s="181">
        <v>0.62</v>
      </c>
      <c r="C18" s="181">
        <v>7.89</v>
      </c>
      <c r="D18" s="8">
        <v>43077.666666666664</v>
      </c>
      <c r="E18" s="181">
        <v>0.15</v>
      </c>
      <c r="F18" s="181" t="s">
        <v>566</v>
      </c>
      <c r="G18" s="181">
        <v>286.70999999999998</v>
      </c>
      <c r="H18" s="181">
        <v>0</v>
      </c>
      <c r="I18" s="181">
        <v>0</v>
      </c>
      <c r="J18" s="181"/>
      <c r="K18" s="181">
        <v>1021.31</v>
      </c>
      <c r="L18" s="181" t="s">
        <v>565</v>
      </c>
      <c r="M18" s="181">
        <v>54.01</v>
      </c>
      <c r="N18" s="181">
        <v>1512774000</v>
      </c>
      <c r="O18" s="181">
        <v>0</v>
      </c>
      <c r="P18" s="181">
        <v>4.82</v>
      </c>
      <c r="Q18" s="181">
        <v>313</v>
      </c>
      <c r="R18" s="181">
        <v>15.23</v>
      </c>
      <c r="S18" s="181">
        <v>5.19</v>
      </c>
      <c r="T18"/>
    </row>
    <row r="19" spans="1:20" x14ac:dyDescent="0.25">
      <c r="A19" s="181">
        <v>50.04</v>
      </c>
      <c r="B19" s="181">
        <v>0.85</v>
      </c>
      <c r="C19" s="181">
        <v>7.74</v>
      </c>
      <c r="D19" s="8">
        <v>43077.708333333336</v>
      </c>
      <c r="E19" s="181">
        <v>0.18</v>
      </c>
      <c r="F19" s="181" t="s">
        <v>563</v>
      </c>
      <c r="G19" s="181">
        <v>290.49</v>
      </c>
      <c r="H19" s="181">
        <v>0</v>
      </c>
      <c r="I19" s="181">
        <v>0</v>
      </c>
      <c r="J19" s="181"/>
      <c r="K19" s="181">
        <v>1022.1</v>
      </c>
      <c r="L19" s="181" t="s">
        <v>565</v>
      </c>
      <c r="M19" s="181">
        <v>50.04</v>
      </c>
      <c r="N19" s="181">
        <v>1512777600</v>
      </c>
      <c r="O19" s="181">
        <v>0</v>
      </c>
      <c r="P19" s="181">
        <v>4.82</v>
      </c>
      <c r="Q19" s="181">
        <v>310</v>
      </c>
      <c r="R19" s="181">
        <v>10.71</v>
      </c>
      <c r="S19" s="181">
        <v>3.93</v>
      </c>
      <c r="T19"/>
    </row>
    <row r="20" spans="1:20" x14ac:dyDescent="0.25">
      <c r="A20" s="181">
        <v>47.41</v>
      </c>
      <c r="B20" s="181">
        <v>0.27</v>
      </c>
      <c r="C20" s="181">
        <v>8.76</v>
      </c>
      <c r="D20" s="8">
        <v>43077.75</v>
      </c>
      <c r="E20" s="181">
        <v>0.2</v>
      </c>
      <c r="F20" s="181" t="s">
        <v>563</v>
      </c>
      <c r="G20" s="181">
        <v>289.81</v>
      </c>
      <c r="H20" s="181">
        <v>0</v>
      </c>
      <c r="I20" s="181">
        <v>0</v>
      </c>
      <c r="J20" s="181"/>
      <c r="K20" s="181">
        <v>1023.18</v>
      </c>
      <c r="L20" s="181" t="s">
        <v>564</v>
      </c>
      <c r="M20" s="181">
        <v>47.41</v>
      </c>
      <c r="N20" s="181">
        <v>1512781200</v>
      </c>
      <c r="O20" s="181">
        <v>0</v>
      </c>
      <c r="P20" s="181">
        <v>4.6100000000000003</v>
      </c>
      <c r="Q20" s="181">
        <v>310</v>
      </c>
      <c r="R20" s="181">
        <v>6.57</v>
      </c>
      <c r="S20" s="181">
        <v>2.1800000000000002</v>
      </c>
      <c r="T20"/>
    </row>
    <row r="21" spans="1:20" x14ac:dyDescent="0.25">
      <c r="A21" s="181">
        <v>44.93</v>
      </c>
      <c r="B21" s="181">
        <v>0.11</v>
      </c>
      <c r="C21" s="181">
        <v>8.9</v>
      </c>
      <c r="D21" s="8">
        <v>43077.791666666664</v>
      </c>
      <c r="E21" s="181">
        <v>0.22</v>
      </c>
      <c r="F21" s="181" t="s">
        <v>407</v>
      </c>
      <c r="G21" s="181">
        <v>288.89</v>
      </c>
      <c r="H21" s="181">
        <v>0</v>
      </c>
      <c r="I21" s="181">
        <v>0</v>
      </c>
      <c r="J21" s="181"/>
      <c r="K21" s="181">
        <v>1023.92</v>
      </c>
      <c r="L21" s="181" t="s">
        <v>406</v>
      </c>
      <c r="M21" s="181">
        <v>44.93</v>
      </c>
      <c r="N21" s="181">
        <v>1512784800</v>
      </c>
      <c r="O21" s="181">
        <v>0</v>
      </c>
      <c r="P21" s="181">
        <v>4.74</v>
      </c>
      <c r="Q21" s="181">
        <v>294</v>
      </c>
      <c r="R21" s="181">
        <v>5.07</v>
      </c>
      <c r="S21" s="181">
        <v>1.71</v>
      </c>
      <c r="T21"/>
    </row>
    <row r="22" spans="1:20" x14ac:dyDescent="0.25">
      <c r="A22" s="181">
        <v>42.04</v>
      </c>
      <c r="B22" s="181">
        <v>7.0000000000000007E-2</v>
      </c>
      <c r="C22" s="181">
        <v>7.91</v>
      </c>
      <c r="D22" s="8">
        <v>43077.833333333336</v>
      </c>
      <c r="E22" s="181">
        <v>0.24</v>
      </c>
      <c r="F22" s="181" t="s">
        <v>407</v>
      </c>
      <c r="G22" s="181">
        <v>288.20999999999998</v>
      </c>
      <c r="H22" s="181">
        <v>0</v>
      </c>
      <c r="I22" s="181">
        <v>0</v>
      </c>
      <c r="J22" s="181"/>
      <c r="K22" s="181">
        <v>1025.32</v>
      </c>
      <c r="L22" s="181" t="s">
        <v>406</v>
      </c>
      <c r="M22" s="181">
        <v>42.04</v>
      </c>
      <c r="N22" s="181">
        <v>1512788400</v>
      </c>
      <c r="O22" s="181">
        <v>0</v>
      </c>
      <c r="P22" s="181">
        <v>4.71</v>
      </c>
      <c r="Q22" s="181">
        <v>274</v>
      </c>
      <c r="R22" s="181">
        <v>5.29</v>
      </c>
      <c r="S22" s="181">
        <v>2.11</v>
      </c>
      <c r="T22"/>
    </row>
    <row r="23" spans="1:20" x14ac:dyDescent="0.25">
      <c r="A23" s="181">
        <v>42.48</v>
      </c>
      <c r="B23" s="181">
        <v>0.09</v>
      </c>
      <c r="C23" s="181">
        <v>6.42</v>
      </c>
      <c r="D23" s="8">
        <v>43077.875</v>
      </c>
      <c r="E23" s="181">
        <v>0.22</v>
      </c>
      <c r="F23" s="181" t="s">
        <v>407</v>
      </c>
      <c r="G23" s="181">
        <v>288.20999999999998</v>
      </c>
      <c r="H23" s="181">
        <v>0</v>
      </c>
      <c r="I23" s="181">
        <v>0</v>
      </c>
      <c r="J23" s="181"/>
      <c r="K23" s="181">
        <v>1024.3499999999999</v>
      </c>
      <c r="L23" s="181" t="s">
        <v>406</v>
      </c>
      <c r="M23" s="181">
        <v>42.48</v>
      </c>
      <c r="N23" s="181">
        <v>1512792000</v>
      </c>
      <c r="O23" s="181">
        <v>0</v>
      </c>
      <c r="P23" s="181">
        <v>7.76</v>
      </c>
      <c r="Q23" s="181">
        <v>266</v>
      </c>
      <c r="R23" s="181">
        <v>6.24</v>
      </c>
      <c r="S23" s="181">
        <v>2.3199999999999998</v>
      </c>
      <c r="T23"/>
    </row>
    <row r="24" spans="1:20" x14ac:dyDescent="0.25">
      <c r="A24" s="181">
        <v>40.78</v>
      </c>
      <c r="B24" s="181">
        <v>0.05</v>
      </c>
      <c r="C24" s="181">
        <v>5.63</v>
      </c>
      <c r="D24" s="8">
        <v>43077.916666666664</v>
      </c>
      <c r="E24" s="181">
        <v>0.23</v>
      </c>
      <c r="F24" s="181" t="s">
        <v>407</v>
      </c>
      <c r="G24" s="181">
        <v>288.44</v>
      </c>
      <c r="H24" s="181">
        <v>0</v>
      </c>
      <c r="I24" s="181">
        <v>0</v>
      </c>
      <c r="J24" s="181"/>
      <c r="K24" s="181">
        <v>1024.17</v>
      </c>
      <c r="L24" s="181" t="s">
        <v>406</v>
      </c>
      <c r="M24" s="181">
        <v>40.78</v>
      </c>
      <c r="N24" s="181">
        <v>1512795600</v>
      </c>
      <c r="O24" s="181">
        <v>0</v>
      </c>
      <c r="P24" s="181">
        <v>7.05</v>
      </c>
      <c r="Q24" s="181">
        <v>270</v>
      </c>
      <c r="R24" s="181">
        <v>3.94</v>
      </c>
      <c r="S24" s="181">
        <v>1.65</v>
      </c>
      <c r="T24"/>
    </row>
    <row r="25" spans="1:20" x14ac:dyDescent="0.25">
      <c r="A25" s="181">
        <v>38.64</v>
      </c>
      <c r="B25" s="181">
        <v>0.03</v>
      </c>
      <c r="C25" s="181">
        <v>4.92</v>
      </c>
      <c r="D25" s="8">
        <v>43077.958333333336</v>
      </c>
      <c r="E25" s="181">
        <v>0.24</v>
      </c>
      <c r="F25" s="181" t="s">
        <v>407</v>
      </c>
      <c r="G25" s="181">
        <v>288.89</v>
      </c>
      <c r="H25" s="181">
        <v>0</v>
      </c>
      <c r="I25" s="181">
        <v>0</v>
      </c>
      <c r="J25" s="181"/>
      <c r="K25" s="181">
        <v>1025.52</v>
      </c>
      <c r="L25" s="181" t="s">
        <v>406</v>
      </c>
      <c r="M25" s="181">
        <v>38.64</v>
      </c>
      <c r="N25" s="181">
        <v>1512799200</v>
      </c>
      <c r="O25" s="181">
        <v>0</v>
      </c>
      <c r="P25" s="181">
        <v>7.14</v>
      </c>
      <c r="Q25" s="181">
        <v>254</v>
      </c>
      <c r="R25" s="181">
        <v>3.79</v>
      </c>
      <c r="S25" s="181">
        <v>1.41</v>
      </c>
      <c r="T25"/>
    </row>
    <row r="26" spans="1:20" x14ac:dyDescent="0.25">
      <c r="A26" s="181">
        <v>36.14</v>
      </c>
      <c r="B26" s="181">
        <v>0.04</v>
      </c>
      <c r="C26" s="181">
        <v>5.62</v>
      </c>
      <c r="D26" s="8">
        <v>43078</v>
      </c>
      <c r="E26" s="181">
        <v>0.27</v>
      </c>
      <c r="F26" s="181" t="s">
        <v>407</v>
      </c>
      <c r="G26" s="181">
        <v>289.13</v>
      </c>
      <c r="H26" s="181">
        <v>0</v>
      </c>
      <c r="I26" s="181">
        <v>0</v>
      </c>
      <c r="J26" s="181"/>
      <c r="K26" s="181">
        <v>1025.7</v>
      </c>
      <c r="L26" s="181" t="s">
        <v>406</v>
      </c>
      <c r="M26" s="181">
        <v>36.14</v>
      </c>
      <c r="N26" s="181">
        <v>1512802800</v>
      </c>
      <c r="O26" s="181">
        <v>0</v>
      </c>
      <c r="P26" s="181">
        <v>3.05</v>
      </c>
      <c r="Q26" s="181">
        <v>246</v>
      </c>
      <c r="R26" s="181">
        <v>3.3</v>
      </c>
      <c r="S26" s="181">
        <v>0.75</v>
      </c>
      <c r="T26"/>
    </row>
    <row r="27" spans="1:20" x14ac:dyDescent="0.25">
      <c r="A27" s="181">
        <v>33.76</v>
      </c>
      <c r="B27" s="181">
        <v>0.04</v>
      </c>
      <c r="C27" s="181">
        <v>6.17</v>
      </c>
      <c r="D27" s="8">
        <v>43078.041666666664</v>
      </c>
      <c r="E27" s="181">
        <v>0.31</v>
      </c>
      <c r="F27" s="181" t="s">
        <v>407</v>
      </c>
      <c r="G27" s="181">
        <v>289.25</v>
      </c>
      <c r="H27" s="181">
        <v>0</v>
      </c>
      <c r="I27" s="181">
        <v>0</v>
      </c>
      <c r="J27" s="181"/>
      <c r="K27" s="181">
        <v>1024.8</v>
      </c>
      <c r="L27" s="181" t="s">
        <v>406</v>
      </c>
      <c r="M27" s="181">
        <v>33.76</v>
      </c>
      <c r="N27" s="181">
        <v>1512806400</v>
      </c>
      <c r="O27" s="181">
        <v>0</v>
      </c>
      <c r="P27" s="181">
        <v>3.17</v>
      </c>
      <c r="Q27" s="181">
        <v>211</v>
      </c>
      <c r="R27" s="181">
        <v>3.47</v>
      </c>
      <c r="S27" s="181">
        <v>0.89</v>
      </c>
      <c r="T27"/>
    </row>
    <row r="28" spans="1:20" x14ac:dyDescent="0.25">
      <c r="A28" s="181">
        <v>32.86</v>
      </c>
      <c r="B28" s="181">
        <v>0.02</v>
      </c>
      <c r="C28" s="181">
        <v>5.03</v>
      </c>
      <c r="D28" s="8">
        <v>43078.083333333336</v>
      </c>
      <c r="E28" s="181">
        <v>0.3</v>
      </c>
      <c r="F28" s="181" t="s">
        <v>407</v>
      </c>
      <c r="G28" s="181">
        <v>289.83</v>
      </c>
      <c r="H28" s="181">
        <v>0</v>
      </c>
      <c r="I28" s="181">
        <v>0</v>
      </c>
      <c r="J28" s="181"/>
      <c r="K28" s="181">
        <v>1025.2</v>
      </c>
      <c r="L28" s="181" t="s">
        <v>406</v>
      </c>
      <c r="M28" s="181">
        <v>32.86</v>
      </c>
      <c r="N28" s="181">
        <v>1512810000</v>
      </c>
      <c r="O28" s="181">
        <v>0</v>
      </c>
      <c r="P28" s="181">
        <v>4.16</v>
      </c>
      <c r="Q28" s="181">
        <v>219</v>
      </c>
      <c r="R28" s="181">
        <v>4.21</v>
      </c>
      <c r="S28" s="181">
        <v>1.23</v>
      </c>
      <c r="T28"/>
    </row>
    <row r="29" spans="1:20" x14ac:dyDescent="0.25">
      <c r="A29" s="181">
        <v>33.76</v>
      </c>
      <c r="B29" s="181">
        <v>0.02</v>
      </c>
      <c r="C29" s="181">
        <v>4.97</v>
      </c>
      <c r="D29" s="8">
        <v>43078.125</v>
      </c>
      <c r="E29" s="181">
        <v>0.28999999999999998</v>
      </c>
      <c r="F29" s="181" t="s">
        <v>407</v>
      </c>
      <c r="G29" s="181">
        <v>290.52</v>
      </c>
      <c r="H29" s="181">
        <v>0</v>
      </c>
      <c r="I29" s="181">
        <v>0</v>
      </c>
      <c r="J29" s="181"/>
      <c r="K29" s="181">
        <v>1026.3900000000001</v>
      </c>
      <c r="L29" s="181" t="s">
        <v>406</v>
      </c>
      <c r="M29" s="181">
        <v>33.76</v>
      </c>
      <c r="N29" s="181">
        <v>1512813600</v>
      </c>
      <c r="O29" s="181">
        <v>0</v>
      </c>
      <c r="P29" s="181">
        <v>5.89</v>
      </c>
      <c r="Q29" s="181">
        <v>228</v>
      </c>
      <c r="R29" s="181">
        <v>6.15</v>
      </c>
      <c r="S29" s="181">
        <v>2.2400000000000002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4" t="s">
        <v>178</v>
      </c>
    </row>
    <row r="33" spans="1:1" x14ac:dyDescent="0.25">
      <c r="A33" s="134" t="s">
        <v>172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C12" sqref="C12"/>
    </sheetView>
  </sheetViews>
  <sheetFormatPr defaultRowHeight="15" x14ac:dyDescent="0.25"/>
  <cols>
    <col min="1" max="1" width="32.140625" customWidth="1"/>
    <col min="3" max="3" width="24" customWidth="1"/>
    <col min="4" max="4" width="19.140625" style="50" customWidth="1"/>
    <col min="10" max="10" width="24.28515625" style="133" bestFit="1" customWidth="1"/>
    <col min="11" max="11" width="15.28515625" style="133" hidden="1" customWidth="1"/>
    <col min="12" max="12" width="13.5703125" style="133" hidden="1" customWidth="1"/>
    <col min="13" max="13" width="9" style="147" bestFit="1" customWidth="1"/>
    <col min="14" max="17" width="9.140625" style="133"/>
    <col min="20" max="24" width="9.140625" style="147"/>
    <col min="29" max="29" width="12.42578125" customWidth="1"/>
    <col min="30" max="30" width="9.140625" style="160"/>
    <col min="31" max="32" width="9.140625" style="50"/>
  </cols>
  <sheetData>
    <row r="1" spans="1:32" ht="45.75" x14ac:dyDescent="0.3">
      <c r="A1" s="11" t="s">
        <v>25</v>
      </c>
      <c r="C1" s="113" t="s">
        <v>96</v>
      </c>
      <c r="D1" s="114" t="s">
        <v>97</v>
      </c>
      <c r="J1" s="139" t="s">
        <v>98</v>
      </c>
      <c r="K1" s="139" t="s">
        <v>66</v>
      </c>
      <c r="L1" s="139" t="s">
        <v>67</v>
      </c>
      <c r="O1" s="140" t="s">
        <v>99</v>
      </c>
      <c r="T1" s="149" t="s">
        <v>323</v>
      </c>
      <c r="U1" s="149"/>
      <c r="V1" s="149"/>
      <c r="W1" s="149"/>
      <c r="X1" s="149"/>
    </row>
    <row r="2" spans="1:32" ht="15.75" thickBot="1" x14ac:dyDescent="0.3">
      <c r="A2" s="12">
        <v>43077</v>
      </c>
      <c r="B2" s="4"/>
      <c r="C2" s="115">
        <v>50</v>
      </c>
      <c r="D2" s="116">
        <v>25</v>
      </c>
      <c r="F2" t="s">
        <v>110</v>
      </c>
      <c r="J2" s="139"/>
      <c r="K2" s="139" t="s">
        <v>66</v>
      </c>
      <c r="L2" s="139" t="s">
        <v>67</v>
      </c>
      <c r="T2" s="148" t="s">
        <v>324</v>
      </c>
      <c r="U2" s="148">
        <v>167</v>
      </c>
      <c r="V2" s="148">
        <v>168</v>
      </c>
      <c r="W2" s="148">
        <v>199</v>
      </c>
      <c r="X2" s="148">
        <v>200</v>
      </c>
      <c r="AD2" t="s">
        <v>336</v>
      </c>
      <c r="AE2" s="50" t="s">
        <v>339</v>
      </c>
      <c r="AF2" s="50" t="s">
        <v>340</v>
      </c>
    </row>
    <row r="3" spans="1:32" x14ac:dyDescent="0.25">
      <c r="C3" s="50"/>
      <c r="F3" t="s">
        <v>52</v>
      </c>
      <c r="J3" s="141" t="s">
        <v>68</v>
      </c>
      <c r="K3" s="142">
        <v>2.7052</v>
      </c>
      <c r="L3" s="142">
        <v>2.7349999999999999</v>
      </c>
      <c r="M3" s="147">
        <f t="shared" ref="M3:M14" si="0">AVERAGE(K3:L3)</f>
        <v>2.7201</v>
      </c>
      <c r="O3" s="133" t="s">
        <v>100</v>
      </c>
      <c r="P3" s="133">
        <f>AVERAGE(1.0714,1.1016)</f>
        <v>1.0865</v>
      </c>
      <c r="T3" s="148" t="s">
        <v>325</v>
      </c>
      <c r="U3" s="148">
        <v>174</v>
      </c>
      <c r="V3" s="148">
        <v>176</v>
      </c>
      <c r="W3" s="148">
        <v>207</v>
      </c>
      <c r="X3" s="148">
        <v>210</v>
      </c>
      <c r="AC3" s="30" t="s">
        <v>102</v>
      </c>
      <c r="AD3" s="125">
        <v>23</v>
      </c>
      <c r="AE3" s="42">
        <v>100</v>
      </c>
      <c r="AF3" s="42">
        <v>299</v>
      </c>
    </row>
    <row r="4" spans="1:32" ht="45" x14ac:dyDescent="0.25">
      <c r="C4" s="113" t="s">
        <v>96</v>
      </c>
      <c r="D4" s="114" t="s">
        <v>97</v>
      </c>
      <c r="F4" t="s">
        <v>53</v>
      </c>
      <c r="J4" s="141" t="s">
        <v>69</v>
      </c>
      <c r="K4" s="142">
        <v>3.0830000000000002</v>
      </c>
      <c r="L4" s="142">
        <v>3.097</v>
      </c>
      <c r="M4" s="147">
        <f t="shared" si="0"/>
        <v>3.09</v>
      </c>
      <c r="T4" s="148" t="s">
        <v>326</v>
      </c>
      <c r="U4" s="148">
        <v>173</v>
      </c>
      <c r="V4" s="148">
        <v>175</v>
      </c>
      <c r="W4" s="148">
        <v>208</v>
      </c>
      <c r="X4" s="148">
        <v>209</v>
      </c>
      <c r="AC4" s="30" t="s">
        <v>103</v>
      </c>
      <c r="AD4" s="125">
        <v>5.65</v>
      </c>
      <c r="AE4" s="42">
        <v>800</v>
      </c>
      <c r="AF4" s="42">
        <v>899</v>
      </c>
    </row>
    <row r="5" spans="1:32" x14ac:dyDescent="0.25">
      <c r="C5" s="50">
        <v>30</v>
      </c>
      <c r="D5" s="50">
        <v>9</v>
      </c>
      <c r="J5" s="141" t="s">
        <v>70</v>
      </c>
      <c r="K5" s="142">
        <v>3.3136000000000001</v>
      </c>
      <c r="L5" s="142">
        <v>3.3256999999999999</v>
      </c>
      <c r="M5" s="147">
        <f t="shared" si="0"/>
        <v>3.3196500000000002</v>
      </c>
      <c r="T5" s="148" t="s">
        <v>327</v>
      </c>
      <c r="U5" s="148">
        <v>187</v>
      </c>
      <c r="V5" s="148">
        <v>188</v>
      </c>
      <c r="W5" s="148">
        <v>223</v>
      </c>
      <c r="X5" s="148">
        <v>224</v>
      </c>
      <c r="AC5" s="30" t="s">
        <v>337</v>
      </c>
      <c r="AD5" s="125">
        <v>11.15</v>
      </c>
      <c r="AE5" s="42">
        <v>400</v>
      </c>
      <c r="AF5" s="42">
        <v>600</v>
      </c>
    </row>
    <row r="6" spans="1:32" x14ac:dyDescent="0.25">
      <c r="C6" s="50"/>
      <c r="F6" t="s">
        <v>111</v>
      </c>
      <c r="J6" s="141" t="s">
        <v>71</v>
      </c>
      <c r="K6" s="142">
        <v>4.2778999999999998</v>
      </c>
      <c r="L6" s="142">
        <v>4.2961</v>
      </c>
      <c r="M6" s="147">
        <f t="shared" si="0"/>
        <v>4.2869999999999999</v>
      </c>
      <c r="T6" s="148"/>
      <c r="U6" s="148"/>
      <c r="V6" s="148"/>
      <c r="W6" s="148"/>
      <c r="X6" s="148"/>
      <c r="AC6" s="45" t="s">
        <v>103</v>
      </c>
      <c r="AD6" s="172">
        <v>5.65</v>
      </c>
      <c r="AE6" s="42">
        <v>1800</v>
      </c>
      <c r="AF6" s="42">
        <v>1899</v>
      </c>
    </row>
    <row r="7" spans="1:32" x14ac:dyDescent="0.25">
      <c r="C7" s="50"/>
      <c r="F7" t="s">
        <v>332</v>
      </c>
      <c r="J7" s="141" t="s">
        <v>72</v>
      </c>
      <c r="K7" s="142">
        <v>4.7865000000000002</v>
      </c>
      <c r="L7" s="142">
        <v>4.8048000000000002</v>
      </c>
      <c r="M7" s="147">
        <f t="shared" si="0"/>
        <v>4.7956500000000002</v>
      </c>
      <c r="T7" s="148"/>
      <c r="U7" s="148"/>
      <c r="V7" s="148"/>
      <c r="W7" s="148"/>
      <c r="X7" s="148"/>
      <c r="AC7" s="30" t="s">
        <v>338</v>
      </c>
      <c r="AD7" s="125">
        <v>99</v>
      </c>
      <c r="AE7" s="42">
        <v>0</v>
      </c>
      <c r="AF7" s="42">
        <v>99</v>
      </c>
    </row>
    <row r="8" spans="1:32" x14ac:dyDescent="0.25">
      <c r="C8" s="50"/>
      <c r="F8" t="s">
        <v>348</v>
      </c>
      <c r="J8" s="141" t="s">
        <v>73</v>
      </c>
      <c r="K8" s="142">
        <v>5.3155000000000001</v>
      </c>
      <c r="L8" s="142">
        <v>5.3277000000000001</v>
      </c>
      <c r="M8" s="147">
        <f t="shared" si="0"/>
        <v>5.3216000000000001</v>
      </c>
      <c r="T8" s="148"/>
      <c r="U8" s="148"/>
      <c r="V8" s="148"/>
      <c r="W8" s="148"/>
      <c r="X8" s="148"/>
      <c r="AC8" s="45" t="s">
        <v>341</v>
      </c>
      <c r="AD8" s="165">
        <v>9999</v>
      </c>
      <c r="AE8" s="125">
        <v>9999</v>
      </c>
      <c r="AF8" s="125">
        <v>9999</v>
      </c>
    </row>
    <row r="9" spans="1:32" x14ac:dyDescent="0.25">
      <c r="C9" s="50"/>
      <c r="J9" s="141" t="s">
        <v>74</v>
      </c>
      <c r="K9" s="142">
        <v>5.8117000000000001</v>
      </c>
      <c r="L9" s="142">
        <v>5.8300999999999998</v>
      </c>
      <c r="M9" s="147">
        <f t="shared" si="0"/>
        <v>5.8209</v>
      </c>
      <c r="T9" s="148"/>
      <c r="U9" s="148"/>
      <c r="V9" s="148"/>
      <c r="W9" s="148"/>
      <c r="X9" s="148"/>
    </row>
    <row r="10" spans="1:32" x14ac:dyDescent="0.25">
      <c r="C10" s="50"/>
      <c r="J10" s="141" t="s">
        <v>75</v>
      </c>
      <c r="K10" s="142">
        <v>5.8783000000000003</v>
      </c>
      <c r="L10" s="142">
        <v>5.8903999999999996</v>
      </c>
      <c r="M10" s="147">
        <f t="shared" si="0"/>
        <v>5.8843499999999995</v>
      </c>
      <c r="T10" s="148"/>
      <c r="U10" s="148"/>
      <c r="V10" s="148"/>
      <c r="W10" s="148"/>
      <c r="X10" s="148"/>
    </row>
    <row r="11" spans="1:32" x14ac:dyDescent="0.25">
      <c r="C11" s="50"/>
      <c r="J11" s="141" t="s">
        <v>76</v>
      </c>
      <c r="K11" s="142">
        <v>6.3068</v>
      </c>
      <c r="L11" s="142">
        <v>6.3308999999999997</v>
      </c>
      <c r="M11" s="147">
        <f t="shared" si="0"/>
        <v>6.3188499999999994</v>
      </c>
      <c r="T11" s="148"/>
      <c r="U11" s="148"/>
      <c r="V11" s="148"/>
      <c r="W11" s="148"/>
      <c r="X11" s="148"/>
    </row>
    <row r="12" spans="1:32" x14ac:dyDescent="0.25">
      <c r="C12" s="50"/>
      <c r="J12" s="141" t="s">
        <v>77</v>
      </c>
      <c r="K12" s="142">
        <v>7.8349000000000002</v>
      </c>
      <c r="L12" s="142">
        <v>7.8468999999999998</v>
      </c>
      <c r="M12" s="147">
        <f t="shared" si="0"/>
        <v>7.8408999999999995</v>
      </c>
      <c r="T12" s="148"/>
      <c r="U12" s="148"/>
      <c r="V12" s="148"/>
      <c r="W12" s="148"/>
      <c r="X12" s="148"/>
    </row>
    <row r="13" spans="1:32" x14ac:dyDescent="0.25">
      <c r="C13" s="50"/>
      <c r="J13" s="141" t="s">
        <v>78</v>
      </c>
      <c r="K13" s="142">
        <v>10.373799999999999</v>
      </c>
      <c r="L13" s="142">
        <v>10.38</v>
      </c>
      <c r="M13" s="147">
        <f t="shared" si="0"/>
        <v>10.376899999999999</v>
      </c>
      <c r="T13" s="148"/>
      <c r="U13" s="148"/>
      <c r="V13" s="148"/>
      <c r="W13" s="148"/>
      <c r="X13" s="148"/>
    </row>
    <row r="14" spans="1:32" x14ac:dyDescent="0.25">
      <c r="C14" s="50"/>
      <c r="J14" s="141" t="s">
        <v>79</v>
      </c>
      <c r="K14" s="142">
        <v>10.8954</v>
      </c>
      <c r="L14" s="142">
        <v>10.913500000000001</v>
      </c>
      <c r="M14" s="147">
        <f t="shared" si="0"/>
        <v>10.904450000000001</v>
      </c>
      <c r="T14" s="148"/>
      <c r="U14" s="148"/>
      <c r="V14" s="148"/>
      <c r="W14" s="148"/>
      <c r="X14" s="148"/>
    </row>
    <row r="15" spans="1:32" x14ac:dyDescent="0.25">
      <c r="C15" s="50"/>
      <c r="J15" s="141"/>
      <c r="K15" s="142"/>
      <c r="L15" s="142"/>
      <c r="T15" s="148"/>
      <c r="U15" s="148"/>
      <c r="V15" s="148"/>
      <c r="W15" s="148"/>
      <c r="X15" s="148"/>
    </row>
    <row r="16" spans="1:32" x14ac:dyDescent="0.25">
      <c r="C16" s="50"/>
      <c r="J16" s="141"/>
      <c r="K16" s="142"/>
      <c r="L16" s="142"/>
      <c r="T16" s="148"/>
      <c r="U16" s="148"/>
      <c r="V16" s="148"/>
      <c r="W16" s="148"/>
      <c r="X16" s="148"/>
    </row>
    <row r="17" spans="3:24" x14ac:dyDescent="0.25">
      <c r="C17" s="130" t="s">
        <v>179</v>
      </c>
      <c r="J17" s="141"/>
      <c r="K17" s="142"/>
      <c r="L17" s="142"/>
      <c r="T17" s="148"/>
      <c r="U17" s="148"/>
      <c r="V17" s="148"/>
      <c r="W17" s="148"/>
      <c r="X17" s="148"/>
    </row>
    <row r="18" spans="3:24" x14ac:dyDescent="0.25">
      <c r="C18" t="s">
        <v>1093</v>
      </c>
      <c r="J18" s="141" t="s">
        <v>85</v>
      </c>
      <c r="K18" s="142"/>
      <c r="L18" s="142"/>
      <c r="M18" s="147" t="str">
        <f>"""C:\Program Files (x86)\AstroGrep\AstroGrep.exe"""</f>
        <v>"C:\Program Files (x86)\AstroGrep\AstroGrep.exe"</v>
      </c>
      <c r="T18" s="148"/>
      <c r="U18" s="148"/>
      <c r="V18" s="148"/>
      <c r="W18" s="148"/>
      <c r="X18" s="148"/>
    </row>
    <row r="19" spans="3:24" x14ac:dyDescent="0.25">
      <c r="C19" t="s">
        <v>1094</v>
      </c>
      <c r="J19" s="141" t="s">
        <v>86</v>
      </c>
      <c r="K19" s="142"/>
      <c r="L19" s="142"/>
      <c r="M19" s="147" t="s">
        <v>109</v>
      </c>
      <c r="T19" s="148"/>
      <c r="U19" s="148"/>
      <c r="V19" s="148"/>
      <c r="W19" s="148"/>
      <c r="X19" s="148"/>
    </row>
    <row r="20" spans="3:24" x14ac:dyDescent="0.25">
      <c r="C20" t="s">
        <v>1095</v>
      </c>
      <c r="J20" s="133" t="s">
        <v>87</v>
      </c>
      <c r="M20" s="147" t="s">
        <v>331</v>
      </c>
      <c r="N20" s="147" t="s">
        <v>322</v>
      </c>
      <c r="T20" s="148"/>
      <c r="U20" s="148"/>
      <c r="V20" s="148"/>
      <c r="W20" s="148"/>
      <c r="X20" s="148"/>
    </row>
    <row r="21" spans="3:24" x14ac:dyDescent="0.25">
      <c r="C21" t="s">
        <v>1096</v>
      </c>
      <c r="J21" s="133" t="s">
        <v>90</v>
      </c>
      <c r="K21" s="133" t="s">
        <v>91</v>
      </c>
      <c r="M21" s="147" t="s">
        <v>171</v>
      </c>
      <c r="T21" s="148"/>
      <c r="U21" s="148"/>
      <c r="V21" s="148"/>
      <c r="W21" s="148"/>
      <c r="X21" s="148"/>
    </row>
    <row r="22" spans="3:24" x14ac:dyDescent="0.25">
      <c r="C22" t="s">
        <v>1097</v>
      </c>
      <c r="J22" s="133" t="s">
        <v>92</v>
      </c>
      <c r="K22" s="133" t="s">
        <v>108</v>
      </c>
      <c r="M22" s="147" t="s">
        <v>108</v>
      </c>
      <c r="T22" s="148"/>
      <c r="U22" s="148"/>
      <c r="V22" s="148"/>
      <c r="W22" s="148"/>
      <c r="X22" s="148"/>
    </row>
    <row r="23" spans="3:24" x14ac:dyDescent="0.25">
      <c r="C23" t="s">
        <v>1098</v>
      </c>
      <c r="J23" s="143" t="s">
        <v>94</v>
      </c>
      <c r="M23" s="147" t="str">
        <f>"-07"</f>
        <v>-07</v>
      </c>
      <c r="T23" s="148"/>
      <c r="U23" s="148"/>
      <c r="V23" s="148"/>
      <c r="W23" s="148"/>
      <c r="X23" s="148"/>
    </row>
    <row r="24" spans="3:24" x14ac:dyDescent="0.25">
      <c r="C24" t="s">
        <v>1099</v>
      </c>
      <c r="J24" s="133" t="s">
        <v>105</v>
      </c>
      <c r="M24" s="147" t="s">
        <v>107</v>
      </c>
      <c r="T24" s="148"/>
      <c r="U24" s="148"/>
      <c r="V24" s="148"/>
      <c r="W24" s="148"/>
      <c r="X24" s="148"/>
    </row>
    <row r="25" spans="3:24" x14ac:dyDescent="0.25">
      <c r="C25" t="s">
        <v>1100</v>
      </c>
      <c r="J25" s="133" t="s">
        <v>144</v>
      </c>
      <c r="M25" s="147" t="b">
        <v>1</v>
      </c>
    </row>
    <row r="26" spans="3:24" x14ac:dyDescent="0.25">
      <c r="C26" t="s">
        <v>1101</v>
      </c>
      <c r="J26" s="133" t="s">
        <v>145</v>
      </c>
      <c r="M26" s="147" t="str">
        <f>"%USERPROFILE%\Documents\GitHub\eaglep3-reporting\EC\"&amp;TEXT(A2,"yyyy-mm-dd")&amp;"-refined-times.txt"</f>
        <v>%USERPROFILE%\Documents\GitHub\eaglep3-reporting\EC\2017-12-08-refined-times.txt</v>
      </c>
    </row>
    <row r="27" spans="3:24" x14ac:dyDescent="0.25">
      <c r="C27" t="s">
        <v>1102</v>
      </c>
      <c r="J27" s="133" t="s">
        <v>173</v>
      </c>
      <c r="M27" s="147" t="str">
        <f>"%USERPROFILE%\Documents\GitHub\eaglep3-reporting\EC\"&amp;TEXT(A2,"YYYY-MM-DD")&amp;"-Enforcements.txt"</f>
        <v>%USERPROFILE%\Documents\GitHub\eaglep3-reporting\EC\2017-12-08-Enforcements.txt</v>
      </c>
    </row>
    <row r="28" spans="3:24" x14ac:dyDescent="0.25">
      <c r="C28" t="s">
        <v>1103</v>
      </c>
      <c r="J28" s="133" t="s">
        <v>174</v>
      </c>
      <c r="M28" s="147" t="str">
        <f>"%USERPROFILE%\Documents\GitHub\eaglep3-reporting\EC\"&amp;TEXT(A2,"YYYY-MM-DD")&amp;"-Runs-refined.txt"</f>
        <v>%USERPROFILE%\Documents\GitHub\eaglep3-reporting\EC\2017-12-08-Runs-refined.txt</v>
      </c>
    </row>
    <row r="29" spans="3:24" x14ac:dyDescent="0.25">
      <c r="C29" t="s">
        <v>1104</v>
      </c>
      <c r="J29" s="133" t="s">
        <v>175</v>
      </c>
      <c r="M29" s="147" t="str">
        <f>"%USERPROFILE%\Documents\GitHub\eaglep3-reporting\EC\"&amp;TEXT(A2,"YYYY-MM-DD")&amp;"-Trips.txt"</f>
        <v>%USERPROFILE%\Documents\GitHub\eaglep3-reporting\EC\2017-12-08-Trips.txt</v>
      </c>
    </row>
    <row r="30" spans="3:24" x14ac:dyDescent="0.25">
      <c r="C30" t="s">
        <v>1105</v>
      </c>
      <c r="J30" s="133" t="s">
        <v>176</v>
      </c>
      <c r="M30" s="147" t="str">
        <f>"%USERPROFILE%\Documents\GitHub\eaglep3-reporting\EC\"&amp;TEXT(A2,"YYYY-MM-DD")&amp;"-Weather.txt"</f>
        <v>%USERPROFILE%\Documents\GitHub\eaglep3-reporting\EC\2017-12-08-Weather.txt</v>
      </c>
    </row>
    <row r="31" spans="3:24" x14ac:dyDescent="0.25">
      <c r="C31" t="s">
        <v>1106</v>
      </c>
      <c r="J31" s="133" t="s">
        <v>187</v>
      </c>
      <c r="M31" s="147" t="s">
        <v>188</v>
      </c>
    </row>
    <row r="32" spans="3:24" x14ac:dyDescent="0.25">
      <c r="C32" t="s">
        <v>1107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87" bestFit="1" customWidth="1"/>
    <col min="2" max="7" width="9.140625" style="87"/>
    <col min="8" max="8" width="17.7109375" style="177" bestFit="1" customWidth="1"/>
    <col min="9" max="10" width="9.140625" style="177"/>
    <col min="11" max="16384" width="9.140625" style="87"/>
  </cols>
  <sheetData>
    <row r="1" spans="1:11" x14ac:dyDescent="0.25">
      <c r="A1" s="86" t="s">
        <v>115</v>
      </c>
      <c r="B1" s="86" t="s">
        <v>116</v>
      </c>
      <c r="C1" s="87" t="s">
        <v>117</v>
      </c>
      <c r="H1" s="160" t="s">
        <v>112</v>
      </c>
      <c r="I1" s="175" t="s">
        <v>352</v>
      </c>
      <c r="J1" s="160" t="s">
        <v>329</v>
      </c>
    </row>
    <row r="2" spans="1:11" x14ac:dyDescent="0.25">
      <c r="A2" s="87" t="s">
        <v>118</v>
      </c>
      <c r="B2" s="87" t="s">
        <v>119</v>
      </c>
      <c r="C2" s="87" t="s">
        <v>120</v>
      </c>
      <c r="H2" s="160" t="s">
        <v>113</v>
      </c>
      <c r="I2" s="160" t="s">
        <v>114</v>
      </c>
      <c r="J2" s="160" t="s">
        <v>330</v>
      </c>
    </row>
    <row r="3" spans="1:11" x14ac:dyDescent="0.25">
      <c r="A3" s="87" t="s">
        <v>121</v>
      </c>
      <c r="B3" s="87" t="s">
        <v>122</v>
      </c>
      <c r="C3" s="87" t="s">
        <v>123</v>
      </c>
      <c r="H3" s="160" t="s">
        <v>137</v>
      </c>
      <c r="I3" s="160">
        <v>1</v>
      </c>
      <c r="J3" s="160">
        <v>1</v>
      </c>
      <c r="K3" s="49"/>
    </row>
    <row r="4" spans="1:11" x14ac:dyDescent="0.25">
      <c r="A4" s="87" t="s">
        <v>124</v>
      </c>
      <c r="C4" s="87" t="s">
        <v>125</v>
      </c>
      <c r="H4" s="160" t="s">
        <v>138</v>
      </c>
      <c r="I4" s="160">
        <v>2</v>
      </c>
      <c r="J4" s="160">
        <v>1</v>
      </c>
      <c r="K4" s="49"/>
    </row>
    <row r="5" spans="1:11" x14ac:dyDescent="0.25">
      <c r="A5" s="87" t="s">
        <v>126</v>
      </c>
      <c r="C5" s="87" t="s">
        <v>127</v>
      </c>
      <c r="H5" s="160" t="s">
        <v>139</v>
      </c>
      <c r="I5" s="160">
        <v>338</v>
      </c>
      <c r="J5" s="160">
        <v>10</v>
      </c>
      <c r="K5" s="49"/>
    </row>
    <row r="6" spans="1:11" x14ac:dyDescent="0.25">
      <c r="A6" s="87" t="s">
        <v>128</v>
      </c>
      <c r="C6" s="87" t="s">
        <v>129</v>
      </c>
      <c r="H6" s="176" t="s">
        <v>140</v>
      </c>
      <c r="I6" s="176" t="s">
        <v>119</v>
      </c>
    </row>
    <row r="7" spans="1:11" x14ac:dyDescent="0.25">
      <c r="A7" s="87" t="s">
        <v>130</v>
      </c>
      <c r="C7" s="87" t="s">
        <v>131</v>
      </c>
    </row>
    <row r="8" spans="1:11" x14ac:dyDescent="0.25">
      <c r="C8" s="87" t="s">
        <v>132</v>
      </c>
    </row>
    <row r="9" spans="1:11" x14ac:dyDescent="0.25">
      <c r="C9" s="88" t="s">
        <v>164</v>
      </c>
    </row>
    <row r="10" spans="1:11" x14ac:dyDescent="0.25">
      <c r="C10" s="87" t="s">
        <v>133</v>
      </c>
    </row>
    <row r="11" spans="1:11" x14ac:dyDescent="0.25">
      <c r="C11" s="87" t="s">
        <v>134</v>
      </c>
    </row>
    <row r="12" spans="1:11" x14ac:dyDescent="0.25">
      <c r="C12" s="87" t="s">
        <v>135</v>
      </c>
    </row>
    <row r="13" spans="1:11" x14ac:dyDescent="0.25">
      <c r="C13" s="87" t="s">
        <v>136</v>
      </c>
    </row>
    <row r="14" spans="1:11" x14ac:dyDescent="0.25">
      <c r="C14" s="88" t="s">
        <v>165</v>
      </c>
    </row>
    <row r="15" spans="1:11" x14ac:dyDescent="0.25">
      <c r="C15" s="88" t="s">
        <v>180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2017-12-12T16:58:49Z</dcterms:modified>
</cp:coreProperties>
</file>