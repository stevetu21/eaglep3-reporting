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Enforcements!$A$6:$AC$69</definedName>
    <definedName name="_xlnm._FilterDatabase" localSheetId="2" hidden="1">'Missing Trips'!$A$2:$J$85</definedName>
    <definedName name="_xlnm._FilterDatabase" localSheetId="0" hidden="1">'Train Runs'!$A$12:$AG$259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Runs'!$A$12:$J$60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57" i="1" l="1"/>
  <c r="P15" i="1"/>
  <c r="K14" i="1"/>
  <c r="L14" i="1"/>
  <c r="M14" i="1"/>
  <c r="N14" i="1" s="1"/>
  <c r="V14" i="1"/>
  <c r="S9" i="3" s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AA21" i="1" s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/>
  <c r="V22" i="1"/>
  <c r="S13" i="3" s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P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X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A38" i="1" s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A40" i="1" s="1"/>
  <c r="W40" i="1" s="1"/>
  <c r="AB40" i="1"/>
  <c r="AC40" i="1"/>
  <c r="AD40" i="1"/>
  <c r="AG40" i="1" s="1"/>
  <c r="AE40" i="1"/>
  <c r="R25" i="3" s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A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G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G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A51" i="1"/>
  <c r="W51" i="1" s="1"/>
  <c r="AB51" i="1"/>
  <c r="AC51" i="1"/>
  <c r="AD51" i="1"/>
  <c r="AG51" i="1" s="1"/>
  <c r="AE51" i="1"/>
  <c r="AF51" i="1"/>
  <c r="AH51" i="1"/>
  <c r="AI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S7" i="3" s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G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I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T62" i="1"/>
  <c r="V62" i="1"/>
  <c r="Y62" i="1"/>
  <c r="AA62" i="1" s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G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X67" i="1"/>
  <c r="Y67" i="1"/>
  <c r="Z67" i="1"/>
  <c r="AB67" i="1"/>
  <c r="AC67" i="1"/>
  <c r="AD67" i="1"/>
  <c r="T67" i="1" s="1"/>
  <c r="AE67" i="1"/>
  <c r="AF67" i="1"/>
  <c r="AG67" i="1"/>
  <c r="AH67" i="1"/>
  <c r="AM67" i="1"/>
  <c r="AN67" i="1"/>
  <c r="K68" i="1"/>
  <c r="L68" i="1"/>
  <c r="M68" i="1"/>
  <c r="N68" i="1" s="1"/>
  <c r="V68" i="1"/>
  <c r="Y68" i="1"/>
  <c r="AA68" i="1" s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A73" i="1" s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T74" i="1"/>
  <c r="V74" i="1"/>
  <c r="Y74" i="1"/>
  <c r="AA74" i="1" s="1"/>
  <c r="Z74" i="1"/>
  <c r="AB74" i="1"/>
  <c r="AC74" i="1"/>
  <c r="AD74" i="1"/>
  <c r="AE74" i="1"/>
  <c r="AF74" i="1"/>
  <c r="AG74" i="1"/>
  <c r="AI74" i="1" s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X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A78" i="1" s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R11" i="3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A82" i="1" s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T83" i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AA84" i="1" s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G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G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X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P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A97" i="1" s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A98" i="1" s="1"/>
  <c r="AB98" i="1"/>
  <c r="AC98" i="1"/>
  <c r="AD98" i="1"/>
  <c r="AG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A100" i="1" s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/>
  <c r="V101" i="1"/>
  <c r="Y101" i="1"/>
  <c r="AA101" i="1" s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A108" i="1" s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/>
  <c r="V109" i="1"/>
  <c r="Y109" i="1"/>
  <c r="AA109" i="1" s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A110" i="1" s="1"/>
  <c r="AB110" i="1"/>
  <c r="AC110" i="1"/>
  <c r="AD110" i="1"/>
  <c r="AG110" i="1" s="1"/>
  <c r="AE110" i="1"/>
  <c r="R20" i="3" s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AA114" i="1" s="1"/>
  <c r="W114" i="1" s="1"/>
  <c r="Z114" i="1"/>
  <c r="AB114" i="1"/>
  <c r="AC114" i="1"/>
  <c r="AD114" i="1"/>
  <c r="AG114" i="1" s="1"/>
  <c r="AE114" i="1"/>
  <c r="AF114" i="1"/>
  <c r="AH114" i="1"/>
  <c r="AM114" i="1"/>
  <c r="AN114" i="1"/>
  <c r="K115" i="1"/>
  <c r="L115" i="1"/>
  <c r="M115" i="1"/>
  <c r="N115" i="1" s="1"/>
  <c r="T115" i="1"/>
  <c r="V115" i="1"/>
  <c r="X115" i="1"/>
  <c r="Y115" i="1"/>
  <c r="Z115" i="1"/>
  <c r="AB115" i="1"/>
  <c r="AC115" i="1"/>
  <c r="AD115" i="1"/>
  <c r="AE115" i="1"/>
  <c r="AF115" i="1"/>
  <c r="AG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AA119" i="1" s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P120" i="1" s="1"/>
  <c r="V120" i="1"/>
  <c r="S28" i="3" s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V122" i="1"/>
  <c r="Y122" i="1"/>
  <c r="Z122" i="1"/>
  <c r="AB122" i="1"/>
  <c r="AC122" i="1"/>
  <c r="AD122" i="1"/>
  <c r="AG122" i="1" s="1"/>
  <c r="AE122" i="1"/>
  <c r="R24" i="3" s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X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R10" i="3" s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S8" i="3" s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R31" i="3" s="1"/>
  <c r="AF128" i="1"/>
  <c r="AH128" i="1"/>
  <c r="AM128" i="1"/>
  <c r="AN128" i="1"/>
  <c r="K129" i="1"/>
  <c r="L129" i="1"/>
  <c r="M129" i="1"/>
  <c r="N129" i="1" s="1"/>
  <c r="V129" i="1"/>
  <c r="Y129" i="1"/>
  <c r="Z129" i="1"/>
  <c r="AA129" i="1" s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X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T134" i="1"/>
  <c r="V134" i="1"/>
  <c r="S17" i="3" s="1"/>
  <c r="Y134" i="1"/>
  <c r="Z134" i="1"/>
  <c r="AB134" i="1"/>
  <c r="AC134" i="1"/>
  <c r="AD134" i="1"/>
  <c r="AE134" i="1"/>
  <c r="AF134" i="1"/>
  <c r="AG134" i="1"/>
  <c r="U134" i="1" s="1"/>
  <c r="S134" i="1" s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A136" i="1" s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AA138" i="1" s="1"/>
  <c r="Z138" i="1"/>
  <c r="AB138" i="1"/>
  <c r="AC138" i="1"/>
  <c r="AD138" i="1"/>
  <c r="AG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A140" i="1" s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/>
  <c r="V141" i="1"/>
  <c r="Y141" i="1"/>
  <c r="AA141" i="1" s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A150" i="1" s="1"/>
  <c r="W150" i="1" s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AA155" i="1" s="1"/>
  <c r="Z155" i="1"/>
  <c r="AB155" i="1"/>
  <c r="AC155" i="1"/>
  <c r="AD155" i="1"/>
  <c r="T155" i="1" s="1"/>
  <c r="AE155" i="1"/>
  <c r="AF155" i="1"/>
  <c r="AG155" i="1"/>
  <c r="AI155" i="1" s="1"/>
  <c r="AH155" i="1"/>
  <c r="AM155" i="1"/>
  <c r="AN155" i="1"/>
  <c r="K156" i="1"/>
  <c r="L156" i="1"/>
  <c r="M156" i="1"/>
  <c r="N156" i="1" s="1"/>
  <c r="V156" i="1"/>
  <c r="S26" i="3" s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K160" i="1"/>
  <c r="L160" i="1"/>
  <c r="M160" i="1"/>
  <c r="N160" i="1" s="1"/>
  <c r="T160" i="1"/>
  <c r="V160" i="1"/>
  <c r="X160" i="1"/>
  <c r="Y160" i="1"/>
  <c r="Z160" i="1"/>
  <c r="AA160" i="1" s="1"/>
  <c r="AB160" i="1"/>
  <c r="AC160" i="1"/>
  <c r="AD160" i="1"/>
  <c r="AE160" i="1"/>
  <c r="AF160" i="1"/>
  <c r="AG160" i="1"/>
  <c r="AH160" i="1"/>
  <c r="AM160" i="1"/>
  <c r="AN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AA210" i="1" s="1"/>
  <c r="Z210" i="1"/>
  <c r="AB210" i="1"/>
  <c r="AC210" i="1"/>
  <c r="AD210" i="1"/>
  <c r="AG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X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A217" i="1" s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A218" i="1" s="1"/>
  <c r="AB218" i="1"/>
  <c r="AC218" i="1"/>
  <c r="AD218" i="1"/>
  <c r="AG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G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4" i="1"/>
  <c r="AM174" i="1"/>
  <c r="AN174" i="1"/>
  <c r="K228" i="1"/>
  <c r="L228" i="1"/>
  <c r="M228" i="1"/>
  <c r="N228" i="1" s="1"/>
  <c r="V228" i="1"/>
  <c r="X228" i="1"/>
  <c r="Y228" i="1"/>
  <c r="Z228" i="1"/>
  <c r="AA228" i="1" s="1"/>
  <c r="AB228" i="1"/>
  <c r="AC228" i="1"/>
  <c r="AD228" i="1"/>
  <c r="AG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A230" i="1" s="1"/>
  <c r="AB230" i="1"/>
  <c r="AC230" i="1"/>
  <c r="AD230" i="1"/>
  <c r="T230" i="1" s="1"/>
  <c r="AE230" i="1"/>
  <c r="AF230" i="1"/>
  <c r="AG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2" i="1"/>
  <c r="AM182" i="1"/>
  <c r="AN182" i="1"/>
  <c r="K236" i="1"/>
  <c r="L236" i="1"/>
  <c r="M236" i="1"/>
  <c r="N236" i="1" s="1"/>
  <c r="V236" i="1"/>
  <c r="Y236" i="1"/>
  <c r="AA236" i="1" s="1"/>
  <c r="Z236" i="1"/>
  <c r="AB236" i="1"/>
  <c r="AC236" i="1"/>
  <c r="AD236" i="1"/>
  <c r="T236" i="1" s="1"/>
  <c r="AE236" i="1"/>
  <c r="AF236" i="1"/>
  <c r="AH183" i="1"/>
  <c r="AM183" i="1"/>
  <c r="AN183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4" i="1"/>
  <c r="AM184" i="1"/>
  <c r="AN184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5" i="1"/>
  <c r="AM185" i="1"/>
  <c r="AN185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6" i="1"/>
  <c r="AM186" i="1"/>
  <c r="AN186" i="1"/>
  <c r="K240" i="1"/>
  <c r="L240" i="1"/>
  <c r="M240" i="1"/>
  <c r="N240" i="1" s="1"/>
  <c r="V240" i="1"/>
  <c r="Y240" i="1"/>
  <c r="Z240" i="1"/>
  <c r="AA240" i="1" s="1"/>
  <c r="AB240" i="1"/>
  <c r="AC240" i="1"/>
  <c r="AD240" i="1"/>
  <c r="T240" i="1" s="1"/>
  <c r="AE240" i="1"/>
  <c r="AF240" i="1"/>
  <c r="AH187" i="1"/>
  <c r="AM187" i="1"/>
  <c r="AN187" i="1"/>
  <c r="K241" i="1"/>
  <c r="L241" i="1"/>
  <c r="M241" i="1"/>
  <c r="N241" i="1" s="1"/>
  <c r="V241" i="1"/>
  <c r="Y241" i="1"/>
  <c r="Z241" i="1"/>
  <c r="AB241" i="1"/>
  <c r="AC241" i="1"/>
  <c r="AD241" i="1"/>
  <c r="AE241" i="1"/>
  <c r="AF241" i="1"/>
  <c r="AH188" i="1"/>
  <c r="AM188" i="1"/>
  <c r="AN188" i="1"/>
  <c r="K242" i="1"/>
  <c r="L242" i="1"/>
  <c r="M242" i="1"/>
  <c r="N242" i="1" s="1"/>
  <c r="V242" i="1"/>
  <c r="Y242" i="1"/>
  <c r="Z242" i="1"/>
  <c r="AA242" i="1" s="1"/>
  <c r="AB242" i="1"/>
  <c r="AC242" i="1"/>
  <c r="AD242" i="1"/>
  <c r="T242" i="1" s="1"/>
  <c r="AE242" i="1"/>
  <c r="AF242" i="1"/>
  <c r="AG242" i="1"/>
  <c r="AH189" i="1"/>
  <c r="AM189" i="1"/>
  <c r="AN189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0" i="1"/>
  <c r="AM190" i="1"/>
  <c r="AN190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91" i="1"/>
  <c r="AM191" i="1"/>
  <c r="AN191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2" i="1"/>
  <c r="AM192" i="1"/>
  <c r="AN192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3" i="1"/>
  <c r="AM193" i="1"/>
  <c r="AN193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4" i="1"/>
  <c r="AM194" i="1"/>
  <c r="AN194" i="1"/>
  <c r="K167" i="1"/>
  <c r="L167" i="1"/>
  <c r="M167" i="1"/>
  <c r="N167" i="1" s="1"/>
  <c r="V167" i="1"/>
  <c r="Y167" i="1"/>
  <c r="Z167" i="1"/>
  <c r="AA167" i="1" s="1"/>
  <c r="AB167" i="1"/>
  <c r="AC167" i="1"/>
  <c r="AD167" i="1"/>
  <c r="AG167" i="1" s="1"/>
  <c r="AE167" i="1"/>
  <c r="AF167" i="1"/>
  <c r="AH195" i="1"/>
  <c r="AM195" i="1"/>
  <c r="AN195" i="1"/>
  <c r="K168" i="1"/>
  <c r="L168" i="1"/>
  <c r="M168" i="1"/>
  <c r="N168" i="1" s="1"/>
  <c r="V168" i="1"/>
  <c r="S34" i="3" s="1"/>
  <c r="Y168" i="1"/>
  <c r="Z168" i="1"/>
  <c r="AB168" i="1"/>
  <c r="AC168" i="1"/>
  <c r="AD168" i="1"/>
  <c r="T168" i="1" s="1"/>
  <c r="AE168" i="1"/>
  <c r="AF168" i="1"/>
  <c r="AH196" i="1"/>
  <c r="AM196" i="1"/>
  <c r="AN196" i="1"/>
  <c r="K169" i="1"/>
  <c r="L169" i="1"/>
  <c r="M169" i="1"/>
  <c r="N169" i="1" s="1"/>
  <c r="V169" i="1"/>
  <c r="Y169" i="1"/>
  <c r="Z169" i="1"/>
  <c r="AA169" i="1" s="1"/>
  <c r="AB169" i="1"/>
  <c r="AC169" i="1"/>
  <c r="AD169" i="1"/>
  <c r="T169" i="1" s="1"/>
  <c r="AE169" i="1"/>
  <c r="AF169" i="1"/>
  <c r="AG169" i="1"/>
  <c r="AH197" i="1"/>
  <c r="AM197" i="1"/>
  <c r="AN197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8" i="1"/>
  <c r="AM198" i="1"/>
  <c r="AN198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G171" i="1"/>
  <c r="AH199" i="1"/>
  <c r="AM199" i="1"/>
  <c r="AN199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0" i="1"/>
  <c r="AM200" i="1"/>
  <c r="AN200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201" i="1"/>
  <c r="AM201" i="1"/>
  <c r="AN201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202" i="1"/>
  <c r="AM202" i="1"/>
  <c r="AN202" i="1"/>
  <c r="K175" i="1"/>
  <c r="L175" i="1"/>
  <c r="M175" i="1"/>
  <c r="N175" i="1" s="1"/>
  <c r="T175" i="1"/>
  <c r="V175" i="1"/>
  <c r="X175" i="1"/>
  <c r="Y175" i="1"/>
  <c r="Z175" i="1"/>
  <c r="AB175" i="1"/>
  <c r="AC175" i="1"/>
  <c r="AD175" i="1"/>
  <c r="AE175" i="1"/>
  <c r="AF175" i="1"/>
  <c r="AG175" i="1"/>
  <c r="AH203" i="1"/>
  <c r="AM203" i="1"/>
  <c r="AN203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4" i="1"/>
  <c r="AM204" i="1"/>
  <c r="AN204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5" i="1"/>
  <c r="AM205" i="1"/>
  <c r="AN205" i="1"/>
  <c r="K178" i="1"/>
  <c r="L178" i="1"/>
  <c r="M178" i="1"/>
  <c r="N178" i="1" s="1"/>
  <c r="V178" i="1"/>
  <c r="Y178" i="1"/>
  <c r="Z178" i="1"/>
  <c r="AA178" i="1" s="1"/>
  <c r="AB178" i="1"/>
  <c r="AC178" i="1"/>
  <c r="AD178" i="1"/>
  <c r="AG178" i="1" s="1"/>
  <c r="AE178" i="1"/>
  <c r="AF178" i="1"/>
  <c r="AH206" i="1"/>
  <c r="AM206" i="1"/>
  <c r="AN206" i="1"/>
  <c r="K179" i="1"/>
  <c r="L179" i="1"/>
  <c r="M179" i="1"/>
  <c r="N179" i="1" s="1"/>
  <c r="V179" i="1"/>
  <c r="Y179" i="1"/>
  <c r="Z179" i="1"/>
  <c r="AB179" i="1"/>
  <c r="AC179" i="1"/>
  <c r="AD179" i="1"/>
  <c r="AG179" i="1" s="1"/>
  <c r="AI179" i="1" s="1"/>
  <c r="AE179" i="1"/>
  <c r="AF179" i="1"/>
  <c r="AH207" i="1"/>
  <c r="AM207" i="1"/>
  <c r="AN207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8" i="1"/>
  <c r="AM208" i="1"/>
  <c r="AN208" i="1"/>
  <c r="K181" i="1"/>
  <c r="L181" i="1"/>
  <c r="M181" i="1"/>
  <c r="N181" i="1" s="1"/>
  <c r="V181" i="1"/>
  <c r="Y181" i="1"/>
  <c r="Z181" i="1"/>
  <c r="AA181" i="1" s="1"/>
  <c r="AB181" i="1"/>
  <c r="AC181" i="1"/>
  <c r="AD181" i="1"/>
  <c r="AE181" i="1"/>
  <c r="AF181" i="1"/>
  <c r="AH209" i="1"/>
  <c r="AM209" i="1"/>
  <c r="AN209" i="1"/>
  <c r="K182" i="1"/>
  <c r="L182" i="1"/>
  <c r="M182" i="1"/>
  <c r="N182" i="1" s="1"/>
  <c r="V182" i="1"/>
  <c r="Y182" i="1"/>
  <c r="AA182" i="1" s="1"/>
  <c r="Z182" i="1"/>
  <c r="AB182" i="1"/>
  <c r="AC182" i="1"/>
  <c r="AD182" i="1"/>
  <c r="AG182" i="1" s="1"/>
  <c r="AE182" i="1"/>
  <c r="AF182" i="1"/>
  <c r="AH210" i="1"/>
  <c r="AM210" i="1"/>
  <c r="AN210" i="1"/>
  <c r="K183" i="1"/>
  <c r="L183" i="1"/>
  <c r="M183" i="1"/>
  <c r="N183" i="1" s="1"/>
  <c r="V183" i="1"/>
  <c r="Y183" i="1"/>
  <c r="Z183" i="1"/>
  <c r="AA183" i="1" s="1"/>
  <c r="W183" i="1" s="1"/>
  <c r="AB183" i="1"/>
  <c r="AC183" i="1"/>
  <c r="AD183" i="1"/>
  <c r="AG183" i="1" s="1"/>
  <c r="AE183" i="1"/>
  <c r="AF183" i="1"/>
  <c r="AH211" i="1"/>
  <c r="AM211" i="1"/>
  <c r="AN211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2" i="1"/>
  <c r="AM212" i="1"/>
  <c r="AN212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3" i="1"/>
  <c r="AM213" i="1"/>
  <c r="AN213" i="1"/>
  <c r="K186" i="1"/>
  <c r="L186" i="1"/>
  <c r="M186" i="1"/>
  <c r="N186" i="1" s="1"/>
  <c r="T186" i="1"/>
  <c r="V186" i="1"/>
  <c r="Y186" i="1"/>
  <c r="Z186" i="1"/>
  <c r="AB186" i="1"/>
  <c r="AC186" i="1"/>
  <c r="AD186" i="1"/>
  <c r="AG186" i="1" s="1"/>
  <c r="AE186" i="1"/>
  <c r="AF186" i="1"/>
  <c r="AH214" i="1"/>
  <c r="AM214" i="1"/>
  <c r="AN214" i="1"/>
  <c r="K187" i="1"/>
  <c r="L187" i="1"/>
  <c r="M187" i="1"/>
  <c r="N187" i="1" s="1"/>
  <c r="V187" i="1"/>
  <c r="Y187" i="1"/>
  <c r="Z187" i="1"/>
  <c r="AA187" i="1" s="1"/>
  <c r="W187" i="1" s="1"/>
  <c r="AB187" i="1"/>
  <c r="AC187" i="1"/>
  <c r="AD187" i="1"/>
  <c r="AG187" i="1" s="1"/>
  <c r="AE187" i="1"/>
  <c r="AF187" i="1"/>
  <c r="AH215" i="1"/>
  <c r="AM215" i="1"/>
  <c r="AN215" i="1"/>
  <c r="K188" i="1"/>
  <c r="L188" i="1"/>
  <c r="M188" i="1"/>
  <c r="N188" i="1" s="1"/>
  <c r="V188" i="1"/>
  <c r="S33" i="3" s="1"/>
  <c r="Y188" i="1"/>
  <c r="Z188" i="1"/>
  <c r="AB188" i="1"/>
  <c r="AC188" i="1"/>
  <c r="AD188" i="1"/>
  <c r="T188" i="1" s="1"/>
  <c r="AE188" i="1"/>
  <c r="AF188" i="1"/>
  <c r="AG188" i="1"/>
  <c r="AH216" i="1"/>
  <c r="AM216" i="1"/>
  <c r="AN216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7" i="1"/>
  <c r="AM217" i="1"/>
  <c r="AN217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18" i="1"/>
  <c r="AM218" i="1"/>
  <c r="AN218" i="1"/>
  <c r="K191" i="1"/>
  <c r="L191" i="1"/>
  <c r="M191" i="1"/>
  <c r="N191" i="1" s="1"/>
  <c r="V191" i="1"/>
  <c r="Y191" i="1"/>
  <c r="Z191" i="1"/>
  <c r="AA191" i="1" s="1"/>
  <c r="W191" i="1" s="1"/>
  <c r="AB191" i="1"/>
  <c r="AC191" i="1"/>
  <c r="AD191" i="1"/>
  <c r="AG191" i="1" s="1"/>
  <c r="AE191" i="1"/>
  <c r="AF191" i="1"/>
  <c r="AH219" i="1"/>
  <c r="AM219" i="1"/>
  <c r="AN219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R35" i="3" s="1"/>
  <c r="AF192" i="1"/>
  <c r="AH220" i="1"/>
  <c r="AM220" i="1"/>
  <c r="AN220" i="1"/>
  <c r="K193" i="1"/>
  <c r="L193" i="1"/>
  <c r="M193" i="1"/>
  <c r="N193" i="1"/>
  <c r="V193" i="1"/>
  <c r="Y193" i="1"/>
  <c r="Z193" i="1"/>
  <c r="AB193" i="1"/>
  <c r="AC193" i="1"/>
  <c r="AD193" i="1"/>
  <c r="T193" i="1" s="1"/>
  <c r="AE193" i="1"/>
  <c r="AF193" i="1"/>
  <c r="AH221" i="1"/>
  <c r="AM221" i="1"/>
  <c r="AN221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2" i="1"/>
  <c r="AM222" i="1"/>
  <c r="AN222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223" i="1"/>
  <c r="AM223" i="1"/>
  <c r="AN223" i="1"/>
  <c r="K196" i="1"/>
  <c r="L196" i="1"/>
  <c r="M196" i="1"/>
  <c r="N196" i="1" s="1"/>
  <c r="V196" i="1"/>
  <c r="S36" i="3" s="1"/>
  <c r="Y196" i="1"/>
  <c r="Z196" i="1"/>
  <c r="AB196" i="1"/>
  <c r="AC196" i="1"/>
  <c r="AD196" i="1"/>
  <c r="T196" i="1" s="1"/>
  <c r="AE196" i="1"/>
  <c r="AF196" i="1"/>
  <c r="AH224" i="1"/>
  <c r="AM224" i="1"/>
  <c r="AN224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5" i="1"/>
  <c r="AM225" i="1"/>
  <c r="AN225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6" i="1"/>
  <c r="AM226" i="1"/>
  <c r="AN226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7" i="1"/>
  <c r="AM227" i="1"/>
  <c r="AN227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8" i="1"/>
  <c r="AM228" i="1"/>
  <c r="AN228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9" i="1"/>
  <c r="AM229" i="1"/>
  <c r="AN229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0" i="1"/>
  <c r="AM230" i="1"/>
  <c r="AN230" i="1"/>
  <c r="K203" i="1"/>
  <c r="L203" i="1"/>
  <c r="M203" i="1"/>
  <c r="N203" i="1" s="1"/>
  <c r="V203" i="1"/>
  <c r="Y203" i="1"/>
  <c r="Z203" i="1"/>
  <c r="AA203" i="1" s="1"/>
  <c r="AB203" i="1"/>
  <c r="AC203" i="1"/>
  <c r="AD203" i="1"/>
  <c r="AG203" i="1" s="1"/>
  <c r="AI203" i="1" s="1"/>
  <c r="AE203" i="1"/>
  <c r="AF203" i="1"/>
  <c r="AH231" i="1"/>
  <c r="AM231" i="1"/>
  <c r="AN231" i="1"/>
  <c r="K204" i="1"/>
  <c r="L204" i="1"/>
  <c r="M204" i="1"/>
  <c r="N204" i="1" s="1"/>
  <c r="T204" i="1"/>
  <c r="V204" i="1"/>
  <c r="S37" i="3" s="1"/>
  <c r="Y204" i="1"/>
  <c r="Z204" i="1"/>
  <c r="AA204" i="1" s="1"/>
  <c r="AB204" i="1"/>
  <c r="AC204" i="1"/>
  <c r="AD204" i="1"/>
  <c r="AG204" i="1" s="1"/>
  <c r="AE204" i="1"/>
  <c r="AF204" i="1"/>
  <c r="AH232" i="1"/>
  <c r="AM232" i="1"/>
  <c r="AN232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3" i="1"/>
  <c r="AM233" i="1"/>
  <c r="AN233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234" i="1"/>
  <c r="AM234" i="1"/>
  <c r="AN234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35" i="1"/>
  <c r="AM235" i="1"/>
  <c r="AN235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36" i="1"/>
  <c r="AM236" i="1"/>
  <c r="AN236" i="1"/>
  <c r="K220" i="1"/>
  <c r="L220" i="1"/>
  <c r="M220" i="1"/>
  <c r="N220" i="1"/>
  <c r="V220" i="1"/>
  <c r="Y220" i="1"/>
  <c r="Z220" i="1"/>
  <c r="AB220" i="1"/>
  <c r="AC220" i="1"/>
  <c r="AD220" i="1"/>
  <c r="T220" i="1" s="1"/>
  <c r="AE220" i="1"/>
  <c r="AF220" i="1"/>
  <c r="AH237" i="1"/>
  <c r="AM237" i="1"/>
  <c r="AN237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8" i="1"/>
  <c r="AM238" i="1"/>
  <c r="AN238" i="1"/>
  <c r="K222" i="1"/>
  <c r="L222" i="1"/>
  <c r="M222" i="1"/>
  <c r="N222" i="1" s="1"/>
  <c r="V222" i="1"/>
  <c r="Y222" i="1"/>
  <c r="Z222" i="1"/>
  <c r="AA222" i="1" s="1"/>
  <c r="AB222" i="1"/>
  <c r="AC222" i="1"/>
  <c r="AD222" i="1"/>
  <c r="AE222" i="1"/>
  <c r="AF222" i="1"/>
  <c r="AH239" i="1"/>
  <c r="AM239" i="1"/>
  <c r="AN239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40" i="1"/>
  <c r="AM240" i="1"/>
  <c r="AN240" i="1"/>
  <c r="K224" i="1"/>
  <c r="L224" i="1"/>
  <c r="M224" i="1"/>
  <c r="N224" i="1" s="1"/>
  <c r="V224" i="1"/>
  <c r="Y224" i="1"/>
  <c r="Z224" i="1"/>
  <c r="AA224" i="1" s="1"/>
  <c r="AB224" i="1"/>
  <c r="AC224" i="1"/>
  <c r="AD224" i="1"/>
  <c r="T224" i="1" s="1"/>
  <c r="AE224" i="1"/>
  <c r="AF224" i="1"/>
  <c r="AH241" i="1"/>
  <c r="AM241" i="1"/>
  <c r="AN241" i="1"/>
  <c r="K225" i="1"/>
  <c r="L225" i="1"/>
  <c r="M225" i="1"/>
  <c r="N225" i="1"/>
  <c r="V225" i="1"/>
  <c r="Y225" i="1"/>
  <c r="Z225" i="1"/>
  <c r="AB225" i="1"/>
  <c r="AC225" i="1"/>
  <c r="AD225" i="1"/>
  <c r="T225" i="1" s="1"/>
  <c r="AE225" i="1"/>
  <c r="AF225" i="1"/>
  <c r="AH242" i="1"/>
  <c r="AM242" i="1"/>
  <c r="AN242" i="1"/>
  <c r="M23" i="3"/>
  <c r="R23" i="3"/>
  <c r="S23" i="3"/>
  <c r="U23" i="3"/>
  <c r="T23" i="3" s="1"/>
  <c r="V23" i="3"/>
  <c r="W23" i="3"/>
  <c r="X23" i="3"/>
  <c r="M29" i="3"/>
  <c r="S29" i="3"/>
  <c r="U29" i="3"/>
  <c r="AC29" i="3" s="1"/>
  <c r="V29" i="3"/>
  <c r="W29" i="3"/>
  <c r="Y29" i="3" s="1"/>
  <c r="X29" i="3"/>
  <c r="M9" i="3"/>
  <c r="R9" i="3"/>
  <c r="U9" i="3"/>
  <c r="AC9" i="3" s="1"/>
  <c r="V9" i="3"/>
  <c r="W9" i="3"/>
  <c r="X9" i="3"/>
  <c r="M22" i="3"/>
  <c r="R22" i="3"/>
  <c r="S22" i="3"/>
  <c r="U22" i="3"/>
  <c r="AC22" i="3" s="1"/>
  <c r="V22" i="3"/>
  <c r="W22" i="3"/>
  <c r="X22" i="3"/>
  <c r="M13" i="3"/>
  <c r="R13" i="3"/>
  <c r="U13" i="3"/>
  <c r="V13" i="3"/>
  <c r="W13" i="3"/>
  <c r="X13" i="3"/>
  <c r="AC13" i="3"/>
  <c r="M12" i="3"/>
  <c r="R12" i="3"/>
  <c r="S12" i="3"/>
  <c r="U12" i="3"/>
  <c r="AC12" i="3" s="1"/>
  <c r="V12" i="3"/>
  <c r="W12" i="3"/>
  <c r="X12" i="3"/>
  <c r="M34" i="3"/>
  <c r="R34" i="3"/>
  <c r="U34" i="3"/>
  <c r="AC34" i="3" s="1"/>
  <c r="V34" i="3"/>
  <c r="W34" i="3"/>
  <c r="X34" i="3"/>
  <c r="M21" i="3"/>
  <c r="R21" i="3"/>
  <c r="S21" i="3"/>
  <c r="U21" i="3"/>
  <c r="AC21" i="3" s="1"/>
  <c r="V21" i="3"/>
  <c r="W21" i="3"/>
  <c r="X21" i="3"/>
  <c r="M25" i="3"/>
  <c r="S25" i="3"/>
  <c r="U25" i="3"/>
  <c r="T25" i="3" s="1"/>
  <c r="V25" i="3"/>
  <c r="W25" i="3"/>
  <c r="X25" i="3"/>
  <c r="M7" i="3"/>
  <c r="R7" i="3"/>
  <c r="U7" i="3"/>
  <c r="AC7" i="3" s="1"/>
  <c r="V7" i="3"/>
  <c r="W7" i="3"/>
  <c r="X7" i="3"/>
  <c r="M15" i="3"/>
  <c r="R15" i="3"/>
  <c r="S15" i="3"/>
  <c r="U15" i="3"/>
  <c r="AC15" i="3" s="1"/>
  <c r="V15" i="3"/>
  <c r="W15" i="3"/>
  <c r="X15" i="3"/>
  <c r="M14" i="3"/>
  <c r="R14" i="3"/>
  <c r="S14" i="3"/>
  <c r="U14" i="3"/>
  <c r="AC14" i="3" s="1"/>
  <c r="V14" i="3"/>
  <c r="W14" i="3"/>
  <c r="X14" i="3"/>
  <c r="M39" i="3"/>
  <c r="R39" i="3"/>
  <c r="S39" i="3"/>
  <c r="U39" i="3"/>
  <c r="T39" i="3" s="1"/>
  <c r="V39" i="3"/>
  <c r="W39" i="3"/>
  <c r="X39" i="3"/>
  <c r="M30" i="3"/>
  <c r="R30" i="3"/>
  <c r="S30" i="3"/>
  <c r="U30" i="3"/>
  <c r="V30" i="3"/>
  <c r="W30" i="3"/>
  <c r="X30" i="3"/>
  <c r="M32" i="3"/>
  <c r="R32" i="3"/>
  <c r="S32" i="3"/>
  <c r="U32" i="3"/>
  <c r="AC32" i="3" s="1"/>
  <c r="V32" i="3"/>
  <c r="W32" i="3"/>
  <c r="X32" i="3"/>
  <c r="M11" i="3"/>
  <c r="S11" i="3"/>
  <c r="U11" i="3"/>
  <c r="AC11" i="3" s="1"/>
  <c r="V11" i="3"/>
  <c r="W11" i="3"/>
  <c r="X11" i="3"/>
  <c r="M19" i="3"/>
  <c r="R19" i="3"/>
  <c r="S19" i="3"/>
  <c r="U19" i="3"/>
  <c r="T19" i="3" s="1"/>
  <c r="V19" i="3"/>
  <c r="W19" i="3"/>
  <c r="X19" i="3"/>
  <c r="AC19" i="3"/>
  <c r="M16" i="3"/>
  <c r="R16" i="3"/>
  <c r="S16" i="3"/>
  <c r="U16" i="3"/>
  <c r="V16" i="3"/>
  <c r="W16" i="3"/>
  <c r="X16" i="3"/>
  <c r="AC16" i="3"/>
  <c r="M33" i="3"/>
  <c r="R33" i="3"/>
  <c r="U33" i="3"/>
  <c r="AC33" i="3" s="1"/>
  <c r="V33" i="3"/>
  <c r="W33" i="3"/>
  <c r="X33" i="3"/>
  <c r="M20" i="3"/>
  <c r="S20" i="3"/>
  <c r="U20" i="3"/>
  <c r="AC20" i="3" s="1"/>
  <c r="V20" i="3"/>
  <c r="W20" i="3"/>
  <c r="X20" i="3"/>
  <c r="M35" i="3"/>
  <c r="S35" i="3"/>
  <c r="U35" i="3"/>
  <c r="AC35" i="3" s="1"/>
  <c r="V35" i="3"/>
  <c r="W35" i="3"/>
  <c r="X35" i="3"/>
  <c r="M8" i="3"/>
  <c r="R8" i="3"/>
  <c r="U8" i="3"/>
  <c r="V8" i="3"/>
  <c r="W8" i="3"/>
  <c r="X8" i="3"/>
  <c r="AC8" i="3"/>
  <c r="M28" i="3"/>
  <c r="U28" i="3"/>
  <c r="AC28" i="3" s="1"/>
  <c r="V28" i="3"/>
  <c r="W28" i="3"/>
  <c r="X28" i="3"/>
  <c r="M38" i="3"/>
  <c r="R38" i="3"/>
  <c r="S38" i="3"/>
  <c r="U38" i="3"/>
  <c r="AC38" i="3" s="1"/>
  <c r="V38" i="3"/>
  <c r="W38" i="3"/>
  <c r="X38" i="3"/>
  <c r="M24" i="3"/>
  <c r="S24" i="3"/>
  <c r="U24" i="3"/>
  <c r="V24" i="3"/>
  <c r="W24" i="3"/>
  <c r="X24" i="3"/>
  <c r="M36" i="3"/>
  <c r="R36" i="3"/>
  <c r="U36" i="3"/>
  <c r="AC36" i="3" s="1"/>
  <c r="V36" i="3"/>
  <c r="W36" i="3"/>
  <c r="X36" i="3"/>
  <c r="M27" i="3"/>
  <c r="U27" i="3"/>
  <c r="AC27" i="3" s="1"/>
  <c r="V27" i="3"/>
  <c r="W27" i="3"/>
  <c r="X27" i="3"/>
  <c r="M10" i="3"/>
  <c r="S10" i="3"/>
  <c r="U10" i="3"/>
  <c r="T10" i="3" s="1"/>
  <c r="V10" i="3"/>
  <c r="W10" i="3"/>
  <c r="X10" i="3"/>
  <c r="M31" i="3"/>
  <c r="S31" i="3"/>
  <c r="U31" i="3"/>
  <c r="V31" i="3"/>
  <c r="W31" i="3"/>
  <c r="X31" i="3"/>
  <c r="M17" i="3"/>
  <c r="R17" i="3"/>
  <c r="U17" i="3"/>
  <c r="AC17" i="3" s="1"/>
  <c r="V17" i="3"/>
  <c r="W17" i="3"/>
  <c r="X17" i="3"/>
  <c r="M18" i="3"/>
  <c r="R18" i="3"/>
  <c r="S18" i="3"/>
  <c r="U18" i="3"/>
  <c r="AC18" i="3" s="1"/>
  <c r="V18" i="3"/>
  <c r="W18" i="3"/>
  <c r="X18" i="3"/>
  <c r="M37" i="3"/>
  <c r="R37" i="3"/>
  <c r="U37" i="3"/>
  <c r="T37" i="3" s="1"/>
  <c r="V37" i="3"/>
  <c r="W37" i="3"/>
  <c r="X37" i="3"/>
  <c r="M26" i="3"/>
  <c r="R26" i="3"/>
  <c r="U26" i="3"/>
  <c r="V26" i="3"/>
  <c r="W26" i="3"/>
  <c r="X26" i="3"/>
  <c r="AD28" i="3" l="1"/>
  <c r="AD12" i="3"/>
  <c r="AD37" i="3"/>
  <c r="AD27" i="3"/>
  <c r="Y20" i="3"/>
  <c r="Y34" i="3"/>
  <c r="Y23" i="3"/>
  <c r="Y24" i="3"/>
  <c r="AE27" i="3"/>
  <c r="AE28" i="3"/>
  <c r="Y17" i="3"/>
  <c r="AD31" i="3"/>
  <c r="Y16" i="3"/>
  <c r="Y30" i="3"/>
  <c r="Y21" i="3"/>
  <c r="AC25" i="3"/>
  <c r="AE10" i="3"/>
  <c r="AE33" i="3"/>
  <c r="Y36" i="3"/>
  <c r="AD10" i="3"/>
  <c r="Y28" i="3"/>
  <c r="AD35" i="3"/>
  <c r="Y33" i="3"/>
  <c r="U86" i="1"/>
  <c r="S86" i="1" s="1"/>
  <c r="T38" i="3"/>
  <c r="T22" i="3"/>
  <c r="AE30" i="3"/>
  <c r="Y7" i="3"/>
  <c r="U175" i="1"/>
  <c r="S175" i="1" s="1"/>
  <c r="W242" i="1"/>
  <c r="X147" i="1"/>
  <c r="X142" i="1"/>
  <c r="X110" i="1"/>
  <c r="AI90" i="1"/>
  <c r="W74" i="1"/>
  <c r="AA67" i="1"/>
  <c r="AG66" i="1"/>
  <c r="AI66" i="1" s="1"/>
  <c r="X48" i="1"/>
  <c r="AA44" i="1"/>
  <c r="AA39" i="1"/>
  <c r="AA27" i="1"/>
  <c r="X20" i="1"/>
  <c r="AA16" i="1"/>
  <c r="AC39" i="3"/>
  <c r="AC31" i="3"/>
  <c r="W182" i="1"/>
  <c r="AC37" i="3"/>
  <c r="Y26" i="3"/>
  <c r="AD24" i="3"/>
  <c r="Y38" i="3"/>
  <c r="Y32" i="3"/>
  <c r="Y22" i="3"/>
  <c r="T182" i="1"/>
  <c r="AE37" i="3"/>
  <c r="AD18" i="3"/>
  <c r="Y31" i="3"/>
  <c r="T20" i="3"/>
  <c r="AD32" i="3"/>
  <c r="AD30" i="3"/>
  <c r="Y15" i="3"/>
  <c r="AA225" i="1"/>
  <c r="AA202" i="1"/>
  <c r="AA198" i="1"/>
  <c r="T190" i="1"/>
  <c r="AA186" i="1"/>
  <c r="W186" i="1" s="1"/>
  <c r="AA177" i="1"/>
  <c r="AA173" i="1"/>
  <c r="AG164" i="1"/>
  <c r="X164" i="1"/>
  <c r="AG237" i="1"/>
  <c r="X237" i="1"/>
  <c r="AA235" i="1"/>
  <c r="X215" i="1"/>
  <c r="AA211" i="1"/>
  <c r="T211" i="1"/>
  <c r="AA159" i="1"/>
  <c r="AG156" i="1"/>
  <c r="U156" i="1" s="1"/>
  <c r="S156" i="1" s="1"/>
  <c r="X156" i="1"/>
  <c r="AA148" i="1"/>
  <c r="AA146" i="1"/>
  <c r="AA145" i="1"/>
  <c r="AG139" i="1"/>
  <c r="X139" i="1"/>
  <c r="AG135" i="1"/>
  <c r="X135" i="1"/>
  <c r="T123" i="1"/>
  <c r="AA122" i="1"/>
  <c r="W122" i="1" s="1"/>
  <c r="AA102" i="1"/>
  <c r="AA95" i="1"/>
  <c r="T91" i="1"/>
  <c r="AA75" i="1"/>
  <c r="T75" i="1"/>
  <c r="AA58" i="1"/>
  <c r="W58" i="1" s="1"/>
  <c r="AA50" i="1"/>
  <c r="AA47" i="1"/>
  <c r="W47" i="1" s="1"/>
  <c r="AA32" i="1"/>
  <c r="W32" i="1" s="1"/>
  <c r="AC30" i="3"/>
  <c r="AC26" i="3"/>
  <c r="AA190" i="1"/>
  <c r="W190" i="1" s="1"/>
  <c r="AA164" i="1"/>
  <c r="AA163" i="1"/>
  <c r="AA237" i="1"/>
  <c r="AG211" i="1"/>
  <c r="AI211" i="1" s="1"/>
  <c r="AA209" i="1"/>
  <c r="AA156" i="1"/>
  <c r="W156" i="1" s="1"/>
  <c r="AA149" i="1"/>
  <c r="X146" i="1"/>
  <c r="AA144" i="1"/>
  <c r="AA142" i="1"/>
  <c r="AA139" i="1"/>
  <c r="AA135" i="1"/>
  <c r="AG123" i="1"/>
  <c r="AA121" i="1"/>
  <c r="AA117" i="1"/>
  <c r="X107" i="1"/>
  <c r="AG91" i="1"/>
  <c r="AA90" i="1"/>
  <c r="W90" i="1" s="1"/>
  <c r="AI88" i="1"/>
  <c r="AA76" i="1"/>
  <c r="AG75" i="1"/>
  <c r="X71" i="1"/>
  <c r="AA46" i="1"/>
  <c r="AA15" i="1"/>
  <c r="AC23" i="3"/>
  <c r="AC24" i="3"/>
  <c r="U171" i="1"/>
  <c r="S171" i="1" s="1"/>
  <c r="W155" i="1"/>
  <c r="R27" i="3"/>
  <c r="R28" i="3"/>
  <c r="S27" i="3"/>
  <c r="R29" i="3"/>
  <c r="X16" i="1"/>
  <c r="T222" i="1"/>
  <c r="U222" i="1" s="1"/>
  <c r="S222" i="1" s="1"/>
  <c r="AG222" i="1"/>
  <c r="W222" i="1" s="1"/>
  <c r="T208" i="1"/>
  <c r="AG208" i="1"/>
  <c r="W204" i="1"/>
  <c r="X222" i="1"/>
  <c r="W203" i="1"/>
  <c r="X195" i="1"/>
  <c r="X223" i="1"/>
  <c r="AA205" i="1"/>
  <c r="X203" i="1"/>
  <c r="AA199" i="1"/>
  <c r="AA194" i="1"/>
  <c r="AG192" i="1"/>
  <c r="X190" i="1"/>
  <c r="X186" i="1"/>
  <c r="AG180" i="1"/>
  <c r="X180" i="1"/>
  <c r="X179" i="1"/>
  <c r="AA179" i="1"/>
  <c r="W179" i="1" s="1"/>
  <c r="AG176" i="1"/>
  <c r="X176" i="1"/>
  <c r="AG172" i="1"/>
  <c r="X172" i="1"/>
  <c r="AA171" i="1"/>
  <c r="W171" i="1" s="1"/>
  <c r="AG163" i="1"/>
  <c r="X241" i="1"/>
  <c r="AG236" i="1"/>
  <c r="U236" i="1" s="1"/>
  <c r="S236" i="1" s="1"/>
  <c r="AA234" i="1"/>
  <c r="AA232" i="1"/>
  <c r="W232" i="1" s="1"/>
  <c r="X229" i="1"/>
  <c r="AG219" i="1"/>
  <c r="AI219" i="1" s="1"/>
  <c r="X219" i="1"/>
  <c r="AG216" i="1"/>
  <c r="AA215" i="1"/>
  <c r="AA214" i="1"/>
  <c r="AA154" i="1"/>
  <c r="X151" i="1"/>
  <c r="AA151" i="1"/>
  <c r="X134" i="1"/>
  <c r="AA134" i="1"/>
  <c r="W134" i="1" s="1"/>
  <c r="X126" i="1"/>
  <c r="AA124" i="1"/>
  <c r="AA118" i="1"/>
  <c r="W118" i="1" s="1"/>
  <c r="AA113" i="1"/>
  <c r="T107" i="1"/>
  <c r="AA106" i="1"/>
  <c r="W106" i="1" s="1"/>
  <c r="X103" i="1"/>
  <c r="AA103" i="1"/>
  <c r="AG99" i="1"/>
  <c r="X99" i="1"/>
  <c r="AA94" i="1"/>
  <c r="W94" i="1" s="1"/>
  <c r="AA93" i="1"/>
  <c r="X90" i="1"/>
  <c r="AA86" i="1"/>
  <c r="W86" i="1" s="1"/>
  <c r="AG72" i="1"/>
  <c r="AI72" i="1" s="1"/>
  <c r="AA64" i="1"/>
  <c r="AG63" i="1"/>
  <c r="X63" i="1"/>
  <c r="AA60" i="1"/>
  <c r="AG59" i="1"/>
  <c r="X59" i="1"/>
  <c r="T58" i="1"/>
  <c r="AA57" i="1"/>
  <c r="AA54" i="1"/>
  <c r="AG52" i="1"/>
  <c r="X51" i="1"/>
  <c r="AA48" i="1"/>
  <c r="W48" i="1" s="1"/>
  <c r="AI47" i="1"/>
  <c r="X41" i="1"/>
  <c r="AA41" i="1"/>
  <c r="T37" i="1"/>
  <c r="U37" i="1" s="1"/>
  <c r="S37" i="1" s="1"/>
  <c r="AA36" i="1"/>
  <c r="W36" i="1" s="1"/>
  <c r="X29" i="1"/>
  <c r="AA29" i="1"/>
  <c r="W237" i="1"/>
  <c r="W230" i="1"/>
  <c r="X32" i="1"/>
  <c r="AA28" i="1"/>
  <c r="W28" i="1" s="1"/>
  <c r="AA24" i="1"/>
  <c r="W24" i="1" s="1"/>
  <c r="AA23" i="1"/>
  <c r="AG21" i="1"/>
  <c r="X21" i="1"/>
  <c r="AA221" i="1"/>
  <c r="AA207" i="1"/>
  <c r="W207" i="1" s="1"/>
  <c r="X200" i="1"/>
  <c r="AG199" i="1"/>
  <c r="AI199" i="1" s="1"/>
  <c r="X199" i="1"/>
  <c r="AG196" i="1"/>
  <c r="X196" i="1"/>
  <c r="AG195" i="1"/>
  <c r="W195" i="1" s="1"/>
  <c r="AA180" i="1"/>
  <c r="W180" i="1" s="1"/>
  <c r="AA176" i="1"/>
  <c r="W176" i="1" s="1"/>
  <c r="AA170" i="1"/>
  <c r="AA162" i="1"/>
  <c r="AG234" i="1"/>
  <c r="W234" i="1" s="1"/>
  <c r="AA231" i="1"/>
  <c r="AA216" i="1"/>
  <c r="W216" i="1" s="1"/>
  <c r="AG214" i="1"/>
  <c r="X214" i="1"/>
  <c r="AG159" i="1"/>
  <c r="W159" i="1" s="1"/>
  <c r="AA158" i="1"/>
  <c r="AA137" i="1"/>
  <c r="AA133" i="1"/>
  <c r="W133" i="1" s="1"/>
  <c r="AA130" i="1"/>
  <c r="AA126" i="1"/>
  <c r="AA125" i="1"/>
  <c r="AA116" i="1"/>
  <c r="AA111" i="1"/>
  <c r="AG107" i="1"/>
  <c r="AA105" i="1"/>
  <c r="X94" i="1"/>
  <c r="AA92" i="1"/>
  <c r="AA89" i="1"/>
  <c r="W89" i="1" s="1"/>
  <c r="AA83" i="1"/>
  <c r="W83" i="1" s="1"/>
  <c r="AA80" i="1"/>
  <c r="AA70" i="1"/>
  <c r="AG68" i="1"/>
  <c r="AA66" i="1"/>
  <c r="AA59" i="1"/>
  <c r="W59" i="1" s="1"/>
  <c r="X55" i="1"/>
  <c r="AG54" i="1"/>
  <c r="AG49" i="1"/>
  <c r="U49" i="1" s="1"/>
  <c r="S49" i="1" s="1"/>
  <c r="AA34" i="1"/>
  <c r="AA31" i="1"/>
  <c r="AA19" i="1"/>
  <c r="W173" i="1"/>
  <c r="W236" i="1"/>
  <c r="T215" i="1"/>
  <c r="W160" i="1"/>
  <c r="AI134" i="1"/>
  <c r="X119" i="1"/>
  <c r="AI86" i="1"/>
  <c r="AA26" i="1"/>
  <c r="X25" i="1"/>
  <c r="X24" i="1"/>
  <c r="AI138" i="1"/>
  <c r="W167" i="1"/>
  <c r="W228" i="1"/>
  <c r="W218" i="1"/>
  <c r="AI191" i="1"/>
  <c r="AI187" i="1"/>
  <c r="AI183" i="1"/>
  <c r="AI167" i="1"/>
  <c r="AI207" i="1"/>
  <c r="AA223" i="1"/>
  <c r="T223" i="1"/>
  <c r="U223" i="1" s="1"/>
  <c r="S223" i="1" s="1"/>
  <c r="X207" i="1"/>
  <c r="X204" i="1"/>
  <c r="AA197" i="1"/>
  <c r="AA196" i="1"/>
  <c r="W196" i="1" s="1"/>
  <c r="X191" i="1"/>
  <c r="X187" i="1"/>
  <c r="X183" i="1"/>
  <c r="X178" i="1"/>
  <c r="W169" i="1"/>
  <c r="W164" i="1"/>
  <c r="U163" i="1"/>
  <c r="S163" i="1" s="1"/>
  <c r="X232" i="1"/>
  <c r="T228" i="1"/>
  <c r="U228" i="1" s="1"/>
  <c r="S228" i="1" s="1"/>
  <c r="AA227" i="1"/>
  <c r="AA226" i="1"/>
  <c r="W226" i="1" s="1"/>
  <c r="X218" i="1"/>
  <c r="AA213" i="1"/>
  <c r="AA212" i="1"/>
  <c r="X210" i="1"/>
  <c r="AA157" i="1"/>
  <c r="X155" i="1"/>
  <c r="AG152" i="1"/>
  <c r="X152" i="1"/>
  <c r="T151" i="1"/>
  <c r="AA147" i="1"/>
  <c r="T147" i="1"/>
  <c r="AG146" i="1"/>
  <c r="AG143" i="1"/>
  <c r="U143" i="1" s="1"/>
  <c r="S143" i="1" s="1"/>
  <c r="X143" i="1"/>
  <c r="X141" i="1"/>
  <c r="X138" i="1"/>
  <c r="X208" i="1"/>
  <c r="T203" i="1"/>
  <c r="U203" i="1" s="1"/>
  <c r="S203" i="1" s="1"/>
  <c r="AA201" i="1"/>
  <c r="AA200" i="1"/>
  <c r="T200" i="1"/>
  <c r="U200" i="1" s="1"/>
  <c r="S200" i="1" s="1"/>
  <c r="X192" i="1"/>
  <c r="X188" i="1"/>
  <c r="AG184" i="1"/>
  <c r="AI184" i="1" s="1"/>
  <c r="X184" i="1"/>
  <c r="T179" i="1"/>
  <c r="AA175" i="1"/>
  <c r="W175" i="1" s="1"/>
  <c r="AA174" i="1"/>
  <c r="W174" i="1" s="1"/>
  <c r="AG168" i="1"/>
  <c r="AI168" i="1" s="1"/>
  <c r="X168" i="1"/>
  <c r="AI195" i="1"/>
  <c r="T167" i="1"/>
  <c r="U167" i="1" s="1"/>
  <c r="S167" i="1" s="1"/>
  <c r="AA166" i="1"/>
  <c r="AA165" i="1"/>
  <c r="AA241" i="1"/>
  <c r="T241" i="1"/>
  <c r="AG240" i="1"/>
  <c r="U240" i="1" s="1"/>
  <c r="S240" i="1" s="1"/>
  <c r="AG238" i="1"/>
  <c r="AG233" i="1"/>
  <c r="U233" i="1" s="1"/>
  <c r="S233" i="1" s="1"/>
  <c r="X233" i="1"/>
  <c r="AA229" i="1"/>
  <c r="T229" i="1"/>
  <c r="AI171" i="1"/>
  <c r="U214" i="1"/>
  <c r="S214" i="1" s="1"/>
  <c r="AI163" i="1"/>
  <c r="W210" i="1"/>
  <c r="U159" i="1"/>
  <c r="S159" i="1" s="1"/>
  <c r="T150" i="1"/>
  <c r="U150" i="1" s="1"/>
  <c r="S150" i="1" s="1"/>
  <c r="T142" i="1"/>
  <c r="W138" i="1"/>
  <c r="AI94" i="1"/>
  <c r="W82" i="1"/>
  <c r="W78" i="1"/>
  <c r="AG223" i="1"/>
  <c r="AI223" i="1" s="1"/>
  <c r="T207" i="1"/>
  <c r="U207" i="1" s="1"/>
  <c r="S207" i="1" s="1"/>
  <c r="T191" i="1"/>
  <c r="U191" i="1" s="1"/>
  <c r="S191" i="1" s="1"/>
  <c r="T187" i="1"/>
  <c r="U187" i="1" s="1"/>
  <c r="S187" i="1" s="1"/>
  <c r="T183" i="1"/>
  <c r="U183" i="1" s="1"/>
  <c r="S183" i="1" s="1"/>
  <c r="U179" i="1"/>
  <c r="S179" i="1" s="1"/>
  <c r="T178" i="1"/>
  <c r="T232" i="1"/>
  <c r="U232" i="1" s="1"/>
  <c r="S232" i="1" s="1"/>
  <c r="T218" i="1"/>
  <c r="U218" i="1" s="1"/>
  <c r="S218" i="1" s="1"/>
  <c r="AG212" i="1"/>
  <c r="U212" i="1" s="1"/>
  <c r="S212" i="1" s="1"/>
  <c r="T210" i="1"/>
  <c r="U210" i="1" s="1"/>
  <c r="S210" i="1" s="1"/>
  <c r="AA161" i="1"/>
  <c r="X159" i="1"/>
  <c r="AA153" i="1"/>
  <c r="AA152" i="1"/>
  <c r="W152" i="1" s="1"/>
  <c r="AG151" i="1"/>
  <c r="AI151" i="1" s="1"/>
  <c r="AG147" i="1"/>
  <c r="AA143" i="1"/>
  <c r="AG142" i="1"/>
  <c r="T141" i="1"/>
  <c r="U141" i="1" s="1"/>
  <c r="S141" i="1" s="1"/>
  <c r="T138" i="1"/>
  <c r="U138" i="1" s="1"/>
  <c r="S138" i="1" s="1"/>
  <c r="AG133" i="1"/>
  <c r="U133" i="1" s="1"/>
  <c r="S133" i="1" s="1"/>
  <c r="X133" i="1"/>
  <c r="AI82" i="1"/>
  <c r="AI78" i="1"/>
  <c r="U62" i="1"/>
  <c r="S62" i="1" s="1"/>
  <c r="AI62" i="1"/>
  <c r="AA220" i="1"/>
  <c r="AA208" i="1"/>
  <c r="AG200" i="1"/>
  <c r="AA193" i="1"/>
  <c r="AA192" i="1"/>
  <c r="W192" i="1" s="1"/>
  <c r="AA189" i="1"/>
  <c r="AA188" i="1"/>
  <c r="W188" i="1" s="1"/>
  <c r="AA185" i="1"/>
  <c r="AA184" i="1"/>
  <c r="X182" i="1"/>
  <c r="AA168" i="1"/>
  <c r="AG165" i="1"/>
  <c r="U165" i="1" s="1"/>
  <c r="S165" i="1" s="1"/>
  <c r="AG241" i="1"/>
  <c r="AA239" i="1"/>
  <c r="AA238" i="1"/>
  <c r="W238" i="1" s="1"/>
  <c r="AA233" i="1"/>
  <c r="AG229" i="1"/>
  <c r="U229" i="1" s="1"/>
  <c r="S229" i="1" s="1"/>
  <c r="AI175" i="1"/>
  <c r="AA219" i="1"/>
  <c r="AG215" i="1"/>
  <c r="AI215" i="1" s="1"/>
  <c r="W211" i="1"/>
  <c r="AI159" i="1"/>
  <c r="U155" i="1"/>
  <c r="S155" i="1" s="1"/>
  <c r="X150" i="1"/>
  <c r="W139" i="1"/>
  <c r="AG137" i="1"/>
  <c r="W137" i="1" s="1"/>
  <c r="X137" i="1"/>
  <c r="W135" i="1"/>
  <c r="AI20" i="1"/>
  <c r="X129" i="1"/>
  <c r="T126" i="1"/>
  <c r="U126" i="1" s="1"/>
  <c r="S126" i="1" s="1"/>
  <c r="X118" i="1"/>
  <c r="T110" i="1"/>
  <c r="X102" i="1"/>
  <c r="AA85" i="1"/>
  <c r="X83" i="1"/>
  <c r="W75" i="1"/>
  <c r="U74" i="1"/>
  <c r="S74" i="1" s="1"/>
  <c r="W68" i="1"/>
  <c r="AA65" i="1"/>
  <c r="U58" i="1"/>
  <c r="S58" i="1" s="1"/>
  <c r="AA42" i="1"/>
  <c r="X40" i="1"/>
  <c r="X36" i="1"/>
  <c r="AG33" i="1"/>
  <c r="U33" i="1" s="1"/>
  <c r="S33" i="1" s="1"/>
  <c r="X33" i="1"/>
  <c r="T32" i="1"/>
  <c r="AA30" i="1"/>
  <c r="X28" i="1"/>
  <c r="AG25" i="1"/>
  <c r="U25" i="1" s="1"/>
  <c r="W21" i="1"/>
  <c r="AG17" i="1"/>
  <c r="U17" i="1" s="1"/>
  <c r="S17" i="1" s="1"/>
  <c r="X17" i="1"/>
  <c r="AG131" i="1"/>
  <c r="X131" i="1"/>
  <c r="T130" i="1"/>
  <c r="AG127" i="1"/>
  <c r="U127" i="1" s="1"/>
  <c r="S127" i="1" s="1"/>
  <c r="X127" i="1"/>
  <c r="AA123" i="1"/>
  <c r="W123" i="1" s="1"/>
  <c r="T122" i="1"/>
  <c r="U122" i="1" s="1"/>
  <c r="AA120" i="1"/>
  <c r="T119" i="1"/>
  <c r="X114" i="1"/>
  <c r="AG111" i="1"/>
  <c r="W111" i="1" s="1"/>
  <c r="X111" i="1"/>
  <c r="AA107" i="1"/>
  <c r="W107" i="1" s="1"/>
  <c r="T106" i="1"/>
  <c r="AA104" i="1"/>
  <c r="T103" i="1"/>
  <c r="X98" i="1"/>
  <c r="AG95" i="1"/>
  <c r="W95" i="1" s="1"/>
  <c r="X95" i="1"/>
  <c r="T90" i="1"/>
  <c r="U90" i="1" s="1"/>
  <c r="S90" i="1" s="1"/>
  <c r="AG87" i="1"/>
  <c r="X87" i="1"/>
  <c r="T82" i="1"/>
  <c r="U82" i="1" s="1"/>
  <c r="S82" i="1" s="1"/>
  <c r="AA81" i="1"/>
  <c r="X79" i="1"/>
  <c r="T78" i="1"/>
  <c r="U78" i="1" s="1"/>
  <c r="S78" i="1" s="1"/>
  <c r="AA77" i="1"/>
  <c r="AA71" i="1"/>
  <c r="T71" i="1"/>
  <c r="AG70" i="1"/>
  <c r="W64" i="1"/>
  <c r="W62" i="1"/>
  <c r="AA61" i="1"/>
  <c r="AA55" i="1"/>
  <c r="T55" i="1"/>
  <c r="U54" i="1"/>
  <c r="S54" i="1" s="1"/>
  <c r="T47" i="1"/>
  <c r="U47" i="1" s="1"/>
  <c r="S47" i="1" s="1"/>
  <c r="T44" i="1"/>
  <c r="U44" i="1" s="1"/>
  <c r="S44" i="1" s="1"/>
  <c r="T41" i="1"/>
  <c r="T29" i="1"/>
  <c r="W20" i="1"/>
  <c r="T16" i="1"/>
  <c r="AA14" i="1"/>
  <c r="T129" i="1"/>
  <c r="T118" i="1"/>
  <c r="T102" i="1"/>
  <c r="U102" i="1" s="1"/>
  <c r="S102" i="1" s="1"/>
  <c r="T94" i="1"/>
  <c r="U94" i="1" s="1"/>
  <c r="S94" i="1" s="1"/>
  <c r="AG84" i="1"/>
  <c r="W84" i="1" s="1"/>
  <c r="W67" i="1"/>
  <c r="W56" i="1"/>
  <c r="AG41" i="1"/>
  <c r="U41" i="1" s="1"/>
  <c r="S41" i="1" s="1"/>
  <c r="T40" i="1"/>
  <c r="AA37" i="1"/>
  <c r="T36" i="1"/>
  <c r="AG29" i="1"/>
  <c r="AI29" i="1" s="1"/>
  <c r="T28" i="1"/>
  <c r="T20" i="1"/>
  <c r="U20" i="1" s="1"/>
  <c r="S20" i="1" s="1"/>
  <c r="AA18" i="1"/>
  <c r="AA17" i="1"/>
  <c r="W17" i="1" s="1"/>
  <c r="AG16" i="1"/>
  <c r="W16" i="1" s="1"/>
  <c r="X15" i="1"/>
  <c r="AA132" i="1"/>
  <c r="AA131" i="1"/>
  <c r="AG130" i="1"/>
  <c r="AA128" i="1"/>
  <c r="AA127" i="1"/>
  <c r="X122" i="1"/>
  <c r="AG119" i="1"/>
  <c r="W119" i="1" s="1"/>
  <c r="AA115" i="1"/>
  <c r="W115" i="1" s="1"/>
  <c r="T114" i="1"/>
  <c r="U114" i="1" s="1"/>
  <c r="S114" i="1" s="1"/>
  <c r="AA112" i="1"/>
  <c r="X106" i="1"/>
  <c r="AG103" i="1"/>
  <c r="W103" i="1" s="1"/>
  <c r="AA99" i="1"/>
  <c r="W99" i="1" s="1"/>
  <c r="T98" i="1"/>
  <c r="U98" i="1" s="1"/>
  <c r="S98" i="1" s="1"/>
  <c r="AA96" i="1"/>
  <c r="AA91" i="1"/>
  <c r="W91" i="1" s="1"/>
  <c r="AI89" i="1"/>
  <c r="AA88" i="1"/>
  <c r="W88" i="1" s="1"/>
  <c r="AA87" i="1"/>
  <c r="AG80" i="1"/>
  <c r="AA79" i="1"/>
  <c r="W79" i="1" s="1"/>
  <c r="T79" i="1"/>
  <c r="U79" i="1" s="1"/>
  <c r="S79" i="1" s="1"/>
  <c r="AG76" i="1"/>
  <c r="W76" i="1" s="1"/>
  <c r="AA72" i="1"/>
  <c r="AG71" i="1"/>
  <c r="U71" i="1" s="1"/>
  <c r="S71" i="1" s="1"/>
  <c r="AA69" i="1"/>
  <c r="AA63" i="1"/>
  <c r="W63" i="1" s="1"/>
  <c r="AG60" i="1"/>
  <c r="AG55" i="1"/>
  <c r="U55" i="1" s="1"/>
  <c r="S55" i="1" s="1"/>
  <c r="AI54" i="1"/>
  <c r="AA53" i="1"/>
  <c r="AA52" i="1"/>
  <c r="W52" i="1" s="1"/>
  <c r="T51" i="1"/>
  <c r="U51" i="1" s="1"/>
  <c r="S51" i="1" s="1"/>
  <c r="X44" i="1"/>
  <c r="AG37" i="1"/>
  <c r="AA33" i="1"/>
  <c r="AA25" i="1"/>
  <c r="W25" i="1" s="1"/>
  <c r="T24" i="1"/>
  <c r="AA22" i="1"/>
  <c r="U186" i="1"/>
  <c r="S186" i="1" s="1"/>
  <c r="AI214" i="1"/>
  <c r="U178" i="1"/>
  <c r="S178" i="1" s="1"/>
  <c r="U190" i="1"/>
  <c r="S190" i="1" s="1"/>
  <c r="AI218" i="1"/>
  <c r="U182" i="1"/>
  <c r="S182" i="1" s="1"/>
  <c r="AI210" i="1"/>
  <c r="W178" i="1"/>
  <c r="U204" i="1"/>
  <c r="S204" i="1" s="1"/>
  <c r="U196" i="1"/>
  <c r="S196" i="1" s="1"/>
  <c r="U192" i="1"/>
  <c r="S192" i="1" s="1"/>
  <c r="U188" i="1"/>
  <c r="S188" i="1" s="1"/>
  <c r="U180" i="1"/>
  <c r="S180" i="1" s="1"/>
  <c r="U176" i="1"/>
  <c r="S176" i="1" s="1"/>
  <c r="AI200" i="1"/>
  <c r="U172" i="1"/>
  <c r="S172" i="1" s="1"/>
  <c r="AG224" i="1"/>
  <c r="W224" i="1" s="1"/>
  <c r="AG220" i="1"/>
  <c r="AG205" i="1"/>
  <c r="W205" i="1" s="1"/>
  <c r="AG201" i="1"/>
  <c r="AI201" i="1" s="1"/>
  <c r="AG197" i="1"/>
  <c r="AI197" i="1" s="1"/>
  <c r="AG193" i="1"/>
  <c r="AG189" i="1"/>
  <c r="AG185" i="1"/>
  <c r="W185" i="1" s="1"/>
  <c r="AG181" i="1"/>
  <c r="AI181" i="1" s="1"/>
  <c r="AG177" i="1"/>
  <c r="T174" i="1"/>
  <c r="U174" i="1" s="1"/>
  <c r="S174" i="1" s="1"/>
  <c r="AG225" i="1"/>
  <c r="W225" i="1" s="1"/>
  <c r="X224" i="1"/>
  <c r="AG221" i="1"/>
  <c r="X220" i="1"/>
  <c r="AG206" i="1"/>
  <c r="AI206" i="1" s="1"/>
  <c r="X205" i="1"/>
  <c r="AI232" i="1"/>
  <c r="AG202" i="1"/>
  <c r="AI202" i="1" s="1"/>
  <c r="X201" i="1"/>
  <c r="AI228" i="1"/>
  <c r="AG198" i="1"/>
  <c r="X197" i="1"/>
  <c r="AG194" i="1"/>
  <c r="X193" i="1"/>
  <c r="AI220" i="1"/>
  <c r="X189" i="1"/>
  <c r="T189" i="1"/>
  <c r="AI216" i="1"/>
  <c r="X185" i="1"/>
  <c r="T185" i="1"/>
  <c r="AI212" i="1"/>
  <c r="X181" i="1"/>
  <c r="T181" i="1"/>
  <c r="AI208" i="1"/>
  <c r="X177" i="1"/>
  <c r="AI204" i="1"/>
  <c r="X174" i="1"/>
  <c r="T173" i="1"/>
  <c r="U173" i="1" s="1"/>
  <c r="S173" i="1" s="1"/>
  <c r="X173" i="1"/>
  <c r="AA172" i="1"/>
  <c r="X225" i="1"/>
  <c r="X221" i="1"/>
  <c r="X206" i="1"/>
  <c r="X202" i="1"/>
  <c r="X198" i="1"/>
  <c r="X194" i="1"/>
  <c r="T170" i="1"/>
  <c r="X170" i="1"/>
  <c r="AG170" i="1"/>
  <c r="W170" i="1" s="1"/>
  <c r="X171" i="1"/>
  <c r="X167" i="1"/>
  <c r="U164" i="1"/>
  <c r="S164" i="1" s="1"/>
  <c r="X163" i="1"/>
  <c r="X240" i="1"/>
  <c r="U237" i="1"/>
  <c r="S237" i="1" s="1"/>
  <c r="X236" i="1"/>
  <c r="U215" i="1"/>
  <c r="S215" i="1" s="1"/>
  <c r="U211" i="1"/>
  <c r="S211" i="1" s="1"/>
  <c r="U160" i="1"/>
  <c r="S160" i="1" s="1"/>
  <c r="AI141" i="1"/>
  <c r="AI126" i="1"/>
  <c r="U110" i="1"/>
  <c r="S110" i="1" s="1"/>
  <c r="AI110" i="1"/>
  <c r="U169" i="1"/>
  <c r="S169" i="1" s="1"/>
  <c r="U242" i="1"/>
  <c r="S242" i="1" s="1"/>
  <c r="U238" i="1"/>
  <c r="S238" i="1" s="1"/>
  <c r="U230" i="1"/>
  <c r="S230" i="1" s="1"/>
  <c r="U226" i="1"/>
  <c r="S226" i="1" s="1"/>
  <c r="U216" i="1"/>
  <c r="S216" i="1" s="1"/>
  <c r="AG161" i="1"/>
  <c r="AG157" i="1"/>
  <c r="AG153" i="1"/>
  <c r="AI137" i="1"/>
  <c r="W129" i="1"/>
  <c r="AI122" i="1"/>
  <c r="U106" i="1"/>
  <c r="S106" i="1" s="1"/>
  <c r="AI106" i="1"/>
  <c r="W102" i="1"/>
  <c r="U87" i="1"/>
  <c r="S87" i="1" s="1"/>
  <c r="X169" i="1"/>
  <c r="AI196" i="1"/>
  <c r="AG166" i="1"/>
  <c r="X165" i="1"/>
  <c r="AI192" i="1"/>
  <c r="AG162" i="1"/>
  <c r="X242" i="1"/>
  <c r="AI188" i="1"/>
  <c r="AG239" i="1"/>
  <c r="AI239" i="1" s="1"/>
  <c r="X238" i="1"/>
  <c r="AG235" i="1"/>
  <c r="AI235" i="1" s="1"/>
  <c r="X234" i="1"/>
  <c r="AI180" i="1"/>
  <c r="AG231" i="1"/>
  <c r="X230" i="1"/>
  <c r="AI176" i="1"/>
  <c r="AG227" i="1"/>
  <c r="AI227" i="1" s="1"/>
  <c r="X226" i="1"/>
  <c r="AI172" i="1"/>
  <c r="AG217" i="1"/>
  <c r="W217" i="1" s="1"/>
  <c r="X216" i="1"/>
  <c r="AG213" i="1"/>
  <c r="X212" i="1"/>
  <c r="AI164" i="1"/>
  <c r="AG209" i="1"/>
  <c r="W209" i="1" s="1"/>
  <c r="X161" i="1"/>
  <c r="AI160" i="1"/>
  <c r="AG158" i="1"/>
  <c r="X157" i="1"/>
  <c r="AG154" i="1"/>
  <c r="W154" i="1" s="1"/>
  <c r="X153" i="1"/>
  <c r="AI152" i="1"/>
  <c r="U152" i="1"/>
  <c r="S152" i="1" s="1"/>
  <c r="U129" i="1"/>
  <c r="S129" i="1" s="1"/>
  <c r="AI129" i="1"/>
  <c r="U118" i="1"/>
  <c r="S118" i="1" s="1"/>
  <c r="AI118" i="1"/>
  <c r="AI102" i="1"/>
  <c r="W98" i="1"/>
  <c r="X166" i="1"/>
  <c r="AI193" i="1"/>
  <c r="X162" i="1"/>
  <c r="AI189" i="1"/>
  <c r="X239" i="1"/>
  <c r="X235" i="1"/>
  <c r="X231" i="1"/>
  <c r="AI177" i="1"/>
  <c r="X227" i="1"/>
  <c r="AI173" i="1"/>
  <c r="X217" i="1"/>
  <c r="AI169" i="1"/>
  <c r="X213" i="1"/>
  <c r="X209" i="1"/>
  <c r="X158" i="1"/>
  <c r="X154" i="1"/>
  <c r="AI150" i="1"/>
  <c r="W141" i="1"/>
  <c r="W126" i="1"/>
  <c r="AI114" i="1"/>
  <c r="W110" i="1"/>
  <c r="AI98" i="1"/>
  <c r="U147" i="1"/>
  <c r="S147" i="1" s="1"/>
  <c r="U139" i="1"/>
  <c r="S139" i="1" s="1"/>
  <c r="U135" i="1"/>
  <c r="S135" i="1" s="1"/>
  <c r="U131" i="1"/>
  <c r="S131" i="1" s="1"/>
  <c r="U123" i="1"/>
  <c r="S123" i="1" s="1"/>
  <c r="U119" i="1"/>
  <c r="S119" i="1" s="1"/>
  <c r="U115" i="1"/>
  <c r="S115" i="1" s="1"/>
  <c r="U107" i="1"/>
  <c r="S107" i="1" s="1"/>
  <c r="U103" i="1"/>
  <c r="S103" i="1" s="1"/>
  <c r="U99" i="1"/>
  <c r="S99" i="1" s="1"/>
  <c r="U91" i="1"/>
  <c r="S91" i="1" s="1"/>
  <c r="U89" i="1"/>
  <c r="S89" i="1" s="1"/>
  <c r="AI84" i="1"/>
  <c r="AI79" i="1"/>
  <c r="AG148" i="1"/>
  <c r="W148" i="1" s="1"/>
  <c r="AG144" i="1"/>
  <c r="AG140" i="1"/>
  <c r="AG136" i="1"/>
  <c r="AG132" i="1"/>
  <c r="AG128" i="1"/>
  <c r="AG124" i="1"/>
  <c r="AG120" i="1"/>
  <c r="AG116" i="1"/>
  <c r="AG112" i="1"/>
  <c r="AG108" i="1"/>
  <c r="AG104" i="1"/>
  <c r="W104" i="1" s="1"/>
  <c r="AG100" i="1"/>
  <c r="W100" i="1" s="1"/>
  <c r="AG96" i="1"/>
  <c r="AG92" i="1"/>
  <c r="T89" i="1"/>
  <c r="W87" i="1"/>
  <c r="U84" i="1"/>
  <c r="S84" i="1" s="1"/>
  <c r="AG149" i="1"/>
  <c r="X148" i="1"/>
  <c r="AI147" i="1"/>
  <c r="AG145" i="1"/>
  <c r="X144" i="1"/>
  <c r="X140" i="1"/>
  <c r="AI139" i="1"/>
  <c r="X136" i="1"/>
  <c r="AI135" i="1"/>
  <c r="X132" i="1"/>
  <c r="AI131" i="1"/>
  <c r="X128" i="1"/>
  <c r="AG125" i="1"/>
  <c r="W125" i="1" s="1"/>
  <c r="X124" i="1"/>
  <c r="AI123" i="1"/>
  <c r="AG121" i="1"/>
  <c r="X120" i="1"/>
  <c r="AI119" i="1"/>
  <c r="AG117" i="1"/>
  <c r="W117" i="1" s="1"/>
  <c r="X116" i="1"/>
  <c r="AI115" i="1"/>
  <c r="AG113" i="1"/>
  <c r="X112" i="1"/>
  <c r="AI111" i="1"/>
  <c r="AG109" i="1"/>
  <c r="X108" i="1"/>
  <c r="AI107" i="1"/>
  <c r="AG105" i="1"/>
  <c r="X104" i="1"/>
  <c r="AI103" i="1"/>
  <c r="AG101" i="1"/>
  <c r="X100" i="1"/>
  <c r="AI99" i="1"/>
  <c r="AG97" i="1"/>
  <c r="W97" i="1" s="1"/>
  <c r="X96" i="1"/>
  <c r="AG93" i="1"/>
  <c r="X92" i="1"/>
  <c r="AI91" i="1"/>
  <c r="X89" i="1"/>
  <c r="T88" i="1"/>
  <c r="U88" i="1" s="1"/>
  <c r="S88" i="1" s="1"/>
  <c r="X88" i="1"/>
  <c r="AI83" i="1"/>
  <c r="U83" i="1"/>
  <c r="S83" i="1" s="1"/>
  <c r="X149" i="1"/>
  <c r="X145" i="1"/>
  <c r="X125" i="1"/>
  <c r="X121" i="1"/>
  <c r="X117" i="1"/>
  <c r="X113" i="1"/>
  <c r="X109" i="1"/>
  <c r="X105" i="1"/>
  <c r="X101" i="1"/>
  <c r="X97" i="1"/>
  <c r="X93" i="1"/>
  <c r="AI87" i="1"/>
  <c r="T85" i="1"/>
  <c r="X85" i="1"/>
  <c r="AG85" i="1"/>
  <c r="X86" i="1"/>
  <c r="X82" i="1"/>
  <c r="X78" i="1"/>
  <c r="U75" i="1"/>
  <c r="S75" i="1" s="1"/>
  <c r="X74" i="1"/>
  <c r="X70" i="1"/>
  <c r="U67" i="1"/>
  <c r="S67" i="1" s="1"/>
  <c r="X66" i="1"/>
  <c r="U63" i="1"/>
  <c r="S63" i="1" s="1"/>
  <c r="X62" i="1"/>
  <c r="U59" i="1"/>
  <c r="S59" i="1" s="1"/>
  <c r="X58" i="1"/>
  <c r="X54" i="1"/>
  <c r="AA49" i="1"/>
  <c r="W49" i="1" s="1"/>
  <c r="X47" i="1"/>
  <c r="T46" i="1"/>
  <c r="X46" i="1"/>
  <c r="AG46" i="1"/>
  <c r="W46" i="1" s="1"/>
  <c r="U32" i="1"/>
  <c r="S32" i="1" s="1"/>
  <c r="AI32" i="1"/>
  <c r="T30" i="1"/>
  <c r="X30" i="1"/>
  <c r="AG30" i="1"/>
  <c r="W30" i="1" s="1"/>
  <c r="U80" i="1"/>
  <c r="S80" i="1" s="1"/>
  <c r="U76" i="1"/>
  <c r="S76" i="1" s="1"/>
  <c r="U68" i="1"/>
  <c r="S68" i="1" s="1"/>
  <c r="U64" i="1"/>
  <c r="S64" i="1" s="1"/>
  <c r="U60" i="1"/>
  <c r="S60" i="1" s="1"/>
  <c r="U56" i="1"/>
  <c r="S56" i="1" s="1"/>
  <c r="U52" i="1"/>
  <c r="S52" i="1" s="1"/>
  <c r="AI45" i="1"/>
  <c r="U28" i="1"/>
  <c r="S28" i="1" s="1"/>
  <c r="AI28" i="1"/>
  <c r="T26" i="1"/>
  <c r="X26" i="1"/>
  <c r="AG26" i="1"/>
  <c r="W26" i="1" s="1"/>
  <c r="X84" i="1"/>
  <c r="AG81" i="1"/>
  <c r="X80" i="1"/>
  <c r="AG77" i="1"/>
  <c r="X76" i="1"/>
  <c r="AI75" i="1"/>
  <c r="AG73" i="1"/>
  <c r="W73" i="1" s="1"/>
  <c r="X72" i="1"/>
  <c r="AG69" i="1"/>
  <c r="X68" i="1"/>
  <c r="AI67" i="1"/>
  <c r="AG65" i="1"/>
  <c r="X64" i="1"/>
  <c r="AI63" i="1"/>
  <c r="AG61" i="1"/>
  <c r="W61" i="1" s="1"/>
  <c r="X60" i="1"/>
  <c r="AI59" i="1"/>
  <c r="AG57" i="1"/>
  <c r="X56" i="1"/>
  <c r="AG53" i="1"/>
  <c r="X52" i="1"/>
  <c r="T50" i="1"/>
  <c r="X50" i="1"/>
  <c r="AG50" i="1"/>
  <c r="U48" i="1"/>
  <c r="S48" i="1" s="1"/>
  <c r="U45" i="1"/>
  <c r="S45" i="1" s="1"/>
  <c r="W44" i="1"/>
  <c r="T42" i="1"/>
  <c r="X42" i="1"/>
  <c r="AG42" i="1"/>
  <c r="T38" i="1"/>
  <c r="X38" i="1"/>
  <c r="AG38" i="1"/>
  <c r="U24" i="1"/>
  <c r="S24" i="1" s="1"/>
  <c r="AI24" i="1"/>
  <c r="X81" i="1"/>
  <c r="AI80" i="1"/>
  <c r="X77" i="1"/>
  <c r="AI76" i="1"/>
  <c r="X73" i="1"/>
  <c r="X69" i="1"/>
  <c r="AI68" i="1"/>
  <c r="X65" i="1"/>
  <c r="AI64" i="1"/>
  <c r="X61" i="1"/>
  <c r="AI60" i="1"/>
  <c r="X57" i="1"/>
  <c r="AI56" i="1"/>
  <c r="X53" i="1"/>
  <c r="AI52" i="1"/>
  <c r="AA45" i="1"/>
  <c r="W45" i="1" s="1"/>
  <c r="AI44" i="1"/>
  <c r="U40" i="1"/>
  <c r="S40" i="1" s="1"/>
  <c r="AI40" i="1"/>
  <c r="AI37" i="1"/>
  <c r="U36" i="1"/>
  <c r="S36" i="1" s="1"/>
  <c r="AI36" i="1"/>
  <c r="T34" i="1"/>
  <c r="X34" i="1"/>
  <c r="AG34" i="1"/>
  <c r="U21" i="1"/>
  <c r="S21" i="1" s="1"/>
  <c r="X49" i="1"/>
  <c r="AI48" i="1"/>
  <c r="X45" i="1"/>
  <c r="AG22" i="1"/>
  <c r="W22" i="1" s="1"/>
  <c r="AG18" i="1"/>
  <c r="AG14" i="1"/>
  <c r="AG43" i="1"/>
  <c r="W43" i="1" s="1"/>
  <c r="AG39" i="1"/>
  <c r="AG35" i="1"/>
  <c r="AG31" i="1"/>
  <c r="W31" i="1" s="1"/>
  <c r="AG27" i="1"/>
  <c r="AG23" i="1"/>
  <c r="X22" i="1"/>
  <c r="AI21" i="1"/>
  <c r="AG19" i="1"/>
  <c r="X18" i="1"/>
  <c r="AI17" i="1"/>
  <c r="AG15" i="1"/>
  <c r="W15" i="1" s="1"/>
  <c r="T14" i="1"/>
  <c r="X43" i="1"/>
  <c r="X39" i="1"/>
  <c r="X35" i="1"/>
  <c r="X31" i="1"/>
  <c r="X27" i="1"/>
  <c r="X23" i="1"/>
  <c r="X19" i="1"/>
  <c r="AC10" i="3"/>
  <c r="AD20" i="3"/>
  <c r="AE39" i="3"/>
  <c r="AE25" i="3"/>
  <c r="AD38" i="3"/>
  <c r="AE38" i="3"/>
  <c r="Y8" i="3"/>
  <c r="Y39" i="3"/>
  <c r="AD39" i="3"/>
  <c r="Y25" i="3"/>
  <c r="AD25" i="3"/>
  <c r="Y12" i="3"/>
  <c r="AE13" i="3"/>
  <c r="Y9" i="3"/>
  <c r="Y10" i="3"/>
  <c r="AD33" i="3"/>
  <c r="AD19" i="3"/>
  <c r="AE19" i="3"/>
  <c r="T21" i="3"/>
  <c r="AD13" i="3"/>
  <c r="AD23" i="3"/>
  <c r="T18" i="3"/>
  <c r="T35" i="3"/>
  <c r="T11" i="3"/>
  <c r="AD7" i="3"/>
  <c r="AE7" i="3"/>
  <c r="T34" i="3"/>
  <c r="T13" i="3"/>
  <c r="AE22" i="3"/>
  <c r="AD29" i="3"/>
  <c r="AE29" i="3"/>
  <c r="Y35" i="3"/>
  <c r="Y11" i="3"/>
  <c r="T14" i="3"/>
  <c r="Y13" i="3"/>
  <c r="Y18" i="3"/>
  <c r="T27" i="3"/>
  <c r="Y37" i="3"/>
  <c r="AE18" i="3"/>
  <c r="Y27" i="3"/>
  <c r="AE20" i="3"/>
  <c r="Y19" i="3"/>
  <c r="Y14" i="3"/>
  <c r="AE21" i="3"/>
  <c r="AE12" i="3"/>
  <c r="T9" i="3"/>
  <c r="AE17" i="3"/>
  <c r="T17" i="3"/>
  <c r="AE36" i="3"/>
  <c r="T36" i="3"/>
  <c r="AE8" i="3"/>
  <c r="T28" i="3"/>
  <c r="AE16" i="3"/>
  <c r="T33" i="3"/>
  <c r="AE11" i="3"/>
  <c r="T32" i="3"/>
  <c r="AE14" i="3"/>
  <c r="T15" i="3"/>
  <c r="T26" i="3"/>
  <c r="AD17" i="3"/>
  <c r="AE31" i="3"/>
  <c r="T31" i="3"/>
  <c r="AD36" i="3"/>
  <c r="AE24" i="3"/>
  <c r="T24" i="3"/>
  <c r="AD8" i="3"/>
  <c r="AE35" i="3"/>
  <c r="T8" i="3"/>
  <c r="AD16" i="3"/>
  <c r="T16" i="3"/>
  <c r="AD11" i="3"/>
  <c r="AE32" i="3"/>
  <c r="T30" i="3"/>
  <c r="AD14" i="3"/>
  <c r="AE15" i="3"/>
  <c r="T7" i="3"/>
  <c r="AD21" i="3"/>
  <c r="AE34" i="3"/>
  <c r="T12" i="3"/>
  <c r="AD22" i="3"/>
  <c r="AE9" i="3"/>
  <c r="T29" i="3"/>
  <c r="AD15" i="3"/>
  <c r="AD34" i="3"/>
  <c r="AD9" i="3"/>
  <c r="AE23" i="3"/>
  <c r="S40" i="3"/>
  <c r="M40" i="3"/>
  <c r="R40" i="3"/>
  <c r="U40" i="3"/>
  <c r="V40" i="3"/>
  <c r="W40" i="3"/>
  <c r="X40" i="3"/>
  <c r="AI143" i="1" l="1"/>
  <c r="U95" i="1"/>
  <c r="S95" i="1" s="1"/>
  <c r="AI156" i="1"/>
  <c r="W166" i="1"/>
  <c r="U168" i="1"/>
  <c r="S168" i="1" s="1"/>
  <c r="AI240" i="1"/>
  <c r="W168" i="1"/>
  <c r="U66" i="1"/>
  <c r="S66" i="1" s="1"/>
  <c r="W163" i="1"/>
  <c r="W27" i="1"/>
  <c r="AI95" i="1"/>
  <c r="W121" i="1"/>
  <c r="W161" i="1"/>
  <c r="AI224" i="1"/>
  <c r="W131" i="1"/>
  <c r="W132" i="1"/>
  <c r="U151" i="1"/>
  <c r="S151" i="1" s="1"/>
  <c r="W37" i="1"/>
  <c r="W142" i="1"/>
  <c r="U241" i="1"/>
  <c r="S241" i="1" s="1"/>
  <c r="W66" i="1"/>
  <c r="U208" i="1"/>
  <c r="S208" i="1" s="1"/>
  <c r="AI127" i="1"/>
  <c r="W120" i="1"/>
  <c r="AI165" i="1"/>
  <c r="U184" i="1"/>
  <c r="S184" i="1" s="1"/>
  <c r="W219" i="1"/>
  <c r="AI41" i="1"/>
  <c r="AI49" i="1"/>
  <c r="AI55" i="1"/>
  <c r="AI71" i="1"/>
  <c r="U72" i="1"/>
  <c r="S72" i="1" s="1"/>
  <c r="AI33" i="1"/>
  <c r="W124" i="1"/>
  <c r="U111" i="1"/>
  <c r="S111" i="1" s="1"/>
  <c r="AI133" i="1"/>
  <c r="U137" i="1"/>
  <c r="S137" i="1" s="1"/>
  <c r="U234" i="1"/>
  <c r="S234" i="1" s="1"/>
  <c r="W172" i="1"/>
  <c r="AI236" i="1"/>
  <c r="W202" i="1"/>
  <c r="W33" i="1"/>
  <c r="W60" i="1"/>
  <c r="W72" i="1"/>
  <c r="W80" i="1"/>
  <c r="W208" i="1"/>
  <c r="U195" i="1"/>
  <c r="S195" i="1" s="1"/>
  <c r="W34" i="1"/>
  <c r="W81" i="1"/>
  <c r="U219" i="1"/>
  <c r="S219" i="1" s="1"/>
  <c r="T40" i="3"/>
  <c r="AC40" i="3"/>
  <c r="AI185" i="1"/>
  <c r="W162" i="1"/>
  <c r="W184" i="1"/>
  <c r="U199" i="1"/>
  <c r="S199" i="1" s="1"/>
  <c r="AI25" i="1"/>
  <c r="W214" i="1"/>
  <c r="W199" i="1"/>
  <c r="U29" i="1"/>
  <c r="S29" i="1" s="1"/>
  <c r="W212" i="1"/>
  <c r="W127" i="1"/>
  <c r="W151" i="1"/>
  <c r="W54" i="1"/>
  <c r="W29" i="1"/>
  <c r="W241" i="1"/>
  <c r="W200" i="1"/>
  <c r="W223" i="1"/>
  <c r="W240" i="1"/>
  <c r="W55" i="1"/>
  <c r="U70" i="1"/>
  <c r="S70" i="1" s="1"/>
  <c r="AI70" i="1"/>
  <c r="W70" i="1"/>
  <c r="W165" i="1"/>
  <c r="U146" i="1"/>
  <c r="S146" i="1" s="1"/>
  <c r="AI146" i="1"/>
  <c r="W146" i="1"/>
  <c r="W239" i="1"/>
  <c r="W41" i="1"/>
  <c r="U142" i="1"/>
  <c r="S142" i="1" s="1"/>
  <c r="AI142" i="1"/>
  <c r="W229" i="1"/>
  <c r="W231" i="1"/>
  <c r="AI231" i="1"/>
  <c r="W201" i="1"/>
  <c r="U130" i="1"/>
  <c r="S130" i="1" s="1"/>
  <c r="AI130" i="1"/>
  <c r="U16" i="1"/>
  <c r="AI16" i="1"/>
  <c r="W130" i="1"/>
  <c r="W71" i="1"/>
  <c r="W233" i="1"/>
  <c r="W143" i="1"/>
  <c r="W215" i="1"/>
  <c r="W147" i="1"/>
  <c r="U35" i="1"/>
  <c r="S35" i="1" s="1"/>
  <c r="AI35" i="1"/>
  <c r="AI18" i="1"/>
  <c r="U18" i="1"/>
  <c r="S18" i="1" s="1"/>
  <c r="U85" i="1"/>
  <c r="S85" i="1" s="1"/>
  <c r="AI85" i="1"/>
  <c r="U158" i="1"/>
  <c r="AI158" i="1"/>
  <c r="U227" i="1"/>
  <c r="S227" i="1" s="1"/>
  <c r="AI174" i="1"/>
  <c r="AI153" i="1"/>
  <c r="U153" i="1"/>
  <c r="S153" i="1" s="1"/>
  <c r="U198" i="1"/>
  <c r="S198" i="1" s="1"/>
  <c r="AI226" i="1"/>
  <c r="AI217" i="1"/>
  <c r="U189" i="1"/>
  <c r="S189" i="1" s="1"/>
  <c r="U23" i="1"/>
  <c r="S23" i="1" s="1"/>
  <c r="AI23" i="1"/>
  <c r="U39" i="1"/>
  <c r="S39" i="1" s="1"/>
  <c r="AI39" i="1"/>
  <c r="AI22" i="1"/>
  <c r="U22" i="1"/>
  <c r="S22" i="1" s="1"/>
  <c r="W23" i="1"/>
  <c r="W18" i="1"/>
  <c r="AI38" i="1"/>
  <c r="U38" i="1"/>
  <c r="S38" i="1" s="1"/>
  <c r="U53" i="1"/>
  <c r="S53" i="1" s="1"/>
  <c r="AI53" i="1"/>
  <c r="U69" i="1"/>
  <c r="S69" i="1" s="1"/>
  <c r="AI69" i="1"/>
  <c r="U81" i="1"/>
  <c r="S81" i="1" s="1"/>
  <c r="AI81" i="1"/>
  <c r="W38" i="1"/>
  <c r="W35" i="1"/>
  <c r="U101" i="1"/>
  <c r="S101" i="1" s="1"/>
  <c r="AI101" i="1"/>
  <c r="U117" i="1"/>
  <c r="S117" i="1" s="1"/>
  <c r="AI117" i="1"/>
  <c r="U149" i="1"/>
  <c r="S149" i="1" s="1"/>
  <c r="AI149" i="1"/>
  <c r="AI96" i="1"/>
  <c r="U96" i="1"/>
  <c r="S96" i="1" s="1"/>
  <c r="AI112" i="1"/>
  <c r="U112" i="1"/>
  <c r="S112" i="1" s="1"/>
  <c r="AI128" i="1"/>
  <c r="U128" i="1"/>
  <c r="S128" i="1" s="1"/>
  <c r="AI140" i="1"/>
  <c r="U140" i="1"/>
  <c r="S140" i="1" s="1"/>
  <c r="W128" i="1"/>
  <c r="U154" i="1"/>
  <c r="S154" i="1" s="1"/>
  <c r="AI154" i="1"/>
  <c r="U217" i="1"/>
  <c r="S217" i="1" s="1"/>
  <c r="AI170" i="1"/>
  <c r="U239" i="1"/>
  <c r="S239" i="1" s="1"/>
  <c r="AI186" i="1"/>
  <c r="W140" i="1"/>
  <c r="AI157" i="1"/>
  <c r="U157" i="1"/>
  <c r="S157" i="1" s="1"/>
  <c r="W157" i="1"/>
  <c r="W227" i="1"/>
  <c r="U194" i="1"/>
  <c r="S194" i="1" s="1"/>
  <c r="AI222" i="1"/>
  <c r="U221" i="1"/>
  <c r="S221" i="1" s="1"/>
  <c r="AI238" i="1"/>
  <c r="AI205" i="1"/>
  <c r="U177" i="1"/>
  <c r="S177" i="1" s="1"/>
  <c r="AI221" i="1"/>
  <c r="U193" i="1"/>
  <c r="S193" i="1" s="1"/>
  <c r="AI237" i="1"/>
  <c r="U220" i="1"/>
  <c r="S220" i="1" s="1"/>
  <c r="W193" i="1"/>
  <c r="AI42" i="1"/>
  <c r="U42" i="1"/>
  <c r="S42" i="1" s="1"/>
  <c r="U50" i="1"/>
  <c r="S50" i="1" s="1"/>
  <c r="AI50" i="1"/>
  <c r="U57" i="1"/>
  <c r="S57" i="1" s="1"/>
  <c r="AI57" i="1"/>
  <c r="U105" i="1"/>
  <c r="S105" i="1" s="1"/>
  <c r="AI105" i="1"/>
  <c r="AI92" i="1"/>
  <c r="U92" i="1"/>
  <c r="S92" i="1" s="1"/>
  <c r="AI108" i="1"/>
  <c r="U108" i="1"/>
  <c r="S108" i="1" s="1"/>
  <c r="S124" i="1"/>
  <c r="AI124" i="1"/>
  <c r="U124" i="1"/>
  <c r="AI136" i="1"/>
  <c r="U136" i="1"/>
  <c r="S136" i="1" s="1"/>
  <c r="U225" i="1"/>
  <c r="AI242" i="1"/>
  <c r="S225" i="1"/>
  <c r="AI233" i="1"/>
  <c r="U205" i="1"/>
  <c r="S205" i="1" s="1"/>
  <c r="W189" i="1"/>
  <c r="U27" i="1"/>
  <c r="S27" i="1" s="1"/>
  <c r="AI27" i="1"/>
  <c r="U65" i="1"/>
  <c r="S65" i="1" s="1"/>
  <c r="AI65" i="1"/>
  <c r="W42" i="1"/>
  <c r="W50" i="1"/>
  <c r="W69" i="1"/>
  <c r="W39" i="1"/>
  <c r="U97" i="1"/>
  <c r="S97" i="1" s="1"/>
  <c r="AI97" i="1"/>
  <c r="U113" i="1"/>
  <c r="S113" i="1" s="1"/>
  <c r="AI113" i="1"/>
  <c r="U145" i="1"/>
  <c r="S145" i="1" s="1"/>
  <c r="AI145" i="1"/>
  <c r="AI100" i="1"/>
  <c r="U100" i="1"/>
  <c r="S100" i="1" s="1"/>
  <c r="AI116" i="1"/>
  <c r="U116" i="1"/>
  <c r="S116" i="1" s="1"/>
  <c r="AI144" i="1"/>
  <c r="U144" i="1"/>
  <c r="S144" i="1" s="1"/>
  <c r="W65" i="1"/>
  <c r="W112" i="1"/>
  <c r="W149" i="1"/>
  <c r="W92" i="1"/>
  <c r="W101" i="1"/>
  <c r="U213" i="1"/>
  <c r="S213" i="1" s="1"/>
  <c r="AI166" i="1"/>
  <c r="U235" i="1"/>
  <c r="S235" i="1" s="1"/>
  <c r="AI182" i="1"/>
  <c r="W144" i="1"/>
  <c r="AI161" i="1"/>
  <c r="U161" i="1"/>
  <c r="S161" i="1" s="1"/>
  <c r="W108" i="1"/>
  <c r="W158" i="1"/>
  <c r="U206" i="1"/>
  <c r="S206" i="1" s="1"/>
  <c r="AI234" i="1"/>
  <c r="AI209" i="1"/>
  <c r="U181" i="1"/>
  <c r="S181" i="1" s="1"/>
  <c r="AI225" i="1"/>
  <c r="U197" i="1"/>
  <c r="S197" i="1" s="1"/>
  <c r="AI241" i="1"/>
  <c r="U224" i="1"/>
  <c r="S224" i="1" s="1"/>
  <c r="W194" i="1"/>
  <c r="W197" i="1"/>
  <c r="W220" i="1"/>
  <c r="W206" i="1"/>
  <c r="U73" i="1"/>
  <c r="S73" i="1" s="1"/>
  <c r="AI73" i="1"/>
  <c r="AI26" i="1"/>
  <c r="U26" i="1"/>
  <c r="S26" i="1" s="1"/>
  <c r="U121" i="1"/>
  <c r="AI121" i="1"/>
  <c r="U162" i="1"/>
  <c r="S162" i="1" s="1"/>
  <c r="AI190" i="1"/>
  <c r="U19" i="1"/>
  <c r="S19" i="1" s="1"/>
  <c r="AI19" i="1"/>
  <c r="U43" i="1"/>
  <c r="S43" i="1" s="1"/>
  <c r="AI43" i="1"/>
  <c r="W19" i="1"/>
  <c r="U15" i="1"/>
  <c r="S15" i="1" s="1"/>
  <c r="AI15" i="1"/>
  <c r="U31" i="1"/>
  <c r="S31" i="1" s="1"/>
  <c r="AI31" i="1"/>
  <c r="AI14" i="1"/>
  <c r="U14" i="1"/>
  <c r="S14" i="1" s="1"/>
  <c r="AI34" i="1"/>
  <c r="U34" i="1"/>
  <c r="S34" i="1" s="1"/>
  <c r="U61" i="1"/>
  <c r="S61" i="1" s="1"/>
  <c r="AI61" i="1"/>
  <c r="U77" i="1"/>
  <c r="S77" i="1" s="1"/>
  <c r="AI77" i="1"/>
  <c r="W14" i="1"/>
  <c r="AI30" i="1"/>
  <c r="U30" i="1"/>
  <c r="S30" i="1" s="1"/>
  <c r="AI46" i="1"/>
  <c r="U46" i="1"/>
  <c r="S46" i="1" s="1"/>
  <c r="W53" i="1"/>
  <c r="W57" i="1"/>
  <c r="W85" i="1"/>
  <c r="U93" i="1"/>
  <c r="S93" i="1" s="1"/>
  <c r="AI93" i="1"/>
  <c r="U109" i="1"/>
  <c r="S109" i="1" s="1"/>
  <c r="AI109" i="1"/>
  <c r="U125" i="1"/>
  <c r="S125" i="1" s="1"/>
  <c r="AI125" i="1"/>
  <c r="W77" i="1"/>
  <c r="AI104" i="1"/>
  <c r="U104" i="1"/>
  <c r="S104" i="1" s="1"/>
  <c r="AI120" i="1"/>
  <c r="U120" i="1"/>
  <c r="S120" i="1" s="1"/>
  <c r="AI132" i="1"/>
  <c r="U132" i="1"/>
  <c r="S132" i="1" s="1"/>
  <c r="AI148" i="1"/>
  <c r="U148" i="1"/>
  <c r="S148" i="1" s="1"/>
  <c r="W96" i="1"/>
  <c r="W113" i="1"/>
  <c r="W93" i="1"/>
  <c r="W116" i="1"/>
  <c r="W136" i="1"/>
  <c r="U209" i="1"/>
  <c r="S209" i="1" s="1"/>
  <c r="AI162" i="1"/>
  <c r="U231" i="1"/>
  <c r="S231" i="1" s="1"/>
  <c r="AI178" i="1"/>
  <c r="U166" i="1"/>
  <c r="S166" i="1" s="1"/>
  <c r="AI194" i="1"/>
  <c r="W105" i="1"/>
  <c r="W145" i="1"/>
  <c r="W109" i="1"/>
  <c r="U170" i="1"/>
  <c r="S170" i="1" s="1"/>
  <c r="AI198" i="1"/>
  <c r="W213" i="1"/>
  <c r="W235" i="1"/>
  <c r="U202" i="1"/>
  <c r="S202" i="1" s="1"/>
  <c r="AI230" i="1"/>
  <c r="AI213" i="1"/>
  <c r="U185" i="1"/>
  <c r="S185" i="1" s="1"/>
  <c r="AI229" i="1"/>
  <c r="U201" i="1"/>
  <c r="S201" i="1" s="1"/>
  <c r="W153" i="1"/>
  <c r="W177" i="1"/>
  <c r="W181" i="1"/>
  <c r="W198" i="1"/>
  <c r="W221" i="1"/>
  <c r="AD26" i="3"/>
  <c r="AE26" i="3"/>
  <c r="Y40" i="3"/>
  <c r="B3" i="6" l="1"/>
  <c r="M28" i="5" l="1"/>
  <c r="M23" i="5" l="1"/>
  <c r="AD40" i="3" l="1"/>
  <c r="AN13" i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AE40" i="3" l="1"/>
  <c r="K22" i="10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H22" i="10" l="1"/>
  <c r="I5" i="10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N22" i="3" s="1"/>
  <c r="G16" i="4"/>
  <c r="G17" i="4"/>
  <c r="G18" i="4"/>
  <c r="N9" i="3" s="1"/>
  <c r="G19" i="4"/>
  <c r="G20" i="4"/>
  <c r="G21" i="4"/>
  <c r="G22" i="4"/>
  <c r="G23" i="4"/>
  <c r="G24" i="4"/>
  <c r="N13" i="3" s="1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N12" i="3" s="1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N34" i="3" s="1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N7" i="3" s="1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N30" i="3" s="1"/>
  <c r="G90" i="4"/>
  <c r="G91" i="4"/>
  <c r="G92" i="4"/>
  <c r="G93" i="4"/>
  <c r="G94" i="4"/>
  <c r="N39" i="3" s="1"/>
  <c r="G95" i="4"/>
  <c r="G96" i="4"/>
  <c r="G97" i="4"/>
  <c r="G98" i="4"/>
  <c r="G99" i="4"/>
  <c r="G100" i="4"/>
  <c r="G101" i="4"/>
  <c r="G102" i="4"/>
  <c r="N32" i="3" s="1"/>
  <c r="G103" i="4"/>
  <c r="G104" i="4"/>
  <c r="G105" i="4"/>
  <c r="N38" i="3" s="1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N11" i="3" s="1"/>
  <c r="G119" i="4"/>
  <c r="G120" i="4"/>
  <c r="G121" i="4"/>
  <c r="N19" i="3" s="1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N16" i="3" s="1"/>
  <c r="G139" i="4"/>
  <c r="G140" i="4"/>
  <c r="G141" i="4"/>
  <c r="G142" i="4"/>
  <c r="G143" i="4"/>
  <c r="G144" i="4"/>
  <c r="G145" i="4"/>
  <c r="G146" i="4"/>
  <c r="G147" i="4"/>
  <c r="G148" i="4"/>
  <c r="G149" i="4"/>
  <c r="G150" i="4"/>
  <c r="N33" i="3" s="1"/>
  <c r="G151" i="4"/>
  <c r="G152" i="4"/>
  <c r="G153" i="4"/>
  <c r="G154" i="4"/>
  <c r="G155" i="4"/>
  <c r="G156" i="4"/>
  <c r="G157" i="4"/>
  <c r="G158" i="4"/>
  <c r="G159" i="4"/>
  <c r="G160" i="4"/>
  <c r="N20" i="3" s="1"/>
  <c r="G161" i="4"/>
  <c r="G162" i="4"/>
  <c r="G163" i="4"/>
  <c r="N35" i="3" s="1"/>
  <c r="G164" i="4"/>
  <c r="G165" i="4"/>
  <c r="G166" i="4"/>
  <c r="G167" i="4"/>
  <c r="G168" i="4"/>
  <c r="G169" i="4"/>
  <c r="G170" i="4"/>
  <c r="G171" i="4"/>
  <c r="G172" i="4"/>
  <c r="G173" i="4"/>
  <c r="G174" i="4"/>
  <c r="N8" i="3" s="1"/>
  <c r="G175" i="4"/>
  <c r="G176" i="4"/>
  <c r="G177" i="4"/>
  <c r="N36" i="3" s="1"/>
  <c r="G178" i="4"/>
  <c r="N10" i="3" s="1"/>
  <c r="G179" i="4"/>
  <c r="G180" i="4"/>
  <c r="G181" i="4"/>
  <c r="G182" i="4"/>
  <c r="G183" i="4"/>
  <c r="G184" i="4"/>
  <c r="G185" i="4"/>
  <c r="G186" i="4"/>
  <c r="G187" i="4"/>
  <c r="G188" i="4"/>
  <c r="G189" i="4"/>
  <c r="G190" i="4"/>
  <c r="N31" i="3" s="1"/>
  <c r="G191" i="4"/>
  <c r="G192" i="4"/>
  <c r="G193" i="4"/>
  <c r="G194" i="4"/>
  <c r="G195" i="4"/>
  <c r="G196" i="4"/>
  <c r="G197" i="4"/>
  <c r="G198" i="4"/>
  <c r="G199" i="4"/>
  <c r="G200" i="4"/>
  <c r="G201" i="4"/>
  <c r="N17" i="3" s="1"/>
  <c r="G202" i="4"/>
  <c r="G203" i="4"/>
  <c r="G204" i="4"/>
  <c r="G205" i="4"/>
  <c r="N18" i="3" s="1"/>
  <c r="G206" i="4"/>
  <c r="G207" i="4"/>
  <c r="G208" i="4"/>
  <c r="G209" i="4"/>
  <c r="G210" i="4"/>
  <c r="G211" i="4"/>
  <c r="G212" i="4"/>
  <c r="G213" i="4"/>
  <c r="G214" i="4"/>
  <c r="N40" i="3" s="1"/>
  <c r="G215" i="4"/>
  <c r="G216" i="4"/>
  <c r="N37" i="3" s="1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N26" i="3" s="1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5" i="3" l="1"/>
  <c r="N14" i="3"/>
  <c r="N23" i="3"/>
  <c r="N29" i="3"/>
  <c r="N28" i="3"/>
  <c r="N24" i="3"/>
  <c r="N27" i="3"/>
  <c r="N21" i="3"/>
  <c r="N25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I3" i="6" l="1"/>
  <c r="F3" i="6"/>
  <c r="H3" i="6"/>
  <c r="J3" i="6"/>
  <c r="G3" i="6"/>
  <c r="B4" i="6" l="1"/>
  <c r="I4" i="6" l="1"/>
  <c r="F4" i="6"/>
  <c r="B5" i="6"/>
  <c r="J4" i="6"/>
  <c r="G4" i="6"/>
  <c r="H4" i="6"/>
  <c r="I5" i="6" l="1"/>
  <c r="F5" i="6"/>
  <c r="B6" i="6"/>
  <c r="J5" i="6"/>
  <c r="G5" i="6"/>
  <c r="H5" i="6"/>
  <c r="I6" i="6" l="1"/>
  <c r="F6" i="6"/>
  <c r="H6" i="6"/>
  <c r="J6" i="6"/>
  <c r="G6" i="6"/>
  <c r="B7" i="6"/>
  <c r="I7" i="6" l="1"/>
  <c r="F7" i="6"/>
  <c r="B8" i="6"/>
  <c r="G7" i="6"/>
  <c r="J7" i="6"/>
  <c r="H7" i="6"/>
  <c r="I8" i="6" l="1"/>
  <c r="F8" i="6"/>
  <c r="G8" i="6"/>
  <c r="H8" i="6"/>
  <c r="J8" i="6"/>
  <c r="B9" i="6"/>
  <c r="I9" i="6" l="1"/>
  <c r="F9" i="6"/>
  <c r="J9" i="6"/>
  <c r="G9" i="6"/>
  <c r="H9" i="6"/>
  <c r="B10" i="6"/>
  <c r="I10" i="6" l="1"/>
  <c r="F10" i="6"/>
  <c r="G10" i="6"/>
  <c r="H10" i="6"/>
  <c r="J10" i="6"/>
  <c r="B11" i="6"/>
  <c r="I11" i="6" l="1"/>
  <c r="F11" i="6"/>
  <c r="B12" i="6"/>
  <c r="J11" i="6"/>
  <c r="H11" i="6"/>
  <c r="G11" i="6"/>
  <c r="I12" i="6" l="1"/>
  <c r="F12" i="6"/>
  <c r="J12" i="6"/>
  <c r="G12" i="6"/>
  <c r="H12" i="6"/>
  <c r="B13" i="6"/>
  <c r="I13" i="6" l="1"/>
  <c r="F13" i="6"/>
  <c r="B14" i="6"/>
  <c r="G13" i="6"/>
  <c r="J13" i="6"/>
  <c r="H13" i="6"/>
  <c r="I14" i="6" l="1"/>
  <c r="F14" i="6"/>
  <c r="G14" i="6"/>
  <c r="J14" i="6"/>
  <c r="H14" i="6"/>
  <c r="B15" i="6"/>
  <c r="I15" i="6" l="1"/>
  <c r="F15" i="6"/>
  <c r="B16" i="6"/>
  <c r="G15" i="6"/>
  <c r="J15" i="6"/>
  <c r="H15" i="6"/>
  <c r="I16" i="6" l="1"/>
  <c r="F16" i="6"/>
  <c r="G16" i="6"/>
  <c r="H16" i="6"/>
  <c r="J16" i="6"/>
  <c r="B17" i="6" l="1"/>
  <c r="I17" i="6" l="1"/>
  <c r="F17" i="6"/>
  <c r="G17" i="6"/>
  <c r="H17" i="6"/>
  <c r="J17" i="6"/>
  <c r="B18" i="6"/>
  <c r="I18" i="6" l="1"/>
  <c r="F18" i="6"/>
  <c r="G18" i="6"/>
  <c r="H18" i="6"/>
  <c r="J18" i="6"/>
  <c r="B19" i="6"/>
  <c r="I19" i="6" l="1"/>
  <c r="F19" i="6"/>
  <c r="B20" i="6"/>
  <c r="J19" i="6"/>
  <c r="G19" i="6"/>
  <c r="H19" i="6"/>
  <c r="I20" i="6" l="1"/>
  <c r="F20" i="6"/>
  <c r="B21" i="6"/>
  <c r="J20" i="6"/>
  <c r="G20" i="6"/>
  <c r="H20" i="6"/>
  <c r="I21" i="6" l="1"/>
  <c r="F21" i="6"/>
  <c r="H21" i="6"/>
  <c r="G21" i="6"/>
  <c r="J21" i="6"/>
  <c r="B22" i="6"/>
  <c r="I22" i="6" l="1"/>
  <c r="F22" i="6"/>
  <c r="B23" i="6"/>
  <c r="G22" i="6"/>
  <c r="J22" i="6"/>
  <c r="H22" i="6"/>
  <c r="I23" i="6" l="1"/>
  <c r="F23" i="6"/>
  <c r="B24" i="6"/>
  <c r="J23" i="6"/>
  <c r="G23" i="6"/>
  <c r="H23" i="6"/>
  <c r="I24" i="6" l="1"/>
  <c r="F24" i="6"/>
  <c r="J24" i="6"/>
  <c r="G24" i="6"/>
  <c r="H24" i="6"/>
  <c r="B25" i="6"/>
  <c r="I25" i="6" l="1"/>
  <c r="F25" i="6"/>
  <c r="H25" i="6"/>
  <c r="J25" i="6"/>
  <c r="G25" i="6"/>
  <c r="B26" i="6"/>
  <c r="I26" i="6" l="1"/>
  <c r="F26" i="6"/>
  <c r="B27" i="6"/>
  <c r="J26" i="6"/>
  <c r="H26" i="6"/>
  <c r="G26" i="6"/>
  <c r="I27" i="6" l="1"/>
  <c r="F27" i="6"/>
  <c r="J27" i="6"/>
  <c r="G27" i="6"/>
  <c r="H27" i="6"/>
  <c r="B28" i="6"/>
  <c r="I28" i="6" l="1"/>
  <c r="F28" i="6"/>
  <c r="G28" i="6"/>
  <c r="H28" i="6"/>
  <c r="J28" i="6"/>
  <c r="B29" i="6"/>
  <c r="I29" i="6" l="1"/>
  <c r="F29" i="6"/>
  <c r="G29" i="6"/>
  <c r="H29" i="6"/>
  <c r="J29" i="6"/>
  <c r="B30" i="6"/>
  <c r="I30" i="6" l="1"/>
  <c r="F30" i="6"/>
  <c r="B31" i="6"/>
  <c r="J30" i="6"/>
  <c r="H30" i="6"/>
  <c r="G30" i="6"/>
  <c r="I31" i="6" l="1"/>
  <c r="F31" i="6"/>
  <c r="B32" i="6"/>
  <c r="J31" i="6"/>
  <c r="G31" i="6"/>
  <c r="H31" i="6"/>
  <c r="I32" i="6" l="1"/>
  <c r="F32" i="6"/>
  <c r="H32" i="6"/>
  <c r="G32" i="6"/>
  <c r="J32" i="6"/>
  <c r="B33" i="6"/>
  <c r="I33" i="6" l="1"/>
  <c r="F33" i="6"/>
  <c r="G33" i="6"/>
  <c r="H33" i="6"/>
  <c r="J33" i="6"/>
  <c r="B34" i="6"/>
  <c r="I34" i="6" l="1"/>
  <c r="F34" i="6"/>
  <c r="B35" i="6"/>
  <c r="J34" i="6"/>
  <c r="H34" i="6"/>
  <c r="G34" i="6"/>
  <c r="I35" i="6" l="1"/>
  <c r="F35" i="6"/>
  <c r="B36" i="6"/>
  <c r="J35" i="6"/>
  <c r="G35" i="6"/>
  <c r="H35" i="6"/>
  <c r="I36" i="6" l="1"/>
  <c r="F36" i="6"/>
  <c r="B37" i="6"/>
  <c r="J36" i="6"/>
  <c r="G36" i="6"/>
  <c r="H36" i="6"/>
  <c r="I37" i="6" l="1"/>
  <c r="F37" i="6"/>
  <c r="J37" i="6"/>
  <c r="H37" i="6"/>
  <c r="G37" i="6"/>
  <c r="B38" i="6"/>
  <c r="I38" i="6" l="1"/>
  <c r="F38" i="6"/>
  <c r="J38" i="6"/>
  <c r="H38" i="6"/>
  <c r="G38" i="6"/>
  <c r="B39" i="6"/>
  <c r="I39" i="6" l="1"/>
  <c r="F39" i="6"/>
  <c r="J39" i="6"/>
  <c r="G39" i="6"/>
  <c r="H39" i="6"/>
  <c r="B40" i="6"/>
  <c r="I40" i="6" l="1"/>
  <c r="F40" i="6"/>
  <c r="B41" i="6"/>
  <c r="G40" i="6"/>
  <c r="H40" i="6"/>
  <c r="J40" i="6"/>
  <c r="I41" i="6" l="1"/>
  <c r="F41" i="6"/>
  <c r="G41" i="6"/>
  <c r="H41" i="6"/>
  <c r="J41" i="6"/>
  <c r="B42" i="6"/>
  <c r="I42" i="6" l="1"/>
  <c r="F42" i="6"/>
  <c r="B43" i="6"/>
  <c r="J42" i="6"/>
  <c r="G42" i="6"/>
  <c r="H42" i="6"/>
  <c r="I43" i="6" l="1"/>
  <c r="F43" i="6"/>
  <c r="H43" i="6"/>
  <c r="G43" i="6"/>
  <c r="J43" i="6"/>
  <c r="B44" i="6"/>
  <c r="I44" i="6" l="1"/>
  <c r="F44" i="6"/>
  <c r="B45" i="6"/>
  <c r="H44" i="6"/>
  <c r="G44" i="6"/>
  <c r="J44" i="6"/>
  <c r="I45" i="6" l="1"/>
  <c r="F45" i="6"/>
  <c r="B46" i="6"/>
  <c r="J45" i="6"/>
  <c r="H45" i="6"/>
  <c r="G45" i="6"/>
  <c r="I46" i="6" l="1"/>
  <c r="F46" i="6"/>
  <c r="J46" i="6"/>
  <c r="H46" i="6"/>
  <c r="G46" i="6"/>
  <c r="B47" i="6"/>
  <c r="I47" i="6" l="1"/>
  <c r="F47" i="6"/>
  <c r="J47" i="6"/>
  <c r="H47" i="6"/>
  <c r="G47" i="6"/>
  <c r="B48" i="6"/>
  <c r="I48" i="6" l="1"/>
  <c r="F48" i="6"/>
  <c r="B49" i="6"/>
  <c r="J48" i="6"/>
  <c r="G48" i="6"/>
  <c r="H48" i="6"/>
  <c r="I49" i="6" l="1"/>
  <c r="F49" i="6"/>
  <c r="B50" i="6"/>
  <c r="G49" i="6"/>
  <c r="H49" i="6"/>
  <c r="J49" i="6"/>
  <c r="I50" i="6" l="1"/>
  <c r="F50" i="6"/>
  <c r="B51" i="6"/>
  <c r="J50" i="6"/>
  <c r="H50" i="6"/>
  <c r="G50" i="6"/>
  <c r="I51" i="6" l="1"/>
  <c r="F51" i="6"/>
  <c r="B52" i="6"/>
  <c r="H51" i="6"/>
  <c r="J51" i="6"/>
  <c r="G51" i="6"/>
  <c r="I52" i="6" l="1"/>
  <c r="F52" i="6"/>
  <c r="G52" i="6"/>
  <c r="H52" i="6"/>
  <c r="J52" i="6"/>
  <c r="B53" i="6"/>
  <c r="I53" i="6" l="1"/>
  <c r="F53" i="6"/>
  <c r="B54" i="6"/>
  <c r="G53" i="6"/>
  <c r="J53" i="6"/>
  <c r="H53" i="6"/>
  <c r="I54" i="6" l="1"/>
  <c r="F54" i="6"/>
  <c r="H54" i="6"/>
  <c r="J54" i="6"/>
  <c r="G54" i="6"/>
  <c r="B55" i="6"/>
  <c r="I55" i="6" l="1"/>
  <c r="F55" i="6"/>
  <c r="H55" i="6"/>
  <c r="G55" i="6"/>
  <c r="J55" i="6"/>
  <c r="B56" i="6"/>
  <c r="I56" i="6" l="1"/>
  <c r="F56" i="6"/>
  <c r="H56" i="6"/>
  <c r="G56" i="6"/>
  <c r="J56" i="6"/>
  <c r="B57" i="6"/>
  <c r="I57" i="6" l="1"/>
  <c r="F57" i="6"/>
  <c r="H57" i="6"/>
  <c r="J57" i="6"/>
  <c r="G57" i="6"/>
  <c r="B58" i="6"/>
  <c r="I58" i="6" l="1"/>
  <c r="F58" i="6"/>
  <c r="J58" i="6"/>
  <c r="G58" i="6"/>
  <c r="H58" i="6"/>
  <c r="B59" i="6"/>
  <c r="I59" i="6" l="1"/>
  <c r="F59" i="6"/>
  <c r="J59" i="6"/>
  <c r="H59" i="6"/>
  <c r="G59" i="6"/>
  <c r="B60" i="6"/>
  <c r="I60" i="6" l="1"/>
  <c r="F60" i="6"/>
  <c r="G60" i="6"/>
  <c r="H60" i="6"/>
  <c r="J60" i="6"/>
  <c r="B61" i="6"/>
  <c r="I61" i="6" l="1"/>
  <c r="F61" i="6"/>
  <c r="B62" i="6"/>
  <c r="J61" i="6"/>
  <c r="G61" i="6"/>
  <c r="H61" i="6"/>
  <c r="I62" i="6" l="1"/>
  <c r="F62" i="6"/>
  <c r="J62" i="6"/>
  <c r="H62" i="6"/>
  <c r="G62" i="6"/>
  <c r="B63" i="6"/>
  <c r="I63" i="6" l="1"/>
  <c r="F63" i="6"/>
  <c r="B64" i="6"/>
  <c r="J63" i="6"/>
  <c r="G63" i="6"/>
  <c r="H63" i="6"/>
  <c r="I64" i="6" l="1"/>
  <c r="F64" i="6"/>
  <c r="B65" i="6"/>
  <c r="H64" i="6"/>
  <c r="G64" i="6"/>
  <c r="J64" i="6"/>
  <c r="I65" i="6" l="1"/>
  <c r="F65" i="6"/>
  <c r="B66" i="6"/>
  <c r="J65" i="6"/>
  <c r="G65" i="6"/>
  <c r="H65" i="6"/>
  <c r="I66" i="6" l="1"/>
  <c r="F66" i="6"/>
  <c r="B67" i="6"/>
  <c r="J66" i="6"/>
  <c r="H66" i="6"/>
  <c r="G66" i="6"/>
  <c r="I67" i="6" l="1"/>
  <c r="F67" i="6"/>
  <c r="G67" i="6"/>
  <c r="H67" i="6"/>
  <c r="J67" i="6"/>
  <c r="B68" i="6"/>
  <c r="I68" i="6" l="1"/>
  <c r="F68" i="6"/>
  <c r="B69" i="6"/>
  <c r="J68" i="6"/>
  <c r="G68" i="6"/>
  <c r="H68" i="6"/>
  <c r="I69" i="6" l="1"/>
  <c r="F69" i="6"/>
  <c r="G69" i="6"/>
  <c r="H69" i="6"/>
  <c r="J69" i="6"/>
  <c r="B70" i="6"/>
  <c r="I70" i="6" l="1"/>
  <c r="F70" i="6"/>
  <c r="H70" i="6"/>
  <c r="G70" i="6"/>
  <c r="J70" i="6"/>
  <c r="B71" i="6"/>
  <c r="I71" i="6" l="1"/>
  <c r="F71" i="6"/>
  <c r="J71" i="6"/>
  <c r="H71" i="6"/>
  <c r="G71" i="6"/>
  <c r="B72" i="6"/>
  <c r="I72" i="6" l="1"/>
  <c r="F72" i="6"/>
  <c r="H72" i="6"/>
  <c r="G72" i="6"/>
  <c r="J72" i="6"/>
  <c r="B73" i="6"/>
  <c r="I73" i="6" l="1"/>
  <c r="F73" i="6"/>
  <c r="H73" i="6"/>
  <c r="G73" i="6"/>
  <c r="J73" i="6"/>
  <c r="B74" i="6"/>
  <c r="I74" i="6" l="1"/>
  <c r="F74" i="6"/>
  <c r="J74" i="6"/>
  <c r="G74" i="6"/>
  <c r="H74" i="6"/>
  <c r="B75" i="6"/>
  <c r="I75" i="6" l="1"/>
  <c r="F75" i="6"/>
  <c r="G75" i="6"/>
  <c r="H75" i="6"/>
  <c r="J75" i="6"/>
  <c r="B76" i="6"/>
  <c r="I76" i="6" l="1"/>
  <c r="F76" i="6"/>
  <c r="B77" i="6"/>
  <c r="H76" i="6"/>
  <c r="G76" i="6"/>
  <c r="J76" i="6"/>
  <c r="I77" i="6" l="1"/>
  <c r="F77" i="6"/>
  <c r="B78" i="6"/>
  <c r="J77" i="6"/>
  <c r="G77" i="6"/>
  <c r="H77" i="6"/>
  <c r="I78" i="6" l="1"/>
  <c r="F78" i="6"/>
  <c r="H78" i="6"/>
  <c r="G78" i="6"/>
  <c r="J78" i="6"/>
  <c r="B79" i="6"/>
  <c r="I79" i="6" l="1"/>
  <c r="F79" i="6"/>
  <c r="H79" i="6"/>
  <c r="J79" i="6"/>
  <c r="G79" i="6"/>
  <c r="B80" i="6"/>
  <c r="I80" i="6" l="1"/>
  <c r="F80" i="6"/>
  <c r="G80" i="6"/>
  <c r="J80" i="6"/>
  <c r="H80" i="6"/>
  <c r="B81" i="6"/>
  <c r="I81" i="6" l="1"/>
  <c r="F81" i="6"/>
  <c r="B82" i="6"/>
  <c r="H81" i="6"/>
  <c r="J81" i="6"/>
  <c r="G81" i="6"/>
  <c r="I82" i="6" l="1"/>
  <c r="F82" i="6"/>
  <c r="B83" i="6"/>
  <c r="J82" i="6"/>
  <c r="H82" i="6"/>
  <c r="G82" i="6"/>
  <c r="I83" i="6" l="1"/>
  <c r="F83" i="6"/>
  <c r="B85" i="6"/>
  <c r="B84" i="6"/>
  <c r="G83" i="6"/>
  <c r="H83" i="6"/>
  <c r="J83" i="6"/>
  <c r="I84" i="6" l="1"/>
  <c r="F84" i="6"/>
  <c r="I85" i="6"/>
  <c r="F85" i="6"/>
  <c r="G84" i="6"/>
  <c r="H84" i="6"/>
  <c r="J84" i="6"/>
  <c r="J85" i="6"/>
  <c r="G85" i="6"/>
  <c r="H8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<sst xmlns="http://schemas.openxmlformats.org/spreadsheetml/2006/main" count="2955" uniqueCount="1058">
  <si>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</si>
  <si>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</si>
  <si>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</si>
  <si>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</si>
  <si>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</si>
  <si>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</si>
  <si>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</si>
  <si>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</si>
  <si>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</si>
  <si>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</si>
  <si>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</si>
  <si>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</si>
  <si>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</si>
  <si>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</si>
  <si>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</si>
  <si>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</si>
  <si>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</si>
  <si>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</si>
  <si>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</si>
  <si>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</si>
  <si>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</si>
  <si>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</si>
  <si>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</si>
  <si>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</si>
  <si>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</si>
  <si>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</si>
  <si>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</si>
  <si>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</si>
  <si>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</si>
  <si>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</si>
  <si>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</si>
  <si>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</si>
  <si>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</si>
  <si>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</si>
  <si>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</si>
  <si>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</si>
  <si>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</si>
  <si>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</si>
  <si>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</si>
  <si>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</si>
  <si>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</si>
  <si>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</si>
  <si>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</si>
  <si>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</si>
  <si>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</si>
  <si>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</si>
  <si>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</si>
  <si>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</si>
  <si>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</si>
  <si>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</si>
  <si>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</si>
  <si>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</si>
  <si>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</si>
  <si>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</si>
  <si>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</si>
  <si>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</si>
  <si>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</si>
  <si>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</si>
  <si>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</si>
  <si>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</si>
  <si>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</si>
  <si>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</si>
  <si>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</si>
  <si>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</si>
  <si>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</si>
  <si>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</si>
  <si>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</si>
  <si>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</si>
  <si>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</si>
  <si>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</si>
  <si>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</si>
  <si>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</si>
  <si>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</si>
  <si>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</si>
  <si>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</si>
  <si>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</si>
  <si>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</si>
  <si>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</si>
  <si>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</si>
  <si>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</si>
  <si>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</si>
  <si>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</si>
  <si>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</si>
  <si>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</si>
  <si>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</si>
  <si>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</si>
  <si>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</si>
  <si>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</si>
  <si>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</si>
  <si>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</si>
  <si>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</si>
  <si>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</si>
  <si>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</si>
  <si>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</si>
  <si>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</si>
  <si>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</si>
  <si>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</si>
  <si>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</si>
  <si>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</si>
  <si>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</si>
  <si>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</si>
  <si>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</si>
  <si>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</si>
  <si>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</si>
  <si>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</si>
  <si>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</si>
  <si>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</si>
  <si>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</si>
  <si>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</si>
  <si>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</si>
  <si>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</si>
  <si>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</si>
  <si>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</si>
  <si>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</si>
  <si>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</si>
  <si>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</si>
  <si>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</si>
  <si>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</si>
  <si>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</si>
  <si>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</si>
  <si>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</si>
  <si>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</si>
  <si>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</si>
  <si>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</si>
  <si>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</si>
  <si>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</si>
  <si>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</si>
  <si>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</si>
  <si>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</si>
  <si>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</si>
  <si>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</si>
  <si>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</si>
  <si>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</si>
  <si>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</si>
  <si>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</si>
  <si>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</si>
  <si>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</si>
  <si>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</si>
  <si>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</si>
  <si>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</si>
  <si>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</si>
  <si>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</si>
  <si>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</si>
  <si>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</si>
  <si>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</si>
  <si>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</si>
  <si>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</si>
  <si>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</si>
  <si>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</si>
  <si>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</si>
  <si>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</si>
  <si>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</si>
  <si>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</si>
  <si>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</si>
  <si>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</si>
  <si>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</si>
  <si>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</si>
  <si>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</si>
  <si>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</si>
  <si>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</si>
  <si>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</si>
  <si>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</si>
  <si>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</si>
  <si>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</si>
  <si>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</si>
  <si>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</si>
  <si>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</si>
  <si>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</si>
  <si>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</si>
  <si>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</si>
  <si>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</si>
  <si>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</si>
  <si>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</si>
  <si>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</si>
  <si>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</si>
  <si>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</si>
  <si>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</si>
  <si>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</si>
  <si>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</si>
  <si>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</si>
  <si>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</si>
  <si>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</si>
  <si>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</si>
  <si>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</si>
  <si>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</si>
  <si>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</si>
  <si>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</si>
  <si>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</si>
  <si>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</si>
  <si>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</si>
  <si>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</si>
  <si>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</si>
  <si>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</si>
  <si>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</si>
  <si>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</si>
  <si>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</si>
  <si>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</si>
  <si>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</si>
  <si>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</si>
  <si>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</si>
  <si>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</si>
  <si>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</si>
  <si>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</si>
  <si>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</si>
  <si>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</si>
  <si>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</si>
  <si>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BROWN</t>
  </si>
  <si>
    <t>JACOB</t>
  </si>
  <si>
    <t>204:453</t>
  </si>
  <si>
    <t>204:455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</si>
  <si>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</si>
  <si>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</si>
  <si>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</si>
  <si>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</si>
  <si>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</si>
  <si>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</si>
  <si>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</si>
  <si>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</si>
  <si>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</si>
  <si>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</si>
  <si>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</si>
  <si>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</si>
  <si>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</si>
  <si>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</si>
  <si>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</si>
  <si>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</si>
  <si>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</si>
  <si>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</si>
  <si>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</si>
  <si>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</si>
  <si>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</si>
  <si>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</si>
  <si>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</si>
  <si>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</si>
  <si>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</si>
  <si>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</si>
  <si>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</si>
  <si>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</si>
  <si>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</si>
  <si>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</si>
  <si>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</si>
  <si>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</si>
  <si>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</si>
  <si>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</si>
  <si>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</si>
  <si>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</si>
  <si>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</si>
  <si>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</si>
  <si>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</si>
  <si>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</si>
  <si>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</si>
  <si>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</si>
  <si>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</si>
  <si>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</si>
  <si>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</si>
  <si>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</si>
  <si>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</si>
  <si>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</si>
  <si>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</si>
  <si>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</si>
  <si>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</si>
  <si>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</si>
  <si>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</si>
  <si>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</si>
  <si>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</si>
  <si>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</si>
  <si>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</si>
  <si>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</si>
  <si>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</si>
  <si>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</si>
  <si>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</si>
  <si>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</si>
  <si>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</si>
  <si>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</si>
  <si>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</si>
  <si>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</si>
  <si>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</si>
  <si>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</si>
  <si>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</si>
  <si>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</si>
  <si>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</si>
  <si>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</si>
  <si>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</si>
  <si>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</si>
  <si>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</si>
  <si>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</si>
  <si>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</si>
  <si>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</si>
  <si>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</si>
  <si>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</si>
  <si>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</si>
  <si>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</si>
  <si>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</si>
  <si>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</si>
  <si>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</si>
  <si>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</si>
  <si>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</si>
  <si>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</si>
  <si>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</si>
  <si>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</si>
  <si>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</si>
  <si>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</si>
  <si>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</si>
  <si>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</si>
  <si>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</si>
  <si>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</si>
  <si>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</si>
  <si>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</si>
  <si>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</si>
  <si>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</si>
  <si>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</si>
  <si>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</si>
  <si>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</si>
  <si>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</si>
  <si>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</si>
  <si>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</si>
  <si>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</si>
  <si>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</si>
  <si>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</si>
  <si>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</si>
  <si>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</si>
  <si>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</si>
  <si>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</si>
  <si>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</si>
  <si>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</si>
  <si>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</si>
  <si>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</si>
  <si>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</si>
  <si>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</si>
  <si>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</si>
  <si>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</si>
  <si>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</si>
  <si>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</si>
  <si>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</si>
  <si>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</si>
  <si>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</si>
  <si>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</si>
  <si>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</si>
  <si>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</si>
  <si>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</si>
  <si>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</si>
  <si>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</si>
  <si>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</si>
  <si>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</si>
  <si>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</si>
  <si>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</si>
  <si>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</si>
  <si>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</si>
  <si>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</si>
  <si>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</si>
  <si>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</si>
  <si>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</si>
  <si>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</si>
  <si>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</si>
  <si>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</si>
  <si>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</si>
  <si>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</si>
  <si>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</si>
  <si>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</si>
  <si>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</si>
  <si>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</si>
  <si>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</si>
  <si>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</si>
  <si>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</si>
  <si>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</si>
  <si>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</si>
  <si>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</si>
  <si>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</si>
  <si>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</si>
  <si>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</si>
  <si>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</si>
  <si>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</si>
  <si>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</si>
  <si>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</si>
  <si>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</si>
  <si>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</si>
  <si>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</si>
  <si>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</si>
  <si>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</si>
  <si>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rtdc.l.rtdc.4044:itc</t>
  </si>
  <si>
    <t>rtdc.l.rtdc.4043:itc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</si>
  <si>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</si>
  <si>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</si>
  <si>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</si>
  <si>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</si>
  <si>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</si>
  <si>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</si>
  <si>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</si>
  <si>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</si>
  <si>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</si>
  <si>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</si>
  <si>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</si>
  <si>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</si>
  <si>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</si>
  <si>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</si>
  <si>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</si>
  <si>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</si>
  <si>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</si>
  <si>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</si>
  <si>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204:233295</t>
  </si>
  <si>
    <t>204:138</t>
  </si>
  <si>
    <t>204:141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</si>
  <si>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</si>
  <si>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</si>
  <si>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</si>
  <si>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</si>
  <si>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</si>
  <si>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204:232989</t>
  </si>
  <si>
    <t>204:446</t>
  </si>
  <si>
    <t>rtdc.l.rtdc.4009:itc</t>
  </si>
  <si>
    <t>rtdc.l.rtdc.4045:itc</t>
  </si>
  <si>
    <t>204:471</t>
  </si>
  <si>
    <t>204:233297</t>
  </si>
  <si>
    <t>204:145</t>
  </si>
  <si>
    <t>204:160</t>
  </si>
  <si>
    <t>DUNCAN</t>
  </si>
  <si>
    <t>SHEILA</t>
  </si>
  <si>
    <t>204:458</t>
  </si>
  <si>
    <t>rtdc.l.rtdc.4041:itc</t>
  </si>
  <si>
    <t>rtdc.l.rtdc.4004:itc</t>
  </si>
  <si>
    <t>rtdc.l.rtdc.4003:itc</t>
  </si>
  <si>
    <t>rtdc.l.rtdc.4042:itc</t>
  </si>
  <si>
    <t>GUZMAN</t>
  </si>
  <si>
    <t>DANNY</t>
  </si>
  <si>
    <t>rtdc.l.rtdc.4053:itc</t>
  </si>
  <si>
    <t>239-04</t>
  </si>
  <si>
    <t>81-04</t>
  </si>
  <si>
    <t>rtdc.l.rtdc.4020:itc</t>
  </si>
  <si>
    <t>82-04</t>
  </si>
  <si>
    <t>233-04</t>
  </si>
  <si>
    <t>847-04</t>
  </si>
  <si>
    <t>235-04</t>
  </si>
  <si>
    <t>232-04</t>
  </si>
  <si>
    <t>908-04</t>
  </si>
  <si>
    <t>234-04</t>
  </si>
  <si>
    <t>237-04</t>
  </si>
  <si>
    <t>236-04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</si>
  <si>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</si>
  <si>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</si>
  <si>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</si>
  <si>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</si>
  <si>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</si>
  <si>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</si>
  <si>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</si>
  <si>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</si>
  <si>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</si>
  <si>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</si>
  <si>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JOHN</t>
  </si>
  <si>
    <t>WHITED</t>
  </si>
  <si>
    <t>DUSTIN</t>
  </si>
  <si>
    <t>Clear</t>
  </si>
  <si>
    <t>clear-night</t>
  </si>
  <si>
    <t>204:233306</t>
  </si>
  <si>
    <t>204:467</t>
  </si>
  <si>
    <t>204:233291</t>
  </si>
  <si>
    <t>204:233002</t>
  </si>
  <si>
    <t>rtdc.l.rtdc.4054:itc</t>
  </si>
  <si>
    <t>240-06</t>
  </si>
  <si>
    <t>315-06</t>
  </si>
  <si>
    <t>242-06</t>
  </si>
  <si>
    <t>309-06</t>
  </si>
  <si>
    <t>244-06</t>
  </si>
  <si>
    <t>311-06</t>
  </si>
  <si>
    <t>313-06</t>
  </si>
  <si>
    <t>204:233293</t>
  </si>
  <si>
    <t>SAFIEF</t>
  </si>
  <si>
    <t>AEIMEN</t>
  </si>
  <si>
    <t>204:150</t>
  </si>
  <si>
    <t>204:447</t>
  </si>
  <si>
    <t>204:473</t>
  </si>
  <si>
    <t>rtdc.l.rtdc.4006:itc</t>
  </si>
  <si>
    <t>rtdc.l.rtdc.4018:itc</t>
  </si>
  <si>
    <t>FRANK</t>
  </si>
  <si>
    <t>partly-cloudy-night</t>
  </si>
  <si>
    <t>204:233303</t>
  </si>
  <si>
    <t>204:149</t>
  </si>
  <si>
    <t>204:232998</t>
  </si>
  <si>
    <t>204:143</t>
  </si>
  <si>
    <t>204:475</t>
  </si>
  <si>
    <t>300:58611</t>
  </si>
  <si>
    <t>s</t>
  </si>
  <si>
    <t>204:442</t>
  </si>
  <si>
    <t>204:435</t>
  </si>
  <si>
    <t>204:440</t>
  </si>
  <si>
    <t>204:233310</t>
  </si>
  <si>
    <t>204:232986</t>
  </si>
  <si>
    <t>204:232961</t>
  </si>
  <si>
    <t>300:58630</t>
  </si>
  <si>
    <t>rtdc.l.rtdc.4007:itc</t>
  </si>
  <si>
    <t>rtdc.l.rtdc.4008:itc</t>
  </si>
  <si>
    <t>204:139</t>
  </si>
  <si>
    <t>204:232982</t>
  </si>
  <si>
    <t>204:233298</t>
  </si>
  <si>
    <t>204:232967</t>
  </si>
  <si>
    <t>204:232983</t>
  </si>
  <si>
    <t>204:123</t>
  </si>
  <si>
    <t>204:163</t>
  </si>
  <si>
    <t>rtdc.l.rtdc.4026:itc</t>
  </si>
  <si>
    <t>rtdc.l.rtdc.4051:itc</t>
  </si>
  <si>
    <t>rtdc.l.rtdc.4025:itc</t>
  </si>
  <si>
    <t>rtdc.l.rtdc.4005:itc</t>
  </si>
  <si>
    <t>rtdc.l.rtdc.4052:itc</t>
  </si>
  <si>
    <t>Y</t>
  </si>
  <si>
    <t>ROBINSON</t>
  </si>
  <si>
    <t>KADDIBA</t>
  </si>
  <si>
    <t>SHOOK</t>
  </si>
  <si>
    <t>BRANDNER</t>
  </si>
  <si>
    <t>MELINDA</t>
  </si>
  <si>
    <t>partly-cloudy-day</t>
  </si>
  <si>
    <t>204:466</t>
  </si>
  <si>
    <t>204:233315</t>
  </si>
  <si>
    <t>204:156</t>
  </si>
  <si>
    <t>204:233001</t>
  </si>
  <si>
    <t>204:429</t>
  </si>
  <si>
    <t>300:58619</t>
  </si>
  <si>
    <t>DAVIS</t>
  </si>
  <si>
    <t>SANTIZO</t>
  </si>
  <si>
    <t>D. EDY</t>
  </si>
  <si>
    <t>HAUSER</t>
  </si>
  <si>
    <t>STEWART</t>
  </si>
  <si>
    <t>LEVIN</t>
  </si>
  <si>
    <t>SCOTT</t>
  </si>
  <si>
    <t>LALONDE</t>
  </si>
  <si>
    <t>GREGORY</t>
  </si>
  <si>
    <t>DAVIDSON</t>
  </si>
  <si>
    <t>DAVID</t>
  </si>
  <si>
    <t>204:233289</t>
  </si>
  <si>
    <t>204:477</t>
  </si>
  <si>
    <t>204:484</t>
  </si>
  <si>
    <t>204:233321</t>
  </si>
  <si>
    <t>204:233331</t>
  </si>
  <si>
    <t>204:444</t>
  </si>
  <si>
    <t>204:233051</t>
  </si>
  <si>
    <t>204:233299</t>
  </si>
  <si>
    <t>204:232987</t>
  </si>
  <si>
    <t>204:136</t>
  </si>
  <si>
    <t>204:161</t>
  </si>
  <si>
    <t>204:433</t>
  </si>
  <si>
    <t>300:58623</t>
  </si>
  <si>
    <t>300:58946</t>
  </si>
  <si>
    <t>300:58621</t>
  </si>
  <si>
    <t>204:233000</t>
  </si>
  <si>
    <t>204:232979</t>
  </si>
  <si>
    <t>204:169</t>
  </si>
  <si>
    <t>300:23308</t>
  </si>
  <si>
    <t>204:488</t>
  </si>
  <si>
    <t>rtdc.l.rtdc.4015:itc</t>
  </si>
  <si>
    <t>rtdc.l.rtdc.4016:itc</t>
  </si>
  <si>
    <t>SWITCH UNKNOWN</t>
  </si>
  <si>
    <t>Track device (7)</t>
  </si>
  <si>
    <t>309-16</t>
  </si>
  <si>
    <t>YORK</t>
  </si>
  <si>
    <t>EDGAR</t>
  </si>
  <si>
    <t>rtdc.l.rtdc.4023:itc</t>
  </si>
  <si>
    <t>rtdc.l.rtdc.4024:itc</t>
  </si>
  <si>
    <t>ROMERO</t>
  </si>
  <si>
    <t>CHAD</t>
  </si>
  <si>
    <t>MAGEE</t>
  </si>
  <si>
    <t>KENYA</t>
  </si>
  <si>
    <t>244-16</t>
  </si>
  <si>
    <t>311-16</t>
  </si>
  <si>
    <t>51-17</t>
  </si>
  <si>
    <t>313-16</t>
  </si>
  <si>
    <t>50-17</t>
  </si>
  <si>
    <t>204:233304</t>
  </si>
  <si>
    <t>204:233312</t>
  </si>
  <si>
    <t>204:232670</t>
  </si>
  <si>
    <t>204:768</t>
  </si>
  <si>
    <t>204:167</t>
  </si>
  <si>
    <t>204:232984</t>
  </si>
  <si>
    <t>204:233323</t>
  </si>
  <si>
    <t>204:232970</t>
  </si>
  <si>
    <t>204:233302</t>
  </si>
  <si>
    <t>204:233011</t>
  </si>
  <si>
    <t>204:1154</t>
  </si>
  <si>
    <t>204:233300</t>
  </si>
  <si>
    <t>204:232990</t>
  </si>
  <si>
    <t>204:130</t>
  </si>
  <si>
    <t>204:232991</t>
  </si>
  <si>
    <t>204:233305</t>
  </si>
  <si>
    <t>204:734</t>
  </si>
  <si>
    <t>300:58933</t>
  </si>
  <si>
    <t>300:58613</t>
  </si>
  <si>
    <t>300:58954</t>
  </si>
  <si>
    <t>300:58643</t>
  </si>
  <si>
    <t>300:58950</t>
  </si>
  <si>
    <t>300:58632</t>
  </si>
  <si>
    <t>204:233094</t>
  </si>
  <si>
    <t>204:233274</t>
  </si>
  <si>
    <t>204:233010</t>
  </si>
  <si>
    <t>204:232969</t>
  </si>
  <si>
    <t>204:233345</t>
  </si>
  <si>
    <t>204:233400</t>
  </si>
  <si>
    <t>204:232974</t>
  </si>
  <si>
    <t>204:233329</t>
  </si>
  <si>
    <t>204:438</t>
  </si>
  <si>
    <t>300:23304</t>
  </si>
  <si>
    <t>204:1158</t>
  </si>
  <si>
    <t>204:106949</t>
  </si>
  <si>
    <t>Onboard in-route failure</t>
  </si>
  <si>
    <t>Early arrival</t>
  </si>
  <si>
    <t>Wi-MAX data drop</t>
  </si>
  <si>
    <t>103-17</t>
  </si>
  <si>
    <t>SIGNAL</t>
  </si>
  <si>
    <t>Signal based authority (5)</t>
  </si>
  <si>
    <t>rtdc.l.rtdc.4001:itc</t>
  </si>
  <si>
    <t>102-17</t>
  </si>
  <si>
    <t>105-17</t>
  </si>
  <si>
    <t>109-17</t>
  </si>
  <si>
    <t>119-17</t>
  </si>
  <si>
    <t>rtdc.l.rtdc.4017:itc</t>
  </si>
  <si>
    <t>806-17</t>
  </si>
  <si>
    <t>126-17</t>
  </si>
  <si>
    <t>rtdc.l.rtdc.4002:itc</t>
  </si>
  <si>
    <t>141-17</t>
  </si>
  <si>
    <t>143-17</t>
  </si>
  <si>
    <t>56-17</t>
  </si>
  <si>
    <t>146-17</t>
  </si>
  <si>
    <t>161-17</t>
  </si>
  <si>
    <t>166-17</t>
  </si>
  <si>
    <t>168-17</t>
  </si>
  <si>
    <t>182-17</t>
  </si>
  <si>
    <t>826-17</t>
  </si>
  <si>
    <t>196-17</t>
  </si>
  <si>
    <t>830-17</t>
  </si>
  <si>
    <t>211-17</t>
  </si>
  <si>
    <t>206-17</t>
  </si>
  <si>
    <t>65-17</t>
  </si>
  <si>
    <t>834-17</t>
  </si>
  <si>
    <t>208-17</t>
  </si>
  <si>
    <t>212-17</t>
  </si>
  <si>
    <t>218-17</t>
  </si>
  <si>
    <t>223-17</t>
  </si>
  <si>
    <t>842-17</t>
  </si>
  <si>
    <t>240-17</t>
  </si>
  <si>
    <t>302-17</t>
  </si>
  <si>
    <t>101-17</t>
  </si>
  <si>
    <t>304-17</t>
  </si>
  <si>
    <t>MAELZER</t>
  </si>
  <si>
    <t>KURT</t>
  </si>
  <si>
    <t>STARKS</t>
  </si>
  <si>
    <t>ANGELINA</t>
  </si>
  <si>
    <t>306-17</t>
  </si>
  <si>
    <t>308-17</t>
  </si>
  <si>
    <t>BONDS</t>
  </si>
  <si>
    <t>REYNALDO</t>
  </si>
  <si>
    <t>310-17</t>
  </si>
  <si>
    <t>107-17</t>
  </si>
  <si>
    <t>104-17</t>
  </si>
  <si>
    <t>111-17</t>
  </si>
  <si>
    <t>901-17</t>
  </si>
  <si>
    <t>106-17</t>
  </si>
  <si>
    <t>800-17</t>
  </si>
  <si>
    <t>113-17</t>
  </si>
  <si>
    <t>108-17</t>
  </si>
  <si>
    <t>rtdc.l.rtdc.4032:itc</t>
  </si>
  <si>
    <t>117-17</t>
  </si>
  <si>
    <t>115-17</t>
  </si>
  <si>
    <t>110-17</t>
  </si>
  <si>
    <t>801-17</t>
  </si>
  <si>
    <t>112-17</t>
  </si>
  <si>
    <t>114-17</t>
  </si>
  <si>
    <t>902-17</t>
  </si>
  <si>
    <t>ROCHA</t>
  </si>
  <si>
    <t>YAOTL</t>
  </si>
  <si>
    <t>53-17</t>
  </si>
  <si>
    <t>YOUNG</t>
  </si>
  <si>
    <t>ELIZABETH</t>
  </si>
  <si>
    <t>802-17</t>
  </si>
  <si>
    <t>803-17</t>
  </si>
  <si>
    <t>121-17</t>
  </si>
  <si>
    <t>54-17</t>
  </si>
  <si>
    <t>116-17</t>
  </si>
  <si>
    <t>123-17</t>
  </si>
  <si>
    <t>805-17</t>
  </si>
  <si>
    <t>804-17</t>
  </si>
  <si>
    <t>125-17</t>
  </si>
  <si>
    <t>118-17</t>
  </si>
  <si>
    <t>127-17</t>
  </si>
  <si>
    <t>120-17</t>
  </si>
  <si>
    <t>122-17</t>
  </si>
  <si>
    <t>124-17</t>
  </si>
  <si>
    <t>129-17</t>
  </si>
  <si>
    <t>807-17</t>
  </si>
  <si>
    <t>131-17</t>
  </si>
  <si>
    <t>809-17</t>
  </si>
  <si>
    <t>808-17</t>
  </si>
  <si>
    <t>128-17</t>
  </si>
  <si>
    <t>133-17</t>
  </si>
  <si>
    <t>135-17</t>
  </si>
  <si>
    <t>810-17</t>
  </si>
  <si>
    <t>130-17</t>
  </si>
  <si>
    <t>137-17</t>
  </si>
  <si>
    <t>132-17</t>
  </si>
  <si>
    <t>811-17</t>
  </si>
  <si>
    <t>139-17</t>
  </si>
  <si>
    <t>903-17</t>
  </si>
  <si>
    <t>134-17</t>
  </si>
  <si>
    <t>812-17</t>
  </si>
  <si>
    <t>136-17</t>
  </si>
  <si>
    <t>138-17</t>
  </si>
  <si>
    <t>140-17</t>
  </si>
  <si>
    <t>145-17</t>
  </si>
  <si>
    <t>813-17</t>
  </si>
  <si>
    <t>142-17</t>
  </si>
  <si>
    <t>147-17</t>
  </si>
  <si>
    <t>814-17</t>
  </si>
  <si>
    <t>149-17</t>
  </si>
  <si>
    <t>144-17</t>
  </si>
  <si>
    <t>151-17</t>
  </si>
  <si>
    <t>148-17</t>
  </si>
  <si>
    <t>153-17</t>
  </si>
  <si>
    <t>815-17</t>
  </si>
  <si>
    <t>155-17</t>
  </si>
  <si>
    <t>150-17</t>
  </si>
  <si>
    <t>816-17</t>
  </si>
  <si>
    <t>157-17</t>
  </si>
  <si>
    <t>152-17</t>
  </si>
  <si>
    <t>154-17</t>
  </si>
  <si>
    <t>159-17</t>
  </si>
  <si>
    <t>57-17</t>
  </si>
  <si>
    <t>817-17</t>
  </si>
  <si>
    <t>156-17</t>
  </si>
  <si>
    <t>NELSON</t>
  </si>
  <si>
    <t>ARIANE</t>
  </si>
  <si>
    <t>163-17</t>
  </si>
  <si>
    <t>CLARK</t>
  </si>
  <si>
    <t>KATHLEEN</t>
  </si>
  <si>
    <t>158-17</t>
  </si>
  <si>
    <t>818-17</t>
  </si>
  <si>
    <t>165-17</t>
  </si>
  <si>
    <t>160-17</t>
  </si>
  <si>
    <t>167-17</t>
  </si>
  <si>
    <t>MACDONALD</t>
  </si>
  <si>
    <t>THOMAS</t>
  </si>
  <si>
    <t>819-17</t>
  </si>
  <si>
    <t>162-17</t>
  </si>
  <si>
    <t>169-17</t>
  </si>
  <si>
    <t>LEVERE</t>
  </si>
  <si>
    <t>CRAIG</t>
  </si>
  <si>
    <t>171-17</t>
  </si>
  <si>
    <t>164-17</t>
  </si>
  <si>
    <t>820-17</t>
  </si>
  <si>
    <t>173-17</t>
  </si>
  <si>
    <t>175-17</t>
  </si>
  <si>
    <t>170-17</t>
  </si>
  <si>
    <t>177-17</t>
  </si>
  <si>
    <t>821-17</t>
  </si>
  <si>
    <t>172-17</t>
  </si>
  <si>
    <t>179-17</t>
  </si>
  <si>
    <t>174-17</t>
  </si>
  <si>
    <t>822-17</t>
  </si>
  <si>
    <t>181-17</t>
  </si>
  <si>
    <t>176-17</t>
  </si>
  <si>
    <t>183-17</t>
  </si>
  <si>
    <t>178-17</t>
  </si>
  <si>
    <t>185-17</t>
  </si>
  <si>
    <t>823-17</t>
  </si>
  <si>
    <t>180-17</t>
  </si>
  <si>
    <t>187-17</t>
  </si>
  <si>
    <t>824-17</t>
  </si>
  <si>
    <t>189-17</t>
  </si>
  <si>
    <t>184-17</t>
  </si>
  <si>
    <t>191-17</t>
  </si>
  <si>
    <t>186-17</t>
  </si>
  <si>
    <t>193-17</t>
  </si>
  <si>
    <t>825-17</t>
  </si>
  <si>
    <t>188-17</t>
  </si>
  <si>
    <t>904-17</t>
  </si>
  <si>
    <t>195-17</t>
  </si>
  <si>
    <t>827-17</t>
  </si>
  <si>
    <t>190-17</t>
  </si>
  <si>
    <t>197-17</t>
  </si>
  <si>
    <t>192-17</t>
  </si>
  <si>
    <t>199-17</t>
  </si>
  <si>
    <t>828-17</t>
  </si>
  <si>
    <t>194-17</t>
  </si>
  <si>
    <t>201-17</t>
  </si>
  <si>
    <t>829-17</t>
  </si>
  <si>
    <t>203-17</t>
  </si>
  <si>
    <t>831-17</t>
  </si>
  <si>
    <t>198-17</t>
  </si>
  <si>
    <t>205-17</t>
  </si>
  <si>
    <t>200-17</t>
  </si>
  <si>
    <t>207-17</t>
  </si>
  <si>
    <t>832-17</t>
  </si>
  <si>
    <t>202-17</t>
  </si>
  <si>
    <t>209-17</t>
  </si>
  <si>
    <t>833-17</t>
  </si>
  <si>
    <t>204-17</t>
  </si>
  <si>
    <t>835-17</t>
  </si>
  <si>
    <t>213-17</t>
  </si>
  <si>
    <t>52-17</t>
  </si>
  <si>
    <t>215-17</t>
  </si>
  <si>
    <t>836-17</t>
  </si>
  <si>
    <t>210-17</t>
  </si>
  <si>
    <t>217-17</t>
  </si>
  <si>
    <t>837-17</t>
  </si>
  <si>
    <t>219-17</t>
  </si>
  <si>
    <t>839-17</t>
  </si>
  <si>
    <t>214-17</t>
  </si>
  <si>
    <t>838-17</t>
  </si>
  <si>
    <t>303-17</t>
  </si>
  <si>
    <t>216-17</t>
  </si>
  <si>
    <t>69-17</t>
  </si>
  <si>
    <t>68-17</t>
  </si>
  <si>
    <t>221-17</t>
  </si>
  <si>
    <t>906-17</t>
  </si>
  <si>
    <t>305-17</t>
  </si>
  <si>
    <t>841-17</t>
  </si>
  <si>
    <t>220-17</t>
  </si>
  <si>
    <t>840-17</t>
  </si>
  <si>
    <t>222-17</t>
  </si>
  <si>
    <t>225-17</t>
  </si>
  <si>
    <t>224-17</t>
  </si>
  <si>
    <t>843-17</t>
  </si>
  <si>
    <t>227-17</t>
  </si>
  <si>
    <t>226-17</t>
  </si>
  <si>
    <t>845-17</t>
  </si>
  <si>
    <t>229-17</t>
  </si>
  <si>
    <t>231-17</t>
  </si>
  <si>
    <t>228-17</t>
  </si>
  <si>
    <t>844-17</t>
  </si>
  <si>
    <t>233-17</t>
  </si>
  <si>
    <t>230-17</t>
  </si>
  <si>
    <t>847-17</t>
  </si>
  <si>
    <t>232-17</t>
  </si>
  <si>
    <t>235-17</t>
  </si>
  <si>
    <t>908-17</t>
  </si>
  <si>
    <t>234-17</t>
  </si>
  <si>
    <t>237-17</t>
  </si>
  <si>
    <t>239-17</t>
  </si>
  <si>
    <t>236-17</t>
  </si>
  <si>
    <t>241-17</t>
  </si>
  <si>
    <t>238-17</t>
  </si>
  <si>
    <t>243-17</t>
  </si>
  <si>
    <t>315-17</t>
  </si>
  <si>
    <t>242-17</t>
  </si>
  <si>
    <t>309-17</t>
  </si>
  <si>
    <t>244-17</t>
  </si>
  <si>
    <t>311-17</t>
  </si>
  <si>
    <t>313-17</t>
  </si>
  <si>
    <t>51-18</t>
  </si>
  <si>
    <t>Mostly Cloudy</t>
  </si>
  <si>
    <t>204:786</t>
  </si>
  <si>
    <t>204:233332</t>
  </si>
  <si>
    <t>204:232698</t>
  </si>
  <si>
    <t>204:695</t>
  </si>
  <si>
    <t>204:64019</t>
  </si>
  <si>
    <t>204:86386</t>
  </si>
  <si>
    <t>204:232681</t>
  </si>
  <si>
    <t>204:233253</t>
  </si>
  <si>
    <t>204:19123</t>
  </si>
  <si>
    <t>204:788</t>
  </si>
  <si>
    <t>204:1113</t>
  </si>
  <si>
    <t>204:232953</t>
  </si>
  <si>
    <t>204:170</t>
  </si>
  <si>
    <t>204:232963</t>
  </si>
  <si>
    <t>204:233308</t>
  </si>
  <si>
    <t>204:232962</t>
  </si>
  <si>
    <t>204:774</t>
  </si>
  <si>
    <t>204:232980</t>
  </si>
  <si>
    <t>204:233276</t>
  </si>
  <si>
    <t>204:232964</t>
  </si>
  <si>
    <t>204:469</t>
  </si>
  <si>
    <t>204:132</t>
  </si>
  <si>
    <t>204:232950</t>
  </si>
  <si>
    <t>204:233319</t>
  </si>
  <si>
    <t>204:233311</t>
  </si>
  <si>
    <t>204:233314</t>
  </si>
  <si>
    <t>204:1162</t>
  </si>
  <si>
    <t>204:233320</t>
  </si>
  <si>
    <t>204:233268</t>
  </si>
  <si>
    <t>204:232955</t>
  </si>
  <si>
    <t>204:183</t>
  </si>
  <si>
    <t>204:233398</t>
  </si>
  <si>
    <t>204:233055</t>
  </si>
  <si>
    <t>204:101</t>
  </si>
  <si>
    <t>204:233364</t>
  </si>
  <si>
    <t>204:233007</t>
  </si>
  <si>
    <t>204:233380</t>
  </si>
  <si>
    <t>204:233032</t>
  </si>
  <si>
    <t>204:233337</t>
  </si>
  <si>
    <t>204:233283</t>
  </si>
  <si>
    <t>204:232960</t>
  </si>
  <si>
    <t>204:191</t>
  </si>
  <si>
    <t>204:409</t>
  </si>
  <si>
    <t>204:233366</t>
  </si>
  <si>
    <t>204:127854</t>
  </si>
  <si>
    <t>204:233261</t>
  </si>
  <si>
    <t>204:504</t>
  </si>
  <si>
    <t>204:233282</t>
  </si>
  <si>
    <t>204:192</t>
  </si>
  <si>
    <t>204:233368</t>
  </si>
  <si>
    <t>204:233079</t>
  </si>
  <si>
    <t>204:105</t>
  </si>
  <si>
    <t>204:493</t>
  </si>
  <si>
    <t>204:127863</t>
  </si>
  <si>
    <t>204:126453</t>
  </si>
  <si>
    <t>204:215685</t>
  </si>
  <si>
    <t>204:151810</t>
  </si>
  <si>
    <t>204:217432</t>
  </si>
  <si>
    <t>204:233324</t>
  </si>
  <si>
    <t>204:233026</t>
  </si>
  <si>
    <t>204:172</t>
  </si>
  <si>
    <t>204:227</t>
  </si>
  <si>
    <t>204:232981</t>
  </si>
  <si>
    <t>204:418</t>
  </si>
  <si>
    <t>204:233408</t>
  </si>
  <si>
    <t>204:233115</t>
  </si>
  <si>
    <t>204:165</t>
  </si>
  <si>
    <t>204:233083</t>
  </si>
  <si>
    <t>204:127</t>
  </si>
  <si>
    <t>204:233338</t>
  </si>
  <si>
    <t>204:233038</t>
  </si>
  <si>
    <t>204:464</t>
  </si>
  <si>
    <t>204:431</t>
  </si>
  <si>
    <t>204:233342</t>
  </si>
  <si>
    <t>204:233145</t>
  </si>
  <si>
    <t>204:83</t>
  </si>
  <si>
    <t>204:233281</t>
  </si>
  <si>
    <t>204:19128</t>
  </si>
  <si>
    <t>204:233466</t>
  </si>
  <si>
    <t>204:385</t>
  </si>
  <si>
    <t>204:1484</t>
  </si>
  <si>
    <t>204:233149</t>
  </si>
  <si>
    <t>204:121</t>
  </si>
  <si>
    <t>300:19509</t>
  </si>
  <si>
    <t>300:23312</t>
  </si>
  <si>
    <t>300:23205</t>
  </si>
  <si>
    <t>204:544</t>
  </si>
  <si>
    <t>300:23306</t>
  </si>
  <si>
    <t>300:23404</t>
  </si>
  <si>
    <t>300:23396</t>
  </si>
  <si>
    <t>300:26096</t>
  </si>
  <si>
    <t>300:22544</t>
  </si>
  <si>
    <t>204:106625</t>
  </si>
  <si>
    <t>204:881</t>
  </si>
  <si>
    <t>204:1160</t>
  </si>
  <si>
    <t>204:107318</t>
  </si>
  <si>
    <t>300:22244</t>
  </si>
  <si>
    <t>204:3598</t>
  </si>
  <si>
    <t>204:3290</t>
  </si>
  <si>
    <t>204:1167</t>
  </si>
  <si>
    <t>300:23250</t>
  </si>
  <si>
    <t>204:1038</t>
  </si>
  <si>
    <t>204:1168</t>
  </si>
  <si>
    <t>300:24235</t>
  </si>
  <si>
    <t>204:1475</t>
  </si>
  <si>
    <t>204:1777</t>
  </si>
  <si>
    <t>204:4450</t>
  </si>
  <si>
    <t>204:1488</t>
  </si>
  <si>
    <t>204:4758</t>
  </si>
  <si>
    <t>204:3326</t>
  </si>
  <si>
    <t>204:1671</t>
  </si>
  <si>
    <t>204:3102</t>
  </si>
  <si>
    <t>204:838</t>
  </si>
  <si>
    <t>204:3628</t>
  </si>
  <si>
    <t>204:1156</t>
  </si>
  <si>
    <t>204:3457</t>
  </si>
  <si>
    <t>300:58651</t>
  </si>
  <si>
    <t>204:692</t>
  </si>
  <si>
    <t>204:971</t>
  </si>
  <si>
    <t>300:58969</t>
  </si>
  <si>
    <t>204:682</t>
  </si>
  <si>
    <t>204:930</t>
  </si>
  <si>
    <t>204:661</t>
  </si>
  <si>
    <t>204:974</t>
  </si>
  <si>
    <t>300:58976</t>
  </si>
  <si>
    <t>300:58653</t>
  </si>
  <si>
    <t>204:691</t>
  </si>
  <si>
    <t>204:951</t>
  </si>
  <si>
    <t>300:58952</t>
  </si>
  <si>
    <t>204:649</t>
  </si>
  <si>
    <t>300:58971</t>
  </si>
  <si>
    <t>300:58655</t>
  </si>
  <si>
    <t>204:962</t>
  </si>
  <si>
    <t>300:58958</t>
  </si>
  <si>
    <t>300:58641</t>
  </si>
  <si>
    <t>204:666</t>
  </si>
  <si>
    <t>300:58961</t>
  </si>
  <si>
    <t>300:58647</t>
  </si>
  <si>
    <t>204:635</t>
  </si>
  <si>
    <t>204:946</t>
  </si>
  <si>
    <t>300:58634</t>
  </si>
  <si>
    <t>204:663</t>
  </si>
  <si>
    <t>204:950</t>
  </si>
  <si>
    <t>204:642</t>
  </si>
  <si>
    <t>204:934</t>
  </si>
  <si>
    <t>300:58624</t>
  </si>
  <si>
    <t>204:685</t>
  </si>
  <si>
    <t>300:58638</t>
  </si>
  <si>
    <t>204:629</t>
  </si>
  <si>
    <t>204:937</t>
  </si>
  <si>
    <t>300:58990</t>
  </si>
  <si>
    <t>300:58668</t>
  </si>
  <si>
    <t>204:640</t>
  </si>
  <si>
    <t>204:941</t>
  </si>
  <si>
    <t>300:58926</t>
  </si>
  <si>
    <t>204:647</t>
  </si>
  <si>
    <t>300:59010</t>
  </si>
  <si>
    <t>300:58696</t>
  </si>
  <si>
    <t>204:638</t>
  </si>
  <si>
    <t>204:943</t>
  </si>
  <si>
    <t>300:58935</t>
  </si>
  <si>
    <t>204:925</t>
  </si>
  <si>
    <t>300:58658</t>
  </si>
  <si>
    <t>204:622</t>
  </si>
  <si>
    <t>300:58929</t>
  </si>
  <si>
    <t>204:654</t>
  </si>
  <si>
    <t>204:918</t>
  </si>
  <si>
    <t>300:58956</t>
  </si>
  <si>
    <t>204:916</t>
  </si>
  <si>
    <t>300:58944</t>
  </si>
  <si>
    <t>300:58640</t>
  </si>
  <si>
    <t>204:671</t>
  </si>
  <si>
    <t>204:953</t>
  </si>
  <si>
    <t>204:675</t>
  </si>
  <si>
    <t>204:969</t>
  </si>
  <si>
    <t>300:30243</t>
  </si>
  <si>
    <t>300:23453</t>
  </si>
  <si>
    <t>204:650</t>
  </si>
  <si>
    <t>204:972</t>
  </si>
  <si>
    <t>300:24224</t>
  </si>
  <si>
    <t>300:58609</t>
  </si>
  <si>
    <t>300:28780</t>
  </si>
  <si>
    <t>300:21746</t>
  </si>
  <si>
    <t>start /low /b %USERPROFILE%\Documents\GitHub\eaglep3\Utilities\DownloadLogsFromS3.py --loco 4052 --day 2017-04-17</t>
  </si>
  <si>
    <t>start /low /b %USERPROFILE%\Documents\GitHub\eaglep3\Utilities\DownloadLogsFromS3.py --loco 4008 --day 2017-04-17</t>
  </si>
  <si>
    <t>start /low /b %USERPROFILE%\Documents\GitHub\eaglep3\Utilities\DownloadLogsFromS3.py --loco 4007 --day 2017-04-17</t>
  </si>
  <si>
    <t>start /low /b %USERPROFILE%\Documents\GitHub\eaglep3\Utilities\DownloadLogsFromS3.py --loco 4027 --day 2017-04-17</t>
  </si>
  <si>
    <t>start /low /b %USERPROFILE%\Documents\GitHub\eaglep3\Utilities\DownloadLogsFromS3.py --loco 4054 --day 2017-04-18</t>
  </si>
  <si>
    <t>start /low /b %USERPROFILE%\Documents\GitHub\eaglep3\Utilities\DownloadLogsFromS3.py --loco 4002 --day 2017-04-17</t>
  </si>
  <si>
    <t>start /low /b %USERPROFILE%\Documents\GitHub\eaglep3\Utilities\DownloadLogsFromS3.py --loco 4001 --day 2017-04-17</t>
  </si>
  <si>
    <t>start /low /b %USERPROFILE%\Documents\GitHub\eaglep3\Utilities\DownloadLogsFromS3.py --loco 4045 --day 2017-04-18</t>
  </si>
  <si>
    <t>start /low /b %USERPROFILE%\Documents\GitHub\eaglep3\Utilities\DownloadLogsFromS3.py --loco 4045 --day 2017-04-17</t>
  </si>
  <si>
    <t>start /low /b %USERPROFILE%\Documents\GitHub\eaglep3\Utilities\DownloadLogsFromS3.py --loco 4054 --day 2017-04-17</t>
  </si>
  <si>
    <t>start /low /b %USERPROFILE%\Documents\GitHub\eaglep3\Utilities\DownloadLogsFromS3.py --loco 4046 --day 2017-04-17</t>
  </si>
  <si>
    <t>start /low /b %USERPROFILE%\Documents\GitHub\eaglep3\Utilities\DownloadLogsFromS3.py --loco 4053 --day 2017-04-18</t>
  </si>
  <si>
    <t>start /low /b %USERPROFILE%\Documents\GitHub\eaglep3\Utilities\DownloadLogsFromS3.py --loco 4052 --day 2017-04-18</t>
  </si>
  <si>
    <t>start /low /b %USERPROFILE%\Documents\GitHub\eaglep3\Utilities\DownloadLogsFromS3.py --loco 4051 --day 2017-04-18</t>
  </si>
  <si>
    <t>start /low /b %USERPROFILE%\Documents\GitHub\eaglep3\Utilities\DownloadLogsFromS3.py --loco 4027 --day 2017-04-18</t>
  </si>
  <si>
    <t>start /low /b %USERPROFILE%\Documents\GitHub\eaglep3\Utilities\DownloadLogsFromS3.py --loco 4031 --day 2017-04-17</t>
  </si>
  <si>
    <t>start /low /b %USERPROFILE%\Documents\GitHub\eaglep3\Utilities\DownloadLogsFromS3.py --loco 4001 --day 2017-04-18</t>
  </si>
  <si>
    <t>start /low /b %USERPROFILE%\Documents\GitHub\eaglep3\Utilities\DownloadLogsFromS3.py --loco 4023 --day 2017-04-17</t>
  </si>
  <si>
    <t>start /low /b %USERPROFILE%\Documents\GitHub\eaglep3\Utilities\DownloadLogsFromS3.py --loco 4017 --day 2017-04-17</t>
  </si>
  <si>
    <t>start /low /b %USERPROFILE%\Documents\GitHub\eaglep3\Utilities\DownloadLogsFromS3.py --loco 4023 --day 2017-04-18</t>
  </si>
  <si>
    <t>Selected wrong track</t>
  </si>
  <si>
    <t>http://stevetu21.github.io/eaglep3/load_kml.html?kml=http://rtdc.gmaps-snips.s3.amazonaws.com/dee8193d-b28c-4a75-a108-54c653077a80.kml</t>
  </si>
  <si>
    <t>DUS 28S STOP</t>
  </si>
  <si>
    <t>http://stevetu21.github.io/eaglep3/load_kml.html?kml=http://rtdc.gmaps-snips.s3.amazonaws.com/c31ee923-8dab-4886-8033-d38e21f9d46e.kml</t>
  </si>
  <si>
    <t>http://stevetu21.github.io/eaglep3/load_kml.html?kml=http://rtdc.gmaps-snips.s3.amazonaws.com/b2390c44-d4b4-42f3-800a-de3284c79bbc.kml</t>
  </si>
  <si>
    <t>http://stevetu21.github.io/eaglep3/load_kml.html?kml=http://rtdc.gmaps-snips.s3.amazonaws.com/3ed2b20d-023b-4866-81d5-3473cf2a4af2.kml</t>
  </si>
  <si>
    <t>http://stevetu21.github.io/eaglep3/load_kml.html?kml=http://rtdc.gmaps-snips.s3.amazonaws.com/2a4a60dd-2230-441b-8c12-35ff3124d9f4.kml</t>
  </si>
  <si>
    <t>http://stevetu21.github.io/eaglep3/load_kml.html?kml=http://rtdc.gmaps-snips.s3.amazonaws.com/0a37ea28-ee66-479f-9fab-f622778745da.kml</t>
  </si>
  <si>
    <t>Wi-MAX data drop, 4051/4052 part of double pair</t>
  </si>
  <si>
    <t>Wi-MAX data drop resulted in unhealthy banners, no enforcements</t>
  </si>
  <si>
    <t>Wi-MAX data drop, double pair including 4051/4052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</si>
</sst>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5"/>
  <sheetViews>
    <sheetView topLeftCell="A177" zoomScaleNormal="100" workbookViewId="0">
      <selection activeCell="R160" sqref="R160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" style="37" customWidth="1"/>
    <col min="15" max="15" width="3.7109375" style="2" customWidth="1"/>
    <col min="16" max="16" width="3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 t="s">
        <v>480</v>
      </c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42842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42842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COUNTIFS($N$13:$N$9324,"&gt;0",$AG$13:$AG$9324,I1)</f>
        <v>139</v>
      </c>
      <c r="K5" s="40"/>
      <c r="L5" s="40"/>
      <c r="M5" s="41">
        <f>AVERAGEIFS($N$13:$N$9324,$AG$13:$AG$9324,I1)</f>
        <v>38.623621103591653</v>
      </c>
      <c r="N5" s="39">
        <f t="array" ref="N5">MIN(IF($AG$13:$AG$9324=I1,IF(ISNUMBER($N$13:$N$9324),IF($N$13:$N$9324&gt;0,$N$13:$N$9324))))</f>
        <v>34.283333332277834</v>
      </c>
      <c r="O5" s="3">
        <f t="array" ref="O5">MAX(IF($AG$13:$AG$9324=I1,IF(ISNUMBER($N$13:$N$9324),IF($N$13:$N$9324&gt;0,$N$13:$N$9324))))</f>
        <v>47.716666662599891</v>
      </c>
      <c r="P5" s="2"/>
      <c r="R5" s="74" t="s">
        <v>17</v>
      </c>
      <c r="S5" s="50">
        <f>COUNTIFS($N$13:$N$9324,"&gt;0",$AG$13:$AG$9324,R1)</f>
        <v>47</v>
      </c>
      <c r="T5" s="40"/>
      <c r="U5" s="173"/>
      <c r="V5" s="170">
        <f>AVERAGEIFS($N$13:$N$9324,$AG$13:$AG$9324,R1)</f>
        <v>14.951418439357324</v>
      </c>
      <c r="W5" s="171">
        <f t="array" ref="W5">MIN(IF($AG$13:$AG$9324=R1,IF(ISNUMBER($N$13:$N$9324),IF($N$13:$N$9324&gt;0,$N$13:$N$9324))))</f>
        <v>12.550000000046566</v>
      </c>
      <c r="X5" s="172">
        <f t="array" ref="X5">MAX(IF($AG$13:$AG$9324=R1,IF(ISNUMBER($N$13:$N$9324),IF($N$13:$N$9324&gt;0,$N$13:$N$9324))))</f>
        <v>19.916666659992188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COUNT($O$13:$O$111)</f>
        <v>0</v>
      </c>
      <c r="K6" s="40"/>
      <c r="L6" s="40"/>
      <c r="M6" s="41">
        <f>IFERROR(AVERAGE($O$13:$O$111),0)</f>
        <v>0</v>
      </c>
      <c r="N6" s="39">
        <f>MIN($O$13:$O$111)</f>
        <v>0</v>
      </c>
      <c r="O6" s="3">
        <f>MAX($O$13:$O$111)</f>
        <v>0</v>
      </c>
      <c r="P6" s="2"/>
      <c r="R6" s="75" t="s">
        <v>43</v>
      </c>
      <c r="S6" s="50">
        <f>COUNT($O$13:$O$111)</f>
        <v>0</v>
      </c>
      <c r="T6" s="40"/>
      <c r="U6" s="173"/>
      <c r="V6" s="170">
        <f>IFERROR(AVERAGE($O$13:$O$111),0)</f>
        <v>0</v>
      </c>
      <c r="W6" s="171">
        <f>MIN($O$13:$O$111)</f>
        <v>0</v>
      </c>
      <c r="X6" s="172">
        <f>MAX($O$13:$O$111)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COUNTIFS($P$13:$P$9324,"&gt;0",$AG$13:$AG$9324,I1)</f>
        <v>5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COUNTIFS($P$13:$P$9324,"&gt;0",$AG$13:$AG$9324,R1)</f>
        <v>0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139</v>
      </c>
      <c r="K8" s="40"/>
      <c r="L8" s="40"/>
      <c r="M8" s="41">
        <f>M5</f>
        <v>38.623621103591653</v>
      </c>
      <c r="N8" s="39">
        <f>N5</f>
        <v>34.283333332277834</v>
      </c>
      <c r="O8" s="3">
        <f>O5</f>
        <v>47.716666662599891</v>
      </c>
      <c r="P8" s="2"/>
      <c r="R8" s="74" t="s">
        <v>16</v>
      </c>
      <c r="S8" s="50">
        <f>S5</f>
        <v>47</v>
      </c>
      <c r="T8" s="40"/>
      <c r="U8" s="173"/>
      <c r="V8" s="170">
        <f>V5</f>
        <v>14.951418439357324</v>
      </c>
      <c r="W8" s="171">
        <f>W5</f>
        <v>12.550000000046566</v>
      </c>
      <c r="X8" s="172">
        <f>X5</f>
        <v>19.916666659992188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0.96527777777777779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1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- 2017-04-17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AVERAGE(S13:S83)</f>
        <v>0.99879227053140085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200</v>
      </c>
      <c r="AN12" s="47" t="s">
        <v>402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636</v>
      </c>
      <c r="B13" s="7">
        <v>4008</v>
      </c>
      <c r="C13" s="21" t="s">
        <v>213</v>
      </c>
      <c r="D13" s="21" t="s">
        <v>844</v>
      </c>
      <c r="E13" s="13">
        <v>42842.126817129632</v>
      </c>
      <c r="F13" s="13">
        <v>42842.135601851849</v>
      </c>
      <c r="G13" s="7">
        <v>1</v>
      </c>
      <c r="H13" s="21" t="s">
        <v>845</v>
      </c>
      <c r="I13" s="13">
        <v>42842.160636574074</v>
      </c>
      <c r="J13" s="7">
        <v>0</v>
      </c>
      <c r="K13" s="97" t="str">
        <f t="shared" ref="K13:K76" si="0">IF(ISEVEN(B13),(B13-1)&amp;"/"&amp;B13,B13&amp;"/"&amp;(B13+1))</f>
        <v>4007/4008</v>
      </c>
      <c r="L13" s="21" t="str">
        <f>VLOOKUP(A13,'Trips&amp;Operators'!$C$1:$G$99999,5,FALSE)</f>
        <v>SANTIZO D. EDY</v>
      </c>
      <c r="M13" s="6">
        <f t="shared" ref="M13:M76" si="1">I13-F13</f>
        <v>2.5034722224518191E-2</v>
      </c>
      <c r="N13" s="7">
        <f>24*60*SUM($M13:$M13)</f>
        <v>36.050000003306195</v>
      </c>
      <c r="O13" s="7"/>
      <c r="P13" s="7"/>
      <c r="Q13" s="22"/>
      <c r="R13" s="22"/>
      <c r="S13" s="31">
        <f>SUM(U13:U13)/IF(AG13="EC",12,1)</f>
        <v>1</v>
      </c>
      <c r="T13" s="46" t="str">
        <f t="shared" ref="T13:T76" si="2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-17T02:02:37-0600',mode:absolute,to:'2017-04-17T04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" s="183" t="str">
        <f t="shared" ref="W13:W76" si="4">IF(AA13&lt;IF(AG13="EC",23,5.65),"Y","N")</f>
        <v>N</v>
      </c>
      <c r="X13" s="183" t="e">
        <f t="shared" ref="X13:X76" si="5">VALUE(LEFT(AD13,4))-VALUE(LEFT(AD12,4))</f>
        <v>#VALUE!</v>
      </c>
      <c r="Y13" s="62">
        <f t="shared" ref="Y13:Y76" si="6">RIGHT(D13,LEN(D13)-4)/10000</f>
        <v>7.8600000000000003E-2</v>
      </c>
      <c r="Z13" s="62">
        <f t="shared" ref="Z13:Z76" si="7">RIGHT(H13,LEN(H13)-4)/10000</f>
        <v>23.333200000000001</v>
      </c>
      <c r="AA13" s="62">
        <f t="shared" ref="AA13:AA76" si="8">ABS(Z13-Y13)</f>
        <v>23.2546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9">IF(LEN(A13)=6,"0"&amp;A13,A13)</f>
        <v>0101-17</v>
      </c>
      <c r="AE13" s="85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s3://rtdc.mdm.uploadarchive.raw/RTDC4008/ "%USERPROFILE%\AppData\Local\Temp\OnboardLogs"\RTDC4008\2017-04-17 --exclude "*" --recursive --include "*20170417*" &amp; "%USERPROFILE%\Documents\GitHub\mrs-test-scripts\Headless Mode &amp; Sideloading\WalkAndUnGZ.bat" "%USERPROFILE%\AppData\Local\Temp\OnboardLogs"\RTDC4008\2017-04-17 &amp; aws s3 cp s3://rtdc.mdm.uploadarchive.raw/RTDC4008/ "%USERPROFILE%\AppData\Local\Temp\OnboardLogs"\RTDC4008\2017-04-18 --exclude "*" --recursive --include "*20170418*" &amp; "%USERPROFILE%\Documents\GitHub\mrs-test-scripts\Headless Mode &amp; Sideloading\WalkAndUnGZ.bat" "%USERPROFILE%\AppData\Local\Temp\OnboardLogs"\RTDC4008\2017-04-18</v>
      </c>
      <c r="AF13" s="82" t="str">
        <f t="shared" ref="AF13:AF76" si="11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/stypes="app*4008*20170417*" /stext=" 09:.+((SYSTEM_STATE.+slice.+state.+changed )|(ment ac)|(multiple cpu faults)|(system.+state.+changed )|(\[timeout)|(PRM\|1\|D)|(kpr)|(kdp)|(\|lc)|(penalty))"</v>
      </c>
      <c r="AG13" s="1" t="str">
        <f t="shared" ref="AG13:AG76" si="12">IFERROR(IF(VALUE(LEFT(AD13,2))&lt;=2,"EC",IF(OR(VALUE(LEFT(AD13,2))=8,VALUE(LEFT(AD13,2))=18),"NW","Other")),"Other")</f>
        <v>EC</v>
      </c>
      <c r="AH13" s="86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101-17 --locoid 4008 --swversion DE.1.0.9.0 --startMP 204:786 --initTime 2017-04-17T03:02:37 --startdatetime 2017-04-17T03:15:16 --delay 1 --endMP 204:233332 --enddatetime 2017-04-17T03:51:19 --enforcementcount 0 &gt;&gt;C:\Users\stu\Documents\GitHub\eaglep3-reporting\EC\2017-04-17-refined-times.txt</v>
      </c>
      <c r="AI13" s="104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{"issue":{"subject":"","project_id":79,"tracker_id":40,"status_id":1,"priority_id":2,"assigned_to_id":23,"start_date":"2017-04-17","description":"","custom_fields":[{"id":1,"name":"Subdivision","value":"EC"},{"id":4,"name":"Milepost","value":"23.3332"},{"id":17,"name":"Train ID","value":"101-17"},{"id":16,"name":"Locomotive ID","value":"4008"},{"id":130,"name":"Impact","value":""},{"id":150,"name":"Time of Event (Mountain Time)","value":"03:51:19"},{"id":151,"name":"Denver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15">"start /low /b "&amp;dls3logs&amp;" --loco "&amp;B13&amp;" --day "&amp;TEXT(F13,"YYYY-MM-DD")</f>
        <v>start /low /b %USERPROFILE%\Documents\GitHub\eaglep3\Utilities\DownloadLogsFromS3.py --loco 4008 --day 2017-04-17</v>
      </c>
      <c r="AN13" s="159" t="str">
        <f t="shared" ref="AN13" si="16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09:51:19"},{"id":29,"name":"Sharepoint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606</v>
      </c>
      <c r="B14" s="7">
        <v>4001</v>
      </c>
      <c r="C14" s="21" t="s">
        <v>213</v>
      </c>
      <c r="D14" s="21" t="s">
        <v>846</v>
      </c>
      <c r="E14" s="13">
        <v>42842.162881944445</v>
      </c>
      <c r="F14" s="13">
        <v>42842.174479166664</v>
      </c>
      <c r="G14" s="7">
        <v>1</v>
      </c>
      <c r="H14" s="21" t="s">
        <v>203</v>
      </c>
      <c r="I14" s="13">
        <v>42842.202210648145</v>
      </c>
      <c r="J14" s="7">
        <v>0</v>
      </c>
      <c r="K14" s="97" t="str">
        <f t="shared" si="0"/>
        <v>4001/4002</v>
      </c>
      <c r="L14" s="21" t="str">
        <f>VLOOKUP(A14,'Trips&amp;Operators'!$C$1:$G$99999,5,FALSE)</f>
        <v>SANTIZO D. EDY</v>
      </c>
      <c r="M14" s="6">
        <f t="shared" si="1"/>
        <v>2.7731481481168885E-2</v>
      </c>
      <c r="N14" s="7">
        <f>24*60*SUM($M14:$M14)</f>
        <v>39.933333332883194</v>
      </c>
      <c r="O14" s="7"/>
      <c r="P14" s="7"/>
      <c r="Q14" s="22"/>
      <c r="R14" s="22"/>
      <c r="S14" s="31">
        <f>SUM(U14:U14)/IF(AG14="EC",12,1)</f>
        <v>1</v>
      </c>
      <c r="T14" s="46" t="str">
        <f t="shared" si="2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3"/>
        <v>https://d0f6bd738d7f1b3e5a7ca70fe4ff75f0.us-east-1.aws.found.io/app/kibana#/discover/Steve-Slow-Train-Analysis-(2080s-and-2083s)?_g=(refreshInterval:(display:Off,pause:!f,section:0,value:0),time:(from:'2017-04-17T02:54:33-0600',mode:absolute,to:'2017-04-17T05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" s="183" t="str">
        <f t="shared" si="4"/>
        <v>N</v>
      </c>
      <c r="X14" s="183">
        <f t="shared" si="5"/>
        <v>1</v>
      </c>
      <c r="Y14" s="62">
        <f t="shared" si="6"/>
        <v>23.2698</v>
      </c>
      <c r="Z14" s="62">
        <f t="shared" si="7"/>
        <v>1.54E-2</v>
      </c>
      <c r="AA14" s="62">
        <f t="shared" si="8"/>
        <v>23.2544</v>
      </c>
      <c r="AB14" s="59" t="str">
        <f>VLOOKUP(A14,Enforcements!$C$7:$K$13,8,0)</f>
        <v>Bulletin (2)</v>
      </c>
      <c r="AC14" s="55" t="str">
        <f>VLOOKUP(A14,Enforcements!$C$7:$E$13,3,0)</f>
        <v>GRADE CROSSING</v>
      </c>
      <c r="AD14" s="56" t="str">
        <f t="shared" si="9"/>
        <v>0102-17</v>
      </c>
      <c r="AE14" s="85" t="str">
        <f t="shared" si="10"/>
        <v>aws s3 cp s3://rtdc.mdm.uploadarchive.raw/RTDC4001/ "%USERPROFILE%\AppData\Local\Temp\OnboardLogs"\RTDC4001\2017-04-17 --exclude "*" --recursive --include "*20170417*" &amp; "%USERPROFILE%\Documents\GitHub\mrs-test-scripts\Headless Mode &amp; Sideloading\WalkAndUnGZ.bat" "%USERPROFILE%\AppData\Local\Temp\OnboardLogs"\RTDC4001\2017-04-17 &amp; aws s3 cp s3://rtdc.mdm.uploadarchive.raw/RTDC4001/ "%USERPROFILE%\AppData\Local\Temp\OnboardLogs"\RTDC4001\2017-04-18 --exclude "*" --recursive --include "*20170418*" &amp; "%USERPROFILE%\Documents\GitHub\mrs-test-scripts\Headless Mode &amp; Sideloading\WalkAndUnGZ.bat" "%USERPROFILE%\AppData\Local\Temp\OnboardLogs"\RTDC4001\2017-04-18</v>
      </c>
      <c r="AF14" s="82" t="str">
        <f t="shared" si="11"/>
        <v>"C:\Program Files (x86)\AstroGrep\AstroGrep.exe" /e /r /s /spath="%USERPROFILE%\AppData\Local\Temp\OnboardLogs" /stypes="app*4001*20170417*" /stext=" 10:.+((SYSTEM_STATE.+slice.+state.+changed )|(ment ac)|(multiple cpu faults)|(system.+state.+changed )|(\[timeout)|(PRM\|1\|D)|(kpr)|(kdp)|(\|lc)|(penalty))"</v>
      </c>
      <c r="AG14" s="1" t="str">
        <f t="shared" si="12"/>
        <v>EC</v>
      </c>
      <c r="AH14" s="86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102-17 --locoid 4001 --swversion DE.1.0.9.0 --startMP 204:232698 --initTime 2017-04-17T03:54:33 --startdatetime 2017-04-17T04:11:15 --delay 1 --endMP 204:154 --enddatetime 2017-04-17T04:51:11 --enforcementcount 0 &gt;&gt;C:\Users\stu\Documents\GitHub\eaglep3-reporting\EC\2017-04-17-refined-times.txt</v>
      </c>
      <c r="AI14" s="104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{"issue":{"subject":"","project_id":79,"tracker_id":40,"status_id":1,"priority_id":2,"assigned_to_id":23,"start_date":"2017-04-17","description":"","custom_fields":[{"id":1,"name":"Subdivision","value":"EC"},{"id":4,"name":"Milepost","value":"0.0154"},{"id":17,"name":"Train ID","value":"102-17"},{"id":16,"name":"Locomotive ID","value":"4001"},{"id":130,"name":"Impact","value":""},{"id":150,"name":"Time of Event (Mountain Time)","value":"04:51:11"},{"id":151,"name":"Denver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7" si="19">"start /low /b "&amp;dls3logs&amp;" --loco "&amp;B14&amp;" --day "&amp;TEXT(F14,"YYYY-MM-DD")</f>
        <v>start /low /b %USERPROFILE%\Documents\GitHub\eaglep3\Utilities\DownloadLogsFromS3.py --loco 4001 --day 2017-04-17</v>
      </c>
      <c r="AN14" s="159" t="str">
        <f t="shared" ref="AN14:AN77" si="20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10:51:11"},{"id":29,"name":"Sharepoint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602</v>
      </c>
      <c r="B15" s="7">
        <v>4052</v>
      </c>
      <c r="C15" s="21" t="s">
        <v>213</v>
      </c>
      <c r="D15" s="21" t="s">
        <v>847</v>
      </c>
      <c r="E15" s="13">
        <v>42842.154710648145</v>
      </c>
      <c r="F15" s="13">
        <v>42842.15552083333</v>
      </c>
      <c r="G15" s="7">
        <v>1</v>
      </c>
      <c r="H15" s="21" t="s">
        <v>848</v>
      </c>
      <c r="I15" s="13">
        <v>42842.166365740741</v>
      </c>
      <c r="J15" s="7">
        <v>2</v>
      </c>
      <c r="K15" s="97" t="str">
        <f t="shared" si="0"/>
        <v>4051/4052</v>
      </c>
      <c r="L15" s="21" t="str">
        <f>VLOOKUP(A15,'Trips&amp;Operators'!$C$1:$G$99999,5,FALSE)</f>
        <v>MAELZER KURT</v>
      </c>
      <c r="M15" s="6">
        <f t="shared" si="1"/>
        <v>1.0844907410501037E-2</v>
      </c>
      <c r="N15" s="7"/>
      <c r="O15" s="7"/>
      <c r="P15" s="7">
        <f>24*60*SUM($M15:$M16)</f>
        <v>35.166666673030704</v>
      </c>
      <c r="Q15" s="22"/>
      <c r="R15" s="22" t="s">
        <v>1057</v>
      </c>
      <c r="S15" s="31">
        <f>SUM(U15:U16)/IF(AG15="EC",12,1)</f>
        <v>0.91666666666666663</v>
      </c>
      <c r="T15" s="46" t="str">
        <f t="shared" si="2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9</v>
      </c>
      <c r="V15" s="182" t="str">
        <f t="shared" si="3"/>
        <v>https://d0f6bd738d7f1b3e5a7ca70fe4ff75f0.us-east-1.aws.found.io/app/kibana#/discover/Steve-Slow-Train-Analysis-(2080s-and-2083s)?_g=(refreshInterval:(display:Off,pause:!f,section:0,value:0),time:(from:'2017-04-17T02:42:47-0600',mode:absolute,to:'2017-04-17T04:59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" s="183" t="str">
        <f t="shared" si="4"/>
        <v>Y</v>
      </c>
      <c r="X15" s="183">
        <f t="shared" si="5"/>
        <v>1</v>
      </c>
      <c r="Y15" s="62">
        <f t="shared" si="6"/>
        <v>6.9500000000000006E-2</v>
      </c>
      <c r="Z15" s="62">
        <f t="shared" si="7"/>
        <v>6.4019000000000004</v>
      </c>
      <c r="AA15" s="62">
        <f t="shared" si="8"/>
        <v>6.3324000000000007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9"/>
        <v>0103-17</v>
      </c>
      <c r="AE15" s="85" t="str">
        <f t="shared" si="10"/>
        <v>aws s3 cp s3://rtdc.mdm.uploadarchive.raw/RTDC4052/ "%USERPROFILE%\AppData\Local\Temp\OnboardLogs"\RTDC4052\2017-04-17 --exclude "*" --recursive --include "*20170417*" &amp; "%USERPROFILE%\Documents\GitHub\mrs-test-scripts\Headless Mode &amp; Sideloading\WalkAndUnGZ.bat" "%USERPROFILE%\AppData\Local\Temp\OnboardLogs"\RTDC4052\2017-04-17 &amp; aws s3 cp s3://rtdc.mdm.uploadarchive.raw/RTDC4052/ "%USERPROFILE%\AppData\Local\Temp\OnboardLogs"\RTDC4052\2017-04-18 --exclude "*" --recursive --include "*20170418*" &amp; "%USERPROFILE%\Documents\GitHub\mrs-test-scripts\Headless Mode &amp; Sideloading\WalkAndUnGZ.bat" "%USERPROFILE%\AppData\Local\Temp\OnboardLogs"\RTDC4052\2017-04-18</v>
      </c>
      <c r="AF15" s="82" t="str">
        <f t="shared" si="11"/>
        <v>"C:\Program Files (x86)\AstroGrep\AstroGrep.exe" /e /r /s /spath="%USERPROFILE%\AppData\Local\Temp\OnboardLogs" /stypes="app*4052*20170417*" /stext=" 09:.+((SYSTEM_STATE.+slice.+state.+changed )|(ment ac)|(multiple cpu faults)|(system.+state.+changed )|(\[timeout)|(PRM\|1\|D)|(kpr)|(kdp)|(\|lc)|(penalty))"</v>
      </c>
      <c r="AG15" s="1" t="str">
        <f t="shared" si="12"/>
        <v>EC</v>
      </c>
      <c r="AH15" s="86" t="str">
        <f t="shared" si="17"/>
        <v>"%USERPROFILE%\Documents\GitHub\eaglep3\Utilities\RefineRTDCRunTimes.py" --tripid 103-17 --locoid 4052 --swversion DE.1.0.9.0 --startMP 204:695 --initTime 2017-04-17T03:42:47 --startdatetime 2017-04-17T03:43:57 --delay 1 --endMP 204:64019 --enddatetime 2017-04-17T03:59:34 --enforcementcount 2 &gt;&gt;C:\Users\stu\Documents\GitHub\eaglep3-reporting\EC\2017-04-17-refined-times.txt</v>
      </c>
      <c r="AI15" s="104" t="str">
        <f t="shared" si="18"/>
        <v>echo {"issue":{"subject":"Wi-MAX data drop, double pair including 4051/4052","project_id":79,"tracker_id":40,"status_id":1,"priority_id":2,"assigned_to_id":23,"start_date":"2017-04-17","description":"","custom_fields":[{"id":1,"name":"Subdivision","value":"EC"},{"id":4,"name":"Milepost","value":"6.4019"},{"id":17,"name":"Train ID","value":"103-17"},{"id":16,"name":"Locomotive ID","value":"4052"},{"id":130,"name":"Impact","value":""},{"id":150,"name":"Time of Event (Mountain Time)","value":"03:59:34"},{"id":151,"name":"Denver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19"/>
        <v>start /low /b %USERPROFILE%\Documents\GitHub\eaglep3\Utilities\DownloadLogsFromS3.py --loco 4052 --day 2017-04-17</v>
      </c>
      <c r="AN15" s="159" t="str">
        <f t="shared" si="20"/>
        <v>echo {"issue":{"subject":"Wi-MAX data drop, double pair including 4051/4052","project_id":30,"tracker_id":4,"status_id":1,"priority_id":1,"assigned_to_id":10,"start_date":"2017-04-17","description":"","custom_fields":[{"id":30,"name":"Category","value":"Issue"},{"id":3,"name":"Functional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09:59:34"},{"id":29,"name":"Sharepoint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602</v>
      </c>
      <c r="B16" s="7">
        <v>4052</v>
      </c>
      <c r="C16" s="21" t="s">
        <v>213</v>
      </c>
      <c r="D16" s="21" t="s">
        <v>849</v>
      </c>
      <c r="E16" s="13">
        <v>42842.169768518521</v>
      </c>
      <c r="F16" s="13">
        <v>42842.170428240737</v>
      </c>
      <c r="G16" s="7">
        <v>0</v>
      </c>
      <c r="H16" s="21" t="s">
        <v>594</v>
      </c>
      <c r="I16" s="13">
        <v>42842.184004629627</v>
      </c>
      <c r="J16" s="7">
        <v>1</v>
      </c>
      <c r="K16" s="97" t="str">
        <f t="shared" si="0"/>
        <v>4051/4052</v>
      </c>
      <c r="L16" s="21" t="str">
        <f>VLOOKUP(A16,'Trips&amp;Operators'!$C$1:$G$99999,5,FALSE)</f>
        <v>MAELZER KURT</v>
      </c>
      <c r="M16" s="6">
        <f t="shared" si="1"/>
        <v>1.357638889021473E-2</v>
      </c>
      <c r="N16" s="7"/>
      <c r="O16" s="7"/>
      <c r="P16" s="7"/>
      <c r="Q16" s="22"/>
      <c r="R16" s="22"/>
      <c r="S16" s="31"/>
      <c r="T16" s="46" t="str">
        <f t="shared" si="2"/>
        <v>NorthBound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2</v>
      </c>
      <c r="V16" s="182" t="str">
        <f t="shared" si="3"/>
        <v>https://d0f6bd738d7f1b3e5a7ca70fe4ff75f0.us-east-1.aws.found.io/app/kibana#/discover/Steve-Slow-Train-Analysis-(2080s-and-2083s)?_g=(refreshInterval:(display:Off,pause:!f,section:0,value:0),time:(from:'2017-04-17T03:04:28-0600',mode:absolute,to:'2017-04-17T05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" s="183" t="str">
        <f t="shared" si="4"/>
        <v>Y</v>
      </c>
      <c r="X16" s="183">
        <f t="shared" si="5"/>
        <v>0</v>
      </c>
      <c r="Y16" s="62">
        <f t="shared" si="6"/>
        <v>8.6386000000000003</v>
      </c>
      <c r="Z16" s="62">
        <f t="shared" si="7"/>
        <v>23.332899999999999</v>
      </c>
      <c r="AA16" s="62">
        <f t="shared" si="8"/>
        <v>14.694299999999998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9"/>
        <v>0103-17</v>
      </c>
      <c r="AE16" s="85" t="str">
        <f t="shared" si="10"/>
        <v>aws s3 cp s3://rtdc.mdm.uploadarchive.raw/RTDC4052/ "%USERPROFILE%\AppData\Local\Temp\OnboardLogs"\RTDC4052\2017-04-17 --exclude "*" --recursive --include "*20170417*" &amp; "%USERPROFILE%\Documents\GitHub\mrs-test-scripts\Headless Mode &amp; Sideloading\WalkAndUnGZ.bat" "%USERPROFILE%\AppData\Local\Temp\OnboardLogs"\RTDC4052\2017-04-17 &amp; aws s3 cp s3://rtdc.mdm.uploadarchive.raw/RTDC4052/ "%USERPROFILE%\AppData\Local\Temp\OnboardLogs"\RTDC4052\2017-04-18 --exclude "*" --recursive --include "*20170418*" &amp; "%USERPROFILE%\Documents\GitHub\mrs-test-scripts\Headless Mode &amp; Sideloading\WalkAndUnGZ.bat" "%USERPROFILE%\AppData\Local\Temp\OnboardLogs"\RTDC4052\2017-04-18</v>
      </c>
      <c r="AF16" s="82" t="str">
        <f t="shared" si="11"/>
        <v>"C:\Program Files (x86)\AstroGrep\AstroGrep.exe" /e /r /s /spath="%USERPROFILE%\AppData\Local\Temp\OnboardLogs" /stypes="app*4052*20170417*" /stext=" 10:.+((SYSTEM_STATE.+slice.+state.+changed )|(ment ac)|(multiple cpu faults)|(system.+state.+changed )|(\[timeout)|(PRM\|1\|D)|(kpr)|(kdp)|(\|lc)|(penalty))"</v>
      </c>
      <c r="AG16" s="1" t="str">
        <f t="shared" si="12"/>
        <v>EC</v>
      </c>
      <c r="AH16" s="86" t="str">
        <f t="shared" si="17"/>
        <v>"%USERPROFILE%\Documents\GitHub\eaglep3\Utilities\RefineRTDCRunTimes.py" --tripid 103-17 --locoid 4052 --swversion DE.1.0.9.0 --startMP 204:86386 --initTime 2017-04-17T04:04:28 --startdatetime 2017-04-17T04:05:25 --delay 0 --endMP 204:233329 --enddatetime 2017-04-17T04:24:58 --enforcementcount 1 &gt;&gt;C:\Users\stu\Documents\GitHub\eaglep3-reporting\EC\2017-04-17-refined-times.txt</v>
      </c>
      <c r="AI16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{"issue":{"subject":"","project_id":79,"tracker_id":40,"status_id":1,"priority_id":2,"assigned_to_id":23,"start_date":"2017-04-17","description":"","custom_fields":[{"id":1,"name":"Subdivision","value":"EC"},{"id":4,"name":"Milepost","value":"23.3329"},{"id":17,"name":"Train ID","value":"103-17"},{"id":16,"name":"Locomotive ID","value":"4052"},{"id":130,"name":"Impact","value":""},{"id":150,"name":"Time of Event (Mountain Time)","value":"04:24:58"},{"id":151,"name":"Denver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19"/>
        <v>start /low /b %USERPROFILE%\Documents\GitHub\eaglep3\Utilities\DownloadLogsFromS3.py --loco 4052 --day 2017-04-17</v>
      </c>
      <c r="AN16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10:24:58"},{"id":29,"name":"Sharepoint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648</v>
      </c>
      <c r="B17" s="7">
        <v>4031</v>
      </c>
      <c r="C17" s="21" t="s">
        <v>213</v>
      </c>
      <c r="D17" s="21" t="s">
        <v>850</v>
      </c>
      <c r="E17" s="13">
        <v>42842.191053240742</v>
      </c>
      <c r="F17" s="13">
        <v>42842.195405092592</v>
      </c>
      <c r="G17" s="7">
        <v>1</v>
      </c>
      <c r="H17" s="21" t="s">
        <v>568</v>
      </c>
      <c r="I17" s="13">
        <v>42842.222743055558</v>
      </c>
      <c r="J17" s="7">
        <v>0</v>
      </c>
      <c r="K17" s="97" t="str">
        <f t="shared" si="0"/>
        <v>4031/4032</v>
      </c>
      <c r="L17" s="21" t="str">
        <f>VLOOKUP(A17,'Trips&amp;Operators'!$C$1:$G$99999,5,FALSE)</f>
        <v>MAELZER KURT</v>
      </c>
      <c r="M17" s="6">
        <f t="shared" si="1"/>
        <v>2.7337962965248153E-2</v>
      </c>
      <c r="N17" s="7">
        <f t="shared" ref="N17:N23" si="21">24*60*SUM($M17:$M17)</f>
        <v>39.36666666995734</v>
      </c>
      <c r="O17" s="7"/>
      <c r="P17" s="7"/>
      <c r="Q17" s="22"/>
      <c r="R17" s="22"/>
      <c r="S17" s="31">
        <f t="shared" ref="S17:S23" si="22">SUM(U17:U17)/IF(AG17="EC",12,1)</f>
        <v>1</v>
      </c>
      <c r="T17" s="46" t="str">
        <f t="shared" si="2"/>
        <v>Southbound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3"/>
        <v>https://d0f6bd738d7f1b3e5a7ca70fe4ff75f0.us-east-1.aws.found.io/app/kibana#/discover/Steve-Slow-Train-Analysis-(2080s-and-2083s)?_g=(refreshInterval:(display:Off,pause:!f,section:0,value:0),time:(from:'2017-04-17T03:35:07-0600',mode:absolute,to:'2017-04-17T06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" s="183" t="str">
        <f t="shared" si="4"/>
        <v>N</v>
      </c>
      <c r="X17" s="183">
        <f t="shared" si="5"/>
        <v>1</v>
      </c>
      <c r="Y17" s="62">
        <f t="shared" si="6"/>
        <v>23.2681</v>
      </c>
      <c r="Z17" s="62">
        <f t="shared" si="7"/>
        <v>1.67E-2</v>
      </c>
      <c r="AA17" s="62">
        <f t="shared" si="8"/>
        <v>23.2514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9"/>
        <v>0104-17</v>
      </c>
      <c r="AE17" s="85" t="str">
        <f t="shared" si="10"/>
        <v>aws s3 cp s3://rtdc.mdm.uploadarchive.raw/RTDC4031/ "%USERPROFILE%\AppData\Local\Temp\OnboardLogs"\RTDC4031\2017-04-17 --exclude "*" --recursive --include "*20170417*" &amp; "%USERPROFILE%\Documents\GitHub\mrs-test-scripts\Headless Mode &amp; Sideloading\WalkAndUnGZ.bat" "%USERPROFILE%\AppData\Local\Temp\OnboardLogs"\RTDC4031\2017-04-17 &amp; aws s3 cp s3://rtdc.mdm.uploadarchive.raw/RTDC4031/ "%USERPROFILE%\AppData\Local\Temp\OnboardLogs"\RTDC4031\2017-04-18 --exclude "*" --recursive --include "*20170418*" &amp; "%USERPROFILE%\Documents\GitHub\mrs-test-scripts\Headless Mode &amp; Sideloading\WalkAndUnGZ.bat" "%USERPROFILE%\AppData\Local\Temp\OnboardLogs"\RTDC4031\2017-04-18</v>
      </c>
      <c r="AF17" s="82" t="str">
        <f t="shared" si="11"/>
        <v>"C:\Program Files (x86)\AstroGrep\AstroGrep.exe" /e /r /s /spath="%USERPROFILE%\AppData\Local\Temp\OnboardLogs" /stypes="app*4031*20170417*" /stext=" 11:.+((SYSTEM_STATE.+slice.+state.+changed )|(ment ac)|(multiple cpu faults)|(system.+state.+changed )|(\[timeout)|(PRM\|1\|D)|(kpr)|(kdp)|(\|lc)|(penalty))"</v>
      </c>
      <c r="AG17" s="1" t="str">
        <f t="shared" si="12"/>
        <v>EC</v>
      </c>
      <c r="AH17" s="86" t="str">
        <f t="shared" si="17"/>
        <v>"%USERPROFILE%\Documents\GitHub\eaglep3\Utilities\RefineRTDCRunTimes.py" --tripid 104-17 --locoid 4031 --swversion DE.1.0.9.0 --startMP 204:232681 --initTime 2017-04-17T04:35:07 --startdatetime 2017-04-17T04:41:23 --delay 1 --endMP 204:167 --enddatetime 2017-04-17T05:20:45 --enforcementcount 0 &gt;&gt;C:\Users\stu\Documents\GitHub\eaglep3-reporting\EC\2017-04-17-refined-times.txt</v>
      </c>
      <c r="AI17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{"issue":{"subject":"","project_id":79,"tracker_id":40,"status_id":1,"priority_id":2,"assigned_to_id":23,"start_date":"2017-04-17","description":"","custom_fields":[{"id":1,"name":"Subdivision","value":"EC"},{"id":4,"name":"Milepost","value":"0.0167"},{"id":17,"name":"Train ID","value":"104-17"},{"id":16,"name":"Locomotive ID","value":"4031"},{"id":130,"name":"Impact","value":""},{"id":150,"name":"Time of Event (Mountain Time)","value":"05:20:45"},{"id":151,"name":"Denver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19"/>
        <v>start /low /b %USERPROFILE%\Documents\GitHub\eaglep3\Utilities\DownloadLogsFromS3.py --loco 4031 --day 2017-04-17</v>
      </c>
      <c r="AN17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11:20:45"},{"id":29,"name":"Sharepoint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607</v>
      </c>
      <c r="B18" s="7">
        <v>4054</v>
      </c>
      <c r="C18" s="21" t="s">
        <v>213</v>
      </c>
      <c r="D18" s="21" t="s">
        <v>580</v>
      </c>
      <c r="E18" s="13">
        <v>42842.174155092594</v>
      </c>
      <c r="F18" s="13">
        <v>42842.17732638889</v>
      </c>
      <c r="G18" s="7">
        <v>1</v>
      </c>
      <c r="H18" s="21" t="s">
        <v>572</v>
      </c>
      <c r="I18" s="13">
        <v>42842.203194444446</v>
      </c>
      <c r="J18" s="7">
        <v>0</v>
      </c>
      <c r="K18" s="97" t="str">
        <f t="shared" si="0"/>
        <v>4053/4054</v>
      </c>
      <c r="L18" s="21" t="str">
        <f>VLOOKUP(A18,'Trips&amp;Operators'!$C$1:$G$99999,5,FALSE)</f>
        <v>STARKS ANGELINA</v>
      </c>
      <c r="M18" s="6">
        <f t="shared" si="1"/>
        <v>2.5868055556202307E-2</v>
      </c>
      <c r="N18" s="7">
        <f t="shared" si="21"/>
        <v>37.250000000931323</v>
      </c>
      <c r="O18" s="7"/>
      <c r="P18" s="7"/>
      <c r="Q18" s="22"/>
      <c r="R18" s="22"/>
      <c r="S18" s="31">
        <f t="shared" si="22"/>
        <v>1</v>
      </c>
      <c r="T18" s="46" t="str">
        <f t="shared" si="2"/>
        <v>NorthBound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3"/>
        <v>https://d0f6bd738d7f1b3e5a7ca70fe4ff75f0.us-east-1.aws.found.io/app/kibana#/discover/Steve-Slow-Train-Analysis-(2080s-and-2083s)?_g=(refreshInterval:(display:Off,pause:!f,section:0,value:0),time:(from:'2017-04-17T03:10:47-0600',mode:absolute,to:'2017-04-17T05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" s="183" t="str">
        <f t="shared" si="4"/>
        <v>N</v>
      </c>
      <c r="X18" s="183">
        <f t="shared" si="5"/>
        <v>1</v>
      </c>
      <c r="Y18" s="62">
        <f t="shared" si="6"/>
        <v>7.3400000000000007E-2</v>
      </c>
      <c r="Z18" s="62">
        <f t="shared" si="7"/>
        <v>23.330200000000001</v>
      </c>
      <c r="AA18" s="62">
        <f t="shared" si="8"/>
        <v>23.256800000000002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9"/>
        <v>0105-17</v>
      </c>
      <c r="AE18" s="85" t="str">
        <f t="shared" si="10"/>
        <v>aws s3 cp s3://rtdc.mdm.uploadarchive.raw/RTDC4054/ "%USERPROFILE%\AppData\Local\Temp\OnboardLogs"\RTDC4054\2017-04-17 --exclude "*" --recursive --include "*20170417*" &amp; "%USERPROFILE%\Documents\GitHub\mrs-test-scripts\Headless Mode &amp; Sideloading\WalkAndUnGZ.bat" "%USERPROFILE%\AppData\Local\Temp\OnboardLogs"\RTDC4054\2017-04-17 &amp; aws s3 cp s3://rtdc.mdm.uploadarchive.raw/RTDC4054/ "%USERPROFILE%\AppData\Local\Temp\OnboardLogs"\RTDC4054\2017-04-18 --exclude "*" --recursive --include "*20170418*" &amp; "%USERPROFILE%\Documents\GitHub\mrs-test-scripts\Headless Mode &amp; Sideloading\WalkAndUnGZ.bat" "%USERPROFILE%\AppData\Local\Temp\OnboardLogs"\RTDC4054\2017-04-18</v>
      </c>
      <c r="AF18" s="82" t="str">
        <f t="shared" si="11"/>
        <v>"C:\Program Files (x86)\AstroGrep\AstroGrep.exe" /e /r /s /spath="%USERPROFILE%\AppData\Local\Temp\OnboardLogs" /stypes="app*4054*20170417*" /stext=" 10:.+((SYSTEM_STATE.+slice.+state.+changed )|(ment ac)|(multiple cpu faults)|(system.+state.+changed )|(\[timeout)|(PRM\|1\|D)|(kpr)|(kdp)|(\|lc)|(penalty))"</v>
      </c>
      <c r="AG18" s="1" t="str">
        <f t="shared" si="12"/>
        <v>EC</v>
      </c>
      <c r="AH18" s="86" t="str">
        <f t="shared" si="17"/>
        <v>"%USERPROFILE%\Documents\GitHub\eaglep3\Utilities\RefineRTDCRunTimes.py" --tripid 105-17 --locoid 4054 --swversion DE.1.0.9.0 --startMP 204:734 --initTime 2017-04-17T04:10:47 --startdatetime 2017-04-17T04:15:21 --delay 1 --endMP 204:233302 --enddatetime 2017-04-17T04:52:36 --enforcementcount 0 &gt;&gt;C:\Users\stu\Documents\GitHub\eaglep3-reporting\EC\2017-04-17-refined-times.txt</v>
      </c>
      <c r="AI18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{"issue":{"subject":"","project_id":79,"tracker_id":40,"status_id":1,"priority_id":2,"assigned_to_id":23,"start_date":"2017-04-17","description":"","custom_fields":[{"id":1,"name":"Subdivision","value":"EC"},{"id":4,"name":"Milepost","value":"23.3302"},{"id":17,"name":"Train ID","value":"105-17"},{"id":16,"name":"Locomotive ID","value":"4054"},{"id":130,"name":"Impact","value":""},{"id":150,"name":"Time of Event (Mountain Time)","value":"04:52:36"},{"id":151,"name":"Denver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19"/>
        <v>start /low /b %USERPROFILE%\Documents\GitHub\eaglep3\Utilities\DownloadLogsFromS3.py --loco 4054 --day 2017-04-17</v>
      </c>
      <c r="AN18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10:52:36"},{"id":29,"name":"Sharepoint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651</v>
      </c>
      <c r="B19" s="7">
        <v>4027</v>
      </c>
      <c r="C19" s="21" t="s">
        <v>213</v>
      </c>
      <c r="D19" s="21" t="s">
        <v>566</v>
      </c>
      <c r="E19" s="13">
        <v>42842.21434027778</v>
      </c>
      <c r="F19" s="13">
        <v>42842.216157407405</v>
      </c>
      <c r="G19" s="7">
        <v>1</v>
      </c>
      <c r="H19" s="21" t="s">
        <v>203</v>
      </c>
      <c r="I19" s="13">
        <v>42842.244421296295</v>
      </c>
      <c r="J19" s="7">
        <v>0</v>
      </c>
      <c r="K19" s="97" t="str">
        <f t="shared" si="0"/>
        <v>4027/4028</v>
      </c>
      <c r="L19" s="21" t="str">
        <f>VLOOKUP(A19,'Trips&amp;Operators'!$C$1:$G$99999,5,FALSE)</f>
        <v>STARKS ANGELINA</v>
      </c>
      <c r="M19" s="6">
        <f t="shared" si="1"/>
        <v>2.8263888889341615E-2</v>
      </c>
      <c r="N19" s="7">
        <f t="shared" si="21"/>
        <v>40.700000000651926</v>
      </c>
      <c r="O19" s="7"/>
      <c r="P19" s="7"/>
      <c r="Q19" s="22"/>
      <c r="R19" s="22"/>
      <c r="S19" s="31">
        <f t="shared" si="22"/>
        <v>1</v>
      </c>
      <c r="T19" s="46" t="str">
        <f t="shared" si="2"/>
        <v>Southbound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3"/>
        <v>https://d0f6bd738d7f1b3e5a7ca70fe4ff75f0.us-east-1.aws.found.io/app/kibana#/discover/Steve-Slow-Train-Analysis-(2080s-and-2083s)?_g=(refreshInterval:(display:Off,pause:!f,section:0,value:0),time:(from:'2017-04-17T04:08:39-0600',mode:absolute,to:'2017-04-17T06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" s="183" t="str">
        <f t="shared" si="4"/>
        <v>N</v>
      </c>
      <c r="X19" s="183">
        <f t="shared" si="5"/>
        <v>1</v>
      </c>
      <c r="Y19" s="62">
        <f t="shared" si="6"/>
        <v>23.266999999999999</v>
      </c>
      <c r="Z19" s="62">
        <f t="shared" si="7"/>
        <v>1.54E-2</v>
      </c>
      <c r="AA19" s="62">
        <f t="shared" si="8"/>
        <v>23.2516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9"/>
        <v>0106-17</v>
      </c>
      <c r="AE19" s="85" t="str">
        <f t="shared" si="10"/>
        <v>aws s3 cp s3://rtdc.mdm.uploadarchive.raw/RTDC4027/ "%USERPROFILE%\AppData\Local\Temp\OnboardLogs"\RTDC4027\2017-04-17 --exclude "*" --recursive --include "*20170417*" &amp; "%USERPROFILE%\Documents\GitHub\mrs-test-scripts\Headless Mode &amp; Sideloading\WalkAndUnGZ.bat" "%USERPROFILE%\AppData\Local\Temp\OnboardLogs"\RTDC4027\2017-04-17 &amp; aws s3 cp s3://rtdc.mdm.uploadarchive.raw/RTDC4027/ "%USERPROFILE%\AppData\Local\Temp\OnboardLogs"\RTDC4027\2017-04-18 --exclude "*" --recursive --include "*20170418*" &amp; "%USERPROFILE%\Documents\GitHub\mrs-test-scripts\Headless Mode &amp; Sideloading\WalkAndUnGZ.bat" "%USERPROFILE%\AppData\Local\Temp\OnboardLogs"\RTDC4027\2017-04-18</v>
      </c>
      <c r="AF19" s="82" t="str">
        <f t="shared" si="11"/>
        <v>"C:\Program Files (x86)\AstroGrep\AstroGrep.exe" /e /r /s /spath="%USERPROFILE%\AppData\Local\Temp\OnboardLogs" /stypes="app*4027*20170417*" /stext=" 11:.+((SYSTEM_STATE.+slice.+state.+changed )|(ment ac)|(multiple cpu faults)|(system.+state.+changed )|(\[timeout)|(PRM\|1\|D)|(kpr)|(kdp)|(\|lc)|(penalty))"</v>
      </c>
      <c r="AG19" s="1" t="str">
        <f t="shared" si="12"/>
        <v>EC</v>
      </c>
      <c r="AH19" s="86" t="str">
        <f t="shared" si="17"/>
        <v>"%USERPROFILE%\Documents\GitHub\eaglep3\Utilities\RefineRTDCRunTimes.py" --tripid 106-17 --locoid 4027 --swversion DE.1.0.9.0 --startMP 204:232670 --initTime 2017-04-17T05:08:39 --startdatetime 2017-04-17T05:11:16 --delay 1 --endMP 204:154 --enddatetime 2017-04-17T05:51:58 --enforcementcount 0 &gt;&gt;C:\Users\stu\Documents\GitHub\eaglep3-reporting\EC\2017-04-17-refined-times.txt</v>
      </c>
      <c r="AI19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{"issue":{"subject":"","project_id":79,"tracker_id":40,"status_id":1,"priority_id":2,"assigned_to_id":23,"start_date":"2017-04-17","description":"","custom_fields":[{"id":1,"name":"Subdivision","value":"EC"},{"id":4,"name":"Milepost","value":"0.0154"},{"id":17,"name":"Train ID","value":"106-17"},{"id":16,"name":"Locomotive ID","value":"4027"},{"id":130,"name":"Impact","value":""},{"id":150,"name":"Time of Event (Mountain Time)","value":"05:51:58"},{"id":151,"name":"Denver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19"/>
        <v>start /low /b %USERPROFILE%\Documents\GitHub\eaglep3\Utilities\DownloadLogsFromS3.py --loco 4027 --day 2017-04-17</v>
      </c>
      <c r="AN19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11:51:58"},{"id":29,"name":"Sharepoint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647</v>
      </c>
      <c r="B20" s="7">
        <v>4016</v>
      </c>
      <c r="C20" s="21" t="s">
        <v>213</v>
      </c>
      <c r="D20" s="21" t="s">
        <v>205</v>
      </c>
      <c r="E20" s="13">
        <v>42842.182025462964</v>
      </c>
      <c r="F20" s="13">
        <v>42842.187673611108</v>
      </c>
      <c r="G20" s="7">
        <v>1</v>
      </c>
      <c r="H20" s="21" t="s">
        <v>851</v>
      </c>
      <c r="I20" s="13">
        <v>42842.213576388887</v>
      </c>
      <c r="J20" s="7">
        <v>0</v>
      </c>
      <c r="K20" s="97" t="str">
        <f t="shared" si="0"/>
        <v>4015/4016</v>
      </c>
      <c r="L20" s="21" t="str">
        <f>VLOOKUP(A20,'Trips&amp;Operators'!$C$1:$G$99999,5,FALSE)</f>
        <v>BONDS REYNALDO</v>
      </c>
      <c r="M20" s="6">
        <f t="shared" si="1"/>
        <v>2.5902777779265307E-2</v>
      </c>
      <c r="N20" s="7">
        <f t="shared" si="21"/>
        <v>37.300000002142042</v>
      </c>
      <c r="O20" s="7"/>
      <c r="P20" s="7"/>
      <c r="Q20" s="22"/>
      <c r="R20" s="22"/>
      <c r="S20" s="31">
        <f t="shared" si="22"/>
        <v>1</v>
      </c>
      <c r="T20" s="46" t="str">
        <f t="shared" si="2"/>
        <v>NorthBound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3"/>
        <v>https://d0f6bd738d7f1b3e5a7ca70fe4ff75f0.us-east-1.aws.found.io/app/kibana#/discover/Steve-Slow-Train-Analysis-(2080s-and-2083s)?_g=(refreshInterval:(display:Off,pause:!f,section:0,value:0),time:(from:'2017-04-17T03:22:07-0600',mode:absolute,to:'2017-04-17T06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" s="183" t="str">
        <f t="shared" si="4"/>
        <v>N</v>
      </c>
      <c r="X20" s="183">
        <f t="shared" si="5"/>
        <v>1</v>
      </c>
      <c r="Y20" s="62">
        <f t="shared" si="6"/>
        <v>4.5999999999999999E-2</v>
      </c>
      <c r="Z20" s="62">
        <f t="shared" si="7"/>
        <v>23.325299999999999</v>
      </c>
      <c r="AA20" s="62">
        <f t="shared" si="8"/>
        <v>23.279299999999999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9"/>
        <v>0107-17</v>
      </c>
      <c r="AE20" s="85" t="str">
        <f t="shared" si="10"/>
        <v>aws s3 cp s3://rtdc.mdm.uploadarchive.raw/RTDC4016/ "%USERPROFILE%\AppData\Local\Temp\OnboardLogs"\RTDC4016\2017-04-17 --exclude "*" --recursive --include "*20170417*" &amp; "%USERPROFILE%\Documents\GitHub\mrs-test-scripts\Headless Mode &amp; Sideloading\WalkAndUnGZ.bat" "%USERPROFILE%\AppData\Local\Temp\OnboardLogs"\RTDC4016\2017-04-17 &amp; aws s3 cp s3://rtdc.mdm.uploadarchive.raw/RTDC4016/ "%USERPROFILE%\AppData\Local\Temp\OnboardLogs"\RTDC4016\2017-04-18 --exclude "*" --recursive --include "*20170418*" &amp; "%USERPROFILE%\Documents\GitHub\mrs-test-scripts\Headless Mode &amp; Sideloading\WalkAndUnGZ.bat" "%USERPROFILE%\AppData\Local\Temp\OnboardLogs"\RTDC4016\2017-04-18</v>
      </c>
      <c r="AF20" s="82" t="str">
        <f t="shared" si="11"/>
        <v>"C:\Program Files (x86)\AstroGrep\AstroGrep.exe" /e /r /s /spath="%USERPROFILE%\AppData\Local\Temp\OnboardLogs" /stypes="app*4016*20170417*" /stext=" 11:.+((SYSTEM_STATE.+slice.+state.+changed )|(ment ac)|(multiple cpu faults)|(system.+state.+changed )|(\[timeout)|(PRM\|1\|D)|(kpr)|(kdp)|(\|lc)|(penalty))"</v>
      </c>
      <c r="AG20" s="1" t="str">
        <f t="shared" si="12"/>
        <v>EC</v>
      </c>
      <c r="AH20" s="86" t="str">
        <f t="shared" si="17"/>
        <v>"%USERPROFILE%\Documents\GitHub\eaglep3\Utilities\RefineRTDCRunTimes.py" --tripid 107-17 --locoid 4016 --swversion DE.1.0.9.0 --startMP 204:460 --initTime 2017-04-17T04:22:07 --startdatetime 2017-04-17T04:30:15 --delay 1 --endMP 204:233253 --enddatetime 2017-04-17T05:07:33 --enforcementcount 0 &gt;&gt;C:\Users\stu\Documents\GitHub\eaglep3-reporting\EC\2017-04-17-refined-times.txt</v>
      </c>
      <c r="AI20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{"issue":{"subject":"","project_id":79,"tracker_id":40,"status_id":1,"priority_id":2,"assigned_to_id":23,"start_date":"2017-04-17","description":"","custom_fields":[{"id":1,"name":"Subdivision","value":"EC"},{"id":4,"name":"Milepost","value":"23.3253"},{"id":17,"name":"Train ID","value":"107-17"},{"id":16,"name":"Locomotive ID","value":"4016"},{"id":130,"name":"Impact","value":""},{"id":150,"name":"Time of Event (Mountain Time)","value":"05:07:33"},{"id":151,"name":"Denver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19"/>
        <v>start /low /b %USERPROFILE%\Documents\GitHub\eaglep3\Utilities\DownloadLogsFromS3.py --loco 4016 --day 2017-04-17</v>
      </c>
      <c r="AN20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11:07:33"},{"id":29,"name":"Sharepoint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654</v>
      </c>
      <c r="B21" s="7">
        <v>4015</v>
      </c>
      <c r="C21" s="21" t="s">
        <v>213</v>
      </c>
      <c r="D21" s="21" t="s">
        <v>493</v>
      </c>
      <c r="E21" s="13">
        <v>42842.22314814815</v>
      </c>
      <c r="F21" s="13">
        <v>42842.2265625</v>
      </c>
      <c r="G21" s="7">
        <v>1</v>
      </c>
      <c r="H21" s="21" t="s">
        <v>495</v>
      </c>
      <c r="I21" s="13">
        <v>42842.255636574075</v>
      </c>
      <c r="J21" s="7">
        <v>0</v>
      </c>
      <c r="K21" s="97" t="str">
        <f t="shared" si="0"/>
        <v>4015/4016</v>
      </c>
      <c r="L21" s="21" t="str">
        <f>VLOOKUP(A21,'Trips&amp;Operators'!$C$1:$G$99999,5,FALSE)</f>
        <v>BONDS REYNALDO</v>
      </c>
      <c r="M21" s="6">
        <f t="shared" si="1"/>
        <v>2.9074074074742384E-2</v>
      </c>
      <c r="N21" s="7">
        <f t="shared" si="21"/>
        <v>41.866666667629033</v>
      </c>
      <c r="O21" s="7"/>
      <c r="P21" s="7"/>
      <c r="Q21" s="22"/>
      <c r="R21" s="22"/>
      <c r="S21" s="31">
        <f t="shared" si="22"/>
        <v>1</v>
      </c>
      <c r="T21" s="46" t="str">
        <f t="shared" si="2"/>
        <v>Southbound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3"/>
        <v>https://d0f6bd738d7f1b3e5a7ca70fe4ff75f0.us-east-1.aws.found.io/app/kibana#/discover/Steve-Slow-Train-Analysis-(2080s-and-2083s)?_g=(refreshInterval:(display:Off,pause:!f,section:0,value:0),time:(from:'2017-04-17T04:21:20-0600',mode:absolute,to:'2017-04-17T07:08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" s="183" t="str">
        <f t="shared" si="4"/>
        <v>N</v>
      </c>
      <c r="X21" s="183">
        <f t="shared" si="5"/>
        <v>1</v>
      </c>
      <c r="Y21" s="62">
        <f t="shared" si="6"/>
        <v>23.296700000000001</v>
      </c>
      <c r="Z21" s="62">
        <f t="shared" si="7"/>
        <v>1.23E-2</v>
      </c>
      <c r="AA21" s="62">
        <f t="shared" si="8"/>
        <v>23.284400000000002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9"/>
        <v>0108-17</v>
      </c>
      <c r="AE21" s="85" t="str">
        <f t="shared" si="10"/>
        <v>aws s3 cp s3://rtdc.mdm.uploadarchive.raw/RTDC4015/ "%USERPROFILE%\AppData\Local\Temp\OnboardLogs"\RTDC4015\2017-04-17 --exclude "*" --recursive --include "*20170417*" &amp; "%USERPROFILE%\Documents\GitHub\mrs-test-scripts\Headless Mode &amp; Sideloading\WalkAndUnGZ.bat" "%USERPROFILE%\AppData\Local\Temp\OnboardLogs"\RTDC4015\2017-04-17 &amp; aws s3 cp s3://rtdc.mdm.uploadarchive.raw/RTDC4015/ "%USERPROFILE%\AppData\Local\Temp\OnboardLogs"\RTDC4015\2017-04-18 --exclude "*" --recursive --include "*20170418*" &amp; "%USERPROFILE%\Documents\GitHub\mrs-test-scripts\Headless Mode &amp; Sideloading\WalkAndUnGZ.bat" "%USERPROFILE%\AppData\Local\Temp\OnboardLogs"\RTDC4015\2017-04-18</v>
      </c>
      <c r="AF21" s="82" t="str">
        <f t="shared" si="11"/>
        <v>"C:\Program Files (x86)\AstroGrep\AstroGrep.exe" /e /r /s /spath="%USERPROFILE%\AppData\Local\Temp\OnboardLogs" /stypes="app*4015*20170417*" /stext=" 12:.+((SYSTEM_STATE.+slice.+state.+changed )|(ment ac)|(multiple cpu faults)|(system.+state.+changed )|(\[timeout)|(PRM\|1\|D)|(kpr)|(kdp)|(\|lc)|(penalty))"</v>
      </c>
      <c r="AG21" s="1" t="str">
        <f t="shared" si="12"/>
        <v>EC</v>
      </c>
      <c r="AH21" s="86" t="str">
        <f t="shared" si="17"/>
        <v>"%USERPROFILE%\Documents\GitHub\eaglep3\Utilities\RefineRTDCRunTimes.py" --tripid 108-17 --locoid 4015 --swversion DE.1.0.9.0 --startMP 204:232967 --initTime 2017-04-17T05:21:20 --startdatetime 2017-04-17T05:26:15 --delay 1 --endMP 204:123 --enddatetime 2017-04-17T06:08:07 --enforcementcount 0 &gt;&gt;C:\Users\stu\Documents\GitHub\eaglep3-reporting\EC\2017-04-17-refined-times.txt</v>
      </c>
      <c r="AI21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{"issue":{"subject":"","project_id":79,"tracker_id":40,"status_id":1,"priority_id":2,"assigned_to_id":23,"start_date":"2017-04-17","description":"","custom_fields":[{"id":1,"name":"Subdivision","value":"EC"},{"id":4,"name":"Milepost","value":"0.0123"},{"id":17,"name":"Train ID","value":"108-17"},{"id":16,"name":"Locomotive ID","value":"4015"},{"id":130,"name":"Impact","value":""},{"id":150,"name":"Time of Event (Mountain Time)","value":"06:08:07"},{"id":151,"name":"Denver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19"/>
        <v>start /low /b %USERPROFILE%\Documents\GitHub\eaglep3\Utilities\DownloadLogsFromS3.py --loco 4015 --day 2017-04-17</v>
      </c>
      <c r="AN21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12:08:07"},{"id":29,"name":"Sharepoint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608</v>
      </c>
      <c r="B22" s="7">
        <v>4046</v>
      </c>
      <c r="C22" s="21" t="s">
        <v>213</v>
      </c>
      <c r="D22" s="21" t="s">
        <v>208</v>
      </c>
      <c r="E22" s="13">
        <v>42842.190729166665</v>
      </c>
      <c r="F22" s="13">
        <v>42842.198148148149</v>
      </c>
      <c r="G22" s="7">
        <v>1</v>
      </c>
      <c r="H22" s="21" t="s">
        <v>529</v>
      </c>
      <c r="I22" s="13">
        <v>42842.224849537037</v>
      </c>
      <c r="J22" s="7">
        <v>0</v>
      </c>
      <c r="K22" s="97" t="str">
        <f t="shared" si="0"/>
        <v>4045/4046</v>
      </c>
      <c r="L22" s="21" t="str">
        <f>VLOOKUP(A22,'Trips&amp;Operators'!$C$1:$G$99999,5,FALSE)</f>
        <v>SHOOK JOHN</v>
      </c>
      <c r="M22" s="6">
        <f t="shared" si="1"/>
        <v>2.6701388887886424E-2</v>
      </c>
      <c r="N22" s="7">
        <f t="shared" si="21"/>
        <v>38.44999999855645</v>
      </c>
      <c r="O22" s="7"/>
      <c r="P22" s="7"/>
      <c r="Q22" s="22"/>
      <c r="R22" s="22"/>
      <c r="S22" s="31">
        <f t="shared" si="22"/>
        <v>1</v>
      </c>
      <c r="T22" s="46" t="str">
        <f t="shared" si="2"/>
        <v>NorthBound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3"/>
        <v>https://d0f6bd738d7f1b3e5a7ca70fe4ff75f0.us-east-1.aws.found.io/app/kibana#/discover/Steve-Slow-Train-Analysis-(2080s-and-2083s)?_g=(refreshInterval:(display:Off,pause:!f,section:0,value:0),time:(from:'2017-04-17T03:34:39-0600',mode:absolute,to:'2017-04-17T06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" s="183" t="str">
        <f t="shared" si="4"/>
        <v>N</v>
      </c>
      <c r="X22" s="183">
        <f t="shared" si="5"/>
        <v>1</v>
      </c>
      <c r="Y22" s="62">
        <f t="shared" si="6"/>
        <v>4.53E-2</v>
      </c>
      <c r="Z22" s="62">
        <f t="shared" si="7"/>
        <v>23.332100000000001</v>
      </c>
      <c r="AA22" s="62">
        <f t="shared" si="8"/>
        <v>23.286799999999999</v>
      </c>
      <c r="AB22" s="59" t="str">
        <f>VLOOKUP(A22,Enforcements!$C$7:$K$13,8,0)</f>
        <v>Bulletin (2)</v>
      </c>
      <c r="AC22" s="55" t="str">
        <f>VLOOKUP(A22,Enforcements!$C$7:$E$13,3,0)</f>
        <v>GRADE CROSSING</v>
      </c>
      <c r="AD22" s="56" t="str">
        <f t="shared" si="9"/>
        <v>0109-17</v>
      </c>
      <c r="AE22" s="85" t="str">
        <f t="shared" si="10"/>
        <v>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 &amp; aws s3 cp s3://rtdc.mdm.uploadarchive.raw/RTDC4046/ "%USERPROFILE%\AppData\Local\Temp\OnboardLogs"\RTDC4046\2017-04-18 --exclude "*" --recursive --include "*20170418*" &amp; "%USERPROFILE%\Documents\GitHub\mrs-test-scripts\Headless Mode &amp; Sideloading\WalkAndUnGZ.bat" "%USERPROFILE%\AppData\Local\Temp\OnboardLogs"\RTDC4046\2017-04-18</v>
      </c>
      <c r="AF22" s="82" t="str">
        <f t="shared" si="11"/>
        <v>"C:\Program Files (x86)\AstroGrep\AstroGrep.exe" /e /r /s /spath="%USERPROFILE%\AppData\Local\Temp\OnboardLogs" /stypes="app*4046*20170417*" /stext=" 11:.+((SYSTEM_STATE.+slice.+state.+changed )|(ment ac)|(multiple cpu faults)|(system.+state.+changed )|(\[timeout)|(PRM\|1\|D)|(kpr)|(kdp)|(\|lc)|(penalty))"</v>
      </c>
      <c r="AG22" s="1" t="str">
        <f t="shared" si="12"/>
        <v>EC</v>
      </c>
      <c r="AH22" s="86" t="str">
        <f t="shared" si="17"/>
        <v>"%USERPROFILE%\Documents\GitHub\eaglep3\Utilities\RefineRTDCRunTimes.py" --tripid 109-17 --locoid 4046 --swversion DE.1.0.9.0 --startMP 204:453 --initTime 2017-04-17T04:34:39 --startdatetime 2017-04-17T04:45:20 --delay 1 --endMP 204:233321 --enddatetime 2017-04-17T05:23:47 --enforcementcount 0 &gt;&gt;C:\Users\stu\Documents\GitHub\eaglep3-reporting\EC\2017-04-17-refined-times.txt</v>
      </c>
      <c r="AI22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{"issue":{"subject":"","project_id":79,"tracker_id":40,"status_id":1,"priority_id":2,"assigned_to_id":23,"start_date":"2017-04-17","description":"","custom_fields":[{"id":1,"name":"Subdivision","value":"EC"},{"id":4,"name":"Milepost","value":"23.3321"},{"id":17,"name":"Train ID","value":"109-17"},{"id":16,"name":"Locomotive ID","value":"4046"},{"id":130,"name":"Impact","value":""},{"id":150,"name":"Time of Event (Mountain Time)","value":"05:23:47"},{"id":151,"name":"Denver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19"/>
        <v>start /low /b %USERPROFILE%\Documents\GitHub\eaglep3\Utilities\DownloadLogsFromS3.py --loco 4046 --day 2017-04-17</v>
      </c>
      <c r="AN22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11:23:47"},{"id":29,"name":"Sharepoint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658</v>
      </c>
      <c r="B23" s="7">
        <v>4045</v>
      </c>
      <c r="C23" s="21" t="s">
        <v>213</v>
      </c>
      <c r="D23" s="21" t="s">
        <v>541</v>
      </c>
      <c r="E23" s="13">
        <v>42842.226331018515</v>
      </c>
      <c r="F23" s="13">
        <v>42842.236990740741</v>
      </c>
      <c r="G23" s="7">
        <v>1</v>
      </c>
      <c r="H23" s="21" t="s">
        <v>210</v>
      </c>
      <c r="I23" s="13">
        <v>42842.264965277776</v>
      </c>
      <c r="J23" s="7">
        <v>0</v>
      </c>
      <c r="K23" s="97" t="str">
        <f t="shared" si="0"/>
        <v>4045/4046</v>
      </c>
      <c r="L23" s="21" t="str">
        <f>VLOOKUP(A23,'Trips&amp;Operators'!$C$1:$G$99999,5,FALSE)</f>
        <v>SHOOK JOHN</v>
      </c>
      <c r="M23" s="6">
        <f t="shared" si="1"/>
        <v>2.7974537035333924E-2</v>
      </c>
      <c r="N23" s="7">
        <f t="shared" si="21"/>
        <v>40.283333330880851</v>
      </c>
      <c r="O23" s="7"/>
      <c r="P23" s="7"/>
      <c r="Q23" s="22"/>
      <c r="R23" s="22"/>
      <c r="S23" s="31">
        <f t="shared" si="22"/>
        <v>1</v>
      </c>
      <c r="T23" s="46" t="str">
        <f t="shared" si="2"/>
        <v>Southbound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3"/>
        <v>https://d0f6bd738d7f1b3e5a7ca70fe4ff75f0.us-east-1.aws.found.io/app/kibana#/discover/Steve-Slow-Train-Analysis-(2080s-and-2083s)?_g=(refreshInterval:(display:Off,pause:!f,section:0,value:0),time:(from:'2017-04-17T04:25:55-0600',mode:absolute,to:'2017-04-17T07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" s="183" t="str">
        <f t="shared" si="4"/>
        <v>N</v>
      </c>
      <c r="X23" s="183">
        <f t="shared" si="5"/>
        <v>1</v>
      </c>
      <c r="Y23" s="62">
        <f t="shared" si="6"/>
        <v>23.3</v>
      </c>
      <c r="Z23" s="62">
        <f t="shared" si="7"/>
        <v>1.47E-2</v>
      </c>
      <c r="AA23" s="62">
        <f t="shared" si="8"/>
        <v>23.285299999999999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9"/>
        <v>0110-17</v>
      </c>
      <c r="AE23" s="85" t="str">
        <f t="shared" si="10"/>
        <v>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 &amp; aws s3 cp s3://rtdc.mdm.uploadarchive.raw/RTDC4045/ "%USERPROFILE%\AppData\Local\Temp\OnboardLogs"\RTDC4045\2017-04-18 --exclude "*" --recursive --include "*20170418*" &amp; "%USERPROFILE%\Documents\GitHub\mrs-test-scripts\Headless Mode &amp; Sideloading\WalkAndUnGZ.bat" "%USERPROFILE%\AppData\Local\Temp\OnboardLogs"\RTDC4045\2017-04-18</v>
      </c>
      <c r="AF23" s="82" t="str">
        <f t="shared" si="11"/>
        <v>"C:\Program Files (x86)\AstroGrep\AstroGrep.exe" /e /r /s /spath="%USERPROFILE%\AppData\Local\Temp\OnboardLogs" /stypes="app*4045*20170417*" /stext=" 12:.+((SYSTEM_STATE.+slice.+state.+changed )|(ment ac)|(multiple cpu faults)|(system.+state.+changed )|(\[timeout)|(PRM\|1\|D)|(kpr)|(kdp)|(\|lc)|(penalty))"</v>
      </c>
      <c r="AG23" s="1" t="str">
        <f t="shared" si="12"/>
        <v>EC</v>
      </c>
      <c r="AH23" s="86" t="str">
        <f t="shared" si="17"/>
        <v>"%USERPROFILE%\Documents\GitHub\eaglep3\Utilities\RefineRTDCRunTimes.py" --tripid 110-17 --locoid 4045 --swversion DE.1.0.9.0 --startMP 204:233000 --initTime 2017-04-17T05:25:55 --startdatetime 2017-04-17T05:41:16 --delay 1 --endMP 204:147 --enddatetime 2017-04-17T06:21:33 --enforcementcount 0 &gt;&gt;C:\Users\stu\Documents\GitHub\eaglep3-reporting\EC\2017-04-17-refined-times.txt</v>
      </c>
      <c r="AI23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{"issue":{"subject":"","project_id":79,"tracker_id":40,"status_id":1,"priority_id":2,"assigned_to_id":23,"start_date":"2017-04-17","description":"","custom_fields":[{"id":1,"name":"Subdivision","value":"EC"},{"id":4,"name":"Milepost","value":"0.0147"},{"id":17,"name":"Train ID","value":"110-17"},{"id":16,"name":"Locomotive ID","value":"4045"},{"id":130,"name":"Impact","value":""},{"id":150,"name":"Time of Event (Mountain Time)","value":"06:21:33"},{"id":151,"name":"Denver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19"/>
        <v>start /low /b %USERPROFILE%\Documents\GitHub\eaglep3\Utilities\DownloadLogsFromS3.py --loco 4045 --day 2017-04-17</v>
      </c>
      <c r="AN23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12:21:33"},{"id":29,"name":"Sharepoint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649</v>
      </c>
      <c r="B24" s="7">
        <v>4008</v>
      </c>
      <c r="C24" s="21" t="s">
        <v>213</v>
      </c>
      <c r="D24" s="21" t="s">
        <v>852</v>
      </c>
      <c r="E24" s="13">
        <v>42842.211782407408</v>
      </c>
      <c r="F24" s="13">
        <v>42842.212442129632</v>
      </c>
      <c r="G24" s="7">
        <v>0</v>
      </c>
      <c r="H24" s="21" t="s">
        <v>588</v>
      </c>
      <c r="I24" s="13">
        <v>42842.233113425929</v>
      </c>
      <c r="J24" s="7">
        <v>0</v>
      </c>
      <c r="K24" s="97" t="str">
        <f t="shared" si="0"/>
        <v>4007/4008</v>
      </c>
      <c r="L24" s="21" t="str">
        <f>VLOOKUP(A24,'Trips&amp;Operators'!$C$1:$G$99999,5,FALSE)</f>
        <v>YORK EDGAR</v>
      </c>
      <c r="M24" s="6">
        <f t="shared" si="1"/>
        <v>2.0671296297223307E-2</v>
      </c>
      <c r="N24" s="7"/>
      <c r="O24" s="7"/>
      <c r="P24" s="7">
        <f>24*60*SUM($M24:$M25)</f>
        <v>35.433333328692243</v>
      </c>
      <c r="Q24" s="22"/>
      <c r="R24" s="22" t="s">
        <v>1047</v>
      </c>
      <c r="S24" s="31">
        <f>SUM(U24:U25)/IF(AG24="EC",12,1)</f>
        <v>1</v>
      </c>
      <c r="T24" s="46" t="str">
        <f t="shared" si="2"/>
        <v>NorthBound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 t="shared" si="3"/>
        <v>https://d0f6bd738d7f1b3e5a7ca70fe4ff75f0.us-east-1.aws.found.io/app/kibana#/discover/Steve-Slow-Train-Analysis-(2080s-and-2083s)?_g=(refreshInterval:(display:Off,pause:!f,section:0,value:0),time:(from:'2017-04-17T04:04:58-0600',mode:absolute,to:'2017-04-17T06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4" s="183" t="str">
        <f t="shared" si="4"/>
        <v>Y</v>
      </c>
      <c r="X24" s="183">
        <f t="shared" si="5"/>
        <v>1</v>
      </c>
      <c r="Y24" s="62">
        <f t="shared" si="6"/>
        <v>1.9123000000000001</v>
      </c>
      <c r="Z24" s="62">
        <f t="shared" si="7"/>
        <v>23.327400000000001</v>
      </c>
      <c r="AA24" s="62">
        <f t="shared" si="8"/>
        <v>21.415100000000002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9"/>
        <v>0111-17</v>
      </c>
      <c r="AE24" s="85" t="str">
        <f t="shared" si="10"/>
        <v>aws s3 cp s3://rtdc.mdm.uploadarchive.raw/RTDC4008/ "%USERPROFILE%\AppData\Local\Temp\OnboardLogs"\RTDC4008\2017-04-17 --exclude "*" --recursive --include "*20170417*" &amp; "%USERPROFILE%\Documents\GitHub\mrs-test-scripts\Headless Mode &amp; Sideloading\WalkAndUnGZ.bat" "%USERPROFILE%\AppData\Local\Temp\OnboardLogs"\RTDC4008\2017-04-17 &amp; aws s3 cp s3://rtdc.mdm.uploadarchive.raw/RTDC4008/ "%USERPROFILE%\AppData\Local\Temp\OnboardLogs"\RTDC4008\2017-04-18 --exclude "*" --recursive --include "*20170418*" &amp; "%USERPROFILE%\Documents\GitHub\mrs-test-scripts\Headless Mode &amp; Sideloading\WalkAndUnGZ.bat" "%USERPROFILE%\AppData\Local\Temp\OnboardLogs"\RTDC4008\2017-04-18</v>
      </c>
      <c r="AF24" s="82" t="str">
        <f t="shared" si="11"/>
        <v>"C:\Program Files (x86)\AstroGrep\AstroGrep.exe" /e /r /s /spath="%USERPROFILE%\AppData\Local\Temp\OnboardLogs" /stypes="app*4008*20170417*" /stext=" 11:.+((SYSTEM_STATE.+slice.+state.+changed )|(ment ac)|(multiple cpu faults)|(system.+state.+changed )|(\[timeout)|(PRM\|1\|D)|(kpr)|(kdp)|(\|lc)|(penalty))"</v>
      </c>
      <c r="AG24" s="1" t="str">
        <f t="shared" si="12"/>
        <v>EC</v>
      </c>
      <c r="AH24" s="86" t="str">
        <f t="shared" si="17"/>
        <v>"%USERPROFILE%\Documents\GitHub\eaglep3\Utilities\RefineRTDCRunTimes.py" --tripid 111-17 --locoid 4008 --swversion DE.1.0.9.0 --startMP 204:19123 --initTime 2017-04-17T05:04:58 --startdatetime 2017-04-17T05:05:55 --delay 0 --endMP 204:233274 --enddatetime 2017-04-17T05:35:41 --enforcementcount 0 &gt;&gt;C:\Users\stu\Documents\GitHub\eaglep3-reporting\EC\2017-04-17-refined-times.txt</v>
      </c>
      <c r="AI24" s="104" t="str">
        <f t="shared" si="18"/>
        <v>echo {"issue":{"subject":"Selected wrong track","project_id":79,"tracker_id":40,"status_id":1,"priority_id":2,"assigned_to_id":23,"start_date":"2017-04-17","description":"","custom_fields":[{"id":1,"name":"Subdivision","value":"EC"},{"id":4,"name":"Milepost","value":"23.3274"},{"id":17,"name":"Train ID","value":"111-17"},{"id":16,"name":"Locomotive ID","value":"4008"},{"id":130,"name":"Impact","value":""},{"id":150,"name":"Time of Event (Mountain Time)","value":"05:35:41"},{"id":151,"name":"Denver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19"/>
        <v>start /low /b %USERPROFILE%\Documents\GitHub\eaglep3\Utilities\DownloadLogsFromS3.py --loco 4008 --day 2017-04-17</v>
      </c>
      <c r="AN24" s="159" t="str">
        <f t="shared" si="20"/>
        <v>echo {"issue":{"subject":"Selected wrong track","project_id":30,"tracker_id":4,"status_id":1,"priority_id":1,"assigned_to_id":10,"start_date":"2017-04-17","description":"","custom_fields":[{"id":30,"name":"Category","value":"Issue"},{"id":3,"name":"Functional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11:35:41"},{"id":29,"name":"Sharepoint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649</v>
      </c>
      <c r="B25" s="7">
        <v>4008</v>
      </c>
      <c r="C25" s="21" t="s">
        <v>213</v>
      </c>
      <c r="D25" s="21" t="s">
        <v>853</v>
      </c>
      <c r="E25" s="13">
        <v>42842.203958333332</v>
      </c>
      <c r="F25" s="13">
        <v>42842.204942129632</v>
      </c>
      <c r="G25" s="7">
        <v>1</v>
      </c>
      <c r="H25" s="21" t="s">
        <v>854</v>
      </c>
      <c r="I25" s="13">
        <v>42842.208877314813</v>
      </c>
      <c r="J25" s="7">
        <v>0</v>
      </c>
      <c r="K25" s="97" t="str">
        <f t="shared" si="0"/>
        <v>4007/4008</v>
      </c>
      <c r="L25" s="21" t="str">
        <f>VLOOKUP(A25,'Trips&amp;Operators'!$C$1:$G$99999,5,FALSE)</f>
        <v>YORK EDGAR</v>
      </c>
      <c r="M25" s="6">
        <f t="shared" si="1"/>
        <v>3.9351851810351945E-3</v>
      </c>
      <c r="N25" s="7"/>
      <c r="O25" s="7"/>
      <c r="P25" s="7"/>
      <c r="Q25" s="22"/>
      <c r="R25" s="22"/>
      <c r="S25" s="31"/>
      <c r="T25" s="46" t="str">
        <f t="shared" si="2"/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0</v>
      </c>
      <c r="V25" s="182" t="str">
        <f t="shared" si="3"/>
        <v>https://d0f6bd738d7f1b3e5a7ca70fe4ff75f0.us-east-1.aws.found.io/app/kibana#/discover/Steve-Slow-Train-Analysis-(2080s-and-2083s)?_g=(refreshInterval:(display:Off,pause:!f,section:0,value:0),time:(from:'2017-04-17T03:53:42-0600',mode:absolute,to:'2017-04-17T06:00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5" s="183" t="str">
        <f t="shared" si="4"/>
        <v>Y</v>
      </c>
      <c r="X25" s="183">
        <f t="shared" si="5"/>
        <v>0</v>
      </c>
      <c r="Y25" s="62">
        <f t="shared" si="6"/>
        <v>7.8799999999999995E-2</v>
      </c>
      <c r="Z25" s="62">
        <f t="shared" si="7"/>
        <v>0.1113</v>
      </c>
      <c r="AA25" s="62">
        <f t="shared" si="8"/>
        <v>3.2500000000000001E-2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9"/>
        <v>0111-17</v>
      </c>
      <c r="AE25" s="85" t="str">
        <f t="shared" si="10"/>
        <v>aws s3 cp s3://rtdc.mdm.uploadarchive.raw/RTDC4008/ "%USERPROFILE%\AppData\Local\Temp\OnboardLogs"\RTDC4008\2017-04-17 --exclude "*" --recursive --include "*20170417*" &amp; "%USERPROFILE%\Documents\GitHub\mrs-test-scripts\Headless Mode &amp; Sideloading\WalkAndUnGZ.bat" "%USERPROFILE%\AppData\Local\Temp\OnboardLogs"\RTDC4008\2017-04-17 &amp; aws s3 cp s3://rtdc.mdm.uploadarchive.raw/RTDC4008/ "%USERPROFILE%\AppData\Local\Temp\OnboardLogs"\RTDC4008\2017-04-18 --exclude "*" --recursive --include "*20170418*" &amp; "%USERPROFILE%\Documents\GitHub\mrs-test-scripts\Headless Mode &amp; Sideloading\WalkAndUnGZ.bat" "%USERPROFILE%\AppData\Local\Temp\OnboardLogs"\RTDC4008\2017-04-18</v>
      </c>
      <c r="AF25" s="82" t="str">
        <f t="shared" si="11"/>
        <v>"C:\Program Files (x86)\AstroGrep\AstroGrep.exe" /e /r /s /spath="%USERPROFILE%\AppData\Local\Temp\OnboardLogs" /stypes="app*4008*20170417*" /stext=" 11:.+((SYSTEM_STATE.+slice.+state.+changed )|(ment ac)|(multiple cpu faults)|(system.+state.+changed )|(\[timeout)|(PRM\|1\|D)|(kpr)|(kdp)|(\|lc)|(penalty))"</v>
      </c>
      <c r="AG25" s="1" t="str">
        <f t="shared" si="12"/>
        <v>EC</v>
      </c>
      <c r="AH25" s="86" t="str">
        <f t="shared" si="17"/>
        <v>"%USERPROFILE%\Documents\GitHub\eaglep3\Utilities\RefineRTDCRunTimes.py" --tripid 111-17 --locoid 4008 --swversion DE.1.0.9.0 --startMP 204:788 --initTime 2017-04-17T04:53:42 --startdatetime 2017-04-17T04:55:07 --delay 1 --endMP 204:1113 --enddatetime 2017-04-17T05:00:47 --enforcementcount 0 &gt;&gt;C:\Users\stu\Documents\GitHub\eaglep3-reporting\EC\2017-04-17-refined-times.txt</v>
      </c>
      <c r="AI25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{"issue":{"subject":"","project_id":79,"tracker_id":40,"status_id":1,"priority_id":2,"assigned_to_id":23,"start_date":"2017-04-17","description":"","custom_fields":[{"id":1,"name":"Subdivision","value":"EC"},{"id":4,"name":"Milepost","value":"0.1113"},{"id":17,"name":"Train ID","value":"111-17"},{"id":16,"name":"Locomotive ID","value":"4008"},{"id":130,"name":"Impact","value":""},{"id":150,"name":"Time of Event (Mountain Time)","value":"05:00:47"},{"id":151,"name":"Denver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19"/>
        <v>start /low /b %USERPROFILE%\Documents\GitHub\eaglep3\Utilities\DownloadLogsFromS3.py --loco 4008 --day 2017-04-17</v>
      </c>
      <c r="AN25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11:00:47"},{"id":29,"name":"Sharepoint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660</v>
      </c>
      <c r="B26" s="7">
        <v>4007</v>
      </c>
      <c r="C26" s="21" t="s">
        <v>213</v>
      </c>
      <c r="D26" s="21" t="s">
        <v>855</v>
      </c>
      <c r="E26" s="13">
        <v>42842.233877314815</v>
      </c>
      <c r="F26" s="13">
        <v>42842.247372685182</v>
      </c>
      <c r="G26" s="7">
        <v>1</v>
      </c>
      <c r="H26" s="21" t="s">
        <v>856</v>
      </c>
      <c r="I26" s="13">
        <v>42842.273530092592</v>
      </c>
      <c r="J26" s="7">
        <v>0</v>
      </c>
      <c r="K26" s="97" t="str">
        <f t="shared" si="0"/>
        <v>4007/4008</v>
      </c>
      <c r="L26" s="21" t="str">
        <f>VLOOKUP(A26,'Trips&amp;Operators'!$C$1:$G$99999,5,FALSE)</f>
        <v>YORK EDGAR</v>
      </c>
      <c r="M26" s="6">
        <f t="shared" si="1"/>
        <v>2.6157407410209998E-2</v>
      </c>
      <c r="N26" s="7">
        <f t="shared" ref="N26:N57" si="23">24*60*SUM($M26:$M26)</f>
        <v>37.666666670702398</v>
      </c>
      <c r="O26" s="7"/>
      <c r="P26" s="7"/>
      <c r="Q26" s="22"/>
      <c r="R26" s="22"/>
      <c r="S26" s="31">
        <f t="shared" ref="S26:S57" si="24">SUM(U26:U26)/IF(AG26="EC",12,1)</f>
        <v>1</v>
      </c>
      <c r="T26" s="46" t="str">
        <f t="shared" si="2"/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3"/>
        <v>https://d0f6bd738d7f1b3e5a7ca70fe4ff75f0.us-east-1.aws.found.io/app/kibana#/discover/Steve-Slow-Train-Analysis-(2080s-and-2083s)?_g=(refreshInterval:(display:Off,pause:!f,section:0,value:0),time:(from:'2017-04-17T04:36:47-0600',mode:absolute,to:'2017-04-17T07:33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6" s="183" t="str">
        <f t="shared" si="4"/>
        <v>N</v>
      </c>
      <c r="X26" s="183">
        <f t="shared" si="5"/>
        <v>1</v>
      </c>
      <c r="Y26" s="62">
        <f t="shared" si="6"/>
        <v>23.295300000000001</v>
      </c>
      <c r="Z26" s="62">
        <f t="shared" si="7"/>
        <v>1.7000000000000001E-2</v>
      </c>
      <c r="AA26" s="62">
        <f t="shared" si="8"/>
        <v>23.278300000000002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9"/>
        <v>0112-17</v>
      </c>
      <c r="AE26" s="85" t="str">
        <f t="shared" si="10"/>
        <v>aws s3 cp s3://rtdc.mdm.uploadarchive.raw/RTDC4007/ "%USERPROFILE%\AppData\Local\Temp\OnboardLogs"\RTDC4007\2017-04-17 --exclude "*" --recursive --include "*20170417*" &amp; "%USERPROFILE%\Documents\GitHub\mrs-test-scripts\Headless Mode &amp; Sideloading\WalkAndUnGZ.bat" "%USERPROFILE%\AppData\Local\Temp\OnboardLogs"\RTDC4007\2017-04-17 &amp; aws s3 cp s3://rtdc.mdm.uploadarchive.raw/RTDC4007/ "%USERPROFILE%\AppData\Local\Temp\OnboardLogs"\RTDC4007\2017-04-18 --exclude "*" --recursive --include "*20170418*" &amp; "%USERPROFILE%\Documents\GitHub\mrs-test-scripts\Headless Mode &amp; Sideloading\WalkAndUnGZ.bat" "%USERPROFILE%\AppData\Local\Temp\OnboardLogs"\RTDC4007\2017-04-18</v>
      </c>
      <c r="AF26" s="82" t="str">
        <f t="shared" si="11"/>
        <v>"C:\Program Files (x86)\AstroGrep\AstroGrep.exe" /e /r /s /spath="%USERPROFILE%\AppData\Local\Temp\OnboardLogs" /stypes="app*4007*20170417*" /stext=" 12:.+((SYSTEM_STATE.+slice.+state.+changed )|(ment ac)|(multiple cpu faults)|(system.+state.+changed )|(\[timeout)|(PRM\|1\|D)|(kpr)|(kdp)|(\|lc)|(penalty))"</v>
      </c>
      <c r="AG26" s="1" t="str">
        <f t="shared" si="12"/>
        <v>EC</v>
      </c>
      <c r="AH26" s="86" t="str">
        <f t="shared" si="17"/>
        <v>"%USERPROFILE%\Documents\GitHub\eaglep3\Utilities\RefineRTDCRunTimes.py" --tripid 112-17 --locoid 4007 --swversion DE.1.0.9.0 --startMP 204:232953 --initTime 2017-04-17T05:36:47 --startdatetime 2017-04-17T05:56:13 --delay 1 --endMP 204:170 --enddatetime 2017-04-17T06:33:53 --enforcementcount 0 &gt;&gt;C:\Users\stu\Documents\GitHub\eaglep3-reporting\EC\2017-04-17-refined-times.txt</v>
      </c>
      <c r="AI26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{"issue":{"subject":"","project_id":79,"tracker_id":40,"status_id":1,"priority_id":2,"assigned_to_id":23,"start_date":"2017-04-17","description":"","custom_fields":[{"id":1,"name":"Subdivision","value":"EC"},{"id":4,"name":"Milepost","value":"0.017"},{"id":17,"name":"Train ID","value":"112-17"},{"id":16,"name":"Locomotive ID","value":"4007"},{"id":130,"name":"Impact","value":""},{"id":150,"name":"Time of Event (Mountain Time)","value":"06:33:53"},{"id":151,"name":"Denver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19"/>
        <v>start /low /b %USERPROFILE%\Documents\GitHub\eaglep3\Utilities\DownloadLogsFromS3.py --loco 4007 --day 2017-04-17</v>
      </c>
      <c r="AN26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12:33:53"},{"id":29,"name":"Sharepoint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653</v>
      </c>
      <c r="B27" s="7">
        <v>4002</v>
      </c>
      <c r="C27" s="21" t="s">
        <v>213</v>
      </c>
      <c r="D27" s="21" t="s">
        <v>453</v>
      </c>
      <c r="E27" s="13">
        <v>42842.216180555559</v>
      </c>
      <c r="F27" s="13">
        <v>42842.218912037039</v>
      </c>
      <c r="G27" s="7">
        <v>1</v>
      </c>
      <c r="H27" s="21" t="s">
        <v>454</v>
      </c>
      <c r="I27" s="13">
        <v>42842.24391203704</v>
      </c>
      <c r="J27" s="7">
        <v>0</v>
      </c>
      <c r="K27" s="97" t="str">
        <f t="shared" si="0"/>
        <v>4001/4002</v>
      </c>
      <c r="L27" s="21" t="str">
        <f>VLOOKUP(A27,'Trips&amp;Operators'!$C$1:$G$99999,5,FALSE)</f>
        <v>SANTIZO D. EDY</v>
      </c>
      <c r="M27" s="6">
        <f t="shared" si="1"/>
        <v>2.5000000001455192E-2</v>
      </c>
      <c r="N27" s="7">
        <f t="shared" si="23"/>
        <v>36.000000002095476</v>
      </c>
      <c r="O27" s="7"/>
      <c r="P27" s="7"/>
      <c r="Q27" s="22"/>
      <c r="R27" s="22"/>
      <c r="S27" s="31">
        <f t="shared" si="24"/>
        <v>1</v>
      </c>
      <c r="T27" s="46" t="str">
        <f t="shared" si="2"/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3"/>
        <v>https://d0f6bd738d7f1b3e5a7ca70fe4ff75f0.us-east-1.aws.found.io/app/kibana#/discover/Steve-Slow-Train-Analysis-(2080s-and-2083s)?_g=(refreshInterval:(display:Off,pause:!f,section:0,value:0),time:(from:'2017-04-17T04:11:18-0600',mode:absolute,to:'2017-04-17T06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7" s="183" t="str">
        <f t="shared" si="4"/>
        <v>N</v>
      </c>
      <c r="X27" s="183">
        <f t="shared" si="5"/>
        <v>1</v>
      </c>
      <c r="Y27" s="62">
        <f t="shared" si="6"/>
        <v>4.6699999999999998E-2</v>
      </c>
      <c r="Z27" s="62">
        <f t="shared" si="7"/>
        <v>23.3291</v>
      </c>
      <c r="AA27" s="62">
        <f t="shared" si="8"/>
        <v>23.282399999999999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9"/>
        <v>0113-17</v>
      </c>
      <c r="AE27" s="85" t="str">
        <f t="shared" si="10"/>
        <v>aws s3 cp s3://rtdc.mdm.uploadarchive.raw/RTDC4002/ "%USERPROFILE%\AppData\Local\Temp\OnboardLogs"\RTDC4002\2017-04-17 --exclude "*" --recursive --include "*20170417*" &amp; "%USERPROFILE%\Documents\GitHub\mrs-test-scripts\Headless Mode &amp; Sideloading\WalkAndUnGZ.bat" "%USERPROFILE%\AppData\Local\Temp\OnboardLogs"\RTDC4002\2017-04-17 &amp; aws s3 cp s3://rtdc.mdm.uploadarchive.raw/RTDC4002/ "%USERPROFILE%\AppData\Local\Temp\OnboardLogs"\RTDC4002\2017-04-18 --exclude "*" --recursive --include "*20170418*" &amp; "%USERPROFILE%\Documents\GitHub\mrs-test-scripts\Headless Mode &amp; Sideloading\WalkAndUnGZ.bat" "%USERPROFILE%\AppData\Local\Temp\OnboardLogs"\RTDC4002\2017-04-18</v>
      </c>
      <c r="AF27" s="82" t="str">
        <f t="shared" si="11"/>
        <v>"C:\Program Files (x86)\AstroGrep\AstroGrep.exe" /e /r /s /spath="%USERPROFILE%\AppData\Local\Temp\OnboardLogs" /stypes="app*4002*20170417*" /stext=" 11:.+((SYSTEM_STATE.+slice.+state.+changed )|(ment ac)|(multiple cpu faults)|(system.+state.+changed )|(\[timeout)|(PRM\|1\|D)|(kpr)|(kdp)|(\|lc)|(penalty))"</v>
      </c>
      <c r="AG27" s="1" t="str">
        <f t="shared" si="12"/>
        <v>EC</v>
      </c>
      <c r="AH27" s="86" t="str">
        <f t="shared" si="17"/>
        <v>"%USERPROFILE%\Documents\GitHub\eaglep3\Utilities\RefineRTDCRunTimes.py" --tripid 113-17 --locoid 4002 --swversion DE.1.0.9.0 --startMP 204:467 --initTime 2017-04-17T05:11:18 --startdatetime 2017-04-17T05:15:14 --delay 1 --endMP 204:233291 --enddatetime 2017-04-17T05:51:14 --enforcementcount 0 &gt;&gt;C:\Users\stu\Documents\GitHub\eaglep3-reporting\EC\2017-04-17-refined-times.txt</v>
      </c>
      <c r="AI27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{"issue":{"subject":"","project_id":79,"tracker_id":40,"status_id":1,"priority_id":2,"assigned_to_id":23,"start_date":"2017-04-17","description":"","custom_fields":[{"id":1,"name":"Subdivision","value":"EC"},{"id":4,"name":"Milepost","value":"23.3291"},{"id":17,"name":"Train ID","value":"113-17"},{"id":16,"name":"Locomotive ID","value":"4002"},{"id":130,"name":"Impact","value":""},{"id":150,"name":"Time of Event (Mountain Time)","value":"05:51:14"},{"id":151,"name":"Denver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19"/>
        <v>start /low /b %USERPROFILE%\Documents\GitHub\eaglep3\Utilities\DownloadLogsFromS3.py --loco 4002 --day 2017-04-17</v>
      </c>
      <c r="AN27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11:51:14"},{"id":29,"name":"Sharepoint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661</v>
      </c>
      <c r="B28" s="7">
        <v>4001</v>
      </c>
      <c r="C28" s="21" t="s">
        <v>213</v>
      </c>
      <c r="D28" s="21" t="s">
        <v>542</v>
      </c>
      <c r="E28" s="13">
        <v>42842.245347222219</v>
      </c>
      <c r="F28" s="13">
        <v>42842.291851851849</v>
      </c>
      <c r="G28" s="7">
        <v>1</v>
      </c>
      <c r="H28" s="21" t="s">
        <v>536</v>
      </c>
      <c r="I28" s="13">
        <v>42842.316377314812</v>
      </c>
      <c r="J28" s="7">
        <v>0</v>
      </c>
      <c r="K28" s="97" t="str">
        <f t="shared" si="0"/>
        <v>4001/4002</v>
      </c>
      <c r="L28" s="21" t="str">
        <f>VLOOKUP(A28,'Trips&amp;Operators'!$C$1:$G$99999,5,FALSE)</f>
        <v>SANTIZO D. EDY</v>
      </c>
      <c r="M28" s="6">
        <f t="shared" si="1"/>
        <v>2.4525462962628808E-2</v>
      </c>
      <c r="N28" s="7">
        <f t="shared" si="23"/>
        <v>35.316666666185483</v>
      </c>
      <c r="O28" s="7"/>
      <c r="P28" s="7"/>
      <c r="Q28" s="22"/>
      <c r="R28" s="22"/>
      <c r="S28" s="31">
        <f t="shared" si="24"/>
        <v>1</v>
      </c>
      <c r="T28" s="46" t="str">
        <f t="shared" si="2"/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3"/>
        <v>https://d0f6bd738d7f1b3e5a7ca70fe4ff75f0.us-east-1.aws.found.io/app/kibana#/discover/Steve-Slow-Train-Analysis-(2080s-and-2083s)?_g=(refreshInterval:(display:Off,pause:!f,section:0,value:0),time:(from:'2017-04-17T04:53:18-0600',mode:absolute,to:'2017-04-17T08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8" s="183" t="str">
        <f t="shared" si="4"/>
        <v>N</v>
      </c>
      <c r="X28" s="183">
        <f t="shared" si="5"/>
        <v>1</v>
      </c>
      <c r="Y28" s="62">
        <f t="shared" si="6"/>
        <v>23.297899999999998</v>
      </c>
      <c r="Z28" s="62">
        <f t="shared" si="7"/>
        <v>1.61E-2</v>
      </c>
      <c r="AA28" s="62">
        <f t="shared" si="8"/>
        <v>23.281799999999997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9"/>
        <v>0114-17</v>
      </c>
      <c r="AE28" s="85" t="str">
        <f t="shared" si="10"/>
        <v>aws s3 cp s3://rtdc.mdm.uploadarchive.raw/RTDC4001/ "%USERPROFILE%\AppData\Local\Temp\OnboardLogs"\RTDC4001\2017-04-17 --exclude "*" --recursive --include "*20170417*" &amp; "%USERPROFILE%\Documents\GitHub\mrs-test-scripts\Headless Mode &amp; Sideloading\WalkAndUnGZ.bat" "%USERPROFILE%\AppData\Local\Temp\OnboardLogs"\RTDC4001\2017-04-17 &amp; aws s3 cp s3://rtdc.mdm.uploadarchive.raw/RTDC4001/ "%USERPROFILE%\AppData\Local\Temp\OnboardLogs"\RTDC4001\2017-04-18 --exclude "*" --recursive --include "*20170418*" &amp; "%USERPROFILE%\Documents\GitHub\mrs-test-scripts\Headless Mode &amp; Sideloading\WalkAndUnGZ.bat" "%USERPROFILE%\AppData\Local\Temp\OnboardLogs"\RTDC4001\2017-04-18</v>
      </c>
      <c r="AF28" s="82" t="str">
        <f t="shared" si="11"/>
        <v>"C:\Program Files (x86)\AstroGrep\AstroGrep.exe" /e /r /s /spath="%USERPROFILE%\AppData\Local\Temp\OnboardLogs" /stypes="app*4001*20170417*" /stext=" 13:.+((SYSTEM_STATE.+slice.+state.+changed )|(ment ac)|(multiple cpu faults)|(system.+state.+changed )|(\[timeout)|(PRM\|1\|D)|(kpr)|(kdp)|(\|lc)|(penalty))"</v>
      </c>
      <c r="AG28" s="1" t="str">
        <f t="shared" si="12"/>
        <v>EC</v>
      </c>
      <c r="AH28" s="86" t="str">
        <f t="shared" si="17"/>
        <v>"%USERPROFILE%\Documents\GitHub\eaglep3\Utilities\RefineRTDCRunTimes.py" --tripid 114-17 --locoid 4001 --swversion DE.1.0.9.0 --startMP 204:232979 --initTime 2017-04-17T05:53:18 --startdatetime 2017-04-17T07:00:16 --delay 1 --endMP 204:161 --enddatetime 2017-04-17T07:35:35 --enforcementcount 0 &gt;&gt;C:\Users\stu\Documents\GitHub\eaglep3-reporting\EC\2017-04-17-refined-times.txt</v>
      </c>
      <c r="AI28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{"issue":{"subject":"","project_id":79,"tracker_id":40,"status_id":1,"priority_id":2,"assigned_to_id":23,"start_date":"2017-04-17","description":"","custom_fields":[{"id":1,"name":"Subdivision","value":"EC"},{"id":4,"name":"Milepost","value":"0.0161"},{"id":17,"name":"Train ID","value":"114-17"},{"id":16,"name":"Locomotive ID","value":"4001"},{"id":130,"name":"Impact","value":""},{"id":150,"name":"Time of Event (Mountain Time)","value":"07:35:35"},{"id":151,"name":"Denver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19"/>
        <v>start /low /b %USERPROFILE%\Documents\GitHub\eaglep3\Utilities\DownloadLogsFromS3.py --loco 4001 --day 2017-04-17</v>
      </c>
      <c r="AN28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13:35:35"},{"id":29,"name":"Sharepoint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657</v>
      </c>
      <c r="B29" s="7">
        <v>4052</v>
      </c>
      <c r="C29" s="21" t="s">
        <v>213</v>
      </c>
      <c r="D29" s="21" t="s">
        <v>567</v>
      </c>
      <c r="E29" s="13">
        <v>42842.225393518522</v>
      </c>
      <c r="F29" s="13">
        <v>42842.229386574072</v>
      </c>
      <c r="G29" s="7">
        <v>2</v>
      </c>
      <c r="H29" s="21" t="s">
        <v>565</v>
      </c>
      <c r="I29" s="13">
        <v>42842.254733796297</v>
      </c>
      <c r="J29" s="7">
        <v>0</v>
      </c>
      <c r="K29" s="97" t="str">
        <f t="shared" si="0"/>
        <v>4051/4052</v>
      </c>
      <c r="L29" s="21" t="str">
        <f>VLOOKUP(A29,'Trips&amp;Operators'!$C$1:$G$99999,5,FALSE)</f>
        <v>ROBINSON KADDIBA</v>
      </c>
      <c r="M29" s="6">
        <f t="shared" si="1"/>
        <v>2.5347222224809229E-2</v>
      </c>
      <c r="N29" s="7">
        <f t="shared" si="23"/>
        <v>36.50000000372529</v>
      </c>
      <c r="O29" s="7"/>
      <c r="P29" s="7"/>
      <c r="Q29" s="22"/>
      <c r="R29" s="22"/>
      <c r="S29" s="31">
        <f t="shared" si="24"/>
        <v>1</v>
      </c>
      <c r="T29" s="46" t="str">
        <f t="shared" si="2"/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3"/>
        <v>https://d0f6bd738d7f1b3e5a7ca70fe4ff75f0.us-east-1.aws.found.io/app/kibana#/discover/Steve-Slow-Train-Analysis-(2080s-and-2083s)?_g=(refreshInterval:(display:Off,pause:!f,section:0,value:0),time:(from:'2017-04-17T04:24:34-0600',mode:absolute,to:'2017-04-17T07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9" s="183" t="str">
        <f t="shared" si="4"/>
        <v>N</v>
      </c>
      <c r="X29" s="183">
        <f t="shared" si="5"/>
        <v>1</v>
      </c>
      <c r="Y29" s="62">
        <f t="shared" si="6"/>
        <v>7.6799999999999993E-2</v>
      </c>
      <c r="Z29" s="62">
        <f t="shared" si="7"/>
        <v>23.331199999999999</v>
      </c>
      <c r="AA29" s="62">
        <f t="shared" si="8"/>
        <v>23.2544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9"/>
        <v>0115-17</v>
      </c>
      <c r="AE29" s="85" t="str">
        <f t="shared" si="10"/>
        <v>aws s3 cp s3://rtdc.mdm.uploadarchive.raw/RTDC4052/ "%USERPROFILE%\AppData\Local\Temp\OnboardLogs"\RTDC4052\2017-04-17 --exclude "*" --recursive --include "*20170417*" &amp; "%USERPROFILE%\Documents\GitHub\mrs-test-scripts\Headless Mode &amp; Sideloading\WalkAndUnGZ.bat" "%USERPROFILE%\AppData\Local\Temp\OnboardLogs"\RTDC4052\2017-04-17 &amp; aws s3 cp s3://rtdc.mdm.uploadarchive.raw/RTDC4052/ "%USERPROFILE%\AppData\Local\Temp\OnboardLogs"\RTDC4052\2017-04-18 --exclude "*" --recursive --include "*20170418*" &amp; "%USERPROFILE%\Documents\GitHub\mrs-test-scripts\Headless Mode &amp; Sideloading\WalkAndUnGZ.bat" "%USERPROFILE%\AppData\Local\Temp\OnboardLogs"\RTDC4052\2017-04-18</v>
      </c>
      <c r="AF29" s="82" t="str">
        <f t="shared" si="11"/>
        <v>"C:\Program Files (x86)\AstroGrep\AstroGrep.exe" /e /r /s /spath="%USERPROFILE%\AppData\Local\Temp\OnboardLogs" /stypes="app*4052*20170417*" /stext=" 12:.+((SYSTEM_STATE.+slice.+state.+changed )|(ment ac)|(multiple cpu faults)|(system.+state.+changed )|(\[timeout)|(PRM\|1\|D)|(kpr)|(kdp)|(\|lc)|(penalty))"</v>
      </c>
      <c r="AG29" s="1" t="str">
        <f t="shared" si="12"/>
        <v>EC</v>
      </c>
      <c r="AH29" s="86" t="str">
        <f t="shared" si="17"/>
        <v>"%USERPROFILE%\Documents\GitHub\eaglep3\Utilities\RefineRTDCRunTimes.py" --tripid 115-17 --locoid 4052 --swversion DE.1.0.9.0 --startMP 204:768 --initTime 2017-04-17T05:24:34 --startdatetime 2017-04-17T05:30:19 --delay 2 --endMP 204:233312 --enddatetime 2017-04-17T06:06:49 --enforcementcount 0 &gt;&gt;C:\Users\stu\Documents\GitHub\eaglep3-reporting\EC\2017-04-17-refined-times.txt</v>
      </c>
      <c r="AI29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{"issue":{"subject":"","project_id":79,"tracker_id":40,"status_id":1,"priority_id":2,"assigned_to_id":23,"start_date":"2017-04-17","description":"","custom_fields":[{"id":1,"name":"Subdivision","value":"EC"},{"id":4,"name":"Milepost","value":"23.3312"},{"id":17,"name":"Train ID","value":"115-17"},{"id":16,"name":"Locomotive ID","value":"4052"},{"id":130,"name":"Impact","value":""},{"id":150,"name":"Time of Event (Mountain Time)","value":"06:06:49"},{"id":151,"name":"Denver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19"/>
        <v>start /low /b %USERPROFILE%\Documents\GitHub\eaglep3\Utilities\DownloadLogsFromS3.py --loco 4052 --day 2017-04-17</v>
      </c>
      <c r="AN29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12:06:49"},{"id":29,"name":"Sharepoint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672</v>
      </c>
      <c r="B30" s="7">
        <v>4051</v>
      </c>
      <c r="C30" s="21" t="s">
        <v>213</v>
      </c>
      <c r="D30" s="21" t="s">
        <v>857</v>
      </c>
      <c r="E30" s="13">
        <v>42842.258472222224</v>
      </c>
      <c r="F30" s="13">
        <v>42842.268252314818</v>
      </c>
      <c r="G30" s="7">
        <v>1</v>
      </c>
      <c r="H30" s="21" t="s">
        <v>401</v>
      </c>
      <c r="I30" s="13">
        <v>42842.295567129629</v>
      </c>
      <c r="J30" s="7">
        <v>0</v>
      </c>
      <c r="K30" s="97" t="str">
        <f t="shared" si="0"/>
        <v>4051/4052</v>
      </c>
      <c r="L30" s="21" t="str">
        <f>VLOOKUP(A30,'Trips&amp;Operators'!$C$1:$G$99999,5,FALSE)</f>
        <v>ROBINSON KADDIBA</v>
      </c>
      <c r="M30" s="6">
        <f t="shared" si="1"/>
        <v>2.7314814811688848E-2</v>
      </c>
      <c r="N30" s="7">
        <f t="shared" si="23"/>
        <v>39.333333328831941</v>
      </c>
      <c r="O30" s="7"/>
      <c r="P30" s="7"/>
      <c r="Q30" s="22"/>
      <c r="R30" s="22"/>
      <c r="S30" s="31">
        <f t="shared" si="24"/>
        <v>1</v>
      </c>
      <c r="T30" s="46" t="str">
        <f t="shared" si="2"/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3"/>
        <v>https://d0f6bd738d7f1b3e5a7ca70fe4ff75f0.us-east-1.aws.found.io/app/kibana#/discover/Steve-Slow-Train-Analysis-(2080s-and-2083s)?_g=(refreshInterval:(display:Off,pause:!f,section:0,value:0),time:(from:'2017-04-17T05:12:12-0600',mode:absolute,to:'2017-04-17T08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0" s="183" t="str">
        <f t="shared" si="4"/>
        <v>N</v>
      </c>
      <c r="X30" s="183">
        <f t="shared" si="5"/>
        <v>1</v>
      </c>
      <c r="Y30" s="62">
        <f t="shared" si="6"/>
        <v>23.296299999999999</v>
      </c>
      <c r="Z30" s="62">
        <f t="shared" si="7"/>
        <v>1.41E-2</v>
      </c>
      <c r="AA30" s="62">
        <f t="shared" si="8"/>
        <v>23.2822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9"/>
        <v>0116-17</v>
      </c>
      <c r="AE30" s="85" t="str">
        <f t="shared" si="10"/>
        <v>aws s3 cp s3://rtdc.mdm.uploadarchive.raw/RTDC4051/ "%USERPROFILE%\AppData\Local\Temp\OnboardLogs"\RTDC4051\2017-04-17 --exclude "*" --recursive --include "*20170417*" &amp; "%USERPROFILE%\Documents\GitHub\mrs-test-scripts\Headless Mode &amp; Sideloading\WalkAndUnGZ.bat" "%USERPROFILE%\AppData\Local\Temp\OnboardLogs"\RTDC4051\2017-04-17 &amp; aws s3 cp s3://rtdc.mdm.uploadarchive.raw/RTDC4051/ "%USERPROFILE%\AppData\Local\Temp\OnboardLogs"\RTDC4051\2017-04-18 --exclude "*" --recursive --include "*20170418*" &amp; "%USERPROFILE%\Documents\GitHub\mrs-test-scripts\Headless Mode &amp; Sideloading\WalkAndUnGZ.bat" "%USERPROFILE%\AppData\Local\Temp\OnboardLogs"\RTDC4051\2017-04-18</v>
      </c>
      <c r="AF30" s="82" t="str">
        <f t="shared" si="11"/>
        <v>"C:\Program Files (x86)\AstroGrep\AstroGrep.exe" /e /r /s /spath="%USERPROFILE%\AppData\Local\Temp\OnboardLogs" /stypes="app*4051*20170417*" /stext=" 13:.+((SYSTEM_STATE.+slice.+state.+changed )|(ment ac)|(multiple cpu faults)|(system.+state.+changed )|(\[timeout)|(PRM\|1\|D)|(kpr)|(kdp)|(\|lc)|(penalty))"</v>
      </c>
      <c r="AG30" s="1" t="str">
        <f t="shared" si="12"/>
        <v>EC</v>
      </c>
      <c r="AH30" s="86" t="str">
        <f t="shared" si="17"/>
        <v>"%USERPROFILE%\Documents\GitHub\eaglep3\Utilities\RefineRTDCRunTimes.py" --tripid 116-17 --locoid 4051 --swversion DE.1.0.9.0 --startMP 204:232963 --initTime 2017-04-17T06:12:12 --startdatetime 2017-04-17T06:26:17 --delay 1 --endMP 204:141 --enddatetime 2017-04-17T07:05:37 --enforcementcount 0 &gt;&gt;C:\Users\stu\Documents\GitHub\eaglep3-reporting\EC\2017-04-17-refined-times.txt</v>
      </c>
      <c r="AI30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{"issue":{"subject":"","project_id":79,"tracker_id":40,"status_id":1,"priority_id":2,"assigned_to_id":23,"start_date":"2017-04-17","description":"","custom_fields":[{"id":1,"name":"Subdivision","value":"EC"},{"id":4,"name":"Milepost","value":"0.0141"},{"id":17,"name":"Train ID","value":"116-17"},{"id":16,"name":"Locomotive ID","value":"4051"},{"id":130,"name":"Impact","value":""},{"id":150,"name":"Time of Event (Mountain Time)","value":"07:05:37"},{"id":151,"name":"Denver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19"/>
        <v>start /low /b %USERPROFILE%\Documents\GitHub\eaglep3\Utilities\DownloadLogsFromS3.py --loco 4051 --day 2017-04-17</v>
      </c>
      <c r="AN30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13:05:37"},{"id":29,"name":"Sharepoint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656</v>
      </c>
      <c r="B31" s="7">
        <v>4032</v>
      </c>
      <c r="C31" s="21" t="s">
        <v>213</v>
      </c>
      <c r="D31" s="21" t="s">
        <v>417</v>
      </c>
      <c r="E31" s="13">
        <v>42842.224791666667</v>
      </c>
      <c r="F31" s="13">
        <v>42842.239814814813</v>
      </c>
      <c r="G31" s="7">
        <v>1</v>
      </c>
      <c r="H31" s="21" t="s">
        <v>858</v>
      </c>
      <c r="I31" s="13">
        <v>42842.264999999999</v>
      </c>
      <c r="J31" s="7">
        <v>0</v>
      </c>
      <c r="K31" s="97" t="str">
        <f t="shared" si="0"/>
        <v>4031/4032</v>
      </c>
      <c r="L31" s="21" t="str">
        <f>VLOOKUP(A31,'Trips&amp;Operators'!$C$1:$G$99999,5,FALSE)</f>
        <v>MAELZER KURT</v>
      </c>
      <c r="M31" s="6">
        <f t="shared" si="1"/>
        <v>2.5185185186273884E-2</v>
      </c>
      <c r="N31" s="7">
        <f t="shared" si="23"/>
        <v>36.266666668234393</v>
      </c>
      <c r="O31" s="7"/>
      <c r="P31" s="7"/>
      <c r="Q31" s="22"/>
      <c r="R31" s="22"/>
      <c r="S31" s="31">
        <f t="shared" si="24"/>
        <v>1</v>
      </c>
      <c r="T31" s="46" t="str">
        <f t="shared" si="2"/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3"/>
        <v>https://d0f6bd738d7f1b3e5a7ca70fe4ff75f0.us-east-1.aws.found.io/app/kibana#/discover/Steve-Slow-Train-Analysis-(2080s-and-2083s)?_g=(refreshInterval:(display:Off,pause:!f,section:0,value:0),time:(from:'2017-04-17T04:23:42-0600',mode:absolute,to:'2017-04-17T07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1" s="183" t="str">
        <f t="shared" si="4"/>
        <v>N</v>
      </c>
      <c r="X31" s="183">
        <f t="shared" si="5"/>
        <v>1</v>
      </c>
      <c r="Y31" s="62">
        <f t="shared" si="6"/>
        <v>4.58E-2</v>
      </c>
      <c r="Z31" s="62">
        <f t="shared" si="7"/>
        <v>23.3308</v>
      </c>
      <c r="AA31" s="62">
        <f t="shared" si="8"/>
        <v>23.285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9"/>
        <v>0117-17</v>
      </c>
      <c r="AE31" s="85" t="str">
        <f t="shared" si="10"/>
        <v>aws s3 cp s3://rtdc.mdm.uploadarchive.raw/RTDC4032/ "%USERPROFILE%\AppData\Local\Temp\OnboardLogs"\RTDC4032\2017-04-17 --exclude "*" --recursive --include "*20170417*" &amp; "%USERPROFILE%\Documents\GitHub\mrs-test-scripts\Headless Mode &amp; Sideloading\WalkAndUnGZ.bat" "%USERPROFILE%\AppData\Local\Temp\OnboardLogs"\RTDC4032\2017-04-17 &amp; aws s3 cp s3://rtdc.mdm.uploadarchive.raw/RTDC4032/ "%USERPROFILE%\AppData\Local\Temp\OnboardLogs"\RTDC4032\2017-04-18 --exclude "*" --recursive --include "*20170418*" &amp; "%USERPROFILE%\Documents\GitHub\mrs-test-scripts\Headless Mode &amp; Sideloading\WalkAndUnGZ.bat" "%USERPROFILE%\AppData\Local\Temp\OnboardLogs"\RTDC4032\2017-04-18</v>
      </c>
      <c r="AF31" s="82" t="str">
        <f t="shared" si="11"/>
        <v>"C:\Program Files (x86)\AstroGrep\AstroGrep.exe" /e /r /s /spath="%USERPROFILE%\AppData\Local\Temp\OnboardLogs" /stypes="app*4032*20170417*" /stext=" 12:.+((SYSTEM_STATE.+slice.+state.+changed )|(ment ac)|(multiple cpu faults)|(system.+state.+changed )|(\[timeout)|(PRM\|1\|D)|(kpr)|(kdp)|(\|lc)|(penalty))"</v>
      </c>
      <c r="AG31" s="1" t="str">
        <f t="shared" si="12"/>
        <v>EC</v>
      </c>
      <c r="AH31" s="86" t="str">
        <f t="shared" si="17"/>
        <v>"%USERPROFILE%\Documents\GitHub\eaglep3\Utilities\RefineRTDCRunTimes.py" --tripid 117-17 --locoid 4032 --swversion DE.1.0.9.0 --startMP 204:458 --initTime 2017-04-17T05:23:42 --startdatetime 2017-04-17T05:45:20 --delay 1 --endMP 204:233308 --enddatetime 2017-04-17T06:21:36 --enforcementcount 0 &gt;&gt;C:\Users\stu\Documents\GitHub\eaglep3-reporting\EC\2017-04-17-refined-times.txt</v>
      </c>
      <c r="AI31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{"issue":{"subject":"","project_id":79,"tracker_id":40,"status_id":1,"priority_id":2,"assigned_to_id":23,"start_date":"2017-04-17","description":"","custom_fields":[{"id":1,"name":"Subdivision","value":"EC"},{"id":4,"name":"Milepost","value":"23.3308"},{"id":17,"name":"Train ID","value":"117-17"},{"id":16,"name":"Locomotive ID","value":"4032"},{"id":130,"name":"Impact","value":""},{"id":150,"name":"Time of Event (Mountain Time)","value":"06:21:36"},{"id":151,"name":"Denver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19"/>
        <v>start /low /b %USERPROFILE%\Documents\GitHub\eaglep3\Utilities\DownloadLogsFromS3.py --loco 4032 --day 2017-04-17</v>
      </c>
      <c r="AN31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12:21:36"},{"id":29,"name":"Sharepoint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677</v>
      </c>
      <c r="B32" s="7">
        <v>4031</v>
      </c>
      <c r="C32" s="21" t="s">
        <v>213</v>
      </c>
      <c r="D32" s="21" t="s">
        <v>859</v>
      </c>
      <c r="E32" s="13">
        <v>42842.27584490741</v>
      </c>
      <c r="F32" s="13">
        <v>42842.278738425928</v>
      </c>
      <c r="G32" s="7">
        <v>1</v>
      </c>
      <c r="H32" s="21" t="s">
        <v>210</v>
      </c>
      <c r="I32" s="13">
        <v>42842.305648148147</v>
      </c>
      <c r="J32" s="7">
        <v>0</v>
      </c>
      <c r="K32" s="97" t="str">
        <f t="shared" si="0"/>
        <v>4031/4032</v>
      </c>
      <c r="L32" s="21" t="str">
        <f>VLOOKUP(A32,'Trips&amp;Operators'!$C$1:$G$99999,5,FALSE)</f>
        <v>MAELZER KURT</v>
      </c>
      <c r="M32" s="6">
        <f t="shared" si="1"/>
        <v>2.6909722218988463E-2</v>
      </c>
      <c r="N32" s="7">
        <f t="shared" si="23"/>
        <v>38.749999995343387</v>
      </c>
      <c r="O32" s="7"/>
      <c r="P32" s="7"/>
      <c r="Q32" s="22"/>
      <c r="R32" s="22"/>
      <c r="S32" s="31">
        <f t="shared" si="24"/>
        <v>1</v>
      </c>
      <c r="T32" s="46" t="str">
        <f t="shared" si="2"/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3"/>
        <v>https://d0f6bd738d7f1b3e5a7ca70fe4ff75f0.us-east-1.aws.found.io/app/kibana#/discover/Steve-Slow-Train-Analysis-(2080s-and-2083s)?_g=(refreshInterval:(display:Off,pause:!f,section:0,value:0),time:(from:'2017-04-17T05:37:13-0600',mode:absolute,to:'2017-04-17T08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2" s="183" t="str">
        <f t="shared" si="4"/>
        <v>N</v>
      </c>
      <c r="X32" s="183">
        <f t="shared" si="5"/>
        <v>1</v>
      </c>
      <c r="Y32" s="62">
        <f t="shared" si="6"/>
        <v>23.296199999999999</v>
      </c>
      <c r="Z32" s="62">
        <f t="shared" si="7"/>
        <v>1.47E-2</v>
      </c>
      <c r="AA32" s="62">
        <f t="shared" si="8"/>
        <v>23.281499999999998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9"/>
        <v>0118-17</v>
      </c>
      <c r="AE32" s="85" t="str">
        <f t="shared" si="10"/>
        <v>aws s3 cp s3://rtdc.mdm.uploadarchive.raw/RTDC4031/ "%USERPROFILE%\AppData\Local\Temp\OnboardLogs"\RTDC4031\2017-04-17 --exclude "*" --recursive --include "*20170417*" &amp; "%USERPROFILE%\Documents\GitHub\mrs-test-scripts\Headless Mode &amp; Sideloading\WalkAndUnGZ.bat" "%USERPROFILE%\AppData\Local\Temp\OnboardLogs"\RTDC4031\2017-04-17 &amp; aws s3 cp s3://rtdc.mdm.uploadarchive.raw/RTDC4031/ "%USERPROFILE%\AppData\Local\Temp\OnboardLogs"\RTDC4031\2017-04-18 --exclude "*" --recursive --include "*20170418*" &amp; "%USERPROFILE%\Documents\GitHub\mrs-test-scripts\Headless Mode &amp; Sideloading\WalkAndUnGZ.bat" "%USERPROFILE%\AppData\Local\Temp\OnboardLogs"\RTDC4031\2017-04-18</v>
      </c>
      <c r="AF32" s="82" t="str">
        <f t="shared" si="11"/>
        <v>"C:\Program Files (x86)\AstroGrep\AstroGrep.exe" /e /r /s /spath="%USERPROFILE%\AppData\Local\Temp\OnboardLogs" /stypes="app*4031*20170417*" /stext=" 13:.+((SYSTEM_STATE.+slice.+state.+changed )|(ment ac)|(multiple cpu faults)|(system.+state.+changed )|(\[timeout)|(PRM\|1\|D)|(kpr)|(kdp)|(\|lc)|(penalty))"</v>
      </c>
      <c r="AG32" s="1" t="str">
        <f t="shared" si="12"/>
        <v>EC</v>
      </c>
      <c r="AH32" s="86" t="str">
        <f t="shared" si="17"/>
        <v>"%USERPROFILE%\Documents\GitHub\eaglep3\Utilities\RefineRTDCRunTimes.py" --tripid 118-17 --locoid 4031 --swversion DE.1.0.9.0 --startMP 204:232962 --initTime 2017-04-17T06:37:13 --startdatetime 2017-04-17T06:41:23 --delay 1 --endMP 204:147 --enddatetime 2017-04-17T07:20:08 --enforcementcount 0 &gt;&gt;C:\Users\stu\Documents\GitHub\eaglep3-reporting\EC\2017-04-17-refined-times.txt</v>
      </c>
      <c r="AI32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{"issue":{"subject":"","project_id":79,"tracker_id":40,"status_id":1,"priority_id":2,"assigned_to_id":23,"start_date":"2017-04-17","description":"","custom_fields":[{"id":1,"name":"Subdivision","value":"EC"},{"id":4,"name":"Milepost","value":"0.0147"},{"id":17,"name":"Train ID","value":"118-17"},{"id":16,"name":"Locomotive ID","value":"4031"},{"id":130,"name":"Impact","value":""},{"id":150,"name":"Time of Event (Mountain Time)","value":"07:20:08"},{"id":151,"name":"Denver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19"/>
        <v>start /low /b %USERPROFILE%\Documents\GitHub\eaglep3\Utilities\DownloadLogsFromS3.py --loco 4031 --day 2017-04-17</v>
      </c>
      <c r="AN32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13:20:08"},{"id":29,"name":"Sharepoint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609</v>
      </c>
      <c r="B33" s="7">
        <v>4054</v>
      </c>
      <c r="C33" s="21" t="s">
        <v>213</v>
      </c>
      <c r="D33" s="21" t="s">
        <v>860</v>
      </c>
      <c r="E33" s="13">
        <v>42842.24759259259</v>
      </c>
      <c r="F33" s="13">
        <v>42842.250243055554</v>
      </c>
      <c r="G33" s="7">
        <v>1</v>
      </c>
      <c r="H33" s="21" t="s">
        <v>526</v>
      </c>
      <c r="I33" s="13">
        <v>42842.275231481479</v>
      </c>
      <c r="J33" s="7">
        <v>0</v>
      </c>
      <c r="K33" s="97" t="str">
        <f t="shared" si="0"/>
        <v>4053/4054</v>
      </c>
      <c r="L33" s="21" t="str">
        <f>VLOOKUP(A33,'Trips&amp;Operators'!$C$1:$G$99999,5,FALSE)</f>
        <v>STARKS ANGELINA</v>
      </c>
      <c r="M33" s="6">
        <f t="shared" si="1"/>
        <v>2.4988425924675539E-2</v>
      </c>
      <c r="N33" s="7">
        <f t="shared" si="23"/>
        <v>35.983333331532776</v>
      </c>
      <c r="O33" s="7"/>
      <c r="P33" s="7"/>
      <c r="Q33" s="22"/>
      <c r="R33" s="22"/>
      <c r="S33" s="31">
        <f t="shared" si="24"/>
        <v>1</v>
      </c>
      <c r="T33" s="46" t="str">
        <f t="shared" si="2"/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3"/>
        <v>https://d0f6bd738d7f1b3e5a7ca70fe4ff75f0.us-east-1.aws.found.io/app/kibana#/discover/Steve-Slow-Train-Analysis-(2080s-and-2083s)?_g=(refreshInterval:(display:Off,pause:!f,section:0,value:0),time:(from:'2017-04-17T04:56:32-0600',mode:absolute,to:'2017-04-17T07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3" s="183" t="str">
        <f t="shared" si="4"/>
        <v>N</v>
      </c>
      <c r="X33" s="183">
        <f t="shared" si="5"/>
        <v>1</v>
      </c>
      <c r="Y33" s="62">
        <f t="shared" si="6"/>
        <v>7.7399999999999997E-2</v>
      </c>
      <c r="Z33" s="62">
        <f t="shared" si="7"/>
        <v>23.328900000000001</v>
      </c>
      <c r="AA33" s="62">
        <f t="shared" si="8"/>
        <v>23.2515</v>
      </c>
      <c r="AB33" s="59" t="str">
        <f>VLOOKUP(A33,Enforcements!$C$7:$K$13,8,0)</f>
        <v>Bulletin (2)</v>
      </c>
      <c r="AC33" s="55" t="str">
        <f>VLOOKUP(A33,Enforcements!$C$7:$E$13,3,0)</f>
        <v>GRADE CROSSING</v>
      </c>
      <c r="AD33" s="56" t="str">
        <f t="shared" si="9"/>
        <v>0119-17</v>
      </c>
      <c r="AE33" s="85" t="str">
        <f t="shared" si="10"/>
        <v>aws s3 cp s3://rtdc.mdm.uploadarchive.raw/RTDC4054/ "%USERPROFILE%\AppData\Local\Temp\OnboardLogs"\RTDC4054\2017-04-17 --exclude "*" --recursive --include "*20170417*" &amp; "%USERPROFILE%\Documents\GitHub\mrs-test-scripts\Headless Mode &amp; Sideloading\WalkAndUnGZ.bat" "%USERPROFILE%\AppData\Local\Temp\OnboardLogs"\RTDC4054\2017-04-17 &amp; aws s3 cp s3://rtdc.mdm.uploadarchive.raw/RTDC4054/ "%USERPROFILE%\AppData\Local\Temp\OnboardLogs"\RTDC4054\2017-04-18 --exclude "*" --recursive --include "*20170418*" &amp; "%USERPROFILE%\Documents\GitHub\mrs-test-scripts\Headless Mode &amp; Sideloading\WalkAndUnGZ.bat" "%USERPROFILE%\AppData\Local\Temp\OnboardLogs"\RTDC4054\2017-04-18</v>
      </c>
      <c r="AF33" s="82" t="str">
        <f t="shared" si="11"/>
        <v>"C:\Program Files (x86)\AstroGrep\AstroGrep.exe" /e /r /s /spath="%USERPROFILE%\AppData\Local\Temp\OnboardLogs" /stypes="app*4054*20170417*" /stext=" 12:.+((SYSTEM_STATE.+slice.+state.+changed )|(ment ac)|(multiple cpu faults)|(system.+state.+changed )|(\[timeout)|(PRM\|1\|D)|(kpr)|(kdp)|(\|lc)|(penalty))"</v>
      </c>
      <c r="AG33" s="1" t="str">
        <f t="shared" si="12"/>
        <v>EC</v>
      </c>
      <c r="AH33" s="86" t="str">
        <f t="shared" si="17"/>
        <v>"%USERPROFILE%\Documents\GitHub\eaglep3\Utilities\RefineRTDCRunTimes.py" --tripid 119-17 --locoid 4054 --swversion DE.1.0.9.0 --startMP 204:774 --initTime 2017-04-17T05:56:32 --startdatetime 2017-04-17T06:00:21 --delay 1 --endMP 204:233289 --enddatetime 2017-04-17T06:36:20 --enforcementcount 0 &gt;&gt;C:\Users\stu\Documents\GitHub\eaglep3-reporting\EC\2017-04-17-refined-times.txt</v>
      </c>
      <c r="AI33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{"issue":{"subject":"","project_id":79,"tracker_id":40,"status_id":1,"priority_id":2,"assigned_to_id":23,"start_date":"2017-04-17","description":"","custom_fields":[{"id":1,"name":"Subdivision","value":"EC"},{"id":4,"name":"Milepost","value":"23.3289"},{"id":17,"name":"Train ID","value":"119-17"},{"id":16,"name":"Locomotive ID","value":"4054"},{"id":130,"name":"Impact","value":""},{"id":150,"name":"Time of Event (Mountain Time)","value":"06:36:20"},{"id":151,"name":"Denver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19"/>
        <v>start /low /b %USERPROFILE%\Documents\GitHub\eaglep3\Utilities\DownloadLogsFromS3.py --loco 4054 --day 2017-04-17</v>
      </c>
      <c r="AN33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12:36:20"},{"id":29,"name":"Sharepoint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679</v>
      </c>
      <c r="B34" s="7">
        <v>4053</v>
      </c>
      <c r="C34" s="21" t="s">
        <v>213</v>
      </c>
      <c r="D34" s="21" t="s">
        <v>861</v>
      </c>
      <c r="E34" s="13">
        <v>42842.28733796296</v>
      </c>
      <c r="F34" s="13">
        <v>42842.289039351854</v>
      </c>
      <c r="G34" s="7">
        <v>1</v>
      </c>
      <c r="H34" s="21" t="s">
        <v>210</v>
      </c>
      <c r="I34" s="13">
        <v>42842.316655092596</v>
      </c>
      <c r="J34" s="7">
        <v>0</v>
      </c>
      <c r="K34" s="97" t="str">
        <f t="shared" si="0"/>
        <v>4053/4054</v>
      </c>
      <c r="L34" s="21" t="str">
        <f>VLOOKUP(A34,'Trips&amp;Operators'!$C$1:$G$99999,5,FALSE)</f>
        <v>STARKS ANGELINA</v>
      </c>
      <c r="M34" s="6">
        <f t="shared" si="1"/>
        <v>2.7615740742476191E-2</v>
      </c>
      <c r="N34" s="7">
        <f t="shared" si="23"/>
        <v>39.766666669165716</v>
      </c>
      <c r="O34" s="7"/>
      <c r="P34" s="7"/>
      <c r="Q34" s="22"/>
      <c r="R34" s="22"/>
      <c r="S34" s="31">
        <f t="shared" si="24"/>
        <v>1</v>
      </c>
      <c r="T34" s="46" t="str">
        <f t="shared" si="2"/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3"/>
        <v>https://d0f6bd738d7f1b3e5a7ca70fe4ff75f0.us-east-1.aws.found.io/app/kibana#/discover/Steve-Slow-Train-Analysis-(2080s-and-2083s)?_g=(refreshInterval:(display:Off,pause:!f,section:0,value:0),time:(from:'2017-04-17T05:53:46-0600',mode:absolute,to:'2017-04-17T08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4" s="183" t="str">
        <f t="shared" si="4"/>
        <v>N</v>
      </c>
      <c r="X34" s="183">
        <f t="shared" si="5"/>
        <v>1</v>
      </c>
      <c r="Y34" s="62">
        <f t="shared" si="6"/>
        <v>23.297999999999998</v>
      </c>
      <c r="Z34" s="62">
        <f t="shared" si="7"/>
        <v>1.47E-2</v>
      </c>
      <c r="AA34" s="62">
        <f t="shared" si="8"/>
        <v>23.283299999999997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9"/>
        <v>0120-17</v>
      </c>
      <c r="AE34" s="85" t="str">
        <f t="shared" si="10"/>
        <v>aws s3 cp s3://rtdc.mdm.uploadarchive.raw/RTDC4053/ "%USERPROFILE%\AppData\Local\Temp\OnboardLogs"\RTDC4053\2017-04-17 --exclude "*" --recursive --include "*20170417*" &amp; "%USERPROFILE%\Documents\GitHub\mrs-test-scripts\Headless Mode &amp; Sideloading\WalkAndUnGZ.bat" "%USERPROFILE%\AppData\Local\Temp\OnboardLogs"\RTDC4053\2017-04-17 &amp; aws s3 cp s3://rtdc.mdm.uploadarchive.raw/RTDC4053/ "%USERPROFILE%\AppData\Local\Temp\OnboardLogs"\RTDC4053\2017-04-18 --exclude "*" --recursive --include "*20170418*" &amp; "%USERPROFILE%\Documents\GitHub\mrs-test-scripts\Headless Mode &amp; Sideloading\WalkAndUnGZ.bat" "%USERPROFILE%\AppData\Local\Temp\OnboardLogs"\RTDC4053\2017-04-18</v>
      </c>
      <c r="AF34" s="82" t="str">
        <f t="shared" si="11"/>
        <v>"C:\Program Files (x86)\AstroGrep\AstroGrep.exe" /e /r /s /spath="%USERPROFILE%\AppData\Local\Temp\OnboardLogs" /stypes="app*4053*20170417*" /stext=" 13:.+((SYSTEM_STATE.+slice.+state.+changed )|(ment ac)|(multiple cpu faults)|(system.+state.+changed )|(\[timeout)|(PRM\|1\|D)|(kpr)|(kdp)|(\|lc)|(penalty))"</v>
      </c>
      <c r="AG34" s="1" t="str">
        <f t="shared" si="12"/>
        <v>EC</v>
      </c>
      <c r="AH34" s="86" t="str">
        <f t="shared" si="17"/>
        <v>"%USERPROFILE%\Documents\GitHub\eaglep3\Utilities\RefineRTDCRunTimes.py" --tripid 120-17 --locoid 4053 --swversion DE.1.0.9.0 --startMP 204:232980 --initTime 2017-04-17T06:53:46 --startdatetime 2017-04-17T06:56:13 --delay 1 --endMP 204:147 --enddatetime 2017-04-17T07:35:59 --enforcementcount 0 &gt;&gt;C:\Users\stu\Documents\GitHub\eaglep3-reporting\EC\2017-04-17-refined-times.txt</v>
      </c>
      <c r="AI34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{"issue":{"subject":"","project_id":79,"tracker_id":40,"status_id":1,"priority_id":2,"assigned_to_id":23,"start_date":"2017-04-17","description":"","custom_fields":[{"id":1,"name":"Subdivision","value":"EC"},{"id":4,"name":"Milepost","value":"0.0147"},{"id":17,"name":"Train ID","value":"120-17"},{"id":16,"name":"Locomotive ID","value":"4053"},{"id":130,"name":"Impact","value":""},{"id":150,"name":"Time of Event (Mountain Time)","value":"07:35:59"},{"id":151,"name":"Denver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19"/>
        <v>start /low /b %USERPROFILE%\Documents\GitHub\eaglep3\Utilities\DownloadLogsFromS3.py --loco 4053 --day 2017-04-17</v>
      </c>
      <c r="AN34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13:35:59"},{"id":29,"name":"Sharepoint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670</v>
      </c>
      <c r="B35" s="7">
        <v>4016</v>
      </c>
      <c r="C35" s="21" t="s">
        <v>213</v>
      </c>
      <c r="D35" s="21" t="s">
        <v>481</v>
      </c>
      <c r="E35" s="13">
        <v>42842.257245370369</v>
      </c>
      <c r="F35" s="13">
        <v>42842.260613425926</v>
      </c>
      <c r="G35" s="7">
        <v>1</v>
      </c>
      <c r="H35" s="21" t="s">
        <v>570</v>
      </c>
      <c r="I35" s="13">
        <v>42842.286817129629</v>
      </c>
      <c r="J35" s="7">
        <v>0</v>
      </c>
      <c r="K35" s="97" t="str">
        <f t="shared" si="0"/>
        <v>4015/4016</v>
      </c>
      <c r="L35" s="21" t="str">
        <f>VLOOKUP(A35,'Trips&amp;Operators'!$C$1:$G$99999,5,FALSE)</f>
        <v>BONDS REYNALDO</v>
      </c>
      <c r="M35" s="6">
        <f t="shared" si="1"/>
        <v>2.6203703702776693E-2</v>
      </c>
      <c r="N35" s="7">
        <f t="shared" si="23"/>
        <v>37.733333331998438</v>
      </c>
      <c r="O35" s="7"/>
      <c r="P35" s="7"/>
      <c r="Q35" s="22"/>
      <c r="R35" s="22"/>
      <c r="S35" s="31">
        <f t="shared" si="24"/>
        <v>1</v>
      </c>
      <c r="T35" s="46" t="str">
        <f t="shared" si="2"/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3"/>
        <v>https://d0f6bd738d7f1b3e5a7ca70fe4ff75f0.us-east-1.aws.found.io/app/kibana#/discover/Steve-Slow-Train-Analysis-(2080s-and-2083s)?_g=(refreshInterval:(display:Off,pause:!f,section:0,value:0),time:(from:'2017-04-17T05:10:26-0600',mode:absolute,to:'2017-04-17T07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5" s="183" t="str">
        <f t="shared" si="4"/>
        <v>N</v>
      </c>
      <c r="X35" s="183">
        <f t="shared" si="5"/>
        <v>1</v>
      </c>
      <c r="Y35" s="62">
        <f t="shared" si="6"/>
        <v>4.4200000000000003E-2</v>
      </c>
      <c r="Z35" s="62">
        <f t="shared" si="7"/>
        <v>23.3323</v>
      </c>
      <c r="AA35" s="62">
        <f t="shared" si="8"/>
        <v>23.2881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9"/>
        <v>0121-17</v>
      </c>
      <c r="AE35" s="85" t="str">
        <f t="shared" si="10"/>
        <v>aws s3 cp s3://rtdc.mdm.uploadarchive.raw/RTDC4016/ "%USERPROFILE%\AppData\Local\Temp\OnboardLogs"\RTDC4016\2017-04-17 --exclude "*" --recursive --include "*20170417*" &amp; "%USERPROFILE%\Documents\GitHub\mrs-test-scripts\Headless Mode &amp; Sideloading\WalkAndUnGZ.bat" "%USERPROFILE%\AppData\Local\Temp\OnboardLogs"\RTDC4016\2017-04-17 &amp; aws s3 cp s3://rtdc.mdm.uploadarchive.raw/RTDC4016/ "%USERPROFILE%\AppData\Local\Temp\OnboardLogs"\RTDC4016\2017-04-18 --exclude "*" --recursive --include "*20170418*" &amp; "%USERPROFILE%\Documents\GitHub\mrs-test-scripts\Headless Mode &amp; Sideloading\WalkAndUnGZ.bat" "%USERPROFILE%\AppData\Local\Temp\OnboardLogs"\RTDC4016\2017-04-18</v>
      </c>
      <c r="AF35" s="82" t="str">
        <f t="shared" si="11"/>
        <v>"C:\Program Files (x86)\AstroGrep\AstroGrep.exe" /e /r /s /spath="%USERPROFILE%\AppData\Local\Temp\OnboardLogs" /stypes="app*4016*20170417*" /stext=" 12:.+((SYSTEM_STATE.+slice.+state.+changed )|(ment ac)|(multiple cpu faults)|(system.+state.+changed )|(\[timeout)|(PRM\|1\|D)|(kpr)|(kdp)|(\|lc)|(penalty))"</v>
      </c>
      <c r="AG35" s="1" t="str">
        <f t="shared" si="12"/>
        <v>EC</v>
      </c>
      <c r="AH35" s="86" t="str">
        <f t="shared" si="17"/>
        <v>"%USERPROFILE%\Documents\GitHub\eaglep3\Utilities\RefineRTDCRunTimes.py" --tripid 121-17 --locoid 4016 --swversion DE.1.0.9.0 --startMP 204:442 --initTime 2017-04-17T06:10:26 --startdatetime 2017-04-17T06:15:17 --delay 1 --endMP 204:233323 --enddatetime 2017-04-17T06:53:01 --enforcementcount 0 &gt;&gt;C:\Users\stu\Documents\GitHub\eaglep3-reporting\EC\2017-04-17-refined-times.txt</v>
      </c>
      <c r="AI35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{"issue":{"subject":"","project_id":79,"tracker_id":40,"status_id":1,"priority_id":2,"assigned_to_id":23,"start_date":"2017-04-17","description":"","custom_fields":[{"id":1,"name":"Subdivision","value":"EC"},{"id":4,"name":"Milepost","value":"23.3323"},{"id":17,"name":"Train ID","value":"121-17"},{"id":16,"name":"Locomotive ID","value":"4016"},{"id":130,"name":"Impact","value":""},{"id":150,"name":"Time of Event (Mountain Time)","value":"06:53:01"},{"id":151,"name":"Denver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19"/>
        <v>start /low /b %USERPROFILE%\Documents\GitHub\eaglep3\Utilities\DownloadLogsFromS3.py --loco 4016 --day 2017-04-17</v>
      </c>
      <c r="AN35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12:53:01"},{"id":29,"name":"Sharepoint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680</v>
      </c>
      <c r="B36" s="7">
        <v>4015</v>
      </c>
      <c r="C36" s="21" t="s">
        <v>213</v>
      </c>
      <c r="D36" s="21" t="s">
        <v>541</v>
      </c>
      <c r="E36" s="13">
        <v>42842.295381944445</v>
      </c>
      <c r="F36" s="13">
        <v>42842.299456018518</v>
      </c>
      <c r="G36" s="7">
        <v>1</v>
      </c>
      <c r="H36" s="21" t="s">
        <v>477</v>
      </c>
      <c r="I36" s="13">
        <v>42842.327141203707</v>
      </c>
      <c r="J36" s="7">
        <v>0</v>
      </c>
      <c r="K36" s="97" t="str">
        <f t="shared" si="0"/>
        <v>4015/4016</v>
      </c>
      <c r="L36" s="21" t="str">
        <f>VLOOKUP(A36,'Trips&amp;Operators'!$C$1:$G$99999,5,FALSE)</f>
        <v>BONDS REYNALDO</v>
      </c>
      <c r="M36" s="6">
        <f t="shared" si="1"/>
        <v>2.768518518860219E-2</v>
      </c>
      <c r="N36" s="7">
        <f t="shared" si="23"/>
        <v>39.866666671587154</v>
      </c>
      <c r="O36" s="7"/>
      <c r="P36" s="7"/>
      <c r="Q36" s="22"/>
      <c r="R36" s="22"/>
      <c r="S36" s="31">
        <f t="shared" si="24"/>
        <v>1</v>
      </c>
      <c r="T36" s="46" t="str">
        <f t="shared" si="2"/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3"/>
        <v>https://d0f6bd738d7f1b3e5a7ca70fe4ff75f0.us-east-1.aws.found.io/app/kibana#/discover/Steve-Slow-Train-Analysis-(2080s-and-2083s)?_g=(refreshInterval:(display:Off,pause:!f,section:0,value:0),time:(from:'2017-04-17T06:05:21-0600',mode:absolute,to:'2017-04-17T08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6" s="183" t="str">
        <f t="shared" si="4"/>
        <v>N</v>
      </c>
      <c r="X36" s="183">
        <f t="shared" si="5"/>
        <v>1</v>
      </c>
      <c r="Y36" s="62">
        <f t="shared" si="6"/>
        <v>23.3</v>
      </c>
      <c r="Z36" s="62">
        <f t="shared" si="7"/>
        <v>1.43E-2</v>
      </c>
      <c r="AA36" s="62">
        <f t="shared" si="8"/>
        <v>23.285700000000002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9"/>
        <v>0122-17</v>
      </c>
      <c r="AE36" s="85" t="str">
        <f t="shared" si="10"/>
        <v>aws s3 cp s3://rtdc.mdm.uploadarchive.raw/RTDC4015/ "%USERPROFILE%\AppData\Local\Temp\OnboardLogs"\RTDC4015\2017-04-17 --exclude "*" --recursive --include "*20170417*" &amp; "%USERPROFILE%\Documents\GitHub\mrs-test-scripts\Headless Mode &amp; Sideloading\WalkAndUnGZ.bat" "%USERPROFILE%\AppData\Local\Temp\OnboardLogs"\RTDC4015\2017-04-17 &amp; aws s3 cp s3://rtdc.mdm.uploadarchive.raw/RTDC4015/ "%USERPROFILE%\AppData\Local\Temp\OnboardLogs"\RTDC4015\2017-04-18 --exclude "*" --recursive --include "*20170418*" &amp; "%USERPROFILE%\Documents\GitHub\mrs-test-scripts\Headless Mode &amp; Sideloading\WalkAndUnGZ.bat" "%USERPROFILE%\AppData\Local\Temp\OnboardLogs"\RTDC4015\2017-04-18</v>
      </c>
      <c r="AF36" s="82" t="str">
        <f t="shared" si="11"/>
        <v>"C:\Program Files (x86)\AstroGrep\AstroGrep.exe" /e /r /s /spath="%USERPROFILE%\AppData\Local\Temp\OnboardLogs" /stypes="app*4015*20170417*" /stext=" 13:.+((SYSTEM_STATE.+slice.+state.+changed )|(ment ac)|(multiple cpu faults)|(system.+state.+changed )|(\[timeout)|(PRM\|1\|D)|(kpr)|(kdp)|(\|lc)|(penalty))"</v>
      </c>
      <c r="AG36" s="1" t="str">
        <f t="shared" si="12"/>
        <v>EC</v>
      </c>
      <c r="AH36" s="86" t="str">
        <f t="shared" si="17"/>
        <v>"%USERPROFILE%\Documents\GitHub\eaglep3\Utilities\RefineRTDCRunTimes.py" --tripid 122-17 --locoid 4015 --swversion DE.1.0.9.0 --startMP 204:233000 --initTime 2017-04-17T07:05:21 --startdatetime 2017-04-17T07:11:13 --delay 1 --endMP 204:143 --enddatetime 2017-04-17T07:51:05 --enforcementcount 0 &gt;&gt;C:\Users\stu\Documents\GitHub\eaglep3-reporting\EC\2017-04-17-refined-times.txt</v>
      </c>
      <c r="AI36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{"issue":{"subject":"","project_id":79,"tracker_id":40,"status_id":1,"priority_id":2,"assigned_to_id":23,"start_date":"2017-04-17","description":"","custom_fields":[{"id":1,"name":"Subdivision","value":"EC"},{"id":4,"name":"Milepost","value":"0.0143"},{"id":17,"name":"Train ID","value":"122-17"},{"id":16,"name":"Locomotive ID","value":"4015"},{"id":130,"name":"Impact","value":""},{"id":150,"name":"Time of Event (Mountain Time)","value":"07:51:05"},{"id":151,"name":"Denver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19"/>
        <v>start /low /b %USERPROFILE%\Documents\GitHub\eaglep3\Utilities\DownloadLogsFromS3.py --loco 4015 --day 2017-04-17</v>
      </c>
      <c r="AN36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13:51:05"},{"id":29,"name":"Sharepoint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673</v>
      </c>
      <c r="B37" s="7">
        <v>4046</v>
      </c>
      <c r="C37" s="21" t="s">
        <v>213</v>
      </c>
      <c r="D37" s="21" t="s">
        <v>453</v>
      </c>
      <c r="E37" s="13">
        <v>42842.266712962963</v>
      </c>
      <c r="F37" s="13">
        <v>42842.270995370367</v>
      </c>
      <c r="G37" s="7">
        <v>1</v>
      </c>
      <c r="H37" s="21" t="s">
        <v>474</v>
      </c>
      <c r="I37" s="13">
        <v>42842.295763888891</v>
      </c>
      <c r="J37" s="7">
        <v>0</v>
      </c>
      <c r="K37" s="97" t="str">
        <f t="shared" si="0"/>
        <v>4045/4046</v>
      </c>
      <c r="L37" s="21" t="str">
        <f>VLOOKUP(A37,'Trips&amp;Operators'!$C$1:$G$99999,5,FALSE)</f>
        <v>SHOOK JOHN</v>
      </c>
      <c r="M37" s="6">
        <f t="shared" si="1"/>
        <v>2.4768518524069805E-2</v>
      </c>
      <c r="N37" s="7">
        <f t="shared" si="23"/>
        <v>35.666666674660519</v>
      </c>
      <c r="O37" s="7"/>
      <c r="P37" s="7"/>
      <c r="Q37" s="22"/>
      <c r="R37" s="22"/>
      <c r="S37" s="31">
        <f t="shared" si="24"/>
        <v>1</v>
      </c>
      <c r="T37" s="46" t="str">
        <f t="shared" si="2"/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3"/>
        <v>https://d0f6bd738d7f1b3e5a7ca70fe4ff75f0.us-east-1.aws.found.io/app/kibana#/discover/Steve-Slow-Train-Analysis-(2080s-and-2083s)?_g=(refreshInterval:(display:Off,pause:!f,section:0,value:0),time:(from:'2017-04-17T05:24:04-0600',mode:absolute,to:'2017-04-17T08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7" s="183" t="str">
        <f t="shared" si="4"/>
        <v>N</v>
      </c>
      <c r="X37" s="183">
        <f t="shared" si="5"/>
        <v>1</v>
      </c>
      <c r="Y37" s="62">
        <f t="shared" si="6"/>
        <v>4.6699999999999998E-2</v>
      </c>
      <c r="Z37" s="62">
        <f t="shared" si="7"/>
        <v>23.330300000000001</v>
      </c>
      <c r="AA37" s="62">
        <f t="shared" si="8"/>
        <v>23.2836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9"/>
        <v>0123-17</v>
      </c>
      <c r="AE37" s="85" t="str">
        <f t="shared" si="10"/>
        <v>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 &amp; aws s3 cp s3://rtdc.mdm.uploadarchive.raw/RTDC4046/ "%USERPROFILE%\AppData\Local\Temp\OnboardLogs"\RTDC4046\2017-04-18 --exclude "*" --recursive --include "*20170418*" &amp; "%USERPROFILE%\Documents\GitHub\mrs-test-scripts\Headless Mode &amp; Sideloading\WalkAndUnGZ.bat" "%USERPROFILE%\AppData\Local\Temp\OnboardLogs"\RTDC4046\2017-04-18</v>
      </c>
      <c r="AF37" s="82" t="str">
        <f t="shared" si="11"/>
        <v>"C:\Program Files (x86)\AstroGrep\AstroGrep.exe" /e /r /s /spath="%USERPROFILE%\AppData\Local\Temp\OnboardLogs" /stypes="app*4046*20170417*" /stext=" 13:.+((SYSTEM_STATE.+slice.+state.+changed )|(ment ac)|(multiple cpu faults)|(system.+state.+changed )|(\[timeout)|(PRM\|1\|D)|(kpr)|(kdp)|(\|lc)|(penalty))"</v>
      </c>
      <c r="AG37" s="1" t="str">
        <f t="shared" si="12"/>
        <v>EC</v>
      </c>
      <c r="AH37" s="86" t="str">
        <f t="shared" si="17"/>
        <v>"%USERPROFILE%\Documents\GitHub\eaglep3\Utilities\RefineRTDCRunTimes.py" --tripid 123-17 --locoid 4046 --swversion DE.1.0.9.0 --startMP 204:467 --initTime 2017-04-17T06:24:04 --startdatetime 2017-04-17T06:30:14 --delay 1 --endMP 204:233303 --enddatetime 2017-04-17T07:05:54 --enforcementcount 0 &gt;&gt;C:\Users\stu\Documents\GitHub\eaglep3-reporting\EC\2017-04-17-refined-times.txt</v>
      </c>
      <c r="AI37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{"issue":{"subject":"","project_id":79,"tracker_id":40,"status_id":1,"priority_id":2,"assigned_to_id":23,"start_date":"2017-04-17","description":"","custom_fields":[{"id":1,"name":"Subdivision","value":"EC"},{"id":4,"name":"Milepost","value":"23.3303"},{"id":17,"name":"Train ID","value":"123-17"},{"id":16,"name":"Locomotive ID","value":"4046"},{"id":130,"name":"Impact","value":""},{"id":150,"name":"Time of Event (Mountain Time)","value":"07:05:54"},{"id":151,"name":"Denver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19"/>
        <v>start /low /b %USERPROFILE%\Documents\GitHub\eaglep3\Utilities\DownloadLogsFromS3.py --loco 4046 --day 2017-04-17</v>
      </c>
      <c r="AN37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13:05:54"},{"id":29,"name":"Sharepoint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681</v>
      </c>
      <c r="B38" s="7">
        <v>4045</v>
      </c>
      <c r="C38" s="21" t="s">
        <v>213</v>
      </c>
      <c r="D38" s="21" t="s">
        <v>485</v>
      </c>
      <c r="E38" s="13">
        <v>42842.297465277778</v>
      </c>
      <c r="F38" s="13">
        <v>42842.309872685182</v>
      </c>
      <c r="G38" s="7">
        <v>1</v>
      </c>
      <c r="H38" s="21" t="s">
        <v>210</v>
      </c>
      <c r="I38" s="13">
        <v>42842.337604166663</v>
      </c>
      <c r="J38" s="7">
        <v>0</v>
      </c>
      <c r="K38" s="97" t="str">
        <f t="shared" si="0"/>
        <v>4045/4046</v>
      </c>
      <c r="L38" s="21" t="str">
        <f>VLOOKUP(A38,'Trips&amp;Operators'!$C$1:$G$99999,5,FALSE)</f>
        <v>SHOOK JOHN</v>
      </c>
      <c r="M38" s="6">
        <f t="shared" si="1"/>
        <v>2.7731481481168885E-2</v>
      </c>
      <c r="N38" s="7">
        <f t="shared" si="23"/>
        <v>39.933333332883194</v>
      </c>
      <c r="O38" s="7"/>
      <c r="P38" s="7"/>
      <c r="Q38" s="22"/>
      <c r="R38" s="22"/>
      <c r="S38" s="31">
        <f t="shared" si="24"/>
        <v>1</v>
      </c>
      <c r="T38" s="46" t="str">
        <f t="shared" si="2"/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3"/>
        <v>https://d0f6bd738d7f1b3e5a7ca70fe4ff75f0.us-east-1.aws.found.io/app/kibana#/discover/Steve-Slow-Train-Analysis-(2080s-and-2083s)?_g=(refreshInterval:(display:Off,pause:!f,section:0,value:0),time:(from:'2017-04-17T06:08:21-0600',mode:absolute,to:'2017-04-17T09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8" s="183" t="str">
        <f t="shared" si="4"/>
        <v>N</v>
      </c>
      <c r="X38" s="183">
        <f t="shared" si="5"/>
        <v>1</v>
      </c>
      <c r="Y38" s="62">
        <f t="shared" si="6"/>
        <v>23.2986</v>
      </c>
      <c r="Z38" s="62">
        <f t="shared" si="7"/>
        <v>1.47E-2</v>
      </c>
      <c r="AA38" s="62">
        <f t="shared" si="8"/>
        <v>23.283899999999999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9"/>
        <v>0124-17</v>
      </c>
      <c r="AE38" s="85" t="str">
        <f t="shared" si="10"/>
        <v>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 &amp; aws s3 cp s3://rtdc.mdm.uploadarchive.raw/RTDC4045/ "%USERPROFILE%\AppData\Local\Temp\OnboardLogs"\RTDC4045\2017-04-18 --exclude "*" --recursive --include "*20170418*" &amp; "%USERPROFILE%\Documents\GitHub\mrs-test-scripts\Headless Mode &amp; Sideloading\WalkAndUnGZ.bat" "%USERPROFILE%\AppData\Local\Temp\OnboardLogs"\RTDC4045\2017-04-18</v>
      </c>
      <c r="AF38" s="82" t="str">
        <f t="shared" si="11"/>
        <v>"C:\Program Files (x86)\AstroGrep\AstroGrep.exe" /e /r /s /spath="%USERPROFILE%\AppData\Local\Temp\OnboardLogs" /stypes="app*4045*20170417*" /stext=" 14:.+((SYSTEM_STATE.+slice.+state.+changed )|(ment ac)|(multiple cpu faults)|(system.+state.+changed )|(\[timeout)|(PRM\|1\|D)|(kpr)|(kdp)|(\|lc)|(penalty))"</v>
      </c>
      <c r="AG38" s="1" t="str">
        <f t="shared" si="12"/>
        <v>EC</v>
      </c>
      <c r="AH38" s="86" t="str">
        <f t="shared" si="17"/>
        <v>"%USERPROFILE%\Documents\GitHub\eaglep3\Utilities\RefineRTDCRunTimes.py" --tripid 124-17 --locoid 4045 --swversion DE.1.0.9.0 --startMP 204:232986 --initTime 2017-04-17T07:08:21 --startdatetime 2017-04-17T07:26:13 --delay 1 --endMP 204:147 --enddatetime 2017-04-17T08:06:09 --enforcementcount 0 &gt;&gt;C:\Users\stu\Documents\GitHub\eaglep3-reporting\EC\2017-04-17-refined-times.txt</v>
      </c>
      <c r="AI38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{"issue":{"subject":"","project_id":79,"tracker_id":40,"status_id":1,"priority_id":2,"assigned_to_id":23,"start_date":"2017-04-17","description":"","custom_fields":[{"id":1,"name":"Subdivision","value":"EC"},{"id":4,"name":"Milepost","value":"0.0147"},{"id":17,"name":"Train ID","value":"124-17"},{"id":16,"name":"Locomotive ID","value":"4045"},{"id":130,"name":"Impact","value":""},{"id":150,"name":"Time of Event (Mountain Time)","value":"08:06:09"},{"id":151,"name":"Denver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19"/>
        <v>start /low /b %USERPROFILE%\Documents\GitHub\eaglep3\Utilities\DownloadLogsFromS3.py --loco 4045 --day 2017-04-17</v>
      </c>
      <c r="AN38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14:06:09"},{"id":29,"name":"Sharepoint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676</v>
      </c>
      <c r="B39" s="7">
        <v>4008</v>
      </c>
      <c r="C39" s="21" t="s">
        <v>213</v>
      </c>
      <c r="D39" s="21" t="s">
        <v>481</v>
      </c>
      <c r="E39" s="13">
        <v>42842.274884259263</v>
      </c>
      <c r="F39" s="13">
        <v>42842.281423611108</v>
      </c>
      <c r="G39" s="7">
        <v>1</v>
      </c>
      <c r="H39" s="21" t="s">
        <v>862</v>
      </c>
      <c r="I39" s="13">
        <v>42842.30605324074</v>
      </c>
      <c r="J39" s="7">
        <v>0</v>
      </c>
      <c r="K39" s="97" t="str">
        <f t="shared" si="0"/>
        <v>4007/4008</v>
      </c>
      <c r="L39" s="21" t="str">
        <f>VLOOKUP(A39,'Trips&amp;Operators'!$C$1:$G$99999,5,FALSE)</f>
        <v>YORK EDGAR</v>
      </c>
      <c r="M39" s="6">
        <f t="shared" si="1"/>
        <v>2.4629629631817807E-2</v>
      </c>
      <c r="N39" s="7">
        <f t="shared" si="23"/>
        <v>35.466666669817641</v>
      </c>
      <c r="O39" s="7"/>
      <c r="P39" s="7"/>
      <c r="Q39" s="22"/>
      <c r="R39" s="22"/>
      <c r="S39" s="31">
        <f t="shared" si="24"/>
        <v>1</v>
      </c>
      <c r="T39" s="46" t="str">
        <f t="shared" si="2"/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3"/>
        <v>https://d0f6bd738d7f1b3e5a7ca70fe4ff75f0.us-east-1.aws.found.io/app/kibana#/discover/Steve-Slow-Train-Analysis-(2080s-and-2083s)?_g=(refreshInterval:(display:Off,pause:!f,section:0,value:0),time:(from:'2017-04-17T05:35:50-0600',mode:absolute,to:'2017-04-17T08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9" s="183" t="str">
        <f t="shared" si="4"/>
        <v>N</v>
      </c>
      <c r="X39" s="183">
        <f t="shared" si="5"/>
        <v>1</v>
      </c>
      <c r="Y39" s="62">
        <f t="shared" si="6"/>
        <v>4.4200000000000003E-2</v>
      </c>
      <c r="Z39" s="62">
        <f t="shared" si="7"/>
        <v>23.3276</v>
      </c>
      <c r="AA39" s="62">
        <f t="shared" si="8"/>
        <v>23.2834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9"/>
        <v>0125-17</v>
      </c>
      <c r="AE39" s="85" t="str">
        <f t="shared" si="10"/>
        <v>aws s3 cp s3://rtdc.mdm.uploadarchive.raw/RTDC4008/ "%USERPROFILE%\AppData\Local\Temp\OnboardLogs"\RTDC4008\2017-04-17 --exclude "*" --recursive --include "*20170417*" &amp; "%USERPROFILE%\Documents\GitHub\mrs-test-scripts\Headless Mode &amp; Sideloading\WalkAndUnGZ.bat" "%USERPROFILE%\AppData\Local\Temp\OnboardLogs"\RTDC4008\2017-04-17 &amp; aws s3 cp s3://rtdc.mdm.uploadarchive.raw/RTDC4008/ "%USERPROFILE%\AppData\Local\Temp\OnboardLogs"\RTDC4008\2017-04-18 --exclude "*" --recursive --include "*20170418*" &amp; "%USERPROFILE%\Documents\GitHub\mrs-test-scripts\Headless Mode &amp; Sideloading\WalkAndUnGZ.bat" "%USERPROFILE%\AppData\Local\Temp\OnboardLogs"\RTDC4008\2017-04-18</v>
      </c>
      <c r="AF39" s="82" t="str">
        <f t="shared" si="11"/>
        <v>"C:\Program Files (x86)\AstroGrep\AstroGrep.exe" /e /r /s /spath="%USERPROFILE%\AppData\Local\Temp\OnboardLogs" /stypes="app*4008*20170417*" /stext=" 13:.+((SYSTEM_STATE.+slice.+state.+changed )|(ment ac)|(multiple cpu faults)|(system.+state.+changed )|(\[timeout)|(PRM\|1\|D)|(kpr)|(kdp)|(\|lc)|(penalty))"</v>
      </c>
      <c r="AG39" s="1" t="str">
        <f t="shared" si="12"/>
        <v>EC</v>
      </c>
      <c r="AH39" s="86" t="str">
        <f t="shared" si="17"/>
        <v>"%USERPROFILE%\Documents\GitHub\eaglep3\Utilities\RefineRTDCRunTimes.py" --tripid 125-17 --locoid 4008 --swversion DE.1.0.9.0 --startMP 204:442 --initTime 2017-04-17T06:35:50 --startdatetime 2017-04-17T06:45:15 --delay 1 --endMP 204:233276 --enddatetime 2017-04-17T07:20:43 --enforcementcount 0 &gt;&gt;C:\Users\stu\Documents\GitHub\eaglep3-reporting\EC\2017-04-17-refined-times.txt</v>
      </c>
      <c r="AI39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{"issue":{"subject":"","project_id":79,"tracker_id":40,"status_id":1,"priority_id":2,"assigned_to_id":23,"start_date":"2017-04-17","description":"","custom_fields":[{"id":1,"name":"Subdivision","value":"EC"},{"id":4,"name":"Milepost","value":"23.3276"},{"id":17,"name":"Train ID","value":"125-17"},{"id":16,"name":"Locomotive ID","value":"4008"},{"id":130,"name":"Impact","value":""},{"id":150,"name":"Time of Event (Mountain Time)","value":"07:20:43"},{"id":151,"name":"Denver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19"/>
        <v>start /low /b %USERPROFILE%\Documents\GitHub\eaglep3\Utilities\DownloadLogsFromS3.py --loco 4008 --day 2017-04-17</v>
      </c>
      <c r="AN39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13:20:43"},{"id":29,"name":"Sharepoint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612</v>
      </c>
      <c r="B40" s="7">
        <v>4007</v>
      </c>
      <c r="C40" s="21" t="s">
        <v>213</v>
      </c>
      <c r="D40" s="21" t="s">
        <v>863</v>
      </c>
      <c r="E40" s="13">
        <v>42842.306921296295</v>
      </c>
      <c r="F40" s="13">
        <v>42842.320405092592</v>
      </c>
      <c r="G40" s="7">
        <v>1</v>
      </c>
      <c r="H40" s="21" t="s">
        <v>198</v>
      </c>
      <c r="I40" s="13">
        <v>42842.347372685188</v>
      </c>
      <c r="J40" s="7">
        <v>0</v>
      </c>
      <c r="K40" s="97" t="str">
        <f t="shared" si="0"/>
        <v>4007/4008</v>
      </c>
      <c r="L40" s="21" t="str">
        <f>VLOOKUP(A40,'Trips&amp;Operators'!$C$1:$G$99999,5,FALSE)</f>
        <v>YORK EDGAR</v>
      </c>
      <c r="M40" s="6">
        <f t="shared" si="1"/>
        <v>2.6967592595610768E-2</v>
      </c>
      <c r="N40" s="7">
        <f t="shared" si="23"/>
        <v>38.833333337679505</v>
      </c>
      <c r="O40" s="7"/>
      <c r="P40" s="7"/>
      <c r="Q40" s="22"/>
      <c r="R40" s="22"/>
      <c r="S40" s="31">
        <f t="shared" si="24"/>
        <v>1</v>
      </c>
      <c r="T40" s="46" t="str">
        <f t="shared" si="2"/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3"/>
        <v>https://d0f6bd738d7f1b3e5a7ca70fe4ff75f0.us-east-1.aws.found.io/app/kibana#/discover/Steve-Slow-Train-Analysis-(2080s-and-2083s)?_g=(refreshInterval:(display:Off,pause:!f,section:0,value:0),time:(from:'2017-04-17T06:21:58-0600',mode:absolute,to:'2017-04-17T09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0" s="183" t="str">
        <f t="shared" si="4"/>
        <v>N</v>
      </c>
      <c r="X40" s="183">
        <f t="shared" si="5"/>
        <v>1</v>
      </c>
      <c r="Y40" s="62">
        <f t="shared" si="6"/>
        <v>23.296399999999998</v>
      </c>
      <c r="Z40" s="62">
        <f t="shared" si="7"/>
        <v>1.5800000000000002E-2</v>
      </c>
      <c r="AA40" s="62">
        <f t="shared" si="8"/>
        <v>23.2806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9"/>
        <v>0126-17</v>
      </c>
      <c r="AE40" s="85" t="str">
        <f t="shared" si="10"/>
        <v>aws s3 cp s3://rtdc.mdm.uploadarchive.raw/RTDC4007/ "%USERPROFILE%\AppData\Local\Temp\OnboardLogs"\RTDC4007\2017-04-17 --exclude "*" --recursive --include "*20170417*" &amp; "%USERPROFILE%\Documents\GitHub\mrs-test-scripts\Headless Mode &amp; Sideloading\WalkAndUnGZ.bat" "%USERPROFILE%\AppData\Local\Temp\OnboardLogs"\RTDC4007\2017-04-17 &amp; aws s3 cp s3://rtdc.mdm.uploadarchive.raw/RTDC4007/ "%USERPROFILE%\AppData\Local\Temp\OnboardLogs"\RTDC4007\2017-04-18 --exclude "*" --recursive --include "*20170418*" &amp; "%USERPROFILE%\Documents\GitHub\mrs-test-scripts\Headless Mode &amp; Sideloading\WalkAndUnGZ.bat" "%USERPROFILE%\AppData\Local\Temp\OnboardLogs"\RTDC4007\2017-04-18</v>
      </c>
      <c r="AF40" s="82" t="str">
        <f t="shared" si="11"/>
        <v>"C:\Program Files (x86)\AstroGrep\AstroGrep.exe" /e /r /s /spath="%USERPROFILE%\AppData\Local\Temp\OnboardLogs" /stypes="app*4007*20170417*" /stext=" 14:.+((SYSTEM_STATE.+slice.+state.+changed )|(ment ac)|(multiple cpu faults)|(system.+state.+changed )|(\[timeout)|(PRM\|1\|D)|(kpr)|(kdp)|(\|lc)|(penalty))"</v>
      </c>
      <c r="AG40" s="1" t="str">
        <f t="shared" si="12"/>
        <v>EC</v>
      </c>
      <c r="AH40" s="86" t="str">
        <f t="shared" si="17"/>
        <v>"%USERPROFILE%\Documents\GitHub\eaglep3\Utilities\RefineRTDCRunTimes.py" --tripid 126-17 --locoid 4007 --swversion DE.1.0.9.0 --startMP 204:232964 --initTime 2017-04-17T07:21:58 --startdatetime 2017-04-17T07:41:23 --delay 1 --endMP 204:158 --enddatetime 2017-04-17T08:20:13 --enforcementcount 0 &gt;&gt;C:\Users\stu\Documents\GitHub\eaglep3-reporting\EC\2017-04-17-refined-times.txt</v>
      </c>
      <c r="AI40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{"issue":{"subject":"","project_id":79,"tracker_id":40,"status_id":1,"priority_id":2,"assigned_to_id":23,"start_date":"2017-04-17","description":"","custom_fields":[{"id":1,"name":"Subdivision","value":"EC"},{"id":4,"name":"Milepost","value":"0.0158"},{"id":17,"name":"Train ID","value":"126-17"},{"id":16,"name":"Locomotive ID","value":"4007"},{"id":130,"name":"Impact","value":""},{"id":150,"name":"Time of Event (Mountain Time)","value":"08:20:13"},{"id":151,"name":"Denver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19"/>
        <v>start /low /b %USERPROFILE%\Documents\GitHub\eaglep3\Utilities\DownloadLogsFromS3.py --loco 4007 --day 2017-04-17</v>
      </c>
      <c r="AN40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14:20:13"},{"id":29,"name":"Sharepoint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678</v>
      </c>
      <c r="B41" s="7">
        <v>4002</v>
      </c>
      <c r="C41" s="21" t="s">
        <v>213</v>
      </c>
      <c r="D41" s="21" t="s">
        <v>528</v>
      </c>
      <c r="E41" s="13">
        <v>42842.286481481482</v>
      </c>
      <c r="F41" s="13">
        <v>42842.291851851849</v>
      </c>
      <c r="G41" s="7">
        <v>1</v>
      </c>
      <c r="H41" s="21" t="s">
        <v>533</v>
      </c>
      <c r="I41" s="13">
        <v>42842.316377314812</v>
      </c>
      <c r="J41" s="7">
        <v>0</v>
      </c>
      <c r="K41" s="97" t="str">
        <f t="shared" si="0"/>
        <v>4001/4002</v>
      </c>
      <c r="L41" s="21" t="str">
        <f>VLOOKUP(A41,'Trips&amp;Operators'!$C$1:$G$99999,5,FALSE)</f>
        <v>SANTIZO D. EDY</v>
      </c>
      <c r="M41" s="6">
        <f t="shared" si="1"/>
        <v>2.4525462962628808E-2</v>
      </c>
      <c r="N41" s="7">
        <f t="shared" si="23"/>
        <v>35.316666666185483</v>
      </c>
      <c r="O41" s="7"/>
      <c r="P41" s="7"/>
      <c r="Q41" s="22"/>
      <c r="R41" s="22"/>
      <c r="S41" s="31">
        <f t="shared" si="24"/>
        <v>1</v>
      </c>
      <c r="T41" s="46" t="str">
        <f t="shared" si="2"/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3"/>
        <v>https://d0f6bd738d7f1b3e5a7ca70fe4ff75f0.us-east-1.aws.found.io/app/kibana#/discover/Steve-Slow-Train-Analysis-(2080s-and-2083s)?_g=(refreshInterval:(display:Off,pause:!f,section:0,value:0),time:(from:'2017-04-17T05:52:32-0600',mode:absolute,to:'2017-04-17T08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1" s="183" t="str">
        <f t="shared" si="4"/>
        <v>N</v>
      </c>
      <c r="X41" s="183">
        <f t="shared" si="5"/>
        <v>1</v>
      </c>
      <c r="Y41" s="62">
        <f t="shared" si="6"/>
        <v>4.8399999999999999E-2</v>
      </c>
      <c r="Z41" s="62">
        <f t="shared" si="7"/>
        <v>23.329899999999999</v>
      </c>
      <c r="AA41" s="62">
        <f t="shared" si="8"/>
        <v>23.281499999999998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9"/>
        <v>0127-17</v>
      </c>
      <c r="AE41" s="85" t="str">
        <f t="shared" si="10"/>
        <v>aws s3 cp s3://rtdc.mdm.uploadarchive.raw/RTDC4002/ "%USERPROFILE%\AppData\Local\Temp\OnboardLogs"\RTDC4002\2017-04-17 --exclude "*" --recursive --include "*20170417*" &amp; "%USERPROFILE%\Documents\GitHub\mrs-test-scripts\Headless Mode &amp; Sideloading\WalkAndUnGZ.bat" "%USERPROFILE%\AppData\Local\Temp\OnboardLogs"\RTDC4002\2017-04-17 &amp; aws s3 cp s3://rtdc.mdm.uploadarchive.raw/RTDC4002/ "%USERPROFILE%\AppData\Local\Temp\OnboardLogs"\RTDC4002\2017-04-18 --exclude "*" --recursive --include "*20170418*" &amp; "%USERPROFILE%\Documents\GitHub\mrs-test-scripts\Headless Mode &amp; Sideloading\WalkAndUnGZ.bat" "%USERPROFILE%\AppData\Local\Temp\OnboardLogs"\RTDC4002\2017-04-18</v>
      </c>
      <c r="AF41" s="82" t="str">
        <f t="shared" si="11"/>
        <v>"C:\Program Files (x86)\AstroGrep\AstroGrep.exe" /e /r /s /spath="%USERPROFILE%\AppData\Local\Temp\OnboardLogs" /stypes="app*4002*20170417*" /stext=" 13:.+((SYSTEM_STATE.+slice.+state.+changed )|(ment ac)|(multiple cpu faults)|(system.+state.+changed )|(\[timeout)|(PRM\|1\|D)|(kpr)|(kdp)|(\|lc)|(penalty))"</v>
      </c>
      <c r="AG41" s="1" t="str">
        <f t="shared" si="12"/>
        <v>EC</v>
      </c>
      <c r="AH41" s="86" t="str">
        <f t="shared" si="17"/>
        <v>"%USERPROFILE%\Documents\GitHub\eaglep3\Utilities\RefineRTDCRunTimes.py" --tripid 127-17 --locoid 4002 --swversion DE.1.0.9.0 --startMP 204:484 --initTime 2017-04-17T06:52:32 --startdatetime 2017-04-17T07:00:16 --delay 1 --endMP 204:233299 --enddatetime 2017-04-17T07:35:35 --enforcementcount 0 &gt;&gt;C:\Users\stu\Documents\GitHub\eaglep3-reporting\EC\2017-04-17-refined-times.txt</v>
      </c>
      <c r="AI41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{"issue":{"subject":"","project_id":79,"tracker_id":40,"status_id":1,"priority_id":2,"assigned_to_id":23,"start_date":"2017-04-17","description":"","custom_fields":[{"id":1,"name":"Subdivision","value":"EC"},{"id":4,"name":"Milepost","value":"23.3299"},{"id":17,"name":"Train ID","value":"127-17"},{"id":16,"name":"Locomotive ID","value":"4002"},{"id":130,"name":"Impact","value":""},{"id":150,"name":"Time of Event (Mountain Time)","value":"07:35:35"},{"id":151,"name":"Denver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19"/>
        <v>start /low /b %USERPROFILE%\Documents\GitHub\eaglep3\Utilities\DownloadLogsFromS3.py --loco 4002 --day 2017-04-17</v>
      </c>
      <c r="AN41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13:35:35"},{"id":29,"name":"Sharepoint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687</v>
      </c>
      <c r="B42" s="7">
        <v>4001</v>
      </c>
      <c r="C42" s="21" t="s">
        <v>213</v>
      </c>
      <c r="D42" s="21" t="s">
        <v>491</v>
      </c>
      <c r="E42" s="13">
        <v>42842.317881944444</v>
      </c>
      <c r="F42" s="13">
        <v>42842.33079861111</v>
      </c>
      <c r="G42" s="7">
        <v>1</v>
      </c>
      <c r="H42" s="21" t="s">
        <v>577</v>
      </c>
      <c r="I42" s="13">
        <v>42842.35659722222</v>
      </c>
      <c r="J42" s="7">
        <v>0</v>
      </c>
      <c r="K42" s="97" t="str">
        <f t="shared" si="0"/>
        <v>4001/4002</v>
      </c>
      <c r="L42" s="21" t="str">
        <f>VLOOKUP(A42,'Trips&amp;Operators'!$C$1:$G$99999,5,FALSE)</f>
        <v>SANTIZO D. EDY</v>
      </c>
      <c r="M42" s="6">
        <f t="shared" si="1"/>
        <v>2.5798611110076308E-2</v>
      </c>
      <c r="N42" s="7">
        <f t="shared" si="23"/>
        <v>37.149999998509884</v>
      </c>
      <c r="O42" s="7"/>
      <c r="P42" s="7"/>
      <c r="Q42" s="22"/>
      <c r="R42" s="22"/>
      <c r="S42" s="31">
        <f t="shared" si="24"/>
        <v>1</v>
      </c>
      <c r="T42" s="46" t="str">
        <f t="shared" si="2"/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 t="shared" si="3"/>
        <v>https://d0f6bd738d7f1b3e5a7ca70fe4ff75f0.us-east-1.aws.found.io/app/kibana#/discover/Steve-Slow-Train-Analysis-(2080s-and-2083s)?_g=(refreshInterval:(display:Off,pause:!f,section:0,value:0),time:(from:'2017-04-17T06:37:45-0600',mode:absolute,to:'2017-04-17T09:33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2" s="183" t="str">
        <f t="shared" si="4"/>
        <v>N</v>
      </c>
      <c r="X42" s="183">
        <f t="shared" si="5"/>
        <v>1</v>
      </c>
      <c r="Y42" s="62">
        <f t="shared" si="6"/>
        <v>23.298200000000001</v>
      </c>
      <c r="Z42" s="62">
        <f t="shared" si="7"/>
        <v>1.2999999999999999E-2</v>
      </c>
      <c r="AA42" s="62">
        <f t="shared" si="8"/>
        <v>23.2852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9"/>
        <v>0128-17</v>
      </c>
      <c r="AE42" s="85" t="str">
        <f t="shared" si="10"/>
        <v>aws s3 cp s3://rtdc.mdm.uploadarchive.raw/RTDC4001/ "%USERPROFILE%\AppData\Local\Temp\OnboardLogs"\RTDC4001\2017-04-17 --exclude "*" --recursive --include "*20170417*" &amp; "%USERPROFILE%\Documents\GitHub\mrs-test-scripts\Headless Mode &amp; Sideloading\WalkAndUnGZ.bat" "%USERPROFILE%\AppData\Local\Temp\OnboardLogs"\RTDC4001\2017-04-17 &amp; aws s3 cp s3://rtdc.mdm.uploadarchive.raw/RTDC4001/ "%USERPROFILE%\AppData\Local\Temp\OnboardLogs"\RTDC4001\2017-04-18 --exclude "*" --recursive --include "*20170418*" &amp; "%USERPROFILE%\Documents\GitHub\mrs-test-scripts\Headless Mode &amp; Sideloading\WalkAndUnGZ.bat" "%USERPROFILE%\AppData\Local\Temp\OnboardLogs"\RTDC4001\2017-04-18</v>
      </c>
      <c r="AF42" s="82" t="str">
        <f t="shared" si="11"/>
        <v>"C:\Program Files (x86)\AstroGrep\AstroGrep.exe" /e /r /s /spath="%USERPROFILE%\AppData\Local\Temp\OnboardLogs" /stypes="app*4001*20170417*" /stext=" 14:.+((SYSTEM_STATE.+slice.+state.+changed )|(ment ac)|(multiple cpu faults)|(system.+state.+changed )|(\[timeout)|(PRM\|1\|D)|(kpr)|(kdp)|(\|lc)|(penalty))"</v>
      </c>
      <c r="AG42" s="1" t="str">
        <f t="shared" si="12"/>
        <v>EC</v>
      </c>
      <c r="AH42" s="86" t="str">
        <f t="shared" si="17"/>
        <v>"%USERPROFILE%\Documents\GitHub\eaglep3\Utilities\RefineRTDCRunTimes.py" --tripid 128-17 --locoid 4001 --swversion DE.1.0.9.0 --startMP 204:232982 --initTime 2017-04-17T07:37:45 --startdatetime 2017-04-17T07:56:21 --delay 1 --endMP 204:130 --enddatetime 2017-04-17T08:33:30 --enforcementcount 0 &gt;&gt;C:\Users\stu\Documents\GitHub\eaglep3-reporting\EC\2017-04-17-refined-times.txt</v>
      </c>
      <c r="AI42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{"issue":{"subject":"","project_id":79,"tracker_id":40,"status_id":1,"priority_id":2,"assigned_to_id":23,"start_date":"2017-04-17","description":"","custom_fields":[{"id":1,"name":"Subdivision","value":"EC"},{"id":4,"name":"Milepost","value":"0.013"},{"id":17,"name":"Train ID","value":"128-17"},{"id":16,"name":"Locomotive ID","value":"4001"},{"id":130,"name":"Impact","value":""},{"id":150,"name":"Time of Event (Mountain Time)","value":"08:33:30"},{"id":151,"name":"Denver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19"/>
        <v>start /low /b %USERPROFILE%\Documents\GitHub\eaglep3\Utilities\DownloadLogsFromS3.py --loco 4001 --day 2017-04-17</v>
      </c>
      <c r="AN42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14:33:30"},{"id":29,"name":"Sharepoint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682</v>
      </c>
      <c r="B43" s="7">
        <v>4052</v>
      </c>
      <c r="C43" s="21" t="s">
        <v>213</v>
      </c>
      <c r="D43" s="21" t="s">
        <v>417</v>
      </c>
      <c r="E43" s="13">
        <v>42842.297766203701</v>
      </c>
      <c r="F43" s="13">
        <v>42842.302256944444</v>
      </c>
      <c r="G43" s="7">
        <v>1</v>
      </c>
      <c r="H43" s="21" t="s">
        <v>575</v>
      </c>
      <c r="I43" s="13">
        <v>42842.327164351853</v>
      </c>
      <c r="J43" s="7">
        <v>0</v>
      </c>
      <c r="K43" s="97" t="str">
        <f t="shared" si="0"/>
        <v>4051/4052</v>
      </c>
      <c r="L43" s="21" t="str">
        <f>VLOOKUP(A43,'Trips&amp;Operators'!$C$1:$G$99999,5,FALSE)</f>
        <v>ROBINSON KADDIBA</v>
      </c>
      <c r="M43" s="6">
        <f t="shared" si="1"/>
        <v>2.4907407409045845E-2</v>
      </c>
      <c r="N43" s="7">
        <f t="shared" si="23"/>
        <v>35.866666669026017</v>
      </c>
      <c r="O43" s="7"/>
      <c r="P43" s="7"/>
      <c r="Q43" s="22"/>
      <c r="R43" s="22"/>
      <c r="S43" s="31">
        <f t="shared" si="24"/>
        <v>1</v>
      </c>
      <c r="T43" s="46" t="str">
        <f t="shared" si="2"/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si="3"/>
        <v>https://d0f6bd738d7f1b3e5a7ca70fe4ff75f0.us-east-1.aws.found.io/app/kibana#/discover/Steve-Slow-Train-Analysis-(2080s-and-2083s)?_g=(refreshInterval:(display:Off,pause:!f,section:0,value:0),time:(from:'2017-04-17T06:08:47-0600',mode:absolute,to:'2017-04-17T08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3" s="183" t="str">
        <f t="shared" si="4"/>
        <v>N</v>
      </c>
      <c r="X43" s="183">
        <f t="shared" si="5"/>
        <v>1</v>
      </c>
      <c r="Y43" s="62">
        <f t="shared" si="6"/>
        <v>4.58E-2</v>
      </c>
      <c r="Z43" s="62">
        <f t="shared" si="7"/>
        <v>23.33</v>
      </c>
      <c r="AA43" s="62">
        <f t="shared" si="8"/>
        <v>23.284199999999998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9"/>
        <v>0129-17</v>
      </c>
      <c r="AE43" s="85" t="str">
        <f t="shared" si="10"/>
        <v>aws s3 cp s3://rtdc.mdm.uploadarchive.raw/RTDC4052/ "%USERPROFILE%\AppData\Local\Temp\OnboardLogs"\RTDC4052\2017-04-17 --exclude "*" --recursive --include "*20170417*" &amp; "%USERPROFILE%\Documents\GitHub\mrs-test-scripts\Headless Mode &amp; Sideloading\WalkAndUnGZ.bat" "%USERPROFILE%\AppData\Local\Temp\OnboardLogs"\RTDC4052\2017-04-17 &amp; aws s3 cp s3://rtdc.mdm.uploadarchive.raw/RTDC4052/ "%USERPROFILE%\AppData\Local\Temp\OnboardLogs"\RTDC4052\2017-04-18 --exclude "*" --recursive --include "*20170418*" &amp; "%USERPROFILE%\Documents\GitHub\mrs-test-scripts\Headless Mode &amp; Sideloading\WalkAndUnGZ.bat" "%USERPROFILE%\AppData\Local\Temp\OnboardLogs"\RTDC4052\2017-04-18</v>
      </c>
      <c r="AF43" s="82" t="str">
        <f t="shared" si="11"/>
        <v>"C:\Program Files (x86)\AstroGrep\AstroGrep.exe" /e /r /s /spath="%USERPROFILE%\AppData\Local\Temp\OnboardLogs" /stypes="app*4052*20170417*" /stext=" 13:.+((SYSTEM_STATE.+slice.+state.+changed )|(ment ac)|(multiple cpu faults)|(system.+state.+changed )|(\[timeout)|(PRM\|1\|D)|(kpr)|(kdp)|(\|lc)|(penalty))"</v>
      </c>
      <c r="AG43" s="1" t="str">
        <f t="shared" si="12"/>
        <v>EC</v>
      </c>
      <c r="AH43" s="86" t="str">
        <f t="shared" si="17"/>
        <v>"%USERPROFILE%\Documents\GitHub\eaglep3\Utilities\RefineRTDCRunTimes.py" --tripid 129-17 --locoid 4052 --swversion DE.1.0.9.0 --startMP 204:458 --initTime 2017-04-17T07:08:47 --startdatetime 2017-04-17T07:15:15 --delay 1 --endMP 204:233300 --enddatetime 2017-04-17T07:51:07 --enforcementcount 0 &gt;&gt;C:\Users\stu\Documents\GitHub\eaglep3-reporting\EC\2017-04-17-refined-times.txt</v>
      </c>
      <c r="AI43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{"issue":{"subject":"","project_id":79,"tracker_id":40,"status_id":1,"priority_id":2,"assigned_to_id":23,"start_date":"2017-04-17","description":"","custom_fields":[{"id":1,"name":"Subdivision","value":"EC"},{"id":4,"name":"Milepost","value":"23.33"},{"id":17,"name":"Train ID","value":"129-17"},{"id":16,"name":"Locomotive ID","value":"4052"},{"id":130,"name":"Impact","value":""},{"id":150,"name":"Time of Event (Mountain Time)","value":"07:51:07"},{"id":151,"name":"Denver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19"/>
        <v>start /low /b %USERPROFILE%\Documents\GitHub\eaglep3\Utilities\DownloadLogsFromS3.py --loco 4052 --day 2017-04-17</v>
      </c>
      <c r="AN43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13:51:07"},{"id":29,"name":"Sharepoint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691</v>
      </c>
      <c r="B44" s="7">
        <v>4051</v>
      </c>
      <c r="C44" s="21" t="s">
        <v>213</v>
      </c>
      <c r="D44" s="21" t="s">
        <v>494</v>
      </c>
      <c r="E44" s="13">
        <v>42842.337673611109</v>
      </c>
      <c r="F44" s="13">
        <v>42842.341145833336</v>
      </c>
      <c r="G44" s="7">
        <v>1</v>
      </c>
      <c r="H44" s="21" t="s">
        <v>198</v>
      </c>
      <c r="I44" s="13">
        <v>42842.367858796293</v>
      </c>
      <c r="J44" s="7">
        <v>0</v>
      </c>
      <c r="K44" s="97" t="str">
        <f t="shared" si="0"/>
        <v>4051/4052</v>
      </c>
      <c r="L44" s="21" t="str">
        <f>VLOOKUP(A44,'Trips&amp;Operators'!$C$1:$G$99999,5,FALSE)</f>
        <v>ROBINSON KADDIBA</v>
      </c>
      <c r="M44" s="6">
        <f t="shared" si="1"/>
        <v>2.6712962957390118E-2</v>
      </c>
      <c r="N44" s="7">
        <f t="shared" si="23"/>
        <v>38.46666665864177</v>
      </c>
      <c r="O44" s="7"/>
      <c r="P44" s="7"/>
      <c r="Q44" s="22"/>
      <c r="R44" s="22"/>
      <c r="S44" s="31">
        <f t="shared" si="24"/>
        <v>1</v>
      </c>
      <c r="T44" s="46" t="str">
        <f t="shared" si="2"/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3"/>
        <v>https://d0f6bd738d7f1b3e5a7ca70fe4ff75f0.us-east-1.aws.found.io/app/kibana#/discover/Steve-Slow-Train-Analysis-(2080s-and-2083s)?_g=(refreshInterval:(display:Off,pause:!f,section:0,value:0),time:(from:'2017-04-17T07:06:15-0600',mode:absolute,to:'2017-04-17T09:49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4" s="183" t="str">
        <f t="shared" si="4"/>
        <v>N</v>
      </c>
      <c r="X44" s="183">
        <f t="shared" si="5"/>
        <v>1</v>
      </c>
      <c r="Y44" s="62">
        <f t="shared" si="6"/>
        <v>23.298300000000001</v>
      </c>
      <c r="Z44" s="62">
        <f t="shared" si="7"/>
        <v>1.5800000000000002E-2</v>
      </c>
      <c r="AA44" s="62">
        <f t="shared" si="8"/>
        <v>23.282500000000002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9"/>
        <v>0130-17</v>
      </c>
      <c r="AE44" s="85" t="str">
        <f t="shared" si="10"/>
        <v>aws s3 cp s3://rtdc.mdm.uploadarchive.raw/RTDC4051/ "%USERPROFILE%\AppData\Local\Temp\OnboardLogs"\RTDC4051\2017-04-17 --exclude "*" --recursive --include "*20170417*" &amp; "%USERPROFILE%\Documents\GitHub\mrs-test-scripts\Headless Mode &amp; Sideloading\WalkAndUnGZ.bat" "%USERPROFILE%\AppData\Local\Temp\OnboardLogs"\RTDC4051\2017-04-17 &amp; aws s3 cp s3://rtdc.mdm.uploadarchive.raw/RTDC4051/ "%USERPROFILE%\AppData\Local\Temp\OnboardLogs"\RTDC4051\2017-04-18 --exclude "*" --recursive --include "*20170418*" &amp; "%USERPROFILE%\Documents\GitHub\mrs-test-scripts\Headless Mode &amp; Sideloading\WalkAndUnGZ.bat" "%USERPROFILE%\AppData\Local\Temp\OnboardLogs"\RTDC4051\2017-04-18</v>
      </c>
      <c r="AF44" s="82" t="str">
        <f t="shared" si="11"/>
        <v>"C:\Program Files (x86)\AstroGrep\AstroGrep.exe" /e /r /s /spath="%USERPROFILE%\AppData\Local\Temp\OnboardLogs" /stypes="app*4051*20170417*" /stext=" 14:.+((SYSTEM_STATE.+slice.+state.+changed )|(ment ac)|(multiple cpu faults)|(system.+state.+changed )|(\[timeout)|(PRM\|1\|D)|(kpr)|(kdp)|(\|lc)|(penalty))"</v>
      </c>
      <c r="AG44" s="1" t="str">
        <f t="shared" si="12"/>
        <v>EC</v>
      </c>
      <c r="AH44" s="86" t="str">
        <f t="shared" si="17"/>
        <v>"%USERPROFILE%\Documents\GitHub\eaglep3\Utilities\RefineRTDCRunTimes.py" --tripid 130-17 --locoid 4051 --swversion DE.1.0.9.0 --startMP 204:232983 --initTime 2017-04-17T08:06:15 --startdatetime 2017-04-17T08:11:15 --delay 1 --endMP 204:158 --enddatetime 2017-04-17T08:49:43 --enforcementcount 0 &gt;&gt;C:\Users\stu\Documents\GitHub\eaglep3-reporting\EC\2017-04-17-refined-times.txt</v>
      </c>
      <c r="AI44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{"issue":{"subject":"","project_id":79,"tracker_id":40,"status_id":1,"priority_id":2,"assigned_to_id":23,"start_date":"2017-04-17","description":"","custom_fields":[{"id":1,"name":"Subdivision","value":"EC"},{"id":4,"name":"Milepost","value":"0.0158"},{"id":17,"name":"Train ID","value":"130-17"},{"id":16,"name":"Locomotive ID","value":"4051"},{"id":130,"name":"Impact","value":""},{"id":150,"name":"Time of Event (Mountain Time)","value":"08:49:43"},{"id":151,"name":"Denver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19"/>
        <v>start /low /b %USERPROFILE%\Documents\GitHub\eaglep3\Utilities\DownloadLogsFromS3.py --loco 4051 --day 2017-04-17</v>
      </c>
      <c r="AN44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14:49:43"},{"id":29,"name":"Sharepoint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684</v>
      </c>
      <c r="B45" s="7">
        <v>4032</v>
      </c>
      <c r="C45" s="21" t="s">
        <v>213</v>
      </c>
      <c r="D45" s="21" t="s">
        <v>205</v>
      </c>
      <c r="E45" s="13">
        <v>42842.308680555558</v>
      </c>
      <c r="F45" s="13">
        <v>42842.312719907408</v>
      </c>
      <c r="G45" s="7">
        <v>1</v>
      </c>
      <c r="H45" s="21" t="s">
        <v>533</v>
      </c>
      <c r="I45" s="13">
        <v>42842.337314814817</v>
      </c>
      <c r="J45" s="7">
        <v>0</v>
      </c>
      <c r="K45" s="97" t="str">
        <f t="shared" si="0"/>
        <v>4031/4032</v>
      </c>
      <c r="L45" s="21" t="str">
        <f>VLOOKUP(A45,'Trips&amp;Operators'!$C$1:$G$99999,5,FALSE)</f>
        <v>MAELZER KURT</v>
      </c>
      <c r="M45" s="6">
        <f t="shared" si="1"/>
        <v>2.4594907408754807E-2</v>
      </c>
      <c r="N45" s="7">
        <f t="shared" si="23"/>
        <v>35.416666668606922</v>
      </c>
      <c r="O45" s="7"/>
      <c r="P45" s="7"/>
      <c r="Q45" s="22"/>
      <c r="R45" s="22"/>
      <c r="S45" s="31">
        <f t="shared" si="24"/>
        <v>1</v>
      </c>
      <c r="T45" s="46" t="str">
        <f t="shared" si="2"/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3"/>
        <v>https://d0f6bd738d7f1b3e5a7ca70fe4ff75f0.us-east-1.aws.found.io/app/kibana#/discover/Steve-Slow-Train-Analysis-(2080s-and-2083s)?_g=(refreshInterval:(display:Off,pause:!f,section:0,value:0),time:(from:'2017-04-17T06:24:30-0600',mode:absolute,to:'2017-04-17T09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5" s="183" t="str">
        <f t="shared" si="4"/>
        <v>N</v>
      </c>
      <c r="X45" s="183">
        <f t="shared" si="5"/>
        <v>1</v>
      </c>
      <c r="Y45" s="62">
        <f t="shared" si="6"/>
        <v>4.5999999999999999E-2</v>
      </c>
      <c r="Z45" s="62">
        <f t="shared" si="7"/>
        <v>23.329899999999999</v>
      </c>
      <c r="AA45" s="62">
        <f t="shared" si="8"/>
        <v>23.283899999999999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9"/>
        <v>0131-17</v>
      </c>
      <c r="AE45" s="85" t="str">
        <f t="shared" si="10"/>
        <v>aws s3 cp s3://rtdc.mdm.uploadarchive.raw/RTDC4032/ "%USERPROFILE%\AppData\Local\Temp\OnboardLogs"\RTDC4032\2017-04-17 --exclude "*" --recursive --include "*20170417*" &amp; "%USERPROFILE%\Documents\GitHub\mrs-test-scripts\Headless Mode &amp; Sideloading\WalkAndUnGZ.bat" "%USERPROFILE%\AppData\Local\Temp\OnboardLogs"\RTDC4032\2017-04-17 &amp; aws s3 cp s3://rtdc.mdm.uploadarchive.raw/RTDC4032/ "%USERPROFILE%\AppData\Local\Temp\OnboardLogs"\RTDC4032\2017-04-18 --exclude "*" --recursive --include "*20170418*" &amp; "%USERPROFILE%\Documents\GitHub\mrs-test-scripts\Headless Mode &amp; Sideloading\WalkAndUnGZ.bat" "%USERPROFILE%\AppData\Local\Temp\OnboardLogs"\RTDC4032\2017-04-18</v>
      </c>
      <c r="AF45" s="82" t="str">
        <f t="shared" si="11"/>
        <v>"C:\Program Files (x86)\AstroGrep\AstroGrep.exe" /e /r /s /spath="%USERPROFILE%\AppData\Local\Temp\OnboardLogs" /stypes="app*4032*20170417*" /stext=" 14:.+((SYSTEM_STATE.+slice.+state.+changed )|(ment ac)|(multiple cpu faults)|(system.+state.+changed )|(\[timeout)|(PRM\|1\|D)|(kpr)|(kdp)|(\|lc)|(penalty))"</v>
      </c>
      <c r="AG45" s="1" t="str">
        <f t="shared" si="12"/>
        <v>EC</v>
      </c>
      <c r="AH45" s="86" t="str">
        <f t="shared" si="17"/>
        <v>"%USERPROFILE%\Documents\GitHub\eaglep3\Utilities\RefineRTDCRunTimes.py" --tripid 131-17 --locoid 4032 --swversion DE.1.0.9.0 --startMP 204:460 --initTime 2017-04-17T07:24:30 --startdatetime 2017-04-17T07:30:19 --delay 1 --endMP 204:233299 --enddatetime 2017-04-17T08:05:44 --enforcementcount 0 &gt;&gt;C:\Users\stu\Documents\GitHub\eaglep3-reporting\EC\2017-04-17-refined-times.txt</v>
      </c>
      <c r="AI45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{"issue":{"subject":"","project_id":79,"tracker_id":40,"status_id":1,"priority_id":2,"assigned_to_id":23,"start_date":"2017-04-17","description":"","custom_fields":[{"id":1,"name":"Subdivision","value":"EC"},{"id":4,"name":"Milepost","value":"23.3299"},{"id":17,"name":"Train ID","value":"131-17"},{"id":16,"name":"Locomotive ID","value":"4032"},{"id":130,"name":"Impact","value":""},{"id":150,"name":"Time of Event (Mountain Time)","value":"08:05:44"},{"id":151,"name":"Denver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19"/>
        <v>start /low /b %USERPROFILE%\Documents\GitHub\eaglep3\Utilities\DownloadLogsFromS3.py --loco 4032 --day 2017-04-17</v>
      </c>
      <c r="AN45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14:05:44"},{"id":29,"name":"Sharepoint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693</v>
      </c>
      <c r="B46" s="7">
        <v>4031</v>
      </c>
      <c r="C46" s="21" t="s">
        <v>213</v>
      </c>
      <c r="D46" s="21" t="s">
        <v>576</v>
      </c>
      <c r="E46" s="13">
        <v>42842.341516203705</v>
      </c>
      <c r="F46" s="13">
        <v>42842.351643518516</v>
      </c>
      <c r="G46" s="7">
        <v>1</v>
      </c>
      <c r="H46" s="21" t="s">
        <v>535</v>
      </c>
      <c r="I46" s="13">
        <v>42842.378923611112</v>
      </c>
      <c r="J46" s="7">
        <v>0</v>
      </c>
      <c r="K46" s="97" t="str">
        <f t="shared" si="0"/>
        <v>4031/4032</v>
      </c>
      <c r="L46" s="21" t="str">
        <f>VLOOKUP(A46,'Trips&amp;Operators'!$C$1:$G$99999,5,FALSE)</f>
        <v>MAELZER KURT</v>
      </c>
      <c r="M46" s="6">
        <f t="shared" si="1"/>
        <v>2.7280092595901806E-2</v>
      </c>
      <c r="N46" s="7">
        <f t="shared" si="23"/>
        <v>39.283333338098601</v>
      </c>
      <c r="O46" s="7"/>
      <c r="P46" s="7"/>
      <c r="Q46" s="22"/>
      <c r="R46" s="22"/>
      <c r="S46" s="31">
        <f t="shared" si="24"/>
        <v>1</v>
      </c>
      <c r="T46" s="46" t="str">
        <f t="shared" si="2"/>
        <v>Southbound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3"/>
        <v>https://d0f6bd738d7f1b3e5a7ca70fe4ff75f0.us-east-1.aws.found.io/app/kibana#/discover/Steve-Slow-Train-Analysis-(2080s-and-2083s)?_g=(refreshInterval:(display:Off,pause:!f,section:0,value:0),time:(from:'2017-04-17T07:11:47-0600',mode:absolute,to:'2017-04-17T10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6" s="183" t="str">
        <f t="shared" si="4"/>
        <v>N</v>
      </c>
      <c r="X46" s="183">
        <f t="shared" si="5"/>
        <v>1</v>
      </c>
      <c r="Y46" s="62">
        <f t="shared" si="6"/>
        <v>23.298999999999999</v>
      </c>
      <c r="Z46" s="62">
        <f t="shared" si="7"/>
        <v>1.3599999999999999E-2</v>
      </c>
      <c r="AA46" s="62">
        <f t="shared" si="8"/>
        <v>23.285399999999999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9"/>
        <v>0132-17</v>
      </c>
      <c r="AE46" s="85" t="str">
        <f t="shared" si="10"/>
        <v>aws s3 cp s3://rtdc.mdm.uploadarchive.raw/RTDC4031/ "%USERPROFILE%\AppData\Local\Temp\OnboardLogs"\RTDC4031\2017-04-17 --exclude "*" --recursive --include "*20170417*" &amp; "%USERPROFILE%\Documents\GitHub\mrs-test-scripts\Headless Mode &amp; Sideloading\WalkAndUnGZ.bat" "%USERPROFILE%\AppData\Local\Temp\OnboardLogs"\RTDC4031\2017-04-17 &amp; aws s3 cp s3://rtdc.mdm.uploadarchive.raw/RTDC4031/ "%USERPROFILE%\AppData\Local\Temp\OnboardLogs"\RTDC4031\2017-04-18 --exclude "*" --recursive --include "*20170418*" &amp; "%USERPROFILE%\Documents\GitHub\mrs-test-scripts\Headless Mode &amp; Sideloading\WalkAndUnGZ.bat" "%USERPROFILE%\AppData\Local\Temp\OnboardLogs"\RTDC4031\2017-04-18</v>
      </c>
      <c r="AF46" s="82" t="str">
        <f t="shared" si="11"/>
        <v>"C:\Program Files (x86)\AstroGrep\AstroGrep.exe" /e /r /s /spath="%USERPROFILE%\AppData\Local\Temp\OnboardLogs" /stypes="app*4031*20170417*" /stext=" 15:.+((SYSTEM_STATE.+slice.+state.+changed )|(ment ac)|(multiple cpu faults)|(system.+state.+changed )|(\[timeout)|(PRM\|1\|D)|(kpr)|(kdp)|(\|lc)|(penalty))"</v>
      </c>
      <c r="AG46" s="1" t="str">
        <f t="shared" si="12"/>
        <v>EC</v>
      </c>
      <c r="AH46" s="86" t="str">
        <f t="shared" si="17"/>
        <v>"%USERPROFILE%\Documents\GitHub\eaglep3\Utilities\RefineRTDCRunTimes.py" --tripid 132-17 --locoid 4031 --swversion DE.1.0.9.0 --startMP 204:232990 --initTime 2017-04-17T08:11:47 --startdatetime 2017-04-17T08:26:22 --delay 1 --endMP 204:136 --enddatetime 2017-04-17T09:05:39 --enforcementcount 0 &gt;&gt;C:\Users\stu\Documents\GitHub\eaglep3-reporting\EC\2017-04-17-refined-times.txt</v>
      </c>
      <c r="AI46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{"issue":{"subject":"","project_id":79,"tracker_id":40,"status_id":1,"priority_id":2,"assigned_to_id":23,"start_date":"2017-04-17","description":"","custom_fields":[{"id":1,"name":"Subdivision","value":"EC"},{"id":4,"name":"Milepost","value":"0.0136"},{"id":17,"name":"Train ID","value":"132-17"},{"id":16,"name":"Locomotive ID","value":"4031"},{"id":130,"name":"Impact","value":""},{"id":150,"name":"Time of Event (Mountain Time)","value":"09:05:39"},{"id":151,"name":"Denver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19"/>
        <v>start /low /b %USERPROFILE%\Documents\GitHub\eaglep3\Utilities\DownloadLogsFromS3.py --loco 4031 --day 2017-04-17</v>
      </c>
      <c r="AN46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15:05:39"},{"id":29,"name":"Sharepoint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688</v>
      </c>
      <c r="B47" s="7">
        <v>4054</v>
      </c>
      <c r="C47" s="21" t="s">
        <v>213</v>
      </c>
      <c r="D47" s="21" t="s">
        <v>513</v>
      </c>
      <c r="E47" s="13">
        <v>42842.318680555552</v>
      </c>
      <c r="F47" s="13">
        <v>42842.32309027778</v>
      </c>
      <c r="G47" s="7">
        <v>1</v>
      </c>
      <c r="H47" s="21" t="s">
        <v>492</v>
      </c>
      <c r="I47" s="13">
        <v>42842.348807870374</v>
      </c>
      <c r="J47" s="7">
        <v>0</v>
      </c>
      <c r="K47" s="97" t="str">
        <f t="shared" si="0"/>
        <v>4053/4054</v>
      </c>
      <c r="L47" s="21" t="str">
        <f>VLOOKUP(A47,'Trips&amp;Operators'!$C$1:$G$99999,5,FALSE)</f>
        <v>STARKS ANGELINA</v>
      </c>
      <c r="M47" s="6">
        <f t="shared" si="1"/>
        <v>2.5717592594446614E-2</v>
      </c>
      <c r="N47" s="7">
        <f t="shared" si="23"/>
        <v>37.033333336003125</v>
      </c>
      <c r="O47" s="7"/>
      <c r="P47" s="7"/>
      <c r="Q47" s="22"/>
      <c r="R47" s="22"/>
      <c r="S47" s="31">
        <f t="shared" si="24"/>
        <v>1</v>
      </c>
      <c r="T47" s="46" t="str">
        <f t="shared" si="2"/>
        <v>NorthBound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3"/>
        <v>https://d0f6bd738d7f1b3e5a7ca70fe4ff75f0.us-east-1.aws.found.io/app/kibana#/discover/Steve-Slow-Train-Analysis-(2080s-and-2083s)?_g=(refreshInterval:(display:Off,pause:!f,section:0,value:0),time:(from:'2017-04-17T06:38:54-0600',mode:absolute,to:'2017-04-17T09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7" s="183" t="str">
        <f t="shared" si="4"/>
        <v>N</v>
      </c>
      <c r="X47" s="183">
        <f t="shared" si="5"/>
        <v>1</v>
      </c>
      <c r="Y47" s="62">
        <f t="shared" si="6"/>
        <v>4.2900000000000001E-2</v>
      </c>
      <c r="Z47" s="62">
        <f t="shared" si="7"/>
        <v>23.329799999999999</v>
      </c>
      <c r="AA47" s="62">
        <f t="shared" si="8"/>
        <v>23.286899999999999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9"/>
        <v>0133-17</v>
      </c>
      <c r="AE47" s="85" t="str">
        <f t="shared" si="10"/>
        <v>aws s3 cp s3://rtdc.mdm.uploadarchive.raw/RTDC4054/ "%USERPROFILE%\AppData\Local\Temp\OnboardLogs"\RTDC4054\2017-04-17 --exclude "*" --recursive --include "*20170417*" &amp; "%USERPROFILE%\Documents\GitHub\mrs-test-scripts\Headless Mode &amp; Sideloading\WalkAndUnGZ.bat" "%USERPROFILE%\AppData\Local\Temp\OnboardLogs"\RTDC4054\2017-04-17 &amp; aws s3 cp s3://rtdc.mdm.uploadarchive.raw/RTDC4054/ "%USERPROFILE%\AppData\Local\Temp\OnboardLogs"\RTDC4054\2017-04-18 --exclude "*" --recursive --include "*20170418*" &amp; "%USERPROFILE%\Documents\GitHub\mrs-test-scripts\Headless Mode &amp; Sideloading\WalkAndUnGZ.bat" "%USERPROFILE%\AppData\Local\Temp\OnboardLogs"\RTDC4054\2017-04-18</v>
      </c>
      <c r="AF47" s="82" t="str">
        <f t="shared" si="11"/>
        <v>"C:\Program Files (x86)\AstroGrep\AstroGrep.exe" /e /r /s /spath="%USERPROFILE%\AppData\Local\Temp\OnboardLogs" /stypes="app*4054*20170417*" /stext=" 14:.+((SYSTEM_STATE.+slice.+state.+changed )|(ment ac)|(multiple cpu faults)|(system.+state.+changed )|(\[timeout)|(PRM\|1\|D)|(kpr)|(kdp)|(\|lc)|(penalty))"</v>
      </c>
      <c r="AG47" s="1" t="str">
        <f t="shared" si="12"/>
        <v>EC</v>
      </c>
      <c r="AH47" s="86" t="str">
        <f t="shared" si="17"/>
        <v>"%USERPROFILE%\Documents\GitHub\eaglep3\Utilities\RefineRTDCRunTimes.py" --tripid 133-17 --locoid 4054 --swversion DE.1.0.9.0 --startMP 204:429 --initTime 2017-04-17T07:38:54 --startdatetime 2017-04-17T07:45:15 --delay 1 --endMP 204:233298 --enddatetime 2017-04-17T08:22:17 --enforcementcount 0 &gt;&gt;C:\Users\stu\Documents\GitHub\eaglep3-reporting\EC\2017-04-17-refined-times.txt</v>
      </c>
      <c r="AI47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{"issue":{"subject":"","project_id":79,"tracker_id":40,"status_id":1,"priority_id":2,"assigned_to_id":23,"start_date":"2017-04-17","description":"","custom_fields":[{"id":1,"name":"Subdivision","value":"EC"},{"id":4,"name":"Milepost","value":"23.3298"},{"id":17,"name":"Train ID","value":"133-17"},{"id":16,"name":"Locomotive ID","value":"4054"},{"id":130,"name":"Impact","value":""},{"id":150,"name":"Time of Event (Mountain Time)","value":"08:22:17"},{"id":151,"name":"Denver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19"/>
        <v>start /low /b %USERPROFILE%\Documents\GitHub\eaglep3\Utilities\DownloadLogsFromS3.py --loco 4054 --day 2017-04-17</v>
      </c>
      <c r="AN47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14:22:17"},{"id":29,"name":"Sharepoint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697</v>
      </c>
      <c r="B48" s="7">
        <v>4053</v>
      </c>
      <c r="C48" s="21" t="s">
        <v>213</v>
      </c>
      <c r="D48" s="21" t="s">
        <v>407</v>
      </c>
      <c r="E48" s="13">
        <v>42842.356782407405</v>
      </c>
      <c r="F48" s="13">
        <v>42842.362129629626</v>
      </c>
      <c r="G48" s="7">
        <v>1</v>
      </c>
      <c r="H48" s="21" t="s">
        <v>477</v>
      </c>
      <c r="I48" s="13">
        <v>42842.393958333334</v>
      </c>
      <c r="J48" s="7">
        <v>0</v>
      </c>
      <c r="K48" s="97" t="str">
        <f t="shared" si="0"/>
        <v>4053/4054</v>
      </c>
      <c r="L48" s="21" t="str">
        <f>VLOOKUP(A48,'Trips&amp;Operators'!$C$1:$G$99999,5,FALSE)</f>
        <v>STARKS ANGELINA</v>
      </c>
      <c r="M48" s="6">
        <f t="shared" si="1"/>
        <v>3.1828703708015382E-2</v>
      </c>
      <c r="N48" s="7">
        <f t="shared" si="23"/>
        <v>45.83333333954215</v>
      </c>
      <c r="O48" s="7"/>
      <c r="P48" s="7"/>
      <c r="Q48" s="22"/>
      <c r="R48" s="22"/>
      <c r="S48" s="31">
        <f t="shared" si="24"/>
        <v>1</v>
      </c>
      <c r="T48" s="46" t="str">
        <f t="shared" si="2"/>
        <v>Southbound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3"/>
        <v>https://d0f6bd738d7f1b3e5a7ca70fe4ff75f0.us-east-1.aws.found.io/app/kibana#/discover/Steve-Slow-Train-Analysis-(2080s-and-2083s)?_g=(refreshInterval:(display:Off,pause:!f,section:0,value:0),time:(from:'2017-04-17T07:33:46-0600',mode:absolute,to:'2017-04-17T10:27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8" s="183" t="str">
        <f t="shared" si="4"/>
        <v>N</v>
      </c>
      <c r="X48" s="183">
        <f t="shared" si="5"/>
        <v>1</v>
      </c>
      <c r="Y48" s="62">
        <f t="shared" si="6"/>
        <v>23.2989</v>
      </c>
      <c r="Z48" s="62">
        <f t="shared" si="7"/>
        <v>1.43E-2</v>
      </c>
      <c r="AA48" s="62">
        <f t="shared" si="8"/>
        <v>23.284600000000001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9"/>
        <v>0134-17</v>
      </c>
      <c r="AE48" s="85" t="str">
        <f t="shared" si="10"/>
        <v>aws s3 cp s3://rtdc.mdm.uploadarchive.raw/RTDC4053/ "%USERPROFILE%\AppData\Local\Temp\OnboardLogs"\RTDC4053\2017-04-17 --exclude "*" --recursive --include "*20170417*" &amp; "%USERPROFILE%\Documents\GitHub\mrs-test-scripts\Headless Mode &amp; Sideloading\WalkAndUnGZ.bat" "%USERPROFILE%\AppData\Local\Temp\OnboardLogs"\RTDC4053\2017-04-17 &amp; aws s3 cp s3://rtdc.mdm.uploadarchive.raw/RTDC4053/ "%USERPROFILE%\AppData\Local\Temp\OnboardLogs"\RTDC4053\2017-04-18 --exclude "*" --recursive --include "*20170418*" &amp; "%USERPROFILE%\Documents\GitHub\mrs-test-scripts\Headless Mode &amp; Sideloading\WalkAndUnGZ.bat" "%USERPROFILE%\AppData\Local\Temp\OnboardLogs"\RTDC4053\2017-04-18</v>
      </c>
      <c r="AF48" s="82" t="str">
        <f t="shared" si="11"/>
        <v>"C:\Program Files (x86)\AstroGrep\AstroGrep.exe" /e /r /s /spath="%USERPROFILE%\AppData\Local\Temp\OnboardLogs" /stypes="app*4053*20170417*" /stext=" 15:.+((SYSTEM_STATE.+slice.+state.+changed )|(ment ac)|(multiple cpu faults)|(system.+state.+changed )|(\[timeout)|(PRM\|1\|D)|(kpr)|(kdp)|(\|lc)|(penalty))"</v>
      </c>
      <c r="AG48" s="1" t="str">
        <f t="shared" si="12"/>
        <v>EC</v>
      </c>
      <c r="AH48" s="86" t="str">
        <f t="shared" si="17"/>
        <v>"%USERPROFILE%\Documents\GitHub\eaglep3\Utilities\RefineRTDCRunTimes.py" --tripid 134-17 --locoid 4053 --swversion DE.1.0.9.0 --startMP 204:232989 --initTime 2017-04-17T08:33:46 --startdatetime 2017-04-17T08:41:28 --delay 1 --endMP 204:143 --enddatetime 2017-04-17T09:27:18 --enforcementcount 0 &gt;&gt;C:\Users\stu\Documents\GitHub\eaglep3-reporting\EC\2017-04-17-refined-times.txt</v>
      </c>
      <c r="AI48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{"issue":{"subject":"","project_id":79,"tracker_id":40,"status_id":1,"priority_id":2,"assigned_to_id":23,"start_date":"2017-04-17","description":"","custom_fields":[{"id":1,"name":"Subdivision","value":"EC"},{"id":4,"name":"Milepost","value":"0.0143"},{"id":17,"name":"Train ID","value":"134-17"},{"id":16,"name":"Locomotive ID","value":"4053"},{"id":130,"name":"Impact","value":""},{"id":150,"name":"Time of Event (Mountain Time)","value":"09:27:18"},{"id":151,"name":"Denver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19"/>
        <v>start /low /b %USERPROFILE%\Documents\GitHub\eaglep3\Utilities\DownloadLogsFromS3.py --loco 4053 --day 2017-04-17</v>
      </c>
      <c r="AN48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15:27:18"},{"id":29,"name":"Sharepoint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689</v>
      </c>
      <c r="B49" s="7">
        <v>4016</v>
      </c>
      <c r="C49" s="21" t="s">
        <v>213</v>
      </c>
      <c r="D49" s="21" t="s">
        <v>204</v>
      </c>
      <c r="E49" s="13">
        <v>42842.328750000001</v>
      </c>
      <c r="F49" s="13">
        <v>42842.333587962959</v>
      </c>
      <c r="G49" s="7">
        <v>1</v>
      </c>
      <c r="H49" s="21" t="s">
        <v>474</v>
      </c>
      <c r="I49" s="13">
        <v>42842.358796296299</v>
      </c>
      <c r="J49" s="7">
        <v>0</v>
      </c>
      <c r="K49" s="97" t="str">
        <f t="shared" si="0"/>
        <v>4015/4016</v>
      </c>
      <c r="L49" s="21" t="str">
        <f>VLOOKUP(A49,'Trips&amp;Operators'!$C$1:$G$99999,5,FALSE)</f>
        <v>BONDS REYNALDO</v>
      </c>
      <c r="M49" s="6">
        <f t="shared" si="1"/>
        <v>2.5208333339833189E-2</v>
      </c>
      <c r="N49" s="7">
        <f t="shared" si="23"/>
        <v>36.300000009359792</v>
      </c>
      <c r="O49" s="7"/>
      <c r="P49" s="7"/>
      <c r="Q49" s="22"/>
      <c r="R49" s="22"/>
      <c r="S49" s="31">
        <f t="shared" si="24"/>
        <v>1</v>
      </c>
      <c r="T49" s="46" t="str">
        <f t="shared" si="2"/>
        <v>NorthBound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3"/>
        <v>https://d0f6bd738d7f1b3e5a7ca70fe4ff75f0.us-east-1.aws.found.io/app/kibana#/discover/Steve-Slow-Train-Analysis-(2080s-and-2083s)?_g=(refreshInterval:(display:Off,pause:!f,section:0,value:0),time:(from:'2017-04-17T06:53:24-0600',mode:absolute,to:'2017-04-17T09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9" s="183" t="str">
        <f t="shared" si="4"/>
        <v>N</v>
      </c>
      <c r="X49" s="183">
        <f t="shared" si="5"/>
        <v>1</v>
      </c>
      <c r="Y49" s="62">
        <f t="shared" si="6"/>
        <v>4.5699999999999998E-2</v>
      </c>
      <c r="Z49" s="62">
        <f t="shared" si="7"/>
        <v>23.330300000000001</v>
      </c>
      <c r="AA49" s="62">
        <f t="shared" si="8"/>
        <v>23.284600000000001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9"/>
        <v>0135-17</v>
      </c>
      <c r="AE49" s="85" t="str">
        <f t="shared" si="10"/>
        <v>aws s3 cp s3://rtdc.mdm.uploadarchive.raw/RTDC4016/ "%USERPROFILE%\AppData\Local\Temp\OnboardLogs"\RTDC4016\2017-04-17 --exclude "*" --recursive --include "*20170417*" &amp; "%USERPROFILE%\Documents\GitHub\mrs-test-scripts\Headless Mode &amp; Sideloading\WalkAndUnGZ.bat" "%USERPROFILE%\AppData\Local\Temp\OnboardLogs"\RTDC4016\2017-04-17 &amp; aws s3 cp s3://rtdc.mdm.uploadarchive.raw/RTDC4016/ "%USERPROFILE%\AppData\Local\Temp\OnboardLogs"\RTDC4016\2017-04-18 --exclude "*" --recursive --include "*20170418*" &amp; "%USERPROFILE%\Documents\GitHub\mrs-test-scripts\Headless Mode &amp; Sideloading\WalkAndUnGZ.bat" "%USERPROFILE%\AppData\Local\Temp\OnboardLogs"\RTDC4016\2017-04-18</v>
      </c>
      <c r="AF49" s="82" t="str">
        <f t="shared" si="11"/>
        <v>"C:\Program Files (x86)\AstroGrep\AstroGrep.exe" /e /r /s /spath="%USERPROFILE%\AppData\Local\Temp\OnboardLogs" /stypes="app*4016*20170417*" /stext=" 14:.+((SYSTEM_STATE.+slice.+state.+changed )|(ment ac)|(multiple cpu faults)|(system.+state.+changed )|(\[timeout)|(PRM\|1\|D)|(kpr)|(kdp)|(\|lc)|(penalty))"</v>
      </c>
      <c r="AG49" s="1" t="str">
        <f t="shared" si="12"/>
        <v>EC</v>
      </c>
      <c r="AH49" s="86" t="str">
        <f t="shared" si="17"/>
        <v>"%USERPROFILE%\Documents\GitHub\eaglep3\Utilities\RefineRTDCRunTimes.py" --tripid 135-17 --locoid 4016 --swversion DE.1.0.9.0 --startMP 204:457 --initTime 2017-04-17T07:53:24 --startdatetime 2017-04-17T08:00:22 --delay 1 --endMP 204:233303 --enddatetime 2017-04-17T08:36:40 --enforcementcount 0 &gt;&gt;C:\Users\stu\Documents\GitHub\eaglep3-reporting\EC\2017-04-17-refined-times.txt</v>
      </c>
      <c r="AI49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{"issue":{"subject":"","project_id":79,"tracker_id":40,"status_id":1,"priority_id":2,"assigned_to_id":23,"start_date":"2017-04-17","description":"","custom_fields":[{"id":1,"name":"Subdivision","value":"EC"},{"id":4,"name":"Milepost","value":"23.3303"},{"id":17,"name":"Train ID","value":"135-17"},{"id":16,"name":"Locomotive ID","value":"4016"},{"id":130,"name":"Impact","value":""},{"id":150,"name":"Time of Event (Mountain Time)","value":"08:36:40"},{"id":151,"name":"Denver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19"/>
        <v>start /low /b %USERPROFILE%\Documents\GitHub\eaglep3\Utilities\DownloadLogsFromS3.py --loco 4016 --day 2017-04-17</v>
      </c>
      <c r="AN49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14:36:40"},{"id":29,"name":"Sharepoint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699</v>
      </c>
      <c r="B50" s="7">
        <v>4015</v>
      </c>
      <c r="C50" s="21" t="s">
        <v>213</v>
      </c>
      <c r="D50" s="21" t="s">
        <v>485</v>
      </c>
      <c r="E50" s="13">
        <v>42842.365729166668</v>
      </c>
      <c r="F50" s="13">
        <v>42842.372384259259</v>
      </c>
      <c r="G50" s="7">
        <v>1</v>
      </c>
      <c r="H50" s="21" t="s">
        <v>413</v>
      </c>
      <c r="I50" s="13">
        <v>42842.403032407405</v>
      </c>
      <c r="J50" s="7">
        <v>0</v>
      </c>
      <c r="K50" s="97" t="str">
        <f t="shared" si="0"/>
        <v>4015/4016</v>
      </c>
      <c r="L50" s="21" t="str">
        <f>VLOOKUP(A50,'Trips&amp;Operators'!$C$1:$G$99999,5,FALSE)</f>
        <v>BONDS REYNALDO</v>
      </c>
      <c r="M50" s="6">
        <f t="shared" si="1"/>
        <v>3.0648148145701271E-2</v>
      </c>
      <c r="N50" s="7">
        <f t="shared" si="23"/>
        <v>44.13333332980983</v>
      </c>
      <c r="O50" s="7"/>
      <c r="P50" s="7"/>
      <c r="Q50" s="22"/>
      <c r="R50" s="22"/>
      <c r="S50" s="31">
        <f t="shared" si="24"/>
        <v>1</v>
      </c>
      <c r="T50" s="46" t="str">
        <f t="shared" si="2"/>
        <v>Southbound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3"/>
        <v>https://d0f6bd738d7f1b3e5a7ca70fe4ff75f0.us-east-1.aws.found.io/app/kibana#/discover/Steve-Slow-Train-Analysis-(2080s-and-2083s)?_g=(refreshInterval:(display:Off,pause:!f,section:0,value:0),time:(from:'2017-04-17T07:46:39-0600',mode:absolute,to:'2017-04-17T10:40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0" s="183" t="str">
        <f t="shared" si="4"/>
        <v>N</v>
      </c>
      <c r="X50" s="183">
        <f t="shared" si="5"/>
        <v>1</v>
      </c>
      <c r="Y50" s="62">
        <f t="shared" si="6"/>
        <v>23.2986</v>
      </c>
      <c r="Z50" s="62">
        <f t="shared" si="7"/>
        <v>1.4500000000000001E-2</v>
      </c>
      <c r="AA50" s="62">
        <f t="shared" si="8"/>
        <v>23.284099999999999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9"/>
        <v>0136-17</v>
      </c>
      <c r="AE50" s="85" t="str">
        <f t="shared" si="10"/>
        <v>aws s3 cp s3://rtdc.mdm.uploadarchive.raw/RTDC4015/ "%USERPROFILE%\AppData\Local\Temp\OnboardLogs"\RTDC4015\2017-04-17 --exclude "*" --recursive --include "*20170417*" &amp; "%USERPROFILE%\Documents\GitHub\mrs-test-scripts\Headless Mode &amp; Sideloading\WalkAndUnGZ.bat" "%USERPROFILE%\AppData\Local\Temp\OnboardLogs"\RTDC4015\2017-04-17 &amp; aws s3 cp s3://rtdc.mdm.uploadarchive.raw/RTDC4015/ "%USERPROFILE%\AppData\Local\Temp\OnboardLogs"\RTDC4015\2017-04-18 --exclude "*" --recursive --include "*20170418*" &amp; "%USERPROFILE%\Documents\GitHub\mrs-test-scripts\Headless Mode &amp; Sideloading\WalkAndUnGZ.bat" "%USERPROFILE%\AppData\Local\Temp\OnboardLogs"\RTDC4015\2017-04-18</v>
      </c>
      <c r="AF50" s="82" t="str">
        <f t="shared" si="11"/>
        <v>"C:\Program Files (x86)\AstroGrep\AstroGrep.exe" /e /r /s /spath="%USERPROFILE%\AppData\Local\Temp\OnboardLogs" /stypes="app*4015*20170417*" /stext=" 15:.+((SYSTEM_STATE.+slice.+state.+changed )|(ment ac)|(multiple cpu faults)|(system.+state.+changed )|(\[timeout)|(PRM\|1\|D)|(kpr)|(kdp)|(\|lc)|(penalty))"</v>
      </c>
      <c r="AG50" s="1" t="str">
        <f t="shared" si="12"/>
        <v>EC</v>
      </c>
      <c r="AH50" s="86" t="str">
        <f t="shared" si="17"/>
        <v>"%USERPROFILE%\Documents\GitHub\eaglep3\Utilities\RefineRTDCRunTimes.py" --tripid 136-17 --locoid 4015 --swversion DE.1.0.9.0 --startMP 204:232986 --initTime 2017-04-17T08:46:39 --startdatetime 2017-04-17T08:56:14 --delay 1 --endMP 204:145 --enddatetime 2017-04-17T09:40:22 --enforcementcount 0 &gt;&gt;C:\Users\stu\Documents\GitHub\eaglep3-reporting\EC\2017-04-17-refined-times.txt</v>
      </c>
      <c r="AI50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{"issue":{"subject":"","project_id":79,"tracker_id":40,"status_id":1,"priority_id":2,"assigned_to_id":23,"start_date":"2017-04-17","description":"","custom_fields":[{"id":1,"name":"Subdivision","value":"EC"},{"id":4,"name":"Milepost","value":"0.0145"},{"id":17,"name":"Train ID","value":"136-17"},{"id":16,"name":"Locomotive ID","value":"4015"},{"id":130,"name":"Impact","value":""},{"id":150,"name":"Time of Event (Mountain Time)","value":"09:40:22"},{"id":151,"name":"Denver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19"/>
        <v>start /low /b %USERPROFILE%\Documents\GitHub\eaglep3\Utilities\DownloadLogsFromS3.py --loco 4015 --day 2017-04-17</v>
      </c>
      <c r="AN50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15:40:22"},{"id":29,"name":"Sharepoint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692</v>
      </c>
      <c r="B51" s="7">
        <v>4046</v>
      </c>
      <c r="C51" s="21" t="s">
        <v>213</v>
      </c>
      <c r="D51" s="21" t="s">
        <v>509</v>
      </c>
      <c r="E51" s="13">
        <v>42842.339629629627</v>
      </c>
      <c r="F51" s="13">
        <v>42842.343969907408</v>
      </c>
      <c r="G51" s="7">
        <v>1</v>
      </c>
      <c r="H51" s="21" t="s">
        <v>510</v>
      </c>
      <c r="I51" s="13">
        <v>42842.369004629632</v>
      </c>
      <c r="J51" s="7">
        <v>0</v>
      </c>
      <c r="K51" s="97" t="str">
        <f t="shared" si="0"/>
        <v>4045/4046</v>
      </c>
      <c r="L51" s="21" t="str">
        <f>VLOOKUP(A51,'Trips&amp;Operators'!$C$1:$G$99999,5,FALSE)</f>
        <v>SHOOK JOHN</v>
      </c>
      <c r="M51" s="6">
        <f t="shared" si="1"/>
        <v>2.5034722224518191E-2</v>
      </c>
      <c r="N51" s="7">
        <f t="shared" si="23"/>
        <v>36.050000003306195</v>
      </c>
      <c r="O51" s="7"/>
      <c r="P51" s="7"/>
      <c r="Q51" s="22"/>
      <c r="R51" s="22"/>
      <c r="S51" s="31">
        <f t="shared" si="24"/>
        <v>1</v>
      </c>
      <c r="T51" s="46" t="str">
        <f t="shared" si="2"/>
        <v>NorthBound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3"/>
        <v>https://d0f6bd738d7f1b3e5a7ca70fe4ff75f0.us-east-1.aws.found.io/app/kibana#/discover/Steve-Slow-Train-Analysis-(2080s-and-2083s)?_g=(refreshInterval:(display:Off,pause:!f,section:0,value:0),time:(from:'2017-04-17T07:09:04-0600',mode:absolute,to:'2017-04-17T09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1" s="183" t="str">
        <f t="shared" si="4"/>
        <v>N</v>
      </c>
      <c r="X51" s="183">
        <f t="shared" si="5"/>
        <v>1</v>
      </c>
      <c r="Y51" s="62">
        <f t="shared" si="6"/>
        <v>4.6600000000000003E-2</v>
      </c>
      <c r="Z51" s="62">
        <f t="shared" si="7"/>
        <v>23.331499999999998</v>
      </c>
      <c r="AA51" s="62">
        <f t="shared" si="8"/>
        <v>23.284899999999997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9"/>
        <v>0137-17</v>
      </c>
      <c r="AE51" s="85" t="str">
        <f t="shared" si="10"/>
        <v>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 &amp; aws s3 cp s3://rtdc.mdm.uploadarchive.raw/RTDC4046/ "%USERPROFILE%\AppData\Local\Temp\OnboardLogs"\RTDC4046\2017-04-18 --exclude "*" --recursive --include "*20170418*" &amp; "%USERPROFILE%\Documents\GitHub\mrs-test-scripts\Headless Mode &amp; Sideloading\WalkAndUnGZ.bat" "%USERPROFILE%\AppData\Local\Temp\OnboardLogs"\RTDC4046\2017-04-18</v>
      </c>
      <c r="AF51" s="82" t="str">
        <f t="shared" si="11"/>
        <v>"C:\Program Files (x86)\AstroGrep\AstroGrep.exe" /e /r /s /spath="%USERPROFILE%\AppData\Local\Temp\OnboardLogs" /stypes="app*4046*20170417*" /stext=" 14:.+((SYSTEM_STATE.+slice.+state.+changed )|(ment ac)|(multiple cpu faults)|(system.+state.+changed )|(\[timeout)|(PRM\|1\|D)|(kpr)|(kdp)|(\|lc)|(penalty))"</v>
      </c>
      <c r="AG51" s="1" t="str">
        <f t="shared" si="12"/>
        <v>EC</v>
      </c>
      <c r="AH51" s="86" t="str">
        <f t="shared" si="17"/>
        <v>"%USERPROFILE%\Documents\GitHub\eaglep3\Utilities\RefineRTDCRunTimes.py" --tripid 137-17 --locoid 4046 --swversion DE.1.0.9.0 --startMP 204:466 --initTime 2017-04-17T08:09:04 --startdatetime 2017-04-17T08:15:19 --delay 1 --endMP 204:233315 --enddatetime 2017-04-17T08:51:22 --enforcementcount 0 &gt;&gt;C:\Users\stu\Documents\GitHub\eaglep3-reporting\EC\2017-04-17-refined-times.txt</v>
      </c>
      <c r="AI51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{"issue":{"subject":"","project_id":79,"tracker_id":40,"status_id":1,"priority_id":2,"assigned_to_id":23,"start_date":"2017-04-17","description":"","custom_fields":[{"id":1,"name":"Subdivision","value":"EC"},{"id":4,"name":"Milepost","value":"23.3315"},{"id":17,"name":"Train ID","value":"137-17"},{"id":16,"name":"Locomotive ID","value":"4046"},{"id":130,"name":"Impact","value":""},{"id":150,"name":"Time of Event (Mountain Time)","value":"08:51:22"},{"id":151,"name":"Denver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19"/>
        <v>start /low /b %USERPROFILE%\Documents\GitHub\eaglep3\Utilities\DownloadLogsFromS3.py --loco 4046 --day 2017-04-17</v>
      </c>
      <c r="AN51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14:51:22"},{"id":29,"name":"Sharepoint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700</v>
      </c>
      <c r="B52" s="7">
        <v>4045</v>
      </c>
      <c r="C52" s="21" t="s">
        <v>213</v>
      </c>
      <c r="D52" s="21" t="s">
        <v>455</v>
      </c>
      <c r="E52" s="13">
        <v>42842.372106481482</v>
      </c>
      <c r="F52" s="13">
        <v>42842.3828587963</v>
      </c>
      <c r="G52" s="7">
        <v>1</v>
      </c>
      <c r="H52" s="21" t="s">
        <v>543</v>
      </c>
      <c r="I52" s="13">
        <v>42842.410543981481</v>
      </c>
      <c r="J52" s="7">
        <v>0</v>
      </c>
      <c r="K52" s="97" t="str">
        <f t="shared" si="0"/>
        <v>4045/4046</v>
      </c>
      <c r="L52" s="21" t="str">
        <f>VLOOKUP(A52,'Trips&amp;Operators'!$C$1:$G$99999,5,FALSE)</f>
        <v>SHOOK JOHN</v>
      </c>
      <c r="M52" s="6">
        <f t="shared" si="1"/>
        <v>2.7685185181326233E-2</v>
      </c>
      <c r="N52" s="7">
        <f t="shared" si="23"/>
        <v>39.866666661109775</v>
      </c>
      <c r="O52" s="7"/>
      <c r="P52" s="7"/>
      <c r="Q52" s="22"/>
      <c r="R52" s="22"/>
      <c r="S52" s="31">
        <f t="shared" si="24"/>
        <v>1</v>
      </c>
      <c r="T52" s="46" t="str">
        <f t="shared" si="2"/>
        <v>Southbound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3"/>
        <v>https://d0f6bd738d7f1b3e5a7ca70fe4ff75f0.us-east-1.aws.found.io/app/kibana#/discover/Steve-Slow-Train-Analysis-(2080s-and-2083s)?_g=(refreshInterval:(display:Off,pause:!f,section:0,value:0),time:(from:'2017-04-17T07:55:50-0600',mode:absolute,to:'2017-04-17T10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2" s="183" t="str">
        <f t="shared" si="4"/>
        <v>N</v>
      </c>
      <c r="X52" s="183">
        <f t="shared" si="5"/>
        <v>1</v>
      </c>
      <c r="Y52" s="62">
        <f t="shared" si="6"/>
        <v>23.3002</v>
      </c>
      <c r="Z52" s="62">
        <f t="shared" si="7"/>
        <v>1.6899999999999998E-2</v>
      </c>
      <c r="AA52" s="62">
        <f t="shared" si="8"/>
        <v>23.283300000000001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9"/>
        <v>0138-17</v>
      </c>
      <c r="AE52" s="85" t="str">
        <f t="shared" si="10"/>
        <v>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 &amp; aws s3 cp s3://rtdc.mdm.uploadarchive.raw/RTDC4045/ "%USERPROFILE%\AppData\Local\Temp\OnboardLogs"\RTDC4045\2017-04-18 --exclude "*" --recursive --include "*20170418*" &amp; "%USERPROFILE%\Documents\GitHub\mrs-test-scripts\Headless Mode &amp; Sideloading\WalkAndUnGZ.bat" "%USERPROFILE%\AppData\Local\Temp\OnboardLogs"\RTDC4045\2017-04-18</v>
      </c>
      <c r="AF52" s="82" t="str">
        <f t="shared" si="11"/>
        <v>"C:\Program Files (x86)\AstroGrep\AstroGrep.exe" /e /r /s /spath="%USERPROFILE%\AppData\Local\Temp\OnboardLogs" /stypes="app*4045*20170417*" /stext=" 15:.+((SYSTEM_STATE.+slice.+state.+changed )|(ment ac)|(multiple cpu faults)|(system.+state.+changed )|(\[timeout)|(PRM\|1\|D)|(kpr)|(kdp)|(\|lc)|(penalty))"</v>
      </c>
      <c r="AG52" s="1" t="str">
        <f t="shared" si="12"/>
        <v>EC</v>
      </c>
      <c r="AH52" s="86" t="str">
        <f t="shared" si="17"/>
        <v>"%USERPROFILE%\Documents\GitHub\eaglep3\Utilities\RefineRTDCRunTimes.py" --tripid 138-17 --locoid 4045 --swversion DE.1.0.9.0 --startMP 204:233002 --initTime 2017-04-17T08:55:50 --startdatetime 2017-04-17T09:11:19 --delay 1 --endMP 204:169 --enddatetime 2017-04-17T09:51:11 --enforcementcount 0 &gt;&gt;C:\Users\stu\Documents\GitHub\eaglep3-reporting\EC\2017-04-17-refined-times.txt</v>
      </c>
      <c r="AI52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{"issue":{"subject":"","project_id":79,"tracker_id":40,"status_id":1,"priority_id":2,"assigned_to_id":23,"start_date":"2017-04-17","description":"","custom_fields":[{"id":1,"name":"Subdivision","value":"EC"},{"id":4,"name":"Milepost","value":"0.0169"},{"id":17,"name":"Train ID","value":"138-17"},{"id":16,"name":"Locomotive ID","value":"4045"},{"id":130,"name":"Impact","value":""},{"id":150,"name":"Time of Event (Mountain Time)","value":"09:51:11"},{"id":151,"name":"Denver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19"/>
        <v>start /low /b %USERPROFILE%\Documents\GitHub\eaglep3\Utilities\DownloadLogsFromS3.py --loco 4045 --day 2017-04-17</v>
      </c>
      <c r="AN52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15:51:11"},{"id":29,"name":"Sharepoint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695</v>
      </c>
      <c r="B53" s="7">
        <v>4008</v>
      </c>
      <c r="C53" s="21" t="s">
        <v>213</v>
      </c>
      <c r="D53" s="21" t="s">
        <v>864</v>
      </c>
      <c r="E53" s="13">
        <v>42842.351805555554</v>
      </c>
      <c r="F53" s="13">
        <v>42842.354745370372</v>
      </c>
      <c r="G53" s="7">
        <v>1</v>
      </c>
      <c r="H53" s="21" t="s">
        <v>579</v>
      </c>
      <c r="I53" s="13">
        <v>42842.379942129628</v>
      </c>
      <c r="J53" s="7">
        <v>0</v>
      </c>
      <c r="K53" s="97" t="str">
        <f t="shared" si="0"/>
        <v>4007/4008</v>
      </c>
      <c r="L53" s="21" t="str">
        <f>VLOOKUP(A53,'Trips&amp;Operators'!$C$1:$G$99999,5,FALSE)</f>
        <v>YORK EDGAR</v>
      </c>
      <c r="M53" s="6">
        <f t="shared" si="1"/>
        <v>2.5196759255777579E-2</v>
      </c>
      <c r="N53" s="7">
        <f t="shared" si="23"/>
        <v>36.283333328319713</v>
      </c>
      <c r="O53" s="7"/>
      <c r="P53" s="7"/>
      <c r="Q53" s="22"/>
      <c r="R53" s="22"/>
      <c r="S53" s="31">
        <f t="shared" si="24"/>
        <v>1</v>
      </c>
      <c r="T53" s="46" t="str">
        <f t="shared" si="2"/>
        <v>NorthBound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3"/>
        <v>https://d0f6bd738d7f1b3e5a7ca70fe4ff75f0.us-east-1.aws.found.io/app/kibana#/discover/Steve-Slow-Train-Analysis-(2080s-and-2083s)?_g=(refreshInterval:(display:Off,pause:!f,section:0,value:0),time:(from:'2017-04-17T07:26:36-0600',mode:absolute,to:'2017-04-17T10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3" s="183" t="str">
        <f t="shared" si="4"/>
        <v>N</v>
      </c>
      <c r="X53" s="183">
        <f t="shared" si="5"/>
        <v>1</v>
      </c>
      <c r="Y53" s="62">
        <f t="shared" si="6"/>
        <v>4.6899999999999997E-2</v>
      </c>
      <c r="Z53" s="62">
        <f t="shared" si="7"/>
        <v>23.330500000000001</v>
      </c>
      <c r="AA53" s="62">
        <f t="shared" si="8"/>
        <v>23.2836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9"/>
        <v>0139-17</v>
      </c>
      <c r="AE53" s="85" t="str">
        <f t="shared" si="10"/>
        <v>aws s3 cp s3://rtdc.mdm.uploadarchive.raw/RTDC4008/ "%USERPROFILE%\AppData\Local\Temp\OnboardLogs"\RTDC4008\2017-04-17 --exclude "*" --recursive --include "*20170417*" &amp; "%USERPROFILE%\Documents\GitHub\mrs-test-scripts\Headless Mode &amp; Sideloading\WalkAndUnGZ.bat" "%USERPROFILE%\AppData\Local\Temp\OnboardLogs"\RTDC4008\2017-04-17 &amp; aws s3 cp s3://rtdc.mdm.uploadarchive.raw/RTDC4008/ "%USERPROFILE%\AppData\Local\Temp\OnboardLogs"\RTDC4008\2017-04-18 --exclude "*" --recursive --include "*20170418*" &amp; "%USERPROFILE%\Documents\GitHub\mrs-test-scripts\Headless Mode &amp; Sideloading\WalkAndUnGZ.bat" "%USERPROFILE%\AppData\Local\Temp\OnboardLogs"\RTDC4008\2017-04-18</v>
      </c>
      <c r="AF53" s="82" t="str">
        <f t="shared" si="11"/>
        <v>"C:\Program Files (x86)\AstroGrep\AstroGrep.exe" /e /r /s /spath="%USERPROFILE%\AppData\Local\Temp\OnboardLogs" /stypes="app*4008*20170417*" /stext=" 15:.+((SYSTEM_STATE.+slice.+state.+changed )|(ment ac)|(multiple cpu faults)|(system.+state.+changed )|(\[timeout)|(PRM\|1\|D)|(kpr)|(kdp)|(\|lc)|(penalty))"</v>
      </c>
      <c r="AG53" s="1" t="str">
        <f t="shared" si="12"/>
        <v>EC</v>
      </c>
      <c r="AH53" s="86" t="str">
        <f t="shared" si="17"/>
        <v>"%USERPROFILE%\Documents\GitHub\eaglep3\Utilities\RefineRTDCRunTimes.py" --tripid 139-17 --locoid 4008 --swversion DE.1.0.9.0 --startMP 204:469 --initTime 2017-04-17T08:26:36 --startdatetime 2017-04-17T08:30:50 --delay 1 --endMP 204:233305 --enddatetime 2017-04-17T09:07:07 --enforcementcount 0 &gt;&gt;C:\Users\stu\Documents\GitHub\eaglep3-reporting\EC\2017-04-17-refined-times.txt</v>
      </c>
      <c r="AI53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{"issue":{"subject":"","project_id":79,"tracker_id":40,"status_id":1,"priority_id":2,"assigned_to_id":23,"start_date":"2017-04-17","description":"","custom_fields":[{"id":1,"name":"Subdivision","value":"EC"},{"id":4,"name":"Milepost","value":"23.3305"},{"id":17,"name":"Train ID","value":"139-17"},{"id":16,"name":"Locomotive ID","value":"4008"},{"id":130,"name":"Impact","value":""},{"id":150,"name":"Time of Event (Mountain Time)","value":"09:07:07"},{"id":151,"name":"Denver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19"/>
        <v>start /low /b %USERPROFILE%\Documents\GitHub\eaglep3\Utilities\DownloadLogsFromS3.py --loco 4008 --day 2017-04-17</v>
      </c>
      <c r="AN53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15:07:07"},{"id":29,"name":"Sharepoint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701</v>
      </c>
      <c r="B54" s="7">
        <v>4007</v>
      </c>
      <c r="C54" s="21" t="s">
        <v>213</v>
      </c>
      <c r="D54" s="21" t="s">
        <v>493</v>
      </c>
      <c r="E54" s="13">
        <v>42842.380960648145</v>
      </c>
      <c r="F54" s="13">
        <v>42842.393206018518</v>
      </c>
      <c r="G54" s="7">
        <v>1</v>
      </c>
      <c r="H54" s="21" t="s">
        <v>400</v>
      </c>
      <c r="I54" s="13">
        <v>42842.419317129628</v>
      </c>
      <c r="J54" s="7">
        <v>0</v>
      </c>
      <c r="K54" s="97" t="str">
        <f t="shared" si="0"/>
        <v>4007/4008</v>
      </c>
      <c r="L54" s="21" t="str">
        <f>VLOOKUP(A54,'Trips&amp;Operators'!$C$1:$G$99999,5,FALSE)</f>
        <v>YORK EDGAR</v>
      </c>
      <c r="M54" s="6">
        <f t="shared" si="1"/>
        <v>2.6111111110367347E-2</v>
      </c>
      <c r="N54" s="7">
        <f t="shared" si="23"/>
        <v>37.599999998928979</v>
      </c>
      <c r="O54" s="7"/>
      <c r="P54" s="7"/>
      <c r="Q54" s="22"/>
      <c r="R54" s="22"/>
      <c r="S54" s="31">
        <f t="shared" si="24"/>
        <v>1</v>
      </c>
      <c r="T54" s="46" t="str">
        <f t="shared" si="2"/>
        <v>Southbound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3"/>
        <v>https://d0f6bd738d7f1b3e5a7ca70fe4ff75f0.us-east-1.aws.found.io/app/kibana#/discover/Steve-Slow-Train-Analysis-(2080s-and-2083s)?_g=(refreshInterval:(display:Off,pause:!f,section:0,value:0),time:(from:'2017-04-17T08:08:35-0600',mode:absolute,to:'2017-04-17T11:03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4" s="183" t="str">
        <f t="shared" si="4"/>
        <v>N</v>
      </c>
      <c r="X54" s="183">
        <f t="shared" si="5"/>
        <v>1</v>
      </c>
      <c r="Y54" s="62">
        <f t="shared" si="6"/>
        <v>23.296700000000001</v>
      </c>
      <c r="Z54" s="62">
        <f t="shared" si="7"/>
        <v>1.38E-2</v>
      </c>
      <c r="AA54" s="62">
        <f t="shared" si="8"/>
        <v>23.282900000000001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9"/>
        <v>0140-17</v>
      </c>
      <c r="AE54" s="85" t="str">
        <f t="shared" si="10"/>
        <v>aws s3 cp s3://rtdc.mdm.uploadarchive.raw/RTDC4007/ "%USERPROFILE%\AppData\Local\Temp\OnboardLogs"\RTDC4007\2017-04-17 --exclude "*" --recursive --include "*20170417*" &amp; "%USERPROFILE%\Documents\GitHub\mrs-test-scripts\Headless Mode &amp; Sideloading\WalkAndUnGZ.bat" "%USERPROFILE%\AppData\Local\Temp\OnboardLogs"\RTDC4007\2017-04-17 &amp; aws s3 cp s3://rtdc.mdm.uploadarchive.raw/RTDC4007/ "%USERPROFILE%\AppData\Local\Temp\OnboardLogs"\RTDC4007\2017-04-18 --exclude "*" --recursive --include "*20170418*" &amp; "%USERPROFILE%\Documents\GitHub\mrs-test-scripts\Headless Mode &amp; Sideloading\WalkAndUnGZ.bat" "%USERPROFILE%\AppData\Local\Temp\OnboardLogs"\RTDC4007\2017-04-18</v>
      </c>
      <c r="AF54" s="82" t="str">
        <f t="shared" si="11"/>
        <v>"C:\Program Files (x86)\AstroGrep\AstroGrep.exe" /e /r /s /spath="%USERPROFILE%\AppData\Local\Temp\OnboardLogs" /stypes="app*4007*20170417*" /stext=" 16:.+((SYSTEM_STATE.+slice.+state.+changed )|(ment ac)|(multiple cpu faults)|(system.+state.+changed )|(\[timeout)|(PRM\|1\|D)|(kpr)|(kdp)|(\|lc)|(penalty))"</v>
      </c>
      <c r="AG54" s="1" t="str">
        <f t="shared" si="12"/>
        <v>EC</v>
      </c>
      <c r="AH54" s="86" t="str">
        <f t="shared" si="17"/>
        <v>"%USERPROFILE%\Documents\GitHub\eaglep3\Utilities\RefineRTDCRunTimes.py" --tripid 140-17 --locoid 4007 --swversion DE.1.0.9.0 --startMP 204:232967 --initTime 2017-04-17T09:08:35 --startdatetime 2017-04-17T09:26:13 --delay 1 --endMP 204:138 --enddatetime 2017-04-17T10:03:49 --enforcementcount 0 &gt;&gt;C:\Users\stu\Documents\GitHub\eaglep3-reporting\EC\2017-04-17-refined-times.txt</v>
      </c>
      <c r="AI54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{"issue":{"subject":"","project_id":79,"tracker_id":40,"status_id":1,"priority_id":2,"assigned_to_id":23,"start_date":"2017-04-17","description":"","custom_fields":[{"id":1,"name":"Subdivision","value":"EC"},{"id":4,"name":"Milepost","value":"0.0138"},{"id":17,"name":"Train ID","value":"140-17"},{"id":16,"name":"Locomotive ID","value":"4007"},{"id":130,"name":"Impact","value":""},{"id":150,"name":"Time of Event (Mountain Time)","value":"10:03:49"},{"id":151,"name":"Denver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19"/>
        <v>start /low /b %USERPROFILE%\Documents\GitHub\eaglep3\Utilities\DownloadLogsFromS3.py --loco 4007 --day 2017-04-17</v>
      </c>
      <c r="AN54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16:03:49"},{"id":29,"name":"Sharepoint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614</v>
      </c>
      <c r="B55" s="7">
        <v>4002</v>
      </c>
      <c r="C55" s="21" t="s">
        <v>213</v>
      </c>
      <c r="D55" s="21" t="s">
        <v>468</v>
      </c>
      <c r="E55" s="13">
        <v>42842.357766203706</v>
      </c>
      <c r="F55" s="13">
        <v>42842.364745370367</v>
      </c>
      <c r="G55" s="7">
        <v>1</v>
      </c>
      <c r="H55" s="21" t="s">
        <v>454</v>
      </c>
      <c r="I55" s="13">
        <v>42842.389872685184</v>
      </c>
      <c r="J55" s="7">
        <v>0</v>
      </c>
      <c r="K55" s="97" t="str">
        <f t="shared" si="0"/>
        <v>4001/4002</v>
      </c>
      <c r="L55" s="21" t="str">
        <f>VLOOKUP(A55,'Trips&amp;Operators'!$C$1:$G$99999,5,FALSE)</f>
        <v>SANTIZO D. EDY</v>
      </c>
      <c r="M55" s="6">
        <f t="shared" si="1"/>
        <v>2.5127314816927537E-2</v>
      </c>
      <c r="N55" s="7">
        <f t="shared" si="23"/>
        <v>36.183333336375654</v>
      </c>
      <c r="O55" s="7"/>
      <c r="P55" s="7"/>
      <c r="Q55" s="22"/>
      <c r="R55" s="22"/>
      <c r="S55" s="31">
        <f t="shared" si="24"/>
        <v>1</v>
      </c>
      <c r="T55" s="46" t="str">
        <f t="shared" si="2"/>
        <v>NorthBound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3"/>
        <v>https://d0f6bd738d7f1b3e5a7ca70fe4ff75f0.us-east-1.aws.found.io/app/kibana#/discover/Steve-Slow-Train-Analysis-(2080s-and-2083s)?_g=(refreshInterval:(display:Off,pause:!f,section:0,value:0),time:(from:'2017-04-17T07:35:11-0600',mode:absolute,to:'2017-04-17T10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5" s="183" t="str">
        <f t="shared" si="4"/>
        <v>N</v>
      </c>
      <c r="X55" s="183">
        <f t="shared" si="5"/>
        <v>1</v>
      </c>
      <c r="Y55" s="62">
        <f t="shared" si="6"/>
        <v>4.4699999999999997E-2</v>
      </c>
      <c r="Z55" s="62">
        <f t="shared" si="7"/>
        <v>23.3291</v>
      </c>
      <c r="AA55" s="62">
        <f t="shared" si="8"/>
        <v>23.284400000000002</v>
      </c>
      <c r="AB55" s="59" t="str">
        <f>VLOOKUP(A55,Enforcements!$C$7:$K$13,8,0)</f>
        <v>Bulletin (2)</v>
      </c>
      <c r="AC55" s="55" t="str">
        <f>VLOOKUP(A55,Enforcements!$C$7:$E$13,3,0)</f>
        <v>GRADE CROSSING</v>
      </c>
      <c r="AD55" s="56" t="str">
        <f t="shared" si="9"/>
        <v>0141-17</v>
      </c>
      <c r="AE55" s="85" t="str">
        <f t="shared" si="10"/>
        <v>aws s3 cp s3://rtdc.mdm.uploadarchive.raw/RTDC4002/ "%USERPROFILE%\AppData\Local\Temp\OnboardLogs"\RTDC4002\2017-04-17 --exclude "*" --recursive --include "*20170417*" &amp; "%USERPROFILE%\Documents\GitHub\mrs-test-scripts\Headless Mode &amp; Sideloading\WalkAndUnGZ.bat" "%USERPROFILE%\AppData\Local\Temp\OnboardLogs"\RTDC4002\2017-04-17 &amp; aws s3 cp s3://rtdc.mdm.uploadarchive.raw/RTDC4002/ "%USERPROFILE%\AppData\Local\Temp\OnboardLogs"\RTDC4002\2017-04-18 --exclude "*" --recursive --include "*20170418*" &amp; "%USERPROFILE%\Documents\GitHub\mrs-test-scripts\Headless Mode &amp; Sideloading\WalkAndUnGZ.bat" "%USERPROFILE%\AppData\Local\Temp\OnboardLogs"\RTDC4002\2017-04-18</v>
      </c>
      <c r="AF55" s="82" t="str">
        <f t="shared" si="11"/>
        <v>"C:\Program Files (x86)\AstroGrep\AstroGrep.exe" /e /r /s /spath="%USERPROFILE%\AppData\Local\Temp\OnboardLogs" /stypes="app*4002*20170417*" /stext=" 15:.+((SYSTEM_STATE.+slice.+state.+changed )|(ment ac)|(multiple cpu faults)|(system.+state.+changed )|(\[timeout)|(PRM\|1\|D)|(kpr)|(kdp)|(\|lc)|(penalty))"</v>
      </c>
      <c r="AG55" s="1" t="str">
        <f t="shared" si="12"/>
        <v>EC</v>
      </c>
      <c r="AH55" s="86" t="str">
        <f t="shared" si="17"/>
        <v>"%USERPROFILE%\Documents\GitHub\eaglep3\Utilities\RefineRTDCRunTimes.py" --tripid 141-17 --locoid 4002 --swversion DE.1.0.9.0 --startMP 204:447 --initTime 2017-04-17T08:35:11 --startdatetime 2017-04-17T08:45:14 --delay 1 --endMP 204:233291 --enddatetime 2017-04-17T09:21:25 --enforcementcount 0 &gt;&gt;C:\Users\stu\Documents\GitHub\eaglep3-reporting\EC\2017-04-17-refined-times.txt</v>
      </c>
      <c r="AI55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{"issue":{"subject":"","project_id":79,"tracker_id":40,"status_id":1,"priority_id":2,"assigned_to_id":23,"start_date":"2017-04-17","description":"","custom_fields":[{"id":1,"name":"Subdivision","value":"EC"},{"id":4,"name":"Milepost","value":"23.3291"},{"id":17,"name":"Train ID","value":"141-17"},{"id":16,"name":"Locomotive ID","value":"4002"},{"id":130,"name":"Impact","value":""},{"id":150,"name":"Time of Event (Mountain Time)","value":"09:21:25"},{"id":151,"name":"Denver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19"/>
        <v>start /low /b %USERPROFILE%\Documents\GitHub\eaglep3\Utilities\DownloadLogsFromS3.py --loco 4002 --day 2017-04-17</v>
      </c>
      <c r="AN55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15:21:25"},{"id":29,"name":"Sharepoint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704</v>
      </c>
      <c r="B56" s="7">
        <v>4001</v>
      </c>
      <c r="C56" s="21" t="s">
        <v>213</v>
      </c>
      <c r="D56" s="21" t="s">
        <v>593</v>
      </c>
      <c r="E56" s="13">
        <v>42842.391122685185</v>
      </c>
      <c r="F56" s="13">
        <v>42842.403715277775</v>
      </c>
      <c r="G56" s="7">
        <v>1</v>
      </c>
      <c r="H56" s="21" t="s">
        <v>865</v>
      </c>
      <c r="I56" s="13">
        <v>42842.429525462961</v>
      </c>
      <c r="J56" s="7">
        <v>0</v>
      </c>
      <c r="K56" s="97" t="str">
        <f t="shared" si="0"/>
        <v>4001/4002</v>
      </c>
      <c r="L56" s="21" t="str">
        <f>VLOOKUP(A56,'Trips&amp;Operators'!$C$1:$G$99999,5,FALSE)</f>
        <v>SANTIZO D. EDY</v>
      </c>
      <c r="M56" s="6">
        <f t="shared" si="1"/>
        <v>2.5810185186855961E-2</v>
      </c>
      <c r="N56" s="7">
        <f t="shared" si="23"/>
        <v>37.166666669072583</v>
      </c>
      <c r="O56" s="7"/>
      <c r="P56" s="7"/>
      <c r="Q56" s="22"/>
      <c r="R56" s="22"/>
      <c r="S56" s="31">
        <f t="shared" si="24"/>
        <v>1</v>
      </c>
      <c r="T56" s="46" t="str">
        <f t="shared" si="2"/>
        <v>Southbound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3"/>
        <v>https://d0f6bd738d7f1b3e5a7ca70fe4ff75f0.us-east-1.aws.found.io/app/kibana#/discover/Steve-Slow-Train-Analysis-(2080s-and-2083s)?_g=(refreshInterval:(display:Off,pause:!f,section:0,value:0),time:(from:'2017-04-17T08:23:13-0600',mode:absolute,to:'2017-04-17T11:18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6" s="183" t="str">
        <f t="shared" si="4"/>
        <v>N</v>
      </c>
      <c r="X56" s="183">
        <f t="shared" si="5"/>
        <v>1</v>
      </c>
      <c r="Y56" s="62">
        <f t="shared" si="6"/>
        <v>23.2974</v>
      </c>
      <c r="Z56" s="62">
        <f t="shared" si="7"/>
        <v>1.32E-2</v>
      </c>
      <c r="AA56" s="62">
        <f t="shared" si="8"/>
        <v>23.284199999999998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9"/>
        <v>0142-17</v>
      </c>
      <c r="AE56" s="85" t="str">
        <f t="shared" si="10"/>
        <v>aws s3 cp s3://rtdc.mdm.uploadarchive.raw/RTDC4001/ "%USERPROFILE%\AppData\Local\Temp\OnboardLogs"\RTDC4001\2017-04-17 --exclude "*" --recursive --include "*20170417*" &amp; "%USERPROFILE%\Documents\GitHub\mrs-test-scripts\Headless Mode &amp; Sideloading\WalkAndUnGZ.bat" "%USERPROFILE%\AppData\Local\Temp\OnboardLogs"\RTDC4001\2017-04-17 &amp; aws s3 cp s3://rtdc.mdm.uploadarchive.raw/RTDC4001/ "%USERPROFILE%\AppData\Local\Temp\OnboardLogs"\RTDC4001\2017-04-18 --exclude "*" --recursive --include "*20170418*" &amp; "%USERPROFILE%\Documents\GitHub\mrs-test-scripts\Headless Mode &amp; Sideloading\WalkAndUnGZ.bat" "%USERPROFILE%\AppData\Local\Temp\OnboardLogs"\RTDC4001\2017-04-18</v>
      </c>
      <c r="AF56" s="82" t="str">
        <f t="shared" si="11"/>
        <v>"C:\Program Files (x86)\AstroGrep\AstroGrep.exe" /e /r /s /spath="%USERPROFILE%\AppData\Local\Temp\OnboardLogs" /stypes="app*4001*20170417*" /stext=" 16:.+((SYSTEM_STATE.+slice.+state.+changed )|(ment ac)|(multiple cpu faults)|(system.+state.+changed )|(\[timeout)|(PRM\|1\|D)|(kpr)|(kdp)|(\|lc)|(penalty))"</v>
      </c>
      <c r="AG56" s="1" t="str">
        <f t="shared" si="12"/>
        <v>EC</v>
      </c>
      <c r="AH56" s="86" t="str">
        <f t="shared" si="17"/>
        <v>"%USERPROFILE%\Documents\GitHub\eaglep3\Utilities\RefineRTDCRunTimes.py" --tripid 142-17 --locoid 4001 --swversion DE.1.0.9.0 --startMP 204:232974 --initTime 2017-04-17T09:23:13 --startdatetime 2017-04-17T09:41:21 --delay 1 --endMP 204:132 --enddatetime 2017-04-17T10:18:31 --enforcementcount 0 &gt;&gt;C:\Users\stu\Documents\GitHub\eaglep3-reporting\EC\2017-04-17-refined-times.txt</v>
      </c>
      <c r="AI56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{"issue":{"subject":"","project_id":79,"tracker_id":40,"status_id":1,"priority_id":2,"assigned_to_id":23,"start_date":"2017-04-17","description":"","custom_fields":[{"id":1,"name":"Subdivision","value":"EC"},{"id":4,"name":"Milepost","value":"0.0132"},{"id":17,"name":"Train ID","value":"142-17"},{"id":16,"name":"Locomotive ID","value":"4001"},{"id":130,"name":"Impact","value":""},{"id":150,"name":"Time of Event (Mountain Time)","value":"10:18:31"},{"id":151,"name":"Denver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19"/>
        <v>start /low /b %USERPROFILE%\Documents\GitHub\eaglep3\Utilities\DownloadLogsFromS3.py --loco 4001 --day 2017-04-17</v>
      </c>
      <c r="AN56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16:18:31"},{"id":29,"name":"Sharepoint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615</v>
      </c>
      <c r="B57" s="7">
        <v>4052</v>
      </c>
      <c r="C57" s="21" t="s">
        <v>213</v>
      </c>
      <c r="D57" s="21" t="s">
        <v>469</v>
      </c>
      <c r="E57" s="13">
        <v>42842.370439814818</v>
      </c>
      <c r="F57" s="13">
        <v>42842.375162037039</v>
      </c>
      <c r="G57" s="7">
        <v>1</v>
      </c>
      <c r="H57" s="21" t="s">
        <v>862</v>
      </c>
      <c r="I57" s="13">
        <v>42842.402962962966</v>
      </c>
      <c r="J57" s="7">
        <v>0</v>
      </c>
      <c r="K57" s="97" t="str">
        <f t="shared" si="0"/>
        <v>4051/4052</v>
      </c>
      <c r="L57" s="21" t="str">
        <f>VLOOKUP(A57,'Trips&amp;Operators'!$C$1:$G$99999,5,FALSE)</f>
        <v>ROBINSON KADDIBA</v>
      </c>
      <c r="M57" s="6">
        <f t="shared" si="1"/>
        <v>2.7800925927294884E-2</v>
      </c>
      <c r="N57" s="7">
        <f t="shared" si="23"/>
        <v>40.033333335304633</v>
      </c>
      <c r="O57" s="7"/>
      <c r="P57" s="7"/>
      <c r="Q57" s="22"/>
      <c r="R57" s="22"/>
      <c r="S57" s="31">
        <f t="shared" si="24"/>
        <v>1</v>
      </c>
      <c r="T57" s="46" t="str">
        <f t="shared" si="2"/>
        <v>NorthBound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3"/>
        <v>https://d0f6bd738d7f1b3e5a7ca70fe4ff75f0.us-east-1.aws.found.io/app/kibana#/discover/Steve-Slow-Train-Analysis-(2080s-and-2083s)?_g=(refreshInterval:(display:Off,pause:!f,section:0,value:0),time:(from:'2017-04-17T07:53:26-0600',mode:absolute,to:'2017-04-17T10:40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7" s="183" t="str">
        <f t="shared" si="4"/>
        <v>N</v>
      </c>
      <c r="X57" s="183">
        <f t="shared" si="5"/>
        <v>1</v>
      </c>
      <c r="Y57" s="62">
        <f t="shared" si="6"/>
        <v>4.7300000000000002E-2</v>
      </c>
      <c r="Z57" s="62">
        <f t="shared" si="7"/>
        <v>23.3276</v>
      </c>
      <c r="AA57" s="62">
        <f t="shared" si="8"/>
        <v>23.2803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9"/>
        <v>0143-17</v>
      </c>
      <c r="AE57" s="85" t="str">
        <f t="shared" si="10"/>
        <v>aws s3 cp s3://rtdc.mdm.uploadarchive.raw/RTDC4052/ "%USERPROFILE%\AppData\Local\Temp\OnboardLogs"\RTDC4052\2017-04-17 --exclude "*" --recursive --include "*20170417*" &amp; "%USERPROFILE%\Documents\GitHub\mrs-test-scripts\Headless Mode &amp; Sideloading\WalkAndUnGZ.bat" "%USERPROFILE%\AppData\Local\Temp\OnboardLogs"\RTDC4052\2017-04-17 &amp; aws s3 cp s3://rtdc.mdm.uploadarchive.raw/RTDC4052/ "%USERPROFILE%\AppData\Local\Temp\OnboardLogs"\RTDC4052\2017-04-18 --exclude "*" --recursive --include "*20170418*" &amp; "%USERPROFILE%\Documents\GitHub\mrs-test-scripts\Headless Mode &amp; Sideloading\WalkAndUnGZ.bat" "%USERPROFILE%\AppData\Local\Temp\OnboardLogs"\RTDC4052\2017-04-18</v>
      </c>
      <c r="AF57" s="82" t="str">
        <f t="shared" si="11"/>
        <v>"C:\Program Files (x86)\AstroGrep\AstroGrep.exe" /e /r /s /spath="%USERPROFILE%\AppData\Local\Temp\OnboardLogs" /stypes="app*4052*20170417*" /stext=" 15:.+((SYSTEM_STATE.+slice.+state.+changed )|(ment ac)|(multiple cpu faults)|(system.+state.+changed )|(\[timeout)|(PRM\|1\|D)|(kpr)|(kdp)|(\|lc)|(penalty))"</v>
      </c>
      <c r="AG57" s="1" t="str">
        <f t="shared" si="12"/>
        <v>EC</v>
      </c>
      <c r="AH57" s="86" t="str">
        <f t="shared" si="17"/>
        <v>"%USERPROFILE%\Documents\GitHub\eaglep3\Utilities\RefineRTDCRunTimes.py" --tripid 143-17 --locoid 4052 --swversion DE.1.0.9.0 --startMP 204:473 --initTime 2017-04-17T08:53:26 --startdatetime 2017-04-17T09:00:14 --delay 1 --endMP 204:233276 --enddatetime 2017-04-17T09:40:16 --enforcementcount 0 &gt;&gt;C:\Users\stu\Documents\GitHub\eaglep3-reporting\EC\2017-04-17-refined-times.txt</v>
      </c>
      <c r="AI57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{"issue":{"subject":"","project_id":79,"tracker_id":40,"status_id":1,"priority_id":2,"assigned_to_id":23,"start_date":"2017-04-17","description":"","custom_fields":[{"id":1,"name":"Subdivision","value":"EC"},{"id":4,"name":"Milepost","value":"23.3276"},{"id":17,"name":"Train ID","value":"143-17"},{"id":16,"name":"Locomotive ID","value":"4052"},{"id":130,"name":"Impact","value":""},{"id":150,"name":"Time of Event (Mountain Time)","value":"09:40:16"},{"id":151,"name":"Denver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19"/>
        <v>start /low /b %USERPROFILE%\Documents\GitHub\eaglep3\Utilities\DownloadLogsFromS3.py --loco 4052 --day 2017-04-17</v>
      </c>
      <c r="AN57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15:40:16"},{"id":29,"name":"Sharepoint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708</v>
      </c>
      <c r="B58" s="7">
        <v>4051</v>
      </c>
      <c r="C58" s="21" t="s">
        <v>213</v>
      </c>
      <c r="D58" s="21" t="s">
        <v>866</v>
      </c>
      <c r="E58" s="13">
        <v>42842.411192129628</v>
      </c>
      <c r="F58" s="13">
        <v>42842.4140625</v>
      </c>
      <c r="G58" s="7">
        <v>1</v>
      </c>
      <c r="H58" s="21" t="s">
        <v>475</v>
      </c>
      <c r="I58" s="13">
        <v>42842.440960648149</v>
      </c>
      <c r="J58" s="7">
        <v>0</v>
      </c>
      <c r="K58" s="97" t="str">
        <f t="shared" si="0"/>
        <v>4051/4052</v>
      </c>
      <c r="L58" s="21" t="str">
        <f>VLOOKUP(A58,'Trips&amp;Operators'!$C$1:$G$99999,5,FALSE)</f>
        <v>ROBINSON KADDIBA</v>
      </c>
      <c r="M58" s="6">
        <f t="shared" si="1"/>
        <v>2.6898148149484769E-2</v>
      </c>
      <c r="N58" s="7">
        <f t="shared" ref="N58:N89" si="25">24*60*SUM($M58:$M58)</f>
        <v>38.733333335258067</v>
      </c>
      <c r="O58" s="7"/>
      <c r="P58" s="7"/>
      <c r="Q58" s="22"/>
      <c r="R58" s="22"/>
      <c r="S58" s="31">
        <f t="shared" ref="S58:S89" si="26">SUM(U58:U58)/IF(AG58="EC",12,1)</f>
        <v>1</v>
      </c>
      <c r="T58" s="46" t="str">
        <f t="shared" si="2"/>
        <v>Southbound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3"/>
        <v>https://d0f6bd738d7f1b3e5a7ca70fe4ff75f0.us-east-1.aws.found.io/app/kibana#/discover/Steve-Slow-Train-Analysis-(2080s-and-2083s)?_g=(refreshInterval:(display:Off,pause:!f,section:0,value:0),time:(from:'2017-04-17T08:52:07-0600',mode:absolute,to:'2017-04-17T11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8" s="183" t="str">
        <f t="shared" si="4"/>
        <v>N</v>
      </c>
      <c r="X58" s="183">
        <f t="shared" si="5"/>
        <v>1</v>
      </c>
      <c r="Y58" s="62">
        <f t="shared" si="6"/>
        <v>23.295000000000002</v>
      </c>
      <c r="Z58" s="62">
        <f t="shared" si="7"/>
        <v>1.49E-2</v>
      </c>
      <c r="AA58" s="62">
        <f t="shared" si="8"/>
        <v>23.280100000000001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9"/>
        <v>0144-17</v>
      </c>
      <c r="AE58" s="85" t="str">
        <f t="shared" si="10"/>
        <v>aws s3 cp s3://rtdc.mdm.uploadarchive.raw/RTDC4051/ "%USERPROFILE%\AppData\Local\Temp\OnboardLogs"\RTDC4051\2017-04-17 --exclude "*" --recursive --include "*20170417*" &amp; "%USERPROFILE%\Documents\GitHub\mrs-test-scripts\Headless Mode &amp; Sideloading\WalkAndUnGZ.bat" "%USERPROFILE%\AppData\Local\Temp\OnboardLogs"\RTDC4051\2017-04-17 &amp; aws s3 cp s3://rtdc.mdm.uploadarchive.raw/RTDC4051/ "%USERPROFILE%\AppData\Local\Temp\OnboardLogs"\RTDC4051\2017-04-18 --exclude "*" --recursive --include "*20170418*" &amp; "%USERPROFILE%\Documents\GitHub\mrs-test-scripts\Headless Mode &amp; Sideloading\WalkAndUnGZ.bat" "%USERPROFILE%\AppData\Local\Temp\OnboardLogs"\RTDC4051\2017-04-18</v>
      </c>
      <c r="AF58" s="82" t="str">
        <f t="shared" si="11"/>
        <v>"C:\Program Files (x86)\AstroGrep\AstroGrep.exe" /e /r /s /spath="%USERPROFILE%\AppData\Local\Temp\OnboardLogs" /stypes="app*4051*20170417*" /stext=" 16:.+((SYSTEM_STATE.+slice.+state.+changed )|(ment ac)|(multiple cpu faults)|(system.+state.+changed )|(\[timeout)|(PRM\|1\|D)|(kpr)|(kdp)|(\|lc)|(penalty))"</v>
      </c>
      <c r="AG58" s="1" t="str">
        <f t="shared" si="12"/>
        <v>EC</v>
      </c>
      <c r="AH58" s="86" t="str">
        <f t="shared" si="17"/>
        <v>"%USERPROFILE%\Documents\GitHub\eaglep3\Utilities\RefineRTDCRunTimes.py" --tripid 144-17 --locoid 4051 --swversion DE.1.0.9.0 --startMP 204:232950 --initTime 2017-04-17T09:52:07 --startdatetime 2017-04-17T09:56:15 --delay 1 --endMP 204:149 --enddatetime 2017-04-17T10:34:59 --enforcementcount 0 &gt;&gt;C:\Users\stu\Documents\GitHub\eaglep3-reporting\EC\2017-04-17-refined-times.txt</v>
      </c>
      <c r="AI58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{"issue":{"subject":"","project_id":79,"tracker_id":40,"status_id":1,"priority_id":2,"assigned_to_id":23,"start_date":"2017-04-17","description":"","custom_fields":[{"id":1,"name":"Subdivision","value":"EC"},{"id":4,"name":"Milepost","value":"0.0149"},{"id":17,"name":"Train ID","value":"144-17"},{"id":16,"name":"Locomotive ID","value":"4051"},{"id":130,"name":"Impact","value":""},{"id":150,"name":"Time of Event (Mountain Time)","value":"10:34:59"},{"id":151,"name":"Denver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19"/>
        <v>start /low /b %USERPROFILE%\Documents\GitHub\eaglep3\Utilities\DownloadLogsFromS3.py --loco 4051 --day 2017-04-17</v>
      </c>
      <c r="AN58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16:34:59"},{"id":29,"name":"Sharepoint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702</v>
      </c>
      <c r="B59" s="7">
        <v>4032</v>
      </c>
      <c r="C59" s="21" t="s">
        <v>213</v>
      </c>
      <c r="D59" s="21" t="s">
        <v>417</v>
      </c>
      <c r="E59" s="13">
        <v>42842.382581018515</v>
      </c>
      <c r="F59" s="13">
        <v>42842.385833333334</v>
      </c>
      <c r="G59" s="7">
        <v>1</v>
      </c>
      <c r="H59" s="21" t="s">
        <v>867</v>
      </c>
      <c r="I59" s="13">
        <v>42842.410451388889</v>
      </c>
      <c r="J59" s="7">
        <v>0</v>
      </c>
      <c r="K59" s="97" t="str">
        <f t="shared" si="0"/>
        <v>4031/4032</v>
      </c>
      <c r="L59" s="21" t="str">
        <f>VLOOKUP(A59,'Trips&amp;Operators'!$C$1:$G$99999,5,FALSE)</f>
        <v>MAELZER KURT</v>
      </c>
      <c r="M59" s="6">
        <f t="shared" si="1"/>
        <v>2.4618055555038154E-2</v>
      </c>
      <c r="N59" s="7">
        <f t="shared" si="25"/>
        <v>35.449999999254942</v>
      </c>
      <c r="O59" s="7"/>
      <c r="P59" s="7"/>
      <c r="Q59" s="22"/>
      <c r="R59" s="22"/>
      <c r="S59" s="31">
        <f t="shared" si="26"/>
        <v>1</v>
      </c>
      <c r="T59" s="46" t="str">
        <f t="shared" si="2"/>
        <v>NorthBound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3"/>
        <v>https://d0f6bd738d7f1b3e5a7ca70fe4ff75f0.us-east-1.aws.found.io/app/kibana#/discover/Steve-Slow-Train-Analysis-(2080s-and-2083s)?_g=(refreshInterval:(display:Off,pause:!f,section:0,value:0),time:(from:'2017-04-17T08:10:55-0600',mode:absolute,to:'2017-04-17T10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9" s="183" t="str">
        <f t="shared" si="4"/>
        <v>N</v>
      </c>
      <c r="X59" s="183">
        <f t="shared" si="5"/>
        <v>1</v>
      </c>
      <c r="Y59" s="62">
        <f t="shared" si="6"/>
        <v>4.58E-2</v>
      </c>
      <c r="Z59" s="62">
        <f t="shared" si="7"/>
        <v>23.331900000000001</v>
      </c>
      <c r="AA59" s="62">
        <f t="shared" si="8"/>
        <v>23.286100000000001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9"/>
        <v>0145-17</v>
      </c>
      <c r="AE59" s="85" t="str">
        <f t="shared" si="10"/>
        <v>aws s3 cp s3://rtdc.mdm.uploadarchive.raw/RTDC4032/ "%USERPROFILE%\AppData\Local\Temp\OnboardLogs"\RTDC4032\2017-04-17 --exclude "*" --recursive --include "*20170417*" &amp; "%USERPROFILE%\Documents\GitHub\mrs-test-scripts\Headless Mode &amp; Sideloading\WalkAndUnGZ.bat" "%USERPROFILE%\AppData\Local\Temp\OnboardLogs"\RTDC4032\2017-04-17 &amp; aws s3 cp s3://rtdc.mdm.uploadarchive.raw/RTDC4032/ "%USERPROFILE%\AppData\Local\Temp\OnboardLogs"\RTDC4032\2017-04-18 --exclude "*" --recursive --include "*20170418*" &amp; "%USERPROFILE%\Documents\GitHub\mrs-test-scripts\Headless Mode &amp; Sideloading\WalkAndUnGZ.bat" "%USERPROFILE%\AppData\Local\Temp\OnboardLogs"\RTDC4032\2017-04-18</v>
      </c>
      <c r="AF59" s="82" t="str">
        <f t="shared" si="11"/>
        <v>"C:\Program Files (x86)\AstroGrep\AstroGrep.exe" /e /r /s /spath="%USERPROFILE%\AppData\Local\Temp\OnboardLogs" /stypes="app*4032*20170417*" /stext=" 15:.+((SYSTEM_STATE.+slice.+state.+changed )|(ment ac)|(multiple cpu faults)|(system.+state.+changed )|(\[timeout)|(PRM\|1\|D)|(kpr)|(kdp)|(\|lc)|(penalty))"</v>
      </c>
      <c r="AG59" s="1" t="str">
        <f t="shared" si="12"/>
        <v>EC</v>
      </c>
      <c r="AH59" s="86" t="str">
        <f t="shared" si="17"/>
        <v>"%USERPROFILE%\Documents\GitHub\eaglep3\Utilities\RefineRTDCRunTimes.py" --tripid 145-17 --locoid 4032 --swversion DE.1.0.9.0 --startMP 204:458 --initTime 2017-04-17T09:10:55 --startdatetime 2017-04-17T09:15:36 --delay 1 --endMP 204:233319 --enddatetime 2017-04-17T09:51:03 --enforcementcount 0 &gt;&gt;C:\Users\stu\Documents\GitHub\eaglep3-reporting\EC\2017-04-17-refined-times.txt</v>
      </c>
      <c r="AI59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{"issue":{"subject":"","project_id":79,"tracker_id":40,"status_id":1,"priority_id":2,"assigned_to_id":23,"start_date":"2017-04-17","description":"","custom_fields":[{"id":1,"name":"Subdivision","value":"EC"},{"id":4,"name":"Milepost","value":"23.3319"},{"id":17,"name":"Train ID","value":"145-17"},{"id":16,"name":"Locomotive ID","value":"4032"},{"id":130,"name":"Impact","value":""},{"id":150,"name":"Time of Event (Mountain Time)","value":"09:51:03"},{"id":151,"name":"Denver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19"/>
        <v>start /low /b %USERPROFILE%\Documents\GitHub\eaglep3\Utilities\DownloadLogsFromS3.py --loco 4032 --day 2017-04-17</v>
      </c>
      <c r="AN59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15:51:03"},{"id":29,"name":"Sharepoint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617</v>
      </c>
      <c r="B60" s="7">
        <v>4031</v>
      </c>
      <c r="C60" s="21" t="s">
        <v>213</v>
      </c>
      <c r="D60" s="21" t="s">
        <v>541</v>
      </c>
      <c r="E60" s="13">
        <v>42842.415000000001</v>
      </c>
      <c r="F60" s="13">
        <v>42842.42454861111</v>
      </c>
      <c r="G60" s="7">
        <v>1</v>
      </c>
      <c r="H60" s="21" t="s">
        <v>400</v>
      </c>
      <c r="I60" s="13">
        <v>42842.451689814814</v>
      </c>
      <c r="J60" s="7">
        <v>0</v>
      </c>
      <c r="K60" s="97" t="str">
        <f t="shared" si="0"/>
        <v>4031/4032</v>
      </c>
      <c r="L60" s="21" t="str">
        <f>VLOOKUP(A60,'Trips&amp;Operators'!$C$1:$G$99999,5,FALSE)</f>
        <v>MAELZER KURT</v>
      </c>
      <c r="M60" s="6">
        <f t="shared" si="1"/>
        <v>2.7141203703649808E-2</v>
      </c>
      <c r="N60" s="7">
        <f t="shared" si="25"/>
        <v>39.083333333255723</v>
      </c>
      <c r="O60" s="7"/>
      <c r="P60" s="7"/>
      <c r="Q60" s="22"/>
      <c r="R60" s="22"/>
      <c r="S60" s="31">
        <f t="shared" si="26"/>
        <v>1</v>
      </c>
      <c r="T60" s="46" t="str">
        <f t="shared" si="2"/>
        <v>Southbound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3"/>
        <v>https://d0f6bd738d7f1b3e5a7ca70fe4ff75f0.us-east-1.aws.found.io/app/kibana#/discover/Steve-Slow-Train-Analysis-(2080s-and-2083s)?_g=(refreshInterval:(display:Off,pause:!f,section:0,value:0),time:(from:'2017-04-17T08:57:36-0600',mode:absolute,to:'2017-04-17T11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0" s="183" t="str">
        <f t="shared" si="4"/>
        <v>N</v>
      </c>
      <c r="X60" s="183">
        <f t="shared" si="5"/>
        <v>1</v>
      </c>
      <c r="Y60" s="62">
        <f t="shared" si="6"/>
        <v>23.3</v>
      </c>
      <c r="Z60" s="62">
        <f t="shared" si="7"/>
        <v>1.38E-2</v>
      </c>
      <c r="AA60" s="62">
        <f t="shared" si="8"/>
        <v>23.286200000000001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9"/>
        <v>0146-17</v>
      </c>
      <c r="AE60" s="85" t="str">
        <f t="shared" si="10"/>
        <v>aws s3 cp s3://rtdc.mdm.uploadarchive.raw/RTDC4031/ "%USERPROFILE%\AppData\Local\Temp\OnboardLogs"\RTDC4031\2017-04-17 --exclude "*" --recursive --include "*20170417*" &amp; "%USERPROFILE%\Documents\GitHub\mrs-test-scripts\Headless Mode &amp; Sideloading\WalkAndUnGZ.bat" "%USERPROFILE%\AppData\Local\Temp\OnboardLogs"\RTDC4031\2017-04-17 &amp; aws s3 cp s3://rtdc.mdm.uploadarchive.raw/RTDC4031/ "%USERPROFILE%\AppData\Local\Temp\OnboardLogs"\RTDC4031\2017-04-18 --exclude "*" --recursive --include "*20170418*" &amp; "%USERPROFILE%\Documents\GitHub\mrs-test-scripts\Headless Mode &amp; Sideloading\WalkAndUnGZ.bat" "%USERPROFILE%\AppData\Local\Temp\OnboardLogs"\RTDC4031\2017-04-18</v>
      </c>
      <c r="AF60" s="82" t="str">
        <f t="shared" si="11"/>
        <v>"C:\Program Files (x86)\AstroGrep\AstroGrep.exe" /e /r /s /spath="%USERPROFILE%\AppData\Local\Temp\OnboardLogs" /stypes="app*4031*20170417*" /stext=" 16:.+((SYSTEM_STATE.+slice.+state.+changed )|(ment ac)|(multiple cpu faults)|(system.+state.+changed )|(\[timeout)|(PRM\|1\|D)|(kpr)|(kdp)|(\|lc)|(penalty))"</v>
      </c>
      <c r="AG60" s="1" t="str">
        <f t="shared" si="12"/>
        <v>EC</v>
      </c>
      <c r="AH60" s="86" t="str">
        <f t="shared" si="17"/>
        <v>"%USERPROFILE%\Documents\GitHub\eaglep3\Utilities\RefineRTDCRunTimes.py" --tripid 146-17 --locoid 4031 --swversion DE.1.0.9.0 --startMP 204:233000 --initTime 2017-04-17T09:57:36 --startdatetime 2017-04-17T10:11:21 --delay 1 --endMP 204:138 --enddatetime 2017-04-17T10:50:26 --enforcementcount 0 &gt;&gt;C:\Users\stu\Documents\GitHub\eaglep3-reporting\EC\2017-04-17-refined-times.txt</v>
      </c>
      <c r="AI60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{"issue":{"subject":"","project_id":79,"tracker_id":40,"status_id":1,"priority_id":2,"assigned_to_id":23,"start_date":"2017-04-17","description":"","custom_fields":[{"id":1,"name":"Subdivision","value":"EC"},{"id":4,"name":"Milepost","value":"0.0138"},{"id":17,"name":"Train ID","value":"146-17"},{"id":16,"name":"Locomotive ID","value":"4031"},{"id":130,"name":"Impact","value":""},{"id":150,"name":"Time of Event (Mountain Time)","value":"10:50:26"},{"id":151,"name":"Denver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19"/>
        <v>start /low /b %USERPROFILE%\Documents\GitHub\eaglep3\Utilities\DownloadLogsFromS3.py --loco 4031 --day 2017-04-17</v>
      </c>
      <c r="AN60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16:50:26"},{"id":29,"name":"Sharepoint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705</v>
      </c>
      <c r="B61" s="7">
        <v>4054</v>
      </c>
      <c r="C61" s="21" t="s">
        <v>213</v>
      </c>
      <c r="D61" s="21" t="s">
        <v>205</v>
      </c>
      <c r="E61" s="13">
        <v>42842.394965277781</v>
      </c>
      <c r="F61" s="13">
        <v>42842.396099537036</v>
      </c>
      <c r="G61" s="7">
        <v>1</v>
      </c>
      <c r="H61" s="21" t="s">
        <v>868</v>
      </c>
      <c r="I61" s="13">
        <v>42842.420983796299</v>
      </c>
      <c r="J61" s="7">
        <v>0</v>
      </c>
      <c r="K61" s="97" t="str">
        <f t="shared" si="0"/>
        <v>4053/4054</v>
      </c>
      <c r="L61" s="21" t="str">
        <f>VLOOKUP(A61,'Trips&amp;Operators'!$C$1:$G$99999,5,FALSE)</f>
        <v>STARKS ANGELINA</v>
      </c>
      <c r="M61" s="6">
        <f t="shared" si="1"/>
        <v>2.4884259262762498E-2</v>
      </c>
      <c r="N61" s="7">
        <f t="shared" si="25"/>
        <v>35.833333338377997</v>
      </c>
      <c r="O61" s="7"/>
      <c r="P61" s="7"/>
      <c r="Q61" s="22"/>
      <c r="R61" s="22"/>
      <c r="S61" s="31">
        <f t="shared" si="26"/>
        <v>1</v>
      </c>
      <c r="T61" s="46" t="str">
        <f t="shared" si="2"/>
        <v>NorthBound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3"/>
        <v>https://d0f6bd738d7f1b3e5a7ca70fe4ff75f0.us-east-1.aws.found.io/app/kibana#/discover/Steve-Slow-Train-Analysis-(2080s-and-2083s)?_g=(refreshInterval:(display:Off,pause:!f,section:0,value:0),time:(from:'2017-04-17T08:28:45-0600',mode:absolute,to:'2017-04-17T11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1" s="183" t="str">
        <f t="shared" si="4"/>
        <v>N</v>
      </c>
      <c r="X61" s="183">
        <f t="shared" si="5"/>
        <v>1</v>
      </c>
      <c r="Y61" s="62">
        <f t="shared" si="6"/>
        <v>4.5999999999999999E-2</v>
      </c>
      <c r="Z61" s="62">
        <f t="shared" si="7"/>
        <v>23.331099999999999</v>
      </c>
      <c r="AA61" s="62">
        <f t="shared" si="8"/>
        <v>23.2851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9"/>
        <v>0147-17</v>
      </c>
      <c r="AE61" s="85" t="str">
        <f t="shared" si="10"/>
        <v>aws s3 cp s3://rtdc.mdm.uploadarchive.raw/RTDC4054/ "%USERPROFILE%\AppData\Local\Temp\OnboardLogs"\RTDC4054\2017-04-17 --exclude "*" --recursive --include "*20170417*" &amp; "%USERPROFILE%\Documents\GitHub\mrs-test-scripts\Headless Mode &amp; Sideloading\WalkAndUnGZ.bat" "%USERPROFILE%\AppData\Local\Temp\OnboardLogs"\RTDC4054\2017-04-17 &amp; aws s3 cp s3://rtdc.mdm.uploadarchive.raw/RTDC4054/ "%USERPROFILE%\AppData\Local\Temp\OnboardLogs"\RTDC4054\2017-04-18 --exclude "*" --recursive --include "*20170418*" &amp; "%USERPROFILE%\Documents\GitHub\mrs-test-scripts\Headless Mode &amp; Sideloading\WalkAndUnGZ.bat" "%USERPROFILE%\AppData\Local\Temp\OnboardLogs"\RTDC4054\2017-04-18</v>
      </c>
      <c r="AF61" s="82" t="str">
        <f t="shared" si="11"/>
        <v>"C:\Program Files (x86)\AstroGrep\AstroGrep.exe" /e /r /s /spath="%USERPROFILE%\AppData\Local\Temp\OnboardLogs" /stypes="app*4054*20170417*" /stext=" 16:.+((SYSTEM_STATE.+slice.+state.+changed )|(ment ac)|(multiple cpu faults)|(system.+state.+changed )|(\[timeout)|(PRM\|1\|D)|(kpr)|(kdp)|(\|lc)|(penalty))"</v>
      </c>
      <c r="AG61" s="1" t="str">
        <f t="shared" si="12"/>
        <v>EC</v>
      </c>
      <c r="AH61" s="86" t="str">
        <f t="shared" si="17"/>
        <v>"%USERPROFILE%\Documents\GitHub\eaglep3\Utilities\RefineRTDCRunTimes.py" --tripid 147-17 --locoid 4054 --swversion DE.1.0.9.0 --startMP 204:460 --initTime 2017-04-17T09:28:45 --startdatetime 2017-04-17T09:30:23 --delay 1 --endMP 204:233311 --enddatetime 2017-04-17T10:06:13 --enforcementcount 0 &gt;&gt;C:\Users\stu\Documents\GitHub\eaglep3-reporting\EC\2017-04-17-refined-times.txt</v>
      </c>
      <c r="AI61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{"issue":{"subject":"","project_id":79,"tracker_id":40,"status_id":1,"priority_id":2,"assigned_to_id":23,"start_date":"2017-04-17","description":"","custom_fields":[{"id":1,"name":"Subdivision","value":"EC"},{"id":4,"name":"Milepost","value":"23.3311"},{"id":17,"name":"Train ID","value":"147-17"},{"id":16,"name":"Locomotive ID","value":"4054"},{"id":130,"name":"Impact","value":""},{"id":150,"name":"Time of Event (Mountain Time)","value":"10:06:13"},{"id":151,"name":"Denver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19"/>
        <v>start /low /b %USERPROFILE%\Documents\GitHub\eaglep3\Utilities\DownloadLogsFromS3.py --loco 4054 --day 2017-04-17</v>
      </c>
      <c r="AN61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16:06:13"},{"id":29,"name":"Sharepoint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710</v>
      </c>
      <c r="B62" s="7">
        <v>4053</v>
      </c>
      <c r="C62" s="21" t="s">
        <v>213</v>
      </c>
      <c r="D62" s="21" t="s">
        <v>569</v>
      </c>
      <c r="E62" s="13">
        <v>42842.423125000001</v>
      </c>
      <c r="F62" s="13">
        <v>42842.435127314813</v>
      </c>
      <c r="G62" s="7">
        <v>0</v>
      </c>
      <c r="H62" s="21" t="s">
        <v>197</v>
      </c>
      <c r="I62" s="13">
        <v>42842.462824074071</v>
      </c>
      <c r="J62" s="7">
        <v>0</v>
      </c>
      <c r="K62" s="97" t="str">
        <f t="shared" si="0"/>
        <v>4053/4054</v>
      </c>
      <c r="L62" s="21" t="str">
        <f>VLOOKUP(A62,'Trips&amp;Operators'!$C$1:$G$99999,5,FALSE)</f>
        <v>STARKS ANGELINA</v>
      </c>
      <c r="M62" s="6">
        <f t="shared" si="1"/>
        <v>2.7696759258105885E-2</v>
      </c>
      <c r="N62" s="7">
        <f t="shared" si="25"/>
        <v>39.883333331672475</v>
      </c>
      <c r="O62" s="7"/>
      <c r="P62" s="7"/>
      <c r="Q62" s="22"/>
      <c r="R62" s="22"/>
      <c r="S62" s="31">
        <f t="shared" si="26"/>
        <v>1</v>
      </c>
      <c r="T62" s="46" t="str">
        <f t="shared" si="2"/>
        <v>Southbound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3"/>
        <v>https://d0f6bd738d7f1b3e5a7ca70fe4ff75f0.us-east-1.aws.found.io/app/kibana#/discover/Steve-Slow-Train-Analysis-(2080s-and-2083s)?_g=(refreshInterval:(display:Off,pause:!f,section:0,value:0),time:(from:'2017-04-17T09:09:18-0600',mode:absolute,to:'2017-04-17T12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2" s="183" t="str">
        <f t="shared" si="4"/>
        <v>N</v>
      </c>
      <c r="X62" s="183">
        <f t="shared" si="5"/>
        <v>1</v>
      </c>
      <c r="Y62" s="62">
        <f t="shared" si="6"/>
        <v>23.298400000000001</v>
      </c>
      <c r="Z62" s="62">
        <f t="shared" si="7"/>
        <v>1.52E-2</v>
      </c>
      <c r="AA62" s="62">
        <f t="shared" si="8"/>
        <v>23.283200000000001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9"/>
        <v>0148-17</v>
      </c>
      <c r="AE62" s="85" t="str">
        <f t="shared" si="10"/>
        <v>aws s3 cp s3://rtdc.mdm.uploadarchive.raw/RTDC4053/ "%USERPROFILE%\AppData\Local\Temp\OnboardLogs"\RTDC4053\2017-04-17 --exclude "*" --recursive --include "*20170417*" &amp; "%USERPROFILE%\Documents\GitHub\mrs-test-scripts\Headless Mode &amp; Sideloading\WalkAndUnGZ.bat" "%USERPROFILE%\AppData\Local\Temp\OnboardLogs"\RTDC4053\2017-04-17 &amp; aws s3 cp s3://rtdc.mdm.uploadarchive.raw/RTDC4053/ "%USERPROFILE%\AppData\Local\Temp\OnboardLogs"\RTDC4053\2017-04-18 --exclude "*" --recursive --include "*20170418*" &amp; "%USERPROFILE%\Documents\GitHub\mrs-test-scripts\Headless Mode &amp; Sideloading\WalkAndUnGZ.bat" "%USERPROFILE%\AppData\Local\Temp\OnboardLogs"\RTDC4053\2017-04-18</v>
      </c>
      <c r="AF62" s="82" t="str">
        <f t="shared" si="11"/>
        <v>"C:\Program Files (x86)\AstroGrep\AstroGrep.exe" /e /r /s /spath="%USERPROFILE%\AppData\Local\Temp\OnboardLogs" /stypes="app*4053*20170417*" /stext=" 17:.+((SYSTEM_STATE.+slice.+state.+changed )|(ment ac)|(multiple cpu faults)|(system.+state.+changed )|(\[timeout)|(PRM\|1\|D)|(kpr)|(kdp)|(\|lc)|(penalty))"</v>
      </c>
      <c r="AG62" s="1" t="str">
        <f t="shared" si="12"/>
        <v>EC</v>
      </c>
      <c r="AH62" s="86" t="str">
        <f t="shared" si="17"/>
        <v>"%USERPROFILE%\Documents\GitHub\eaglep3\Utilities\RefineRTDCRunTimes.py" --tripid 148-17 --locoid 4053 --swversion DE.1.0.9.0 --startMP 204:232984 --initTime 2017-04-17T10:09:18 --startdatetime 2017-04-17T10:26:35 --delay 0 --endMP 204:152 --enddatetime 2017-04-17T11:06:28 --enforcementcount 0 &gt;&gt;C:\Users\stu\Documents\GitHub\eaglep3-reporting\EC\2017-04-17-refined-times.txt</v>
      </c>
      <c r="AI62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{"issue":{"subject":"","project_id":79,"tracker_id":40,"status_id":1,"priority_id":2,"assigned_to_id":23,"start_date":"2017-04-17","description":"","custom_fields":[{"id":1,"name":"Subdivision","value":"EC"},{"id":4,"name":"Milepost","value":"0.0152"},{"id":17,"name":"Train ID","value":"148-17"},{"id":16,"name":"Locomotive ID","value":"4053"},{"id":130,"name":"Impact","value":""},{"id":150,"name":"Time of Event (Mountain Time)","value":"11:06:28"},{"id":151,"name":"Denver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19"/>
        <v>start /low /b %USERPROFILE%\Documents\GitHub\eaglep3\Utilities\DownloadLogsFromS3.py --loco 4053 --day 2017-04-17</v>
      </c>
      <c r="AN62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17:06:28"},{"id":29,"name":"Sharepoint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707</v>
      </c>
      <c r="B63" s="7">
        <v>4016</v>
      </c>
      <c r="C63" s="21" t="s">
        <v>213</v>
      </c>
      <c r="D63" s="21" t="s">
        <v>483</v>
      </c>
      <c r="E63" s="13">
        <v>42842.404699074075</v>
      </c>
      <c r="F63" s="13">
        <v>42842.406782407408</v>
      </c>
      <c r="G63" s="7">
        <v>0</v>
      </c>
      <c r="H63" s="21" t="s">
        <v>869</v>
      </c>
      <c r="I63" s="13">
        <v>42842.432627314818</v>
      </c>
      <c r="J63" s="7">
        <v>0</v>
      </c>
      <c r="K63" s="97" t="str">
        <f t="shared" si="0"/>
        <v>4015/4016</v>
      </c>
      <c r="L63" s="21" t="str">
        <f>VLOOKUP(A63,'Trips&amp;Operators'!$C$1:$G$99999,5,FALSE)</f>
        <v>BONDS REYNALDO</v>
      </c>
      <c r="M63" s="6">
        <f t="shared" si="1"/>
        <v>2.584490740991896E-2</v>
      </c>
      <c r="N63" s="7">
        <f t="shared" si="25"/>
        <v>37.216666670283303</v>
      </c>
      <c r="O63" s="7"/>
      <c r="P63" s="7"/>
      <c r="Q63" s="22"/>
      <c r="R63" s="22"/>
      <c r="S63" s="31">
        <f t="shared" si="26"/>
        <v>1</v>
      </c>
      <c r="T63" s="46" t="str">
        <f t="shared" si="2"/>
        <v>NorthBound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3"/>
        <v>https://d0f6bd738d7f1b3e5a7ca70fe4ff75f0.us-east-1.aws.found.io/app/kibana#/discover/Steve-Slow-Train-Analysis-(2080s-and-2083s)?_g=(refreshInterval:(display:Off,pause:!f,section:0,value:0),time:(from:'2017-04-17T08:42:46-0600',mode:absolute,to:'2017-04-17T11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3" s="183" t="str">
        <f t="shared" si="4"/>
        <v>N</v>
      </c>
      <c r="X63" s="183">
        <f t="shared" si="5"/>
        <v>1</v>
      </c>
      <c r="Y63" s="62">
        <f t="shared" si="6"/>
        <v>4.3999999999999997E-2</v>
      </c>
      <c r="Z63" s="62">
        <f t="shared" si="7"/>
        <v>23.331399999999999</v>
      </c>
      <c r="AA63" s="62">
        <f t="shared" si="8"/>
        <v>23.287399999999998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9"/>
        <v>0149-17</v>
      </c>
      <c r="AE63" s="85" t="str">
        <f t="shared" si="10"/>
        <v>aws s3 cp s3://rtdc.mdm.uploadarchive.raw/RTDC4016/ "%USERPROFILE%\AppData\Local\Temp\OnboardLogs"\RTDC4016\2017-04-17 --exclude "*" --recursive --include "*20170417*" &amp; "%USERPROFILE%\Documents\GitHub\mrs-test-scripts\Headless Mode &amp; Sideloading\WalkAndUnGZ.bat" "%USERPROFILE%\AppData\Local\Temp\OnboardLogs"\RTDC4016\2017-04-17 &amp; aws s3 cp s3://rtdc.mdm.uploadarchive.raw/RTDC4016/ "%USERPROFILE%\AppData\Local\Temp\OnboardLogs"\RTDC4016\2017-04-18 --exclude "*" --recursive --include "*20170418*" &amp; "%USERPROFILE%\Documents\GitHub\mrs-test-scripts\Headless Mode &amp; Sideloading\WalkAndUnGZ.bat" "%USERPROFILE%\AppData\Local\Temp\OnboardLogs"\RTDC4016\2017-04-18</v>
      </c>
      <c r="AF63" s="82" t="str">
        <f t="shared" si="11"/>
        <v>"C:\Program Files (x86)\AstroGrep\AstroGrep.exe" /e /r /s /spath="%USERPROFILE%\AppData\Local\Temp\OnboardLogs" /stypes="app*4016*20170417*" /stext=" 16:.+((SYSTEM_STATE.+slice.+state.+changed )|(ment ac)|(multiple cpu faults)|(system.+state.+changed )|(\[timeout)|(PRM\|1\|D)|(kpr)|(kdp)|(\|lc)|(penalty))"</v>
      </c>
      <c r="AG63" s="1" t="str">
        <f t="shared" si="12"/>
        <v>EC</v>
      </c>
      <c r="AH63" s="86" t="str">
        <f t="shared" si="17"/>
        <v>"%USERPROFILE%\Documents\GitHub\eaglep3\Utilities\RefineRTDCRunTimes.py" --tripid 149-17 --locoid 4016 --swversion DE.1.0.9.0 --startMP 204:440 --initTime 2017-04-17T09:42:46 --startdatetime 2017-04-17T09:45:46 --delay 0 --endMP 204:233314 --enddatetime 2017-04-17T10:22:59 --enforcementcount 0 &gt;&gt;C:\Users\stu\Documents\GitHub\eaglep3-reporting\EC\2017-04-17-refined-times.txt</v>
      </c>
      <c r="AI63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{"issue":{"subject":"","project_id":79,"tracker_id":40,"status_id":1,"priority_id":2,"assigned_to_id":23,"start_date":"2017-04-17","description":"","custom_fields":[{"id":1,"name":"Subdivision","value":"EC"},{"id":4,"name":"Milepost","value":"23.3314"},{"id":17,"name":"Train ID","value":"149-17"},{"id":16,"name":"Locomotive ID","value":"4016"},{"id":130,"name":"Impact","value":""},{"id":150,"name":"Time of Event (Mountain Time)","value":"10:22:59"},{"id":151,"name":"Denver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19"/>
        <v>start /low /b %USERPROFILE%\Documents\GitHub\eaglep3\Utilities\DownloadLogsFromS3.py --loco 4016 --day 2017-04-17</v>
      </c>
      <c r="AN63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16:22:59"},{"id":29,"name":"Sharepoint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714</v>
      </c>
      <c r="B64" s="7">
        <v>4015</v>
      </c>
      <c r="C64" s="21" t="s">
        <v>213</v>
      </c>
      <c r="D64" s="21" t="s">
        <v>476</v>
      </c>
      <c r="E64" s="13">
        <v>42842.442465277774</v>
      </c>
      <c r="F64" s="13">
        <v>42842.446944444448</v>
      </c>
      <c r="G64" s="7">
        <v>1</v>
      </c>
      <c r="H64" s="21" t="s">
        <v>870</v>
      </c>
      <c r="I64" s="13">
        <v>42842.476666666669</v>
      </c>
      <c r="J64" s="7">
        <v>0</v>
      </c>
      <c r="K64" s="97" t="str">
        <f t="shared" si="0"/>
        <v>4015/4016</v>
      </c>
      <c r="L64" s="21" t="str">
        <f>VLOOKUP(A64,'Trips&amp;Operators'!$C$1:$G$99999,5,FALSE)</f>
        <v>BONDS REYNALDO</v>
      </c>
      <c r="M64" s="6">
        <f t="shared" si="1"/>
        <v>2.9722222221607808E-2</v>
      </c>
      <c r="N64" s="7">
        <f t="shared" si="25"/>
        <v>42.799999999115244</v>
      </c>
      <c r="O64" s="7"/>
      <c r="P64" s="7"/>
      <c r="Q64" s="22"/>
      <c r="R64" s="22"/>
      <c r="S64" s="31">
        <f t="shared" si="26"/>
        <v>1</v>
      </c>
      <c r="T64" s="46" t="str">
        <f t="shared" si="2"/>
        <v>Southbound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3"/>
        <v>https://d0f6bd738d7f1b3e5a7ca70fe4ff75f0.us-east-1.aws.found.io/app/kibana#/discover/Steve-Slow-Train-Analysis-(2080s-and-2083s)?_g=(refreshInterval:(display:Off,pause:!f,section:0,value:0),time:(from:'2017-04-17T09:37:09-0600',mode:absolute,to:'2017-04-17T12:26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4" s="183" t="str">
        <f t="shared" si="4"/>
        <v>N</v>
      </c>
      <c r="X64" s="183">
        <f t="shared" si="5"/>
        <v>1</v>
      </c>
      <c r="Y64" s="62">
        <f t="shared" si="6"/>
        <v>23.299800000000001</v>
      </c>
      <c r="Z64" s="62">
        <f t="shared" si="7"/>
        <v>0.1162</v>
      </c>
      <c r="AA64" s="62">
        <f t="shared" si="8"/>
        <v>23.183600000000002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9"/>
        <v>0150-17</v>
      </c>
      <c r="AE64" s="85" t="str">
        <f t="shared" si="10"/>
        <v>aws s3 cp s3://rtdc.mdm.uploadarchive.raw/RTDC4015/ "%USERPROFILE%\AppData\Local\Temp\OnboardLogs"\RTDC4015\2017-04-17 --exclude "*" --recursive --include "*20170417*" &amp; "%USERPROFILE%\Documents\GitHub\mrs-test-scripts\Headless Mode &amp; Sideloading\WalkAndUnGZ.bat" "%USERPROFILE%\AppData\Local\Temp\OnboardLogs"\RTDC4015\2017-04-17 &amp; aws s3 cp s3://rtdc.mdm.uploadarchive.raw/RTDC4015/ "%USERPROFILE%\AppData\Local\Temp\OnboardLogs"\RTDC4015\2017-04-18 --exclude "*" --recursive --include "*20170418*" &amp; "%USERPROFILE%\Documents\GitHub\mrs-test-scripts\Headless Mode &amp; Sideloading\WalkAndUnGZ.bat" "%USERPROFILE%\AppData\Local\Temp\OnboardLogs"\RTDC4015\2017-04-18</v>
      </c>
      <c r="AF64" s="82" t="str">
        <f t="shared" si="11"/>
        <v>"C:\Program Files (x86)\AstroGrep\AstroGrep.exe" /e /r /s /spath="%USERPROFILE%\AppData\Local\Temp\OnboardLogs" /stypes="app*4015*20170417*" /stext=" 17:.+((SYSTEM_STATE.+slice.+state.+changed )|(ment ac)|(multiple cpu faults)|(system.+state.+changed )|(\[timeout)|(PRM\|1\|D)|(kpr)|(kdp)|(\|lc)|(penalty))"</v>
      </c>
      <c r="AG64" s="1" t="str">
        <f t="shared" si="12"/>
        <v>EC</v>
      </c>
      <c r="AH64" s="86" t="str">
        <f t="shared" si="17"/>
        <v>"%USERPROFILE%\Documents\GitHub\eaglep3\Utilities\RefineRTDCRunTimes.py" --tripid 150-17 --locoid 4015 --swversion DE.1.0.9.0 --startMP 204:232998 --initTime 2017-04-17T10:37:09 --startdatetime 2017-04-17T10:43:36 --delay 1 --endMP 204:1162 --enddatetime 2017-04-17T11:26:24 --enforcementcount 0 &gt;&gt;C:\Users\stu\Documents\GitHub\eaglep3-reporting\EC\2017-04-17-refined-times.txt</v>
      </c>
      <c r="AI64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{"issue":{"subject":"","project_id":79,"tracker_id":40,"status_id":1,"priority_id":2,"assigned_to_id":23,"start_date":"2017-04-17","description":"","custom_fields":[{"id":1,"name":"Subdivision","value":"EC"},{"id":4,"name":"Milepost","value":"0.1162"},{"id":17,"name":"Train ID","value":"150-17"},{"id":16,"name":"Locomotive ID","value":"4015"},{"id":130,"name":"Impact","value":""},{"id":150,"name":"Time of Event (Mountain Time)","value":"11:26:24"},{"id":151,"name":"Denver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19"/>
        <v>start /low /b %USERPROFILE%\Documents\GitHub\eaglep3\Utilities\DownloadLogsFromS3.py --loco 4015 --day 2017-04-17</v>
      </c>
      <c r="AN64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17:26:24"},{"id":29,"name":"Sharepoint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709</v>
      </c>
      <c r="B65" s="7">
        <v>4046</v>
      </c>
      <c r="C65" s="21" t="s">
        <v>213</v>
      </c>
      <c r="D65" s="21" t="s">
        <v>453</v>
      </c>
      <c r="E65" s="13">
        <v>42842.412407407406</v>
      </c>
      <c r="F65" s="13">
        <v>42842.416828703703</v>
      </c>
      <c r="G65" s="7">
        <v>1</v>
      </c>
      <c r="H65" s="21" t="s">
        <v>868</v>
      </c>
      <c r="I65" s="13">
        <v>42842.441655092596</v>
      </c>
      <c r="J65" s="7">
        <v>0</v>
      </c>
      <c r="K65" s="97" t="str">
        <f t="shared" si="0"/>
        <v>4045/4046</v>
      </c>
      <c r="L65" s="21" t="str">
        <f>VLOOKUP(A65,'Trips&amp;Operators'!$C$1:$G$99999,5,FALSE)</f>
        <v>SHOOK JOHN</v>
      </c>
      <c r="M65" s="6">
        <f t="shared" si="1"/>
        <v>2.4826388893416151E-2</v>
      </c>
      <c r="N65" s="7">
        <f t="shared" si="25"/>
        <v>35.750000006519258</v>
      </c>
      <c r="O65" s="7"/>
      <c r="P65" s="7"/>
      <c r="Q65" s="22"/>
      <c r="R65" s="22"/>
      <c r="S65" s="31">
        <f t="shared" si="26"/>
        <v>1</v>
      </c>
      <c r="T65" s="46" t="str">
        <f t="shared" si="2"/>
        <v>NorthBound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3"/>
        <v>https://d0f6bd738d7f1b3e5a7ca70fe4ff75f0.us-east-1.aws.found.io/app/kibana#/discover/Steve-Slow-Train-Analysis-(2080s-and-2083s)?_g=(refreshInterval:(display:Off,pause:!f,section:0,value:0),time:(from:'2017-04-17T08:53:52-0600',mode:absolute,to:'2017-04-17T11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5" s="183" t="str">
        <f t="shared" si="4"/>
        <v>N</v>
      </c>
      <c r="X65" s="183">
        <f t="shared" si="5"/>
        <v>1</v>
      </c>
      <c r="Y65" s="62">
        <f t="shared" si="6"/>
        <v>4.6699999999999998E-2</v>
      </c>
      <c r="Z65" s="62">
        <f t="shared" si="7"/>
        <v>23.331099999999999</v>
      </c>
      <c r="AA65" s="62">
        <f t="shared" si="8"/>
        <v>23.284399999999998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9"/>
        <v>0151-17</v>
      </c>
      <c r="AE65" s="85" t="str">
        <f t="shared" si="10"/>
        <v>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 &amp; aws s3 cp s3://rtdc.mdm.uploadarchive.raw/RTDC4046/ "%USERPROFILE%\AppData\Local\Temp\OnboardLogs"\RTDC4046\2017-04-18 --exclude "*" --recursive --include "*20170418*" &amp; "%USERPROFILE%\Documents\GitHub\mrs-test-scripts\Headless Mode &amp; Sideloading\WalkAndUnGZ.bat" "%USERPROFILE%\AppData\Local\Temp\OnboardLogs"\RTDC4046\2017-04-18</v>
      </c>
      <c r="AF65" s="82" t="str">
        <f t="shared" si="11"/>
        <v>"C:\Program Files (x86)\AstroGrep\AstroGrep.exe" /e /r /s /spath="%USERPROFILE%\AppData\Local\Temp\OnboardLogs" /stypes="app*4046*20170417*" /stext=" 16:.+((SYSTEM_STATE.+slice.+state.+changed )|(ment ac)|(multiple cpu faults)|(system.+state.+changed )|(\[timeout)|(PRM\|1\|D)|(kpr)|(kdp)|(\|lc)|(penalty))"</v>
      </c>
      <c r="AG65" s="1" t="str">
        <f t="shared" si="12"/>
        <v>EC</v>
      </c>
      <c r="AH65" s="86" t="str">
        <f t="shared" si="17"/>
        <v>"%USERPROFILE%\Documents\GitHub\eaglep3\Utilities\RefineRTDCRunTimes.py" --tripid 151-17 --locoid 4046 --swversion DE.1.0.9.0 --startMP 204:467 --initTime 2017-04-17T09:53:52 --startdatetime 2017-04-17T10:00:14 --delay 1 --endMP 204:233311 --enddatetime 2017-04-17T10:35:59 --enforcementcount 0 &gt;&gt;C:\Users\stu\Documents\GitHub\eaglep3-reporting\EC\2017-04-17-refined-times.txt</v>
      </c>
      <c r="AI65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{"issue":{"subject":"","project_id":79,"tracker_id":40,"status_id":1,"priority_id":2,"assigned_to_id":23,"start_date":"2017-04-17","description":"","custom_fields":[{"id":1,"name":"Subdivision","value":"EC"},{"id":4,"name":"Milepost","value":"23.3311"},{"id":17,"name":"Train ID","value":"151-17"},{"id":16,"name":"Locomotive ID","value":"4046"},{"id":130,"name":"Impact","value":""},{"id":150,"name":"Time of Event (Mountain Time)","value":"10:35:59"},{"id":151,"name":"Denver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19"/>
        <v>start /low /b %USERPROFILE%\Documents\GitHub\eaglep3\Utilities\DownloadLogsFromS3.py --loco 4046 --day 2017-04-17</v>
      </c>
      <c r="AN65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16:35:59"},{"id":29,"name":"Sharepoint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717</v>
      </c>
      <c r="B66" s="7">
        <v>4045</v>
      </c>
      <c r="C66" s="21" t="s">
        <v>213</v>
      </c>
      <c r="D66" s="21" t="s">
        <v>485</v>
      </c>
      <c r="E66" s="13">
        <v>42842.443449074075</v>
      </c>
      <c r="F66" s="13">
        <v>42842.455717592595</v>
      </c>
      <c r="G66" s="7">
        <v>1</v>
      </c>
      <c r="H66" s="21" t="s">
        <v>210</v>
      </c>
      <c r="I66" s="13">
        <v>42842.484733796293</v>
      </c>
      <c r="J66" s="7">
        <v>0</v>
      </c>
      <c r="K66" s="97" t="str">
        <f t="shared" si="0"/>
        <v>4045/4046</v>
      </c>
      <c r="L66" s="21" t="str">
        <f>VLOOKUP(A66,'Trips&amp;Operators'!$C$1:$G$99999,5,FALSE)</f>
        <v>SHOOK JOHN</v>
      </c>
      <c r="M66" s="6">
        <f t="shared" si="1"/>
        <v>2.901620369812008E-2</v>
      </c>
      <c r="N66" s="7">
        <f t="shared" si="25"/>
        <v>41.783333325292915</v>
      </c>
      <c r="O66" s="7"/>
      <c r="P66" s="7"/>
      <c r="Q66" s="22"/>
      <c r="R66" s="22"/>
      <c r="S66" s="31">
        <f t="shared" si="26"/>
        <v>1</v>
      </c>
      <c r="T66" s="46" t="str">
        <f t="shared" si="2"/>
        <v>Southbound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3"/>
        <v>https://d0f6bd738d7f1b3e5a7ca70fe4ff75f0.us-east-1.aws.found.io/app/kibana#/discover/Steve-Slow-Train-Analysis-(2080s-and-2083s)?_g=(refreshInterval:(display:Off,pause:!f,section:0,value:0),time:(from:'2017-04-17T09:38:34-0600',mode:absolute,to:'2017-04-17T12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6" s="183" t="str">
        <f t="shared" si="4"/>
        <v>N</v>
      </c>
      <c r="X66" s="183">
        <f t="shared" si="5"/>
        <v>1</v>
      </c>
      <c r="Y66" s="62">
        <f t="shared" si="6"/>
        <v>23.2986</v>
      </c>
      <c r="Z66" s="62">
        <f t="shared" si="7"/>
        <v>1.47E-2</v>
      </c>
      <c r="AA66" s="62">
        <f t="shared" si="8"/>
        <v>23.283899999999999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9"/>
        <v>0152-17</v>
      </c>
      <c r="AE66" s="85" t="str">
        <f t="shared" si="10"/>
        <v>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 &amp; aws s3 cp s3://rtdc.mdm.uploadarchive.raw/RTDC4045/ "%USERPROFILE%\AppData\Local\Temp\OnboardLogs"\RTDC4045\2017-04-18 --exclude "*" --recursive --include "*20170418*" &amp; "%USERPROFILE%\Documents\GitHub\mrs-test-scripts\Headless Mode &amp; Sideloading\WalkAndUnGZ.bat" "%USERPROFILE%\AppData\Local\Temp\OnboardLogs"\RTDC4045\2017-04-18</v>
      </c>
      <c r="AF66" s="82" t="str">
        <f t="shared" si="11"/>
        <v>"C:\Program Files (x86)\AstroGrep\AstroGrep.exe" /e /r /s /spath="%USERPROFILE%\AppData\Local\Temp\OnboardLogs" /stypes="app*4045*20170417*" /stext=" 17:.+((SYSTEM_STATE.+slice.+state.+changed )|(ment ac)|(multiple cpu faults)|(system.+state.+changed )|(\[timeout)|(PRM\|1\|D)|(kpr)|(kdp)|(\|lc)|(penalty))"</v>
      </c>
      <c r="AG66" s="1" t="str">
        <f t="shared" si="12"/>
        <v>EC</v>
      </c>
      <c r="AH66" s="86" t="str">
        <f t="shared" si="17"/>
        <v>"%USERPROFILE%\Documents\GitHub\eaglep3\Utilities\RefineRTDCRunTimes.py" --tripid 152-17 --locoid 4045 --swversion DE.1.0.9.0 --startMP 204:232986 --initTime 2017-04-17T10:38:34 --startdatetime 2017-04-17T10:56:14 --delay 1 --endMP 204:147 --enddatetime 2017-04-17T11:38:01 --enforcementcount 0 &gt;&gt;C:\Users\stu\Documents\GitHub\eaglep3-reporting\EC\2017-04-17-refined-times.txt</v>
      </c>
      <c r="AI66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{"issue":{"subject":"","project_id":79,"tracker_id":40,"status_id":1,"priority_id":2,"assigned_to_id":23,"start_date":"2017-04-17","description":"","custom_fields":[{"id":1,"name":"Subdivision","value":"EC"},{"id":4,"name":"Milepost","value":"0.0147"},{"id":17,"name":"Train ID","value":"152-17"},{"id":16,"name":"Locomotive ID","value":"4045"},{"id":130,"name":"Impact","value":""},{"id":150,"name":"Time of Event (Mountain Time)","value":"11:38:01"},{"id":151,"name":"Denver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19"/>
        <v>start /low /b %USERPROFILE%\Documents\GitHub\eaglep3\Utilities\DownloadLogsFromS3.py --loco 4045 --day 2017-04-17</v>
      </c>
      <c r="AN66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17:38:01"},{"id":29,"name":"Sharepoint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711</v>
      </c>
      <c r="B67" s="7">
        <v>4008</v>
      </c>
      <c r="C67" s="21" t="s">
        <v>213</v>
      </c>
      <c r="D67" s="21" t="s">
        <v>209</v>
      </c>
      <c r="E67" s="13">
        <v>42842.426736111112</v>
      </c>
      <c r="F67" s="13">
        <v>42842.428032407406</v>
      </c>
      <c r="G67" s="7">
        <v>1</v>
      </c>
      <c r="H67" s="21" t="s">
        <v>564</v>
      </c>
      <c r="I67" s="13">
        <v>42842.452453703707</v>
      </c>
      <c r="J67" s="7">
        <v>0</v>
      </c>
      <c r="K67" s="97" t="str">
        <f t="shared" si="0"/>
        <v>4007/4008</v>
      </c>
      <c r="L67" s="21" t="str">
        <f>VLOOKUP(A67,'Trips&amp;Operators'!$C$1:$G$99999,5,FALSE)</f>
        <v>YORK EDGAR</v>
      </c>
      <c r="M67" s="6">
        <f t="shared" si="1"/>
        <v>2.4421296300715767E-2</v>
      </c>
      <c r="N67" s="7">
        <f t="shared" si="25"/>
        <v>35.166666673030704</v>
      </c>
      <c r="O67" s="7"/>
      <c r="P67" s="7"/>
      <c r="Q67" s="22"/>
      <c r="R67" s="22"/>
      <c r="S67" s="31">
        <f t="shared" si="26"/>
        <v>1</v>
      </c>
      <c r="T67" s="46" t="str">
        <f t="shared" si="2"/>
        <v>NorthBound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3"/>
        <v>https://d0f6bd738d7f1b3e5a7ca70fe4ff75f0.us-east-1.aws.found.io/app/kibana#/discover/Steve-Slow-Train-Analysis-(2080s-and-2083s)?_g=(refreshInterval:(display:Off,pause:!f,section:0,value:0),time:(from:'2017-04-17T09:14:30-0600',mode:absolute,to:'2017-04-17T11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7" s="183" t="str">
        <f t="shared" si="4"/>
        <v>N</v>
      </c>
      <c r="X67" s="183">
        <f t="shared" si="5"/>
        <v>1</v>
      </c>
      <c r="Y67" s="62">
        <f t="shared" si="6"/>
        <v>4.5499999999999999E-2</v>
      </c>
      <c r="Z67" s="62">
        <f t="shared" si="7"/>
        <v>23.330400000000001</v>
      </c>
      <c r="AA67" s="62">
        <f t="shared" si="8"/>
        <v>23.2849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9"/>
        <v>0153-17</v>
      </c>
      <c r="AE67" s="85" t="str">
        <f t="shared" si="10"/>
        <v>aws s3 cp s3://rtdc.mdm.uploadarchive.raw/RTDC4008/ "%USERPROFILE%\AppData\Local\Temp\OnboardLogs"\RTDC4008\2017-04-17 --exclude "*" --recursive --include "*20170417*" &amp; "%USERPROFILE%\Documents\GitHub\mrs-test-scripts\Headless Mode &amp; Sideloading\WalkAndUnGZ.bat" "%USERPROFILE%\AppData\Local\Temp\OnboardLogs"\RTDC4008\2017-04-17 &amp; aws s3 cp s3://rtdc.mdm.uploadarchive.raw/RTDC4008/ "%USERPROFILE%\AppData\Local\Temp\OnboardLogs"\RTDC4008\2017-04-18 --exclude "*" --recursive --include "*20170418*" &amp; "%USERPROFILE%\Documents\GitHub\mrs-test-scripts\Headless Mode &amp; Sideloading\WalkAndUnGZ.bat" "%USERPROFILE%\AppData\Local\Temp\OnboardLogs"\RTDC4008\2017-04-18</v>
      </c>
      <c r="AF67" s="82" t="str">
        <f t="shared" si="11"/>
        <v>"C:\Program Files (x86)\AstroGrep\AstroGrep.exe" /e /r /s /spath="%USERPROFILE%\AppData\Local\Temp\OnboardLogs" /stypes="app*4008*20170417*" /stext=" 16:.+((SYSTEM_STATE.+slice.+state.+changed )|(ment ac)|(multiple cpu faults)|(system.+state.+changed )|(\[timeout)|(PRM\|1\|D)|(kpr)|(kdp)|(\|lc)|(penalty))"</v>
      </c>
      <c r="AG67" s="1" t="str">
        <f t="shared" si="12"/>
        <v>EC</v>
      </c>
      <c r="AH67" s="86" t="str">
        <f t="shared" si="17"/>
        <v>"%USERPROFILE%\Documents\GitHub\eaglep3\Utilities\RefineRTDCRunTimes.py" --tripid 153-17 --locoid 4008 --swversion DE.1.0.9.0 --startMP 204:455 --initTime 2017-04-17T10:14:30 --startdatetime 2017-04-17T10:16:22 --delay 1 --endMP 204:233304 --enddatetime 2017-04-17T10:51:32 --enforcementcount 0 &gt;&gt;C:\Users\stu\Documents\GitHub\eaglep3-reporting\EC\2017-04-17-refined-times.txt</v>
      </c>
      <c r="AI67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{"issue":{"subject":"","project_id":79,"tracker_id":40,"status_id":1,"priority_id":2,"assigned_to_id":23,"start_date":"2017-04-17","description":"","custom_fields":[{"id":1,"name":"Subdivision","value":"EC"},{"id":4,"name":"Milepost","value":"23.3304"},{"id":17,"name":"Train ID","value":"153-17"},{"id":16,"name":"Locomotive ID","value":"4008"},{"id":130,"name":"Impact","value":""},{"id":150,"name":"Time of Event (Mountain Time)","value":"10:51:32"},{"id":151,"name":"Denver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19"/>
        <v>start /low /b %USERPROFILE%\Documents\GitHub\eaglep3\Utilities\DownloadLogsFromS3.py --loco 4008 --day 2017-04-17</v>
      </c>
      <c r="AN67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16:51:32"},{"id":29,"name":"Sharepoint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718</v>
      </c>
      <c r="B68" s="7">
        <v>4007</v>
      </c>
      <c r="C68" s="21" t="s">
        <v>213</v>
      </c>
      <c r="D68" s="21" t="s">
        <v>534</v>
      </c>
      <c r="E68" s="13">
        <v>42842.4534375</v>
      </c>
      <c r="F68" s="13">
        <v>42842.466631944444</v>
      </c>
      <c r="G68" s="7">
        <v>1</v>
      </c>
      <c r="H68" s="21" t="s">
        <v>203</v>
      </c>
      <c r="I68" s="13">
        <v>42842.492581018516</v>
      </c>
      <c r="J68" s="7">
        <v>0</v>
      </c>
      <c r="K68" s="97" t="str">
        <f t="shared" si="0"/>
        <v>4007/4008</v>
      </c>
      <c r="L68" s="21" t="str">
        <f>VLOOKUP(A68,'Trips&amp;Operators'!$C$1:$G$99999,5,FALSE)</f>
        <v>YORK EDGAR</v>
      </c>
      <c r="M68" s="6">
        <f t="shared" si="1"/>
        <v>2.5949074071832001E-2</v>
      </c>
      <c r="N68" s="7">
        <f t="shared" si="25"/>
        <v>37.366666663438082</v>
      </c>
      <c r="O68" s="7"/>
      <c r="P68" s="7"/>
      <c r="Q68" s="22"/>
      <c r="R68" s="22"/>
      <c r="S68" s="31">
        <f t="shared" si="26"/>
        <v>1</v>
      </c>
      <c r="T68" s="46" t="str">
        <f t="shared" si="2"/>
        <v>Southbound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 t="shared" si="3"/>
        <v>https://d0f6bd738d7f1b3e5a7ca70fe4ff75f0.us-east-1.aws.found.io/app/kibana#/discover/Steve-Slow-Train-Analysis-(2080s-and-2083s)?_g=(refreshInterval:(display:Off,pause:!f,section:0,value:0),time:(from:'2017-04-17T09:52:57-0600',mode:absolute,to:'2017-04-17T12:49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8" s="183" t="str">
        <f t="shared" si="4"/>
        <v>N</v>
      </c>
      <c r="X68" s="183">
        <f t="shared" si="5"/>
        <v>1</v>
      </c>
      <c r="Y68" s="62">
        <f t="shared" si="6"/>
        <v>23.2987</v>
      </c>
      <c r="Z68" s="62">
        <f t="shared" si="7"/>
        <v>1.54E-2</v>
      </c>
      <c r="AA68" s="62">
        <f t="shared" si="8"/>
        <v>23.283300000000001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9"/>
        <v>0154-17</v>
      </c>
      <c r="AE68" s="85" t="str">
        <f t="shared" si="10"/>
        <v>aws s3 cp s3://rtdc.mdm.uploadarchive.raw/RTDC4007/ "%USERPROFILE%\AppData\Local\Temp\OnboardLogs"\RTDC4007\2017-04-17 --exclude "*" --recursive --include "*20170417*" &amp; "%USERPROFILE%\Documents\GitHub\mrs-test-scripts\Headless Mode &amp; Sideloading\WalkAndUnGZ.bat" "%USERPROFILE%\AppData\Local\Temp\OnboardLogs"\RTDC4007\2017-04-17 &amp; aws s3 cp s3://rtdc.mdm.uploadarchive.raw/RTDC4007/ "%USERPROFILE%\AppData\Local\Temp\OnboardLogs"\RTDC4007\2017-04-18 --exclude "*" --recursive --include "*20170418*" &amp; "%USERPROFILE%\Documents\GitHub\mrs-test-scripts\Headless Mode &amp; Sideloading\WalkAndUnGZ.bat" "%USERPROFILE%\AppData\Local\Temp\OnboardLogs"\RTDC4007\2017-04-18</v>
      </c>
      <c r="AF68" s="82" t="str">
        <f t="shared" si="11"/>
        <v>"C:\Program Files (x86)\AstroGrep\AstroGrep.exe" /e /r /s /spath="%USERPROFILE%\AppData\Local\Temp\OnboardLogs" /stypes="app*4007*20170417*" /stext=" 17:.+((SYSTEM_STATE.+slice.+state.+changed )|(ment ac)|(multiple cpu faults)|(system.+state.+changed )|(\[timeout)|(PRM\|1\|D)|(kpr)|(kdp)|(\|lc)|(penalty))"</v>
      </c>
      <c r="AG68" s="1" t="str">
        <f t="shared" si="12"/>
        <v>EC</v>
      </c>
      <c r="AH68" s="86" t="str">
        <f t="shared" si="17"/>
        <v>"%USERPROFILE%\Documents\GitHub\eaglep3\Utilities\RefineRTDCRunTimes.py" --tripid 154-17 --locoid 4007 --swversion DE.1.0.9.0 --startMP 204:232987 --initTime 2017-04-17T10:52:57 --startdatetime 2017-04-17T11:11:57 --delay 1 --endMP 204:154 --enddatetime 2017-04-17T11:49:19 --enforcementcount 0 &gt;&gt;C:\Users\stu\Documents\GitHub\eaglep3-reporting\EC\2017-04-17-refined-times.txt</v>
      </c>
      <c r="AI68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{"issue":{"subject":"","project_id":79,"tracker_id":40,"status_id":1,"priority_id":2,"assigned_to_id":23,"start_date":"2017-04-17","description":"","custom_fields":[{"id":1,"name":"Subdivision","value":"EC"},{"id":4,"name":"Milepost","value":"0.0154"},{"id":17,"name":"Train ID","value":"154-17"},{"id":16,"name":"Locomotive ID","value":"4007"},{"id":130,"name":"Impact","value":""},{"id":150,"name":"Time of Event (Mountain Time)","value":"11:49:19"},{"id":151,"name":"Denver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19"/>
        <v>start /low /b %USERPROFILE%\Documents\GitHub\eaglep3\Utilities\DownloadLogsFromS3.py --loco 4007 --day 2017-04-17</v>
      </c>
      <c r="AN68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17:49:19"},{"id":29,"name":"Sharepoint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713</v>
      </c>
      <c r="B69" s="7">
        <v>4002</v>
      </c>
      <c r="C69" s="21" t="s">
        <v>213</v>
      </c>
      <c r="D69" s="21" t="s">
        <v>864</v>
      </c>
      <c r="E69" s="13">
        <v>42842.43241898148</v>
      </c>
      <c r="F69" s="13">
        <v>42842.437650462962</v>
      </c>
      <c r="G69" s="7">
        <v>1</v>
      </c>
      <c r="H69" s="21" t="s">
        <v>871</v>
      </c>
      <c r="I69" s="13">
        <v>42842.463888888888</v>
      </c>
      <c r="J69" s="7">
        <v>0</v>
      </c>
      <c r="K69" s="97" t="str">
        <f t="shared" si="0"/>
        <v>4001/4002</v>
      </c>
      <c r="L69" s="21" t="str">
        <f>VLOOKUP(A69,'Trips&amp;Operators'!$C$1:$G$99999,5,FALSE)</f>
        <v>LALONDE GREGORY</v>
      </c>
      <c r="M69" s="6">
        <f t="shared" si="1"/>
        <v>2.6238425925839692E-2</v>
      </c>
      <c r="N69" s="7">
        <f t="shared" si="25"/>
        <v>37.783333333209157</v>
      </c>
      <c r="O69" s="7"/>
      <c r="P69" s="7"/>
      <c r="Q69" s="22"/>
      <c r="R69" s="22"/>
      <c r="S69" s="31">
        <f t="shared" si="26"/>
        <v>1</v>
      </c>
      <c r="T69" s="46" t="str">
        <f t="shared" si="2"/>
        <v>NorthBound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3"/>
        <v>https://d0f6bd738d7f1b3e5a7ca70fe4ff75f0.us-east-1.aws.found.io/app/kibana#/discover/Steve-Slow-Train-Analysis-(2080s-and-2083s)?_g=(refreshInterval:(display:Off,pause:!f,section:0,value:0),time:(from:'2017-04-17T09:22:41-0600',mode:absolute,to:'2017-04-17T12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9" s="183" t="str">
        <f t="shared" si="4"/>
        <v>N</v>
      </c>
      <c r="X69" s="183">
        <f t="shared" si="5"/>
        <v>1</v>
      </c>
      <c r="Y69" s="62">
        <f t="shared" si="6"/>
        <v>4.6899999999999997E-2</v>
      </c>
      <c r="Z69" s="62">
        <f t="shared" si="7"/>
        <v>23.332000000000001</v>
      </c>
      <c r="AA69" s="62">
        <f t="shared" si="8"/>
        <v>23.2851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9"/>
        <v>0155-17</v>
      </c>
      <c r="AE69" s="85" t="str">
        <f t="shared" si="10"/>
        <v>aws s3 cp s3://rtdc.mdm.uploadarchive.raw/RTDC4002/ "%USERPROFILE%\AppData\Local\Temp\OnboardLogs"\RTDC4002\2017-04-17 --exclude "*" --recursive --include "*20170417*" &amp; "%USERPROFILE%\Documents\GitHub\mrs-test-scripts\Headless Mode &amp; Sideloading\WalkAndUnGZ.bat" "%USERPROFILE%\AppData\Local\Temp\OnboardLogs"\RTDC4002\2017-04-17 &amp; aws s3 cp s3://rtdc.mdm.uploadarchive.raw/RTDC4002/ "%USERPROFILE%\AppData\Local\Temp\OnboardLogs"\RTDC4002\2017-04-18 --exclude "*" --recursive --include "*20170418*" &amp; "%USERPROFILE%\Documents\GitHub\mrs-test-scripts\Headless Mode &amp; Sideloading\WalkAndUnGZ.bat" "%USERPROFILE%\AppData\Local\Temp\OnboardLogs"\RTDC4002\2017-04-18</v>
      </c>
      <c r="AF69" s="82" t="str">
        <f t="shared" si="11"/>
        <v>"C:\Program Files (x86)\AstroGrep\AstroGrep.exe" /e /r /s /spath="%USERPROFILE%\AppData\Local\Temp\OnboardLogs" /stypes="app*4002*20170417*" /stext=" 17:.+((SYSTEM_STATE.+slice.+state.+changed )|(ment ac)|(multiple cpu faults)|(system.+state.+changed )|(\[timeout)|(PRM\|1\|D)|(kpr)|(kdp)|(\|lc)|(penalty))"</v>
      </c>
      <c r="AG69" s="1" t="str">
        <f t="shared" si="12"/>
        <v>EC</v>
      </c>
      <c r="AH69" s="86" t="str">
        <f t="shared" si="17"/>
        <v>"%USERPROFILE%\Documents\GitHub\eaglep3\Utilities\RefineRTDCRunTimes.py" --tripid 155-17 --locoid 4002 --swversion DE.1.0.9.0 --startMP 204:469 --initTime 2017-04-17T10:22:41 --startdatetime 2017-04-17T10:30:13 --delay 1 --endMP 204:233320 --enddatetime 2017-04-17T11:08:00 --enforcementcount 0 &gt;&gt;C:\Users\stu\Documents\GitHub\eaglep3-reporting\EC\2017-04-17-refined-times.txt</v>
      </c>
      <c r="AI69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{"issue":{"subject":"","project_id":79,"tracker_id":40,"status_id":1,"priority_id":2,"assigned_to_id":23,"start_date":"2017-04-17","description":"","custom_fields":[{"id":1,"name":"Subdivision","value":"EC"},{"id":4,"name":"Milepost","value":"23.332"},{"id":17,"name":"Train ID","value":"155-17"},{"id":16,"name":"Locomotive ID","value":"4002"},{"id":130,"name":"Impact","value":""},{"id":150,"name":"Time of Event (Mountain Time)","value":"11:08:00"},{"id":151,"name":"Denver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19"/>
        <v>start /low /b %USERPROFILE%\Documents\GitHub\eaglep3\Utilities\DownloadLogsFromS3.py --loco 4002 --day 2017-04-17</v>
      </c>
      <c r="AN69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17:08:00"},{"id":29,"name":"Sharepoint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722</v>
      </c>
      <c r="B70" s="7">
        <v>4001</v>
      </c>
      <c r="C70" s="21" t="s">
        <v>213</v>
      </c>
      <c r="D70" s="21" t="s">
        <v>573</v>
      </c>
      <c r="E70" s="13">
        <v>42842.467430555553</v>
      </c>
      <c r="F70" s="13">
        <v>42842.477002314816</v>
      </c>
      <c r="G70" s="7">
        <v>1</v>
      </c>
      <c r="H70" s="21" t="s">
        <v>400</v>
      </c>
      <c r="I70" s="13">
        <v>42842.506423611114</v>
      </c>
      <c r="J70" s="7">
        <v>0</v>
      </c>
      <c r="K70" s="97" t="str">
        <f t="shared" si="0"/>
        <v>4001/4002</v>
      </c>
      <c r="L70" s="21" t="str">
        <f>VLOOKUP(A70,'Trips&amp;Operators'!$C$1:$G$99999,5,FALSE)</f>
        <v>LALONDE GREGORY</v>
      </c>
      <c r="M70" s="6">
        <f t="shared" si="1"/>
        <v>2.9421296298096422E-2</v>
      </c>
      <c r="N70" s="7">
        <f t="shared" si="25"/>
        <v>42.366666669258848</v>
      </c>
      <c r="O70" s="7"/>
      <c r="P70" s="7"/>
      <c r="Q70" s="22"/>
      <c r="R70" s="22"/>
      <c r="S70" s="31">
        <f t="shared" si="26"/>
        <v>1</v>
      </c>
      <c r="T70" s="46" t="str">
        <f t="shared" si="2"/>
        <v>Southbound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3"/>
        <v>https://d0f6bd738d7f1b3e5a7ca70fe4ff75f0.us-east-1.aws.found.io/app/kibana#/discover/Steve-Slow-Train-Analysis-(2080s-and-2083s)?_g=(refreshInterval:(display:Off,pause:!f,section:0,value:0),time:(from:'2017-04-17T10:13:06-0600',mode:absolute,to:'2017-04-17T13:09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0" s="183" t="str">
        <f t="shared" si="4"/>
        <v>N</v>
      </c>
      <c r="X70" s="183">
        <f t="shared" si="5"/>
        <v>1</v>
      </c>
      <c r="Y70" s="62">
        <f t="shared" si="6"/>
        <v>23.301100000000002</v>
      </c>
      <c r="Z70" s="62">
        <f t="shared" si="7"/>
        <v>1.38E-2</v>
      </c>
      <c r="AA70" s="62">
        <f t="shared" si="8"/>
        <v>23.287300000000002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9"/>
        <v>0156-17</v>
      </c>
      <c r="AE70" s="85" t="str">
        <f t="shared" si="10"/>
        <v>aws s3 cp s3://rtdc.mdm.uploadarchive.raw/RTDC4001/ "%USERPROFILE%\AppData\Local\Temp\OnboardLogs"\RTDC4001\2017-04-17 --exclude "*" --recursive --include "*20170417*" &amp; "%USERPROFILE%\Documents\GitHub\mrs-test-scripts\Headless Mode &amp; Sideloading\WalkAndUnGZ.bat" "%USERPROFILE%\AppData\Local\Temp\OnboardLogs"\RTDC4001\2017-04-17 &amp; aws s3 cp s3://rtdc.mdm.uploadarchive.raw/RTDC4001/ "%USERPROFILE%\AppData\Local\Temp\OnboardLogs"\RTDC4001\2017-04-18 --exclude "*" --recursive --include "*20170418*" &amp; "%USERPROFILE%\Documents\GitHub\mrs-test-scripts\Headless Mode &amp; Sideloading\WalkAndUnGZ.bat" "%USERPROFILE%\AppData\Local\Temp\OnboardLogs"\RTDC4001\2017-04-18</v>
      </c>
      <c r="AF70" s="82" t="str">
        <f t="shared" si="11"/>
        <v>"C:\Program Files (x86)\AstroGrep\AstroGrep.exe" /e /r /s /spath="%USERPROFILE%\AppData\Local\Temp\OnboardLogs" /stypes="app*4001*20170417*" /stext=" 18:.+((SYSTEM_STATE.+slice.+state.+changed )|(ment ac)|(multiple cpu faults)|(system.+state.+changed )|(\[timeout)|(PRM\|1\|D)|(kpr)|(kdp)|(\|lc)|(penalty))"</v>
      </c>
      <c r="AG70" s="1" t="str">
        <f t="shared" si="12"/>
        <v>EC</v>
      </c>
      <c r="AH70" s="86" t="str">
        <f t="shared" si="17"/>
        <v>"%USERPROFILE%\Documents\GitHub\eaglep3\Utilities\RefineRTDCRunTimes.py" --tripid 156-17 --locoid 4001 --swversion DE.1.0.9.0 --startMP 204:233011 --initTime 2017-04-17T11:13:06 --startdatetime 2017-04-17T11:26:53 --delay 1 --endMP 204:138 --enddatetime 2017-04-17T12:09:15 --enforcementcount 0 &gt;&gt;C:\Users\stu\Documents\GitHub\eaglep3-reporting\EC\2017-04-17-refined-times.txt</v>
      </c>
      <c r="AI70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{"issue":{"subject":"","project_id":79,"tracker_id":40,"status_id":1,"priority_id":2,"assigned_to_id":23,"start_date":"2017-04-17","description":"","custom_fields":[{"id":1,"name":"Subdivision","value":"EC"},{"id":4,"name":"Milepost","value":"0.0138"},{"id":17,"name":"Train ID","value":"156-17"},{"id":16,"name":"Locomotive ID","value":"4001"},{"id":130,"name":"Impact","value":""},{"id":150,"name":"Time of Event (Mountain Time)","value":"12:09:15"},{"id":151,"name":"Denver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19"/>
        <v>start /low /b %USERPROFILE%\Documents\GitHub\eaglep3\Utilities\DownloadLogsFromS3.py --loco 4001 --day 2017-04-17</v>
      </c>
      <c r="AN70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18:09:15"},{"id":29,"name":"Sharepoint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716</v>
      </c>
      <c r="B71" s="7">
        <v>4052</v>
      </c>
      <c r="C71" s="21" t="s">
        <v>213</v>
      </c>
      <c r="D71" s="21" t="s">
        <v>527</v>
      </c>
      <c r="E71" s="13">
        <v>42842.443449074075</v>
      </c>
      <c r="F71" s="13">
        <v>42842.448101851849</v>
      </c>
      <c r="G71" s="7">
        <v>1</v>
      </c>
      <c r="H71" s="21" t="s">
        <v>572</v>
      </c>
      <c r="I71" s="13">
        <v>42842.47446759259</v>
      </c>
      <c r="J71" s="7">
        <v>0</v>
      </c>
      <c r="K71" s="97" t="str">
        <f t="shared" si="0"/>
        <v>4051/4052</v>
      </c>
      <c r="L71" s="21" t="str">
        <f>VLOOKUP(A71,'Trips&amp;Operators'!$C$1:$G$99999,5,FALSE)</f>
        <v>ROBINSON KADDIBA</v>
      </c>
      <c r="M71" s="6">
        <f t="shared" si="1"/>
        <v>2.6365740741312038E-2</v>
      </c>
      <c r="N71" s="7">
        <f t="shared" si="25"/>
        <v>37.966666667489335</v>
      </c>
      <c r="O71" s="7"/>
      <c r="P71" s="7"/>
      <c r="Q71" s="22"/>
      <c r="R71" s="22"/>
      <c r="S71" s="31">
        <f t="shared" si="26"/>
        <v>1</v>
      </c>
      <c r="T71" s="46" t="str">
        <f t="shared" si="2"/>
        <v>NorthBound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3"/>
        <v>https://d0f6bd738d7f1b3e5a7ca70fe4ff75f0.us-east-1.aws.found.io/app/kibana#/discover/Steve-Slow-Train-Analysis-(2080s-and-2083s)?_g=(refreshInterval:(display:Off,pause:!f,section:0,value:0),time:(from:'2017-04-17T09:38:34-0600',mode:absolute,to:'2017-04-17T12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1" s="183" t="str">
        <f t="shared" si="4"/>
        <v>N</v>
      </c>
      <c r="X71" s="183">
        <f t="shared" si="5"/>
        <v>1</v>
      </c>
      <c r="Y71" s="62">
        <f t="shared" si="6"/>
        <v>4.7699999999999999E-2</v>
      </c>
      <c r="Z71" s="62">
        <f t="shared" si="7"/>
        <v>23.330200000000001</v>
      </c>
      <c r="AA71" s="62">
        <f t="shared" si="8"/>
        <v>23.282500000000002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9"/>
        <v>0157-17</v>
      </c>
      <c r="AE71" s="85" t="str">
        <f t="shared" si="10"/>
        <v>aws s3 cp s3://rtdc.mdm.uploadarchive.raw/RTDC4052/ "%USERPROFILE%\AppData\Local\Temp\OnboardLogs"\RTDC4052\2017-04-17 --exclude "*" --recursive --include "*20170417*" &amp; "%USERPROFILE%\Documents\GitHub\mrs-test-scripts\Headless Mode &amp; Sideloading\WalkAndUnGZ.bat" "%USERPROFILE%\AppData\Local\Temp\OnboardLogs"\RTDC4052\2017-04-17 &amp; aws s3 cp s3://rtdc.mdm.uploadarchive.raw/RTDC4052/ "%USERPROFILE%\AppData\Local\Temp\OnboardLogs"\RTDC4052\2017-04-18 --exclude "*" --recursive --include "*20170418*" &amp; "%USERPROFILE%\Documents\GitHub\mrs-test-scripts\Headless Mode &amp; Sideloading\WalkAndUnGZ.bat" "%USERPROFILE%\AppData\Local\Temp\OnboardLogs"\RTDC4052\2017-04-18</v>
      </c>
      <c r="AF71" s="82" t="str">
        <f t="shared" si="11"/>
        <v>"C:\Program Files (x86)\AstroGrep\AstroGrep.exe" /e /r /s /spath="%USERPROFILE%\AppData\Local\Temp\OnboardLogs" /stypes="app*4052*20170417*" /stext=" 17:.+((SYSTEM_STATE.+slice.+state.+changed )|(ment ac)|(multiple cpu faults)|(system.+state.+changed )|(\[timeout)|(PRM\|1\|D)|(kpr)|(kdp)|(\|lc)|(penalty))"</v>
      </c>
      <c r="AG71" s="1" t="str">
        <f t="shared" si="12"/>
        <v>EC</v>
      </c>
      <c r="AH71" s="86" t="str">
        <f t="shared" si="17"/>
        <v>"%USERPROFILE%\Documents\GitHub\eaglep3\Utilities\RefineRTDCRunTimes.py" --tripid 157-17 --locoid 4052 --swversion DE.1.0.9.0 --startMP 204:477 --initTime 2017-04-17T10:38:34 --startdatetime 2017-04-17T10:45:16 --delay 1 --endMP 204:233302 --enddatetime 2017-04-17T11:23:14 --enforcementcount 0 &gt;&gt;C:\Users\stu\Documents\GitHub\eaglep3-reporting\EC\2017-04-17-refined-times.txt</v>
      </c>
      <c r="AI71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{"issue":{"subject":"","project_id":79,"tracker_id":40,"status_id":1,"priority_id":2,"assigned_to_id":23,"start_date":"2017-04-17","description":"","custom_fields":[{"id":1,"name":"Subdivision","value":"EC"},{"id":4,"name":"Milepost","value":"23.3302"},{"id":17,"name":"Train ID","value":"157-17"},{"id":16,"name":"Locomotive ID","value":"4052"},{"id":130,"name":"Impact","value":""},{"id":150,"name":"Time of Event (Mountain Time)","value":"11:23:14"},{"id":151,"name":"Denver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19"/>
        <v>start /low /b %USERPROFILE%\Documents\GitHub\eaglep3\Utilities\DownloadLogsFromS3.py --loco 4052 --day 2017-04-17</v>
      </c>
      <c r="AN71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17:23:14"},{"id":29,"name":"Sharepoint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728</v>
      </c>
      <c r="B72" s="7">
        <v>4051</v>
      </c>
      <c r="C72" s="21" t="s">
        <v>213</v>
      </c>
      <c r="D72" s="21" t="s">
        <v>534</v>
      </c>
      <c r="E72" s="13">
        <v>42842.480763888889</v>
      </c>
      <c r="F72" s="13">
        <v>42842.487013888887</v>
      </c>
      <c r="G72" s="7">
        <v>1</v>
      </c>
      <c r="H72" s="21" t="s">
        <v>414</v>
      </c>
      <c r="I72" s="13">
        <v>42842.513113425928</v>
      </c>
      <c r="J72" s="7">
        <v>0</v>
      </c>
      <c r="K72" s="97" t="str">
        <f t="shared" si="0"/>
        <v>4051/4052</v>
      </c>
      <c r="L72" s="21" t="str">
        <f>VLOOKUP(A72,'Trips&amp;Operators'!$C$1:$G$99999,5,FALSE)</f>
        <v>ROBINSON KADDIBA</v>
      </c>
      <c r="M72" s="6">
        <f t="shared" si="1"/>
        <v>2.6099537040863652E-2</v>
      </c>
      <c r="N72" s="7">
        <f t="shared" si="25"/>
        <v>37.583333338843659</v>
      </c>
      <c r="O72" s="7"/>
      <c r="P72" s="7"/>
      <c r="Q72" s="22"/>
      <c r="R72" s="22"/>
      <c r="S72" s="31">
        <f t="shared" si="26"/>
        <v>1</v>
      </c>
      <c r="T72" s="46" t="str">
        <f t="shared" si="2"/>
        <v>Southbound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3"/>
        <v>https://d0f6bd738d7f1b3e5a7ca70fe4ff75f0.us-east-1.aws.found.io/app/kibana#/discover/Steve-Slow-Train-Analysis-(2080s-and-2083s)?_g=(refreshInterval:(display:Off,pause:!f,section:0,value:0),time:(from:'2017-04-17T10:32:18-0600',mode:absolute,to:'2017-04-17T13:18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2" s="183" t="str">
        <f t="shared" si="4"/>
        <v>N</v>
      </c>
      <c r="X72" s="183">
        <f t="shared" si="5"/>
        <v>1</v>
      </c>
      <c r="Y72" s="62">
        <f t="shared" si="6"/>
        <v>23.2987</v>
      </c>
      <c r="Z72" s="62">
        <f t="shared" si="7"/>
        <v>1.6E-2</v>
      </c>
      <c r="AA72" s="62">
        <f t="shared" si="8"/>
        <v>23.282700000000002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9"/>
        <v>0158-17</v>
      </c>
      <c r="AE72" s="85" t="str">
        <f t="shared" si="10"/>
        <v>aws s3 cp s3://rtdc.mdm.uploadarchive.raw/RTDC4051/ "%USERPROFILE%\AppData\Local\Temp\OnboardLogs"\RTDC4051\2017-04-17 --exclude "*" --recursive --include "*20170417*" &amp; "%USERPROFILE%\Documents\GitHub\mrs-test-scripts\Headless Mode &amp; Sideloading\WalkAndUnGZ.bat" "%USERPROFILE%\AppData\Local\Temp\OnboardLogs"\RTDC4051\2017-04-17 &amp; aws s3 cp s3://rtdc.mdm.uploadarchive.raw/RTDC4051/ "%USERPROFILE%\AppData\Local\Temp\OnboardLogs"\RTDC4051\2017-04-18 --exclude "*" --recursive --include "*20170418*" &amp; "%USERPROFILE%\Documents\GitHub\mrs-test-scripts\Headless Mode &amp; Sideloading\WalkAndUnGZ.bat" "%USERPROFILE%\AppData\Local\Temp\OnboardLogs"\RTDC4051\2017-04-18</v>
      </c>
      <c r="AF72" s="82" t="str">
        <f t="shared" si="11"/>
        <v>"C:\Program Files (x86)\AstroGrep\AstroGrep.exe" /e /r /s /spath="%USERPROFILE%\AppData\Local\Temp\OnboardLogs" /stypes="app*4051*20170417*" /stext=" 18:.+((SYSTEM_STATE.+slice.+state.+changed )|(ment ac)|(multiple cpu faults)|(system.+state.+changed )|(\[timeout)|(PRM\|1\|D)|(kpr)|(kdp)|(\|lc)|(penalty))"</v>
      </c>
      <c r="AG72" s="1" t="str">
        <f t="shared" si="12"/>
        <v>EC</v>
      </c>
      <c r="AH72" s="86" t="str">
        <f t="shared" si="17"/>
        <v>"%USERPROFILE%\Documents\GitHub\eaglep3\Utilities\RefineRTDCRunTimes.py" --tripid 158-17 --locoid 4051 --swversion DE.1.0.9.0 --startMP 204:232987 --initTime 2017-04-17T11:32:18 --startdatetime 2017-04-17T11:41:18 --delay 1 --endMP 204:160 --enddatetime 2017-04-17T12:18:53 --enforcementcount 0 &gt;&gt;C:\Users\stu\Documents\GitHub\eaglep3-reporting\EC\2017-04-17-refined-times.txt</v>
      </c>
      <c r="AI72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{"issue":{"subject":"","project_id":79,"tracker_id":40,"status_id":1,"priority_id":2,"assigned_to_id":23,"start_date":"2017-04-17","description":"","custom_fields":[{"id":1,"name":"Subdivision","value":"EC"},{"id":4,"name":"Milepost","value":"0.016"},{"id":17,"name":"Train ID","value":"158-17"},{"id":16,"name":"Locomotive ID","value":"4051"},{"id":130,"name":"Impact","value":""},{"id":150,"name":"Time of Event (Mountain Time)","value":"12:18:53"},{"id":151,"name":"Denver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19"/>
        <v>start /low /b %USERPROFILE%\Documents\GitHub\eaglep3\Utilities\DownloadLogsFromS3.py --loco 4051 --day 2017-04-17</v>
      </c>
      <c r="AN72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18:18:53"},{"id":29,"name":"Sharepoint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719</v>
      </c>
      <c r="B73" s="7">
        <v>4032</v>
      </c>
      <c r="C73" s="21" t="s">
        <v>213</v>
      </c>
      <c r="D73" s="21" t="s">
        <v>468</v>
      </c>
      <c r="E73" s="13">
        <v>42842.453599537039</v>
      </c>
      <c r="F73" s="13">
        <v>42842.458564814813</v>
      </c>
      <c r="G73" s="7">
        <v>2</v>
      </c>
      <c r="H73" s="21" t="s">
        <v>399</v>
      </c>
      <c r="I73" s="13">
        <v>42842.484236111108</v>
      </c>
      <c r="J73" s="7">
        <v>0</v>
      </c>
      <c r="K73" s="97" t="str">
        <f t="shared" si="0"/>
        <v>4031/4032</v>
      </c>
      <c r="L73" s="21" t="str">
        <f>VLOOKUP(A73,'Trips&amp;Operators'!$C$1:$G$99999,5,FALSE)</f>
        <v>STEWART MICHAEL</v>
      </c>
      <c r="M73" s="6">
        <f t="shared" si="1"/>
        <v>2.5671296294603962E-2</v>
      </c>
      <c r="N73" s="7">
        <f t="shared" si="25"/>
        <v>36.966666664229706</v>
      </c>
      <c r="O73" s="7"/>
      <c r="P73" s="7"/>
      <c r="Q73" s="22"/>
      <c r="R73" s="22"/>
      <c r="S73" s="31">
        <f t="shared" si="26"/>
        <v>1</v>
      </c>
      <c r="T73" s="46" t="str">
        <f t="shared" si="2"/>
        <v>NorthBound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3"/>
        <v>https://d0f6bd738d7f1b3e5a7ca70fe4ff75f0.us-east-1.aws.found.io/app/kibana#/discover/Steve-Slow-Train-Analysis-(2080s-and-2083s)?_g=(refreshInterval:(display:Off,pause:!f,section:0,value:0),time:(from:'2017-04-17T09:53:11-0600',mode:absolute,to:'2017-04-17T12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3" s="183" t="str">
        <f t="shared" si="4"/>
        <v>N</v>
      </c>
      <c r="X73" s="183">
        <f t="shared" si="5"/>
        <v>1</v>
      </c>
      <c r="Y73" s="62">
        <f t="shared" si="6"/>
        <v>4.4699999999999997E-2</v>
      </c>
      <c r="Z73" s="62">
        <f t="shared" si="7"/>
        <v>23.329499999999999</v>
      </c>
      <c r="AA73" s="62">
        <f t="shared" si="8"/>
        <v>23.284800000000001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9"/>
        <v>0159-17</v>
      </c>
      <c r="AE73" s="85" t="str">
        <f t="shared" si="10"/>
        <v>aws s3 cp s3://rtdc.mdm.uploadarchive.raw/RTDC4032/ "%USERPROFILE%\AppData\Local\Temp\OnboardLogs"\RTDC4032\2017-04-17 --exclude "*" --recursive --include "*20170417*" &amp; "%USERPROFILE%\Documents\GitHub\mrs-test-scripts\Headless Mode &amp; Sideloading\WalkAndUnGZ.bat" "%USERPROFILE%\AppData\Local\Temp\OnboardLogs"\RTDC4032\2017-04-17 &amp; aws s3 cp s3://rtdc.mdm.uploadarchive.raw/RTDC4032/ "%USERPROFILE%\AppData\Local\Temp\OnboardLogs"\RTDC4032\2017-04-18 --exclude "*" --recursive --include "*20170418*" &amp; "%USERPROFILE%\Documents\GitHub\mrs-test-scripts\Headless Mode &amp; Sideloading\WalkAndUnGZ.bat" "%USERPROFILE%\AppData\Local\Temp\OnboardLogs"\RTDC4032\2017-04-18</v>
      </c>
      <c r="AF73" s="82" t="str">
        <f t="shared" si="11"/>
        <v>"C:\Program Files (x86)\AstroGrep\AstroGrep.exe" /e /r /s /spath="%USERPROFILE%\AppData\Local\Temp\OnboardLogs" /stypes="app*4032*20170417*" /stext=" 17:.+((SYSTEM_STATE.+slice.+state.+changed )|(ment ac)|(multiple cpu faults)|(system.+state.+changed )|(\[timeout)|(PRM\|1\|D)|(kpr)|(kdp)|(\|lc)|(penalty))"</v>
      </c>
      <c r="AG73" s="1" t="str">
        <f t="shared" si="12"/>
        <v>EC</v>
      </c>
      <c r="AH73" s="86" t="str">
        <f t="shared" si="17"/>
        <v>"%USERPROFILE%\Documents\GitHub\eaglep3\Utilities\RefineRTDCRunTimes.py" --tripid 159-17 --locoid 4032 --swversion DE.1.0.9.0 --startMP 204:447 --initTime 2017-04-17T10:53:11 --startdatetime 2017-04-17T11:00:20 --delay 2 --endMP 204:233295 --enddatetime 2017-04-17T11:37:18 --enforcementcount 0 &gt;&gt;C:\Users\stu\Documents\GitHub\eaglep3-reporting\EC\2017-04-17-refined-times.txt</v>
      </c>
      <c r="AI73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{"issue":{"subject":"","project_id":79,"tracker_id":40,"status_id":1,"priority_id":2,"assigned_to_id":23,"start_date":"2017-04-17","description":"","custom_fields":[{"id":1,"name":"Subdivision","value":"EC"},{"id":4,"name":"Milepost","value":"23.3295"},{"id":17,"name":"Train ID","value":"159-17"},{"id":16,"name":"Locomotive ID","value":"4032"},{"id":130,"name":"Impact","value":""},{"id":150,"name":"Time of Event (Mountain Time)","value":"11:37:18"},{"id":151,"name":"Denver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19"/>
        <v>start /low /b %USERPROFILE%\Documents\GitHub\eaglep3\Utilities\DownloadLogsFromS3.py --loco 4032 --day 2017-04-17</v>
      </c>
      <c r="AN73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17:37:18"},{"id":29,"name":"Sharepoint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731</v>
      </c>
      <c r="B74" s="7">
        <v>4031</v>
      </c>
      <c r="C74" s="21" t="s">
        <v>213</v>
      </c>
      <c r="D74" s="21" t="s">
        <v>486</v>
      </c>
      <c r="E74" s="13">
        <v>42842.492592592593</v>
      </c>
      <c r="F74" s="13">
        <v>42842.497546296298</v>
      </c>
      <c r="G74" s="7">
        <v>1</v>
      </c>
      <c r="H74" s="21" t="s">
        <v>490</v>
      </c>
      <c r="I74" s="13">
        <v>42842.524988425925</v>
      </c>
      <c r="J74" s="7">
        <v>0</v>
      </c>
      <c r="K74" s="97" t="str">
        <f t="shared" si="0"/>
        <v>4031/4032</v>
      </c>
      <c r="L74" s="21" t="str">
        <f>VLOOKUP(A74,'Trips&amp;Operators'!$C$1:$G$99999,5,FALSE)</f>
        <v>STEWART MICHAEL</v>
      </c>
      <c r="M74" s="6">
        <f t="shared" si="1"/>
        <v>2.7442129627161194E-2</v>
      </c>
      <c r="N74" s="7">
        <f t="shared" si="25"/>
        <v>39.516666663112119</v>
      </c>
      <c r="O74" s="7"/>
      <c r="P74" s="7"/>
      <c r="Q74" s="22"/>
      <c r="R74" s="22"/>
      <c r="S74" s="31">
        <f t="shared" si="26"/>
        <v>1</v>
      </c>
      <c r="T74" s="46" t="str">
        <f t="shared" si="2"/>
        <v>Southbound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3"/>
        <v>https://d0f6bd738d7f1b3e5a7ca70fe4ff75f0.us-east-1.aws.found.io/app/kibana#/discover/Steve-Slow-Train-Analysis-(2080s-and-2083s)?_g=(refreshInterval:(display:Off,pause:!f,section:0,value:0),time:(from:'2017-04-17T10:49:20-0600',mode:absolute,to:'2017-04-17T13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4" s="183" t="str">
        <f t="shared" si="4"/>
        <v>N</v>
      </c>
      <c r="X74" s="183">
        <f t="shared" si="5"/>
        <v>1</v>
      </c>
      <c r="Y74" s="62">
        <f t="shared" si="6"/>
        <v>23.296099999999999</v>
      </c>
      <c r="Z74" s="62">
        <f t="shared" si="7"/>
        <v>1.3899999999999999E-2</v>
      </c>
      <c r="AA74" s="62">
        <f t="shared" si="8"/>
        <v>23.2822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9"/>
        <v>0160-17</v>
      </c>
      <c r="AE74" s="85" t="str">
        <f t="shared" si="10"/>
        <v>aws s3 cp s3://rtdc.mdm.uploadarchive.raw/RTDC4031/ "%USERPROFILE%\AppData\Local\Temp\OnboardLogs"\RTDC4031\2017-04-17 --exclude "*" --recursive --include "*20170417*" &amp; "%USERPROFILE%\Documents\GitHub\mrs-test-scripts\Headless Mode &amp; Sideloading\WalkAndUnGZ.bat" "%USERPROFILE%\AppData\Local\Temp\OnboardLogs"\RTDC4031\2017-04-17 &amp; aws s3 cp s3://rtdc.mdm.uploadarchive.raw/RTDC4031/ "%USERPROFILE%\AppData\Local\Temp\OnboardLogs"\RTDC4031\2017-04-18 --exclude "*" --recursive --include "*20170418*" &amp; "%USERPROFILE%\Documents\GitHub\mrs-test-scripts\Headless Mode &amp; Sideloading\WalkAndUnGZ.bat" "%USERPROFILE%\AppData\Local\Temp\OnboardLogs"\RTDC4031\2017-04-18</v>
      </c>
      <c r="AF74" s="82" t="str">
        <f t="shared" si="11"/>
        <v>"C:\Program Files (x86)\AstroGrep\AstroGrep.exe" /e /r /s /spath="%USERPROFILE%\AppData\Local\Temp\OnboardLogs" /stypes="app*4031*20170417*" /stext=" 18:.+((SYSTEM_STATE.+slice.+state.+changed )|(ment ac)|(multiple cpu faults)|(system.+state.+changed )|(\[timeout)|(PRM\|1\|D)|(kpr)|(kdp)|(\|lc)|(penalty))"</v>
      </c>
      <c r="AG74" s="1" t="str">
        <f t="shared" si="12"/>
        <v>EC</v>
      </c>
      <c r="AH74" s="86" t="str">
        <f t="shared" si="17"/>
        <v>"%USERPROFILE%\Documents\GitHub\eaglep3\Utilities\RefineRTDCRunTimes.py" --tripid 160-17 --locoid 4031 --swversion DE.1.0.9.0 --startMP 204:232961 --initTime 2017-04-17T11:49:20 --startdatetime 2017-04-17T11:56:28 --delay 1 --endMP 204:139 --enddatetime 2017-04-17T12:35:59 --enforcementcount 0 &gt;&gt;C:\Users\stu\Documents\GitHub\eaglep3-reporting\EC\2017-04-17-refined-times.txt</v>
      </c>
      <c r="AI74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{"issue":{"subject":"","project_id":79,"tracker_id":40,"status_id":1,"priority_id":2,"assigned_to_id":23,"start_date":"2017-04-17","description":"","custom_fields":[{"id":1,"name":"Subdivision","value":"EC"},{"id":4,"name":"Milepost","value":"0.0139"},{"id":17,"name":"Train ID","value":"160-17"},{"id":16,"name":"Locomotive ID","value":"4031"},{"id":130,"name":"Impact","value":""},{"id":150,"name":"Time of Event (Mountain Time)","value":"12:35:59"},{"id":151,"name":"Denver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19"/>
        <v>start /low /b %USERPROFILE%\Documents\GitHub\eaglep3\Utilities\DownloadLogsFromS3.py --loco 4031 --day 2017-04-17</v>
      </c>
      <c r="AN74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18:35:59"},{"id":29,"name":"Sharepoint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618</v>
      </c>
      <c r="B75" s="7">
        <v>4054</v>
      </c>
      <c r="C75" s="21" t="s">
        <v>213</v>
      </c>
      <c r="D75" s="21" t="s">
        <v>205</v>
      </c>
      <c r="E75" s="13">
        <v>42842.465752314813</v>
      </c>
      <c r="F75" s="13">
        <v>42842.469224537039</v>
      </c>
      <c r="G75" s="7">
        <v>1</v>
      </c>
      <c r="H75" s="21" t="s">
        <v>869</v>
      </c>
      <c r="I75" s="13">
        <v>42842.50236111111</v>
      </c>
      <c r="J75" s="7">
        <v>0</v>
      </c>
      <c r="K75" s="97" t="str">
        <f t="shared" si="0"/>
        <v>4053/4054</v>
      </c>
      <c r="L75" s="21" t="str">
        <f>VLOOKUP(A75,'Trips&amp;Operators'!$C$1:$G$99999,5,FALSE)</f>
        <v>DAVIS MICHAEL</v>
      </c>
      <c r="M75" s="6">
        <f t="shared" si="1"/>
        <v>3.3136574071249925E-2</v>
      </c>
      <c r="N75" s="7">
        <f t="shared" si="25"/>
        <v>47.716666662599891</v>
      </c>
      <c r="O75" s="7"/>
      <c r="P75" s="7"/>
      <c r="Q75" s="22"/>
      <c r="R75" s="22"/>
      <c r="S75" s="31">
        <f t="shared" si="26"/>
        <v>1</v>
      </c>
      <c r="T75" s="46" t="str">
        <f t="shared" si="2"/>
        <v>NorthBound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3"/>
        <v>https://d0f6bd738d7f1b3e5a7ca70fe4ff75f0.us-east-1.aws.found.io/app/kibana#/discover/Steve-Slow-Train-Analysis-(2080s-and-2083s)?_g=(refreshInterval:(display:Off,pause:!f,section:0,value:0),time:(from:'2017-04-17T10:10:41-0600',mode:absolute,to:'2017-04-17T13:03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5" s="183" t="str">
        <f t="shared" si="4"/>
        <v>N</v>
      </c>
      <c r="X75" s="183">
        <f t="shared" si="5"/>
        <v>1</v>
      </c>
      <c r="Y75" s="62">
        <f t="shared" si="6"/>
        <v>4.5999999999999999E-2</v>
      </c>
      <c r="Z75" s="62">
        <f t="shared" si="7"/>
        <v>23.331399999999999</v>
      </c>
      <c r="AA75" s="62">
        <f t="shared" si="8"/>
        <v>23.285399999999999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9"/>
        <v>0161-17</v>
      </c>
      <c r="AE75" s="85" t="str">
        <f t="shared" si="10"/>
        <v>aws s3 cp s3://rtdc.mdm.uploadarchive.raw/RTDC4054/ "%USERPROFILE%\AppData\Local\Temp\OnboardLogs"\RTDC4054\2017-04-17 --exclude "*" --recursive --include "*20170417*" &amp; "%USERPROFILE%\Documents\GitHub\mrs-test-scripts\Headless Mode &amp; Sideloading\WalkAndUnGZ.bat" "%USERPROFILE%\AppData\Local\Temp\OnboardLogs"\RTDC4054\2017-04-17 &amp; aws s3 cp s3://rtdc.mdm.uploadarchive.raw/RTDC4054/ "%USERPROFILE%\AppData\Local\Temp\OnboardLogs"\RTDC4054\2017-04-18 --exclude "*" --recursive --include "*20170418*" &amp; "%USERPROFILE%\Documents\GitHub\mrs-test-scripts\Headless Mode &amp; Sideloading\WalkAndUnGZ.bat" "%USERPROFILE%\AppData\Local\Temp\OnboardLogs"\RTDC4054\2017-04-18</v>
      </c>
      <c r="AF75" s="82" t="str">
        <f t="shared" si="11"/>
        <v>"C:\Program Files (x86)\AstroGrep\AstroGrep.exe" /e /r /s /spath="%USERPROFILE%\AppData\Local\Temp\OnboardLogs" /stypes="app*4054*20170417*" /stext=" 18:.+((SYSTEM_STATE.+slice.+state.+changed )|(ment ac)|(multiple cpu faults)|(system.+state.+changed )|(\[timeout)|(PRM\|1\|D)|(kpr)|(kdp)|(\|lc)|(penalty))"</v>
      </c>
      <c r="AG75" s="1" t="str">
        <f t="shared" si="12"/>
        <v>EC</v>
      </c>
      <c r="AH75" s="86" t="str">
        <f t="shared" si="17"/>
        <v>"%USERPROFILE%\Documents\GitHub\eaglep3\Utilities\RefineRTDCRunTimes.py" --tripid 161-17 --locoid 4054 --swversion DE.1.0.9.0 --startMP 204:460 --initTime 2017-04-17T11:10:41 --startdatetime 2017-04-17T11:15:41 --delay 1 --endMP 204:233314 --enddatetime 2017-04-17T12:03:24 --enforcementcount 0 &gt;&gt;C:\Users\stu\Documents\GitHub\eaglep3-reporting\EC\2017-04-17-refined-times.txt</v>
      </c>
      <c r="AI75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{"issue":{"subject":"","project_id":79,"tracker_id":40,"status_id":1,"priority_id":2,"assigned_to_id":23,"start_date":"2017-04-17","description":"","custom_fields":[{"id":1,"name":"Subdivision","value":"EC"},{"id":4,"name":"Milepost","value":"23.3314"},{"id":17,"name":"Train ID","value":"161-17"},{"id":16,"name":"Locomotive ID","value":"4054"},{"id":130,"name":"Impact","value":""},{"id":150,"name":"Time of Event (Mountain Time)","value":"12:03:24"},{"id":151,"name":"Denver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si="19"/>
        <v>start /low /b %USERPROFILE%\Documents\GitHub\eaglep3\Utilities\DownloadLogsFromS3.py --loco 4054 --day 2017-04-17</v>
      </c>
      <c r="AN75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18:03:24"},{"id":29,"name":"Sharepoint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736</v>
      </c>
      <c r="B76" s="7">
        <v>4053</v>
      </c>
      <c r="C76" s="21" t="s">
        <v>213</v>
      </c>
      <c r="D76" s="21" t="s">
        <v>396</v>
      </c>
      <c r="E76" s="13">
        <v>42842.506377314814</v>
      </c>
      <c r="F76" s="13">
        <v>42842.508171296293</v>
      </c>
      <c r="G76" s="7">
        <v>1</v>
      </c>
      <c r="H76" s="21" t="s">
        <v>197</v>
      </c>
      <c r="I76" s="13">
        <v>42842.536458333336</v>
      </c>
      <c r="J76" s="7">
        <v>0</v>
      </c>
      <c r="K76" s="97" t="str">
        <f t="shared" si="0"/>
        <v>4053/4054</v>
      </c>
      <c r="L76" s="21" t="str">
        <f>VLOOKUP(A76,'Trips&amp;Operators'!$C$1:$G$99999,5,FALSE)</f>
        <v>DAVIS MICHAEL</v>
      </c>
      <c r="M76" s="6">
        <f t="shared" si="1"/>
        <v>2.828703704290092E-2</v>
      </c>
      <c r="N76" s="7">
        <f t="shared" si="25"/>
        <v>40.733333341777325</v>
      </c>
      <c r="O76" s="7"/>
      <c r="P76" s="7"/>
      <c r="Q76" s="22"/>
      <c r="R76" s="22"/>
      <c r="S76" s="31">
        <f t="shared" si="26"/>
        <v>1</v>
      </c>
      <c r="T76" s="46" t="str">
        <f t="shared" si="2"/>
        <v>Southbound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si="3"/>
        <v>https://d0f6bd738d7f1b3e5a7ca70fe4ff75f0.us-east-1.aws.found.io/app/kibana#/discover/Steve-Slow-Train-Analysis-(2080s-and-2083s)?_g=(refreshInterval:(display:Off,pause:!f,section:0,value:0),time:(from:'2017-04-17T11:09:11-0600',mode:absolute,to:'2017-04-17T13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6" s="183" t="str">
        <f t="shared" si="4"/>
        <v>N</v>
      </c>
      <c r="X76" s="183">
        <f t="shared" si="5"/>
        <v>1</v>
      </c>
      <c r="Y76" s="62">
        <f t="shared" si="6"/>
        <v>23.297699999999999</v>
      </c>
      <c r="Z76" s="62">
        <f t="shared" si="7"/>
        <v>1.52E-2</v>
      </c>
      <c r="AA76" s="62">
        <f t="shared" si="8"/>
        <v>23.282499999999999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9"/>
        <v>0162-17</v>
      </c>
      <c r="AE76" s="85" t="str">
        <f t="shared" si="10"/>
        <v>aws s3 cp s3://rtdc.mdm.uploadarchive.raw/RTDC4053/ "%USERPROFILE%\AppData\Local\Temp\OnboardLogs"\RTDC4053\2017-04-17 --exclude "*" --recursive --include "*20170417*" &amp; "%USERPROFILE%\Documents\GitHub\mrs-test-scripts\Headless Mode &amp; Sideloading\WalkAndUnGZ.bat" "%USERPROFILE%\AppData\Local\Temp\OnboardLogs"\RTDC4053\2017-04-17 &amp; aws s3 cp s3://rtdc.mdm.uploadarchive.raw/RTDC4053/ "%USERPROFILE%\AppData\Local\Temp\OnboardLogs"\RTDC4053\2017-04-18 --exclude "*" --recursive --include "*20170418*" &amp; "%USERPROFILE%\Documents\GitHub\mrs-test-scripts\Headless Mode &amp; Sideloading\WalkAndUnGZ.bat" "%USERPROFILE%\AppData\Local\Temp\OnboardLogs"\RTDC4053\2017-04-18</v>
      </c>
      <c r="AF76" s="82" t="str">
        <f t="shared" si="11"/>
        <v>"C:\Program Files (x86)\AstroGrep\AstroGrep.exe" /e /r /s /spath="%USERPROFILE%\AppData\Local\Temp\OnboardLogs" /stypes="app*4053*20170417*" /stext=" 18:.+((SYSTEM_STATE.+slice.+state.+changed )|(ment ac)|(multiple cpu faults)|(system.+state.+changed )|(\[timeout)|(PRM\|1\|D)|(kpr)|(kdp)|(\|lc)|(penalty))"</v>
      </c>
      <c r="AG76" s="1" t="str">
        <f t="shared" si="12"/>
        <v>EC</v>
      </c>
      <c r="AH76" s="86" t="str">
        <f t="shared" si="17"/>
        <v>"%USERPROFILE%\Documents\GitHub\eaglep3\Utilities\RefineRTDCRunTimes.py" --tripid 162-17 --locoid 4053 --swversion DE.1.0.9.0 --startMP 204:232977 --initTime 2017-04-17T12:09:11 --startdatetime 2017-04-17T12:11:46 --delay 1 --endMP 204:152 --enddatetime 2017-04-17T12:52:30 --enforcementcount 0 &gt;&gt;C:\Users\stu\Documents\GitHub\eaglep3-reporting\EC\2017-04-17-refined-times.txt</v>
      </c>
      <c r="AI76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{"issue":{"subject":"","project_id":79,"tracker_id":40,"status_id":1,"priority_id":2,"assigned_to_id":23,"start_date":"2017-04-17","description":"","custom_fields":[{"id":1,"name":"Subdivision","value":"EC"},{"id":4,"name":"Milepost","value":"0.0152"},{"id":17,"name":"Train ID","value":"162-17"},{"id":16,"name":"Locomotive ID","value":"4053"},{"id":130,"name":"Impact","value":""},{"id":150,"name":"Time of Event (Mountain Time)","value":"12:52:30"},{"id":151,"name":"Denver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 t="shared" si="19"/>
        <v>start /low /b %USERPROFILE%\Documents\GitHub\eaglep3\Utilities\DownloadLogsFromS3.py --loco 4053 --day 2017-04-17</v>
      </c>
      <c r="AN76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18:52:30"},{"id":29,"name":"Sharepoint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725</v>
      </c>
      <c r="B77" s="7">
        <v>4028</v>
      </c>
      <c r="C77" s="21" t="s">
        <v>213</v>
      </c>
      <c r="D77" s="21" t="s">
        <v>545</v>
      </c>
      <c r="E77" s="13">
        <v>42842.479780092595</v>
      </c>
      <c r="F77" s="13">
        <v>42842.481724537036</v>
      </c>
      <c r="G77" s="7">
        <v>1</v>
      </c>
      <c r="H77" s="21" t="s">
        <v>872</v>
      </c>
      <c r="I77" s="13">
        <v>42842.512523148151</v>
      </c>
      <c r="J77" s="7">
        <v>0</v>
      </c>
      <c r="K77" s="97" t="str">
        <f t="shared" ref="K77:K140" si="27">IF(ISEVEN(B77),(B77-1)&amp;"/"&amp;B77,B77&amp;"/"&amp;(B77+1))</f>
        <v>4027/4028</v>
      </c>
      <c r="L77" s="21" t="str">
        <f>VLOOKUP(A77,'Trips&amp;Operators'!$C$1:$G$99999,5,FALSE)</f>
        <v>CLARK KATHLEEN</v>
      </c>
      <c r="M77" s="6">
        <f t="shared" ref="M77:M140" si="28">I77-F77</f>
        <v>3.0798611114732921E-2</v>
      </c>
      <c r="N77" s="7">
        <f t="shared" si="25"/>
        <v>44.350000005215406</v>
      </c>
      <c r="O77" s="7"/>
      <c r="P77" s="7"/>
      <c r="Q77" s="22"/>
      <c r="R77" s="22"/>
      <c r="S77" s="31">
        <f t="shared" si="26"/>
        <v>1</v>
      </c>
      <c r="T77" s="46" t="str">
        <f t="shared" ref="T77:T140" si="29">IF(ISEVEN(LEFT(AD77,4)),"Southbound","NorthBound")</f>
        <v>NorthBound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-17T10:30:53-0600',mode:absolute,to:'2017-04-17T13:18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7" s="183" t="str">
        <f t="shared" ref="W77:W140" si="31">IF(AA77&lt;IF(AG77="EC",23,5.65),"Y","N")</f>
        <v>N</v>
      </c>
      <c r="X77" s="183">
        <f t="shared" ref="X77:X140" si="32">VALUE(LEFT(AD77,4))-VALUE(LEFT(AD76,4))</f>
        <v>1</v>
      </c>
      <c r="Y77" s="62">
        <f t="shared" ref="Y77:Y140" si="33">RIGHT(D77,LEN(D77)-4)/10000</f>
        <v>4.8800000000000003E-2</v>
      </c>
      <c r="Z77" s="62">
        <f t="shared" ref="Z77:Z140" si="34">RIGHT(H77,LEN(H77)-4)/10000</f>
        <v>23.326799999999999</v>
      </c>
      <c r="AA77" s="62">
        <f t="shared" ref="AA77:AA140" si="35">ABS(Z77-Y77)</f>
        <v>23.277999999999999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6">IF(LEN(A77)=6,"0"&amp;A77,A77)</f>
        <v>0163-17</v>
      </c>
      <c r="AE77" s="85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s3://rtdc.mdm.uploadarchive.raw/RTDC4028/ "%USERPROFILE%\AppData\Local\Temp\OnboardLogs"\RTDC4028\2017-04-17 --exclude "*" --recursive --include "*20170417*" &amp; "%USERPROFILE%\Documents\GitHub\mrs-test-scripts\Headless Mode &amp; Sideloading\WalkAndUnGZ.bat" "%USERPROFILE%\AppData\Local\Temp\OnboardLogs"\RTDC4028\2017-04-17 &amp; aws s3 cp s3://rtdc.mdm.uploadarchive.raw/RTDC4028/ "%USERPROFILE%\AppData\Local\Temp\OnboardLogs"\RTDC4028\2017-04-18 --exclude "*" --recursive --include "*20170418*" &amp; "%USERPROFILE%\Documents\GitHub\mrs-test-scripts\Headless Mode &amp; Sideloading\WalkAndUnGZ.bat" "%USERPROFILE%\AppData\Local\Temp\OnboardLogs"\RTDC4028\2017-04-18</v>
      </c>
      <c r="AF77" s="82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/stypes="app*4028*20170417*" /stext=" 18:.+((SYSTEM_STATE.+slice.+state.+changed )|(ment ac)|(multiple cpu faults)|(system.+state.+changed )|(\[timeout)|(PRM\|1\|D)|(kpr)|(kdp)|(\|lc)|(penalty))"</v>
      </c>
      <c r="AG77" s="1" t="str">
        <f t="shared" ref="AG77:AG140" si="39">IFERROR(IF(VALUE(LEFT(AD77,2))&lt;=2,"EC",IF(OR(VALUE(LEFT(AD77,2))=8,VALUE(LEFT(AD77,2))=18),"NW","Other")),"Other")</f>
        <v>EC</v>
      </c>
      <c r="AH77" s="86" t="str">
        <f t="shared" si="17"/>
        <v>"%USERPROFILE%\Documents\GitHub\eaglep3\Utilities\RefineRTDCRunTimes.py" --tripid 163-17 --locoid 4028 --swversion DE.1.0.9.0 --startMP 204:488 --initTime 2017-04-17T11:30:53 --startdatetime 2017-04-17T11:33:41 --delay 1 --endMP 204:233268 --enddatetime 2017-04-17T12:18:02 --enforcementcount 0 &gt;&gt;C:\Users\stu\Documents\GitHub\eaglep3-reporting\EC\2017-04-17-refined-times.txt</v>
      </c>
      <c r="AI77" s="104" t="str">
        <f t="shared" si="18"/>
        <v>echo {"issue":{"subject":"","project_id":79,"tracker_id":40,"status_id":1,"priority_id":2,"assigned_to_id":23,"start_date":"2017-04-17","description":"","custom_fields":[{"id":1,"name":"Subdivision","value":"EC"},{"id":4,"name":"Milepost","value":"23.3268"},{"id":17,"name":"Train ID","value":"163-17"},{"id":16,"name":"Locomotive ID","value":"4028"},{"id":130,"name":"Impact","value":""},{"id":150,"name":"Time of Event (Mountain Time)","value":"12:18:02"},{"id":151,"name":"Denver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si="19"/>
        <v>start /low /b %USERPROFILE%\Documents\GitHub\eaglep3\Utilities\DownloadLogsFromS3.py --loco 4028 --day 2017-04-17</v>
      </c>
      <c r="AN77" s="159" t="str">
        <f t="shared" si="20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18:18:02"},{"id":29,"name":"Sharepoint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20" customFormat="1" x14ac:dyDescent="0.25">
      <c r="A78" s="33" t="s">
        <v>741</v>
      </c>
      <c r="B78" s="7">
        <v>4027</v>
      </c>
      <c r="C78" s="21" t="s">
        <v>213</v>
      </c>
      <c r="D78" s="21" t="s">
        <v>873</v>
      </c>
      <c r="E78" s="13">
        <v>42842.516087962962</v>
      </c>
      <c r="F78" s="13">
        <v>42842.518217592595</v>
      </c>
      <c r="G78" s="7">
        <v>1</v>
      </c>
      <c r="H78" s="21" t="s">
        <v>874</v>
      </c>
      <c r="I78" s="13">
        <v>42842.546527777777</v>
      </c>
      <c r="J78" s="7">
        <v>0</v>
      </c>
      <c r="K78" s="97" t="str">
        <f t="shared" si="27"/>
        <v>4027/4028</v>
      </c>
      <c r="L78" s="21" t="str">
        <f>VLOOKUP(A78,'Trips&amp;Operators'!$C$1:$G$99999,5,FALSE)</f>
        <v>CLARK KATHLEEN</v>
      </c>
      <c r="M78" s="6">
        <f t="shared" si="28"/>
        <v>2.8310185181908309E-2</v>
      </c>
      <c r="N78" s="7">
        <f t="shared" si="25"/>
        <v>40.766666661947966</v>
      </c>
      <c r="O78" s="7"/>
      <c r="P78" s="7"/>
      <c r="Q78" s="22"/>
      <c r="R78" s="22"/>
      <c r="S78" s="31">
        <f t="shared" si="26"/>
        <v>1</v>
      </c>
      <c r="T78" s="46" t="str">
        <f t="shared" si="29"/>
        <v>Southbound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30"/>
        <v>https://d0f6bd738d7f1b3e5a7ca70fe4ff75f0.us-east-1.aws.found.io/app/kibana#/discover/Steve-Slow-Train-Analysis-(2080s-and-2083s)?_g=(refreshInterval:(display:Off,pause:!f,section:0,value:0),time:(from:'2017-04-17T11:23:10-0600',mode:absolute,to:'2017-04-17T14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8" s="183" t="str">
        <f t="shared" si="31"/>
        <v>N</v>
      </c>
      <c r="X78" s="183">
        <f t="shared" si="32"/>
        <v>1</v>
      </c>
      <c r="Y78" s="62">
        <f t="shared" si="33"/>
        <v>23.295500000000001</v>
      </c>
      <c r="Z78" s="62">
        <f t="shared" si="34"/>
        <v>1.83E-2</v>
      </c>
      <c r="AA78" s="62">
        <f t="shared" si="35"/>
        <v>23.277200000000001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6"/>
        <v>0164-17</v>
      </c>
      <c r="AE78" s="85" t="str">
        <f t="shared" si="37"/>
        <v>aws s3 cp s3://rtdc.mdm.uploadarchive.raw/RTDC4027/ "%USERPROFILE%\AppData\Local\Temp\OnboardLogs"\RTDC4027\2017-04-17 --exclude "*" --recursive --include "*20170417*" &amp; "%USERPROFILE%\Documents\GitHub\mrs-test-scripts\Headless Mode &amp; Sideloading\WalkAndUnGZ.bat" "%USERPROFILE%\AppData\Local\Temp\OnboardLogs"\RTDC4027\2017-04-17 &amp; aws s3 cp s3://rtdc.mdm.uploadarchive.raw/RTDC4027/ "%USERPROFILE%\AppData\Local\Temp\OnboardLogs"\RTDC4027\2017-04-18 --exclude "*" --recursive --include "*20170418*" &amp; "%USERPROFILE%\Documents\GitHub\mrs-test-scripts\Headless Mode &amp; Sideloading\WalkAndUnGZ.bat" "%USERPROFILE%\AppData\Local\Temp\OnboardLogs"\RTDC4027\2017-04-18</v>
      </c>
      <c r="AF78" s="82" t="str">
        <f t="shared" si="38"/>
        <v>"C:\Program Files (x86)\AstroGrep\AstroGrep.exe" /e /r /s /spath="%USERPROFILE%\AppData\Local\Temp\OnboardLogs" /stypes="app*4027*20170417*" /stext=" 19:.+((SYSTEM_STATE.+slice.+state.+changed )|(ment ac)|(multiple cpu faults)|(system.+state.+changed )|(\[timeout)|(PRM\|1\|D)|(kpr)|(kdp)|(\|lc)|(penalty))"</v>
      </c>
      <c r="AG78" s="1" t="str">
        <f t="shared" si="39"/>
        <v>EC</v>
      </c>
      <c r="AH78" s="86" t="str">
        <f t="shared" ref="AH78:AH141" si="4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164-17 --locoid 4027 --swversion DE.1.0.9.0 --startMP 204:232955 --initTime 2017-04-17T12:23:10 --startdatetime 2017-04-17T12:26:14 --delay 1 --endMP 204:183 --enddatetime 2017-04-17T13:07:00 --enforcementcount 0 &gt;&gt;C:\Users\stu\Documents\GitHub\eaglep3-reporting\EC\2017-04-17-refined-times.txt</v>
      </c>
      <c r="AI78" s="104" t="str">
        <f t="shared" ref="AI78:AI141" si="4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{"issue":{"subject":"","project_id":79,"tracker_id":40,"status_id":1,"priority_id":2,"assigned_to_id":23,"start_date":"2017-04-17","description":"","custom_fields":[{"id":1,"name":"Subdivision","value":"EC"},{"id":4,"name":"Milepost","value":"0.0183"},{"id":17,"name":"Train ID","value":"164-17"},{"id":16,"name":"Locomotive ID","value":"4027"},{"id":130,"name":"Impact","value":""},{"id":150,"name":"Time of Event (Mountain Time)","value":"13:07:00"},{"id":151,"name":"Denver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8" s="48"/>
      <c r="AL78" s="48"/>
      <c r="AM78" s="150" t="str">
        <f t="shared" ref="AM78:AM141" si="42">"start /low /b "&amp;dls3logs&amp;" --loco "&amp;B78&amp;" --day "&amp;TEXT(F78,"YYYY-MM-DD")</f>
        <v>start /low /b %USERPROFILE%\Documents\GitHub\eaglep3\Utilities\DownloadLogsFromS3.py --loco 4027 --day 2017-04-17</v>
      </c>
      <c r="AN78" s="159" t="str">
        <f t="shared" ref="AN78:AN141" si="4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19:07:00"},{"id":29,"name":"Sharepoint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730</v>
      </c>
      <c r="B79" s="7">
        <v>4046</v>
      </c>
      <c r="C79" s="21" t="s">
        <v>213</v>
      </c>
      <c r="D79" s="21" t="s">
        <v>406</v>
      </c>
      <c r="E79" s="13">
        <v>42842.486678240741</v>
      </c>
      <c r="F79" s="13">
        <v>42842.489872685182</v>
      </c>
      <c r="G79" s="7">
        <v>1</v>
      </c>
      <c r="H79" s="21" t="s">
        <v>875</v>
      </c>
      <c r="I79" s="13">
        <v>42842.51525462963</v>
      </c>
      <c r="J79" s="7">
        <v>0</v>
      </c>
      <c r="K79" s="97" t="str">
        <f t="shared" si="27"/>
        <v>4045/4046</v>
      </c>
      <c r="L79" s="21" t="str">
        <f>VLOOKUP(A79,'Trips&amp;Operators'!$C$1:$G$99999,5,FALSE)</f>
        <v>ROMERO CHAD</v>
      </c>
      <c r="M79" s="6">
        <f t="shared" si="28"/>
        <v>2.5381944447872229E-2</v>
      </c>
      <c r="N79" s="7">
        <f t="shared" si="25"/>
        <v>36.55000000493601</v>
      </c>
      <c r="O79" s="7"/>
      <c r="P79" s="7"/>
      <c r="Q79" s="22"/>
      <c r="R79" s="22"/>
      <c r="S79" s="31">
        <f t="shared" si="26"/>
        <v>1</v>
      </c>
      <c r="T79" s="46" t="str">
        <f t="shared" si="29"/>
        <v>NorthBound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30"/>
        <v>https://d0f6bd738d7f1b3e5a7ca70fe4ff75f0.us-east-1.aws.found.io/app/kibana#/discover/Steve-Slow-Train-Analysis-(2080s-and-2083s)?_g=(refreshInterval:(display:Off,pause:!f,section:0,value:0),time:(from:'2017-04-17T10:40:49-0600',mode:absolute,to:'2017-04-17T13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9" s="183" t="str">
        <f t="shared" si="31"/>
        <v>N</v>
      </c>
      <c r="X79" s="183">
        <f t="shared" si="32"/>
        <v>1</v>
      </c>
      <c r="Y79" s="62">
        <f t="shared" si="33"/>
        <v>4.6199999999999998E-2</v>
      </c>
      <c r="Z79" s="62">
        <f t="shared" si="34"/>
        <v>23.3398</v>
      </c>
      <c r="AA79" s="62">
        <f t="shared" si="35"/>
        <v>23.293600000000001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6"/>
        <v>0165-17</v>
      </c>
      <c r="AE79" s="85" t="str">
        <f t="shared" si="37"/>
        <v>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 &amp; aws s3 cp s3://rtdc.mdm.uploadarchive.raw/RTDC4046/ "%USERPROFILE%\AppData\Local\Temp\OnboardLogs"\RTDC4046\2017-04-18 --exclude "*" --recursive --include "*20170418*" &amp; "%USERPROFILE%\Documents\GitHub\mrs-test-scripts\Headless Mode &amp; Sideloading\WalkAndUnGZ.bat" "%USERPROFILE%\AppData\Local\Temp\OnboardLogs"\RTDC4046\2017-04-18</v>
      </c>
      <c r="AF79" s="82" t="str">
        <f t="shared" si="38"/>
        <v>"C:\Program Files (x86)\AstroGrep\AstroGrep.exe" /e /r /s /spath="%USERPROFILE%\AppData\Local\Temp\OnboardLogs" /stypes="app*4046*20170417*" /stext=" 18:.+((SYSTEM_STATE.+slice.+state.+changed )|(ment ac)|(multiple cpu faults)|(system.+state.+changed )|(\[timeout)|(PRM\|1\|D)|(kpr)|(kdp)|(\|lc)|(penalty))"</v>
      </c>
      <c r="AG79" s="1" t="str">
        <f t="shared" si="39"/>
        <v>EC</v>
      </c>
      <c r="AH79" s="86" t="str">
        <f t="shared" si="40"/>
        <v>"%USERPROFILE%\Documents\GitHub\eaglep3\Utilities\RefineRTDCRunTimes.py" --tripid 165-17 --locoid 4046 --swversion DE.1.0.9.0 --startMP 204:462 --initTime 2017-04-17T11:40:49 --startdatetime 2017-04-17T11:45:25 --delay 1 --endMP 204:233398 --enddatetime 2017-04-17T12:21:58 --enforcementcount 0 &gt;&gt;C:\Users\stu\Documents\GitHub\eaglep3-reporting\EC\2017-04-17-refined-times.txt</v>
      </c>
      <c r="AI79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{"issue":{"subject":"","project_id":79,"tracker_id":40,"status_id":1,"priority_id":2,"assigned_to_id":23,"start_date":"2017-04-17","description":"","custom_fields":[{"id":1,"name":"Subdivision","value":"EC"},{"id":4,"name":"Milepost","value":"23.3398"},{"id":17,"name":"Train ID","value":"165-17"},{"id":16,"name":"Locomotive ID","value":"4046"},{"id":130,"name":"Impact","value":""},{"id":150,"name":"Time of Event (Mountain Time)","value":"12:21:58"},{"id":151,"name":"Denver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9" s="48"/>
      <c r="AL79" s="48"/>
      <c r="AM79" s="150" t="str">
        <f t="shared" si="42"/>
        <v>start /low /b %USERPROFILE%\Documents\GitHub\eaglep3\Utilities\DownloadLogsFromS3.py --loco 4046 --day 2017-04-17</v>
      </c>
      <c r="AN79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18:21:58"},{"id":29,"name":"Sharepoint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x14ac:dyDescent="0.25">
      <c r="A80" s="33" t="s">
        <v>619</v>
      </c>
      <c r="B80" s="7">
        <v>4045</v>
      </c>
      <c r="C80" s="21" t="s">
        <v>213</v>
      </c>
      <c r="D80" s="21" t="s">
        <v>876</v>
      </c>
      <c r="E80" s="13">
        <v>42842.519629629627</v>
      </c>
      <c r="F80" s="13">
        <v>42842.528657407405</v>
      </c>
      <c r="G80" s="7">
        <v>2</v>
      </c>
      <c r="H80" s="21" t="s">
        <v>877</v>
      </c>
      <c r="I80" s="13">
        <v>42842.555150462962</v>
      </c>
      <c r="J80" s="7">
        <v>0</v>
      </c>
      <c r="K80" s="97" t="str">
        <f t="shared" si="27"/>
        <v>4045/4046</v>
      </c>
      <c r="L80" s="21" t="str">
        <f>VLOOKUP(A80,'Trips&amp;Operators'!$C$1:$G$99999,5,FALSE)</f>
        <v>ROMERO CHAD</v>
      </c>
      <c r="M80" s="6">
        <f t="shared" si="28"/>
        <v>2.6493055556784384E-2</v>
      </c>
      <c r="N80" s="7">
        <f t="shared" si="25"/>
        <v>38.150000001769513</v>
      </c>
      <c r="O80" s="7"/>
      <c r="P80" s="7"/>
      <c r="Q80" s="22"/>
      <c r="R80" s="22"/>
      <c r="S80" s="31">
        <f t="shared" si="26"/>
        <v>1</v>
      </c>
      <c r="T80" s="46" t="str">
        <f t="shared" si="29"/>
        <v>Southbound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30"/>
        <v>https://d0f6bd738d7f1b3e5a7ca70fe4ff75f0.us-east-1.aws.found.io/app/kibana#/discover/Steve-Slow-Train-Analysis-(2080s-and-2083s)?_g=(refreshInterval:(display:Off,pause:!f,section:0,value:0),time:(from:'2017-04-17T11:28:16-0600',mode:absolute,to:'2017-04-17T14:19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0" s="183" t="str">
        <f t="shared" si="31"/>
        <v>N</v>
      </c>
      <c r="X80" s="183">
        <f t="shared" si="32"/>
        <v>1</v>
      </c>
      <c r="Y80" s="62">
        <f t="shared" si="33"/>
        <v>23.305499999999999</v>
      </c>
      <c r="Z80" s="62">
        <f t="shared" si="34"/>
        <v>1.01E-2</v>
      </c>
      <c r="AA80" s="62">
        <f t="shared" si="35"/>
        <v>23.295399999999997</v>
      </c>
      <c r="AB80" s="59" t="str">
        <f>VLOOKUP(A80,Enforcements!$C$7:$K$13,8,0)</f>
        <v>Bulletin (2)</v>
      </c>
      <c r="AC80" s="55" t="str">
        <f>VLOOKUP(A80,Enforcements!$C$7:$E$13,3,0)</f>
        <v>GRADE CROSSING</v>
      </c>
      <c r="AD80" s="56" t="str">
        <f t="shared" si="36"/>
        <v>0166-17</v>
      </c>
      <c r="AE80" s="85" t="str">
        <f t="shared" si="37"/>
        <v>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 &amp; aws s3 cp s3://rtdc.mdm.uploadarchive.raw/RTDC4045/ "%USERPROFILE%\AppData\Local\Temp\OnboardLogs"\RTDC4045\2017-04-18 --exclude "*" --recursive --include "*20170418*" &amp; "%USERPROFILE%\Documents\GitHub\mrs-test-scripts\Headless Mode &amp; Sideloading\WalkAndUnGZ.bat" "%USERPROFILE%\AppData\Local\Temp\OnboardLogs"\RTDC4045\2017-04-18</v>
      </c>
      <c r="AF80" s="82" t="str">
        <f t="shared" si="38"/>
        <v>"C:\Program Files (x86)\AstroGrep\AstroGrep.exe" /e /r /s /spath="%USERPROFILE%\AppData\Local\Temp\OnboardLogs" /stypes="app*4045*20170417*" /stext=" 19:.+((SYSTEM_STATE.+slice.+state.+changed )|(ment ac)|(multiple cpu faults)|(system.+state.+changed )|(\[timeout)|(PRM\|1\|D)|(kpr)|(kdp)|(\|lc)|(penalty))"</v>
      </c>
      <c r="AG80" s="1" t="str">
        <f t="shared" si="39"/>
        <v>EC</v>
      </c>
      <c r="AH80" s="86" t="str">
        <f t="shared" si="40"/>
        <v>"%USERPROFILE%\Documents\GitHub\eaglep3\Utilities\RefineRTDCRunTimes.py" --tripid 166-17 --locoid 4045 --swversion DE.1.0.9.0 --startMP 204:233055 --initTime 2017-04-17T12:28:16 --startdatetime 2017-04-17T12:41:16 --delay 2 --endMP 204:101 --enddatetime 2017-04-17T13:19:25 --enforcementcount 0 &gt;&gt;C:\Users\stu\Documents\GitHub\eaglep3-reporting\EC\2017-04-17-refined-times.txt</v>
      </c>
      <c r="AI80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{"issue":{"subject":"","project_id":79,"tracker_id":40,"status_id":1,"priority_id":2,"assigned_to_id":23,"start_date":"2017-04-17","description":"","custom_fields":[{"id":1,"name":"Subdivision","value":"EC"},{"id":4,"name":"Milepost","value":"0.0101"},{"id":17,"name":"Train ID","value":"166-17"},{"id":16,"name":"Locomotive ID","value":"4045"},{"id":130,"name":"Impact","value":""},{"id":150,"name":"Time of Event (Mountain Time)","value":"13:19:25"},{"id":151,"name":"Denver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8"/>
      <c r="AL80" s="48"/>
      <c r="AM80" s="150" t="str">
        <f t="shared" si="42"/>
        <v>start /low /b %USERPROFILE%\Documents\GitHub\eaglep3\Utilities\DownloadLogsFromS3.py --loco 4045 --day 2017-04-17</v>
      </c>
      <c r="AN80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19:19:25"},{"id":29,"name":"Sharepoint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1" spans="1:91" s="20" customFormat="1" x14ac:dyDescent="0.25">
      <c r="A81" s="33" t="s">
        <v>732</v>
      </c>
      <c r="B81" s="7">
        <v>4008</v>
      </c>
      <c r="C81" s="21" t="s">
        <v>213</v>
      </c>
      <c r="D81" s="21" t="s">
        <v>509</v>
      </c>
      <c r="E81" s="13">
        <v>42842.495821759258</v>
      </c>
      <c r="F81" s="13">
        <v>42842.500335648147</v>
      </c>
      <c r="G81" s="7">
        <v>3</v>
      </c>
      <c r="H81" s="21" t="s">
        <v>878</v>
      </c>
      <c r="I81" s="13">
        <v>42842.525763888887</v>
      </c>
      <c r="J81" s="7">
        <v>0</v>
      </c>
      <c r="K81" s="97" t="str">
        <f t="shared" si="27"/>
        <v>4007/4008</v>
      </c>
      <c r="L81" s="21" t="str">
        <f>VLOOKUP(A81,'Trips&amp;Operators'!$C$1:$G$99999,5,FALSE)</f>
        <v>MACDONALD THOMAS</v>
      </c>
      <c r="M81" s="6">
        <f t="shared" si="28"/>
        <v>2.5428240740438923E-2</v>
      </c>
      <c r="N81" s="7">
        <f t="shared" si="25"/>
        <v>36.616666666232049</v>
      </c>
      <c r="O81" s="7"/>
      <c r="P81" s="7"/>
      <c r="Q81" s="22"/>
      <c r="R81" s="22"/>
      <c r="S81" s="31">
        <f t="shared" si="26"/>
        <v>1</v>
      </c>
      <c r="T81" s="46" t="str">
        <f t="shared" si="29"/>
        <v>NorthBound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30"/>
        <v>https://d0f6bd738d7f1b3e5a7ca70fe4ff75f0.us-east-1.aws.found.io/app/kibana#/discover/Steve-Slow-Train-Analysis-(2080s-and-2083s)?_g=(refreshInterval:(display:Off,pause:!f,section:0,value:0),time:(from:'2017-04-17T10:53:59-0600',mode:absolute,to:'2017-04-17T13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1" s="183" t="str">
        <f t="shared" si="31"/>
        <v>N</v>
      </c>
      <c r="X81" s="183">
        <f t="shared" si="32"/>
        <v>1</v>
      </c>
      <c r="Y81" s="62">
        <f t="shared" si="33"/>
        <v>4.6600000000000003E-2</v>
      </c>
      <c r="Z81" s="62">
        <f t="shared" si="34"/>
        <v>23.336400000000001</v>
      </c>
      <c r="AA81" s="62">
        <f t="shared" si="35"/>
        <v>23.2898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6"/>
        <v>0167-17</v>
      </c>
      <c r="AE81" s="85" t="str">
        <f t="shared" si="37"/>
        <v>aws s3 cp s3://rtdc.mdm.uploadarchive.raw/RTDC4008/ "%USERPROFILE%\AppData\Local\Temp\OnboardLogs"\RTDC4008\2017-04-17 --exclude "*" --recursive --include "*20170417*" &amp; "%USERPROFILE%\Documents\GitHub\mrs-test-scripts\Headless Mode &amp; Sideloading\WalkAndUnGZ.bat" "%USERPROFILE%\AppData\Local\Temp\OnboardLogs"\RTDC4008\2017-04-17 &amp; aws s3 cp s3://rtdc.mdm.uploadarchive.raw/RTDC4008/ "%USERPROFILE%\AppData\Local\Temp\OnboardLogs"\RTDC4008\2017-04-18 --exclude "*" --recursive --include "*20170418*" &amp; "%USERPROFILE%\Documents\GitHub\mrs-test-scripts\Headless Mode &amp; Sideloading\WalkAndUnGZ.bat" "%USERPROFILE%\AppData\Local\Temp\OnboardLogs"\RTDC4008\2017-04-18</v>
      </c>
      <c r="AF81" s="82" t="str">
        <f t="shared" si="38"/>
        <v>"C:\Program Files (x86)\AstroGrep\AstroGrep.exe" /e /r /s /spath="%USERPROFILE%\AppData\Local\Temp\OnboardLogs" /stypes="app*4008*20170417*" /stext=" 18:.+((SYSTEM_STATE.+slice.+state.+changed )|(ment ac)|(multiple cpu faults)|(system.+state.+changed )|(\[timeout)|(PRM\|1\|D)|(kpr)|(kdp)|(\|lc)|(penalty))"</v>
      </c>
      <c r="AG81" s="1" t="str">
        <f t="shared" si="39"/>
        <v>EC</v>
      </c>
      <c r="AH81" s="86" t="str">
        <f t="shared" si="40"/>
        <v>"%USERPROFILE%\Documents\GitHub\eaglep3\Utilities\RefineRTDCRunTimes.py" --tripid 167-17 --locoid 4008 --swversion DE.1.0.9.0 --startMP 204:466 --initTime 2017-04-17T11:53:59 --startdatetime 2017-04-17T12:00:29 --delay 3 --endMP 204:233364 --enddatetime 2017-04-17T12:37:06 --enforcementcount 0 &gt;&gt;C:\Users\stu\Documents\GitHub\eaglep3-reporting\EC\2017-04-17-refined-times.txt</v>
      </c>
      <c r="AI81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{"issue":{"subject":"","project_id":79,"tracker_id":40,"status_id":1,"priority_id":2,"assigned_to_id":23,"start_date":"2017-04-17","description":"","custom_fields":[{"id":1,"name":"Subdivision","value":"EC"},{"id":4,"name":"Milepost","value":"23.3364"},{"id":17,"name":"Train ID","value":"167-17"},{"id":16,"name":"Locomotive ID","value":"4008"},{"id":130,"name":"Impact","value":""},{"id":150,"name":"Time of Event (Mountain Time)","value":"12:37:06"},{"id":151,"name":"Denver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1" s="48"/>
      <c r="AL81" s="48"/>
      <c r="AM81" s="150" t="str">
        <f t="shared" si="42"/>
        <v>start /low /b %USERPROFILE%\Documents\GitHub\eaglep3\Utilities\DownloadLogsFromS3.py --loco 4008 --day 2017-04-17</v>
      </c>
      <c r="AN81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18:37:06"},{"id":29,"name":"Sharepoint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620</v>
      </c>
      <c r="B82" s="7">
        <v>4007</v>
      </c>
      <c r="C82" s="21" t="s">
        <v>213</v>
      </c>
      <c r="D82" s="21" t="s">
        <v>879</v>
      </c>
      <c r="E82" s="13">
        <v>42842.533402777779</v>
      </c>
      <c r="F82" s="13">
        <v>42842.539166666669</v>
      </c>
      <c r="G82" s="7">
        <v>3</v>
      </c>
      <c r="H82" s="21" t="s">
        <v>203</v>
      </c>
      <c r="I82" s="13">
        <v>42842.567326388889</v>
      </c>
      <c r="J82" s="7">
        <v>0</v>
      </c>
      <c r="K82" s="97" t="str">
        <f t="shared" si="27"/>
        <v>4007/4008</v>
      </c>
      <c r="L82" s="21" t="str">
        <f>VLOOKUP(A82,'Trips&amp;Operators'!$C$1:$G$99999,5,FALSE)</f>
        <v>MACDONALD THOMAS</v>
      </c>
      <c r="M82" s="6">
        <f t="shared" si="28"/>
        <v>2.8159722220152617E-2</v>
      </c>
      <c r="N82" s="7">
        <f t="shared" si="25"/>
        <v>40.549999997019768</v>
      </c>
      <c r="O82" s="7"/>
      <c r="P82" s="7"/>
      <c r="Q82" s="22"/>
      <c r="R82" s="22"/>
      <c r="S82" s="31">
        <f t="shared" si="26"/>
        <v>1</v>
      </c>
      <c r="T82" s="46" t="str">
        <f t="shared" si="29"/>
        <v>Southbound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30"/>
        <v>https://d0f6bd738d7f1b3e5a7ca70fe4ff75f0.us-east-1.aws.found.io/app/kibana#/discover/Steve-Slow-Train-Analysis-(2080s-and-2083s)?_g=(refreshInterval:(display:Off,pause:!f,section:0,value:0),time:(from:'2017-04-17T11:48:06-0600',mode:absolute,to:'2017-04-17T14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2" s="183" t="str">
        <f t="shared" si="31"/>
        <v>N</v>
      </c>
      <c r="X82" s="183">
        <f t="shared" si="32"/>
        <v>1</v>
      </c>
      <c r="Y82" s="62">
        <f t="shared" si="33"/>
        <v>23.300699999999999</v>
      </c>
      <c r="Z82" s="62">
        <f t="shared" si="34"/>
        <v>1.54E-2</v>
      </c>
      <c r="AA82" s="62">
        <f t="shared" si="35"/>
        <v>23.285299999999999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6"/>
        <v>0168-17</v>
      </c>
      <c r="AE82" s="85" t="str">
        <f t="shared" si="37"/>
        <v>aws s3 cp s3://rtdc.mdm.uploadarchive.raw/RTDC4007/ "%USERPROFILE%\AppData\Local\Temp\OnboardLogs"\RTDC4007\2017-04-17 --exclude "*" --recursive --include "*20170417*" &amp; "%USERPROFILE%\Documents\GitHub\mrs-test-scripts\Headless Mode &amp; Sideloading\WalkAndUnGZ.bat" "%USERPROFILE%\AppData\Local\Temp\OnboardLogs"\RTDC4007\2017-04-17 &amp; aws s3 cp s3://rtdc.mdm.uploadarchive.raw/RTDC4007/ "%USERPROFILE%\AppData\Local\Temp\OnboardLogs"\RTDC4007\2017-04-18 --exclude "*" --recursive --include "*20170418*" &amp; "%USERPROFILE%\Documents\GitHub\mrs-test-scripts\Headless Mode &amp; Sideloading\WalkAndUnGZ.bat" "%USERPROFILE%\AppData\Local\Temp\OnboardLogs"\RTDC4007\2017-04-18</v>
      </c>
      <c r="AF82" s="82" t="str">
        <f t="shared" si="38"/>
        <v>"C:\Program Files (x86)\AstroGrep\AstroGrep.exe" /e /r /s /spath="%USERPROFILE%\AppData\Local\Temp\OnboardLogs" /stypes="app*4007*20170417*" /stext=" 19:.+((SYSTEM_STATE.+slice.+state.+changed )|(ment ac)|(multiple cpu faults)|(system.+state.+changed )|(\[timeout)|(PRM\|1\|D)|(kpr)|(kdp)|(\|lc)|(penalty))"</v>
      </c>
      <c r="AG82" s="1" t="str">
        <f t="shared" si="39"/>
        <v>EC</v>
      </c>
      <c r="AH82" s="86" t="str">
        <f t="shared" si="40"/>
        <v>"%USERPROFILE%\Documents\GitHub\eaglep3\Utilities\RefineRTDCRunTimes.py" --tripid 168-17 --locoid 4007 --swversion DE.1.0.9.0 --startMP 204:233007 --initTime 2017-04-17T12:48:06 --startdatetime 2017-04-17T12:56:24 --delay 3 --endMP 204:154 --enddatetime 2017-04-17T13:36:57 --enforcementcount 0 &gt;&gt;C:\Users\stu\Documents\GitHub\eaglep3-reporting\EC\2017-04-17-refined-times.txt</v>
      </c>
      <c r="AI82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{"issue":{"subject":"","project_id":79,"tracker_id":40,"status_id":1,"priority_id":2,"assigned_to_id":23,"start_date":"2017-04-17","description":"","custom_fields":[{"id":1,"name":"Subdivision","value":"EC"},{"id":4,"name":"Milepost","value":"0.0154"},{"id":17,"name":"Train ID","value":"168-17"},{"id":16,"name":"Locomotive ID","value":"4007"},{"id":130,"name":"Impact","value":""},{"id":150,"name":"Time of Event (Mountain Time)","value":"13:36:57"},{"id":151,"name":"Denver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8"/>
      <c r="AL82" s="48"/>
      <c r="AM82" s="150" t="str">
        <f t="shared" si="42"/>
        <v>start /low /b %USERPROFILE%\Documents\GitHub\eaglep3\Utilities\DownloadLogsFromS3.py --loco 4007 --day 2017-04-17</v>
      </c>
      <c r="AN82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19:36:57"},{"id":29,"name":"Sharepoint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737</v>
      </c>
      <c r="B83" s="7">
        <v>4002</v>
      </c>
      <c r="C83" s="21" t="s">
        <v>213</v>
      </c>
      <c r="D83" s="21" t="s">
        <v>417</v>
      </c>
      <c r="E83" s="13">
        <v>42842.508298611108</v>
      </c>
      <c r="F83" s="13">
        <v>42842.510659722226</v>
      </c>
      <c r="G83" s="7">
        <v>1</v>
      </c>
      <c r="H83" s="21" t="s">
        <v>452</v>
      </c>
      <c r="I83" s="13">
        <v>42842.537083333336</v>
      </c>
      <c r="J83" s="7">
        <v>0</v>
      </c>
      <c r="K83" s="97" t="str">
        <f t="shared" si="27"/>
        <v>4001/4002</v>
      </c>
      <c r="L83" s="21" t="str">
        <f>VLOOKUP(A83,'Trips&amp;Operators'!$C$1:$G$99999,5,FALSE)</f>
        <v>LEVERE CRAIG</v>
      </c>
      <c r="M83" s="6">
        <f t="shared" si="28"/>
        <v>2.6423611110658385E-2</v>
      </c>
      <c r="N83" s="7">
        <f t="shared" si="25"/>
        <v>38.049999999348074</v>
      </c>
      <c r="O83" s="7"/>
      <c r="P83" s="7"/>
      <c r="Q83" s="22"/>
      <c r="R83" s="22"/>
      <c r="S83" s="31">
        <f t="shared" si="26"/>
        <v>1</v>
      </c>
      <c r="T83" s="46" t="str">
        <f t="shared" si="29"/>
        <v>NorthBound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30"/>
        <v>https://d0f6bd738d7f1b3e5a7ca70fe4ff75f0.us-east-1.aws.found.io/app/kibana#/discover/Steve-Slow-Train-Analysis-(2080s-and-2083s)?_g=(refreshInterval:(display:Off,pause:!f,section:0,value:0),time:(from:'2017-04-17T11:11:57-0600',mode:absolute,to:'2017-04-17T13:53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3" s="183" t="str">
        <f t="shared" si="31"/>
        <v>N</v>
      </c>
      <c r="X83" s="183">
        <f t="shared" si="32"/>
        <v>1</v>
      </c>
      <c r="Y83" s="62">
        <f t="shared" si="33"/>
        <v>4.58E-2</v>
      </c>
      <c r="Z83" s="62">
        <f t="shared" si="34"/>
        <v>23.3306</v>
      </c>
      <c r="AA83" s="62">
        <f t="shared" si="35"/>
        <v>23.284800000000001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6"/>
        <v>0169-17</v>
      </c>
      <c r="AE83" s="85" t="str">
        <f t="shared" si="37"/>
        <v>aws s3 cp s3://rtdc.mdm.uploadarchive.raw/RTDC4002/ "%USERPROFILE%\AppData\Local\Temp\OnboardLogs"\RTDC4002\2017-04-17 --exclude "*" --recursive --include "*20170417*" &amp; "%USERPROFILE%\Documents\GitHub\mrs-test-scripts\Headless Mode &amp; Sideloading\WalkAndUnGZ.bat" "%USERPROFILE%\AppData\Local\Temp\OnboardLogs"\RTDC4002\2017-04-17 &amp; aws s3 cp s3://rtdc.mdm.uploadarchive.raw/RTDC4002/ "%USERPROFILE%\AppData\Local\Temp\OnboardLogs"\RTDC4002\2017-04-18 --exclude "*" --recursive --include "*20170418*" &amp; "%USERPROFILE%\Documents\GitHub\mrs-test-scripts\Headless Mode &amp; Sideloading\WalkAndUnGZ.bat" "%USERPROFILE%\AppData\Local\Temp\OnboardLogs"\RTDC4002\2017-04-18</v>
      </c>
      <c r="AF83" s="82" t="str">
        <f t="shared" si="38"/>
        <v>"C:\Program Files (x86)\AstroGrep\AstroGrep.exe" /e /r /s /spath="%USERPROFILE%\AppData\Local\Temp\OnboardLogs" /stypes="app*4002*20170417*" /stext=" 18:.+((SYSTEM_STATE.+slice.+state.+changed )|(ment ac)|(multiple cpu faults)|(system.+state.+changed )|(\[timeout)|(PRM\|1\|D)|(kpr)|(kdp)|(\|lc)|(penalty))"</v>
      </c>
      <c r="AG83" s="1" t="str">
        <f t="shared" si="39"/>
        <v>EC</v>
      </c>
      <c r="AH83" s="86" t="str">
        <f t="shared" si="40"/>
        <v>"%USERPROFILE%\Documents\GitHub\eaglep3\Utilities\RefineRTDCRunTimes.py" --tripid 169-17 --locoid 4002 --swversion DE.1.0.9.0 --startMP 204:458 --initTime 2017-04-17T12:11:57 --startdatetime 2017-04-17T12:15:21 --delay 1 --endMP 204:233306 --enddatetime 2017-04-17T12:53:24 --enforcementcount 0 &gt;&gt;C:\Users\stu\Documents\GitHub\eaglep3-reporting\EC\2017-04-17-refined-times.txt</v>
      </c>
      <c r="AI83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{"issue":{"subject":"","project_id":79,"tracker_id":40,"status_id":1,"priority_id":2,"assigned_to_id":23,"start_date":"2017-04-17","description":"","custom_fields":[{"id":1,"name":"Subdivision","value":"EC"},{"id":4,"name":"Milepost","value":"23.3306"},{"id":17,"name":"Train ID","value":"169-17"},{"id":16,"name":"Locomotive ID","value":"4002"},{"id":130,"name":"Impact","value":""},{"id":150,"name":"Time of Event (Mountain Time)","value":"12:53:24"},{"id":151,"name":"Denver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3" s="48"/>
      <c r="AL83" s="48"/>
      <c r="AM83" s="150" t="str">
        <f t="shared" si="42"/>
        <v>start /low /b %USERPROFILE%\Documents\GitHub\eaglep3\Utilities\DownloadLogsFromS3.py --loco 4002 --day 2017-04-17</v>
      </c>
      <c r="AN83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18:53:24"},{"id":29,"name":"Sharepoint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745</v>
      </c>
      <c r="B84" s="7">
        <v>4001</v>
      </c>
      <c r="C84" s="21" t="s">
        <v>213</v>
      </c>
      <c r="D84" s="21" t="s">
        <v>476</v>
      </c>
      <c r="E84" s="13">
        <v>42842.542766203704</v>
      </c>
      <c r="F84" s="13">
        <v>42842.549537037034</v>
      </c>
      <c r="G84" s="7">
        <v>1</v>
      </c>
      <c r="H84" s="21" t="s">
        <v>413</v>
      </c>
      <c r="I84" s="13">
        <v>42842.578379629631</v>
      </c>
      <c r="J84" s="7">
        <v>0</v>
      </c>
      <c r="K84" s="97" t="str">
        <f t="shared" si="27"/>
        <v>4001/4002</v>
      </c>
      <c r="L84" s="21" t="str">
        <f>VLOOKUP(A84,'Trips&amp;Operators'!$C$1:$G$99999,5,FALSE)</f>
        <v>LEVERE CRAIG</v>
      </c>
      <c r="M84" s="6">
        <f t="shared" si="28"/>
        <v>2.8842592597356997E-2</v>
      </c>
      <c r="N84" s="7">
        <f t="shared" si="25"/>
        <v>41.533333340194076</v>
      </c>
      <c r="O84" s="7"/>
      <c r="P84" s="7"/>
      <c r="Q84" s="22"/>
      <c r="R84" s="22"/>
      <c r="S84" s="31">
        <f t="shared" si="26"/>
        <v>1</v>
      </c>
      <c r="T84" s="46" t="str">
        <f t="shared" si="29"/>
        <v>Southbound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30"/>
        <v>https://d0f6bd738d7f1b3e5a7ca70fe4ff75f0.us-east-1.aws.found.io/app/kibana#/discover/Steve-Slow-Train-Analysis-(2080s-and-2083s)?_g=(refreshInterval:(display:Off,pause:!f,section:0,value:0),time:(from:'2017-04-17T12:01:35-0600',mode:absolute,to:'2017-04-17T14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4" s="183" t="str">
        <f t="shared" si="31"/>
        <v>N</v>
      </c>
      <c r="X84" s="183">
        <f t="shared" si="32"/>
        <v>1</v>
      </c>
      <c r="Y84" s="62">
        <f t="shared" si="33"/>
        <v>23.299800000000001</v>
      </c>
      <c r="Z84" s="62">
        <f t="shared" si="34"/>
        <v>1.4500000000000001E-2</v>
      </c>
      <c r="AA84" s="62">
        <f t="shared" si="35"/>
        <v>23.285299999999999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6"/>
        <v>0170-17</v>
      </c>
      <c r="AE84" s="85" t="str">
        <f t="shared" si="37"/>
        <v>aws s3 cp s3://rtdc.mdm.uploadarchive.raw/RTDC4001/ "%USERPROFILE%\AppData\Local\Temp\OnboardLogs"\RTDC4001\2017-04-17 --exclude "*" --recursive --include "*20170417*" &amp; "%USERPROFILE%\Documents\GitHub\mrs-test-scripts\Headless Mode &amp; Sideloading\WalkAndUnGZ.bat" "%USERPROFILE%\AppData\Local\Temp\OnboardLogs"\RTDC4001\2017-04-17 &amp; aws s3 cp s3://rtdc.mdm.uploadarchive.raw/RTDC4001/ "%USERPROFILE%\AppData\Local\Temp\OnboardLogs"\RTDC4001\2017-04-18 --exclude "*" --recursive --include "*20170418*" &amp; "%USERPROFILE%\Documents\GitHub\mrs-test-scripts\Headless Mode &amp; Sideloading\WalkAndUnGZ.bat" "%USERPROFILE%\AppData\Local\Temp\OnboardLogs"\RTDC4001\2017-04-18</v>
      </c>
      <c r="AF84" s="82" t="str">
        <f t="shared" si="38"/>
        <v>"C:\Program Files (x86)\AstroGrep\AstroGrep.exe" /e /r /s /spath="%USERPROFILE%\AppData\Local\Temp\OnboardLogs" /stypes="app*4001*20170417*" /stext=" 19:.+((SYSTEM_STATE.+slice.+state.+changed )|(ment ac)|(multiple cpu faults)|(system.+state.+changed )|(\[timeout)|(PRM\|1\|D)|(kpr)|(kdp)|(\|lc)|(penalty))"</v>
      </c>
      <c r="AG84" s="1" t="str">
        <f t="shared" si="39"/>
        <v>EC</v>
      </c>
      <c r="AH84" s="86" t="str">
        <f t="shared" si="40"/>
        <v>"%USERPROFILE%\Documents\GitHub\eaglep3\Utilities\RefineRTDCRunTimes.py" --tripid 170-17 --locoid 4001 --swversion DE.1.0.9.0 --startMP 204:232998 --initTime 2017-04-17T13:01:35 --startdatetime 2017-04-17T13:11:20 --delay 1 --endMP 204:145 --enddatetime 2017-04-17T13:52:52 --enforcementcount 0 &gt;&gt;C:\Users\stu\Documents\GitHub\eaglep3-reporting\EC\2017-04-17-refined-times.txt</v>
      </c>
      <c r="AI84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{"issue":{"subject":"","project_id":79,"tracker_id":40,"status_id":1,"priority_id":2,"assigned_to_id":23,"start_date":"2017-04-17","description":"","custom_fields":[{"id":1,"name":"Subdivision","value":"EC"},{"id":4,"name":"Milepost","value":"0.0145"},{"id":17,"name":"Train ID","value":"170-17"},{"id":16,"name":"Locomotive ID","value":"4001"},{"id":130,"name":"Impact","value":""},{"id":150,"name":"Time of Event (Mountain Time)","value":"13:52:52"},{"id":151,"name":"Denver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50" t="str">
        <f t="shared" si="42"/>
        <v>start /low /b %USERPROFILE%\Documents\GitHub\eaglep3\Utilities\DownloadLogsFromS3.py --loco 4001 --day 2017-04-17</v>
      </c>
      <c r="AN84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19:52:52"},{"id":29,"name":"Sharepoint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740</v>
      </c>
      <c r="B85" s="7">
        <v>4052</v>
      </c>
      <c r="C85" s="21" t="s">
        <v>213</v>
      </c>
      <c r="D85" s="21" t="s">
        <v>204</v>
      </c>
      <c r="E85" s="13">
        <v>42842.514837962961</v>
      </c>
      <c r="F85" s="13">
        <v>42842.520995370367</v>
      </c>
      <c r="G85" s="7">
        <v>2</v>
      </c>
      <c r="H85" s="21" t="s">
        <v>880</v>
      </c>
      <c r="I85" s="13">
        <v>42842.547638888886</v>
      </c>
      <c r="J85" s="7">
        <v>0</v>
      </c>
      <c r="K85" s="97" t="str">
        <f t="shared" si="27"/>
        <v>4051/4052</v>
      </c>
      <c r="L85" s="21" t="str">
        <f>VLOOKUP(A85,'Trips&amp;Operators'!$C$1:$G$99999,5,FALSE)</f>
        <v>BRANDNER MELINDA</v>
      </c>
      <c r="M85" s="6">
        <f t="shared" si="28"/>
        <v>2.6643518518540077E-2</v>
      </c>
      <c r="N85" s="7">
        <f t="shared" si="25"/>
        <v>38.366666666697711</v>
      </c>
      <c r="O85" s="7"/>
      <c r="P85" s="7"/>
      <c r="Q85" s="22"/>
      <c r="R85" s="22"/>
      <c r="S85" s="31">
        <f t="shared" si="26"/>
        <v>1</v>
      </c>
      <c r="T85" s="46" t="str">
        <f t="shared" si="29"/>
        <v>NorthBound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30"/>
        <v>https://d0f6bd738d7f1b3e5a7ca70fe4ff75f0.us-east-1.aws.found.io/app/kibana#/discover/Steve-Slow-Train-Analysis-(2080s-and-2083s)?_g=(refreshInterval:(display:Off,pause:!f,section:0,value:0),time:(from:'2017-04-17T11:21:22-0600',mode:absolute,to:'2017-04-17T14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5" s="183" t="str">
        <f t="shared" si="31"/>
        <v>N</v>
      </c>
      <c r="X85" s="183">
        <f t="shared" si="32"/>
        <v>1</v>
      </c>
      <c r="Y85" s="62">
        <f t="shared" si="33"/>
        <v>4.5699999999999998E-2</v>
      </c>
      <c r="Z85" s="62">
        <f t="shared" si="34"/>
        <v>23.338000000000001</v>
      </c>
      <c r="AA85" s="62">
        <f t="shared" si="35"/>
        <v>23.292300000000001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6"/>
        <v>0171-17</v>
      </c>
      <c r="AE85" s="85" t="str">
        <f t="shared" si="37"/>
        <v>aws s3 cp s3://rtdc.mdm.uploadarchive.raw/RTDC4052/ "%USERPROFILE%\AppData\Local\Temp\OnboardLogs"\RTDC4052\2017-04-17 --exclude "*" --recursive --include "*20170417*" &amp; "%USERPROFILE%\Documents\GitHub\mrs-test-scripts\Headless Mode &amp; Sideloading\WalkAndUnGZ.bat" "%USERPROFILE%\AppData\Local\Temp\OnboardLogs"\RTDC4052\2017-04-17 &amp; aws s3 cp s3://rtdc.mdm.uploadarchive.raw/RTDC4052/ "%USERPROFILE%\AppData\Local\Temp\OnboardLogs"\RTDC4052\2017-04-18 --exclude "*" --recursive --include "*20170418*" &amp; "%USERPROFILE%\Documents\GitHub\mrs-test-scripts\Headless Mode &amp; Sideloading\WalkAndUnGZ.bat" "%USERPROFILE%\AppData\Local\Temp\OnboardLogs"\RTDC4052\2017-04-18</v>
      </c>
      <c r="AF85" s="82" t="str">
        <f t="shared" si="38"/>
        <v>"C:\Program Files (x86)\AstroGrep\AstroGrep.exe" /e /r /s /spath="%USERPROFILE%\AppData\Local\Temp\OnboardLogs" /stypes="app*4052*20170417*" /stext=" 19:.+((SYSTEM_STATE.+slice.+state.+changed )|(ment ac)|(multiple cpu faults)|(system.+state.+changed )|(\[timeout)|(PRM\|1\|D)|(kpr)|(kdp)|(\|lc)|(penalty))"</v>
      </c>
      <c r="AG85" s="1" t="str">
        <f t="shared" si="39"/>
        <v>EC</v>
      </c>
      <c r="AH85" s="86" t="str">
        <f t="shared" si="40"/>
        <v>"%USERPROFILE%\Documents\GitHub\eaglep3\Utilities\RefineRTDCRunTimes.py" --tripid 171-17 --locoid 4052 --swversion DE.1.0.9.0 --startMP 204:457 --initTime 2017-04-17T12:21:22 --startdatetime 2017-04-17T12:30:14 --delay 2 --endMP 204:233380 --enddatetime 2017-04-17T13:08:36 --enforcementcount 0 &gt;&gt;C:\Users\stu\Documents\GitHub\eaglep3-reporting\EC\2017-04-17-refined-times.txt</v>
      </c>
      <c r="AI85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{"issue":{"subject":"","project_id":79,"tracker_id":40,"status_id":1,"priority_id":2,"assigned_to_id":23,"start_date":"2017-04-17","description":"","custom_fields":[{"id":1,"name":"Subdivision","value":"EC"},{"id":4,"name":"Milepost","value":"23.338"},{"id":17,"name":"Train ID","value":"171-17"},{"id":16,"name":"Locomotive ID","value":"4052"},{"id":130,"name":"Impact","value":""},{"id":150,"name":"Time of Event (Mountain Time)","value":"13:08:36"},{"id":151,"name":"Denver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8"/>
      <c r="AL85" s="48"/>
      <c r="AM85" s="150" t="str">
        <f t="shared" si="42"/>
        <v>start /low /b %USERPROFILE%\Documents\GitHub\eaglep3\Utilities\DownloadLogsFromS3.py --loco 4052 --day 2017-04-17</v>
      </c>
      <c r="AN85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19:08:36"},{"id":29,"name":"Sharepoint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6" spans="1:91" s="1" customFormat="1" x14ac:dyDescent="0.25">
      <c r="A86" s="33" t="s">
        <v>748</v>
      </c>
      <c r="B86" s="7">
        <v>4051</v>
      </c>
      <c r="C86" s="21" t="s">
        <v>213</v>
      </c>
      <c r="D86" s="21" t="s">
        <v>881</v>
      </c>
      <c r="E86" s="13">
        <v>42842.55369212963</v>
      </c>
      <c r="F86" s="13">
        <v>42842.559953703705</v>
      </c>
      <c r="G86" s="7">
        <v>1</v>
      </c>
      <c r="H86" s="21" t="s">
        <v>210</v>
      </c>
      <c r="I86" s="13">
        <v>42842.58966435185</v>
      </c>
      <c r="J86" s="7">
        <v>0</v>
      </c>
      <c r="K86" s="97" t="str">
        <f t="shared" si="27"/>
        <v>4051/4052</v>
      </c>
      <c r="L86" s="21" t="str">
        <f>VLOOKUP(A86,'Trips&amp;Operators'!$C$1:$G$99999,5,FALSE)</f>
        <v>BRANDNER MELINDA</v>
      </c>
      <c r="M86" s="6">
        <f t="shared" si="28"/>
        <v>2.9710648144828156E-2</v>
      </c>
      <c r="N86" s="7">
        <f t="shared" si="25"/>
        <v>42.783333328552544</v>
      </c>
      <c r="O86" s="7"/>
      <c r="P86" s="7"/>
      <c r="Q86" s="22"/>
      <c r="R86" s="22"/>
      <c r="S86" s="31">
        <f t="shared" si="26"/>
        <v>1</v>
      </c>
      <c r="T86" s="46" t="str">
        <f t="shared" si="29"/>
        <v>Southbound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30"/>
        <v>https://d0f6bd738d7f1b3e5a7ca70fe4ff75f0.us-east-1.aws.found.io/app/kibana#/discover/Steve-Slow-Train-Analysis-(2080s-and-2083s)?_g=(refreshInterval:(display:Off,pause:!f,section:0,value:0),time:(from:'2017-04-17T12:17:19-0600',mode:absolute,to:'2017-04-17T15:09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6" s="183" t="str">
        <f t="shared" si="31"/>
        <v>N</v>
      </c>
      <c r="X86" s="183">
        <f t="shared" si="32"/>
        <v>1</v>
      </c>
      <c r="Y86" s="62">
        <f t="shared" si="33"/>
        <v>23.3032</v>
      </c>
      <c r="Z86" s="62">
        <f t="shared" si="34"/>
        <v>1.47E-2</v>
      </c>
      <c r="AA86" s="62">
        <f t="shared" si="35"/>
        <v>23.288499999999999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6"/>
        <v>0172-17</v>
      </c>
      <c r="AE86" s="85" t="str">
        <f t="shared" si="37"/>
        <v>aws s3 cp s3://rtdc.mdm.uploadarchive.raw/RTDC4051/ "%USERPROFILE%\AppData\Local\Temp\OnboardLogs"\RTDC4051\2017-04-17 --exclude "*" --recursive --include "*20170417*" &amp; "%USERPROFILE%\Documents\GitHub\mrs-test-scripts\Headless Mode &amp; Sideloading\WalkAndUnGZ.bat" "%USERPROFILE%\AppData\Local\Temp\OnboardLogs"\RTDC4051\2017-04-17 &amp; aws s3 cp s3://rtdc.mdm.uploadarchive.raw/RTDC4051/ "%USERPROFILE%\AppData\Local\Temp\OnboardLogs"\RTDC4051\2017-04-18 --exclude "*" --recursive --include "*20170418*" &amp; "%USERPROFILE%\Documents\GitHub\mrs-test-scripts\Headless Mode &amp; Sideloading\WalkAndUnGZ.bat" "%USERPROFILE%\AppData\Local\Temp\OnboardLogs"\RTDC4051\2017-04-18</v>
      </c>
      <c r="AF86" s="82" t="str">
        <f t="shared" si="38"/>
        <v>"C:\Program Files (x86)\AstroGrep\AstroGrep.exe" /e /r /s /spath="%USERPROFILE%\AppData\Local\Temp\OnboardLogs" /stypes="app*4051*20170417*" /stext=" 20:.+((SYSTEM_STATE.+slice.+state.+changed )|(ment ac)|(multiple cpu faults)|(system.+state.+changed )|(\[timeout)|(PRM\|1\|D)|(kpr)|(kdp)|(\|lc)|(penalty))"</v>
      </c>
      <c r="AG86" s="1" t="str">
        <f t="shared" si="39"/>
        <v>EC</v>
      </c>
      <c r="AH86" s="86" t="str">
        <f t="shared" si="40"/>
        <v>"%USERPROFILE%\Documents\GitHub\eaglep3\Utilities\RefineRTDCRunTimes.py" --tripid 172-17 --locoid 4051 --swversion DE.1.0.9.0 --startMP 204:233032 --initTime 2017-04-17T13:17:19 --startdatetime 2017-04-17T13:26:20 --delay 1 --endMP 204:147 --enddatetime 2017-04-17T14:09:07 --enforcementcount 0 &gt;&gt;C:\Users\stu\Documents\GitHub\eaglep3-reporting\EC\2017-04-17-refined-times.txt</v>
      </c>
      <c r="AI86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{"issue":{"subject":"","project_id":79,"tracker_id":40,"status_id":1,"priority_id":2,"assigned_to_id":23,"start_date":"2017-04-17","description":"","custom_fields":[{"id":1,"name":"Subdivision","value":"EC"},{"id":4,"name":"Milepost","value":"0.0147"},{"id":17,"name":"Train ID","value":"172-17"},{"id":16,"name":"Locomotive ID","value":"4051"},{"id":130,"name":"Impact","value":""},{"id":150,"name":"Time of Event (Mountain Time)","value":"14:09:07"},{"id":151,"name":"Denver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8"/>
      <c r="AL86" s="48"/>
      <c r="AM86" s="150" t="str">
        <f t="shared" si="42"/>
        <v>start /low /b %USERPROFILE%\Documents\GitHub\eaglep3\Utilities\DownloadLogsFromS3.py --loco 4051 --day 2017-04-17</v>
      </c>
      <c r="AN86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20:09:07"},{"id":29,"name":"Sharepoint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743</v>
      </c>
      <c r="B87" s="7">
        <v>4032</v>
      </c>
      <c r="C87" s="21" t="s">
        <v>213</v>
      </c>
      <c r="D87" s="21" t="s">
        <v>406</v>
      </c>
      <c r="E87" s="13">
        <v>42842.527002314811</v>
      </c>
      <c r="F87" s="13">
        <v>42842.531435185185</v>
      </c>
      <c r="G87" s="7">
        <v>2</v>
      </c>
      <c r="H87" s="21" t="s">
        <v>484</v>
      </c>
      <c r="I87" s="13">
        <v>42842.557152777779</v>
      </c>
      <c r="J87" s="7">
        <v>0</v>
      </c>
      <c r="K87" s="97" t="str">
        <f t="shared" si="27"/>
        <v>4031/4032</v>
      </c>
      <c r="L87" s="21" t="str">
        <f>VLOOKUP(A87,'Trips&amp;Operators'!$C$1:$G$99999,5,FALSE)</f>
        <v>STEWART MICHAEL</v>
      </c>
      <c r="M87" s="6">
        <f t="shared" si="28"/>
        <v>2.5717592594446614E-2</v>
      </c>
      <c r="N87" s="7">
        <f t="shared" si="25"/>
        <v>37.033333336003125</v>
      </c>
      <c r="O87" s="7"/>
      <c r="P87" s="7"/>
      <c r="Q87" s="22"/>
      <c r="R87" s="22"/>
      <c r="S87" s="31">
        <f t="shared" si="26"/>
        <v>1</v>
      </c>
      <c r="T87" s="46" t="str">
        <f t="shared" si="29"/>
        <v>NorthBound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30"/>
        <v>https://d0f6bd738d7f1b3e5a7ca70fe4ff75f0.us-east-1.aws.found.io/app/kibana#/discover/Steve-Slow-Train-Analysis-(2080s-and-2083s)?_g=(refreshInterval:(display:Off,pause:!f,section:0,value:0),time:(from:'2017-04-17T11:38:53-0600',mode:absolute,to:'2017-04-17T14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7" s="183" t="str">
        <f t="shared" si="31"/>
        <v>N</v>
      </c>
      <c r="X87" s="183">
        <f t="shared" si="32"/>
        <v>1</v>
      </c>
      <c r="Y87" s="62">
        <f t="shared" si="33"/>
        <v>4.6199999999999998E-2</v>
      </c>
      <c r="Z87" s="62">
        <f t="shared" si="34"/>
        <v>23.331</v>
      </c>
      <c r="AA87" s="62">
        <f t="shared" si="35"/>
        <v>23.284800000000001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6"/>
        <v>0173-17</v>
      </c>
      <c r="AE87" s="85" t="str">
        <f t="shared" si="37"/>
        <v>aws s3 cp s3://rtdc.mdm.uploadarchive.raw/RTDC4032/ "%USERPROFILE%\AppData\Local\Temp\OnboardLogs"\RTDC4032\2017-04-17 --exclude "*" --recursive --include "*20170417*" &amp; "%USERPROFILE%\Documents\GitHub\mrs-test-scripts\Headless Mode &amp; Sideloading\WalkAndUnGZ.bat" "%USERPROFILE%\AppData\Local\Temp\OnboardLogs"\RTDC4032\2017-04-17 &amp; aws s3 cp s3://rtdc.mdm.uploadarchive.raw/RTDC4032/ "%USERPROFILE%\AppData\Local\Temp\OnboardLogs"\RTDC4032\2017-04-18 --exclude "*" --recursive --include "*20170418*" &amp; "%USERPROFILE%\Documents\GitHub\mrs-test-scripts\Headless Mode &amp; Sideloading\WalkAndUnGZ.bat" "%USERPROFILE%\AppData\Local\Temp\OnboardLogs"\RTDC4032\2017-04-18</v>
      </c>
      <c r="AF87" s="82" t="str">
        <f t="shared" si="38"/>
        <v>"C:\Program Files (x86)\AstroGrep\AstroGrep.exe" /e /r /s /spath="%USERPROFILE%\AppData\Local\Temp\OnboardLogs" /stypes="app*4032*20170417*" /stext=" 19:.+((SYSTEM_STATE.+slice.+state.+changed )|(ment ac)|(multiple cpu faults)|(system.+state.+changed )|(\[timeout)|(PRM\|1\|D)|(kpr)|(kdp)|(\|lc)|(penalty))"</v>
      </c>
      <c r="AG87" s="1" t="str">
        <f t="shared" si="39"/>
        <v>EC</v>
      </c>
      <c r="AH87" s="86" t="str">
        <f t="shared" si="40"/>
        <v>"%USERPROFILE%\Documents\GitHub\eaglep3\Utilities\RefineRTDCRunTimes.py" --tripid 173-17 --locoid 4032 --swversion DE.1.0.9.0 --startMP 204:462 --initTime 2017-04-17T12:38:53 --startdatetime 2017-04-17T12:45:16 --delay 2 --endMP 204:233310 --enddatetime 2017-04-17T13:22:18 --enforcementcount 0 &gt;&gt;C:\Users\stu\Documents\GitHub\eaglep3-reporting\EC\2017-04-17-refined-times.txt</v>
      </c>
      <c r="AI87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{"issue":{"subject":"","project_id":79,"tracker_id":40,"status_id":1,"priority_id":2,"assigned_to_id":23,"start_date":"2017-04-17","description":"","custom_fields":[{"id":1,"name":"Subdivision","value":"EC"},{"id":4,"name":"Milepost","value":"23.331"},{"id":17,"name":"Train ID","value":"173-17"},{"id":16,"name":"Locomotive ID","value":"4032"},{"id":130,"name":"Impact","value":""},{"id":150,"name":"Time of Event (Mountain Time)","value":"13:22:18"},{"id":151,"name":"Denver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8"/>
      <c r="AL87" s="48"/>
      <c r="AM87" s="150" t="str">
        <f t="shared" si="42"/>
        <v>start /low /b %USERPROFILE%\Documents\GitHub\eaglep3\Utilities\DownloadLogsFromS3.py --loco 4032 --day 2017-04-17</v>
      </c>
      <c r="AN87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19:22:18"},{"id":29,"name":"Sharepoint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750</v>
      </c>
      <c r="B88" s="7">
        <v>4031</v>
      </c>
      <c r="C88" s="21" t="s">
        <v>213</v>
      </c>
      <c r="D88" s="21" t="s">
        <v>578</v>
      </c>
      <c r="E88" s="13">
        <v>42842.566388888888</v>
      </c>
      <c r="F88" s="13">
        <v>42842.570451388892</v>
      </c>
      <c r="G88" s="7">
        <v>1</v>
      </c>
      <c r="H88" s="21" t="s">
        <v>467</v>
      </c>
      <c r="I88" s="13">
        <v>42842.598298611112</v>
      </c>
      <c r="J88" s="7">
        <v>0</v>
      </c>
      <c r="K88" s="97" t="str">
        <f t="shared" si="27"/>
        <v>4031/4032</v>
      </c>
      <c r="L88" s="21" t="str">
        <f>VLOOKUP(A88,'Trips&amp;Operators'!$C$1:$G$99999,5,FALSE)</f>
        <v>STEWART MICHAEL</v>
      </c>
      <c r="M88" s="6">
        <f t="shared" si="28"/>
        <v>2.7847222219861578E-2</v>
      </c>
      <c r="N88" s="7">
        <f t="shared" si="25"/>
        <v>40.099999996600673</v>
      </c>
      <c r="O88" s="7"/>
      <c r="P88" s="7"/>
      <c r="Q88" s="22"/>
      <c r="R88" s="22"/>
      <c r="S88" s="31">
        <f t="shared" si="26"/>
        <v>1</v>
      </c>
      <c r="T88" s="46" t="str">
        <f t="shared" si="29"/>
        <v>Southbound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 t="shared" si="30"/>
        <v>https://d0f6bd738d7f1b3e5a7ca70fe4ff75f0.us-east-1.aws.found.io/app/kibana#/discover/Steve-Slow-Train-Analysis-(2080s-and-2083s)?_g=(refreshInterval:(display:Off,pause:!f,section:0,value:0),time:(from:'2017-04-17T12:35:36-0600',mode:absolute,to:'2017-04-17T15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8" s="183" t="str">
        <f t="shared" si="31"/>
        <v>N</v>
      </c>
      <c r="X88" s="183">
        <f t="shared" si="32"/>
        <v>1</v>
      </c>
      <c r="Y88" s="62">
        <f t="shared" si="33"/>
        <v>23.299099999999999</v>
      </c>
      <c r="Z88" s="62">
        <f t="shared" si="34"/>
        <v>1.4999999999999999E-2</v>
      </c>
      <c r="AA88" s="62">
        <f t="shared" si="35"/>
        <v>23.284099999999999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6"/>
        <v>0174-17</v>
      </c>
      <c r="AE88" s="85" t="str">
        <f t="shared" si="37"/>
        <v>aws s3 cp s3://rtdc.mdm.uploadarchive.raw/RTDC4031/ "%USERPROFILE%\AppData\Local\Temp\OnboardLogs"\RTDC4031\2017-04-17 --exclude "*" --recursive --include "*20170417*" &amp; "%USERPROFILE%\Documents\GitHub\mrs-test-scripts\Headless Mode &amp; Sideloading\WalkAndUnGZ.bat" "%USERPROFILE%\AppData\Local\Temp\OnboardLogs"\RTDC4031\2017-04-17 &amp; aws s3 cp s3://rtdc.mdm.uploadarchive.raw/RTDC4031/ "%USERPROFILE%\AppData\Local\Temp\OnboardLogs"\RTDC4031\2017-04-18 --exclude "*" --recursive --include "*20170418*" &amp; "%USERPROFILE%\Documents\GitHub\mrs-test-scripts\Headless Mode &amp; Sideloading\WalkAndUnGZ.bat" "%USERPROFILE%\AppData\Local\Temp\OnboardLogs"\RTDC4031\2017-04-18</v>
      </c>
      <c r="AF88" s="82" t="str">
        <f t="shared" si="38"/>
        <v>"C:\Program Files (x86)\AstroGrep\AstroGrep.exe" /e /r /s /spath="%USERPROFILE%\AppData\Local\Temp\OnboardLogs" /stypes="app*4031*20170417*" /stext=" 20:.+((SYSTEM_STATE.+slice.+state.+changed )|(ment ac)|(multiple cpu faults)|(system.+state.+changed )|(\[timeout)|(PRM\|1\|D)|(kpr)|(kdp)|(\|lc)|(penalty))"</v>
      </c>
      <c r="AG88" s="1" t="str">
        <f t="shared" si="39"/>
        <v>EC</v>
      </c>
      <c r="AH88" s="86" t="str">
        <f t="shared" si="40"/>
        <v>"%USERPROFILE%\Documents\GitHub\eaglep3\Utilities\RefineRTDCRunTimes.py" --tripid 174-17 --locoid 4031 --swversion DE.1.0.9.0 --startMP 204:232991 --initTime 2017-04-17T13:35:36 --startdatetime 2017-04-17T13:41:27 --delay 1 --endMP 204:150 --enddatetime 2017-04-17T14:21:33 --enforcementcount 0 &gt;&gt;C:\Users\stu\Documents\GitHub\eaglep3-reporting\EC\2017-04-17-refined-times.txt</v>
      </c>
      <c r="AI88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{"issue":{"subject":"","project_id":79,"tracker_id":40,"status_id":1,"priority_id":2,"assigned_to_id":23,"start_date":"2017-04-17","description":"","custom_fields":[{"id":1,"name":"Subdivision","value":"EC"},{"id":4,"name":"Milepost","value":"0.015"},{"id":17,"name":"Train ID","value":"174-17"},{"id":16,"name":"Locomotive ID","value":"4031"},{"id":130,"name":"Impact","value":""},{"id":150,"name":"Time of Event (Mountain Time)","value":"14:21:33"},{"id":151,"name":"Denver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8"/>
      <c r="AL88" s="48"/>
      <c r="AM88" s="150" t="str">
        <f t="shared" si="42"/>
        <v>start /low /b %USERPROFILE%\Documents\GitHub\eaglep3\Utilities\DownloadLogsFromS3.py --loco 4031 --day 2017-04-17</v>
      </c>
      <c r="AN88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20:21:33"},{"id":29,"name":"Sharepoint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744</v>
      </c>
      <c r="B89" s="7">
        <v>4054</v>
      </c>
      <c r="C89" s="21" t="s">
        <v>213</v>
      </c>
      <c r="D89" s="21" t="s">
        <v>204</v>
      </c>
      <c r="E89" s="13">
        <v>42842.538391203707</v>
      </c>
      <c r="F89" s="13">
        <v>42842.541944444441</v>
      </c>
      <c r="G89" s="7">
        <v>1</v>
      </c>
      <c r="H89" s="21" t="s">
        <v>882</v>
      </c>
      <c r="I89" s="13">
        <v>42842.569247685184</v>
      </c>
      <c r="J89" s="7">
        <v>0</v>
      </c>
      <c r="K89" s="97" t="str">
        <f t="shared" si="27"/>
        <v>4053/4054</v>
      </c>
      <c r="L89" s="21" t="str">
        <f>VLOOKUP(A89,'Trips&amp;Operators'!$C$1:$G$99999,5,FALSE)</f>
        <v>DAVIS MICHAEL</v>
      </c>
      <c r="M89" s="6">
        <f t="shared" si="28"/>
        <v>2.7303240742185153E-2</v>
      </c>
      <c r="N89" s="7">
        <f t="shared" si="25"/>
        <v>39.31666666874662</v>
      </c>
      <c r="O89" s="7"/>
      <c r="P89" s="7"/>
      <c r="Q89" s="22"/>
      <c r="R89" s="22"/>
      <c r="S89" s="31">
        <f t="shared" si="26"/>
        <v>1</v>
      </c>
      <c r="T89" s="46" t="str">
        <f t="shared" si="29"/>
        <v>NorthBound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30"/>
        <v>https://d0f6bd738d7f1b3e5a7ca70fe4ff75f0.us-east-1.aws.found.io/app/kibana#/discover/Steve-Slow-Train-Analysis-(2080s-and-2083s)?_g=(refreshInterval:(display:Off,pause:!f,section:0,value:0),time:(from:'2017-04-17T11:55:17-0600',mode:absolute,to:'2017-04-17T14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9" s="183" t="str">
        <f t="shared" si="31"/>
        <v>N</v>
      </c>
      <c r="X89" s="183">
        <f t="shared" si="32"/>
        <v>1</v>
      </c>
      <c r="Y89" s="62">
        <f t="shared" si="33"/>
        <v>4.5699999999999998E-2</v>
      </c>
      <c r="Z89" s="62">
        <f t="shared" si="34"/>
        <v>23.3337</v>
      </c>
      <c r="AA89" s="62">
        <f t="shared" si="35"/>
        <v>23.288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6"/>
        <v>0175-17</v>
      </c>
      <c r="AE89" s="85" t="str">
        <f t="shared" si="37"/>
        <v>aws s3 cp s3://rtdc.mdm.uploadarchive.raw/RTDC4054/ "%USERPROFILE%\AppData\Local\Temp\OnboardLogs"\RTDC4054\2017-04-17 --exclude "*" --recursive --include "*20170417*" &amp; "%USERPROFILE%\Documents\GitHub\mrs-test-scripts\Headless Mode &amp; Sideloading\WalkAndUnGZ.bat" "%USERPROFILE%\AppData\Local\Temp\OnboardLogs"\RTDC4054\2017-04-17 &amp; aws s3 cp s3://rtdc.mdm.uploadarchive.raw/RTDC4054/ "%USERPROFILE%\AppData\Local\Temp\OnboardLogs"\RTDC4054\2017-04-18 --exclude "*" --recursive --include "*20170418*" &amp; "%USERPROFILE%\Documents\GitHub\mrs-test-scripts\Headless Mode &amp; Sideloading\WalkAndUnGZ.bat" "%USERPROFILE%\AppData\Local\Temp\OnboardLogs"\RTDC4054\2017-04-18</v>
      </c>
      <c r="AF89" s="82" t="str">
        <f t="shared" si="38"/>
        <v>"C:\Program Files (x86)\AstroGrep\AstroGrep.exe" /e /r /s /spath="%USERPROFILE%\AppData\Local\Temp\OnboardLogs" /stypes="app*4054*20170417*" /stext=" 19:.+((SYSTEM_STATE.+slice.+state.+changed )|(ment ac)|(multiple cpu faults)|(system.+state.+changed )|(\[timeout)|(PRM\|1\|D)|(kpr)|(kdp)|(\|lc)|(penalty))"</v>
      </c>
      <c r="AG89" s="1" t="str">
        <f t="shared" si="39"/>
        <v>EC</v>
      </c>
      <c r="AH89" s="86" t="str">
        <f t="shared" si="40"/>
        <v>"%USERPROFILE%\Documents\GitHub\eaglep3\Utilities\RefineRTDCRunTimes.py" --tripid 175-17 --locoid 4054 --swversion DE.1.0.9.0 --startMP 204:457 --initTime 2017-04-17T12:55:17 --startdatetime 2017-04-17T13:00:24 --delay 1 --endMP 204:233337 --enddatetime 2017-04-17T13:39:43 --enforcementcount 0 &gt;&gt;C:\Users\stu\Documents\GitHub\eaglep3-reporting\EC\2017-04-17-refined-times.txt</v>
      </c>
      <c r="AI89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{"issue":{"subject":"","project_id":79,"tracker_id":40,"status_id":1,"priority_id":2,"assigned_to_id":23,"start_date":"2017-04-17","description":"","custom_fields":[{"id":1,"name":"Subdivision","value":"EC"},{"id":4,"name":"Milepost","value":"23.3337"},{"id":17,"name":"Train ID","value":"175-17"},{"id":16,"name":"Locomotive ID","value":"4054"},{"id":130,"name":"Impact","value":""},{"id":150,"name":"Time of Event (Mountain Time)","value":"13:39:43"},{"id":151,"name":"Denver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42"/>
        <v>start /low /b %USERPROFILE%\Documents\GitHub\eaglep3\Utilities\DownloadLogsFromS3.py --loco 4054 --day 2017-04-17</v>
      </c>
      <c r="AN89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19:39:43"},{"id":29,"name":"Sharepoint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753</v>
      </c>
      <c r="B90" s="7">
        <v>4053</v>
      </c>
      <c r="C90" s="21" t="s">
        <v>213</v>
      </c>
      <c r="D90" s="21" t="s">
        <v>879</v>
      </c>
      <c r="E90" s="13">
        <v>42842.578414351854</v>
      </c>
      <c r="F90" s="13">
        <v>42842.580821759257</v>
      </c>
      <c r="G90" s="7">
        <v>1</v>
      </c>
      <c r="H90" s="21" t="s">
        <v>490</v>
      </c>
      <c r="I90" s="13">
        <v>42842.608587962961</v>
      </c>
      <c r="J90" s="7">
        <v>0</v>
      </c>
      <c r="K90" s="97" t="str">
        <f t="shared" si="27"/>
        <v>4053/4054</v>
      </c>
      <c r="L90" s="21" t="str">
        <f>VLOOKUP(A90,'Trips&amp;Operators'!$C$1:$G$99999,5,FALSE)</f>
        <v>DAVIS MICHAEL</v>
      </c>
      <c r="M90" s="6">
        <f t="shared" si="28"/>
        <v>2.7766203704231884E-2</v>
      </c>
      <c r="N90" s="7">
        <f t="shared" ref="N90:N95" si="44">24*60*SUM($M90:$M90)</f>
        <v>39.983333334093913</v>
      </c>
      <c r="O90" s="7"/>
      <c r="P90" s="7"/>
      <c r="Q90" s="22"/>
      <c r="R90" s="22"/>
      <c r="S90" s="31">
        <f t="shared" ref="S90:S119" si="45">SUM(U90:U90)/IF(AG90="EC",12,1)</f>
        <v>1</v>
      </c>
      <c r="T90" s="46" t="str">
        <f t="shared" si="29"/>
        <v>Southbound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30"/>
        <v>https://d0f6bd738d7f1b3e5a7ca70fe4ff75f0.us-east-1.aws.found.io/app/kibana#/discover/Steve-Slow-Train-Analysis-(2080s-and-2083s)?_g=(refreshInterval:(display:Off,pause:!f,section:0,value:0),time:(from:'2017-04-17T12:52:55-0600',mode:absolute,to:'2017-04-17T15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0" s="183" t="str">
        <f t="shared" si="31"/>
        <v>N</v>
      </c>
      <c r="X90" s="183">
        <f t="shared" si="32"/>
        <v>1</v>
      </c>
      <c r="Y90" s="62">
        <f t="shared" si="33"/>
        <v>23.300699999999999</v>
      </c>
      <c r="Z90" s="62">
        <f t="shared" si="34"/>
        <v>1.3899999999999999E-2</v>
      </c>
      <c r="AA90" s="62">
        <f t="shared" si="35"/>
        <v>23.286799999999999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6"/>
        <v>0176-17</v>
      </c>
      <c r="AE90" s="85" t="str">
        <f t="shared" si="37"/>
        <v>aws s3 cp s3://rtdc.mdm.uploadarchive.raw/RTDC4053/ "%USERPROFILE%\AppData\Local\Temp\OnboardLogs"\RTDC4053\2017-04-17 --exclude "*" --recursive --include "*20170417*" &amp; "%USERPROFILE%\Documents\GitHub\mrs-test-scripts\Headless Mode &amp; Sideloading\WalkAndUnGZ.bat" "%USERPROFILE%\AppData\Local\Temp\OnboardLogs"\RTDC4053\2017-04-17 &amp; aws s3 cp s3://rtdc.mdm.uploadarchive.raw/RTDC4053/ "%USERPROFILE%\AppData\Local\Temp\OnboardLogs"\RTDC4053\2017-04-18 --exclude "*" --recursive --include "*20170418*" &amp; "%USERPROFILE%\Documents\GitHub\mrs-test-scripts\Headless Mode &amp; Sideloading\WalkAndUnGZ.bat" "%USERPROFILE%\AppData\Local\Temp\OnboardLogs"\RTDC4053\2017-04-18</v>
      </c>
      <c r="AF90" s="82" t="str">
        <f t="shared" si="38"/>
        <v>"C:\Program Files (x86)\AstroGrep\AstroGrep.exe" /e /r /s /spath="%USERPROFILE%\AppData\Local\Temp\OnboardLogs" /stypes="app*4053*20170417*" /stext=" 20:.+((SYSTEM_STATE.+slice.+state.+changed )|(ment ac)|(multiple cpu faults)|(system.+state.+changed )|(\[timeout)|(PRM\|1\|D)|(kpr)|(kdp)|(\|lc)|(penalty))"</v>
      </c>
      <c r="AG90" s="1" t="str">
        <f t="shared" si="39"/>
        <v>EC</v>
      </c>
      <c r="AH90" s="86" t="str">
        <f t="shared" si="40"/>
        <v>"%USERPROFILE%\Documents\GitHub\eaglep3\Utilities\RefineRTDCRunTimes.py" --tripid 176-17 --locoid 4053 --swversion DE.1.0.9.0 --startMP 204:233007 --initTime 2017-04-17T13:52:55 --startdatetime 2017-04-17T13:56:23 --delay 1 --endMP 204:139 --enddatetime 2017-04-17T14:36:22 --enforcementcount 0 &gt;&gt;C:\Users\stu\Documents\GitHub\eaglep3-reporting\EC\2017-04-17-refined-times.txt</v>
      </c>
      <c r="AI90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{"issue":{"subject":"","project_id":79,"tracker_id":40,"status_id":1,"priority_id":2,"assigned_to_id":23,"start_date":"2017-04-17","description":"","custom_fields":[{"id":1,"name":"Subdivision","value":"EC"},{"id":4,"name":"Milepost","value":"0.0139"},{"id":17,"name":"Train ID","value":"176-17"},{"id":16,"name":"Locomotive ID","value":"4053"},{"id":130,"name":"Impact","value":""},{"id":150,"name":"Time of Event (Mountain Time)","value":"14:36:22"},{"id":151,"name":"Denver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8"/>
      <c r="AL90" s="48"/>
      <c r="AM90" s="150" t="str">
        <f t="shared" si="42"/>
        <v>start /low /b %USERPROFILE%\Documents\GitHub\eaglep3\Utilities\DownloadLogsFromS3.py --loco 4053 --day 2017-04-17</v>
      </c>
      <c r="AN90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20:36:22"},{"id":29,"name":"Sharepoint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746</v>
      </c>
      <c r="B91" s="7">
        <v>4028</v>
      </c>
      <c r="C91" s="21" t="s">
        <v>213</v>
      </c>
      <c r="D91" s="21" t="s">
        <v>453</v>
      </c>
      <c r="E91" s="13">
        <v>42842.549120370371</v>
      </c>
      <c r="F91" s="13">
        <v>42842.552407407406</v>
      </c>
      <c r="G91" s="7">
        <v>1</v>
      </c>
      <c r="H91" s="21" t="s">
        <v>883</v>
      </c>
      <c r="I91" s="13">
        <v>42842.579027777778</v>
      </c>
      <c r="J91" s="7">
        <v>0</v>
      </c>
      <c r="K91" s="97" t="str">
        <f t="shared" si="27"/>
        <v>4027/4028</v>
      </c>
      <c r="L91" s="21" t="str">
        <f>VLOOKUP(A91,'Trips&amp;Operators'!$C$1:$G$99999,5,FALSE)</f>
        <v>CLARK KATHLEEN</v>
      </c>
      <c r="M91" s="6">
        <f t="shared" si="28"/>
        <v>2.662037037225673E-2</v>
      </c>
      <c r="N91" s="7">
        <f t="shared" si="44"/>
        <v>38.333333336049691</v>
      </c>
      <c r="O91" s="7"/>
      <c r="P91" s="7"/>
      <c r="Q91" s="22"/>
      <c r="R91" s="22"/>
      <c r="S91" s="31">
        <f t="shared" si="45"/>
        <v>1</v>
      </c>
      <c r="T91" s="46" t="str">
        <f t="shared" si="29"/>
        <v>NorthBound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30"/>
        <v>https://d0f6bd738d7f1b3e5a7ca70fe4ff75f0.us-east-1.aws.found.io/app/kibana#/discover/Steve-Slow-Train-Analysis-(2080s-and-2083s)?_g=(refreshInterval:(display:Off,pause:!f,section:0,value:0),time:(from:'2017-04-17T12:10:44-0600',mode:absolute,to:'2017-04-17T14:53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1" s="183" t="str">
        <f t="shared" si="31"/>
        <v>N</v>
      </c>
      <c r="X91" s="183">
        <f t="shared" si="32"/>
        <v>1</v>
      </c>
      <c r="Y91" s="62">
        <f t="shared" si="33"/>
        <v>4.6699999999999998E-2</v>
      </c>
      <c r="Z91" s="62">
        <f t="shared" si="34"/>
        <v>23.328299999999999</v>
      </c>
      <c r="AA91" s="62">
        <f t="shared" si="35"/>
        <v>23.281599999999997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6"/>
        <v>0177-17</v>
      </c>
      <c r="AE91" s="85" t="str">
        <f t="shared" si="37"/>
        <v>aws s3 cp s3://rtdc.mdm.uploadarchive.raw/RTDC4028/ "%USERPROFILE%\AppData\Local\Temp\OnboardLogs"\RTDC4028\2017-04-17 --exclude "*" --recursive --include "*20170417*" &amp; "%USERPROFILE%\Documents\GitHub\mrs-test-scripts\Headless Mode &amp; Sideloading\WalkAndUnGZ.bat" "%USERPROFILE%\AppData\Local\Temp\OnboardLogs"\RTDC4028\2017-04-17 &amp; aws s3 cp s3://rtdc.mdm.uploadarchive.raw/RTDC4028/ "%USERPROFILE%\AppData\Local\Temp\OnboardLogs"\RTDC4028\2017-04-18 --exclude "*" --recursive --include "*20170418*" &amp; "%USERPROFILE%\Documents\GitHub\mrs-test-scripts\Headless Mode &amp; Sideloading\WalkAndUnGZ.bat" "%USERPROFILE%\AppData\Local\Temp\OnboardLogs"\RTDC4028\2017-04-18</v>
      </c>
      <c r="AF91" s="82" t="str">
        <f t="shared" si="38"/>
        <v>"C:\Program Files (x86)\AstroGrep\AstroGrep.exe" /e /r /s /spath="%USERPROFILE%\AppData\Local\Temp\OnboardLogs" /stypes="app*4028*20170417*" /stext=" 19:.+((SYSTEM_STATE.+slice.+state.+changed )|(ment ac)|(multiple cpu faults)|(system.+state.+changed )|(\[timeout)|(PRM\|1\|D)|(kpr)|(kdp)|(\|lc)|(penalty))"</v>
      </c>
      <c r="AG91" s="1" t="str">
        <f t="shared" si="39"/>
        <v>EC</v>
      </c>
      <c r="AH91" s="86" t="str">
        <f t="shared" si="40"/>
        <v>"%USERPROFILE%\Documents\GitHub\eaglep3\Utilities\RefineRTDCRunTimes.py" --tripid 177-17 --locoid 4028 --swversion DE.1.0.9.0 --startMP 204:467 --initTime 2017-04-17T13:10:44 --startdatetime 2017-04-17T13:15:28 --delay 1 --endMP 204:233283 --enddatetime 2017-04-17T13:53:48 --enforcementcount 0 &gt;&gt;C:\Users\stu\Documents\GitHub\eaglep3-reporting\EC\2017-04-17-refined-times.txt</v>
      </c>
      <c r="AI91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{"issue":{"subject":"","project_id":79,"tracker_id":40,"status_id":1,"priority_id":2,"assigned_to_id":23,"start_date":"2017-04-17","description":"","custom_fields":[{"id":1,"name":"Subdivision","value":"EC"},{"id":4,"name":"Milepost","value":"23.3283"},{"id":17,"name":"Train ID","value":"177-17"},{"id":16,"name":"Locomotive ID","value":"4028"},{"id":130,"name":"Impact","value":""},{"id":150,"name":"Time of Event (Mountain Time)","value":"13:53:48"},{"id":151,"name":"Denver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42"/>
        <v>start /low /b %USERPROFILE%\Documents\GitHub\eaglep3\Utilities\DownloadLogsFromS3.py --loco 4028 --day 2017-04-17</v>
      </c>
      <c r="AN91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19:53:48"},{"id":29,"name":"Sharepoint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3" t="s">
        <v>755</v>
      </c>
      <c r="B92" s="7">
        <v>4027</v>
      </c>
      <c r="C92" s="21" t="s">
        <v>213</v>
      </c>
      <c r="D92" s="21" t="s">
        <v>884</v>
      </c>
      <c r="E92" s="13">
        <v>42842.586770833332</v>
      </c>
      <c r="F92" s="13">
        <v>42842.591134259259</v>
      </c>
      <c r="G92" s="7">
        <v>1</v>
      </c>
      <c r="H92" s="21" t="s">
        <v>885</v>
      </c>
      <c r="I92" s="13">
        <v>42842.618634259263</v>
      </c>
      <c r="J92" s="7">
        <v>0</v>
      </c>
      <c r="K92" s="97" t="str">
        <f t="shared" si="27"/>
        <v>4027/4028</v>
      </c>
      <c r="L92" s="21" t="str">
        <f>VLOOKUP(A92,'Trips&amp;Operators'!$C$1:$G$99999,5,FALSE)</f>
        <v>CLARK KATHLEEN</v>
      </c>
      <c r="M92" s="6">
        <f t="shared" si="28"/>
        <v>2.7500000003783498E-2</v>
      </c>
      <c r="N92" s="7">
        <f t="shared" si="44"/>
        <v>39.600000005448237</v>
      </c>
      <c r="O92" s="7"/>
      <c r="P92" s="7"/>
      <c r="Q92" s="22"/>
      <c r="R92" s="22"/>
      <c r="S92" s="31">
        <f t="shared" si="45"/>
        <v>1</v>
      </c>
      <c r="T92" s="46" t="str">
        <f t="shared" si="29"/>
        <v>Southbound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30"/>
        <v>https://d0f6bd738d7f1b3e5a7ca70fe4ff75f0.us-east-1.aws.found.io/app/kibana#/discover/Steve-Slow-Train-Analysis-(2080s-and-2083s)?_g=(refreshInterval:(display:Off,pause:!f,section:0,value:0),time:(from:'2017-04-17T13:04:57-0600',mode:absolute,to:'2017-04-17T15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2" s="183" t="str">
        <f t="shared" si="31"/>
        <v>N</v>
      </c>
      <c r="X92" s="183">
        <f t="shared" si="32"/>
        <v>1</v>
      </c>
      <c r="Y92" s="62">
        <f t="shared" si="33"/>
        <v>23.295999999999999</v>
      </c>
      <c r="Z92" s="62">
        <f t="shared" si="34"/>
        <v>1.9099999999999999E-2</v>
      </c>
      <c r="AA92" s="62">
        <f t="shared" si="35"/>
        <v>23.276899999999998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6"/>
        <v>0178-17</v>
      </c>
      <c r="AE92" s="85" t="str">
        <f t="shared" si="37"/>
        <v>aws s3 cp s3://rtdc.mdm.uploadarchive.raw/RTDC4027/ "%USERPROFILE%\AppData\Local\Temp\OnboardLogs"\RTDC4027\2017-04-17 --exclude "*" --recursive --include "*20170417*" &amp; "%USERPROFILE%\Documents\GitHub\mrs-test-scripts\Headless Mode &amp; Sideloading\WalkAndUnGZ.bat" "%USERPROFILE%\AppData\Local\Temp\OnboardLogs"\RTDC4027\2017-04-17 &amp; aws s3 cp s3://rtdc.mdm.uploadarchive.raw/RTDC4027/ "%USERPROFILE%\AppData\Local\Temp\OnboardLogs"\RTDC4027\2017-04-18 --exclude "*" --recursive --include "*20170418*" &amp; "%USERPROFILE%\Documents\GitHub\mrs-test-scripts\Headless Mode &amp; Sideloading\WalkAndUnGZ.bat" "%USERPROFILE%\AppData\Local\Temp\OnboardLogs"\RTDC4027\2017-04-18</v>
      </c>
      <c r="AF92" s="82" t="str">
        <f t="shared" si="38"/>
        <v>"C:\Program Files (x86)\AstroGrep\AstroGrep.exe" /e /r /s /spath="%USERPROFILE%\AppData\Local\Temp\OnboardLogs" /stypes="app*4027*20170417*" /stext=" 20:.+((SYSTEM_STATE.+slice.+state.+changed )|(ment ac)|(multiple cpu faults)|(system.+state.+changed )|(\[timeout)|(PRM\|1\|D)|(kpr)|(kdp)|(\|lc)|(penalty))"</v>
      </c>
      <c r="AG92" s="1" t="str">
        <f t="shared" si="39"/>
        <v>EC</v>
      </c>
      <c r="AH92" s="86" t="str">
        <f t="shared" si="40"/>
        <v>"%USERPROFILE%\Documents\GitHub\eaglep3\Utilities\RefineRTDCRunTimes.py" --tripid 178-17 --locoid 4027 --swversion DE.1.0.9.0 --startMP 204:232960 --initTime 2017-04-17T14:04:57 --startdatetime 2017-04-17T14:11:14 --delay 1 --endMP 204:191 --enddatetime 2017-04-17T14:50:50 --enforcementcount 0 &gt;&gt;C:\Users\stu\Documents\GitHub\eaglep3-reporting\EC\2017-04-17-refined-times.txt</v>
      </c>
      <c r="AI92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{"issue":{"subject":"","project_id":79,"tracker_id":40,"status_id":1,"priority_id":2,"assigned_to_id":23,"start_date":"2017-04-17","description":"","custom_fields":[{"id":1,"name":"Subdivision","value":"EC"},{"id":4,"name":"Milepost","value":"0.0191"},{"id":17,"name":"Train ID","value":"178-17"},{"id":16,"name":"Locomotive ID","value":"4027"},{"id":130,"name":"Impact","value":""},{"id":150,"name":"Time of Event (Mountain Time)","value":"14:50:50"},{"id":151,"name":"Denver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8"/>
      <c r="AL92" s="48"/>
      <c r="AM92" s="150" t="str">
        <f t="shared" si="42"/>
        <v>start /low /b %USERPROFILE%\Documents\GitHub\eaglep3\Utilities\DownloadLogsFromS3.py --loco 4027 --day 2017-04-17</v>
      </c>
      <c r="AN92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20:50:50"},{"id":29,"name":"Sharepoint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3" spans="1:91" s="20" customFormat="1" x14ac:dyDescent="0.25">
      <c r="A93" s="33" t="s">
        <v>749</v>
      </c>
      <c r="B93" s="7">
        <v>4046</v>
      </c>
      <c r="C93" s="21" t="s">
        <v>213</v>
      </c>
      <c r="D93" s="21" t="s">
        <v>886</v>
      </c>
      <c r="E93" s="13">
        <v>42842.556655092594</v>
      </c>
      <c r="F93" s="13">
        <v>42842.562650462962</v>
      </c>
      <c r="G93" s="7">
        <v>1</v>
      </c>
      <c r="H93" s="21" t="s">
        <v>887</v>
      </c>
      <c r="I93" s="13">
        <v>42842.586458333331</v>
      </c>
      <c r="J93" s="7">
        <v>0</v>
      </c>
      <c r="K93" s="97" t="str">
        <f t="shared" si="27"/>
        <v>4045/4046</v>
      </c>
      <c r="L93" s="21" t="str">
        <f>VLOOKUP(A93,'Trips&amp;Operators'!$C$1:$G$99999,5,FALSE)</f>
        <v>ROMERO CHAD</v>
      </c>
      <c r="M93" s="6">
        <f t="shared" si="28"/>
        <v>2.3807870369637385E-2</v>
      </c>
      <c r="N93" s="7">
        <f t="shared" si="44"/>
        <v>34.283333332277834</v>
      </c>
      <c r="O93" s="7"/>
      <c r="P93" s="7"/>
      <c r="Q93" s="22"/>
      <c r="R93" s="22"/>
      <c r="S93" s="31">
        <f t="shared" si="45"/>
        <v>1</v>
      </c>
      <c r="T93" s="46" t="str">
        <f t="shared" si="29"/>
        <v>NorthBound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30"/>
        <v>https://d0f6bd738d7f1b3e5a7ca70fe4ff75f0.us-east-1.aws.found.io/app/kibana#/discover/Steve-Slow-Train-Analysis-(2080s-and-2083s)?_g=(refreshInterval:(display:Off,pause:!f,section:0,value:0),time:(from:'2017-04-17T12:21:35-0600',mode:absolute,to:'2017-04-17T15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3" s="183" t="str">
        <f t="shared" si="31"/>
        <v>N</v>
      </c>
      <c r="X93" s="183">
        <f t="shared" si="32"/>
        <v>1</v>
      </c>
      <c r="Y93" s="62">
        <f t="shared" si="33"/>
        <v>4.0899999999999999E-2</v>
      </c>
      <c r="Z93" s="62">
        <f t="shared" si="34"/>
        <v>23.336600000000001</v>
      </c>
      <c r="AA93" s="62">
        <f t="shared" si="35"/>
        <v>23.2957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6"/>
        <v>0179-17</v>
      </c>
      <c r="AE93" s="85" t="str">
        <f t="shared" si="37"/>
        <v>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 &amp; aws s3 cp s3://rtdc.mdm.uploadarchive.raw/RTDC4046/ "%USERPROFILE%\AppData\Local\Temp\OnboardLogs"\RTDC4046\2017-04-18 --exclude "*" --recursive --include "*20170418*" &amp; "%USERPROFILE%\Documents\GitHub\mrs-test-scripts\Headless Mode &amp; Sideloading\WalkAndUnGZ.bat" "%USERPROFILE%\AppData\Local\Temp\OnboardLogs"\RTDC4046\2017-04-18</v>
      </c>
      <c r="AF93" s="82" t="str">
        <f t="shared" si="38"/>
        <v>"C:\Program Files (x86)\AstroGrep\AstroGrep.exe" /e /r /s /spath="%USERPROFILE%\AppData\Local\Temp\OnboardLogs" /stypes="app*4046*20170417*" /stext=" 20:.+((SYSTEM_STATE.+slice.+state.+changed )|(ment ac)|(multiple cpu faults)|(system.+state.+changed )|(\[timeout)|(PRM\|1\|D)|(kpr)|(kdp)|(\|lc)|(penalty))"</v>
      </c>
      <c r="AG93" s="1" t="str">
        <f t="shared" si="39"/>
        <v>EC</v>
      </c>
      <c r="AH93" s="86" t="str">
        <f t="shared" si="40"/>
        <v>"%USERPROFILE%\Documents\GitHub\eaglep3\Utilities\RefineRTDCRunTimes.py" --tripid 179-17 --locoid 4046 --swversion DE.1.0.9.0 --startMP 204:409 --initTime 2017-04-17T13:21:35 --startdatetime 2017-04-17T13:30:13 --delay 1 --endMP 204:233366 --enddatetime 2017-04-17T14:04:30 --enforcementcount 0 &gt;&gt;C:\Users\stu\Documents\GitHub\eaglep3-reporting\EC\2017-04-17-refined-times.txt</v>
      </c>
      <c r="AI93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{"issue":{"subject":"","project_id":79,"tracker_id":40,"status_id":1,"priority_id":2,"assigned_to_id":23,"start_date":"2017-04-17","description":"","custom_fields":[{"id":1,"name":"Subdivision","value":"EC"},{"id":4,"name":"Milepost","value":"23.3366"},{"id":17,"name":"Train ID","value":"179-17"},{"id":16,"name":"Locomotive ID","value":"4046"},{"id":130,"name":"Impact","value":""},{"id":150,"name":"Time of Event (Mountain Time)","value":"14:04:30"},{"id":151,"name":"Denver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8"/>
      <c r="AL93" s="48"/>
      <c r="AM93" s="150" t="str">
        <f t="shared" si="42"/>
        <v>start /low /b %USERPROFILE%\Documents\GitHub\eaglep3\Utilities\DownloadLogsFromS3.py --loco 4046 --day 2017-04-17</v>
      </c>
      <c r="AN93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20:04:30"},{"id":29,"name":"Sharepoint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758</v>
      </c>
      <c r="B94" s="7">
        <v>4045</v>
      </c>
      <c r="C94" s="21" t="s">
        <v>213</v>
      </c>
      <c r="D94" s="21" t="s">
        <v>532</v>
      </c>
      <c r="E94" s="13">
        <v>42842.599120370367</v>
      </c>
      <c r="F94" s="13">
        <v>42842.6015625</v>
      </c>
      <c r="G94" s="7">
        <v>1</v>
      </c>
      <c r="H94" s="21" t="s">
        <v>413</v>
      </c>
      <c r="I94" s="13">
        <v>42842.628877314812</v>
      </c>
      <c r="J94" s="7">
        <v>0</v>
      </c>
      <c r="K94" s="97" t="str">
        <f t="shared" si="27"/>
        <v>4045/4046</v>
      </c>
      <c r="L94" s="21" t="str">
        <f>VLOOKUP(A94,'Trips&amp;Operators'!$C$1:$G$99999,5,FALSE)</f>
        <v>ROMERO CHAD</v>
      </c>
      <c r="M94" s="6">
        <f t="shared" si="28"/>
        <v>2.7314814811688848E-2</v>
      </c>
      <c r="N94" s="7">
        <f t="shared" si="44"/>
        <v>39.333333328831941</v>
      </c>
      <c r="O94" s="7"/>
      <c r="P94" s="7"/>
      <c r="Q94" s="22"/>
      <c r="R94" s="22"/>
      <c r="S94" s="31">
        <f t="shared" si="45"/>
        <v>1</v>
      </c>
      <c r="T94" s="46" t="str">
        <f t="shared" si="29"/>
        <v>Southbound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30"/>
        <v>https://d0f6bd738d7f1b3e5a7ca70fe4ff75f0.us-east-1.aws.found.io/app/kibana#/discover/Steve-Slow-Train-Analysis-(2080s-and-2083s)?_g=(refreshInterval:(display:Off,pause:!f,section:0,value:0),time:(from:'2017-04-17T13:22:44-0600',mode:absolute,to:'2017-04-17T16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4" s="183" t="str">
        <f t="shared" si="31"/>
        <v>N</v>
      </c>
      <c r="X94" s="183">
        <f t="shared" si="32"/>
        <v>1</v>
      </c>
      <c r="Y94" s="62">
        <f t="shared" si="33"/>
        <v>23.305099999999999</v>
      </c>
      <c r="Z94" s="62">
        <f t="shared" si="34"/>
        <v>1.4500000000000001E-2</v>
      </c>
      <c r="AA94" s="62">
        <f t="shared" si="35"/>
        <v>23.290599999999998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6"/>
        <v>0180-17</v>
      </c>
      <c r="AE94" s="85" t="str">
        <f t="shared" si="37"/>
        <v>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 &amp; aws s3 cp s3://rtdc.mdm.uploadarchive.raw/RTDC4045/ "%USERPROFILE%\AppData\Local\Temp\OnboardLogs"\RTDC4045\2017-04-18 --exclude "*" --recursive --include "*20170418*" &amp; "%USERPROFILE%\Documents\GitHub\mrs-test-scripts\Headless Mode &amp; Sideloading\WalkAndUnGZ.bat" "%USERPROFILE%\AppData\Local\Temp\OnboardLogs"\RTDC4045\2017-04-18</v>
      </c>
      <c r="AF94" s="82" t="str">
        <f t="shared" si="38"/>
        <v>"C:\Program Files (x86)\AstroGrep\AstroGrep.exe" /e /r /s /spath="%USERPROFILE%\AppData\Local\Temp\OnboardLogs" /stypes="app*4045*20170417*" /stext=" 21:.+((SYSTEM_STATE.+slice.+state.+changed )|(ment ac)|(multiple cpu faults)|(system.+state.+changed )|(\[timeout)|(PRM\|1\|D)|(kpr)|(kdp)|(\|lc)|(penalty))"</v>
      </c>
      <c r="AG94" s="1" t="str">
        <f t="shared" si="39"/>
        <v>EC</v>
      </c>
      <c r="AH94" s="86" t="str">
        <f t="shared" si="40"/>
        <v>"%USERPROFILE%\Documents\GitHub\eaglep3\Utilities\RefineRTDCRunTimes.py" --tripid 180-17 --locoid 4045 --swversion DE.1.0.9.0 --startMP 204:233051 --initTime 2017-04-17T14:22:44 --startdatetime 2017-04-17T14:26:15 --delay 1 --endMP 204:145 --enddatetime 2017-04-17T15:05:35 --enforcementcount 0 &gt;&gt;C:\Users\stu\Documents\GitHub\eaglep3-reporting\EC\2017-04-17-refined-times.txt</v>
      </c>
      <c r="AI94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{"issue":{"subject":"","project_id":79,"tracker_id":40,"status_id":1,"priority_id":2,"assigned_to_id":23,"start_date":"2017-04-17","description":"","custom_fields":[{"id":1,"name":"Subdivision","value":"EC"},{"id":4,"name":"Milepost","value":"0.0145"},{"id":17,"name":"Train ID","value":"180-17"},{"id":16,"name":"Locomotive ID","value":"4045"},{"id":130,"name":"Impact","value":""},{"id":150,"name":"Time of Event (Mountain Time)","value":"15:05:35"},{"id":151,"name":"Denver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42"/>
        <v>start /low /b %USERPROFILE%\Documents\GitHub\eaglep3\Utilities\DownloadLogsFromS3.py --loco 4045 --day 2017-04-17</v>
      </c>
      <c r="AN94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21:05:35"},{"id":29,"name":"Sharepoint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752</v>
      </c>
      <c r="B95" s="7">
        <v>4008</v>
      </c>
      <c r="C95" s="21" t="s">
        <v>213</v>
      </c>
      <c r="D95" s="21" t="s">
        <v>417</v>
      </c>
      <c r="E95" s="13">
        <v>42842.568483796298</v>
      </c>
      <c r="F95" s="13">
        <v>42842.573692129627</v>
      </c>
      <c r="G95" s="7">
        <v>1</v>
      </c>
      <c r="H95" s="21" t="s">
        <v>565</v>
      </c>
      <c r="I95" s="13">
        <v>42842.597766203704</v>
      </c>
      <c r="J95" s="7">
        <v>0</v>
      </c>
      <c r="K95" s="97" t="str">
        <f t="shared" si="27"/>
        <v>4007/4008</v>
      </c>
      <c r="L95" s="21" t="str">
        <f>VLOOKUP(A95,'Trips&amp;Operators'!$C$1:$G$99999,5,FALSE)</f>
        <v>MACDONALD THOMAS</v>
      </c>
      <c r="M95" s="6">
        <f t="shared" si="28"/>
        <v>2.4074074077361729E-2</v>
      </c>
      <c r="N95" s="7">
        <f t="shared" si="44"/>
        <v>34.66666667140089</v>
      </c>
      <c r="O95" s="7"/>
      <c r="P95" s="7"/>
      <c r="Q95" s="22"/>
      <c r="R95" s="22"/>
      <c r="S95" s="31">
        <f t="shared" si="45"/>
        <v>1</v>
      </c>
      <c r="T95" s="46" t="str">
        <f t="shared" si="29"/>
        <v>NorthBound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30"/>
        <v>https://d0f6bd738d7f1b3e5a7ca70fe4ff75f0.us-east-1.aws.found.io/app/kibana#/discover/Steve-Slow-Train-Analysis-(2080s-and-2083s)?_g=(refreshInterval:(display:Off,pause:!f,section:0,value:0),time:(from:'2017-04-17T12:38:37-0600',mode:absolute,to:'2017-04-17T15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5" s="183" t="str">
        <f t="shared" si="31"/>
        <v>N</v>
      </c>
      <c r="X95" s="183">
        <f t="shared" si="32"/>
        <v>1</v>
      </c>
      <c r="Y95" s="62">
        <f t="shared" si="33"/>
        <v>4.58E-2</v>
      </c>
      <c r="Z95" s="62">
        <f t="shared" si="34"/>
        <v>23.331199999999999</v>
      </c>
      <c r="AA95" s="62">
        <f t="shared" si="35"/>
        <v>23.285399999999999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6"/>
        <v>0181-17</v>
      </c>
      <c r="AE95" s="85" t="str">
        <f t="shared" si="37"/>
        <v>aws s3 cp s3://rtdc.mdm.uploadarchive.raw/RTDC4008/ "%USERPROFILE%\AppData\Local\Temp\OnboardLogs"\RTDC4008\2017-04-17 --exclude "*" --recursive --include "*20170417*" &amp; "%USERPROFILE%\Documents\GitHub\mrs-test-scripts\Headless Mode &amp; Sideloading\WalkAndUnGZ.bat" "%USERPROFILE%\AppData\Local\Temp\OnboardLogs"\RTDC4008\2017-04-17 &amp; aws s3 cp s3://rtdc.mdm.uploadarchive.raw/RTDC4008/ "%USERPROFILE%\AppData\Local\Temp\OnboardLogs"\RTDC4008\2017-04-18 --exclude "*" --recursive --include "*20170418*" &amp; "%USERPROFILE%\Documents\GitHub\mrs-test-scripts\Headless Mode &amp; Sideloading\WalkAndUnGZ.bat" "%USERPROFILE%\AppData\Local\Temp\OnboardLogs"\RTDC4008\2017-04-18</v>
      </c>
      <c r="AF95" s="82" t="str">
        <f t="shared" si="38"/>
        <v>"C:\Program Files (x86)\AstroGrep\AstroGrep.exe" /e /r /s /spath="%USERPROFILE%\AppData\Local\Temp\OnboardLogs" /stypes="app*4008*20170417*" /stext=" 20:.+((SYSTEM_STATE.+slice.+state.+changed )|(ment ac)|(multiple cpu faults)|(system.+state.+changed )|(\[timeout)|(PRM\|1\|D)|(kpr)|(kdp)|(\|lc)|(penalty))"</v>
      </c>
      <c r="AG95" s="1" t="str">
        <f t="shared" si="39"/>
        <v>EC</v>
      </c>
      <c r="AH95" s="86" t="str">
        <f t="shared" si="40"/>
        <v>"%USERPROFILE%\Documents\GitHub\eaglep3\Utilities\RefineRTDCRunTimes.py" --tripid 181-17 --locoid 4008 --swversion DE.1.0.9.0 --startMP 204:458 --initTime 2017-04-17T13:38:37 --startdatetime 2017-04-17T13:46:07 --delay 1 --endMP 204:233312 --enddatetime 2017-04-17T14:20:47 --enforcementcount 0 &gt;&gt;C:\Users\stu\Documents\GitHub\eaglep3-reporting\EC\2017-04-17-refined-times.txt</v>
      </c>
      <c r="AI95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{"issue":{"subject":"","project_id":79,"tracker_id":40,"status_id":1,"priority_id":2,"assigned_to_id":23,"start_date":"2017-04-17","description":"","custom_fields":[{"id":1,"name":"Subdivision","value":"EC"},{"id":4,"name":"Milepost","value":"23.3312"},{"id":17,"name":"Train ID","value":"181-17"},{"id":16,"name":"Locomotive ID","value":"4008"},{"id":130,"name":"Impact","value":""},{"id":150,"name":"Time of Event (Mountain Time)","value":"14:20:47"},{"id":151,"name":"Denver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8"/>
      <c r="AL95" s="48"/>
      <c r="AM95" s="150" t="str">
        <f t="shared" si="42"/>
        <v>start /low /b %USERPROFILE%\Documents\GitHub\eaglep3\Utilities\DownloadLogsFromS3.py --loco 4008 --day 2017-04-17</v>
      </c>
      <c r="AN95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20:20:47"},{"id":29,"name":"Sharepoint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621</v>
      </c>
      <c r="B96" s="7">
        <v>4007</v>
      </c>
      <c r="C96" s="21" t="s">
        <v>213</v>
      </c>
      <c r="D96" s="21" t="s">
        <v>888</v>
      </c>
      <c r="E96" s="13">
        <v>42842.625011574077</v>
      </c>
      <c r="F96" s="13">
        <v>42842.626458333332</v>
      </c>
      <c r="G96" s="7">
        <v>1</v>
      </c>
      <c r="H96" s="21" t="s">
        <v>203</v>
      </c>
      <c r="I96" s="13">
        <v>42842.644224537034</v>
      </c>
      <c r="J96" s="7">
        <v>0</v>
      </c>
      <c r="K96" s="97" t="str">
        <f t="shared" si="27"/>
        <v>4007/4008</v>
      </c>
      <c r="L96" s="21" t="str">
        <f>VLOOKUP(A96,'Trips&amp;Operators'!$C$1:$G$99999,5,FALSE)</f>
        <v>MACDONALD THOMAS</v>
      </c>
      <c r="M96" s="6">
        <f t="shared" si="28"/>
        <v>1.7766203702194616E-2</v>
      </c>
      <c r="N96" s="7"/>
      <c r="O96" s="7"/>
      <c r="P96" s="7">
        <f>24*60*SUM($M96:$M96)</f>
        <v>25.583333331160247</v>
      </c>
      <c r="Q96" s="22"/>
      <c r="R96" s="22" t="s">
        <v>599</v>
      </c>
      <c r="S96" s="31">
        <f t="shared" si="45"/>
        <v>1</v>
      </c>
      <c r="T96" s="46" t="str">
        <f t="shared" si="29"/>
        <v>Southbound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30"/>
        <v>https://d0f6bd738d7f1b3e5a7ca70fe4ff75f0.us-east-1.aws.found.io/app/kibana#/discover/Steve-Slow-Train-Analysis-(2080s-and-2083s)?_g=(refreshInterval:(display:Off,pause:!f,section:0,value:0),time:(from:'2017-04-17T14:00:01-0600',mode:absolute,to:'2017-04-17T16:27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6" s="183" t="str">
        <f t="shared" si="31"/>
        <v>Y</v>
      </c>
      <c r="X96" s="183">
        <f t="shared" si="32"/>
        <v>1</v>
      </c>
      <c r="Y96" s="62">
        <f t="shared" si="33"/>
        <v>12.785399999999999</v>
      </c>
      <c r="Z96" s="62">
        <f t="shared" si="34"/>
        <v>1.54E-2</v>
      </c>
      <c r="AA96" s="62">
        <f t="shared" si="35"/>
        <v>12.77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6"/>
        <v>0182-17</v>
      </c>
      <c r="AE96" s="85" t="str">
        <f t="shared" si="37"/>
        <v>aws s3 cp s3://rtdc.mdm.uploadarchive.raw/RTDC4007/ "%USERPROFILE%\AppData\Local\Temp\OnboardLogs"\RTDC4007\2017-04-17 --exclude "*" --recursive --include "*20170417*" &amp; "%USERPROFILE%\Documents\GitHub\mrs-test-scripts\Headless Mode &amp; Sideloading\WalkAndUnGZ.bat" "%USERPROFILE%\AppData\Local\Temp\OnboardLogs"\RTDC4007\2017-04-17 &amp; aws s3 cp s3://rtdc.mdm.uploadarchive.raw/RTDC4007/ "%USERPROFILE%\AppData\Local\Temp\OnboardLogs"\RTDC4007\2017-04-18 --exclude "*" --recursive --include "*20170418*" &amp; "%USERPROFILE%\Documents\GitHub\mrs-test-scripts\Headless Mode &amp; Sideloading\WalkAndUnGZ.bat" "%USERPROFILE%\AppData\Local\Temp\OnboardLogs"\RTDC4007\2017-04-18</v>
      </c>
      <c r="AF96" s="82" t="str">
        <f t="shared" si="38"/>
        <v>"C:\Program Files (x86)\AstroGrep\AstroGrep.exe" /e /r /s /spath="%USERPROFILE%\AppData\Local\Temp\OnboardLogs" /stypes="app*4007*20170417*" /stext=" 21:.+((SYSTEM_STATE.+slice.+state.+changed )|(ment ac)|(multiple cpu faults)|(system.+state.+changed )|(\[timeout)|(PRM\|1\|D)|(kpr)|(kdp)|(\|lc)|(penalty))"</v>
      </c>
      <c r="AG96" s="1" t="str">
        <f t="shared" si="39"/>
        <v>EC</v>
      </c>
      <c r="AH96" s="86" t="str">
        <f t="shared" si="40"/>
        <v>"%USERPROFILE%\Documents\GitHub\eaglep3\Utilities\RefineRTDCRunTimes.py" --tripid 182-17 --locoid 4007 --swversion DE.1.0.9.0 --startMP 204:127854 --initTime 2017-04-17T15:00:01 --startdatetime 2017-04-17T15:02:06 --delay 1 --endMP 204:154 --enddatetime 2017-04-17T15:27:41 --enforcementcount 0 &gt;&gt;C:\Users\stu\Documents\GitHub\eaglep3-reporting\EC\2017-04-17-refined-times.txt</v>
      </c>
      <c r="AI96" s="104" t="str">
        <f t="shared" si="41"/>
        <v>echo {"issue":{"subject":"Onboard in-route failure","project_id":79,"tracker_id":40,"status_id":1,"priority_id":2,"assigned_to_id":23,"start_date":"2017-04-17","description":"","custom_fields":[{"id":1,"name":"Subdivision","value":"EC"},{"id":4,"name":"Milepost","value":"0.0154"},{"id":17,"name":"Train ID","value":"182-17"},{"id":16,"name":"Locomotive ID","value":"4007"},{"id":130,"name":"Impact","value":""},{"id":150,"name":"Time of Event (Mountain Time)","value":"15:27:41"},{"id":151,"name":"Denver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42"/>
        <v>start /low /b %USERPROFILE%\Documents\GitHub\eaglep3\Utilities\DownloadLogsFromS3.py --loco 4007 --day 2017-04-17</v>
      </c>
      <c r="AN96" s="159" t="str">
        <f t="shared" si="43"/>
        <v>echo {"issue":{"subject":"Onboard in-route failure","project_id":30,"tracker_id":4,"status_id":1,"priority_id":1,"assigned_to_id":10,"start_date":"2017-04-17","description":"","custom_fields":[{"id":30,"name":"Category","value":"Issue"},{"id":3,"name":"Functional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21:27:41"},{"id":29,"name":"Sharepoint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754</v>
      </c>
      <c r="B97" s="7">
        <v>4002</v>
      </c>
      <c r="C97" s="21" t="s">
        <v>213</v>
      </c>
      <c r="D97" s="21" t="s">
        <v>208</v>
      </c>
      <c r="E97" s="13">
        <v>42842.580127314817</v>
      </c>
      <c r="F97" s="13">
        <v>42842.583506944444</v>
      </c>
      <c r="G97" s="7">
        <v>1</v>
      </c>
      <c r="H97" s="21" t="s">
        <v>399</v>
      </c>
      <c r="I97" s="13">
        <v>42842.609189814815</v>
      </c>
      <c r="J97" s="7">
        <v>0</v>
      </c>
      <c r="K97" s="97" t="str">
        <f t="shared" si="27"/>
        <v>4001/4002</v>
      </c>
      <c r="L97" s="21" t="str">
        <f>VLOOKUP(A97,'Trips&amp;Operators'!$C$1:$G$99999,5,FALSE)</f>
        <v>LEVERE CRAIG</v>
      </c>
      <c r="M97" s="6">
        <f t="shared" si="28"/>
        <v>2.5682870371383615E-2</v>
      </c>
      <c r="N97" s="7">
        <f t="shared" ref="N97:N119" si="46">24*60*SUM($M97:$M97)</f>
        <v>36.983333334792405</v>
      </c>
      <c r="O97" s="7"/>
      <c r="P97" s="7"/>
      <c r="Q97" s="22"/>
      <c r="R97" s="22"/>
      <c r="S97" s="31">
        <f t="shared" si="45"/>
        <v>1</v>
      </c>
      <c r="T97" s="46" t="str">
        <f t="shared" si="29"/>
        <v>NorthBound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30"/>
        <v>https://d0f6bd738d7f1b3e5a7ca70fe4ff75f0.us-east-1.aws.found.io/app/kibana#/discover/Steve-Slow-Train-Analysis-(2080s-and-2083s)?_g=(refreshInterval:(display:Off,pause:!f,section:0,value:0),time:(from:'2017-04-17T12:55:23-0600',mode:absolute,to:'2017-04-17T15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7" s="183" t="str">
        <f t="shared" si="31"/>
        <v>N</v>
      </c>
      <c r="X97" s="183">
        <f t="shared" si="32"/>
        <v>1</v>
      </c>
      <c r="Y97" s="62">
        <f t="shared" si="33"/>
        <v>4.53E-2</v>
      </c>
      <c r="Z97" s="62">
        <f t="shared" si="34"/>
        <v>23.329499999999999</v>
      </c>
      <c r="AA97" s="62">
        <f t="shared" si="35"/>
        <v>23.284199999999998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6"/>
        <v>0183-17</v>
      </c>
      <c r="AE97" s="85" t="str">
        <f t="shared" si="37"/>
        <v>aws s3 cp s3://rtdc.mdm.uploadarchive.raw/RTDC4002/ "%USERPROFILE%\AppData\Local\Temp\OnboardLogs"\RTDC4002\2017-04-17 --exclude "*" --recursive --include "*20170417*" &amp; "%USERPROFILE%\Documents\GitHub\mrs-test-scripts\Headless Mode &amp; Sideloading\WalkAndUnGZ.bat" "%USERPROFILE%\AppData\Local\Temp\OnboardLogs"\RTDC4002\2017-04-17 &amp; aws s3 cp s3://rtdc.mdm.uploadarchive.raw/RTDC4002/ "%USERPROFILE%\AppData\Local\Temp\OnboardLogs"\RTDC4002\2017-04-18 --exclude "*" --recursive --include "*20170418*" &amp; "%USERPROFILE%\Documents\GitHub\mrs-test-scripts\Headless Mode &amp; Sideloading\WalkAndUnGZ.bat" "%USERPROFILE%\AppData\Local\Temp\OnboardLogs"\RTDC4002\2017-04-18</v>
      </c>
      <c r="AF97" s="82" t="str">
        <f t="shared" si="38"/>
        <v>"C:\Program Files (x86)\AstroGrep\AstroGrep.exe" /e /r /s /spath="%USERPROFILE%\AppData\Local\Temp\OnboardLogs" /stypes="app*4002*20170417*" /stext=" 20:.+((SYSTEM_STATE.+slice.+state.+changed )|(ment ac)|(multiple cpu faults)|(system.+state.+changed )|(\[timeout)|(PRM\|1\|D)|(kpr)|(kdp)|(\|lc)|(penalty))"</v>
      </c>
      <c r="AG97" s="1" t="str">
        <f t="shared" si="39"/>
        <v>EC</v>
      </c>
      <c r="AH97" s="86" t="str">
        <f t="shared" si="40"/>
        <v>"%USERPROFILE%\Documents\GitHub\eaglep3\Utilities\RefineRTDCRunTimes.py" --tripid 183-17 --locoid 4002 --swversion DE.1.0.9.0 --startMP 204:453 --initTime 2017-04-17T13:55:23 --startdatetime 2017-04-17T14:00:15 --delay 1 --endMP 204:233295 --enddatetime 2017-04-17T14:37:14 --enforcementcount 0 &gt;&gt;C:\Users\stu\Documents\GitHub\eaglep3-reporting\EC\2017-04-17-refined-times.txt</v>
      </c>
      <c r="AI97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{"issue":{"subject":"","project_id":79,"tracker_id":40,"status_id":1,"priority_id":2,"assigned_to_id":23,"start_date":"2017-04-17","description":"","custom_fields":[{"id":1,"name":"Subdivision","value":"EC"},{"id":4,"name":"Milepost","value":"23.3295"},{"id":17,"name":"Train ID","value":"183-17"},{"id":16,"name":"Locomotive ID","value":"4002"},{"id":130,"name":"Impact","value":""},{"id":150,"name":"Time of Event (Mountain Time)","value":"14:37:14"},{"id":151,"name":"Denver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42"/>
        <v>start /low /b %USERPROFILE%\Documents\GitHub\eaglep3\Utilities\DownloadLogsFromS3.py --loco 4002 --day 2017-04-17</v>
      </c>
      <c r="AN97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20:37:14"},{"id":29,"name":"Sharepoint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762</v>
      </c>
      <c r="B98" s="7">
        <v>4001</v>
      </c>
      <c r="C98" s="21" t="s">
        <v>213</v>
      </c>
      <c r="D98" s="21" t="s">
        <v>569</v>
      </c>
      <c r="E98" s="13">
        <v>42842.616284722222</v>
      </c>
      <c r="F98" s="13">
        <v>42842.622465277775</v>
      </c>
      <c r="G98" s="7">
        <v>1</v>
      </c>
      <c r="H98" s="21" t="s">
        <v>197</v>
      </c>
      <c r="I98" s="13">
        <v>42842.650810185187</v>
      </c>
      <c r="J98" s="7">
        <v>0</v>
      </c>
      <c r="K98" s="97" t="str">
        <f t="shared" si="27"/>
        <v>4001/4002</v>
      </c>
      <c r="L98" s="21" t="str">
        <f>VLOOKUP(A98,'Trips&amp;Operators'!$C$1:$G$99999,5,FALSE)</f>
        <v>LEVERE CRAIG</v>
      </c>
      <c r="M98" s="6">
        <f t="shared" si="28"/>
        <v>2.8344907412247267E-2</v>
      </c>
      <c r="N98" s="7">
        <f t="shared" si="46"/>
        <v>40.816666673636064</v>
      </c>
      <c r="O98" s="7"/>
      <c r="P98" s="7"/>
      <c r="Q98" s="22"/>
      <c r="R98" s="22"/>
      <c r="S98" s="31">
        <f t="shared" si="45"/>
        <v>1</v>
      </c>
      <c r="T98" s="46" t="str">
        <f t="shared" si="29"/>
        <v>Southbound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30"/>
        <v>https://d0f6bd738d7f1b3e5a7ca70fe4ff75f0.us-east-1.aws.found.io/app/kibana#/discover/Steve-Slow-Train-Analysis-(2080s-and-2083s)?_g=(refreshInterval:(display:Off,pause:!f,section:0,value:0),time:(from:'2017-04-17T13:47:27-0600',mode:absolute,to:'2017-04-17T16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8" s="183" t="str">
        <f t="shared" si="31"/>
        <v>N</v>
      </c>
      <c r="X98" s="183">
        <f t="shared" si="32"/>
        <v>1</v>
      </c>
      <c r="Y98" s="62">
        <f t="shared" si="33"/>
        <v>23.298400000000001</v>
      </c>
      <c r="Z98" s="62">
        <f t="shared" si="34"/>
        <v>1.52E-2</v>
      </c>
      <c r="AA98" s="62">
        <f t="shared" si="35"/>
        <v>23.283200000000001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6"/>
        <v>0184-17</v>
      </c>
      <c r="AE98" s="85" t="str">
        <f t="shared" si="37"/>
        <v>aws s3 cp s3://rtdc.mdm.uploadarchive.raw/RTDC4001/ "%USERPROFILE%\AppData\Local\Temp\OnboardLogs"\RTDC4001\2017-04-17 --exclude "*" --recursive --include "*20170417*" &amp; "%USERPROFILE%\Documents\GitHub\mrs-test-scripts\Headless Mode &amp; Sideloading\WalkAndUnGZ.bat" "%USERPROFILE%\AppData\Local\Temp\OnboardLogs"\RTDC4001\2017-04-17 &amp; aws s3 cp s3://rtdc.mdm.uploadarchive.raw/RTDC4001/ "%USERPROFILE%\AppData\Local\Temp\OnboardLogs"\RTDC4001\2017-04-18 --exclude "*" --recursive --include "*20170418*" &amp; "%USERPROFILE%\Documents\GitHub\mrs-test-scripts\Headless Mode &amp; Sideloading\WalkAndUnGZ.bat" "%USERPROFILE%\AppData\Local\Temp\OnboardLogs"\RTDC4001\2017-04-18</v>
      </c>
      <c r="AF98" s="82" t="str">
        <f t="shared" si="38"/>
        <v>"C:\Program Files (x86)\AstroGrep\AstroGrep.exe" /e /r /s /spath="%USERPROFILE%\AppData\Local\Temp\OnboardLogs" /stypes="app*4001*20170417*" /stext=" 21:.+((SYSTEM_STATE.+slice.+state.+changed )|(ment ac)|(multiple cpu faults)|(system.+state.+changed )|(\[timeout)|(PRM\|1\|D)|(kpr)|(kdp)|(\|lc)|(penalty))"</v>
      </c>
      <c r="AG98" s="1" t="str">
        <f t="shared" si="39"/>
        <v>EC</v>
      </c>
      <c r="AH98" s="86" t="str">
        <f t="shared" si="40"/>
        <v>"%USERPROFILE%\Documents\GitHub\eaglep3\Utilities\RefineRTDCRunTimes.py" --tripid 184-17 --locoid 4001 --swversion DE.1.0.9.0 --startMP 204:232984 --initTime 2017-04-17T14:47:27 --startdatetime 2017-04-17T14:56:21 --delay 1 --endMP 204:152 --enddatetime 2017-04-17T15:37:10 --enforcementcount 0 &gt;&gt;C:\Users\stu\Documents\GitHub\eaglep3-reporting\EC\2017-04-17-refined-times.txt</v>
      </c>
      <c r="AI98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{"issue":{"subject":"","project_id":79,"tracker_id":40,"status_id":1,"priority_id":2,"assigned_to_id":23,"start_date":"2017-04-17","description":"","custom_fields":[{"id":1,"name":"Subdivision","value":"EC"},{"id":4,"name":"Milepost","value":"0.0152"},{"id":17,"name":"Train ID","value":"184-17"},{"id":16,"name":"Locomotive ID","value":"4001"},{"id":130,"name":"Impact","value":""},{"id":150,"name":"Time of Event (Mountain Time)","value":"15:37:10"},{"id":151,"name":"Denver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42"/>
        <v>start /low /b %USERPROFILE%\Documents\GitHub\eaglep3\Utilities\DownloadLogsFromS3.py --loco 4001 --day 2017-04-17</v>
      </c>
      <c r="AN98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21:37:10"},{"id":29,"name":"Sharepoint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756</v>
      </c>
      <c r="B99" s="7">
        <v>4052</v>
      </c>
      <c r="C99" s="21" t="s">
        <v>213</v>
      </c>
      <c r="D99" s="21" t="s">
        <v>408</v>
      </c>
      <c r="E99" s="13">
        <v>42842.592094907406</v>
      </c>
      <c r="F99" s="13">
        <v>42842.594351851854</v>
      </c>
      <c r="G99" s="7">
        <v>2</v>
      </c>
      <c r="H99" s="21" t="s">
        <v>572</v>
      </c>
      <c r="I99" s="13">
        <v>42842.621365740742</v>
      </c>
      <c r="J99" s="7">
        <v>0</v>
      </c>
      <c r="K99" s="97" t="str">
        <f t="shared" si="27"/>
        <v>4051/4052</v>
      </c>
      <c r="L99" s="21" t="str">
        <f>VLOOKUP(A99,'Trips&amp;Operators'!$C$1:$G$99999,5,FALSE)</f>
        <v>BRANDNER MELINDA</v>
      </c>
      <c r="M99" s="6">
        <f t="shared" si="28"/>
        <v>2.7013888888177462E-2</v>
      </c>
      <c r="N99" s="7">
        <f t="shared" si="46"/>
        <v>38.899999998975545</v>
      </c>
      <c r="O99" s="7"/>
      <c r="P99" s="7"/>
      <c r="Q99" s="22"/>
      <c r="R99" s="22"/>
      <c r="S99" s="31">
        <f t="shared" si="45"/>
        <v>1</v>
      </c>
      <c r="T99" s="46" t="str">
        <f t="shared" si="29"/>
        <v>NorthBound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30"/>
        <v>https://d0f6bd738d7f1b3e5a7ca70fe4ff75f0.us-east-1.aws.found.io/app/kibana#/discover/Steve-Slow-Train-Analysis-(2080s-and-2083s)?_g=(refreshInterval:(display:Off,pause:!f,section:0,value:0),time:(from:'2017-04-17T13:12:37-0600',mode:absolute,to:'2017-04-17T15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9" s="183" t="str">
        <f t="shared" si="31"/>
        <v>N</v>
      </c>
      <c r="X99" s="183">
        <f t="shared" si="32"/>
        <v>1</v>
      </c>
      <c r="Y99" s="62">
        <f t="shared" si="33"/>
        <v>4.4600000000000001E-2</v>
      </c>
      <c r="Z99" s="62">
        <f t="shared" si="34"/>
        <v>23.330200000000001</v>
      </c>
      <c r="AA99" s="62">
        <f t="shared" si="35"/>
        <v>23.285600000000002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6"/>
        <v>0185-17</v>
      </c>
      <c r="AE99" s="85" t="str">
        <f t="shared" si="37"/>
        <v>aws s3 cp s3://rtdc.mdm.uploadarchive.raw/RTDC4052/ "%USERPROFILE%\AppData\Local\Temp\OnboardLogs"\RTDC4052\2017-04-17 --exclude "*" --recursive --include "*20170417*" &amp; "%USERPROFILE%\Documents\GitHub\mrs-test-scripts\Headless Mode &amp; Sideloading\WalkAndUnGZ.bat" "%USERPROFILE%\AppData\Local\Temp\OnboardLogs"\RTDC4052\2017-04-17 &amp; aws s3 cp s3://rtdc.mdm.uploadarchive.raw/RTDC4052/ "%USERPROFILE%\AppData\Local\Temp\OnboardLogs"\RTDC4052\2017-04-18 --exclude "*" --recursive --include "*20170418*" &amp; "%USERPROFILE%\Documents\GitHub\mrs-test-scripts\Headless Mode &amp; Sideloading\WalkAndUnGZ.bat" "%USERPROFILE%\AppData\Local\Temp\OnboardLogs"\RTDC4052\2017-04-18</v>
      </c>
      <c r="AF99" s="82" t="str">
        <f t="shared" si="38"/>
        <v>"C:\Program Files (x86)\AstroGrep\AstroGrep.exe" /e /r /s /spath="%USERPROFILE%\AppData\Local\Temp\OnboardLogs" /stypes="app*4052*20170417*" /stext=" 20:.+((SYSTEM_STATE.+slice.+state.+changed )|(ment ac)|(multiple cpu faults)|(system.+state.+changed )|(\[timeout)|(PRM\|1\|D)|(kpr)|(kdp)|(\|lc)|(penalty))"</v>
      </c>
      <c r="AG99" s="1" t="str">
        <f t="shared" si="39"/>
        <v>EC</v>
      </c>
      <c r="AH99" s="86" t="str">
        <f t="shared" si="40"/>
        <v>"%USERPROFILE%\Documents\GitHub\eaglep3\Utilities\RefineRTDCRunTimes.py" --tripid 185-17 --locoid 4052 --swversion DE.1.0.9.0 --startMP 204:446 --initTime 2017-04-17T14:12:37 --startdatetime 2017-04-17T14:15:52 --delay 2 --endMP 204:233302 --enddatetime 2017-04-17T14:54:46 --enforcementcount 0 &gt;&gt;C:\Users\stu\Documents\GitHub\eaglep3-reporting\EC\2017-04-17-refined-times.txt</v>
      </c>
      <c r="AI99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{"issue":{"subject":"","project_id":79,"tracker_id":40,"status_id":1,"priority_id":2,"assigned_to_id":23,"start_date":"2017-04-17","description":"","custom_fields":[{"id":1,"name":"Subdivision","value":"EC"},{"id":4,"name":"Milepost","value":"23.3302"},{"id":17,"name":"Train ID","value":"185-17"},{"id":16,"name":"Locomotive ID","value":"4052"},{"id":130,"name":"Impact","value":""},{"id":150,"name":"Time of Event (Mountain Time)","value":"14:54:46"},{"id":151,"name":"Denver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42"/>
        <v>start /low /b %USERPROFILE%\Documents\GitHub\eaglep3\Utilities\DownloadLogsFromS3.py --loco 4052 --day 2017-04-17</v>
      </c>
      <c r="AN99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20:54:46"},{"id":29,"name":"Sharepoint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764</v>
      </c>
      <c r="B100" s="7">
        <v>4051</v>
      </c>
      <c r="C100" s="21" t="s">
        <v>213</v>
      </c>
      <c r="D100" s="21" t="s">
        <v>407</v>
      </c>
      <c r="E100" s="13">
        <v>42842.628252314818</v>
      </c>
      <c r="F100" s="13">
        <v>42842.632800925923</v>
      </c>
      <c r="G100" s="7">
        <v>1</v>
      </c>
      <c r="H100" s="21" t="s">
        <v>400</v>
      </c>
      <c r="I100" s="13">
        <v>42842.662465277775</v>
      </c>
      <c r="J100" s="7">
        <v>0</v>
      </c>
      <c r="K100" s="97" t="str">
        <f t="shared" si="27"/>
        <v>4051/4052</v>
      </c>
      <c r="L100" s="21" t="str">
        <f>VLOOKUP(A100,'Trips&amp;Operators'!$C$1:$G$99999,5,FALSE)</f>
        <v>BRANDNER MELINDA</v>
      </c>
      <c r="M100" s="6">
        <f t="shared" si="28"/>
        <v>2.9664351852261461E-2</v>
      </c>
      <c r="N100" s="7">
        <f t="shared" si="46"/>
        <v>42.716666667256504</v>
      </c>
      <c r="O100" s="7"/>
      <c r="P100" s="7"/>
      <c r="Q100" s="22"/>
      <c r="R100" s="22"/>
      <c r="S100" s="31">
        <f t="shared" si="45"/>
        <v>1</v>
      </c>
      <c r="T100" s="46" t="str">
        <f t="shared" si="29"/>
        <v>Southbound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30"/>
        <v>https://d0f6bd738d7f1b3e5a7ca70fe4ff75f0.us-east-1.aws.found.io/app/kibana#/discover/Steve-Slow-Train-Analysis-(2080s-and-2083s)?_g=(refreshInterval:(display:Off,pause:!f,section:0,value:0),time:(from:'2017-04-17T14:04:41-0600',mode:absolute,to:'2017-04-17T16:53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0" s="183" t="str">
        <f t="shared" si="31"/>
        <v>N</v>
      </c>
      <c r="X100" s="183">
        <f t="shared" si="32"/>
        <v>1</v>
      </c>
      <c r="Y100" s="62">
        <f t="shared" si="33"/>
        <v>23.2989</v>
      </c>
      <c r="Z100" s="62">
        <f t="shared" si="34"/>
        <v>1.38E-2</v>
      </c>
      <c r="AA100" s="62">
        <f t="shared" si="35"/>
        <v>23.2851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6"/>
        <v>0186-17</v>
      </c>
      <c r="AE100" s="85" t="str">
        <f t="shared" si="37"/>
        <v>aws s3 cp s3://rtdc.mdm.uploadarchive.raw/RTDC4051/ "%USERPROFILE%\AppData\Local\Temp\OnboardLogs"\RTDC4051\2017-04-17 --exclude "*" --recursive --include "*20170417*" &amp; "%USERPROFILE%\Documents\GitHub\mrs-test-scripts\Headless Mode &amp; Sideloading\WalkAndUnGZ.bat" "%USERPROFILE%\AppData\Local\Temp\OnboardLogs"\RTDC4051\2017-04-17 &amp; aws s3 cp s3://rtdc.mdm.uploadarchive.raw/RTDC4051/ "%USERPROFILE%\AppData\Local\Temp\OnboardLogs"\RTDC4051\2017-04-18 --exclude "*" --recursive --include "*20170418*" &amp; "%USERPROFILE%\Documents\GitHub\mrs-test-scripts\Headless Mode &amp; Sideloading\WalkAndUnGZ.bat" "%USERPROFILE%\AppData\Local\Temp\OnboardLogs"\RTDC4051\2017-04-18</v>
      </c>
      <c r="AF100" s="82" t="str">
        <f t="shared" si="38"/>
        <v>"C:\Program Files (x86)\AstroGrep\AstroGrep.exe" /e /r /s /spath="%USERPROFILE%\AppData\Local\Temp\OnboardLogs" /stypes="app*4051*20170417*" /stext=" 21:.+((SYSTEM_STATE.+slice.+state.+changed )|(ment ac)|(multiple cpu faults)|(system.+state.+changed )|(\[timeout)|(PRM\|1\|D)|(kpr)|(kdp)|(\|lc)|(penalty))"</v>
      </c>
      <c r="AG100" s="1" t="str">
        <f t="shared" si="39"/>
        <v>EC</v>
      </c>
      <c r="AH100" s="86" t="str">
        <f t="shared" si="40"/>
        <v>"%USERPROFILE%\Documents\GitHub\eaglep3\Utilities\RefineRTDCRunTimes.py" --tripid 186-17 --locoid 4051 --swversion DE.1.0.9.0 --startMP 204:232989 --initTime 2017-04-17T15:04:41 --startdatetime 2017-04-17T15:11:14 --delay 1 --endMP 204:138 --enddatetime 2017-04-17T15:53:57 --enforcementcount 0 &gt;&gt;C:\Users\stu\Documents\GitHub\eaglep3-reporting\EC\2017-04-17-refined-times.txt</v>
      </c>
      <c r="AI100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{"issue":{"subject":"","project_id":79,"tracker_id":40,"status_id":1,"priority_id":2,"assigned_to_id":23,"start_date":"2017-04-17","description":"","custom_fields":[{"id":1,"name":"Subdivision","value":"EC"},{"id":4,"name":"Milepost","value":"0.0138"},{"id":17,"name":"Train ID","value":"186-17"},{"id":16,"name":"Locomotive ID","value":"4051"},{"id":130,"name":"Impact","value":""},{"id":150,"name":"Time of Event (Mountain Time)","value":"15:53:57"},{"id":151,"name":"Denver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42"/>
        <v>start /low /b %USERPROFILE%\Documents\GitHub\eaglep3\Utilities\DownloadLogsFromS3.py --loco 4051 --day 2017-04-17</v>
      </c>
      <c r="AN100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21:53:57"},{"id":29,"name":"Sharepoint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759</v>
      </c>
      <c r="B101" s="7">
        <v>4032</v>
      </c>
      <c r="C101" s="21" t="s">
        <v>213</v>
      </c>
      <c r="D101" s="21" t="s">
        <v>406</v>
      </c>
      <c r="E101" s="13">
        <v>42842.600462962961</v>
      </c>
      <c r="F101" s="13">
        <v>42842.604467592595</v>
      </c>
      <c r="G101" s="7">
        <v>2</v>
      </c>
      <c r="H101" s="21" t="s">
        <v>454</v>
      </c>
      <c r="I101" s="13">
        <v>42842.629756944443</v>
      </c>
      <c r="J101" s="7">
        <v>0</v>
      </c>
      <c r="K101" s="97" t="str">
        <f t="shared" si="27"/>
        <v>4031/4032</v>
      </c>
      <c r="L101" s="21" t="str">
        <f>VLOOKUP(A101,'Trips&amp;Operators'!$C$1:$G$99999,5,FALSE)</f>
        <v>STEWART MICHAEL</v>
      </c>
      <c r="M101" s="6">
        <f t="shared" si="28"/>
        <v>2.5289351848186925E-2</v>
      </c>
      <c r="N101" s="7">
        <f t="shared" si="46"/>
        <v>36.416666661389172</v>
      </c>
      <c r="O101" s="7"/>
      <c r="P101" s="7"/>
      <c r="Q101" s="22"/>
      <c r="R101" s="22"/>
      <c r="S101" s="31">
        <f t="shared" si="45"/>
        <v>1</v>
      </c>
      <c r="T101" s="46" t="str">
        <f t="shared" si="29"/>
        <v>NorthBound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30"/>
        <v>https://d0f6bd738d7f1b3e5a7ca70fe4ff75f0.us-east-1.aws.found.io/app/kibana#/discover/Steve-Slow-Train-Analysis-(2080s-and-2083s)?_g=(refreshInterval:(display:Off,pause:!f,section:0,value:0),time:(from:'2017-04-17T13:24:40-0600',mode:absolute,to:'2017-04-17T16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1" s="183" t="str">
        <f t="shared" si="31"/>
        <v>N</v>
      </c>
      <c r="X101" s="183">
        <f t="shared" si="32"/>
        <v>1</v>
      </c>
      <c r="Y101" s="62">
        <f t="shared" si="33"/>
        <v>4.6199999999999998E-2</v>
      </c>
      <c r="Z101" s="62">
        <f t="shared" si="34"/>
        <v>23.3291</v>
      </c>
      <c r="AA101" s="62">
        <f t="shared" si="35"/>
        <v>23.282900000000001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6"/>
        <v>0187-17</v>
      </c>
      <c r="AE101" s="85" t="str">
        <f t="shared" si="37"/>
        <v>aws s3 cp s3://rtdc.mdm.uploadarchive.raw/RTDC4032/ "%USERPROFILE%\AppData\Local\Temp\OnboardLogs"\RTDC4032\2017-04-17 --exclude "*" --recursive --include "*20170417*" &amp; "%USERPROFILE%\Documents\GitHub\mrs-test-scripts\Headless Mode &amp; Sideloading\WalkAndUnGZ.bat" "%USERPROFILE%\AppData\Local\Temp\OnboardLogs"\RTDC4032\2017-04-17 &amp; aws s3 cp s3://rtdc.mdm.uploadarchive.raw/RTDC4032/ "%USERPROFILE%\AppData\Local\Temp\OnboardLogs"\RTDC4032\2017-04-18 --exclude "*" --recursive --include "*20170418*" &amp; "%USERPROFILE%\Documents\GitHub\mrs-test-scripts\Headless Mode &amp; Sideloading\WalkAndUnGZ.bat" "%USERPROFILE%\AppData\Local\Temp\OnboardLogs"\RTDC4032\2017-04-18</v>
      </c>
      <c r="AF101" s="82" t="str">
        <f t="shared" si="38"/>
        <v>"C:\Program Files (x86)\AstroGrep\AstroGrep.exe" /e /r /s /spath="%USERPROFILE%\AppData\Local\Temp\OnboardLogs" /stypes="app*4032*20170417*" /stext=" 21:.+((SYSTEM_STATE.+slice.+state.+changed )|(ment ac)|(multiple cpu faults)|(system.+state.+changed )|(\[timeout)|(PRM\|1\|D)|(kpr)|(kdp)|(\|lc)|(penalty))"</v>
      </c>
      <c r="AG101" s="1" t="str">
        <f t="shared" si="39"/>
        <v>EC</v>
      </c>
      <c r="AH101" s="86" t="str">
        <f t="shared" si="40"/>
        <v>"%USERPROFILE%\Documents\GitHub\eaglep3\Utilities\RefineRTDCRunTimes.py" --tripid 187-17 --locoid 4032 --swversion DE.1.0.9.0 --startMP 204:462 --initTime 2017-04-17T14:24:40 --startdatetime 2017-04-17T14:30:26 --delay 2 --endMP 204:233291 --enddatetime 2017-04-17T15:06:51 --enforcementcount 0 &gt;&gt;C:\Users\stu\Documents\GitHub\eaglep3-reporting\EC\2017-04-17-refined-times.txt</v>
      </c>
      <c r="AI101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{"issue":{"subject":"","project_id":79,"tracker_id":40,"status_id":1,"priority_id":2,"assigned_to_id":23,"start_date":"2017-04-17","description":"","custom_fields":[{"id":1,"name":"Subdivision","value":"EC"},{"id":4,"name":"Milepost","value":"23.3291"},{"id":17,"name":"Train ID","value":"187-17"},{"id":16,"name":"Locomotive ID","value":"4032"},{"id":130,"name":"Impact","value":""},{"id":150,"name":"Time of Event (Mountain Time)","value":"15:06:51"},{"id":151,"name":"Denver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42"/>
        <v>start /low /b %USERPROFILE%\Documents\GitHub\eaglep3\Utilities\DownloadLogsFromS3.py --loco 4032 --day 2017-04-17</v>
      </c>
      <c r="AN101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21:06:51"},{"id":29,"name":"Sharepoint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767</v>
      </c>
      <c r="B102" s="7">
        <v>4031</v>
      </c>
      <c r="C102" s="21" t="s">
        <v>213</v>
      </c>
      <c r="D102" s="21" t="s">
        <v>590</v>
      </c>
      <c r="E102" s="13">
        <v>42842.640474537038</v>
      </c>
      <c r="F102" s="13">
        <v>42842.64334490741</v>
      </c>
      <c r="G102" s="7">
        <v>1</v>
      </c>
      <c r="H102" s="21" t="s">
        <v>543</v>
      </c>
      <c r="I102" s="13">
        <v>42842.671863425923</v>
      </c>
      <c r="J102" s="7">
        <v>0</v>
      </c>
      <c r="K102" s="97" t="str">
        <f t="shared" si="27"/>
        <v>4031/4032</v>
      </c>
      <c r="L102" s="21" t="str">
        <f>VLOOKUP(A102,'Trips&amp;Operators'!$C$1:$G$99999,5,FALSE)</f>
        <v>STEWART MICHAEL</v>
      </c>
      <c r="M102" s="6">
        <f t="shared" si="28"/>
        <v>2.8518518513010349E-2</v>
      </c>
      <c r="N102" s="7">
        <f t="shared" si="46"/>
        <v>41.066666658734903</v>
      </c>
      <c r="O102" s="7"/>
      <c r="P102" s="7"/>
      <c r="Q102" s="22"/>
      <c r="R102" s="22"/>
      <c r="S102" s="31">
        <f t="shared" si="45"/>
        <v>1</v>
      </c>
      <c r="T102" s="46" t="str">
        <f t="shared" si="29"/>
        <v>Southbound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30"/>
        <v>https://d0f6bd738d7f1b3e5a7ca70fe4ff75f0.us-east-1.aws.found.io/app/kibana#/discover/Steve-Slow-Train-Analysis-(2080s-and-2083s)?_g=(refreshInterval:(display:Off,pause:!f,section:0,value:0),time:(from:'2017-04-17T14:22:17-0600',mode:absolute,to:'2017-04-17T17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2" s="183" t="str">
        <f t="shared" si="31"/>
        <v>N</v>
      </c>
      <c r="X102" s="183">
        <f t="shared" si="32"/>
        <v>1</v>
      </c>
      <c r="Y102" s="62">
        <f t="shared" si="33"/>
        <v>23.296900000000001</v>
      </c>
      <c r="Z102" s="62">
        <f t="shared" si="34"/>
        <v>1.6899999999999998E-2</v>
      </c>
      <c r="AA102" s="62">
        <f t="shared" si="35"/>
        <v>23.28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6"/>
        <v>0188-17</v>
      </c>
      <c r="AE102" s="85" t="str">
        <f t="shared" si="37"/>
        <v>aws s3 cp s3://rtdc.mdm.uploadarchive.raw/RTDC4031/ "%USERPROFILE%\AppData\Local\Temp\OnboardLogs"\RTDC4031\2017-04-17 --exclude "*" --recursive --include "*20170417*" &amp; "%USERPROFILE%\Documents\GitHub\mrs-test-scripts\Headless Mode &amp; Sideloading\WalkAndUnGZ.bat" "%USERPROFILE%\AppData\Local\Temp\OnboardLogs"\RTDC4031\2017-04-17 &amp; aws s3 cp s3://rtdc.mdm.uploadarchive.raw/RTDC4031/ "%USERPROFILE%\AppData\Local\Temp\OnboardLogs"\RTDC4031\2017-04-18 --exclude "*" --recursive --include "*20170418*" &amp; "%USERPROFILE%\Documents\GitHub\mrs-test-scripts\Headless Mode &amp; Sideloading\WalkAndUnGZ.bat" "%USERPROFILE%\AppData\Local\Temp\OnboardLogs"\RTDC4031\2017-04-18</v>
      </c>
      <c r="AF102" s="82" t="str">
        <f t="shared" si="38"/>
        <v>"C:\Program Files (x86)\AstroGrep\AstroGrep.exe" /e /r /s /spath="%USERPROFILE%\AppData\Local\Temp\OnboardLogs" /stypes="app*4031*20170417*" /stext=" 22:.+((SYSTEM_STATE.+slice.+state.+changed )|(ment ac)|(multiple cpu faults)|(system.+state.+changed )|(\[timeout)|(PRM\|1\|D)|(kpr)|(kdp)|(\|lc)|(penalty))"</v>
      </c>
      <c r="AG102" s="1" t="str">
        <f t="shared" si="39"/>
        <v>EC</v>
      </c>
      <c r="AH102" s="86" t="str">
        <f t="shared" si="40"/>
        <v>"%USERPROFILE%\Documents\GitHub\eaglep3\Utilities\RefineRTDCRunTimes.py" --tripid 188-17 --locoid 4031 --swversion DE.1.0.9.0 --startMP 204:232969 --initTime 2017-04-17T15:22:17 --startdatetime 2017-04-17T15:26:25 --delay 1 --endMP 204:169 --enddatetime 2017-04-17T16:07:29 --enforcementcount 0 &gt;&gt;C:\Users\stu\Documents\GitHub\eaglep3-reporting\EC\2017-04-17-refined-times.txt</v>
      </c>
      <c r="AI102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{"issue":{"subject":"","project_id":79,"tracker_id":40,"status_id":1,"priority_id":2,"assigned_to_id":23,"start_date":"2017-04-17","description":"","custom_fields":[{"id":1,"name":"Subdivision","value":"EC"},{"id":4,"name":"Milepost","value":"0.0169"},{"id":17,"name":"Train ID","value":"188-17"},{"id":16,"name":"Locomotive ID","value":"4031"},{"id":130,"name":"Impact","value":""},{"id":150,"name":"Time of Event (Mountain Time)","value":"16:07:29"},{"id":151,"name":"Denver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42"/>
        <v>start /low /b %USERPROFILE%\Documents\GitHub\eaglep3\Utilities\DownloadLogsFromS3.py --loco 4031 --day 2017-04-17</v>
      </c>
      <c r="AN102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22:07:29"},{"id":29,"name":"Sharepoint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761</v>
      </c>
      <c r="B103" s="7">
        <v>4054</v>
      </c>
      <c r="C103" s="21" t="s">
        <v>213</v>
      </c>
      <c r="D103" s="21" t="s">
        <v>417</v>
      </c>
      <c r="E103" s="13">
        <v>42842.61246527778</v>
      </c>
      <c r="F103" s="13">
        <v>42842.614872685182</v>
      </c>
      <c r="G103" s="7">
        <v>1</v>
      </c>
      <c r="H103" s="21" t="s">
        <v>889</v>
      </c>
      <c r="I103" s="13">
        <v>42842.641689814816</v>
      </c>
      <c r="J103" s="7">
        <v>0</v>
      </c>
      <c r="K103" s="97" t="str">
        <f t="shared" si="27"/>
        <v>4053/4054</v>
      </c>
      <c r="L103" s="21" t="str">
        <f>VLOOKUP(A103,'Trips&amp;Operators'!$C$1:$G$99999,5,FALSE)</f>
        <v>DAVIS MICHAEL</v>
      </c>
      <c r="M103" s="6">
        <f t="shared" si="28"/>
        <v>2.6817129633855075E-2</v>
      </c>
      <c r="N103" s="7">
        <f t="shared" si="46"/>
        <v>38.616666672751307</v>
      </c>
      <c r="O103" s="7"/>
      <c r="P103" s="7"/>
      <c r="Q103" s="22"/>
      <c r="R103" s="22"/>
      <c r="S103" s="31">
        <f t="shared" si="45"/>
        <v>1</v>
      </c>
      <c r="T103" s="46" t="str">
        <f t="shared" si="29"/>
        <v>NorthBound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30"/>
        <v>https://d0f6bd738d7f1b3e5a7ca70fe4ff75f0.us-east-1.aws.found.io/app/kibana#/discover/Steve-Slow-Train-Analysis-(2080s-and-2083s)?_g=(refreshInterval:(display:Off,pause:!f,section:0,value:0),time:(from:'2017-04-17T13:41:57-0600',mode:absolute,to:'2017-04-17T16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3" s="183" t="str">
        <f t="shared" si="31"/>
        <v>N</v>
      </c>
      <c r="X103" s="183">
        <f t="shared" si="32"/>
        <v>1</v>
      </c>
      <c r="Y103" s="62">
        <f t="shared" si="33"/>
        <v>4.58E-2</v>
      </c>
      <c r="Z103" s="62">
        <f t="shared" si="34"/>
        <v>23.3261</v>
      </c>
      <c r="AA103" s="62">
        <f t="shared" si="35"/>
        <v>23.2803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6"/>
        <v>0189-17</v>
      </c>
      <c r="AE103" s="85" t="str">
        <f t="shared" si="37"/>
        <v>aws s3 cp s3://rtdc.mdm.uploadarchive.raw/RTDC4054/ "%USERPROFILE%\AppData\Local\Temp\OnboardLogs"\RTDC4054\2017-04-17 --exclude "*" --recursive --include "*20170417*" &amp; "%USERPROFILE%\Documents\GitHub\mrs-test-scripts\Headless Mode &amp; Sideloading\WalkAndUnGZ.bat" "%USERPROFILE%\AppData\Local\Temp\OnboardLogs"\RTDC4054\2017-04-17 &amp; aws s3 cp s3://rtdc.mdm.uploadarchive.raw/RTDC4054/ "%USERPROFILE%\AppData\Local\Temp\OnboardLogs"\RTDC4054\2017-04-18 --exclude "*" --recursive --include "*20170418*" &amp; "%USERPROFILE%\Documents\GitHub\mrs-test-scripts\Headless Mode &amp; Sideloading\WalkAndUnGZ.bat" "%USERPROFILE%\AppData\Local\Temp\OnboardLogs"\RTDC4054\2017-04-18</v>
      </c>
      <c r="AF103" s="82" t="str">
        <f t="shared" si="38"/>
        <v>"C:\Program Files (x86)\AstroGrep\AstroGrep.exe" /e /r /s /spath="%USERPROFILE%\AppData\Local\Temp\OnboardLogs" /stypes="app*4054*20170417*" /stext=" 21:.+((SYSTEM_STATE.+slice.+state.+changed )|(ment ac)|(multiple cpu faults)|(system.+state.+changed )|(\[timeout)|(PRM\|1\|D)|(kpr)|(kdp)|(\|lc)|(penalty))"</v>
      </c>
      <c r="AG103" s="1" t="str">
        <f t="shared" si="39"/>
        <v>EC</v>
      </c>
      <c r="AH103" s="86" t="str">
        <f t="shared" si="40"/>
        <v>"%USERPROFILE%\Documents\GitHub\eaglep3\Utilities\RefineRTDCRunTimes.py" --tripid 189-17 --locoid 4054 --swversion DE.1.0.9.0 --startMP 204:458 --initTime 2017-04-17T14:41:57 --startdatetime 2017-04-17T14:45:25 --delay 1 --endMP 204:233261 --enddatetime 2017-04-17T15:24:02 --enforcementcount 0 &gt;&gt;C:\Users\stu\Documents\GitHub\eaglep3-reporting\EC\2017-04-17-refined-times.txt</v>
      </c>
      <c r="AI103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{"issue":{"subject":"","project_id":79,"tracker_id":40,"status_id":1,"priority_id":2,"assigned_to_id":23,"start_date":"2017-04-17","description":"","custom_fields":[{"id":1,"name":"Subdivision","value":"EC"},{"id":4,"name":"Milepost","value":"23.3261"},{"id":17,"name":"Train ID","value":"189-17"},{"id":16,"name":"Locomotive ID","value":"4054"},{"id":130,"name":"Impact","value":""},{"id":150,"name":"Time of Event (Mountain Time)","value":"15:24:02"},{"id":151,"name":"Denver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42"/>
        <v>start /low /b %USERPROFILE%\Documents\GitHub\eaglep3\Utilities\DownloadLogsFromS3.py --loco 4054 --day 2017-04-17</v>
      </c>
      <c r="AN103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21:24:02"},{"id":29,"name":"Sharepoint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771</v>
      </c>
      <c r="B104" s="7">
        <v>4053</v>
      </c>
      <c r="C104" s="21" t="s">
        <v>213</v>
      </c>
      <c r="D104" s="21" t="s">
        <v>589</v>
      </c>
      <c r="E104" s="13">
        <v>42842.652094907404</v>
      </c>
      <c r="F104" s="13">
        <v>42842.654004629629</v>
      </c>
      <c r="G104" s="7">
        <v>1</v>
      </c>
      <c r="H104" s="21" t="s">
        <v>536</v>
      </c>
      <c r="I104" s="13">
        <v>42842.682233796295</v>
      </c>
      <c r="J104" s="7">
        <v>0</v>
      </c>
      <c r="K104" s="97" t="str">
        <f t="shared" si="27"/>
        <v>4053/4054</v>
      </c>
      <c r="L104" s="21" t="str">
        <f>VLOOKUP(A104,'Trips&amp;Operators'!$C$1:$G$99999,5,FALSE)</f>
        <v>DAVIS MICHAEL</v>
      </c>
      <c r="M104" s="6">
        <f t="shared" si="28"/>
        <v>2.8229166666278616E-2</v>
      </c>
      <c r="N104" s="7">
        <f t="shared" si="46"/>
        <v>40.649999999441206</v>
      </c>
      <c r="O104" s="7"/>
      <c r="P104" s="7"/>
      <c r="Q104" s="22"/>
      <c r="R104" s="22"/>
      <c r="S104" s="31">
        <f t="shared" si="45"/>
        <v>1</v>
      </c>
      <c r="T104" s="46" t="str">
        <f t="shared" si="29"/>
        <v>Southbound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30"/>
        <v>https://d0f6bd738d7f1b3e5a7ca70fe4ff75f0.us-east-1.aws.found.io/app/kibana#/discover/Steve-Slow-Train-Analysis-(2080s-and-2083s)?_g=(refreshInterval:(display:Off,pause:!f,section:0,value:0),time:(from:'2017-04-17T14:39:01-0600',mode:absolute,to:'2017-04-17T17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4" s="183" t="str">
        <f t="shared" si="31"/>
        <v>N</v>
      </c>
      <c r="X104" s="183">
        <f t="shared" si="32"/>
        <v>1</v>
      </c>
      <c r="Y104" s="62">
        <f t="shared" si="33"/>
        <v>23.300999999999998</v>
      </c>
      <c r="Z104" s="62">
        <f t="shared" si="34"/>
        <v>1.61E-2</v>
      </c>
      <c r="AA104" s="62">
        <f t="shared" si="35"/>
        <v>23.284899999999997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6"/>
        <v>0190-17</v>
      </c>
      <c r="AE104" s="85" t="str">
        <f t="shared" si="37"/>
        <v>aws s3 cp s3://rtdc.mdm.uploadarchive.raw/RTDC4053/ "%USERPROFILE%\AppData\Local\Temp\OnboardLogs"\RTDC4053\2017-04-17 --exclude "*" --recursive --include "*20170417*" &amp; "%USERPROFILE%\Documents\GitHub\mrs-test-scripts\Headless Mode &amp; Sideloading\WalkAndUnGZ.bat" "%USERPROFILE%\AppData\Local\Temp\OnboardLogs"\RTDC4053\2017-04-17 &amp; aws s3 cp s3://rtdc.mdm.uploadarchive.raw/RTDC4053/ "%USERPROFILE%\AppData\Local\Temp\OnboardLogs"\RTDC4053\2017-04-18 --exclude "*" --recursive --include "*20170418*" &amp; "%USERPROFILE%\Documents\GitHub\mrs-test-scripts\Headless Mode &amp; Sideloading\WalkAndUnGZ.bat" "%USERPROFILE%\AppData\Local\Temp\OnboardLogs"\RTDC4053\2017-04-18</v>
      </c>
      <c r="AF104" s="82" t="str">
        <f t="shared" si="38"/>
        <v>"C:\Program Files (x86)\AstroGrep\AstroGrep.exe" /e /r /s /spath="%USERPROFILE%\AppData\Local\Temp\OnboardLogs" /stypes="app*4053*20170417*" /stext=" 22:.+((SYSTEM_STATE.+slice.+state.+changed )|(ment ac)|(multiple cpu faults)|(system.+state.+changed )|(\[timeout)|(PRM\|1\|D)|(kpr)|(kdp)|(\|lc)|(penalty))"</v>
      </c>
      <c r="AG104" s="1" t="str">
        <f t="shared" si="39"/>
        <v>EC</v>
      </c>
      <c r="AH104" s="86" t="str">
        <f t="shared" si="40"/>
        <v>"%USERPROFILE%\Documents\GitHub\eaglep3\Utilities\RefineRTDCRunTimes.py" --tripid 190-17 --locoid 4053 --swversion DE.1.0.9.0 --startMP 204:233010 --initTime 2017-04-17T15:39:01 --startdatetime 2017-04-17T15:41:46 --delay 1 --endMP 204:161 --enddatetime 2017-04-17T16:22:25 --enforcementcount 0 &gt;&gt;C:\Users\stu\Documents\GitHub\eaglep3-reporting\EC\2017-04-17-refined-times.txt</v>
      </c>
      <c r="AI104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{"issue":{"subject":"","project_id":79,"tracker_id":40,"status_id":1,"priority_id":2,"assigned_to_id":23,"start_date":"2017-04-17","description":"","custom_fields":[{"id":1,"name":"Subdivision","value":"EC"},{"id":4,"name":"Milepost","value":"0.0161"},{"id":17,"name":"Train ID","value":"190-17"},{"id":16,"name":"Locomotive ID","value":"4053"},{"id":130,"name":"Impact","value":""},{"id":150,"name":"Time of Event (Mountain Time)","value":"16:22:25"},{"id":151,"name":"Denver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42"/>
        <v>start /low /b %USERPROFILE%\Documents\GitHub\eaglep3\Utilities\DownloadLogsFromS3.py --loco 4053 --day 2017-04-17</v>
      </c>
      <c r="AN104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22:22:25"},{"id":29,"name":"Sharepoint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763</v>
      </c>
      <c r="B105" s="7">
        <v>4028</v>
      </c>
      <c r="C105" s="21" t="s">
        <v>213</v>
      </c>
      <c r="D105" s="21" t="s">
        <v>890</v>
      </c>
      <c r="E105" s="13">
        <v>42842.620659722219</v>
      </c>
      <c r="F105" s="13">
        <v>42842.625173611108</v>
      </c>
      <c r="G105" s="7">
        <v>1</v>
      </c>
      <c r="H105" s="21" t="s">
        <v>891</v>
      </c>
      <c r="I105" s="13">
        <v>42842.65221064815</v>
      </c>
      <c r="J105" s="7">
        <v>0</v>
      </c>
      <c r="K105" s="97" t="str">
        <f t="shared" si="27"/>
        <v>4027/4028</v>
      </c>
      <c r="L105" s="21" t="str">
        <f>VLOOKUP(A105,'Trips&amp;Operators'!$C$1:$G$99999,5,FALSE)</f>
        <v>CLARK KATHLEEN</v>
      </c>
      <c r="M105" s="6">
        <f t="shared" si="28"/>
        <v>2.7037037041736767E-2</v>
      </c>
      <c r="N105" s="7">
        <f t="shared" si="46"/>
        <v>38.933333340100944</v>
      </c>
      <c r="O105" s="7"/>
      <c r="P105" s="7"/>
      <c r="Q105" s="22"/>
      <c r="R105" s="22"/>
      <c r="S105" s="31">
        <f t="shared" si="45"/>
        <v>1</v>
      </c>
      <c r="T105" s="46" t="str">
        <f t="shared" si="29"/>
        <v>NorthBound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30"/>
        <v>https://d0f6bd738d7f1b3e5a7ca70fe4ff75f0.us-east-1.aws.found.io/app/kibana#/discover/Steve-Slow-Train-Analysis-(2080s-and-2083s)?_g=(refreshInterval:(display:Off,pause:!f,section:0,value:0),time:(from:'2017-04-17T13:53:45-0600',mode:absolute,to:'2017-04-17T16:39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5" s="183" t="str">
        <f t="shared" si="31"/>
        <v>N</v>
      </c>
      <c r="X105" s="183">
        <f t="shared" si="32"/>
        <v>1</v>
      </c>
      <c r="Y105" s="62">
        <f t="shared" si="33"/>
        <v>5.04E-2</v>
      </c>
      <c r="Z105" s="62">
        <f t="shared" si="34"/>
        <v>23.328199999999999</v>
      </c>
      <c r="AA105" s="62">
        <f t="shared" si="35"/>
        <v>23.277799999999999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6"/>
        <v>0191-17</v>
      </c>
      <c r="AE105" s="85" t="str">
        <f t="shared" si="37"/>
        <v>aws s3 cp s3://rtdc.mdm.uploadarchive.raw/RTDC4028/ "%USERPROFILE%\AppData\Local\Temp\OnboardLogs"\RTDC4028\2017-04-17 --exclude "*" --recursive --include "*20170417*" &amp; "%USERPROFILE%\Documents\GitHub\mrs-test-scripts\Headless Mode &amp; Sideloading\WalkAndUnGZ.bat" "%USERPROFILE%\AppData\Local\Temp\OnboardLogs"\RTDC4028\2017-04-17 &amp; aws s3 cp s3://rtdc.mdm.uploadarchive.raw/RTDC4028/ "%USERPROFILE%\AppData\Local\Temp\OnboardLogs"\RTDC4028\2017-04-18 --exclude "*" --recursive --include "*20170418*" &amp; "%USERPROFILE%\Documents\GitHub\mrs-test-scripts\Headless Mode &amp; Sideloading\WalkAndUnGZ.bat" "%USERPROFILE%\AppData\Local\Temp\OnboardLogs"\RTDC4028\2017-04-18</v>
      </c>
      <c r="AF105" s="82" t="str">
        <f t="shared" si="38"/>
        <v>"C:\Program Files (x86)\AstroGrep\AstroGrep.exe" /e /r /s /spath="%USERPROFILE%\AppData\Local\Temp\OnboardLogs" /stypes="app*4028*20170417*" /stext=" 21:.+((SYSTEM_STATE.+slice.+state.+changed )|(ment ac)|(multiple cpu faults)|(system.+state.+changed )|(\[timeout)|(PRM\|1\|D)|(kpr)|(kdp)|(\|lc)|(penalty))"</v>
      </c>
      <c r="AG105" s="1" t="str">
        <f t="shared" si="39"/>
        <v>EC</v>
      </c>
      <c r="AH105" s="86" t="str">
        <f t="shared" si="40"/>
        <v>"%USERPROFILE%\Documents\GitHub\eaglep3\Utilities\RefineRTDCRunTimes.py" --tripid 191-17 --locoid 4028 --swversion DE.1.0.9.0 --startMP 204:504 --initTime 2017-04-17T14:53:45 --startdatetime 2017-04-17T15:00:15 --delay 1 --endMP 204:233282 --enddatetime 2017-04-17T15:39:11 --enforcementcount 0 &gt;&gt;C:\Users\stu\Documents\GitHub\eaglep3-reporting\EC\2017-04-17-refined-times.txt</v>
      </c>
      <c r="AI105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{"issue":{"subject":"","project_id":79,"tracker_id":40,"status_id":1,"priority_id":2,"assigned_to_id":23,"start_date":"2017-04-17","description":"","custom_fields":[{"id":1,"name":"Subdivision","value":"EC"},{"id":4,"name":"Milepost","value":"23.3282"},{"id":17,"name":"Train ID","value":"191-17"},{"id":16,"name":"Locomotive ID","value":"4028"},{"id":130,"name":"Impact","value":""},{"id":150,"name":"Time of Event (Mountain Time)","value":"15:39:11"},{"id":151,"name":"Denver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42"/>
        <v>start /low /b %USERPROFILE%\Documents\GitHub\eaglep3\Utilities\DownloadLogsFromS3.py --loco 4028 --day 2017-04-17</v>
      </c>
      <c r="AN105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21:39:11"},{"id":29,"name":"Sharepoint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773</v>
      </c>
      <c r="B106" s="7">
        <v>4027</v>
      </c>
      <c r="C106" s="21" t="s">
        <v>213</v>
      </c>
      <c r="D106" s="21" t="s">
        <v>866</v>
      </c>
      <c r="E106" s="13">
        <v>42842.657326388886</v>
      </c>
      <c r="F106" s="13">
        <v>42842.665439814817</v>
      </c>
      <c r="G106" s="7">
        <v>1</v>
      </c>
      <c r="H106" s="21" t="s">
        <v>892</v>
      </c>
      <c r="I106" s="13">
        <v>42842.694016203706</v>
      </c>
      <c r="J106" s="7">
        <v>0</v>
      </c>
      <c r="K106" s="97" t="str">
        <f t="shared" si="27"/>
        <v>4027/4028</v>
      </c>
      <c r="L106" s="21" t="str">
        <f>VLOOKUP(A106,'Trips&amp;Operators'!$C$1:$G$99999,5,FALSE)</f>
        <v>CLARK KATHLEEN</v>
      </c>
      <c r="M106" s="6">
        <f t="shared" si="28"/>
        <v>2.8576388889632653E-2</v>
      </c>
      <c r="N106" s="7">
        <f t="shared" si="46"/>
        <v>41.150000001071021</v>
      </c>
      <c r="O106" s="7"/>
      <c r="P106" s="7"/>
      <c r="Q106" s="22"/>
      <c r="R106" s="22"/>
      <c r="S106" s="31">
        <f t="shared" si="45"/>
        <v>1</v>
      </c>
      <c r="T106" s="46" t="str">
        <f t="shared" si="29"/>
        <v>Southbound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30"/>
        <v>https://d0f6bd738d7f1b3e5a7ca70fe4ff75f0.us-east-1.aws.found.io/app/kibana#/discover/Steve-Slow-Train-Analysis-(2080s-and-2083s)?_g=(refreshInterval:(display:Off,pause:!f,section:0,value:0),time:(from:'2017-04-17T14:46:33-0600',mode:absolute,to:'2017-04-17T17:39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6" s="183" t="str">
        <f t="shared" si="31"/>
        <v>N</v>
      </c>
      <c r="X106" s="183">
        <f t="shared" si="32"/>
        <v>1</v>
      </c>
      <c r="Y106" s="62">
        <f t="shared" si="33"/>
        <v>23.295000000000002</v>
      </c>
      <c r="Z106" s="62">
        <f t="shared" si="34"/>
        <v>1.9199999999999998E-2</v>
      </c>
      <c r="AA106" s="62">
        <f t="shared" si="35"/>
        <v>23.2758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6"/>
        <v>0192-17</v>
      </c>
      <c r="AE106" s="85" t="str">
        <f t="shared" si="37"/>
        <v>aws s3 cp s3://rtdc.mdm.uploadarchive.raw/RTDC4027/ "%USERPROFILE%\AppData\Local\Temp\OnboardLogs"\RTDC4027\2017-04-17 --exclude "*" --recursive --include "*20170417*" &amp; "%USERPROFILE%\Documents\GitHub\mrs-test-scripts\Headless Mode &amp; Sideloading\WalkAndUnGZ.bat" "%USERPROFILE%\AppData\Local\Temp\OnboardLogs"\RTDC4027\2017-04-17 &amp; aws s3 cp s3://rtdc.mdm.uploadarchive.raw/RTDC4027/ "%USERPROFILE%\AppData\Local\Temp\OnboardLogs"\RTDC4027\2017-04-18 --exclude "*" --recursive --include "*20170418*" &amp; "%USERPROFILE%\Documents\GitHub\mrs-test-scripts\Headless Mode &amp; Sideloading\WalkAndUnGZ.bat" "%USERPROFILE%\AppData\Local\Temp\OnboardLogs"\RTDC4027\2017-04-18</v>
      </c>
      <c r="AF106" s="82" t="str">
        <f t="shared" si="38"/>
        <v>"C:\Program Files (x86)\AstroGrep\AstroGrep.exe" /e /r /s /spath="%USERPROFILE%\AppData\Local\Temp\OnboardLogs" /stypes="app*4027*20170417*" /stext=" 22:.+((SYSTEM_STATE.+slice.+state.+changed )|(ment ac)|(multiple cpu faults)|(system.+state.+changed )|(\[timeout)|(PRM\|1\|D)|(kpr)|(kdp)|(\|lc)|(penalty))"</v>
      </c>
      <c r="AG106" s="1" t="str">
        <f t="shared" si="39"/>
        <v>EC</v>
      </c>
      <c r="AH106" s="86" t="str">
        <f t="shared" si="40"/>
        <v>"%USERPROFILE%\Documents\GitHub\eaglep3\Utilities\RefineRTDCRunTimes.py" --tripid 192-17 --locoid 4027 --swversion DE.1.0.9.0 --startMP 204:232950 --initTime 2017-04-17T15:46:33 --startdatetime 2017-04-17T15:58:14 --delay 1 --endMP 204:192 --enddatetime 2017-04-17T16:39:23 --enforcementcount 0 &gt;&gt;C:\Users\stu\Documents\GitHub\eaglep3-reporting\EC\2017-04-17-refined-times.txt</v>
      </c>
      <c r="AI106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{"issue":{"subject":"","project_id":79,"tracker_id":40,"status_id":1,"priority_id":2,"assigned_to_id":23,"start_date":"2017-04-17","description":"","custom_fields":[{"id":1,"name":"Subdivision","value":"EC"},{"id":4,"name":"Milepost","value":"0.0192"},{"id":17,"name":"Train ID","value":"192-17"},{"id":16,"name":"Locomotive ID","value":"4027"},{"id":130,"name":"Impact","value":""},{"id":150,"name":"Time of Event (Mountain Time)","value":"16:39:23"},{"id":151,"name":"Denver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42"/>
        <v>start /low /b %USERPROFILE%\Documents\GitHub\eaglep3\Utilities\DownloadLogsFromS3.py --loco 4027 --day 2017-04-17</v>
      </c>
      <c r="AN106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22:39:23"},{"id":29,"name":"Sharepoint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765</v>
      </c>
      <c r="B107" s="7">
        <v>4046</v>
      </c>
      <c r="C107" s="21" t="s">
        <v>213</v>
      </c>
      <c r="D107" s="21" t="s">
        <v>478</v>
      </c>
      <c r="E107" s="13">
        <v>42842.630439814813</v>
      </c>
      <c r="F107" s="13">
        <v>42842.635567129626</v>
      </c>
      <c r="G107" s="7">
        <v>1</v>
      </c>
      <c r="H107" s="21" t="s">
        <v>893</v>
      </c>
      <c r="I107" s="13">
        <v>42842.659826388888</v>
      </c>
      <c r="J107" s="7">
        <v>0</v>
      </c>
      <c r="K107" s="97" t="str">
        <f t="shared" si="27"/>
        <v>4045/4046</v>
      </c>
      <c r="L107" s="21" t="str">
        <f>VLOOKUP(A107,'Trips&amp;Operators'!$C$1:$G$99999,5,FALSE)</f>
        <v>ROMERO CHAD</v>
      </c>
      <c r="M107" s="6">
        <f t="shared" si="28"/>
        <v>2.4259259262180422E-2</v>
      </c>
      <c r="N107" s="7">
        <f t="shared" si="46"/>
        <v>34.933333337539807</v>
      </c>
      <c r="O107" s="7"/>
      <c r="P107" s="7"/>
      <c r="Q107" s="22"/>
      <c r="R107" s="22"/>
      <c r="S107" s="31">
        <f t="shared" si="45"/>
        <v>1</v>
      </c>
      <c r="T107" s="46" t="str">
        <f t="shared" si="29"/>
        <v>NorthBound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30"/>
        <v>https://d0f6bd738d7f1b3e5a7ca70fe4ff75f0.us-east-1.aws.found.io/app/kibana#/discover/Steve-Slow-Train-Analysis-(2080s-and-2083s)?_g=(refreshInterval:(display:Off,pause:!f,section:0,value:0),time:(from:'2017-04-17T14:07:50-0600',mode:absolute,to:'2017-04-17T16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7" s="183" t="str">
        <f t="shared" si="31"/>
        <v>N</v>
      </c>
      <c r="X107" s="183">
        <f t="shared" si="32"/>
        <v>1</v>
      </c>
      <c r="Y107" s="62">
        <f t="shared" si="33"/>
        <v>4.7500000000000001E-2</v>
      </c>
      <c r="Z107" s="62">
        <f t="shared" si="34"/>
        <v>23.3368</v>
      </c>
      <c r="AA107" s="62">
        <f t="shared" si="35"/>
        <v>23.289300000000001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6"/>
        <v>0193-17</v>
      </c>
      <c r="AE107" s="85" t="str">
        <f t="shared" si="37"/>
        <v>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 &amp; aws s3 cp s3://rtdc.mdm.uploadarchive.raw/RTDC4046/ "%USERPROFILE%\AppData\Local\Temp\OnboardLogs"\RTDC4046\2017-04-18 --exclude "*" --recursive --include "*20170418*" &amp; "%USERPROFILE%\Documents\GitHub\mrs-test-scripts\Headless Mode &amp; Sideloading\WalkAndUnGZ.bat" "%USERPROFILE%\AppData\Local\Temp\OnboardLogs"\RTDC4046\2017-04-18</v>
      </c>
      <c r="AF107" s="82" t="str">
        <f t="shared" si="38"/>
        <v>"C:\Program Files (x86)\AstroGrep\AstroGrep.exe" /e /r /s /spath="%USERPROFILE%\AppData\Local\Temp\OnboardLogs" /stypes="app*4046*20170417*" /stext=" 21:.+((SYSTEM_STATE.+slice.+state.+changed )|(ment ac)|(multiple cpu faults)|(system.+state.+changed )|(\[timeout)|(PRM\|1\|D)|(kpr)|(kdp)|(\|lc)|(penalty))"</v>
      </c>
      <c r="AG107" s="1" t="str">
        <f t="shared" si="39"/>
        <v>EC</v>
      </c>
      <c r="AH107" s="86" t="str">
        <f t="shared" si="40"/>
        <v>"%USERPROFILE%\Documents\GitHub\eaglep3\Utilities\RefineRTDCRunTimes.py" --tripid 193-17 --locoid 4046 --swversion DE.1.0.9.0 --startMP 204:475 --initTime 2017-04-17T15:07:50 --startdatetime 2017-04-17T15:15:13 --delay 1 --endMP 204:233368 --enddatetime 2017-04-17T15:50:09 --enforcementcount 0 &gt;&gt;C:\Users\stu\Documents\GitHub\eaglep3-reporting\EC\2017-04-17-refined-times.txt</v>
      </c>
      <c r="AI107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{"issue":{"subject":"","project_id":79,"tracker_id":40,"status_id":1,"priority_id":2,"assigned_to_id":23,"start_date":"2017-04-17","description":"","custom_fields":[{"id":1,"name":"Subdivision","value":"EC"},{"id":4,"name":"Milepost","value":"23.3368"},{"id":17,"name":"Train ID","value":"193-17"},{"id":16,"name":"Locomotive ID","value":"4046"},{"id":130,"name":"Impact","value":""},{"id":150,"name":"Time of Event (Mountain Time)","value":"15:50:09"},{"id":151,"name":"Denver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42"/>
        <v>start /low /b %USERPROFILE%\Documents\GitHub\eaglep3\Utilities\DownloadLogsFromS3.py --loco 4046 --day 2017-04-17</v>
      </c>
      <c r="AN107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21:50:09"},{"id":29,"name":"Sharepoint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776</v>
      </c>
      <c r="B108" s="7">
        <v>4045</v>
      </c>
      <c r="C108" s="21" t="s">
        <v>213</v>
      </c>
      <c r="D108" s="21" t="s">
        <v>894</v>
      </c>
      <c r="E108" s="13">
        <v>42842.671215277776</v>
      </c>
      <c r="F108" s="13">
        <v>42842.674560185187</v>
      </c>
      <c r="G108" s="7">
        <v>0</v>
      </c>
      <c r="H108" s="21" t="s">
        <v>895</v>
      </c>
      <c r="I108" s="13">
        <v>42842.700555555559</v>
      </c>
      <c r="J108" s="7">
        <v>0</v>
      </c>
      <c r="K108" s="97" t="str">
        <f t="shared" si="27"/>
        <v>4045/4046</v>
      </c>
      <c r="L108" s="21" t="str">
        <f>VLOOKUP(A108,'Trips&amp;Operators'!$C$1:$G$99999,5,FALSE)</f>
        <v>ROMERO CHAD</v>
      </c>
      <c r="M108" s="6">
        <f t="shared" si="28"/>
        <v>2.5995370371674653E-2</v>
      </c>
      <c r="N108" s="7">
        <f t="shared" si="46"/>
        <v>37.433333335211501</v>
      </c>
      <c r="O108" s="7"/>
      <c r="P108" s="7"/>
      <c r="Q108" s="22"/>
      <c r="R108" s="22"/>
      <c r="S108" s="31">
        <f t="shared" si="45"/>
        <v>1</v>
      </c>
      <c r="T108" s="46" t="str">
        <f t="shared" si="29"/>
        <v>Southbound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si="30"/>
        <v>https://d0f6bd738d7f1b3e5a7ca70fe4ff75f0.us-east-1.aws.found.io/app/kibana#/discover/Steve-Slow-Train-Analysis-(2080s-and-2083s)?_g=(refreshInterval:(display:Off,pause:!f,section:0,value:0),time:(from:'2017-04-17T15:06:33-0600',mode:absolute,to:'2017-04-17T17:48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8" s="183" t="str">
        <f t="shared" si="31"/>
        <v>N</v>
      </c>
      <c r="X108" s="183">
        <f t="shared" si="32"/>
        <v>1</v>
      </c>
      <c r="Y108" s="62">
        <f t="shared" si="33"/>
        <v>23.3079</v>
      </c>
      <c r="Z108" s="62">
        <f t="shared" si="34"/>
        <v>1.0500000000000001E-2</v>
      </c>
      <c r="AA108" s="62">
        <f t="shared" si="35"/>
        <v>23.2974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6"/>
        <v>0194-17</v>
      </c>
      <c r="AE108" s="85" t="str">
        <f t="shared" si="37"/>
        <v>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 &amp; aws s3 cp s3://rtdc.mdm.uploadarchive.raw/RTDC4045/ "%USERPROFILE%\AppData\Local\Temp\OnboardLogs"\RTDC4045\2017-04-18 --exclude "*" --recursive --include "*20170418*" &amp; "%USERPROFILE%\Documents\GitHub\mrs-test-scripts\Headless Mode &amp; Sideloading\WalkAndUnGZ.bat" "%USERPROFILE%\AppData\Local\Temp\OnboardLogs"\RTDC4045\2017-04-18</v>
      </c>
      <c r="AF108" s="82" t="str">
        <f t="shared" si="38"/>
        <v>"C:\Program Files (x86)\AstroGrep\AstroGrep.exe" /e /r /s /spath="%USERPROFILE%\AppData\Local\Temp\OnboardLogs" /stypes="app*4045*20170417*" /stext=" 22:.+((SYSTEM_STATE.+slice.+state.+changed )|(ment ac)|(multiple cpu faults)|(system.+state.+changed )|(\[timeout)|(PRM\|1\|D)|(kpr)|(kdp)|(\|lc)|(penalty))"</v>
      </c>
      <c r="AG108" s="1" t="str">
        <f t="shared" si="39"/>
        <v>EC</v>
      </c>
      <c r="AH108" s="86" t="str">
        <f t="shared" si="40"/>
        <v>"%USERPROFILE%\Documents\GitHub\eaglep3\Utilities\RefineRTDCRunTimes.py" --tripid 194-17 --locoid 4045 --swversion DE.1.0.9.0 --startMP 204:233079 --initTime 2017-04-17T16:06:33 --startdatetime 2017-04-17T16:11:22 --delay 0 --endMP 204:105 --enddatetime 2017-04-17T16:48:48 --enforcementcount 0 &gt;&gt;C:\Users\stu\Documents\GitHub\eaglep3-reporting\EC\2017-04-17-refined-times.txt</v>
      </c>
      <c r="AI108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{"issue":{"subject":"","project_id":79,"tracker_id":40,"status_id":1,"priority_id":2,"assigned_to_id":23,"start_date":"2017-04-17","description":"","custom_fields":[{"id":1,"name":"Subdivision","value":"EC"},{"id":4,"name":"Milepost","value":"0.0105"},{"id":17,"name":"Train ID","value":"194-17"},{"id":16,"name":"Locomotive ID","value":"4045"},{"id":130,"name":"Impact","value":""},{"id":150,"name":"Time of Event (Mountain Time)","value":"16:48:48"},{"id":151,"name":"Denver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 t="shared" si="42"/>
        <v>start /low /b %USERPROFILE%\Documents\GitHub\eaglep3\Utilities\DownloadLogsFromS3.py --loco 4045 --day 2017-04-17</v>
      </c>
      <c r="AN108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22:48:48"},{"id":29,"name":"Sharepoint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769</v>
      </c>
      <c r="B109" s="7">
        <v>4008</v>
      </c>
      <c r="C109" s="21" t="s">
        <v>213</v>
      </c>
      <c r="D109" s="21" t="s">
        <v>864</v>
      </c>
      <c r="E109" s="13">
        <v>42842.647256944445</v>
      </c>
      <c r="F109" s="13">
        <v>42842.64880787037</v>
      </c>
      <c r="G109" s="7">
        <v>1</v>
      </c>
      <c r="H109" s="21" t="s">
        <v>868</v>
      </c>
      <c r="I109" s="13">
        <v>42842.674421296295</v>
      </c>
      <c r="J109" s="7">
        <v>0</v>
      </c>
      <c r="K109" s="97" t="str">
        <f t="shared" si="27"/>
        <v>4007/4008</v>
      </c>
      <c r="L109" s="21" t="str">
        <f>VLOOKUP(A109,'Trips&amp;Operators'!$C$1:$G$99999,5,FALSE)</f>
        <v>MACDONALD THOMAS</v>
      </c>
      <c r="M109" s="6">
        <f t="shared" si="28"/>
        <v>2.5613425925257616E-2</v>
      </c>
      <c r="N109" s="7">
        <f t="shared" si="46"/>
        <v>36.883333332370967</v>
      </c>
      <c r="O109" s="7"/>
      <c r="P109" s="7"/>
      <c r="Q109" s="22"/>
      <c r="R109" s="22"/>
      <c r="S109" s="31">
        <f t="shared" si="45"/>
        <v>1</v>
      </c>
      <c r="T109" s="46" t="str">
        <f t="shared" si="29"/>
        <v>NorthBound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30"/>
        <v>https://d0f6bd738d7f1b3e5a7ca70fe4ff75f0.us-east-1.aws.found.io/app/kibana#/discover/Steve-Slow-Train-Analysis-(2080s-and-2083s)?_g=(refreshInterval:(display:Off,pause:!f,section:0,value:0),time:(from:'2017-04-17T14:32:03-0600',mode:absolute,to:'2017-04-17T17:11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9" s="183" t="str">
        <f t="shared" si="31"/>
        <v>N</v>
      </c>
      <c r="X109" s="183">
        <f t="shared" si="32"/>
        <v>1</v>
      </c>
      <c r="Y109" s="62">
        <f t="shared" si="33"/>
        <v>4.6899999999999997E-2</v>
      </c>
      <c r="Z109" s="62">
        <f t="shared" si="34"/>
        <v>23.331099999999999</v>
      </c>
      <c r="AA109" s="62">
        <f t="shared" si="35"/>
        <v>23.284199999999998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6"/>
        <v>0195-17</v>
      </c>
      <c r="AE109" s="85" t="str">
        <f t="shared" si="37"/>
        <v>aws s3 cp s3://rtdc.mdm.uploadarchive.raw/RTDC4008/ "%USERPROFILE%\AppData\Local\Temp\OnboardLogs"\RTDC4008\2017-04-17 --exclude "*" --recursive --include "*20170417*" &amp; "%USERPROFILE%\Documents\GitHub\mrs-test-scripts\Headless Mode &amp; Sideloading\WalkAndUnGZ.bat" "%USERPROFILE%\AppData\Local\Temp\OnboardLogs"\RTDC4008\2017-04-17 &amp; aws s3 cp s3://rtdc.mdm.uploadarchive.raw/RTDC4008/ "%USERPROFILE%\AppData\Local\Temp\OnboardLogs"\RTDC4008\2017-04-18 --exclude "*" --recursive --include "*20170418*" &amp; "%USERPROFILE%\Documents\GitHub\mrs-test-scripts\Headless Mode &amp; Sideloading\WalkAndUnGZ.bat" "%USERPROFILE%\AppData\Local\Temp\OnboardLogs"\RTDC4008\2017-04-18</v>
      </c>
      <c r="AF109" s="82" t="str">
        <f t="shared" si="38"/>
        <v>"C:\Program Files (x86)\AstroGrep\AstroGrep.exe" /e /r /s /spath="%USERPROFILE%\AppData\Local\Temp\OnboardLogs" /stypes="app*4008*20170417*" /stext=" 22:.+((SYSTEM_STATE.+slice.+state.+changed )|(ment ac)|(multiple cpu faults)|(system.+state.+changed )|(\[timeout)|(PRM\|1\|D)|(kpr)|(kdp)|(\|lc)|(penalty))"</v>
      </c>
      <c r="AG109" s="1" t="str">
        <f t="shared" si="39"/>
        <v>EC</v>
      </c>
      <c r="AH109" s="86" t="str">
        <f t="shared" si="40"/>
        <v>"%USERPROFILE%\Documents\GitHub\eaglep3\Utilities\RefineRTDCRunTimes.py" --tripid 195-17 --locoid 4008 --swversion DE.1.0.9.0 --startMP 204:469 --initTime 2017-04-17T15:32:03 --startdatetime 2017-04-17T15:34:17 --delay 1 --endMP 204:233311 --enddatetime 2017-04-17T16:11:10 --enforcementcount 0 &gt;&gt;C:\Users\stu\Documents\GitHub\eaglep3-reporting\EC\2017-04-17-refined-times.txt</v>
      </c>
      <c r="AI109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{"issue":{"subject":"","project_id":79,"tracker_id":40,"status_id":1,"priority_id":2,"assigned_to_id":23,"start_date":"2017-04-17","description":"","custom_fields":[{"id":1,"name":"Subdivision","value":"EC"},{"id":4,"name":"Milepost","value":"23.3311"},{"id":17,"name":"Train ID","value":"195-17"},{"id":16,"name":"Locomotive ID","value":"4008"},{"id":130,"name":"Impact","value":""},{"id":150,"name":"Time of Event (Mountain Time)","value":"16:11:10"},{"id":151,"name":"Denver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42"/>
        <v>start /low /b %USERPROFILE%\Documents\GitHub\eaglep3\Utilities\DownloadLogsFromS3.py --loco 4008 --day 2017-04-17</v>
      </c>
      <c r="AN109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22:11:10"},{"id":29,"name":"Sharepoint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3" t="s">
        <v>623</v>
      </c>
      <c r="B110" s="7">
        <v>4007</v>
      </c>
      <c r="C110" s="21" t="s">
        <v>213</v>
      </c>
      <c r="D110" s="21" t="s">
        <v>541</v>
      </c>
      <c r="E110" s="13">
        <v>42842.682708333334</v>
      </c>
      <c r="F110" s="13">
        <v>42842.684895833336</v>
      </c>
      <c r="G110" s="7">
        <v>1</v>
      </c>
      <c r="H110" s="21" t="s">
        <v>210</v>
      </c>
      <c r="I110" s="13">
        <v>42842.712858796294</v>
      </c>
      <c r="J110" s="7">
        <v>0</v>
      </c>
      <c r="K110" s="97" t="str">
        <f t="shared" si="27"/>
        <v>4007/4008</v>
      </c>
      <c r="L110" s="21" t="str">
        <f>VLOOKUP(A110,'Trips&amp;Operators'!$C$1:$G$99999,5,FALSE)</f>
        <v>MACDONALD THOMAS</v>
      </c>
      <c r="M110" s="6">
        <f t="shared" si="28"/>
        <v>2.7962962958554272E-2</v>
      </c>
      <c r="N110" s="7">
        <f t="shared" si="46"/>
        <v>40.266666660318151</v>
      </c>
      <c r="O110" s="7"/>
      <c r="P110" s="7"/>
      <c r="Q110" s="22"/>
      <c r="R110" s="22"/>
      <c r="S110" s="31">
        <f t="shared" si="45"/>
        <v>1</v>
      </c>
      <c r="T110" s="46" t="str">
        <f t="shared" si="29"/>
        <v>Southbound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30"/>
        <v>https://d0f6bd738d7f1b3e5a7ca70fe4ff75f0.us-east-1.aws.found.io/app/kibana#/discover/Steve-Slow-Train-Analysis-(2080s-and-2083s)?_g=(refreshInterval:(display:Off,pause:!f,section:0,value:0),time:(from:'2017-04-17T15:23:06-0600',mode:absolute,to:'2017-04-17T18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0" s="183" t="str">
        <f t="shared" si="31"/>
        <v>N</v>
      </c>
      <c r="X110" s="183">
        <f t="shared" si="32"/>
        <v>1</v>
      </c>
      <c r="Y110" s="62">
        <f t="shared" si="33"/>
        <v>23.3</v>
      </c>
      <c r="Z110" s="62">
        <f t="shared" si="34"/>
        <v>1.47E-2</v>
      </c>
      <c r="AA110" s="62">
        <f t="shared" si="35"/>
        <v>23.285299999999999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6"/>
        <v>0196-17</v>
      </c>
      <c r="AE110" s="85" t="str">
        <f t="shared" si="37"/>
        <v>aws s3 cp s3://rtdc.mdm.uploadarchive.raw/RTDC4007/ "%USERPROFILE%\AppData\Local\Temp\OnboardLogs"\RTDC4007\2017-04-17 --exclude "*" --recursive --include "*20170417*" &amp; "%USERPROFILE%\Documents\GitHub\mrs-test-scripts\Headless Mode &amp; Sideloading\WalkAndUnGZ.bat" "%USERPROFILE%\AppData\Local\Temp\OnboardLogs"\RTDC4007\2017-04-17 &amp; aws s3 cp s3://rtdc.mdm.uploadarchive.raw/RTDC4007/ "%USERPROFILE%\AppData\Local\Temp\OnboardLogs"\RTDC4007\2017-04-18 --exclude "*" --recursive --include "*20170418*" &amp; "%USERPROFILE%\Documents\GitHub\mrs-test-scripts\Headless Mode &amp; Sideloading\WalkAndUnGZ.bat" "%USERPROFILE%\AppData\Local\Temp\OnboardLogs"\RTDC4007\2017-04-18</v>
      </c>
      <c r="AF110" s="82" t="str">
        <f t="shared" si="38"/>
        <v>"C:\Program Files (x86)\AstroGrep\AstroGrep.exe" /e /r /s /spath="%USERPROFILE%\AppData\Local\Temp\OnboardLogs" /stypes="app*4007*20170417*" /stext=" 23:.+((SYSTEM_STATE.+slice.+state.+changed )|(ment ac)|(multiple cpu faults)|(system.+state.+changed )|(\[timeout)|(PRM\|1\|D)|(kpr)|(kdp)|(\|lc)|(penalty))"</v>
      </c>
      <c r="AG110" s="1" t="str">
        <f t="shared" si="39"/>
        <v>EC</v>
      </c>
      <c r="AH110" s="86" t="str">
        <f t="shared" si="40"/>
        <v>"%USERPROFILE%\Documents\GitHub\eaglep3\Utilities\RefineRTDCRunTimes.py" --tripid 196-17 --locoid 4007 --swversion DE.1.0.9.0 --startMP 204:233000 --initTime 2017-04-17T16:23:06 --startdatetime 2017-04-17T16:26:15 --delay 1 --endMP 204:147 --enddatetime 2017-04-17T17:06:31 --enforcementcount 0 &gt;&gt;C:\Users\stu\Documents\GitHub\eaglep3-reporting\EC\2017-04-17-refined-times.txt</v>
      </c>
      <c r="AI110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{"issue":{"subject":"","project_id":79,"tracker_id":40,"status_id":1,"priority_id":2,"assigned_to_id":23,"start_date":"2017-04-17","description":"","custom_fields":[{"id":1,"name":"Subdivision","value":"EC"},{"id":4,"name":"Milepost","value":"0.0147"},{"id":17,"name":"Train ID","value":"196-17"},{"id":16,"name":"Locomotive ID","value":"4007"},{"id":130,"name":"Impact","value":""},{"id":150,"name":"Time of Event (Mountain Time)","value":"17:06:31"},{"id":151,"name":"Denver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20"/>
      <c r="AK110" s="48"/>
      <c r="AL110" s="48"/>
      <c r="AM110" s="150" t="str">
        <f t="shared" si="42"/>
        <v>start /low /b %USERPROFILE%\Documents\GitHub\eaglep3\Utilities\DownloadLogsFromS3.py --loco 4007 --day 2017-04-17</v>
      </c>
      <c r="AN110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23:06:31"},{"id":29,"name":"Sharepoint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1" spans="1:91" s="20" customFormat="1" x14ac:dyDescent="0.25">
      <c r="A111" s="33" t="s">
        <v>772</v>
      </c>
      <c r="B111" s="7">
        <v>4002</v>
      </c>
      <c r="C111" s="21" t="s">
        <v>213</v>
      </c>
      <c r="D111" s="21" t="s">
        <v>453</v>
      </c>
      <c r="E111" s="13">
        <v>42842.653495370374</v>
      </c>
      <c r="F111" s="13">
        <v>42842.656851851854</v>
      </c>
      <c r="G111" s="7">
        <v>2</v>
      </c>
      <c r="H111" s="21" t="s">
        <v>510</v>
      </c>
      <c r="I111" s="13">
        <v>42842.682187500002</v>
      </c>
      <c r="J111" s="7">
        <v>0</v>
      </c>
      <c r="K111" s="97" t="str">
        <f t="shared" si="27"/>
        <v>4001/4002</v>
      </c>
      <c r="L111" s="21" t="str">
        <f>VLOOKUP(A111,'Trips&amp;Operators'!$C$1:$G$99999,5,FALSE)</f>
        <v>LEVERE CRAIG</v>
      </c>
      <c r="M111" s="6">
        <f t="shared" si="28"/>
        <v>2.5335648148029577E-2</v>
      </c>
      <c r="N111" s="7">
        <f t="shared" si="46"/>
        <v>36.483333333162591</v>
      </c>
      <c r="O111" s="7"/>
      <c r="P111" s="7"/>
      <c r="Q111" s="22"/>
      <c r="R111" s="22"/>
      <c r="S111" s="31">
        <f t="shared" si="45"/>
        <v>1</v>
      </c>
      <c r="T111" s="46" t="str">
        <f t="shared" si="29"/>
        <v>NorthBound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30"/>
        <v>https://d0f6bd738d7f1b3e5a7ca70fe4ff75f0.us-east-1.aws.found.io/app/kibana#/discover/Steve-Slow-Train-Analysis-(2080s-and-2083s)?_g=(refreshInterval:(display:Off,pause:!f,section:0,value:0),time:(from:'2017-04-17T14:41:02-0600',mode:absolute,to:'2017-04-17T17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1" s="183" t="str">
        <f t="shared" si="31"/>
        <v>N</v>
      </c>
      <c r="X111" s="183">
        <f t="shared" si="32"/>
        <v>1</v>
      </c>
      <c r="Y111" s="62">
        <f t="shared" si="33"/>
        <v>4.6699999999999998E-2</v>
      </c>
      <c r="Z111" s="62">
        <f t="shared" si="34"/>
        <v>23.331499999999998</v>
      </c>
      <c r="AA111" s="62">
        <f t="shared" si="35"/>
        <v>23.284799999999997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6"/>
        <v>0197-17</v>
      </c>
      <c r="AE111" s="85" t="str">
        <f t="shared" si="37"/>
        <v>aws s3 cp s3://rtdc.mdm.uploadarchive.raw/RTDC4002/ "%USERPROFILE%\AppData\Local\Temp\OnboardLogs"\RTDC4002\2017-04-17 --exclude "*" --recursive --include "*20170417*" &amp; "%USERPROFILE%\Documents\GitHub\mrs-test-scripts\Headless Mode &amp; Sideloading\WalkAndUnGZ.bat" "%USERPROFILE%\AppData\Local\Temp\OnboardLogs"\RTDC4002\2017-04-17 &amp; aws s3 cp s3://rtdc.mdm.uploadarchive.raw/RTDC4002/ "%USERPROFILE%\AppData\Local\Temp\OnboardLogs"\RTDC4002\2017-04-18 --exclude "*" --recursive --include "*20170418*" &amp; "%USERPROFILE%\Documents\GitHub\mrs-test-scripts\Headless Mode &amp; Sideloading\WalkAndUnGZ.bat" "%USERPROFILE%\AppData\Local\Temp\OnboardLogs"\RTDC4002\2017-04-18</v>
      </c>
      <c r="AF111" s="82" t="str">
        <f t="shared" si="38"/>
        <v>"C:\Program Files (x86)\AstroGrep\AstroGrep.exe" /e /r /s /spath="%USERPROFILE%\AppData\Local\Temp\OnboardLogs" /stypes="app*4002*20170417*" /stext=" 22:.+((SYSTEM_STATE.+slice.+state.+changed )|(ment ac)|(multiple cpu faults)|(system.+state.+changed )|(\[timeout)|(PRM\|1\|D)|(kpr)|(kdp)|(\|lc)|(penalty))"</v>
      </c>
      <c r="AG111" s="1" t="str">
        <f t="shared" si="39"/>
        <v>EC</v>
      </c>
      <c r="AH111" s="86" t="str">
        <f t="shared" si="40"/>
        <v>"%USERPROFILE%\Documents\GitHub\eaglep3\Utilities\RefineRTDCRunTimes.py" --tripid 197-17 --locoid 4002 --swversion DE.1.0.9.0 --startMP 204:467 --initTime 2017-04-17T15:41:02 --startdatetime 2017-04-17T15:45:52 --delay 2 --endMP 204:233315 --enddatetime 2017-04-17T16:22:21 --enforcementcount 0 &gt;&gt;C:\Users\stu\Documents\GitHub\eaglep3-reporting\EC\2017-04-17-refined-times.txt</v>
      </c>
      <c r="AI111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{"issue":{"subject":"","project_id":79,"tracker_id":40,"status_id":1,"priority_id":2,"assigned_to_id":23,"start_date":"2017-04-17","description":"","custom_fields":[{"id":1,"name":"Subdivision","value":"EC"},{"id":4,"name":"Milepost","value":"23.3315"},{"id":17,"name":"Train ID","value":"197-17"},{"id":16,"name":"Locomotive ID","value":"4002"},{"id":130,"name":"Impact","value":""},{"id":150,"name":"Time of Event (Mountain Time)","value":"16:22:21"},{"id":151,"name":"Denver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8"/>
      <c r="AL111" s="48"/>
      <c r="AM111" s="150" t="str">
        <f t="shared" si="42"/>
        <v>start /low /b %USERPROFILE%\Documents\GitHub\eaglep3\Utilities\DownloadLogsFromS3.py --loco 4002 --day 2017-04-17</v>
      </c>
      <c r="AN111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22:22:21"},{"id":29,"name":"Sharepoint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781</v>
      </c>
      <c r="B112" s="7">
        <v>4001</v>
      </c>
      <c r="C112" s="21" t="s">
        <v>213</v>
      </c>
      <c r="D112" s="21" t="s">
        <v>476</v>
      </c>
      <c r="E112" s="13">
        <v>42842.692233796297</v>
      </c>
      <c r="F112" s="13">
        <v>42842.695543981485</v>
      </c>
      <c r="G112" s="7">
        <v>1</v>
      </c>
      <c r="H112" s="21" t="s">
        <v>197</v>
      </c>
      <c r="I112" s="13">
        <v>42842.723368055558</v>
      </c>
      <c r="J112" s="7">
        <v>0</v>
      </c>
      <c r="K112" s="97" t="str">
        <f t="shared" si="27"/>
        <v>4001/4002</v>
      </c>
      <c r="L112" s="21" t="str">
        <f>VLOOKUP(A112,'Trips&amp;Operators'!$C$1:$G$99999,5,FALSE)</f>
        <v>LEVERE CRAIG</v>
      </c>
      <c r="M112" s="6">
        <f t="shared" si="28"/>
        <v>2.7824074073578231E-2</v>
      </c>
      <c r="N112" s="7">
        <f t="shared" si="46"/>
        <v>40.066666665952653</v>
      </c>
      <c r="O112" s="7"/>
      <c r="P112" s="7"/>
      <c r="Q112" s="22"/>
      <c r="R112" s="22"/>
      <c r="S112" s="31">
        <f t="shared" si="45"/>
        <v>1</v>
      </c>
      <c r="T112" s="46" t="str">
        <f t="shared" si="29"/>
        <v>Southbound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30"/>
        <v>https://d0f6bd738d7f1b3e5a7ca70fe4ff75f0.us-east-1.aws.found.io/app/kibana#/discover/Steve-Slow-Train-Analysis-(2080s-and-2083s)?_g=(refreshInterval:(display:Off,pause:!f,section:0,value:0),time:(from:'2017-04-17T15:36:49-0600',mode:absolute,to:'2017-04-17T18:21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2" s="183" t="str">
        <f t="shared" si="31"/>
        <v>N</v>
      </c>
      <c r="X112" s="183">
        <f t="shared" si="32"/>
        <v>1</v>
      </c>
      <c r="Y112" s="62">
        <f t="shared" si="33"/>
        <v>23.299800000000001</v>
      </c>
      <c r="Z112" s="62">
        <f t="shared" si="34"/>
        <v>1.52E-2</v>
      </c>
      <c r="AA112" s="62">
        <f t="shared" si="35"/>
        <v>23.284600000000001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6"/>
        <v>0198-17</v>
      </c>
      <c r="AE112" s="85" t="str">
        <f t="shared" si="37"/>
        <v>aws s3 cp s3://rtdc.mdm.uploadarchive.raw/RTDC4001/ "%USERPROFILE%\AppData\Local\Temp\OnboardLogs"\RTDC4001\2017-04-17 --exclude "*" --recursive --include "*20170417*" &amp; "%USERPROFILE%\Documents\GitHub\mrs-test-scripts\Headless Mode &amp; Sideloading\WalkAndUnGZ.bat" "%USERPROFILE%\AppData\Local\Temp\OnboardLogs"\RTDC4001\2017-04-17 &amp; aws s3 cp s3://rtdc.mdm.uploadarchive.raw/RTDC4001/ "%USERPROFILE%\AppData\Local\Temp\OnboardLogs"\RTDC4001\2017-04-18 --exclude "*" --recursive --include "*20170418*" &amp; "%USERPROFILE%\Documents\GitHub\mrs-test-scripts\Headless Mode &amp; Sideloading\WalkAndUnGZ.bat" "%USERPROFILE%\AppData\Local\Temp\OnboardLogs"\RTDC4001\2017-04-18</v>
      </c>
      <c r="AF112" s="82" t="str">
        <f t="shared" si="38"/>
        <v>"C:\Program Files (x86)\AstroGrep\AstroGrep.exe" /e /r /s /spath="%USERPROFILE%\AppData\Local\Temp\OnboardLogs" /stypes="app*4001*20170417*" /stext=" 23:.+((SYSTEM_STATE.+slice.+state.+changed )|(ment ac)|(multiple cpu faults)|(system.+state.+changed )|(\[timeout)|(PRM\|1\|D)|(kpr)|(kdp)|(\|lc)|(penalty))"</v>
      </c>
      <c r="AG112" s="1" t="str">
        <f t="shared" si="39"/>
        <v>EC</v>
      </c>
      <c r="AH112" s="86" t="str">
        <f t="shared" si="40"/>
        <v>"%USERPROFILE%\Documents\GitHub\eaglep3\Utilities\RefineRTDCRunTimes.py" --tripid 198-17 --locoid 4001 --swversion DE.1.0.9.0 --startMP 204:232998 --initTime 2017-04-17T16:36:49 --startdatetime 2017-04-17T16:41:35 --delay 1 --endMP 204:152 --enddatetime 2017-04-17T17:21:39 --enforcementcount 0 &gt;&gt;C:\Users\stu\Documents\GitHub\eaglep3-reporting\EC\2017-04-17-refined-times.txt</v>
      </c>
      <c r="AI112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{"issue":{"subject":"","project_id":79,"tracker_id":40,"status_id":1,"priority_id":2,"assigned_to_id":23,"start_date":"2017-04-17","description":"","custom_fields":[{"id":1,"name":"Subdivision","value":"EC"},{"id":4,"name":"Milepost","value":"0.0152"},{"id":17,"name":"Train ID","value":"198-17"},{"id":16,"name":"Locomotive ID","value":"4001"},{"id":130,"name":"Impact","value":""},{"id":150,"name":"Time of Event (Mountain Time)","value":"17:21:39"},{"id":151,"name":"Denver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42"/>
        <v>start /low /b %USERPROFILE%\Documents\GitHub\eaglep3\Utilities\DownloadLogsFromS3.py --loco 4001 --day 2017-04-17</v>
      </c>
      <c r="AN112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23:21:39"},{"id":29,"name":"Sharepoint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774</v>
      </c>
      <c r="B113" s="7">
        <v>4052</v>
      </c>
      <c r="C113" s="21" t="s">
        <v>213</v>
      </c>
      <c r="D113" s="21" t="s">
        <v>482</v>
      </c>
      <c r="E113" s="13">
        <v>42842.6640162037</v>
      </c>
      <c r="F113" s="13">
        <v>42842.666990740741</v>
      </c>
      <c r="G113" s="7">
        <v>1</v>
      </c>
      <c r="H113" s="21" t="s">
        <v>869</v>
      </c>
      <c r="I113" s="13">
        <v>42842.693726851852</v>
      </c>
      <c r="J113" s="7">
        <v>0</v>
      </c>
      <c r="K113" s="97" t="str">
        <f t="shared" si="27"/>
        <v>4051/4052</v>
      </c>
      <c r="L113" s="21" t="str">
        <f>VLOOKUP(A113,'Trips&amp;Operators'!$C$1:$G$99999,5,FALSE)</f>
        <v>BRANDNER MELINDA</v>
      </c>
      <c r="M113" s="6">
        <f t="shared" si="28"/>
        <v>2.6736111110949423E-2</v>
      </c>
      <c r="N113" s="7">
        <f t="shared" si="46"/>
        <v>38.499999999767169</v>
      </c>
      <c r="O113" s="7"/>
      <c r="P113" s="7"/>
      <c r="Q113" s="22"/>
      <c r="R113" s="22"/>
      <c r="S113" s="31">
        <f t="shared" si="45"/>
        <v>1</v>
      </c>
      <c r="T113" s="46" t="str">
        <f t="shared" si="29"/>
        <v>NorthBound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30"/>
        <v>https://d0f6bd738d7f1b3e5a7ca70fe4ff75f0.us-east-1.aws.found.io/app/kibana#/discover/Steve-Slow-Train-Analysis-(2080s-and-2083s)?_g=(refreshInterval:(display:Off,pause:!f,section:0,value:0),time:(from:'2017-04-17T14:56:11-0600',mode:absolute,to:'2017-04-17T17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3" s="183" t="str">
        <f t="shared" si="31"/>
        <v>N</v>
      </c>
      <c r="X113" s="183">
        <f t="shared" si="32"/>
        <v>1</v>
      </c>
      <c r="Y113" s="62">
        <f t="shared" si="33"/>
        <v>4.3499999999999997E-2</v>
      </c>
      <c r="Z113" s="62">
        <f t="shared" si="34"/>
        <v>23.331399999999999</v>
      </c>
      <c r="AA113" s="62">
        <f t="shared" si="35"/>
        <v>23.287899999999997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6"/>
        <v>0199-17</v>
      </c>
      <c r="AE113" s="85" t="str">
        <f t="shared" si="37"/>
        <v>aws s3 cp s3://rtdc.mdm.uploadarchive.raw/RTDC4052/ "%USERPROFILE%\AppData\Local\Temp\OnboardLogs"\RTDC4052\2017-04-17 --exclude "*" --recursive --include "*20170417*" &amp; "%USERPROFILE%\Documents\GitHub\mrs-test-scripts\Headless Mode &amp; Sideloading\WalkAndUnGZ.bat" "%USERPROFILE%\AppData\Local\Temp\OnboardLogs"\RTDC4052\2017-04-17 &amp; aws s3 cp s3://rtdc.mdm.uploadarchive.raw/RTDC4052/ "%USERPROFILE%\AppData\Local\Temp\OnboardLogs"\RTDC4052\2017-04-18 --exclude "*" --recursive --include "*20170418*" &amp; "%USERPROFILE%\Documents\GitHub\mrs-test-scripts\Headless Mode &amp; Sideloading\WalkAndUnGZ.bat" "%USERPROFILE%\AppData\Local\Temp\OnboardLogs"\RTDC4052\2017-04-18</v>
      </c>
      <c r="AF113" s="82" t="str">
        <f t="shared" si="38"/>
        <v>"C:\Program Files (x86)\AstroGrep\AstroGrep.exe" /e /r /s /spath="%USERPROFILE%\AppData\Local\Temp\OnboardLogs" /stypes="app*4052*20170417*" /stext=" 22:.+((SYSTEM_STATE.+slice.+state.+changed )|(ment ac)|(multiple cpu faults)|(system.+state.+changed )|(\[timeout)|(PRM\|1\|D)|(kpr)|(kdp)|(\|lc)|(penalty))"</v>
      </c>
      <c r="AG113" s="1" t="str">
        <f t="shared" si="39"/>
        <v>EC</v>
      </c>
      <c r="AH113" s="86" t="str">
        <f t="shared" si="40"/>
        <v>"%USERPROFILE%\Documents\GitHub\eaglep3\Utilities\RefineRTDCRunTimes.py" --tripid 199-17 --locoid 4052 --swversion DE.1.0.9.0 --startMP 204:435 --initTime 2017-04-17T15:56:11 --startdatetime 2017-04-17T16:00:28 --delay 1 --endMP 204:233314 --enddatetime 2017-04-17T16:38:58 --enforcementcount 0 &gt;&gt;C:\Users\stu\Documents\GitHub\eaglep3-reporting\EC\2017-04-17-refined-times.txt</v>
      </c>
      <c r="AI113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{"issue":{"subject":"","project_id":79,"tracker_id":40,"status_id":1,"priority_id":2,"assigned_to_id":23,"start_date":"2017-04-17","description":"","custom_fields":[{"id":1,"name":"Subdivision","value":"EC"},{"id":4,"name":"Milepost","value":"23.3314"},{"id":17,"name":"Train ID","value":"199-17"},{"id":16,"name":"Locomotive ID","value":"4052"},{"id":130,"name":"Impact","value":""},{"id":150,"name":"Time of Event (Mountain Time)","value":"16:38:58"},{"id":151,"name":"Denver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8"/>
      <c r="AL113" s="48"/>
      <c r="AM113" s="150" t="str">
        <f t="shared" si="42"/>
        <v>start /low /b %USERPROFILE%\Documents\GitHub\eaglep3\Utilities\DownloadLogsFromS3.py --loco 4052 --day 2017-04-17</v>
      </c>
      <c r="AN113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22:38:58"},{"id":29,"name":"Sharepoint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783</v>
      </c>
      <c r="B114" s="7">
        <v>4051</v>
      </c>
      <c r="C114" s="21" t="s">
        <v>213</v>
      </c>
      <c r="D114" s="21" t="s">
        <v>476</v>
      </c>
      <c r="E114" s="13">
        <v>42842.701898148145</v>
      </c>
      <c r="F114" s="13">
        <v>42842.705763888887</v>
      </c>
      <c r="G114" s="7">
        <v>1</v>
      </c>
      <c r="H114" s="21" t="s">
        <v>210</v>
      </c>
      <c r="I114" s="13">
        <v>42842.736851851849</v>
      </c>
      <c r="J114" s="7">
        <v>0</v>
      </c>
      <c r="K114" s="97" t="str">
        <f t="shared" si="27"/>
        <v>4051/4052</v>
      </c>
      <c r="L114" s="21" t="str">
        <f>VLOOKUP(A114,'Trips&amp;Operators'!$C$1:$G$99999,5,FALSE)</f>
        <v>BRANDNER MELINDA</v>
      </c>
      <c r="M114" s="6">
        <f t="shared" si="28"/>
        <v>3.1087962961464655E-2</v>
      </c>
      <c r="N114" s="7">
        <f t="shared" si="46"/>
        <v>44.766666664509103</v>
      </c>
      <c r="O114" s="7"/>
      <c r="P114" s="7"/>
      <c r="Q114" s="22"/>
      <c r="R114" s="22"/>
      <c r="S114" s="31">
        <f t="shared" si="45"/>
        <v>1</v>
      </c>
      <c r="T114" s="46" t="str">
        <f t="shared" si="29"/>
        <v>Southbound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30"/>
        <v>https://d0f6bd738d7f1b3e5a7ca70fe4ff75f0.us-east-1.aws.found.io/app/kibana#/discover/Steve-Slow-Train-Analysis-(2080s-and-2083s)?_g=(refreshInterval:(display:Off,pause:!f,section:0,value:0),time:(from:'2017-04-17T15:50:44-0600',mode:absolute,to:'2017-04-17T18:41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4" s="183" t="str">
        <f t="shared" si="31"/>
        <v>N</v>
      </c>
      <c r="X114" s="183">
        <f t="shared" si="32"/>
        <v>1</v>
      </c>
      <c r="Y114" s="62">
        <f t="shared" si="33"/>
        <v>23.299800000000001</v>
      </c>
      <c r="Z114" s="62">
        <f t="shared" si="34"/>
        <v>1.47E-2</v>
      </c>
      <c r="AA114" s="62">
        <f t="shared" si="35"/>
        <v>23.2851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6"/>
        <v>0200-17</v>
      </c>
      <c r="AE114" s="85" t="str">
        <f t="shared" si="37"/>
        <v>aws s3 cp s3://rtdc.mdm.uploadarchive.raw/RTDC4051/ "%USERPROFILE%\AppData\Local\Temp\OnboardLogs"\RTDC4051\2017-04-17 --exclude "*" --recursive --include "*20170417*" &amp; "%USERPROFILE%\Documents\GitHub\mrs-test-scripts\Headless Mode &amp; Sideloading\WalkAndUnGZ.bat" "%USERPROFILE%\AppData\Local\Temp\OnboardLogs"\RTDC4051\2017-04-17 &amp; aws s3 cp s3://rtdc.mdm.uploadarchive.raw/RTDC4051/ "%USERPROFILE%\AppData\Local\Temp\OnboardLogs"\RTDC4051\2017-04-18 --exclude "*" --recursive --include "*20170418*" &amp; "%USERPROFILE%\Documents\GitHub\mrs-test-scripts\Headless Mode &amp; Sideloading\WalkAndUnGZ.bat" "%USERPROFILE%\AppData\Local\Temp\OnboardLogs"\RTDC4051\2017-04-18</v>
      </c>
      <c r="AF114" s="82" t="str">
        <f t="shared" si="38"/>
        <v>"C:\Program Files (x86)\AstroGrep\AstroGrep.exe" /e /r /s /spath="%USERPROFILE%\AppData\Local\Temp\OnboardLogs" /stypes="app*4051*20170417*" /stext=" 23:.+((SYSTEM_STATE.+slice.+state.+changed )|(ment ac)|(multiple cpu faults)|(system.+state.+changed )|(\[timeout)|(PRM\|1\|D)|(kpr)|(kdp)|(\|lc)|(penalty))"</v>
      </c>
      <c r="AG114" s="1" t="str">
        <f t="shared" si="39"/>
        <v>EC</v>
      </c>
      <c r="AH114" s="86" t="str">
        <f t="shared" si="40"/>
        <v>"%USERPROFILE%\Documents\GitHub\eaglep3\Utilities\RefineRTDCRunTimes.py" --tripid 200-17 --locoid 4051 --swversion DE.1.0.9.0 --startMP 204:232998 --initTime 2017-04-17T16:50:44 --startdatetime 2017-04-17T16:56:18 --delay 1 --endMP 204:147 --enddatetime 2017-04-17T17:41:04 --enforcementcount 0 &gt;&gt;C:\Users\stu\Documents\GitHub\eaglep3-reporting\EC\2017-04-17-refined-times.txt</v>
      </c>
      <c r="AI114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{"issue":{"subject":"","project_id":79,"tracker_id":40,"status_id":1,"priority_id":2,"assigned_to_id":23,"start_date":"2017-04-17","description":"","custom_fields":[{"id":1,"name":"Subdivision","value":"EC"},{"id":4,"name":"Milepost","value":"0.0147"},{"id":17,"name":"Train ID","value":"200-17"},{"id":16,"name":"Locomotive ID","value":"4051"},{"id":130,"name":"Impact","value":""},{"id":150,"name":"Time of Event (Mountain Time)","value":"17:41:04"},{"id":151,"name":"Denver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42"/>
        <v>start /low /b %USERPROFILE%\Documents\GitHub\eaglep3\Utilities\DownloadLogsFromS3.py --loco 4051 --day 2017-04-17</v>
      </c>
      <c r="AN114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23:41:04"},{"id":29,"name":"Sharepoint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777</v>
      </c>
      <c r="B115" s="7">
        <v>4032</v>
      </c>
      <c r="C115" s="21" t="s">
        <v>213</v>
      </c>
      <c r="D115" s="21" t="s">
        <v>205</v>
      </c>
      <c r="E115" s="13">
        <v>42842.673750000002</v>
      </c>
      <c r="F115" s="13">
        <v>42842.677268518521</v>
      </c>
      <c r="G115" s="7">
        <v>1</v>
      </c>
      <c r="H115" s="21" t="s">
        <v>484</v>
      </c>
      <c r="I115" s="13">
        <v>42842.702199074076</v>
      </c>
      <c r="J115" s="7">
        <v>0</v>
      </c>
      <c r="K115" s="97" t="str">
        <f t="shared" si="27"/>
        <v>4031/4032</v>
      </c>
      <c r="L115" s="21" t="str">
        <f>VLOOKUP(A115,'Trips&amp;Operators'!$C$1:$G$99999,5,FALSE)</f>
        <v>STEWART MICHAEL</v>
      </c>
      <c r="M115" s="6">
        <f t="shared" si="28"/>
        <v>2.4930555555329192E-2</v>
      </c>
      <c r="N115" s="7">
        <f t="shared" si="46"/>
        <v>35.899999999674037</v>
      </c>
      <c r="O115" s="7"/>
      <c r="P115" s="7"/>
      <c r="Q115" s="22"/>
      <c r="R115" s="22"/>
      <c r="S115" s="31">
        <f t="shared" si="45"/>
        <v>1</v>
      </c>
      <c r="T115" s="46" t="str">
        <f t="shared" si="29"/>
        <v>NorthBound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30"/>
        <v>https://d0f6bd738d7f1b3e5a7ca70fe4ff75f0.us-east-1.aws.found.io/app/kibana#/discover/Steve-Slow-Train-Analysis-(2080s-and-2083s)?_g=(refreshInterval:(display:Off,pause:!f,section:0,value:0),time:(from:'2017-04-17T15:10:12-0600',mode:absolute,to:'2017-04-17T17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5" s="183" t="str">
        <f t="shared" si="31"/>
        <v>N</v>
      </c>
      <c r="X115" s="183">
        <f t="shared" si="32"/>
        <v>1</v>
      </c>
      <c r="Y115" s="62">
        <f t="shared" si="33"/>
        <v>4.5999999999999999E-2</v>
      </c>
      <c r="Z115" s="62">
        <f t="shared" si="34"/>
        <v>23.331</v>
      </c>
      <c r="AA115" s="62">
        <f t="shared" si="35"/>
        <v>23.285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6"/>
        <v>0201-17</v>
      </c>
      <c r="AE115" s="85" t="str">
        <f t="shared" si="37"/>
        <v>aws s3 cp s3://rtdc.mdm.uploadarchive.raw/RTDC4032/ "%USERPROFILE%\AppData\Local\Temp\OnboardLogs"\RTDC4032\2017-04-17 --exclude "*" --recursive --include "*20170417*" &amp; "%USERPROFILE%\Documents\GitHub\mrs-test-scripts\Headless Mode &amp; Sideloading\WalkAndUnGZ.bat" "%USERPROFILE%\AppData\Local\Temp\OnboardLogs"\RTDC4032\2017-04-17 &amp; aws s3 cp s3://rtdc.mdm.uploadarchive.raw/RTDC4032/ "%USERPROFILE%\AppData\Local\Temp\OnboardLogs"\RTDC4032\2017-04-18 --exclude "*" --recursive --include "*20170418*" &amp; "%USERPROFILE%\Documents\GitHub\mrs-test-scripts\Headless Mode &amp; Sideloading\WalkAndUnGZ.bat" "%USERPROFILE%\AppData\Local\Temp\OnboardLogs"\RTDC4032\2017-04-18</v>
      </c>
      <c r="AF115" s="82" t="str">
        <f t="shared" si="38"/>
        <v>"C:\Program Files (x86)\AstroGrep\AstroGrep.exe" /e /r /s /spath="%USERPROFILE%\AppData\Local\Temp\OnboardLogs" /stypes="app*4032*20170417*" /stext=" 22:.+((SYSTEM_STATE.+slice.+state.+changed )|(ment ac)|(multiple cpu faults)|(system.+state.+changed )|(\[timeout)|(PRM\|1\|D)|(kpr)|(kdp)|(\|lc)|(penalty))"</v>
      </c>
      <c r="AG115" s="1" t="str">
        <f t="shared" si="39"/>
        <v>EC</v>
      </c>
      <c r="AH115" s="86" t="str">
        <f t="shared" si="40"/>
        <v>"%USERPROFILE%\Documents\GitHub\eaglep3\Utilities\RefineRTDCRunTimes.py" --tripid 201-17 --locoid 4032 --swversion DE.1.0.9.0 --startMP 204:460 --initTime 2017-04-17T16:10:12 --startdatetime 2017-04-17T16:15:16 --delay 1 --endMP 204:233310 --enddatetime 2017-04-17T16:51:10 --enforcementcount 0 &gt;&gt;C:\Users\stu\Documents\GitHub\eaglep3-reporting\EC\2017-04-17-refined-times.txt</v>
      </c>
      <c r="AI115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{"issue":{"subject":"","project_id":79,"tracker_id":40,"status_id":1,"priority_id":2,"assigned_to_id":23,"start_date":"2017-04-17","description":"","custom_fields":[{"id":1,"name":"Subdivision","value":"EC"},{"id":4,"name":"Milepost","value":"23.331"},{"id":17,"name":"Train ID","value":"201-17"},{"id":16,"name":"Locomotive ID","value":"4032"},{"id":130,"name":"Impact","value":""},{"id":150,"name":"Time of Event (Mountain Time)","value":"16:51:10"},{"id":151,"name":"Denver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42"/>
        <v>start /low /b %USERPROFILE%\Documents\GitHub\eaglep3\Utilities\DownloadLogsFromS3.py --loco 4032 --day 2017-04-17</v>
      </c>
      <c r="AN115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22:51:10"},{"id":29,"name":"Sharepoint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786</v>
      </c>
      <c r="B116" s="7">
        <v>4031</v>
      </c>
      <c r="C116" s="21" t="s">
        <v>213</v>
      </c>
      <c r="D116" s="21" t="s">
        <v>407</v>
      </c>
      <c r="E116" s="13">
        <v>42842.712592592594</v>
      </c>
      <c r="F116" s="13">
        <v>42842.716249999998</v>
      </c>
      <c r="G116" s="7">
        <v>1</v>
      </c>
      <c r="H116" s="21" t="s">
        <v>203</v>
      </c>
      <c r="I116" s="13">
        <v>42842.746481481481</v>
      </c>
      <c r="J116" s="7">
        <v>0</v>
      </c>
      <c r="K116" s="97" t="str">
        <f t="shared" si="27"/>
        <v>4031/4032</v>
      </c>
      <c r="L116" s="21" t="str">
        <f>VLOOKUP(A116,'Trips&amp;Operators'!$C$1:$G$99999,5,FALSE)</f>
        <v>STEWART MICHAEL</v>
      </c>
      <c r="M116" s="6">
        <f t="shared" si="28"/>
        <v>3.0231481483497191E-2</v>
      </c>
      <c r="N116" s="7">
        <f t="shared" si="46"/>
        <v>43.533333336235955</v>
      </c>
      <c r="O116" s="7"/>
      <c r="P116" s="7"/>
      <c r="Q116" s="22"/>
      <c r="R116" s="22"/>
      <c r="S116" s="31">
        <f t="shared" si="45"/>
        <v>1</v>
      </c>
      <c r="T116" s="46" t="str">
        <f t="shared" si="29"/>
        <v>Southbound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30"/>
        <v>https://d0f6bd738d7f1b3e5a7ca70fe4ff75f0.us-east-1.aws.found.io/app/kibana#/discover/Steve-Slow-Train-Analysis-(2080s-and-2083s)?_g=(refreshInterval:(display:Off,pause:!f,section:0,value:0),time:(from:'2017-04-17T16:06:08-0600',mode:absolute,to:'2017-04-17T18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6" s="183" t="str">
        <f t="shared" si="31"/>
        <v>N</v>
      </c>
      <c r="X116" s="183">
        <f t="shared" si="32"/>
        <v>1</v>
      </c>
      <c r="Y116" s="62">
        <f t="shared" si="33"/>
        <v>23.2989</v>
      </c>
      <c r="Z116" s="62">
        <f t="shared" si="34"/>
        <v>1.54E-2</v>
      </c>
      <c r="AA116" s="62">
        <f t="shared" si="35"/>
        <v>23.2835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6"/>
        <v>0202-17</v>
      </c>
      <c r="AE116" s="85" t="str">
        <f t="shared" si="37"/>
        <v>aws s3 cp s3://rtdc.mdm.uploadarchive.raw/RTDC4031/ "%USERPROFILE%\AppData\Local\Temp\OnboardLogs"\RTDC4031\2017-04-17 --exclude "*" --recursive --include "*20170417*" &amp; "%USERPROFILE%\Documents\GitHub\mrs-test-scripts\Headless Mode &amp; Sideloading\WalkAndUnGZ.bat" "%USERPROFILE%\AppData\Local\Temp\OnboardLogs"\RTDC4031\2017-04-17 &amp; aws s3 cp s3://rtdc.mdm.uploadarchive.raw/RTDC4031/ "%USERPROFILE%\AppData\Local\Temp\OnboardLogs"\RTDC4031\2017-04-18 --exclude "*" --recursive --include "*20170418*" &amp; "%USERPROFILE%\Documents\GitHub\mrs-test-scripts\Headless Mode &amp; Sideloading\WalkAndUnGZ.bat" "%USERPROFILE%\AppData\Local\Temp\OnboardLogs"\RTDC4031\2017-04-18</v>
      </c>
      <c r="AF116" s="82" t="str">
        <f t="shared" si="38"/>
        <v>"C:\Program Files (x86)\AstroGrep\AstroGrep.exe" /e /r /s /spath="%USERPROFILE%\AppData\Local\Temp\OnboardLogs" /stypes="app*4031*20170417*" /stext=" 23:.+((SYSTEM_STATE.+slice.+state.+changed )|(ment ac)|(multiple cpu faults)|(system.+state.+changed )|(\[timeout)|(PRM\|1\|D)|(kpr)|(kdp)|(\|lc)|(penalty))"</v>
      </c>
      <c r="AG116" s="1" t="str">
        <f t="shared" si="39"/>
        <v>EC</v>
      </c>
      <c r="AH116" s="86" t="str">
        <f t="shared" si="40"/>
        <v>"%USERPROFILE%\Documents\GitHub\eaglep3\Utilities\RefineRTDCRunTimes.py" --tripid 202-17 --locoid 4031 --swversion DE.1.0.9.0 --startMP 204:232989 --initTime 2017-04-17T17:06:08 --startdatetime 2017-04-17T17:11:24 --delay 1 --endMP 204:154 --enddatetime 2017-04-17T17:54:56 --enforcementcount 0 &gt;&gt;C:\Users\stu\Documents\GitHub\eaglep3-reporting\EC\2017-04-17-refined-times.txt</v>
      </c>
      <c r="AI116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{"issue":{"subject":"","project_id":79,"tracker_id":40,"status_id":1,"priority_id":2,"assigned_to_id":23,"start_date":"2017-04-17","description":"","custom_fields":[{"id":1,"name":"Subdivision","value":"EC"},{"id":4,"name":"Milepost","value":"0.0154"},{"id":17,"name":"Train ID","value":"202-17"},{"id":16,"name":"Locomotive ID","value":"4031"},{"id":130,"name":"Impact","value":""},{"id":150,"name":"Time of Event (Mountain Time)","value":"17:54:56"},{"id":151,"name":"Denver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42"/>
        <v>start /low /b %USERPROFILE%\Documents\GitHub\eaglep3\Utilities\DownloadLogsFromS3.py --loco 4031 --day 2017-04-17</v>
      </c>
      <c r="AN116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23:54:56"},{"id":29,"name":"Sharepoint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779</v>
      </c>
      <c r="B117" s="7">
        <v>4054</v>
      </c>
      <c r="C117" s="21" t="s">
        <v>213</v>
      </c>
      <c r="D117" s="21" t="s">
        <v>864</v>
      </c>
      <c r="E117" s="13">
        <v>42842.684652777774</v>
      </c>
      <c r="F117" s="13">
        <v>42842.687847222223</v>
      </c>
      <c r="G117" s="7">
        <v>1</v>
      </c>
      <c r="H117" s="21" t="s">
        <v>565</v>
      </c>
      <c r="I117" s="13">
        <v>42842.714965277781</v>
      </c>
      <c r="J117" s="7">
        <v>0</v>
      </c>
      <c r="K117" s="97" t="str">
        <f t="shared" si="27"/>
        <v>4053/4054</v>
      </c>
      <c r="L117" s="21" t="str">
        <f>VLOOKUP(A117,'Trips&amp;Operators'!$C$1:$G$99999,5,FALSE)</f>
        <v>DAVIS MICHAEL</v>
      </c>
      <c r="M117" s="6">
        <f t="shared" si="28"/>
        <v>2.7118055557366461E-2</v>
      </c>
      <c r="N117" s="7">
        <f t="shared" si="46"/>
        <v>39.050000002607703</v>
      </c>
      <c r="O117" s="7"/>
      <c r="P117" s="7"/>
      <c r="Q117" s="22"/>
      <c r="R117" s="22"/>
      <c r="S117" s="31">
        <f t="shared" si="45"/>
        <v>1</v>
      </c>
      <c r="T117" s="46" t="str">
        <f t="shared" si="29"/>
        <v>NorthBound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30"/>
        <v>https://d0f6bd738d7f1b3e5a7ca70fe4ff75f0.us-east-1.aws.found.io/app/kibana#/discover/Steve-Slow-Train-Analysis-(2080s-and-2083s)?_g=(refreshInterval:(display:Off,pause:!f,section:0,value:0),time:(from:'2017-04-17T15:25:54-0600',mode:absolute,to:'2017-04-17T18:09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7" s="183" t="str">
        <f t="shared" si="31"/>
        <v>N</v>
      </c>
      <c r="X117" s="183">
        <f t="shared" si="32"/>
        <v>1</v>
      </c>
      <c r="Y117" s="62">
        <f t="shared" si="33"/>
        <v>4.6899999999999997E-2</v>
      </c>
      <c r="Z117" s="62">
        <f t="shared" si="34"/>
        <v>23.331199999999999</v>
      </c>
      <c r="AA117" s="62">
        <f t="shared" si="35"/>
        <v>23.284299999999998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6"/>
        <v>0203-17</v>
      </c>
      <c r="AE117" s="85" t="str">
        <f t="shared" si="37"/>
        <v>aws s3 cp s3://rtdc.mdm.uploadarchive.raw/RTDC4054/ "%USERPROFILE%\AppData\Local\Temp\OnboardLogs"\RTDC4054\2017-04-17 --exclude "*" --recursive --include "*20170417*" &amp; "%USERPROFILE%\Documents\GitHub\mrs-test-scripts\Headless Mode &amp; Sideloading\WalkAndUnGZ.bat" "%USERPROFILE%\AppData\Local\Temp\OnboardLogs"\RTDC4054\2017-04-17 &amp; aws s3 cp s3://rtdc.mdm.uploadarchive.raw/RTDC4054/ "%USERPROFILE%\AppData\Local\Temp\OnboardLogs"\RTDC4054\2017-04-18 --exclude "*" --recursive --include "*20170418*" &amp; "%USERPROFILE%\Documents\GitHub\mrs-test-scripts\Headless Mode &amp; Sideloading\WalkAndUnGZ.bat" "%USERPROFILE%\AppData\Local\Temp\OnboardLogs"\RTDC4054\2017-04-18</v>
      </c>
      <c r="AF117" s="82" t="str">
        <f t="shared" si="38"/>
        <v>"C:\Program Files (x86)\AstroGrep\AstroGrep.exe" /e /r /s /spath="%USERPROFILE%\AppData\Local\Temp\OnboardLogs" /stypes="app*4054*20170417*" /stext=" 23:.+((SYSTEM_STATE.+slice.+state.+changed )|(ment ac)|(multiple cpu faults)|(system.+state.+changed )|(\[timeout)|(PRM\|1\|D)|(kpr)|(kdp)|(\|lc)|(penalty))"</v>
      </c>
      <c r="AG117" s="1" t="str">
        <f t="shared" si="39"/>
        <v>EC</v>
      </c>
      <c r="AH117" s="86" t="str">
        <f t="shared" si="40"/>
        <v>"%USERPROFILE%\Documents\GitHub\eaglep3\Utilities\RefineRTDCRunTimes.py" --tripid 203-17 --locoid 4054 --swversion DE.1.0.9.0 --startMP 204:469 --initTime 2017-04-17T16:25:54 --startdatetime 2017-04-17T16:30:30 --delay 1 --endMP 204:233312 --enddatetime 2017-04-17T17:09:33 --enforcementcount 0 &gt;&gt;C:\Users\stu\Documents\GitHub\eaglep3-reporting\EC\2017-04-17-refined-times.txt</v>
      </c>
      <c r="AI117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{"issue":{"subject":"","project_id":79,"tracker_id":40,"status_id":1,"priority_id":2,"assigned_to_id":23,"start_date":"2017-04-17","description":"","custom_fields":[{"id":1,"name":"Subdivision","value":"EC"},{"id":4,"name":"Milepost","value":"23.3312"},{"id":17,"name":"Train ID","value":"203-17"},{"id":16,"name":"Locomotive ID","value":"4054"},{"id":130,"name":"Impact","value":""},{"id":150,"name":"Time of Event (Mountain Time)","value":"17:09:33"},{"id":151,"name":"Denver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42"/>
        <v>start /low /b %USERPROFILE%\Documents\GitHub\eaglep3\Utilities\DownloadLogsFromS3.py --loco 4054 --day 2017-04-17</v>
      </c>
      <c r="AN117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23:09:33"},{"id":29,"name":"Sharepoint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789</v>
      </c>
      <c r="B118" s="7">
        <v>4053</v>
      </c>
      <c r="C118" s="21" t="s">
        <v>213</v>
      </c>
      <c r="D118" s="21" t="s">
        <v>512</v>
      </c>
      <c r="E118" s="13">
        <v>42842.72351851852</v>
      </c>
      <c r="F118" s="13">
        <v>42842.726689814815</v>
      </c>
      <c r="G118" s="7">
        <v>1</v>
      </c>
      <c r="H118" s="21" t="s">
        <v>477</v>
      </c>
      <c r="I118" s="13">
        <v>42842.754884259259</v>
      </c>
      <c r="J118" s="7">
        <v>0</v>
      </c>
      <c r="K118" s="97" t="str">
        <f t="shared" si="27"/>
        <v>4053/4054</v>
      </c>
      <c r="L118" s="21" t="str">
        <f>VLOOKUP(A118,'Trips&amp;Operators'!$C$1:$G$99999,5,FALSE)</f>
        <v>DAVIS MICHAEL</v>
      </c>
      <c r="M118" s="6">
        <f t="shared" si="28"/>
        <v>2.8194444443215616E-2</v>
      </c>
      <c r="N118" s="7">
        <f t="shared" si="46"/>
        <v>40.599999998230487</v>
      </c>
      <c r="O118" s="7"/>
      <c r="P118" s="7"/>
      <c r="Q118" s="22"/>
      <c r="R118" s="22"/>
      <c r="S118" s="31">
        <f t="shared" si="45"/>
        <v>1</v>
      </c>
      <c r="T118" s="46" t="str">
        <f t="shared" si="29"/>
        <v>Southbound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30"/>
        <v>https://d0f6bd738d7f1b3e5a7ca70fe4ff75f0.us-east-1.aws.found.io/app/kibana#/discover/Steve-Slow-Train-Analysis-(2080s-and-2083s)?_g=(refreshInterval:(display:Off,pause:!f,section:0,value:0),time:(from:'2017-04-17T16:21:52-0600',mode:absolute,to:'2017-04-17T19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8" s="183" t="str">
        <f t="shared" si="31"/>
        <v>N</v>
      </c>
      <c r="X118" s="183">
        <f t="shared" si="32"/>
        <v>1</v>
      </c>
      <c r="Y118" s="62">
        <f t="shared" si="33"/>
        <v>23.3001</v>
      </c>
      <c r="Z118" s="62">
        <f t="shared" si="34"/>
        <v>1.43E-2</v>
      </c>
      <c r="AA118" s="62">
        <f t="shared" si="35"/>
        <v>23.285800000000002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6"/>
        <v>0204-17</v>
      </c>
      <c r="AE118" s="85" t="str">
        <f t="shared" si="37"/>
        <v>aws s3 cp s3://rtdc.mdm.uploadarchive.raw/RTDC4053/ "%USERPROFILE%\AppData\Local\Temp\OnboardLogs"\RTDC4053\2017-04-17 --exclude "*" --recursive --include "*20170417*" &amp; "%USERPROFILE%\Documents\GitHub\mrs-test-scripts\Headless Mode &amp; Sideloading\WalkAndUnGZ.bat" "%USERPROFILE%\AppData\Local\Temp\OnboardLogs"\RTDC4053\2017-04-17 &amp; aws s3 cp s3://rtdc.mdm.uploadarchive.raw/RTDC4053/ "%USERPROFILE%\AppData\Local\Temp\OnboardLogs"\RTDC4053\2017-04-18 --exclude "*" --recursive --include "*20170418*" &amp; "%USERPROFILE%\Documents\GitHub\mrs-test-scripts\Headless Mode &amp; Sideloading\WalkAndUnGZ.bat" "%USERPROFILE%\AppData\Local\Temp\OnboardLogs"\RTDC4053\2017-04-18</v>
      </c>
      <c r="AF118" s="82" t="str">
        <f t="shared" si="38"/>
        <v>"C:\Program Files (x86)\AstroGrep\AstroGrep.exe" /e /r /s /spath="%USERPROFILE%\AppData\Local\Temp\OnboardLogs" /stypes="app*4053*20170418*" /stext=" 00:.+((SYSTEM_STATE.+slice.+state.+changed )|(ment ac)|(multiple cpu faults)|(system.+state.+changed )|(\[timeout)|(PRM\|1\|D)|(kpr)|(kdp)|(\|lc)|(penalty))"</v>
      </c>
      <c r="AG118" s="1" t="str">
        <f t="shared" si="39"/>
        <v>EC</v>
      </c>
      <c r="AH118" s="86" t="str">
        <f t="shared" si="40"/>
        <v>"%USERPROFILE%\Documents\GitHub\eaglep3\Utilities\RefineRTDCRunTimes.py" --tripid 204-17 --locoid 4053 --swversion DE.1.0.9.0 --startMP 204:233001 --initTime 2017-04-17T17:21:52 --startdatetime 2017-04-17T17:26:26 --delay 1 --endMP 204:143 --enddatetime 2017-04-17T18:07:02 --enforcementcount 0 &gt;&gt;C:\Users\stu\Documents\GitHub\eaglep3-reporting\EC\2017-04-17-refined-times.txt</v>
      </c>
      <c r="AI118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{"issue":{"subject":"","project_id":79,"tracker_id":40,"status_id":1,"priority_id":2,"assigned_to_id":23,"start_date":"2017-04-17","description":"","custom_fields":[{"id":1,"name":"Subdivision","value":"EC"},{"id":4,"name":"Milepost","value":"0.0143"},{"id":17,"name":"Train ID","value":"204-17"},{"id":16,"name":"Locomotive ID","value":"4053"},{"id":130,"name":"Impact","value":""},{"id":150,"name":"Time of Event (Mountain Time)","value":"18:07:02"},{"id":151,"name":"Denver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42"/>
        <v>start /low /b %USERPROFILE%\Documents\GitHub\eaglep3\Utilities\DownloadLogsFromS3.py --loco 4053 --day 2017-04-17</v>
      </c>
      <c r="AN118" s="159" t="str">
        <f t="shared" si="43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00:07:02"},{"id":29,"name":"Sharepoint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782</v>
      </c>
      <c r="B119" s="7">
        <v>4028</v>
      </c>
      <c r="C119" s="21" t="s">
        <v>213</v>
      </c>
      <c r="D119" s="21" t="s">
        <v>896</v>
      </c>
      <c r="E119" s="13">
        <v>42842.695879629631</v>
      </c>
      <c r="F119" s="13">
        <v>42842.698125000003</v>
      </c>
      <c r="G119" s="7">
        <v>1</v>
      </c>
      <c r="H119" s="21" t="s">
        <v>575</v>
      </c>
      <c r="I119" s="13">
        <v>42842.723599537036</v>
      </c>
      <c r="J119" s="7">
        <v>0</v>
      </c>
      <c r="K119" s="97" t="str">
        <f t="shared" si="27"/>
        <v>4027/4028</v>
      </c>
      <c r="L119" s="21" t="str">
        <f>VLOOKUP(A119,'Trips&amp;Operators'!$C$1:$G$99999,5,FALSE)</f>
        <v>CLARK KATHLEEN</v>
      </c>
      <c r="M119" s="6">
        <f t="shared" si="28"/>
        <v>2.5474537033005618E-2</v>
      </c>
      <c r="N119" s="7">
        <f t="shared" si="46"/>
        <v>36.683333327528089</v>
      </c>
      <c r="O119" s="7"/>
      <c r="P119" s="7"/>
      <c r="Q119" s="22"/>
      <c r="R119" s="22"/>
      <c r="S119" s="31">
        <f t="shared" si="45"/>
        <v>1</v>
      </c>
      <c r="T119" s="46" t="str">
        <f t="shared" si="29"/>
        <v>NorthBound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30"/>
        <v>https://d0f6bd738d7f1b3e5a7ca70fe4ff75f0.us-east-1.aws.found.io/app/kibana#/discover/Steve-Slow-Train-Analysis-(2080s-and-2083s)?_g=(refreshInterval:(display:Off,pause:!f,section:0,value:0),time:(from:'2017-04-17T15:42:04-0600',mode:absolute,to:'2017-04-17T18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9" s="183" t="str">
        <f t="shared" si="31"/>
        <v>N</v>
      </c>
      <c r="X119" s="183">
        <f t="shared" si="32"/>
        <v>1</v>
      </c>
      <c r="Y119" s="62">
        <f t="shared" si="33"/>
        <v>4.9299999999999997E-2</v>
      </c>
      <c r="Z119" s="62">
        <f t="shared" si="34"/>
        <v>23.33</v>
      </c>
      <c r="AA119" s="62">
        <f t="shared" si="35"/>
        <v>23.2807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6"/>
        <v>0205-17</v>
      </c>
      <c r="AE119" s="85" t="str">
        <f t="shared" si="37"/>
        <v>aws s3 cp s3://rtdc.mdm.uploadarchive.raw/RTDC4028/ "%USERPROFILE%\AppData\Local\Temp\OnboardLogs"\RTDC4028\2017-04-17 --exclude "*" --recursive --include "*20170417*" &amp; "%USERPROFILE%\Documents\GitHub\mrs-test-scripts\Headless Mode &amp; Sideloading\WalkAndUnGZ.bat" "%USERPROFILE%\AppData\Local\Temp\OnboardLogs"\RTDC4028\2017-04-17 &amp; aws s3 cp s3://rtdc.mdm.uploadarchive.raw/RTDC4028/ "%USERPROFILE%\AppData\Local\Temp\OnboardLogs"\RTDC4028\2017-04-18 --exclude "*" --recursive --include "*20170418*" &amp; "%USERPROFILE%\Documents\GitHub\mrs-test-scripts\Headless Mode &amp; Sideloading\WalkAndUnGZ.bat" "%USERPROFILE%\AppData\Local\Temp\OnboardLogs"\RTDC4028\2017-04-18</v>
      </c>
      <c r="AF119" s="82" t="str">
        <f t="shared" si="38"/>
        <v>"C:\Program Files (x86)\AstroGrep\AstroGrep.exe" /e /r /s /spath="%USERPROFILE%\AppData\Local\Temp\OnboardLogs" /stypes="app*4028*20170417*" /stext=" 23:.+((SYSTEM_STATE.+slice.+state.+changed )|(ment ac)|(multiple cpu faults)|(system.+state.+changed )|(\[timeout)|(PRM\|1\|D)|(kpr)|(kdp)|(\|lc)|(penalty))"</v>
      </c>
      <c r="AG119" s="1" t="str">
        <f t="shared" si="39"/>
        <v>EC</v>
      </c>
      <c r="AH119" s="86" t="str">
        <f t="shared" si="40"/>
        <v>"%USERPROFILE%\Documents\GitHub\eaglep3\Utilities\RefineRTDCRunTimes.py" --tripid 205-17 --locoid 4028 --swversion DE.1.0.9.0 --startMP 204:493 --initTime 2017-04-17T16:42:04 --startdatetime 2017-04-17T16:45:18 --delay 1 --endMP 204:233300 --enddatetime 2017-04-17T17:21:59 --enforcementcount 0 &gt;&gt;C:\Users\stu\Documents\GitHub\eaglep3-reporting\EC\2017-04-17-refined-times.txt</v>
      </c>
      <c r="AI119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{"issue":{"subject":"","project_id":79,"tracker_id":40,"status_id":1,"priority_id":2,"assigned_to_id":23,"start_date":"2017-04-17","description":"","custom_fields":[{"id":1,"name":"Subdivision","value":"EC"},{"id":4,"name":"Milepost","value":"23.33"},{"id":17,"name":"Train ID","value":"205-17"},{"id":16,"name":"Locomotive ID","value":"4028"},{"id":130,"name":"Impact","value":""},{"id":150,"name":"Time of Event (Mountain Time)","value":"17:21:59"},{"id":151,"name":"Denver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42"/>
        <v>start /low /b %USERPROFILE%\Documents\GitHub\eaglep3\Utilities\DownloadLogsFromS3.py --loco 4028 --day 2017-04-17</v>
      </c>
      <c r="AN119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23:21:59"},{"id":29,"name":"Sharepoint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626</v>
      </c>
      <c r="B120" s="7">
        <v>4027</v>
      </c>
      <c r="C120" s="21" t="s">
        <v>213</v>
      </c>
      <c r="D120" s="21" t="s">
        <v>897</v>
      </c>
      <c r="E120" s="13">
        <v>42842.753263888888</v>
      </c>
      <c r="F120" s="13">
        <v>42842.754143518519</v>
      </c>
      <c r="G120" s="7">
        <v>1</v>
      </c>
      <c r="H120" s="21" t="s">
        <v>898</v>
      </c>
      <c r="I120" s="13">
        <v>42842.754999999997</v>
      </c>
      <c r="J120" s="7">
        <v>1</v>
      </c>
      <c r="K120" s="97" t="str">
        <f t="shared" si="27"/>
        <v>4027/4028</v>
      </c>
      <c r="L120" s="21" t="str">
        <f>VLOOKUP(A120,'Trips&amp;Operators'!$C$1:$G$99999,5,FALSE)</f>
        <v>CLARK KATHLEEN</v>
      </c>
      <c r="M120" s="6">
        <f t="shared" si="28"/>
        <v>8.5648147796746343E-4</v>
      </c>
      <c r="N120" s="7"/>
      <c r="O120" s="7"/>
      <c r="P120" s="7">
        <f>24*60*SUM($M120:$M122)</f>
        <v>21.433333335444331</v>
      </c>
      <c r="Q120" s="22"/>
      <c r="R120" s="22" t="s">
        <v>601</v>
      </c>
      <c r="S120" s="31">
        <f>SUM(U120:U122)/IF(AG120="EC",12,1)</f>
        <v>0</v>
      </c>
      <c r="T120" s="46" t="str">
        <f t="shared" si="29"/>
        <v>Southbound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0</v>
      </c>
      <c r="V120" s="182" t="str">
        <f t="shared" si="30"/>
        <v>https://d0f6bd738d7f1b3e5a7ca70fe4ff75f0.us-east-1.aws.found.io/app/kibana#/discover/Steve-Slow-Train-Analysis-(2080s-and-2083s)?_g=(refreshInterval:(display:Off,pause:!f,section:0,value:0),time:(from:'2017-04-17T17:04:42-0600',mode:absolute,to:'2017-04-17T19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0" s="183" t="str">
        <f t="shared" si="31"/>
        <v>Y</v>
      </c>
      <c r="X120" s="183">
        <f t="shared" si="32"/>
        <v>1</v>
      </c>
      <c r="Y120" s="62">
        <f t="shared" si="33"/>
        <v>12.786300000000001</v>
      </c>
      <c r="Z120" s="62">
        <f t="shared" si="34"/>
        <v>12.645300000000001</v>
      </c>
      <c r="AA120" s="62">
        <f t="shared" si="35"/>
        <v>0.14100000000000001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6"/>
        <v>0206-17</v>
      </c>
      <c r="AE120" s="85" t="str">
        <f t="shared" si="37"/>
        <v>aws s3 cp s3://rtdc.mdm.uploadarchive.raw/RTDC4027/ "%USERPROFILE%\AppData\Local\Temp\OnboardLogs"\RTDC4027\2017-04-17 --exclude "*" --recursive --include "*20170417*" &amp; "%USERPROFILE%\Documents\GitHub\mrs-test-scripts\Headless Mode &amp; Sideloading\WalkAndUnGZ.bat" "%USERPROFILE%\AppData\Local\Temp\OnboardLogs"\RTDC4027\2017-04-17 &amp; aws s3 cp s3://rtdc.mdm.uploadarchive.raw/RTDC4027/ "%USERPROFILE%\AppData\Local\Temp\OnboardLogs"\RTDC4027\2017-04-18 --exclude "*" --recursive --include "*20170418*" &amp; "%USERPROFILE%\Documents\GitHub\mrs-test-scripts\Headless Mode &amp; Sideloading\WalkAndUnGZ.bat" "%USERPROFILE%\AppData\Local\Temp\OnboardLogs"\RTDC4027\2017-04-18</v>
      </c>
      <c r="AF120" s="82" t="str">
        <f t="shared" si="38"/>
        <v>"C:\Program Files (x86)\AstroGrep\AstroGrep.exe" /e /r /s /spath="%USERPROFILE%\AppData\Local\Temp\OnboardLogs" /stypes="app*4027*20170418*" /stext=" 00:.+((SYSTEM_STATE.+slice.+state.+changed )|(ment ac)|(multiple cpu faults)|(system.+state.+changed )|(\[timeout)|(PRM\|1\|D)|(kpr)|(kdp)|(\|lc)|(penalty))"</v>
      </c>
      <c r="AG120" s="1" t="str">
        <f t="shared" si="39"/>
        <v>EC</v>
      </c>
      <c r="AH120" s="86" t="str">
        <f t="shared" si="40"/>
        <v>"%USERPROFILE%\Documents\GitHub\eaglep3\Utilities\RefineRTDCRunTimes.py" --tripid 206-17 --locoid 4027 --swversion DE.1.0.9.0 --startMP 204:127863 --initTime 2017-04-17T18:04:42 --startdatetime 2017-04-17T18:05:58 --delay 1 --endMP 204:126453 --enddatetime 2017-04-17T18:07:12 --enforcementcount 1 &gt;&gt;C:\Users\stu\Documents\GitHub\eaglep3-reporting\EC\2017-04-17-refined-times.txt</v>
      </c>
      <c r="AI120" s="104" t="str">
        <f t="shared" si="41"/>
        <v>echo {"issue":{"subject":"Wi-MAX data drop","project_id":79,"tracker_id":40,"status_id":1,"priority_id":2,"assigned_to_id":23,"start_date":"2017-04-17","description":"","custom_fields":[{"id":1,"name":"Subdivision","value":"EC"},{"id":4,"name":"Milepost","value":"12.6453"},{"id":17,"name":"Train ID","value":"206-17"},{"id":16,"name":"Locomotive ID","value":"4027"},{"id":130,"name":"Impact","value":""},{"id":150,"name":"Time of Event (Mountain Time)","value":"18:07:12"},{"id":151,"name":"Denver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42"/>
        <v>start /low /b %USERPROFILE%\Documents\GitHub\eaglep3\Utilities\DownloadLogsFromS3.py --loco 4027 --day 2017-04-17</v>
      </c>
      <c r="AN120" s="159" t="str">
        <f t="shared" si="43"/>
        <v>echo {"issue":{"subject":"Wi-MAX data drop","project_id":30,"tracker_id":4,"status_id":1,"priority_id":1,"assigned_to_id":10,"start_date":"2017-04-18","description":"","custom_fields":[{"id":30,"name":"Category","value":"Issue"},{"id":3,"name":"Functional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00:07:12"},{"id":29,"name":"Sharepoint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626</v>
      </c>
      <c r="B121" s="7">
        <v>4027</v>
      </c>
      <c r="C121" s="21" t="s">
        <v>213</v>
      </c>
      <c r="D121" s="21" t="s">
        <v>899</v>
      </c>
      <c r="E121" s="13">
        <v>42842.74</v>
      </c>
      <c r="F121" s="13">
        <v>42842.741770833331</v>
      </c>
      <c r="G121" s="7">
        <v>2</v>
      </c>
      <c r="H121" s="21" t="s">
        <v>900</v>
      </c>
      <c r="I121" s="13">
        <v>42842.750763888886</v>
      </c>
      <c r="J121" s="7">
        <v>1</v>
      </c>
      <c r="K121" s="97" t="str">
        <f t="shared" si="27"/>
        <v>4027/4028</v>
      </c>
      <c r="L121" s="21" t="str">
        <f>VLOOKUP(A121,'Trips&amp;Operators'!$C$1:$G$99999,5,FALSE)</f>
        <v>CLARK KATHLEEN</v>
      </c>
      <c r="M121" s="6">
        <f t="shared" si="28"/>
        <v>8.9930555550381541E-3</v>
      </c>
      <c r="N121" s="7"/>
      <c r="O121" s="7"/>
      <c r="P121" s="7"/>
      <c r="Q121" s="22"/>
      <c r="R121" s="22"/>
      <c r="S121" s="31"/>
      <c r="T121" s="46" t="str">
        <f t="shared" si="29"/>
        <v>Southbound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0</v>
      </c>
      <c r="V121" s="182" t="str">
        <f t="shared" si="30"/>
        <v>https://d0f6bd738d7f1b3e5a7ca70fe4ff75f0.us-east-1.aws.found.io/app/kibana#/discover/Steve-Slow-Train-Analysis-(2080s-and-2083s)?_g=(refreshInterval:(display:Off,pause:!f,section:0,value:0),time:(from:'2017-04-17T16:45:36-0600',mode:absolute,to:'2017-04-17T19:01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1" s="183" t="str">
        <f t="shared" si="31"/>
        <v>Y</v>
      </c>
      <c r="X121" s="183">
        <f t="shared" si="32"/>
        <v>0</v>
      </c>
      <c r="Y121" s="62">
        <f t="shared" si="33"/>
        <v>21.5685</v>
      </c>
      <c r="Z121" s="62">
        <f t="shared" si="34"/>
        <v>15.180999999999999</v>
      </c>
      <c r="AA121" s="62">
        <f t="shared" si="35"/>
        <v>6.3875000000000011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6"/>
        <v>0206-17</v>
      </c>
      <c r="AE121" s="85" t="str">
        <f t="shared" si="37"/>
        <v>aws s3 cp s3://rtdc.mdm.uploadarchive.raw/RTDC4027/ "%USERPROFILE%\AppData\Local\Temp\OnboardLogs"\RTDC4027\2017-04-17 --exclude "*" --recursive --include "*20170417*" &amp; "%USERPROFILE%\Documents\GitHub\mrs-test-scripts\Headless Mode &amp; Sideloading\WalkAndUnGZ.bat" "%USERPROFILE%\AppData\Local\Temp\OnboardLogs"\RTDC4027\2017-04-17 &amp; aws s3 cp s3://rtdc.mdm.uploadarchive.raw/RTDC4027/ "%USERPROFILE%\AppData\Local\Temp\OnboardLogs"\RTDC4027\2017-04-18 --exclude "*" --recursive --include "*20170418*" &amp; "%USERPROFILE%\Documents\GitHub\mrs-test-scripts\Headless Mode &amp; Sideloading\WalkAndUnGZ.bat" "%USERPROFILE%\AppData\Local\Temp\OnboardLogs"\RTDC4027\2017-04-18</v>
      </c>
      <c r="AF121" s="82" t="str">
        <f t="shared" si="38"/>
        <v>"C:\Program Files (x86)\AstroGrep\AstroGrep.exe" /e /r /s /spath="%USERPROFILE%\AppData\Local\Temp\OnboardLogs" /stypes="app*4027*20170418*" /stext=" 00:.+((SYSTEM_STATE.+slice.+state.+changed )|(ment ac)|(multiple cpu faults)|(system.+state.+changed )|(\[timeout)|(PRM\|1\|D)|(kpr)|(kdp)|(\|lc)|(penalty))"</v>
      </c>
      <c r="AG121" s="1" t="str">
        <f t="shared" si="39"/>
        <v>EC</v>
      </c>
      <c r="AH121" s="86" t="str">
        <f t="shared" si="40"/>
        <v>"%USERPROFILE%\Documents\GitHub\eaglep3\Utilities\RefineRTDCRunTimes.py" --tripid 206-17 --locoid 4027 --swversion DE.1.0.9.0 --startMP 204:215685 --initTime 2017-04-17T17:45:36 --startdatetime 2017-04-17T17:48:09 --delay 2 --endMP 204:151810 --enddatetime 2017-04-17T18:01:06 --enforcementcount 1 &gt;&gt;C:\Users\stu\Documents\GitHub\eaglep3-reporting\EC\2017-04-17-refined-times.txt</v>
      </c>
      <c r="AI121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{"issue":{"subject":"","project_id":79,"tracker_id":40,"status_id":1,"priority_id":2,"assigned_to_id":23,"start_date":"2017-04-17","description":"","custom_fields":[{"id":1,"name":"Subdivision","value":"EC"},{"id":4,"name":"Milepost","value":"15.181"},{"id":17,"name":"Train ID","value":"206-17"},{"id":16,"name":"Locomotive ID","value":"4027"},{"id":130,"name":"Impact","value":""},{"id":150,"name":"Time of Event (Mountain Time)","value":"18:01:06"},{"id":151,"name":"Denver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42"/>
        <v>start /low /b %USERPROFILE%\Documents\GitHub\eaglep3\Utilities\DownloadLogsFromS3.py --loco 4027 --day 2017-04-17</v>
      </c>
      <c r="AN121" s="159" t="str">
        <f t="shared" si="43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00:01:06"},{"id":29,"name":"Sharepoint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626</v>
      </c>
      <c r="B122" s="7">
        <v>4027</v>
      </c>
      <c r="C122" s="21" t="s">
        <v>213</v>
      </c>
      <c r="D122" s="21" t="s">
        <v>542</v>
      </c>
      <c r="E122" s="13">
        <v>42842.73337962963</v>
      </c>
      <c r="F122" s="13">
        <v>42842.734675925924</v>
      </c>
      <c r="G122" s="7">
        <v>1</v>
      </c>
      <c r="H122" s="21" t="s">
        <v>901</v>
      </c>
      <c r="I122" s="13">
        <v>42842.739710648151</v>
      </c>
      <c r="J122" s="7">
        <v>2</v>
      </c>
      <c r="K122" s="97" t="str">
        <f t="shared" si="27"/>
        <v>4027/4028</v>
      </c>
      <c r="L122" s="21" t="str">
        <f>VLOOKUP(A122,'Trips&amp;Operators'!$C$1:$G$99999,5,FALSE)</f>
        <v>CLARK KATHLEEN</v>
      </c>
      <c r="M122" s="6">
        <f t="shared" si="28"/>
        <v>5.0347222277196124E-3</v>
      </c>
      <c r="N122" s="7"/>
      <c r="O122" s="7"/>
      <c r="P122" s="7"/>
      <c r="Q122" s="22"/>
      <c r="R122" s="22"/>
      <c r="S122" s="31"/>
      <c r="T122" s="46" t="str">
        <f t="shared" si="29"/>
        <v>Southbound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0</v>
      </c>
      <c r="V122" s="182" t="str">
        <f t="shared" si="30"/>
        <v>https://d0f6bd738d7f1b3e5a7ca70fe4ff75f0.us-east-1.aws.found.io/app/kibana#/discover/Steve-Slow-Train-Analysis-(2080s-and-2083s)?_g=(refreshInterval:(display:Off,pause:!f,section:0,value:0),time:(from:'2017-04-17T16:36:04-0600',mode:absolute,to:'2017-04-17T18:45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2" s="183" t="str">
        <f t="shared" si="31"/>
        <v>Y</v>
      </c>
      <c r="X122" s="183">
        <f t="shared" si="32"/>
        <v>0</v>
      </c>
      <c r="Y122" s="62">
        <f t="shared" si="33"/>
        <v>23.297899999999998</v>
      </c>
      <c r="Z122" s="62">
        <f t="shared" si="34"/>
        <v>21.743200000000002</v>
      </c>
      <c r="AA122" s="62">
        <f t="shared" si="35"/>
        <v>1.5546999999999969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6"/>
        <v>0206-17</v>
      </c>
      <c r="AE122" s="85" t="str">
        <f t="shared" si="37"/>
        <v>aws s3 cp s3://rtdc.mdm.uploadarchive.raw/RTDC4027/ "%USERPROFILE%\AppData\Local\Temp\OnboardLogs"\RTDC4027\2017-04-17 --exclude "*" --recursive --include "*20170417*" &amp; "%USERPROFILE%\Documents\GitHub\mrs-test-scripts\Headless Mode &amp; Sideloading\WalkAndUnGZ.bat" "%USERPROFILE%\AppData\Local\Temp\OnboardLogs"\RTDC4027\2017-04-17 &amp; aws s3 cp s3://rtdc.mdm.uploadarchive.raw/RTDC4027/ "%USERPROFILE%\AppData\Local\Temp\OnboardLogs"\RTDC4027\2017-04-18 --exclude "*" --recursive --include "*20170418*" &amp; "%USERPROFILE%\Documents\GitHub\mrs-test-scripts\Headless Mode &amp; Sideloading\WalkAndUnGZ.bat" "%USERPROFILE%\AppData\Local\Temp\OnboardLogs"\RTDC4027\2017-04-18</v>
      </c>
      <c r="AF122" s="82" t="str">
        <f t="shared" si="38"/>
        <v>"C:\Program Files (x86)\AstroGrep\AstroGrep.exe" /e /r /s /spath="%USERPROFILE%\AppData\Local\Temp\OnboardLogs" /stypes="app*4027*20170417*" /stext=" 23:.+((SYSTEM_STATE.+slice.+state.+changed )|(ment ac)|(multiple cpu faults)|(system.+state.+changed )|(\[timeout)|(PRM\|1\|D)|(kpr)|(kdp)|(\|lc)|(penalty))"</v>
      </c>
      <c r="AG122" s="1" t="str">
        <f t="shared" si="39"/>
        <v>EC</v>
      </c>
      <c r="AH122" s="86" t="str">
        <f t="shared" si="40"/>
        <v>"%USERPROFILE%\Documents\GitHub\eaglep3\Utilities\RefineRTDCRunTimes.py" --tripid 206-17 --locoid 4027 --swversion DE.1.0.9.0 --startMP 204:232979 --initTime 2017-04-17T17:36:04 --startdatetime 2017-04-17T17:37:56 --delay 1 --endMP 204:217432 --enddatetime 2017-04-17T17:45:11 --enforcementcount 2 &gt;&gt;C:\Users\stu\Documents\GitHub\eaglep3-reporting\EC\2017-04-17-refined-times.txt</v>
      </c>
      <c r="AI122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{"issue":{"subject":"","project_id":79,"tracker_id":40,"status_id":1,"priority_id":2,"assigned_to_id":23,"start_date":"2017-04-17","description":"","custom_fields":[{"id":1,"name":"Subdivision","value":"EC"},{"id":4,"name":"Milepost","value":"21.7432"},{"id":17,"name":"Train ID","value":"206-17"},{"id":16,"name":"Locomotive ID","value":"4027"},{"id":130,"name":"Impact","value":""},{"id":150,"name":"Time of Event (Mountain Time)","value":"17:45:11"},{"id":151,"name":"Denver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42"/>
        <v>start /low /b %USERPROFILE%\Documents\GitHub\eaglep3\Utilities\DownloadLogsFromS3.py --loco 4027 --day 2017-04-17</v>
      </c>
      <c r="AN122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23:45:11"},{"id":29,"name":"Sharepoint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784</v>
      </c>
      <c r="B123" s="7">
        <v>4046</v>
      </c>
      <c r="C123" s="21" t="s">
        <v>213</v>
      </c>
      <c r="D123" s="21" t="s">
        <v>537</v>
      </c>
      <c r="E123" s="13">
        <v>42842.705370370371</v>
      </c>
      <c r="F123" s="13">
        <v>42842.708483796298</v>
      </c>
      <c r="G123" s="7">
        <v>1</v>
      </c>
      <c r="H123" s="21" t="s">
        <v>902</v>
      </c>
      <c r="I123" s="13">
        <v>42842.733113425929</v>
      </c>
      <c r="J123" s="7">
        <v>0</v>
      </c>
      <c r="K123" s="97" t="str">
        <f t="shared" si="27"/>
        <v>4045/4046</v>
      </c>
      <c r="L123" s="21" t="str">
        <f>VLOOKUP(A123,'Trips&amp;Operators'!$C$1:$G$99999,5,FALSE)</f>
        <v>ROMERO CHAD</v>
      </c>
      <c r="M123" s="6">
        <f t="shared" si="28"/>
        <v>2.4629629631817807E-2</v>
      </c>
      <c r="N123" s="7">
        <f t="shared" ref="N123:N156" si="47">24*60*SUM($M123:$M123)</f>
        <v>35.466666669817641</v>
      </c>
      <c r="O123" s="7"/>
      <c r="P123" s="7"/>
      <c r="Q123" s="22"/>
      <c r="R123" s="22"/>
      <c r="S123" s="31">
        <f t="shared" ref="S123:S157" si="48">SUM(U123:U123)/IF(AG123="EC",12,1)</f>
        <v>1</v>
      </c>
      <c r="T123" s="46" t="str">
        <f t="shared" si="29"/>
        <v>NorthBound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30"/>
        <v>https://d0f6bd738d7f1b3e5a7ca70fe4ff75f0.us-east-1.aws.found.io/app/kibana#/discover/Steve-Slow-Train-Analysis-(2080s-and-2083s)?_g=(refreshInterval:(display:Off,pause:!f,section:0,value:0),time:(from:'2017-04-17T15:55:44-0600',mode:absolute,to:'2017-04-17T18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3" s="183" t="str">
        <f t="shared" si="31"/>
        <v>N</v>
      </c>
      <c r="X123" s="183">
        <f t="shared" si="32"/>
        <v>1</v>
      </c>
      <c r="Y123" s="62">
        <f t="shared" si="33"/>
        <v>4.3299999999999998E-2</v>
      </c>
      <c r="Z123" s="62">
        <f t="shared" si="34"/>
        <v>23.3324</v>
      </c>
      <c r="AA123" s="62">
        <f t="shared" si="35"/>
        <v>23.289100000000001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6"/>
        <v>0207-17</v>
      </c>
      <c r="AE123" s="85" t="str">
        <f t="shared" si="37"/>
        <v>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 &amp; aws s3 cp s3://rtdc.mdm.uploadarchive.raw/RTDC4046/ "%USERPROFILE%\AppData\Local\Temp\OnboardLogs"\RTDC4046\2017-04-18 --exclude "*" --recursive --include "*20170418*" &amp; "%USERPROFILE%\Documents\GitHub\mrs-test-scripts\Headless Mode &amp; Sideloading\WalkAndUnGZ.bat" "%USERPROFILE%\AppData\Local\Temp\OnboardLogs"\RTDC4046\2017-04-18</v>
      </c>
      <c r="AF123" s="82" t="str">
        <f t="shared" si="38"/>
        <v>"C:\Program Files (x86)\AstroGrep\AstroGrep.exe" /e /r /s /spath="%USERPROFILE%\AppData\Local\Temp\OnboardLogs" /stypes="app*4046*20170417*" /stext=" 23:.+((SYSTEM_STATE.+slice.+state.+changed )|(ment ac)|(multiple cpu faults)|(system.+state.+changed )|(\[timeout)|(PRM\|1\|D)|(kpr)|(kdp)|(\|lc)|(penalty))"</v>
      </c>
      <c r="AG123" s="1" t="str">
        <f t="shared" si="39"/>
        <v>EC</v>
      </c>
      <c r="AH123" s="86" t="str">
        <f t="shared" si="40"/>
        <v>"%USERPROFILE%\Documents\GitHub\eaglep3\Utilities\RefineRTDCRunTimes.py" --tripid 207-17 --locoid 4046 --swversion DE.1.0.9.0 --startMP 204:433 --initTime 2017-04-17T16:55:44 --startdatetime 2017-04-17T17:00:13 --delay 1 --endMP 204:233324 --enddatetime 2017-04-17T17:35:41 --enforcementcount 0 &gt;&gt;C:\Users\stu\Documents\GitHub\eaglep3-reporting\EC\2017-04-17-refined-times.txt</v>
      </c>
      <c r="AI123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{"issue":{"subject":"","project_id":79,"tracker_id":40,"status_id":1,"priority_id":2,"assigned_to_id":23,"start_date":"2017-04-17","description":"","custom_fields":[{"id":1,"name":"Subdivision","value":"EC"},{"id":4,"name":"Milepost","value":"23.3324"},{"id":17,"name":"Train ID","value":"207-17"},{"id":16,"name":"Locomotive ID","value":"4046"},{"id":130,"name":"Impact","value":""},{"id":150,"name":"Time of Event (Mountain Time)","value":"17:35:41"},{"id":151,"name":"Denver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42"/>
        <v>start /low /b %USERPROFILE%\Documents\GitHub\eaglep3\Utilities\DownloadLogsFromS3.py --loco 4046 --day 2017-04-17</v>
      </c>
      <c r="AN123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23:35:41"},{"id":29,"name":"Sharepoint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629</v>
      </c>
      <c r="B124" s="7">
        <v>4045</v>
      </c>
      <c r="C124" s="21" t="s">
        <v>213</v>
      </c>
      <c r="D124" s="21" t="s">
        <v>903</v>
      </c>
      <c r="E124" s="13">
        <v>42842.734629629631</v>
      </c>
      <c r="F124" s="13">
        <v>42842.747800925928</v>
      </c>
      <c r="G124" s="7">
        <v>1</v>
      </c>
      <c r="H124" s="21" t="s">
        <v>197</v>
      </c>
      <c r="I124" s="13">
        <v>42842.77715277778</v>
      </c>
      <c r="J124" s="7">
        <v>0</v>
      </c>
      <c r="K124" s="97" t="str">
        <f t="shared" si="27"/>
        <v>4045/4046</v>
      </c>
      <c r="L124" s="21" t="str">
        <f>VLOOKUP(A124,'Trips&amp;Operators'!$C$1:$G$99999,5,FALSE)</f>
        <v>ROMERO CHAD</v>
      </c>
      <c r="M124" s="6">
        <f t="shared" si="28"/>
        <v>2.9351851851970423E-2</v>
      </c>
      <c r="N124" s="7">
        <f t="shared" si="47"/>
        <v>42.266666666837409</v>
      </c>
      <c r="O124" s="7"/>
      <c r="P124" s="7"/>
      <c r="Q124" s="22"/>
      <c r="R124" s="22"/>
      <c r="S124" s="31">
        <f t="shared" si="48"/>
        <v>1</v>
      </c>
      <c r="T124" s="46" t="str">
        <f t="shared" si="29"/>
        <v>Southbound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30"/>
        <v>https://d0f6bd738d7f1b3e5a7ca70fe4ff75f0.us-east-1.aws.found.io/app/kibana#/discover/Steve-Slow-Train-Analysis-(2080s-and-2083s)?_g=(refreshInterval:(display:Off,pause:!f,section:0,value:0),time:(from:'2017-04-17T16:37:52-0600',mode:absolute,to:'2017-04-17T19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4" s="183" t="str">
        <f t="shared" si="31"/>
        <v>N</v>
      </c>
      <c r="X124" s="183">
        <f t="shared" si="32"/>
        <v>1</v>
      </c>
      <c r="Y124" s="62">
        <f t="shared" si="33"/>
        <v>23.302600000000002</v>
      </c>
      <c r="Z124" s="62">
        <f t="shared" si="34"/>
        <v>1.52E-2</v>
      </c>
      <c r="AA124" s="62">
        <f t="shared" si="35"/>
        <v>23.287400000000002</v>
      </c>
      <c r="AB124" s="59" t="str">
        <f>VLOOKUP(A124,Enforcements!$C$7:$K$13,8,0)</f>
        <v>Bulletin (2)</v>
      </c>
      <c r="AC124" s="55" t="str">
        <f>VLOOKUP(A124,Enforcements!$C$7:$E$13,3,0)</f>
        <v>GRADE CROSSING</v>
      </c>
      <c r="AD124" s="56" t="str">
        <f t="shared" si="36"/>
        <v>0208-17</v>
      </c>
      <c r="AE124" s="85" t="str">
        <f t="shared" si="37"/>
        <v>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 &amp; aws s3 cp s3://rtdc.mdm.uploadarchive.raw/RTDC4045/ "%USERPROFILE%\AppData\Local\Temp\OnboardLogs"\RTDC4045\2017-04-18 --exclude "*" --recursive --include "*20170418*" &amp; "%USERPROFILE%\Documents\GitHub\mrs-test-scripts\Headless Mode &amp; Sideloading\WalkAndUnGZ.bat" "%USERPROFILE%\AppData\Local\Temp\OnboardLogs"\RTDC4045\2017-04-18</v>
      </c>
      <c r="AF124" s="82" t="str">
        <f t="shared" si="38"/>
        <v>"C:\Program Files (x86)\AstroGrep\AstroGrep.exe" /e /r /s /spath="%USERPROFILE%\AppData\Local\Temp\OnboardLogs" /stypes="app*4045*20170418*" /stext=" 00:.+((SYSTEM_STATE.+slice.+state.+changed )|(ment ac)|(multiple cpu faults)|(system.+state.+changed )|(\[timeout)|(PRM\|1\|D)|(kpr)|(kdp)|(\|lc)|(penalty))"</v>
      </c>
      <c r="AG124" s="1" t="str">
        <f t="shared" si="39"/>
        <v>EC</v>
      </c>
      <c r="AH124" s="86" t="str">
        <f t="shared" si="40"/>
        <v>"%USERPROFILE%\Documents\GitHub\eaglep3\Utilities\RefineRTDCRunTimes.py" --tripid 208-17 --locoid 4045 --swversion DE.1.0.9.0 --startMP 204:233026 --initTime 2017-04-17T17:37:52 --startdatetime 2017-04-17T17:56:50 --delay 1 --endMP 204:152 --enddatetime 2017-04-17T18:39:06 --enforcementcount 0 &gt;&gt;C:\Users\stu\Documents\GitHub\eaglep3-reporting\EC\2017-04-17-refined-times.txt</v>
      </c>
      <c r="AI124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{"issue":{"subject":"","project_id":79,"tracker_id":40,"status_id":1,"priority_id":2,"assigned_to_id":23,"start_date":"2017-04-17","description":"","custom_fields":[{"id":1,"name":"Subdivision","value":"EC"},{"id":4,"name":"Milepost","value":"0.0152"},{"id":17,"name":"Train ID","value":"208-17"},{"id":16,"name":"Locomotive ID","value":"4045"},{"id":130,"name":"Impact","value":""},{"id":150,"name":"Time of Event (Mountain Time)","value":"18:39:06"},{"id":151,"name":"Denver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42"/>
        <v>start /low /b %USERPROFILE%\Documents\GitHub\eaglep3\Utilities\DownloadLogsFromS3.py --loco 4045 --day 2017-04-17</v>
      </c>
      <c r="AN124" s="159" t="str">
        <f t="shared" si="43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00:39:06"},{"id":29,"name":"Sharepoint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787</v>
      </c>
      <c r="B125" s="7">
        <v>4008</v>
      </c>
      <c r="C125" s="21" t="s">
        <v>213</v>
      </c>
      <c r="D125" s="21" t="s">
        <v>390</v>
      </c>
      <c r="E125" s="13">
        <v>42842.717129629629</v>
      </c>
      <c r="F125" s="13">
        <v>42842.719293981485</v>
      </c>
      <c r="G125" s="7">
        <v>1</v>
      </c>
      <c r="H125" s="21" t="s">
        <v>399</v>
      </c>
      <c r="I125" s="13">
        <v>42842.744791666664</v>
      </c>
      <c r="J125" s="7">
        <v>0</v>
      </c>
      <c r="K125" s="97" t="str">
        <f t="shared" si="27"/>
        <v>4007/4008</v>
      </c>
      <c r="L125" s="21" t="str">
        <f>VLOOKUP(A125,'Trips&amp;Operators'!$C$1:$G$99999,5,FALSE)</f>
        <v>CHANDLER KELVIN</v>
      </c>
      <c r="M125" s="6">
        <f t="shared" si="28"/>
        <v>2.5497685179288965E-2</v>
      </c>
      <c r="N125" s="7">
        <f t="shared" si="47"/>
        <v>36.716666658176109</v>
      </c>
      <c r="O125" s="7"/>
      <c r="P125" s="7"/>
      <c r="Q125" s="22"/>
      <c r="R125" s="22"/>
      <c r="S125" s="31">
        <f t="shared" si="48"/>
        <v>1</v>
      </c>
      <c r="T125" s="46" t="str">
        <f t="shared" si="29"/>
        <v>NorthBound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30"/>
        <v>https://d0f6bd738d7f1b3e5a7ca70fe4ff75f0.us-east-1.aws.found.io/app/kibana#/discover/Steve-Slow-Train-Analysis-(2080s-and-2083s)?_g=(refreshInterval:(display:Off,pause:!f,section:0,value:0),time:(from:'2017-04-17T16:12:40-0600',mode:absolute,to:'2017-04-17T18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5" s="183" t="str">
        <f t="shared" si="31"/>
        <v>N</v>
      </c>
      <c r="X125" s="183">
        <f t="shared" si="32"/>
        <v>1</v>
      </c>
      <c r="Y125" s="62">
        <f t="shared" si="33"/>
        <v>4.4900000000000002E-2</v>
      </c>
      <c r="Z125" s="62">
        <f t="shared" si="34"/>
        <v>23.329499999999999</v>
      </c>
      <c r="AA125" s="62">
        <f t="shared" si="35"/>
        <v>23.284600000000001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6"/>
        <v>0209-17</v>
      </c>
      <c r="AE125" s="85" t="str">
        <f t="shared" si="37"/>
        <v>aws s3 cp s3://rtdc.mdm.uploadarchive.raw/RTDC4008/ "%USERPROFILE%\AppData\Local\Temp\OnboardLogs"\RTDC4008\2017-04-17 --exclude "*" --recursive --include "*20170417*" &amp; "%USERPROFILE%\Documents\GitHub\mrs-test-scripts\Headless Mode &amp; Sideloading\WalkAndUnGZ.bat" "%USERPROFILE%\AppData\Local\Temp\OnboardLogs"\RTDC4008\2017-04-17 &amp; aws s3 cp s3://rtdc.mdm.uploadarchive.raw/RTDC4008/ "%USERPROFILE%\AppData\Local\Temp\OnboardLogs"\RTDC4008\2017-04-18 --exclude "*" --recursive --include "*20170418*" &amp; "%USERPROFILE%\Documents\GitHub\mrs-test-scripts\Headless Mode &amp; Sideloading\WalkAndUnGZ.bat" "%USERPROFILE%\AppData\Local\Temp\OnboardLogs"\RTDC4008\2017-04-18</v>
      </c>
      <c r="AF125" s="82" t="str">
        <f t="shared" si="38"/>
        <v>"C:\Program Files (x86)\AstroGrep\AstroGrep.exe" /e /r /s /spath="%USERPROFILE%\AppData\Local\Temp\OnboardLogs" /stypes="app*4008*20170417*" /stext=" 23:.+((SYSTEM_STATE.+slice.+state.+changed )|(ment ac)|(multiple cpu faults)|(system.+state.+changed )|(\[timeout)|(PRM\|1\|D)|(kpr)|(kdp)|(\|lc)|(penalty))"</v>
      </c>
      <c r="AG125" s="1" t="str">
        <f t="shared" si="39"/>
        <v>EC</v>
      </c>
      <c r="AH125" s="86" t="str">
        <f t="shared" si="40"/>
        <v>"%USERPROFILE%\Documents\GitHub\eaglep3\Utilities\RefineRTDCRunTimes.py" --tripid 209-17 --locoid 4008 --swversion DE.1.0.9.0 --startMP 204:449 --initTime 2017-04-17T17:12:40 --startdatetime 2017-04-17T17:15:47 --delay 1 --endMP 204:233295 --enddatetime 2017-04-17T17:52:30 --enforcementcount 0 &gt;&gt;C:\Users\stu\Documents\GitHub\eaglep3-reporting\EC\2017-04-17-refined-times.txt</v>
      </c>
      <c r="AI125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{"issue":{"subject":"","project_id":79,"tracker_id":40,"status_id":1,"priority_id":2,"assigned_to_id":23,"start_date":"2017-04-17","description":"","custom_fields":[{"id":1,"name":"Subdivision","value":"EC"},{"id":4,"name":"Milepost","value":"23.3295"},{"id":17,"name":"Train ID","value":"209-17"},{"id":16,"name":"Locomotive ID","value":"4008"},{"id":130,"name":"Impact","value":""},{"id":150,"name":"Time of Event (Mountain Time)","value":"17:52:30"},{"id":151,"name":"Denver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42"/>
        <v>start /low /b %USERPROFILE%\Documents\GitHub\eaglep3\Utilities\DownloadLogsFromS3.py --loco 4008 --day 2017-04-17</v>
      </c>
      <c r="AN125" s="159" t="str">
        <f t="shared" si="43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23:52:30"},{"id":29,"name":"Sharepoint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795</v>
      </c>
      <c r="B126" s="7">
        <v>4007</v>
      </c>
      <c r="C126" s="21" t="s">
        <v>213</v>
      </c>
      <c r="D126" s="21" t="s">
        <v>534</v>
      </c>
      <c r="E126" s="13">
        <v>42842.756643518522</v>
      </c>
      <c r="F126" s="13">
        <v>42842.757905092592</v>
      </c>
      <c r="G126" s="7">
        <v>1</v>
      </c>
      <c r="H126" s="21" t="s">
        <v>904</v>
      </c>
      <c r="I126" s="13">
        <v>42842.789537037039</v>
      </c>
      <c r="J126" s="7">
        <v>0</v>
      </c>
      <c r="K126" s="97" t="str">
        <f t="shared" si="27"/>
        <v>4007/4008</v>
      </c>
      <c r="L126" s="21" t="str">
        <f>VLOOKUP(A126,'Trips&amp;Operators'!$C$1:$G$99999,5,FALSE)</f>
        <v>CHANDLER KELVIN</v>
      </c>
      <c r="M126" s="6">
        <f t="shared" si="28"/>
        <v>3.1631944446417037E-2</v>
      </c>
      <c r="N126" s="7">
        <f t="shared" si="47"/>
        <v>45.550000002840534</v>
      </c>
      <c r="O126" s="7"/>
      <c r="P126" s="7"/>
      <c r="Q126" s="22"/>
      <c r="R126" s="22"/>
      <c r="S126" s="31">
        <f t="shared" si="48"/>
        <v>1</v>
      </c>
      <c r="T126" s="46" t="str">
        <f t="shared" si="29"/>
        <v>Southbound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30"/>
        <v>https://d0f6bd738d7f1b3e5a7ca70fe4ff75f0.us-east-1.aws.found.io/app/kibana#/discover/Steve-Slow-Train-Analysis-(2080s-and-2083s)?_g=(refreshInterval:(display:Off,pause:!f,section:0,value:0),time:(from:'2017-04-17T17:09:34-0600',mode:absolute,to:'2017-04-17T19:56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6" s="183" t="str">
        <f t="shared" si="31"/>
        <v>N</v>
      </c>
      <c r="X126" s="183">
        <f t="shared" si="32"/>
        <v>1</v>
      </c>
      <c r="Y126" s="62">
        <f t="shared" si="33"/>
        <v>23.2987</v>
      </c>
      <c r="Z126" s="62">
        <f t="shared" si="34"/>
        <v>1.72E-2</v>
      </c>
      <c r="AA126" s="62">
        <f t="shared" si="35"/>
        <v>23.281500000000001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6"/>
        <v>0210-17</v>
      </c>
      <c r="AE126" s="85" t="str">
        <f t="shared" si="37"/>
        <v>aws s3 cp s3://rtdc.mdm.uploadarchive.raw/RTDC4007/ "%USERPROFILE%\AppData\Local\Temp\OnboardLogs"\RTDC4007\2017-04-17 --exclude "*" --recursive --include "*20170417*" &amp; "%USERPROFILE%\Documents\GitHub\mrs-test-scripts\Headless Mode &amp; Sideloading\WalkAndUnGZ.bat" "%USERPROFILE%\AppData\Local\Temp\OnboardLogs"\RTDC4007\2017-04-17 &amp; aws s3 cp s3://rtdc.mdm.uploadarchive.raw/RTDC4007/ "%USERPROFILE%\AppData\Local\Temp\OnboardLogs"\RTDC4007\2017-04-18 --exclude "*" --recursive --include "*20170418*" &amp; "%USERPROFILE%\Documents\GitHub\mrs-test-scripts\Headless Mode &amp; Sideloading\WalkAndUnGZ.bat" "%USERPROFILE%\AppData\Local\Temp\OnboardLogs"\RTDC4007\2017-04-18</v>
      </c>
      <c r="AF126" s="82" t="str">
        <f t="shared" si="38"/>
        <v>"C:\Program Files (x86)\AstroGrep\AstroGrep.exe" /e /r /s /spath="%USERPROFILE%\AppData\Local\Temp\OnboardLogs" /stypes="app*4007*20170418*" /stext=" 00:.+((SYSTEM_STATE.+slice.+state.+changed )|(ment ac)|(multiple cpu faults)|(system.+state.+changed )|(\[timeout)|(PRM\|1\|D)|(kpr)|(kdp)|(\|lc)|(penalty))"</v>
      </c>
      <c r="AG126" s="1" t="str">
        <f t="shared" si="39"/>
        <v>EC</v>
      </c>
      <c r="AH126" s="86" t="str">
        <f t="shared" si="40"/>
        <v>"%USERPROFILE%\Documents\GitHub\eaglep3\Utilities\RefineRTDCRunTimes.py" --tripid 210-17 --locoid 4007 --swversion DE.1.0.9.0 --startMP 204:232987 --initTime 2017-04-17T18:09:34 --startdatetime 2017-04-17T18:11:23 --delay 1 --endMP 204:172 --enddatetime 2017-04-17T18:56:56 --enforcementcount 0 &gt;&gt;C:\Users\stu\Documents\GitHub\eaglep3-reporting\EC\2017-04-17-refined-times.txt</v>
      </c>
      <c r="AI126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{"issue":{"subject":"","project_id":79,"tracker_id":40,"status_id":1,"priority_id":2,"assigned_to_id":23,"start_date":"2017-04-17","description":"","custom_fields":[{"id":1,"name":"Subdivision","value":"EC"},{"id":4,"name":"Milepost","value":"0.0172"},{"id":17,"name":"Train ID","value":"210-17"},{"id":16,"name":"Locomotive ID","value":"4007"},{"id":130,"name":"Impact","value":""},{"id":150,"name":"Time of Event (Mountain Time)","value":"18:56:56"},{"id":151,"name":"Denver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42"/>
        <v>start /low /b %USERPROFILE%\Documents\GitHub\eaglep3\Utilities\DownloadLogsFromS3.py --loco 4007 --day 2017-04-17</v>
      </c>
      <c r="AN126" s="159" t="str">
        <f t="shared" si="43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00:56:56"},{"id":29,"name":"Sharepoint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625</v>
      </c>
      <c r="B127" s="7">
        <v>4002</v>
      </c>
      <c r="C127" s="21" t="s">
        <v>213</v>
      </c>
      <c r="D127" s="21" t="s">
        <v>209</v>
      </c>
      <c r="E127" s="13">
        <v>42842.725787037038</v>
      </c>
      <c r="F127" s="13">
        <v>42842.729479166665</v>
      </c>
      <c r="G127" s="7">
        <v>1</v>
      </c>
      <c r="H127" s="21" t="s">
        <v>399</v>
      </c>
      <c r="I127" s="13">
        <v>42842.757395833331</v>
      </c>
      <c r="J127" s="7">
        <v>0</v>
      </c>
      <c r="K127" s="97" t="str">
        <f t="shared" si="27"/>
        <v>4001/4002</v>
      </c>
      <c r="L127" s="21" t="str">
        <f>VLOOKUP(A127,'Trips&amp;Operators'!$C$1:$G$99999,5,FALSE)</f>
        <v>MACDONALD THOMAS</v>
      </c>
      <c r="M127" s="6">
        <f t="shared" si="28"/>
        <v>2.7916666665987577E-2</v>
      </c>
      <c r="N127" s="7">
        <f t="shared" si="47"/>
        <v>40.199999999022111</v>
      </c>
      <c r="O127" s="7"/>
      <c r="P127" s="7"/>
      <c r="Q127" s="22"/>
      <c r="R127" s="22"/>
      <c r="S127" s="31">
        <f t="shared" si="48"/>
        <v>1</v>
      </c>
      <c r="T127" s="46" t="str">
        <f t="shared" si="29"/>
        <v>NorthBound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30"/>
        <v>https://d0f6bd738d7f1b3e5a7ca70fe4ff75f0.us-east-1.aws.found.io/app/kibana#/discover/Steve-Slow-Train-Analysis-(2080s-and-2083s)?_g=(refreshInterval:(display:Off,pause:!f,section:0,value:0),time:(from:'2017-04-17T16:25:08-0600',mode:absolute,to:'2017-04-17T19:10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7" s="183" t="str">
        <f t="shared" si="31"/>
        <v>N</v>
      </c>
      <c r="X127" s="183">
        <f t="shared" si="32"/>
        <v>1</v>
      </c>
      <c r="Y127" s="62">
        <f t="shared" si="33"/>
        <v>4.5499999999999999E-2</v>
      </c>
      <c r="Z127" s="62">
        <f t="shared" si="34"/>
        <v>23.329499999999999</v>
      </c>
      <c r="AA127" s="62">
        <f t="shared" si="35"/>
        <v>23.283999999999999</v>
      </c>
      <c r="AB127" s="59" t="str">
        <f>VLOOKUP(A127,Enforcements!$C$7:$K$13,8,0)</f>
        <v>Bulletin (2)</v>
      </c>
      <c r="AC127" s="55" t="str">
        <f>VLOOKUP(A127,Enforcements!$C$7:$E$13,3,0)</f>
        <v>GRADE CROSSING</v>
      </c>
      <c r="AD127" s="56" t="str">
        <f t="shared" si="36"/>
        <v>0211-17</v>
      </c>
      <c r="AE127" s="85" t="str">
        <f t="shared" si="37"/>
        <v>aws s3 cp s3://rtdc.mdm.uploadarchive.raw/RTDC4002/ "%USERPROFILE%\AppData\Local\Temp\OnboardLogs"\RTDC4002\2017-04-17 --exclude "*" --recursive --include "*20170417*" &amp; "%USERPROFILE%\Documents\GitHub\mrs-test-scripts\Headless Mode &amp; Sideloading\WalkAndUnGZ.bat" "%USERPROFILE%\AppData\Local\Temp\OnboardLogs"\RTDC4002\2017-04-17 &amp; aws s3 cp s3://rtdc.mdm.uploadarchive.raw/RTDC4002/ "%USERPROFILE%\AppData\Local\Temp\OnboardLogs"\RTDC4002\2017-04-18 --exclude "*" --recursive --include "*20170418*" &amp; "%USERPROFILE%\Documents\GitHub\mrs-test-scripts\Headless Mode &amp; Sideloading\WalkAndUnGZ.bat" "%USERPROFILE%\AppData\Local\Temp\OnboardLogs"\RTDC4002\2017-04-18</v>
      </c>
      <c r="AF127" s="82" t="str">
        <f t="shared" si="38"/>
        <v>"C:\Program Files (x86)\AstroGrep\AstroGrep.exe" /e /r /s /spath="%USERPROFILE%\AppData\Local\Temp\OnboardLogs" /stypes="app*4002*20170418*" /stext=" 00:.+((SYSTEM_STATE.+slice.+state.+changed )|(ment ac)|(multiple cpu faults)|(system.+state.+changed )|(\[timeout)|(PRM\|1\|D)|(kpr)|(kdp)|(\|lc)|(penalty))"</v>
      </c>
      <c r="AG127" s="1" t="str">
        <f t="shared" si="39"/>
        <v>EC</v>
      </c>
      <c r="AH127" s="86" t="str">
        <f t="shared" si="40"/>
        <v>"%USERPROFILE%\Documents\GitHub\eaglep3\Utilities\RefineRTDCRunTimes.py" --tripid 211-17 --locoid 4002 --swversion DE.1.0.9.0 --startMP 204:455 --initTime 2017-04-17T17:25:08 --startdatetime 2017-04-17T17:30:27 --delay 1 --endMP 204:233295 --enddatetime 2017-04-17T18:10:39 --enforcementcount 0 &gt;&gt;C:\Users\stu\Documents\GitHub\eaglep3-reporting\EC\2017-04-17-refined-times.txt</v>
      </c>
      <c r="AI127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{"issue":{"subject":"","project_id":79,"tracker_id":40,"status_id":1,"priority_id":2,"assigned_to_id":23,"start_date":"2017-04-17","description":"","custom_fields":[{"id":1,"name":"Subdivision","value":"EC"},{"id":4,"name":"Milepost","value":"23.3295"},{"id":17,"name":"Train ID","value":"211-17"},{"id":16,"name":"Locomotive ID","value":"4002"},{"id":130,"name":"Impact","value":""},{"id":150,"name":"Time of Event (Mountain Time)","value":"18:10:39"},{"id":151,"name":"Denver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42"/>
        <v>start /low /b %USERPROFILE%\Documents\GitHub\eaglep3\Utilities\DownloadLogsFromS3.py --loco 4002 --day 2017-04-17</v>
      </c>
      <c r="AN127" s="159" t="str">
        <f t="shared" si="43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00:10:39"},{"id":29,"name":"Sharepoint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630</v>
      </c>
      <c r="B128" s="7">
        <v>4001</v>
      </c>
      <c r="C128" s="21" t="s">
        <v>213</v>
      </c>
      <c r="D128" s="21" t="s">
        <v>866</v>
      </c>
      <c r="E128" s="13">
        <v>42842.764421296299</v>
      </c>
      <c r="F128" s="13">
        <v>42842.76834490741</v>
      </c>
      <c r="G128" s="7">
        <v>1</v>
      </c>
      <c r="H128" s="21" t="s">
        <v>905</v>
      </c>
      <c r="I128" s="13">
        <v>42842.797048611108</v>
      </c>
      <c r="J128" s="7">
        <v>0</v>
      </c>
      <c r="K128" s="97" t="str">
        <f t="shared" si="27"/>
        <v>4001/4002</v>
      </c>
      <c r="L128" s="21" t="str">
        <f>VLOOKUP(A128,'Trips&amp;Operators'!$C$1:$G$99999,5,FALSE)</f>
        <v>MACDONALD THOMAS</v>
      </c>
      <c r="M128" s="6">
        <f t="shared" si="28"/>
        <v>2.8703703697829042E-2</v>
      </c>
      <c r="N128" s="7">
        <f t="shared" si="47"/>
        <v>41.33333332487382</v>
      </c>
      <c r="O128" s="7"/>
      <c r="P128" s="7"/>
      <c r="Q128" s="22"/>
      <c r="R128" s="22"/>
      <c r="S128" s="31">
        <f t="shared" si="48"/>
        <v>1</v>
      </c>
      <c r="T128" s="46" t="str">
        <f t="shared" si="29"/>
        <v>Southbound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30"/>
        <v>https://d0f6bd738d7f1b3e5a7ca70fe4ff75f0.us-east-1.aws.found.io/app/kibana#/discover/Steve-Slow-Train-Analysis-(2080s-and-2083s)?_g=(refreshInterval:(display:Off,pause:!f,section:0,value:0),time:(from:'2017-04-17T17:20:46-0600',mode:absolute,to:'2017-04-17T20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8" s="183" t="str">
        <f t="shared" si="31"/>
        <v>N</v>
      </c>
      <c r="X128" s="183">
        <f t="shared" si="32"/>
        <v>1</v>
      </c>
      <c r="Y128" s="62">
        <f t="shared" si="33"/>
        <v>23.295000000000002</v>
      </c>
      <c r="Z128" s="62">
        <f t="shared" si="34"/>
        <v>2.2700000000000001E-2</v>
      </c>
      <c r="AA128" s="62">
        <f t="shared" si="35"/>
        <v>23.272300000000001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6"/>
        <v>0212-17</v>
      </c>
      <c r="AE128" s="85" t="str">
        <f t="shared" si="37"/>
        <v>aws s3 cp s3://rtdc.mdm.uploadarchive.raw/RTDC4001/ "%USERPROFILE%\AppData\Local\Temp\OnboardLogs"\RTDC4001\2017-04-17 --exclude "*" --recursive --include "*20170417*" &amp; "%USERPROFILE%\Documents\GitHub\mrs-test-scripts\Headless Mode &amp; Sideloading\WalkAndUnGZ.bat" "%USERPROFILE%\AppData\Local\Temp\OnboardLogs"\RTDC4001\2017-04-17 &amp; aws s3 cp s3://rtdc.mdm.uploadarchive.raw/RTDC4001/ "%USERPROFILE%\AppData\Local\Temp\OnboardLogs"\RTDC4001\2017-04-18 --exclude "*" --recursive --include "*20170418*" &amp; "%USERPROFILE%\Documents\GitHub\mrs-test-scripts\Headless Mode &amp; Sideloading\WalkAndUnGZ.bat" "%USERPROFILE%\AppData\Local\Temp\OnboardLogs"\RTDC4001\2017-04-18</v>
      </c>
      <c r="AF128" s="82" t="str">
        <f t="shared" si="38"/>
        <v>"C:\Program Files (x86)\AstroGrep\AstroGrep.exe" /e /r /s /spath="%USERPROFILE%\AppData\Local\Temp\OnboardLogs" /stypes="app*4001*20170418*" /stext=" 01:.+((SYSTEM_STATE.+slice.+state.+changed )|(ment ac)|(multiple cpu faults)|(system.+state.+changed )|(\[timeout)|(PRM\|1\|D)|(kpr)|(kdp)|(\|lc)|(penalty))"</v>
      </c>
      <c r="AG128" s="1" t="str">
        <f t="shared" si="39"/>
        <v>EC</v>
      </c>
      <c r="AH128" s="86" t="str">
        <f t="shared" si="40"/>
        <v>"%USERPROFILE%\Documents\GitHub\eaglep3\Utilities\RefineRTDCRunTimes.py" --tripid 212-17 --locoid 4001 --swversion DE.1.0.9.0 --startMP 204:232950 --initTime 2017-04-17T18:20:46 --startdatetime 2017-04-17T18:26:25 --delay 1 --endMP 204:227 --enddatetime 2017-04-17T19:07:45 --enforcementcount 0 &gt;&gt;C:\Users\stu\Documents\GitHub\eaglep3-reporting\EC\2017-04-17-refined-times.txt</v>
      </c>
      <c r="AI128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{"issue":{"subject":"","project_id":79,"tracker_id":40,"status_id":1,"priority_id":2,"assigned_to_id":23,"start_date":"2017-04-17","description":"","custom_fields":[{"id":1,"name":"Subdivision","value":"EC"},{"id":4,"name":"Milepost","value":"0.0227"},{"id":17,"name":"Train ID","value":"212-17"},{"id":16,"name":"Locomotive ID","value":"4001"},{"id":130,"name":"Impact","value":""},{"id":150,"name":"Time of Event (Mountain Time)","value":"19:07:45"},{"id":151,"name":"Denver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42"/>
        <v>start /low /b %USERPROFILE%\Documents\GitHub\eaglep3\Utilities\DownloadLogsFromS3.py --loco 4001 --day 2017-04-17</v>
      </c>
      <c r="AN128" s="159" t="str">
        <f t="shared" si="43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01:07:45"},{"id":29,"name":"Sharepoint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791</v>
      </c>
      <c r="B129" s="7">
        <v>4052</v>
      </c>
      <c r="C129" s="21" t="s">
        <v>213</v>
      </c>
      <c r="D129" s="21" t="s">
        <v>411</v>
      </c>
      <c r="E129" s="13">
        <v>42842.739108796297</v>
      </c>
      <c r="F129" s="13">
        <v>42842.740636574075</v>
      </c>
      <c r="G129" s="7">
        <v>1</v>
      </c>
      <c r="H129" s="21" t="s">
        <v>869</v>
      </c>
      <c r="I129" s="13">
        <v>42842.769699074073</v>
      </c>
      <c r="J129" s="7">
        <v>0</v>
      </c>
      <c r="K129" s="97" t="str">
        <f t="shared" si="27"/>
        <v>4051/4052</v>
      </c>
      <c r="L129" s="21" t="str">
        <f>VLOOKUP(A129,'Trips&amp;Operators'!$C$1:$G$99999,5,FALSE)</f>
        <v>SMITH MICHAEL</v>
      </c>
      <c r="M129" s="6">
        <f t="shared" si="28"/>
        <v>2.9062499997962732E-2</v>
      </c>
      <c r="N129" s="7">
        <f t="shared" si="47"/>
        <v>41.849999997066334</v>
      </c>
      <c r="O129" s="7"/>
      <c r="P129" s="7"/>
      <c r="Q129" s="22"/>
      <c r="R129" s="22"/>
      <c r="S129" s="31">
        <f t="shared" si="48"/>
        <v>1</v>
      </c>
      <c r="T129" s="46" t="str">
        <f t="shared" si="29"/>
        <v>NorthBound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30"/>
        <v>https://d0f6bd738d7f1b3e5a7ca70fe4ff75f0.us-east-1.aws.found.io/app/kibana#/discover/Steve-Slow-Train-Analysis-(2080s-and-2083s)?_g=(refreshInterval:(display:Off,pause:!f,section:0,value:0),time:(from:'2017-04-17T16:44:19-0600',mode:absolute,to:'2017-04-17T19:28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9" s="183" t="str">
        <f t="shared" si="31"/>
        <v>N</v>
      </c>
      <c r="X129" s="183">
        <f t="shared" si="32"/>
        <v>1</v>
      </c>
      <c r="Y129" s="62">
        <f t="shared" si="33"/>
        <v>4.7100000000000003E-2</v>
      </c>
      <c r="Z129" s="62">
        <f t="shared" si="34"/>
        <v>23.331399999999999</v>
      </c>
      <c r="AA129" s="62">
        <f t="shared" si="35"/>
        <v>23.284299999999998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6"/>
        <v>0213-17</v>
      </c>
      <c r="AE129" s="85" t="str">
        <f t="shared" si="37"/>
        <v>aws s3 cp s3://rtdc.mdm.uploadarchive.raw/RTDC4052/ "%USERPROFILE%\AppData\Local\Temp\OnboardLogs"\RTDC4052\2017-04-17 --exclude "*" --recursive --include "*20170417*" &amp; "%USERPROFILE%\Documents\GitHub\mrs-test-scripts\Headless Mode &amp; Sideloading\WalkAndUnGZ.bat" "%USERPROFILE%\AppData\Local\Temp\OnboardLogs"\RTDC4052\2017-04-17 &amp; aws s3 cp s3://rtdc.mdm.uploadarchive.raw/RTDC4052/ "%USERPROFILE%\AppData\Local\Temp\OnboardLogs"\RTDC4052\2017-04-18 --exclude "*" --recursive --include "*20170418*" &amp; "%USERPROFILE%\Documents\GitHub\mrs-test-scripts\Headless Mode &amp; Sideloading\WalkAndUnGZ.bat" "%USERPROFILE%\AppData\Local\Temp\OnboardLogs"\RTDC4052\2017-04-18</v>
      </c>
      <c r="AF129" s="82" t="str">
        <f t="shared" si="38"/>
        <v>"C:\Program Files (x86)\AstroGrep\AstroGrep.exe" /e /r /s /spath="%USERPROFILE%\AppData\Local\Temp\OnboardLogs" /stypes="app*4052*20170418*" /stext=" 00:.+((SYSTEM_STATE.+slice.+state.+changed )|(ment ac)|(multiple cpu faults)|(system.+state.+changed )|(\[timeout)|(PRM\|1\|D)|(kpr)|(kdp)|(\|lc)|(penalty))"</v>
      </c>
      <c r="AG129" s="1" t="str">
        <f t="shared" si="39"/>
        <v>EC</v>
      </c>
      <c r="AH129" s="86" t="str">
        <f t="shared" si="40"/>
        <v>"%USERPROFILE%\Documents\GitHub\eaglep3\Utilities\RefineRTDCRunTimes.py" --tripid 213-17 --locoid 4052 --swversion DE.1.0.9.0 --startMP 204:471 --initTime 2017-04-17T17:44:19 --startdatetime 2017-04-17T17:46:31 --delay 1 --endMP 204:233314 --enddatetime 2017-04-17T18:28:22 --enforcementcount 0 &gt;&gt;C:\Users\stu\Documents\GitHub\eaglep3-reporting\EC\2017-04-17-refined-times.txt</v>
      </c>
      <c r="AI129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{"issue":{"subject":"","project_id":79,"tracker_id":40,"status_id":1,"priority_id":2,"assigned_to_id":23,"start_date":"2017-04-17","description":"","custom_fields":[{"id":1,"name":"Subdivision","value":"EC"},{"id":4,"name":"Milepost","value":"23.3314"},{"id":17,"name":"Train ID","value":"213-17"},{"id":16,"name":"Locomotive ID","value":"4052"},{"id":130,"name":"Impact","value":""},{"id":150,"name":"Time of Event (Mountain Time)","value":"18:28:22"},{"id":151,"name":"Denver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42"/>
        <v>start /low /b %USERPROFILE%\Documents\GitHub\eaglep3\Utilities\DownloadLogsFromS3.py --loco 4052 --day 2017-04-17</v>
      </c>
      <c r="AN129" s="159" t="str">
        <f t="shared" si="43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00:28:22"},{"id":29,"name":"Sharepoint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800</v>
      </c>
      <c r="B130" s="7">
        <v>4051</v>
      </c>
      <c r="C130" s="21" t="s">
        <v>213</v>
      </c>
      <c r="D130" s="21" t="s">
        <v>906</v>
      </c>
      <c r="E130" s="13">
        <v>42842.771215277775</v>
      </c>
      <c r="F130" s="13">
        <v>42842.778680555559</v>
      </c>
      <c r="G130" s="7">
        <v>1</v>
      </c>
      <c r="H130" s="21" t="s">
        <v>511</v>
      </c>
      <c r="I130" s="13">
        <v>42842.805902777778</v>
      </c>
      <c r="J130" s="7">
        <v>0</v>
      </c>
      <c r="K130" s="97" t="str">
        <f t="shared" si="27"/>
        <v>4051/4052</v>
      </c>
      <c r="L130" s="21" t="str">
        <f>VLOOKUP(A130,'Trips&amp;Operators'!$C$1:$G$99999,5,FALSE)</f>
        <v>SMITH MICHAEL</v>
      </c>
      <c r="M130" s="6">
        <f t="shared" si="28"/>
        <v>2.7222222219279502E-2</v>
      </c>
      <c r="N130" s="7">
        <f t="shared" si="47"/>
        <v>39.199999995762482</v>
      </c>
      <c r="O130" s="7"/>
      <c r="P130" s="7"/>
      <c r="Q130" s="22"/>
      <c r="R130" s="22"/>
      <c r="S130" s="31">
        <f t="shared" si="48"/>
        <v>1</v>
      </c>
      <c r="T130" s="46" t="str">
        <f t="shared" si="29"/>
        <v>Southbound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30"/>
        <v>https://d0f6bd738d7f1b3e5a7ca70fe4ff75f0.us-east-1.aws.found.io/app/kibana#/discover/Steve-Slow-Train-Analysis-(2080s-and-2083s)?_g=(refreshInterval:(display:Off,pause:!f,section:0,value:0),time:(from:'2017-04-17T17:30:33-0600',mode:absolute,to:'2017-04-17T20:20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0" s="183" t="str">
        <f t="shared" si="31"/>
        <v>N</v>
      </c>
      <c r="X130" s="183">
        <f t="shared" si="32"/>
        <v>1</v>
      </c>
      <c r="Y130" s="62">
        <f t="shared" si="33"/>
        <v>23.298100000000002</v>
      </c>
      <c r="Z130" s="62">
        <f t="shared" si="34"/>
        <v>1.5599999999999999E-2</v>
      </c>
      <c r="AA130" s="62">
        <f t="shared" si="35"/>
        <v>23.282500000000002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6"/>
        <v>0214-17</v>
      </c>
      <c r="AE130" s="85" t="str">
        <f t="shared" si="37"/>
        <v>aws s3 cp s3://rtdc.mdm.uploadarchive.raw/RTDC4051/ "%USERPROFILE%\AppData\Local\Temp\OnboardLogs"\RTDC4051\2017-04-17 --exclude "*" --recursive --include "*20170417*" &amp; "%USERPROFILE%\Documents\GitHub\mrs-test-scripts\Headless Mode &amp; Sideloading\WalkAndUnGZ.bat" "%USERPROFILE%\AppData\Local\Temp\OnboardLogs"\RTDC4051\2017-04-17 &amp; aws s3 cp s3://rtdc.mdm.uploadarchive.raw/RTDC4051/ "%USERPROFILE%\AppData\Local\Temp\OnboardLogs"\RTDC4051\2017-04-18 --exclude "*" --recursive --include "*20170418*" &amp; "%USERPROFILE%\Documents\GitHub\mrs-test-scripts\Headless Mode &amp; Sideloading\WalkAndUnGZ.bat" "%USERPROFILE%\AppData\Local\Temp\OnboardLogs"\RTDC4051\2017-04-18</v>
      </c>
      <c r="AF130" s="82" t="str">
        <f t="shared" si="38"/>
        <v>"C:\Program Files (x86)\AstroGrep\AstroGrep.exe" /e /r /s /spath="%USERPROFILE%\AppData\Local\Temp\OnboardLogs" /stypes="app*4051*20170418*" /stext=" 01:.+((SYSTEM_STATE.+slice.+state.+changed )|(ment ac)|(multiple cpu faults)|(system.+state.+changed )|(\[timeout)|(PRM\|1\|D)|(kpr)|(kdp)|(\|lc)|(penalty))"</v>
      </c>
      <c r="AG130" s="1" t="str">
        <f t="shared" si="39"/>
        <v>EC</v>
      </c>
      <c r="AH130" s="86" t="str">
        <f t="shared" si="40"/>
        <v>"%USERPROFILE%\Documents\GitHub\eaglep3\Utilities\RefineRTDCRunTimes.py" --tripid 214-17 --locoid 4051 --swversion DE.1.0.9.0 --startMP 204:232981 --initTime 2017-04-17T18:30:33 --startdatetime 2017-04-17T18:41:18 --delay 1 --endMP 204:156 --enddatetime 2017-04-17T19:20:30 --enforcementcount 0 &gt;&gt;C:\Users\stu\Documents\GitHub\eaglep3-reporting\EC\2017-04-17-refined-times.txt</v>
      </c>
      <c r="AI130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{"issue":{"subject":"","project_id":79,"tracker_id":40,"status_id":1,"priority_id":2,"assigned_to_id":23,"start_date":"2017-04-17","description":"","custom_fields":[{"id":1,"name":"Subdivision","value":"EC"},{"id":4,"name":"Milepost","value":"0.0156"},{"id":17,"name":"Train ID","value":"214-17"},{"id":16,"name":"Locomotive ID","value":"4051"},{"id":130,"name":"Impact","value":""},{"id":150,"name":"Time of Event (Mountain Time)","value":"19:20:30"},{"id":151,"name":"Denver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42"/>
        <v>start /low /b %USERPROFILE%\Documents\GitHub\eaglep3\Utilities\DownloadLogsFromS3.py --loco 4051 --day 2017-04-17</v>
      </c>
      <c r="AN130" s="159" t="str">
        <f t="shared" si="43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01:20:30"},{"id":29,"name":"Sharepoint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793</v>
      </c>
      <c r="B131" s="7">
        <v>4032</v>
      </c>
      <c r="C131" s="21" t="s">
        <v>213</v>
      </c>
      <c r="D131" s="21" t="s">
        <v>907</v>
      </c>
      <c r="E131" s="13">
        <v>42842.748136574075</v>
      </c>
      <c r="F131" s="13">
        <v>42842.750578703701</v>
      </c>
      <c r="G131" s="7">
        <v>2</v>
      </c>
      <c r="H131" s="21" t="s">
        <v>526</v>
      </c>
      <c r="I131" s="13">
        <v>42842.778194444443</v>
      </c>
      <c r="J131" s="7">
        <v>0</v>
      </c>
      <c r="K131" s="97" t="str">
        <f t="shared" si="27"/>
        <v>4031/4032</v>
      </c>
      <c r="L131" s="21" t="str">
        <f>VLOOKUP(A131,'Trips&amp;Operators'!$C$1:$G$99999,5,FALSE)</f>
        <v>BRANDNER MELINDA</v>
      </c>
      <c r="M131" s="6">
        <f t="shared" si="28"/>
        <v>2.7615740742476191E-2</v>
      </c>
      <c r="N131" s="7">
        <f t="shared" si="47"/>
        <v>39.766666669165716</v>
      </c>
      <c r="O131" s="7"/>
      <c r="P131" s="7"/>
      <c r="Q131" s="22"/>
      <c r="R131" s="22"/>
      <c r="S131" s="31">
        <f t="shared" si="48"/>
        <v>1</v>
      </c>
      <c r="T131" s="46" t="str">
        <f t="shared" si="29"/>
        <v>NorthBound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30"/>
        <v>https://d0f6bd738d7f1b3e5a7ca70fe4ff75f0.us-east-1.aws.found.io/app/kibana#/discover/Steve-Slow-Train-Analysis-(2080s-and-2083s)?_g=(refreshInterval:(display:Off,pause:!f,section:0,value:0),time:(from:'2017-04-17T16:57:19-0600',mode:absolute,to:'2017-04-17T19:40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1" s="183" t="str">
        <f t="shared" si="31"/>
        <v>N</v>
      </c>
      <c r="X131" s="183">
        <f t="shared" si="32"/>
        <v>1</v>
      </c>
      <c r="Y131" s="62">
        <f t="shared" si="33"/>
        <v>4.1799999999999997E-2</v>
      </c>
      <c r="Z131" s="62">
        <f t="shared" si="34"/>
        <v>23.328900000000001</v>
      </c>
      <c r="AA131" s="62">
        <f t="shared" si="35"/>
        <v>23.287100000000002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6"/>
        <v>0215-17</v>
      </c>
      <c r="AE131" s="85" t="str">
        <f t="shared" si="37"/>
        <v>aws s3 cp s3://rtdc.mdm.uploadarchive.raw/RTDC4032/ "%USERPROFILE%\AppData\Local\Temp\OnboardLogs"\RTDC4032\2017-04-17 --exclude "*" --recursive --include "*20170417*" &amp; "%USERPROFILE%\Documents\GitHub\mrs-test-scripts\Headless Mode &amp; Sideloading\WalkAndUnGZ.bat" "%USERPROFILE%\AppData\Local\Temp\OnboardLogs"\RTDC4032\2017-04-17 &amp; aws s3 cp s3://rtdc.mdm.uploadarchive.raw/RTDC4032/ "%USERPROFILE%\AppData\Local\Temp\OnboardLogs"\RTDC4032\2017-04-18 --exclude "*" --recursive --include "*20170418*" &amp; "%USERPROFILE%\Documents\GitHub\mrs-test-scripts\Headless Mode &amp; Sideloading\WalkAndUnGZ.bat" "%USERPROFILE%\AppData\Local\Temp\OnboardLogs"\RTDC4032\2017-04-18</v>
      </c>
      <c r="AF131" s="82" t="str">
        <f t="shared" si="38"/>
        <v>"C:\Program Files (x86)\AstroGrep\AstroGrep.exe" /e /r /s /spath="%USERPROFILE%\AppData\Local\Temp\OnboardLogs" /stypes="app*4032*20170418*" /stext=" 00:.+((SYSTEM_STATE.+slice.+state.+changed )|(ment ac)|(multiple cpu faults)|(system.+state.+changed )|(\[timeout)|(PRM\|1\|D)|(kpr)|(kdp)|(\|lc)|(penalty))"</v>
      </c>
      <c r="AG131" s="1" t="str">
        <f t="shared" si="39"/>
        <v>EC</v>
      </c>
      <c r="AH131" s="86" t="str">
        <f t="shared" si="40"/>
        <v>"%USERPROFILE%\Documents\GitHub\eaglep3\Utilities\RefineRTDCRunTimes.py" --tripid 215-17 --locoid 4032 --swversion DE.1.0.9.0 --startMP 204:418 --initTime 2017-04-17T17:57:19 --startdatetime 2017-04-17T18:00:50 --delay 2 --endMP 204:233289 --enddatetime 2017-04-17T18:40:36 --enforcementcount 0 &gt;&gt;C:\Users\stu\Documents\GitHub\eaglep3-reporting\EC\2017-04-17-refined-times.txt</v>
      </c>
      <c r="AI131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{"issue":{"subject":"","project_id":79,"tracker_id":40,"status_id":1,"priority_id":2,"assigned_to_id":23,"start_date":"2017-04-17","description":"","custom_fields":[{"id":1,"name":"Subdivision","value":"EC"},{"id":4,"name":"Milepost","value":"23.3289"},{"id":17,"name":"Train ID","value":"215-17"},{"id":16,"name":"Locomotive ID","value":"4032"},{"id":130,"name":"Impact","value":""},{"id":150,"name":"Time of Event (Mountain Time)","value":"18:40:36"},{"id":151,"name":"Denver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42"/>
        <v>start /low /b %USERPROFILE%\Documents\GitHub\eaglep3\Utilities\DownloadLogsFromS3.py --loco 4032 --day 2017-04-17</v>
      </c>
      <c r="AN131" s="159" t="str">
        <f t="shared" si="43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00:40:36"},{"id":29,"name":"Sharepoint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803</v>
      </c>
      <c r="B132" s="7">
        <v>4031</v>
      </c>
      <c r="C132" s="21" t="s">
        <v>213</v>
      </c>
      <c r="D132" s="21" t="s">
        <v>873</v>
      </c>
      <c r="E132" s="13">
        <v>42842.784675925926</v>
      </c>
      <c r="F132" s="13">
        <v>42842.789155092592</v>
      </c>
      <c r="G132" s="7">
        <v>1</v>
      </c>
      <c r="H132" s="21" t="s">
        <v>490</v>
      </c>
      <c r="I132" s="13">
        <v>42842.816678240742</v>
      </c>
      <c r="J132" s="7">
        <v>0</v>
      </c>
      <c r="K132" s="97" t="str">
        <f t="shared" si="27"/>
        <v>4031/4032</v>
      </c>
      <c r="L132" s="21" t="str">
        <f>VLOOKUP(A132,'Trips&amp;Operators'!$C$1:$G$99999,5,FALSE)</f>
        <v>BRANDNER MELINDA</v>
      </c>
      <c r="M132" s="6">
        <f t="shared" si="28"/>
        <v>2.7523148150066845E-2</v>
      </c>
      <c r="N132" s="7">
        <f t="shared" si="47"/>
        <v>39.633333336096257</v>
      </c>
      <c r="O132" s="7"/>
      <c r="P132" s="7"/>
      <c r="Q132" s="22"/>
      <c r="R132" s="22"/>
      <c r="S132" s="31">
        <f t="shared" si="48"/>
        <v>1</v>
      </c>
      <c r="T132" s="46" t="str">
        <f t="shared" si="29"/>
        <v>Southbound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30"/>
        <v>https://d0f6bd738d7f1b3e5a7ca70fe4ff75f0.us-east-1.aws.found.io/app/kibana#/discover/Steve-Slow-Train-Analysis-(2080s-and-2083s)?_g=(refreshInterval:(display:Off,pause:!f,section:0,value:0),time:(from:'2017-04-17T17:49:56-0600',mode:absolute,to:'2017-04-17T20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2" s="183" t="str">
        <f t="shared" si="31"/>
        <v>N</v>
      </c>
      <c r="X132" s="183">
        <f t="shared" si="32"/>
        <v>1</v>
      </c>
      <c r="Y132" s="62">
        <f t="shared" si="33"/>
        <v>23.295500000000001</v>
      </c>
      <c r="Z132" s="62">
        <f t="shared" si="34"/>
        <v>1.3899999999999999E-2</v>
      </c>
      <c r="AA132" s="62">
        <f t="shared" si="35"/>
        <v>23.281600000000001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6"/>
        <v>0216-17</v>
      </c>
      <c r="AE132" s="85" t="str">
        <f t="shared" si="37"/>
        <v>aws s3 cp s3://rtdc.mdm.uploadarchive.raw/RTDC4031/ "%USERPROFILE%\AppData\Local\Temp\OnboardLogs"\RTDC4031\2017-04-17 --exclude "*" --recursive --include "*20170417*" &amp; "%USERPROFILE%\Documents\GitHub\mrs-test-scripts\Headless Mode &amp; Sideloading\WalkAndUnGZ.bat" "%USERPROFILE%\AppData\Local\Temp\OnboardLogs"\RTDC4031\2017-04-17 &amp; aws s3 cp s3://rtdc.mdm.uploadarchive.raw/RTDC4031/ "%USERPROFILE%\AppData\Local\Temp\OnboardLogs"\RTDC4031\2017-04-18 --exclude "*" --recursive --include "*20170418*" &amp; "%USERPROFILE%\Documents\GitHub\mrs-test-scripts\Headless Mode &amp; Sideloading\WalkAndUnGZ.bat" "%USERPROFILE%\AppData\Local\Temp\OnboardLogs"\RTDC4031\2017-04-18</v>
      </c>
      <c r="AF132" s="82" t="str">
        <f t="shared" si="38"/>
        <v>"C:\Program Files (x86)\AstroGrep\AstroGrep.exe" /e /r /s /spath="%USERPROFILE%\AppData\Local\Temp\OnboardLogs" /stypes="app*4031*20170418*" /stext=" 01:.+((SYSTEM_STATE.+slice.+state.+changed )|(ment ac)|(multiple cpu faults)|(system.+state.+changed )|(\[timeout)|(PRM\|1\|D)|(kpr)|(kdp)|(\|lc)|(penalty))"</v>
      </c>
      <c r="AG132" s="1" t="str">
        <f t="shared" si="39"/>
        <v>EC</v>
      </c>
      <c r="AH132" s="86" t="str">
        <f t="shared" si="40"/>
        <v>"%USERPROFILE%\Documents\GitHub\eaglep3\Utilities\RefineRTDCRunTimes.py" --tripid 216-17 --locoid 4031 --swversion DE.1.0.9.0 --startMP 204:232955 --initTime 2017-04-17T18:49:56 --startdatetime 2017-04-17T18:56:23 --delay 1 --endMP 204:139 --enddatetime 2017-04-17T19:36:01 --enforcementcount 0 &gt;&gt;C:\Users\stu\Documents\GitHub\eaglep3-reporting\EC\2017-04-17-refined-times.txt</v>
      </c>
      <c r="AI132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{"issue":{"subject":"","project_id":79,"tracker_id":40,"status_id":1,"priority_id":2,"assigned_to_id":23,"start_date":"2017-04-17","description":"","custom_fields":[{"id":1,"name":"Subdivision","value":"EC"},{"id":4,"name":"Milepost","value":"0.0139"},{"id":17,"name":"Train ID","value":"216-17"},{"id":16,"name":"Locomotive ID","value":"4031"},{"id":130,"name":"Impact","value":""},{"id":150,"name":"Time of Event (Mountain Time)","value":"19:36:01"},{"id":151,"name":"Denver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42"/>
        <v>start /low /b %USERPROFILE%\Documents\GitHub\eaglep3\Utilities\DownloadLogsFromS3.py --loco 4031 --day 2017-04-17</v>
      </c>
      <c r="AN132" s="159" t="str">
        <f t="shared" si="43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01:36:01"},{"id":29,"name":"Sharepoint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796</v>
      </c>
      <c r="B133" s="7">
        <v>4054</v>
      </c>
      <c r="C133" s="21" t="s">
        <v>213</v>
      </c>
      <c r="D133" s="21" t="s">
        <v>481</v>
      </c>
      <c r="E133" s="13">
        <v>42842.756921296299</v>
      </c>
      <c r="F133" s="13">
        <v>42842.760810185187</v>
      </c>
      <c r="G133" s="7">
        <v>1</v>
      </c>
      <c r="H133" s="21" t="s">
        <v>908</v>
      </c>
      <c r="I133" s="13">
        <v>42842.786319444444</v>
      </c>
      <c r="J133" s="7">
        <v>0</v>
      </c>
      <c r="K133" s="97" t="str">
        <f t="shared" si="27"/>
        <v>4053/4054</v>
      </c>
      <c r="L133" s="21" t="str">
        <f>VLOOKUP(A133,'Trips&amp;Operators'!$C$1:$G$99999,5,FALSE)</f>
        <v>STAMBAUGH JAMES</v>
      </c>
      <c r="M133" s="6">
        <f t="shared" si="28"/>
        <v>2.5509259256068617E-2</v>
      </c>
      <c r="N133" s="7">
        <f t="shared" si="47"/>
        <v>36.733333328738809</v>
      </c>
      <c r="O133" s="7"/>
      <c r="P133" s="7"/>
      <c r="Q133" s="22"/>
      <c r="R133" s="22"/>
      <c r="S133" s="31">
        <f t="shared" si="48"/>
        <v>1</v>
      </c>
      <c r="T133" s="46" t="str">
        <f t="shared" si="29"/>
        <v>NorthBound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30"/>
        <v>https://d0f6bd738d7f1b3e5a7ca70fe4ff75f0.us-east-1.aws.found.io/app/kibana#/discover/Steve-Slow-Train-Analysis-(2080s-and-2083s)?_g=(refreshInterval:(display:Off,pause:!f,section:0,value:0),time:(from:'2017-04-17T17:09:58-0600',mode:absolute,to:'2017-04-17T19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3" s="183" t="str">
        <f t="shared" si="31"/>
        <v>N</v>
      </c>
      <c r="X133" s="183">
        <f t="shared" si="32"/>
        <v>1</v>
      </c>
      <c r="Y133" s="62">
        <f t="shared" si="33"/>
        <v>4.4200000000000003E-2</v>
      </c>
      <c r="Z133" s="62">
        <f t="shared" si="34"/>
        <v>23.340800000000002</v>
      </c>
      <c r="AA133" s="62">
        <f t="shared" si="35"/>
        <v>23.296600000000002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6"/>
        <v>0217-17</v>
      </c>
      <c r="AE133" s="85" t="str">
        <f t="shared" si="37"/>
        <v>aws s3 cp s3://rtdc.mdm.uploadarchive.raw/RTDC4054/ "%USERPROFILE%\AppData\Local\Temp\OnboardLogs"\RTDC4054\2017-04-17 --exclude "*" --recursive --include "*20170417*" &amp; "%USERPROFILE%\Documents\GitHub\mrs-test-scripts\Headless Mode &amp; Sideloading\WalkAndUnGZ.bat" "%USERPROFILE%\AppData\Local\Temp\OnboardLogs"\RTDC4054\2017-04-17 &amp; aws s3 cp s3://rtdc.mdm.uploadarchive.raw/RTDC4054/ "%USERPROFILE%\AppData\Local\Temp\OnboardLogs"\RTDC4054\2017-04-18 --exclude "*" --recursive --include "*20170418*" &amp; "%USERPROFILE%\Documents\GitHub\mrs-test-scripts\Headless Mode &amp; Sideloading\WalkAndUnGZ.bat" "%USERPROFILE%\AppData\Local\Temp\OnboardLogs"\RTDC4054\2017-04-18</v>
      </c>
      <c r="AF133" s="82" t="str">
        <f t="shared" si="38"/>
        <v>"C:\Program Files (x86)\AstroGrep\AstroGrep.exe" /e /r /s /spath="%USERPROFILE%\AppData\Local\Temp\OnboardLogs" /stypes="app*4054*20170418*" /stext=" 00:.+((SYSTEM_STATE.+slice.+state.+changed )|(ment ac)|(multiple cpu faults)|(system.+state.+changed )|(\[timeout)|(PRM\|1\|D)|(kpr)|(kdp)|(\|lc)|(penalty))"</v>
      </c>
      <c r="AG133" s="1" t="str">
        <f t="shared" si="39"/>
        <v>EC</v>
      </c>
      <c r="AH133" s="86" t="str">
        <f t="shared" si="40"/>
        <v>"%USERPROFILE%\Documents\GitHub\eaglep3\Utilities\RefineRTDCRunTimes.py" --tripid 217-17 --locoid 4054 --swversion DE.1.0.9.0 --startMP 204:442 --initTime 2017-04-17T18:09:58 --startdatetime 2017-04-17T18:15:34 --delay 1 --endMP 204:233408 --enddatetime 2017-04-17T18:52:18 --enforcementcount 0 &gt;&gt;C:\Users\stu\Documents\GitHub\eaglep3-reporting\EC\2017-04-17-refined-times.txt</v>
      </c>
      <c r="AI133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{"issue":{"subject":"","project_id":79,"tracker_id":40,"status_id":1,"priority_id":2,"assigned_to_id":23,"start_date":"2017-04-17","description":"","custom_fields":[{"id":1,"name":"Subdivision","value":"EC"},{"id":4,"name":"Milepost","value":"23.3408"},{"id":17,"name":"Train ID","value":"217-17"},{"id":16,"name":"Locomotive ID","value":"4054"},{"id":130,"name":"Impact","value":""},{"id":150,"name":"Time of Event (Mountain Time)","value":"18:52:18"},{"id":151,"name":"Denver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42"/>
        <v>start /low /b %USERPROFILE%\Documents\GitHub\eaglep3\Utilities\DownloadLogsFromS3.py --loco 4054 --day 2017-04-17</v>
      </c>
      <c r="AN133" s="159" t="str">
        <f t="shared" si="43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00:52:18"},{"id":29,"name":"Sharepoint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631</v>
      </c>
      <c r="B134" s="7">
        <v>4053</v>
      </c>
      <c r="C134" s="21" t="s">
        <v>213</v>
      </c>
      <c r="D134" s="21" t="s">
        <v>909</v>
      </c>
      <c r="E134" s="13">
        <v>42842.795393518521</v>
      </c>
      <c r="F134" s="13">
        <v>42842.799895833334</v>
      </c>
      <c r="G134" s="7">
        <v>2</v>
      </c>
      <c r="H134" s="21" t="s">
        <v>400</v>
      </c>
      <c r="I134" s="13">
        <v>42842.825844907406</v>
      </c>
      <c r="J134" s="7">
        <v>0</v>
      </c>
      <c r="K134" s="97" t="str">
        <f t="shared" si="27"/>
        <v>4053/4054</v>
      </c>
      <c r="L134" s="21" t="str">
        <f>VLOOKUP(A134,'Trips&amp;Operators'!$C$1:$G$99999,5,FALSE)</f>
        <v>STAMBAUGH JAMES</v>
      </c>
      <c r="M134" s="6">
        <f t="shared" si="28"/>
        <v>2.5949074071832001E-2</v>
      </c>
      <c r="N134" s="7">
        <f t="shared" si="47"/>
        <v>37.366666663438082</v>
      </c>
      <c r="O134" s="7"/>
      <c r="P134" s="7"/>
      <c r="Q134" s="22"/>
      <c r="R134" s="22"/>
      <c r="S134" s="31">
        <f t="shared" si="48"/>
        <v>1</v>
      </c>
      <c r="T134" s="46" t="str">
        <f t="shared" si="29"/>
        <v>Southbound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30"/>
        <v>https://d0f6bd738d7f1b3e5a7ca70fe4ff75f0.us-east-1.aws.found.io/app/kibana#/discover/Steve-Slow-Train-Analysis-(2080s-and-2083s)?_g=(refreshInterval:(display:Off,pause:!f,section:0,value:0),time:(from:'2017-04-17T18:05:22-0600',mode:absolute,to:'2017-04-17T20:49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4" s="183" t="str">
        <f t="shared" si="31"/>
        <v>N</v>
      </c>
      <c r="X134" s="183">
        <f t="shared" si="32"/>
        <v>1</v>
      </c>
      <c r="Y134" s="62">
        <f t="shared" si="33"/>
        <v>23.311499999999999</v>
      </c>
      <c r="Z134" s="62">
        <f t="shared" si="34"/>
        <v>1.38E-2</v>
      </c>
      <c r="AA134" s="62">
        <f t="shared" si="35"/>
        <v>23.297699999999999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6"/>
        <v>0218-17</v>
      </c>
      <c r="AE134" s="85" t="str">
        <f t="shared" si="37"/>
        <v>aws s3 cp s3://rtdc.mdm.uploadarchive.raw/RTDC4053/ "%USERPROFILE%\AppData\Local\Temp\OnboardLogs"\RTDC4053\2017-04-17 --exclude "*" --recursive --include "*20170417*" &amp; "%USERPROFILE%\Documents\GitHub\mrs-test-scripts\Headless Mode &amp; Sideloading\WalkAndUnGZ.bat" "%USERPROFILE%\AppData\Local\Temp\OnboardLogs"\RTDC4053\2017-04-17 &amp; aws s3 cp s3://rtdc.mdm.uploadarchive.raw/RTDC4053/ "%USERPROFILE%\AppData\Local\Temp\OnboardLogs"\RTDC4053\2017-04-18 --exclude "*" --recursive --include "*20170418*" &amp; "%USERPROFILE%\Documents\GitHub\mrs-test-scripts\Headless Mode &amp; Sideloading\WalkAndUnGZ.bat" "%USERPROFILE%\AppData\Local\Temp\OnboardLogs"\RTDC4053\2017-04-18</v>
      </c>
      <c r="AF134" s="82" t="str">
        <f t="shared" si="38"/>
        <v>"C:\Program Files (x86)\AstroGrep\AstroGrep.exe" /e /r /s /spath="%USERPROFILE%\AppData\Local\Temp\OnboardLogs" /stypes="app*4053*20170418*" /stext=" 01:.+((SYSTEM_STATE.+slice.+state.+changed )|(ment ac)|(multiple cpu faults)|(system.+state.+changed )|(\[timeout)|(PRM\|1\|D)|(kpr)|(kdp)|(\|lc)|(penalty))"</v>
      </c>
      <c r="AG134" s="1" t="str">
        <f t="shared" si="39"/>
        <v>EC</v>
      </c>
      <c r="AH134" s="86" t="str">
        <f t="shared" si="40"/>
        <v>"%USERPROFILE%\Documents\GitHub\eaglep3\Utilities\RefineRTDCRunTimes.py" --tripid 218-17 --locoid 4053 --swversion DE.1.0.9.0 --startMP 204:233115 --initTime 2017-04-17T19:05:22 --startdatetime 2017-04-17T19:11:51 --delay 2 --endMP 204:138 --enddatetime 2017-04-17T19:49:13 --enforcementcount 0 &gt;&gt;C:\Users\stu\Documents\GitHub\eaglep3-reporting\EC\2017-04-17-refined-times.txt</v>
      </c>
      <c r="AI134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{"issue":{"subject":"","project_id":79,"tracker_id":40,"status_id":1,"priority_id":2,"assigned_to_id":23,"start_date":"2017-04-17","description":"","custom_fields":[{"id":1,"name":"Subdivision","value":"EC"},{"id":4,"name":"Milepost","value":"0.0138"},{"id":17,"name":"Train ID","value":"218-17"},{"id":16,"name":"Locomotive ID","value":"4053"},{"id":130,"name":"Impact","value":""},{"id":150,"name":"Time of Event (Mountain Time)","value":"19:49:13"},{"id":151,"name":"Denver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42"/>
        <v>start /low /b %USERPROFILE%\Documents\GitHub\eaglep3\Utilities\DownloadLogsFromS3.py --loco 4053 --day 2017-04-17</v>
      </c>
      <c r="AN134" s="159" t="str">
        <f t="shared" si="43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01:49:13"},{"id":29,"name":"Sharepoint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798</v>
      </c>
      <c r="B135" s="7">
        <v>4026</v>
      </c>
      <c r="C135" s="21" t="s">
        <v>213</v>
      </c>
      <c r="D135" s="21" t="s">
        <v>411</v>
      </c>
      <c r="E135" s="13">
        <v>42842.767997685187</v>
      </c>
      <c r="F135" s="13">
        <v>42842.771087962959</v>
      </c>
      <c r="G135" s="7">
        <v>2</v>
      </c>
      <c r="H135" s="21" t="s">
        <v>591</v>
      </c>
      <c r="I135" s="13">
        <v>42842.7965625</v>
      </c>
      <c r="J135" s="7">
        <v>0</v>
      </c>
      <c r="K135" s="97" t="str">
        <f t="shared" si="27"/>
        <v>4025/4026</v>
      </c>
      <c r="L135" s="21" t="str">
        <f>VLOOKUP(A135,'Trips&amp;Operators'!$C$1:$G$99999,5,FALSE)</f>
        <v>STORY SAMANTHA</v>
      </c>
      <c r="M135" s="6">
        <f t="shared" si="28"/>
        <v>2.5474537040281575E-2</v>
      </c>
      <c r="N135" s="7">
        <f t="shared" si="47"/>
        <v>36.683333338005468</v>
      </c>
      <c r="O135" s="7"/>
      <c r="P135" s="7"/>
      <c r="Q135" s="22"/>
      <c r="R135" s="22"/>
      <c r="S135" s="31">
        <f t="shared" si="48"/>
        <v>1</v>
      </c>
      <c r="T135" s="46" t="str">
        <f t="shared" si="29"/>
        <v>NorthBound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30"/>
        <v>https://d0f6bd738d7f1b3e5a7ca70fe4ff75f0.us-east-1.aws.found.io/app/kibana#/discover/Steve-Slow-Train-Analysis-(2080s-and-2083s)?_g=(refreshInterval:(display:Off,pause:!f,section:0,value:0),time:(from:'2017-04-17T17:25:55-0600',mode:absolute,to:'2017-04-17T20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5" s="183" t="str">
        <f t="shared" si="31"/>
        <v>N</v>
      </c>
      <c r="X135" s="183">
        <f t="shared" si="32"/>
        <v>1</v>
      </c>
      <c r="Y135" s="62">
        <f t="shared" si="33"/>
        <v>4.7100000000000003E-2</v>
      </c>
      <c r="Z135" s="62">
        <f t="shared" si="34"/>
        <v>23.334499999999998</v>
      </c>
      <c r="AA135" s="62">
        <f t="shared" si="35"/>
        <v>23.287399999999998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6"/>
        <v>0219-17</v>
      </c>
      <c r="AE135" s="85" t="str">
        <f t="shared" si="37"/>
        <v>aws s3 cp s3://rtdc.mdm.uploadarchive.raw/RTDC4026/ "%USERPROFILE%\AppData\Local\Temp\OnboardLogs"\RTDC4026\2017-04-17 --exclude "*" --recursive --include "*20170417*" &amp; "%USERPROFILE%\Documents\GitHub\mrs-test-scripts\Headless Mode &amp; Sideloading\WalkAndUnGZ.bat" "%USERPROFILE%\AppData\Local\Temp\OnboardLogs"\RTDC4026\2017-04-17 &amp; aws s3 cp s3://rtdc.mdm.uploadarchive.raw/RTDC4026/ "%USERPROFILE%\AppData\Local\Temp\OnboardLogs"\RTDC4026\2017-04-18 --exclude "*" --recursive --include "*20170418*" &amp; "%USERPROFILE%\Documents\GitHub\mrs-test-scripts\Headless Mode &amp; Sideloading\WalkAndUnGZ.bat" "%USERPROFILE%\AppData\Local\Temp\OnboardLogs"\RTDC4026\2017-04-18</v>
      </c>
      <c r="AF135" s="82" t="str">
        <f t="shared" si="38"/>
        <v>"C:\Program Files (x86)\AstroGrep\AstroGrep.exe" /e /r /s /spath="%USERPROFILE%\AppData\Local\Temp\OnboardLogs" /stypes="app*4026*20170418*" /stext=" 01:.+((SYSTEM_STATE.+slice.+state.+changed )|(ment ac)|(multiple cpu faults)|(system.+state.+changed )|(\[timeout)|(PRM\|1\|D)|(kpr)|(kdp)|(\|lc)|(penalty))"</v>
      </c>
      <c r="AG135" s="1" t="str">
        <f t="shared" si="39"/>
        <v>EC</v>
      </c>
      <c r="AH135" s="86" t="str">
        <f t="shared" si="40"/>
        <v>"%USERPROFILE%\Documents\GitHub\eaglep3\Utilities\RefineRTDCRunTimes.py" --tripid 219-17 --locoid 4026 --swversion DE.1.0.9.0 --startMP 204:471 --initTime 2017-04-17T18:25:55 --startdatetime 2017-04-17T18:30:22 --delay 2 --endMP 204:233345 --enddatetime 2017-04-17T19:07:03 --enforcementcount 0 &gt;&gt;C:\Users\stu\Documents\GitHub\eaglep3-reporting\EC\2017-04-17-refined-times.txt</v>
      </c>
      <c r="AI135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{"issue":{"subject":"","project_id":79,"tracker_id":40,"status_id":1,"priority_id":2,"assigned_to_id":23,"start_date":"2017-04-17","description":"","custom_fields":[{"id":1,"name":"Subdivision","value":"EC"},{"id":4,"name":"Milepost","value":"23.3345"},{"id":17,"name":"Train ID","value":"219-17"},{"id":16,"name":"Locomotive ID","value":"4026"},{"id":130,"name":"Impact","value":""},{"id":150,"name":"Time of Event (Mountain Time)","value":"19:07:03"},{"id":151,"name":"Denver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42"/>
        <v>start /low /b %USERPROFILE%\Documents\GitHub\eaglep3\Utilities\DownloadLogsFromS3.py --loco 4026 --day 2017-04-17</v>
      </c>
      <c r="AN135" s="159" t="str">
        <f t="shared" si="43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01:07:03"},{"id":29,"name":"Sharepoint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810</v>
      </c>
      <c r="B136" s="7">
        <v>4025</v>
      </c>
      <c r="C136" s="21" t="s">
        <v>213</v>
      </c>
      <c r="D136" s="21" t="s">
        <v>587</v>
      </c>
      <c r="E136" s="13">
        <v>42842.804502314815</v>
      </c>
      <c r="F136" s="13">
        <v>42842.810393518521</v>
      </c>
      <c r="G136" s="7">
        <v>2</v>
      </c>
      <c r="H136" s="21" t="s">
        <v>475</v>
      </c>
      <c r="I136" s="13">
        <v>42842.836689814816</v>
      </c>
      <c r="J136" s="7">
        <v>0</v>
      </c>
      <c r="K136" s="97" t="str">
        <f t="shared" si="27"/>
        <v>4025/4026</v>
      </c>
      <c r="L136" s="21" t="str">
        <f>VLOOKUP(A136,'Trips&amp;Operators'!$C$1:$G$99999,5,FALSE)</f>
        <v>STORY SAMANTHA</v>
      </c>
      <c r="M136" s="6">
        <f t="shared" si="28"/>
        <v>2.6296296295186039E-2</v>
      </c>
      <c r="N136" s="7">
        <f t="shared" si="47"/>
        <v>37.866666665067896</v>
      </c>
      <c r="O136" s="7"/>
      <c r="P136" s="7"/>
      <c r="Q136" s="22"/>
      <c r="R136" s="22"/>
      <c r="S136" s="31">
        <f t="shared" si="48"/>
        <v>1</v>
      </c>
      <c r="T136" s="46" t="str">
        <f t="shared" si="29"/>
        <v>Southbound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30"/>
        <v>https://d0f6bd738d7f1b3e5a7ca70fe4ff75f0.us-east-1.aws.found.io/app/kibana#/discover/Steve-Slow-Train-Analysis-(2080s-and-2083s)?_g=(refreshInterval:(display:Off,pause:!f,section:0,value:0),time:(from:'2017-04-17T18:18:29-0600',mode:absolute,to:'2017-04-17T21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6" s="183" t="str">
        <f t="shared" si="31"/>
        <v>N</v>
      </c>
      <c r="X136" s="183">
        <f t="shared" si="32"/>
        <v>1</v>
      </c>
      <c r="Y136" s="62">
        <f t="shared" si="33"/>
        <v>23.3094</v>
      </c>
      <c r="Z136" s="62">
        <f t="shared" si="34"/>
        <v>1.49E-2</v>
      </c>
      <c r="AA136" s="62">
        <f t="shared" si="35"/>
        <v>23.294499999999999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6"/>
        <v>0220-17</v>
      </c>
      <c r="AE136" s="85" t="str">
        <f t="shared" si="37"/>
        <v>aws s3 cp s3://rtdc.mdm.uploadarchive.raw/RTDC4025/ "%USERPROFILE%\AppData\Local\Temp\OnboardLogs"\RTDC4025\2017-04-17 --exclude "*" --recursive --include "*20170417*" &amp; "%USERPROFILE%\Documents\GitHub\mrs-test-scripts\Headless Mode &amp; Sideloading\WalkAndUnGZ.bat" "%USERPROFILE%\AppData\Local\Temp\OnboardLogs"\RTDC4025\2017-04-17 &amp; aws s3 cp s3://rtdc.mdm.uploadarchive.raw/RTDC4025/ "%USERPROFILE%\AppData\Local\Temp\OnboardLogs"\RTDC4025\2017-04-18 --exclude "*" --recursive --include "*20170418*" &amp; "%USERPROFILE%\Documents\GitHub\mrs-test-scripts\Headless Mode &amp; Sideloading\WalkAndUnGZ.bat" "%USERPROFILE%\AppData\Local\Temp\OnboardLogs"\RTDC4025\2017-04-18</v>
      </c>
      <c r="AF136" s="82" t="str">
        <f t="shared" si="38"/>
        <v>"C:\Program Files (x86)\AstroGrep\AstroGrep.exe" /e /r /s /spath="%USERPROFILE%\AppData\Local\Temp\OnboardLogs" /stypes="app*4025*20170418*" /stext=" 02:.+((SYSTEM_STATE.+slice.+state.+changed )|(ment ac)|(multiple cpu faults)|(system.+state.+changed )|(\[timeout)|(PRM\|1\|D)|(kpr)|(kdp)|(\|lc)|(penalty))"</v>
      </c>
      <c r="AG136" s="1" t="str">
        <f t="shared" si="39"/>
        <v>EC</v>
      </c>
      <c r="AH136" s="86" t="str">
        <f t="shared" si="40"/>
        <v>"%USERPROFILE%\Documents\GitHub\eaglep3\Utilities\RefineRTDCRunTimes.py" --tripid 220-17 --locoid 4025 --swversion DE.1.0.9.0 --startMP 204:233094 --initTime 2017-04-17T19:18:29 --startdatetime 2017-04-17T19:26:58 --delay 2 --endMP 204:149 --enddatetime 2017-04-17T20:04:50 --enforcementcount 0 &gt;&gt;C:\Users\stu\Documents\GitHub\eaglep3-reporting\EC\2017-04-17-refined-times.txt</v>
      </c>
      <c r="AI136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{"issue":{"subject":"","project_id":79,"tracker_id":40,"status_id":1,"priority_id":2,"assigned_to_id":23,"start_date":"2017-04-17","description":"","custom_fields":[{"id":1,"name":"Subdivision","value":"EC"},{"id":4,"name":"Milepost","value":"0.0149"},{"id":17,"name":"Train ID","value":"220-17"},{"id":16,"name":"Locomotive ID","value":"4025"},{"id":130,"name":"Impact","value":""},{"id":150,"name":"Time of Event (Mountain Time)","value":"20:04:50"},{"id":151,"name":"Denver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42"/>
        <v>start /low /b %USERPROFILE%\Documents\GitHub\eaglep3\Utilities\DownloadLogsFromS3.py --loco 4025 --day 2017-04-17</v>
      </c>
      <c r="AN136" s="159" t="str">
        <f t="shared" si="43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02:04:50"},{"id":29,"name":"Sharepoint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806</v>
      </c>
      <c r="B137" s="7">
        <v>4008</v>
      </c>
      <c r="C137" s="21" t="s">
        <v>213</v>
      </c>
      <c r="D137" s="21" t="s">
        <v>469</v>
      </c>
      <c r="E137" s="13">
        <v>42842.791261574072</v>
      </c>
      <c r="F137" s="13">
        <v>42842.792372685188</v>
      </c>
      <c r="G137" s="7">
        <v>0</v>
      </c>
      <c r="H137" s="21" t="s">
        <v>883</v>
      </c>
      <c r="I137" s="13">
        <v>42842.81689814815</v>
      </c>
      <c r="J137" s="7">
        <v>0</v>
      </c>
      <c r="K137" s="97" t="str">
        <f t="shared" si="27"/>
        <v>4007/4008</v>
      </c>
      <c r="L137" s="21" t="str">
        <f>VLOOKUP(A137,'Trips&amp;Operators'!$C$1:$G$99999,5,FALSE)</f>
        <v>CHANDLER KELVIN</v>
      </c>
      <c r="M137" s="6">
        <f t="shared" si="28"/>
        <v>2.4525462962628808E-2</v>
      </c>
      <c r="N137" s="7">
        <f t="shared" si="47"/>
        <v>35.316666666185483</v>
      </c>
      <c r="O137" s="7"/>
      <c r="P137" s="7"/>
      <c r="Q137" s="22"/>
      <c r="R137" s="22"/>
      <c r="S137" s="31">
        <f t="shared" si="48"/>
        <v>1</v>
      </c>
      <c r="T137" s="46" t="str">
        <f t="shared" si="29"/>
        <v>NorthBound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30"/>
        <v>https://d0f6bd738d7f1b3e5a7ca70fe4ff75f0.us-east-1.aws.found.io/app/kibana#/discover/Steve-Slow-Train-Analysis-(2080s-and-2083s)?_g=(refreshInterval:(display:Off,pause:!f,section:0,value:0),time:(from:'2017-04-17T17:59:25-0600',mode:absolute,to:'2017-04-17T20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7" s="183" t="str">
        <f t="shared" si="31"/>
        <v>N</v>
      </c>
      <c r="X137" s="183">
        <f t="shared" si="32"/>
        <v>1</v>
      </c>
      <c r="Y137" s="62">
        <f t="shared" si="33"/>
        <v>4.7300000000000002E-2</v>
      </c>
      <c r="Z137" s="62">
        <f t="shared" si="34"/>
        <v>23.328299999999999</v>
      </c>
      <c r="AA137" s="62">
        <f t="shared" si="35"/>
        <v>23.280999999999999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6"/>
        <v>0221-17</v>
      </c>
      <c r="AE137" s="85" t="str">
        <f t="shared" si="37"/>
        <v>aws s3 cp s3://rtdc.mdm.uploadarchive.raw/RTDC4008/ "%USERPROFILE%\AppData\Local\Temp\OnboardLogs"\RTDC4008\2017-04-17 --exclude "*" --recursive --include "*20170417*" &amp; "%USERPROFILE%\Documents\GitHub\mrs-test-scripts\Headless Mode &amp; Sideloading\WalkAndUnGZ.bat" "%USERPROFILE%\AppData\Local\Temp\OnboardLogs"\RTDC4008\2017-04-17 &amp; aws s3 cp s3://rtdc.mdm.uploadarchive.raw/RTDC4008/ "%USERPROFILE%\AppData\Local\Temp\OnboardLogs"\RTDC4008\2017-04-18 --exclude "*" --recursive --include "*20170418*" &amp; "%USERPROFILE%\Documents\GitHub\mrs-test-scripts\Headless Mode &amp; Sideloading\WalkAndUnGZ.bat" "%USERPROFILE%\AppData\Local\Temp\OnboardLogs"\RTDC4008\2017-04-18</v>
      </c>
      <c r="AF137" s="82" t="str">
        <f t="shared" si="38"/>
        <v>"C:\Program Files (x86)\AstroGrep\AstroGrep.exe" /e /r /s /spath="%USERPROFILE%\AppData\Local\Temp\OnboardLogs" /stypes="app*4008*20170418*" /stext=" 01:.+((SYSTEM_STATE.+slice.+state.+changed )|(ment ac)|(multiple cpu faults)|(system.+state.+changed )|(\[timeout)|(PRM\|1\|D)|(kpr)|(kdp)|(\|lc)|(penalty))"</v>
      </c>
      <c r="AG137" s="1" t="str">
        <f t="shared" si="39"/>
        <v>EC</v>
      </c>
      <c r="AH137" s="86" t="str">
        <f t="shared" si="40"/>
        <v>"%USERPROFILE%\Documents\GitHub\eaglep3\Utilities\RefineRTDCRunTimes.py" --tripid 221-17 --locoid 4008 --swversion DE.1.0.9.0 --startMP 204:473 --initTime 2017-04-17T18:59:25 --startdatetime 2017-04-17T19:01:01 --delay 0 --endMP 204:233283 --enddatetime 2017-04-17T19:36:20 --enforcementcount 0 &gt;&gt;C:\Users\stu\Documents\GitHub\eaglep3-reporting\EC\2017-04-17-refined-times.txt</v>
      </c>
      <c r="AI137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{"issue":{"subject":"","project_id":79,"tracker_id":40,"status_id":1,"priority_id":2,"assigned_to_id":23,"start_date":"2017-04-17","description":"","custom_fields":[{"id":1,"name":"Subdivision","value":"EC"},{"id":4,"name":"Milepost","value":"23.3283"},{"id":17,"name":"Train ID","value":"221-17"},{"id":16,"name":"Locomotive ID","value":"4008"},{"id":130,"name":"Impact","value":""},{"id":150,"name":"Time of Event (Mountain Time)","value":"19:36:20"},{"id":151,"name":"Denver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42"/>
        <v>start /low /b %USERPROFILE%\Documents\GitHub\eaglep3\Utilities\DownloadLogsFromS3.py --loco 4008 --day 2017-04-17</v>
      </c>
      <c r="AN137" s="159" t="str">
        <f t="shared" si="43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01:36:20"},{"id":29,"name":"Sharepoint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812</v>
      </c>
      <c r="B138" s="7">
        <v>4007</v>
      </c>
      <c r="C138" s="21" t="s">
        <v>213</v>
      </c>
      <c r="D138" s="21" t="s">
        <v>906</v>
      </c>
      <c r="E138" s="13">
        <v>42842.827928240738</v>
      </c>
      <c r="F138" s="13">
        <v>42842.830868055556</v>
      </c>
      <c r="G138" s="7">
        <v>0</v>
      </c>
      <c r="H138" s="21" t="s">
        <v>477</v>
      </c>
      <c r="I138" s="13">
        <v>42842.858923611115</v>
      </c>
      <c r="J138" s="7">
        <v>0</v>
      </c>
      <c r="K138" s="97" t="str">
        <f t="shared" si="27"/>
        <v>4007/4008</v>
      </c>
      <c r="L138" s="21" t="str">
        <f>VLOOKUP(A138,'Trips&amp;Operators'!$C$1:$G$99999,5,FALSE)</f>
        <v>CHANDLER KELVIN</v>
      </c>
      <c r="M138" s="6">
        <f t="shared" si="28"/>
        <v>2.8055555558239575E-2</v>
      </c>
      <c r="N138" s="7">
        <f t="shared" si="47"/>
        <v>40.400000003864989</v>
      </c>
      <c r="O138" s="7"/>
      <c r="P138" s="7"/>
      <c r="Q138" s="22"/>
      <c r="R138" s="22"/>
      <c r="S138" s="31">
        <f t="shared" si="48"/>
        <v>1</v>
      </c>
      <c r="T138" s="46" t="str">
        <f t="shared" si="29"/>
        <v>Southbound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30"/>
        <v>https://d0f6bd738d7f1b3e5a7ca70fe4ff75f0.us-east-1.aws.found.io/app/kibana#/discover/Steve-Slow-Train-Analysis-(2080s-and-2083s)?_g=(refreshInterval:(display:Off,pause:!f,section:0,value:0),time:(from:'2017-04-17T18:52:13-0600',mode:absolute,to:'2017-04-17T21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8" s="183" t="str">
        <f t="shared" si="31"/>
        <v>N</v>
      </c>
      <c r="X138" s="183">
        <f t="shared" si="32"/>
        <v>1</v>
      </c>
      <c r="Y138" s="62">
        <f t="shared" si="33"/>
        <v>23.298100000000002</v>
      </c>
      <c r="Z138" s="62">
        <f t="shared" si="34"/>
        <v>1.43E-2</v>
      </c>
      <c r="AA138" s="62">
        <f t="shared" si="35"/>
        <v>23.283800000000003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6"/>
        <v>0222-17</v>
      </c>
      <c r="AE138" s="85" t="str">
        <f t="shared" si="37"/>
        <v>aws s3 cp s3://rtdc.mdm.uploadarchive.raw/RTDC4007/ "%USERPROFILE%\AppData\Local\Temp\OnboardLogs"\RTDC4007\2017-04-17 --exclude "*" --recursive --include "*20170417*" &amp; "%USERPROFILE%\Documents\GitHub\mrs-test-scripts\Headless Mode &amp; Sideloading\WalkAndUnGZ.bat" "%USERPROFILE%\AppData\Local\Temp\OnboardLogs"\RTDC4007\2017-04-17 &amp; aws s3 cp s3://rtdc.mdm.uploadarchive.raw/RTDC4007/ "%USERPROFILE%\AppData\Local\Temp\OnboardLogs"\RTDC4007\2017-04-18 --exclude "*" --recursive --include "*20170418*" &amp; "%USERPROFILE%\Documents\GitHub\mrs-test-scripts\Headless Mode &amp; Sideloading\WalkAndUnGZ.bat" "%USERPROFILE%\AppData\Local\Temp\OnboardLogs"\RTDC4007\2017-04-18</v>
      </c>
      <c r="AF138" s="82" t="str">
        <f t="shared" si="38"/>
        <v>"C:\Program Files (x86)\AstroGrep\AstroGrep.exe" /e /r /s /spath="%USERPROFILE%\AppData\Local\Temp\OnboardLogs" /stypes="app*4007*20170418*" /stext=" 02:.+((SYSTEM_STATE.+slice.+state.+changed )|(ment ac)|(multiple cpu faults)|(system.+state.+changed )|(\[timeout)|(PRM\|1\|D)|(kpr)|(kdp)|(\|lc)|(penalty))"</v>
      </c>
      <c r="AG138" s="1" t="str">
        <f t="shared" si="39"/>
        <v>EC</v>
      </c>
      <c r="AH138" s="86" t="str">
        <f t="shared" si="40"/>
        <v>"%USERPROFILE%\Documents\GitHub\eaglep3\Utilities\RefineRTDCRunTimes.py" --tripid 222-17 --locoid 4007 --swversion DE.1.0.9.0 --startMP 204:232981 --initTime 2017-04-17T19:52:13 --startdatetime 2017-04-17T19:56:27 --delay 0 --endMP 204:143 --enddatetime 2017-04-17T20:36:51 --enforcementcount 0 &gt;&gt;C:\Users\stu\Documents\GitHub\eaglep3-reporting\EC\2017-04-17-refined-times.txt</v>
      </c>
      <c r="AI138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{"issue":{"subject":"","project_id":79,"tracker_id":40,"status_id":1,"priority_id":2,"assigned_to_id":23,"start_date":"2017-04-17","description":"","custom_fields":[{"id":1,"name":"Subdivision","value":"EC"},{"id":4,"name":"Milepost","value":"0.0143"},{"id":17,"name":"Train ID","value":"222-17"},{"id":16,"name":"Locomotive ID","value":"4007"},{"id":130,"name":"Impact","value":""},{"id":150,"name":"Time of Event (Mountain Time)","value":"20:36:51"},{"id":151,"name":"Denver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42"/>
        <v>start /low /b %USERPROFILE%\Documents\GitHub\eaglep3\Utilities\DownloadLogsFromS3.py --loco 4007 --day 2017-04-17</v>
      </c>
      <c r="AN138" s="159" t="str">
        <f t="shared" si="43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02:36:51"},{"id":29,"name":"Sharepoint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632</v>
      </c>
      <c r="B139" s="7">
        <v>4052</v>
      </c>
      <c r="C139" s="21" t="s">
        <v>213</v>
      </c>
      <c r="D139" s="21" t="s">
        <v>208</v>
      </c>
      <c r="E139" s="13">
        <v>42842.807245370372</v>
      </c>
      <c r="F139" s="13">
        <v>42842.812696759262</v>
      </c>
      <c r="G139" s="7">
        <v>1</v>
      </c>
      <c r="H139" s="21" t="s">
        <v>399</v>
      </c>
      <c r="I139" s="13">
        <v>42842.838159722225</v>
      </c>
      <c r="J139" s="7">
        <v>0</v>
      </c>
      <c r="K139" s="97" t="str">
        <f t="shared" si="27"/>
        <v>4051/4052</v>
      </c>
      <c r="L139" s="21" t="str">
        <f>VLOOKUP(A139,'Trips&amp;Operators'!$C$1:$G$99999,5,FALSE)</f>
        <v>SMITH MICHAEL</v>
      </c>
      <c r="M139" s="6">
        <f t="shared" si="28"/>
        <v>2.5462962963501923E-2</v>
      </c>
      <c r="N139" s="7">
        <f t="shared" si="47"/>
        <v>36.666666667442769</v>
      </c>
      <c r="O139" s="7"/>
      <c r="P139" s="7"/>
      <c r="Q139" s="22"/>
      <c r="R139" s="22"/>
      <c r="S139" s="31">
        <f t="shared" si="48"/>
        <v>1</v>
      </c>
      <c r="T139" s="46" t="str">
        <f t="shared" si="29"/>
        <v>NorthBound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30"/>
        <v>https://d0f6bd738d7f1b3e5a7ca70fe4ff75f0.us-east-1.aws.found.io/app/kibana#/discover/Steve-Slow-Train-Analysis-(2080s-and-2083s)?_g=(refreshInterval:(display:Off,pause:!f,section:0,value:0),time:(from:'2017-04-17T18:22:26-0600',mode:absolute,to:'2017-04-17T21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9" s="183" t="str">
        <f t="shared" si="31"/>
        <v>N</v>
      </c>
      <c r="X139" s="183">
        <f t="shared" si="32"/>
        <v>1</v>
      </c>
      <c r="Y139" s="62">
        <f t="shared" si="33"/>
        <v>4.53E-2</v>
      </c>
      <c r="Z139" s="62">
        <f t="shared" si="34"/>
        <v>23.329499999999999</v>
      </c>
      <c r="AA139" s="62">
        <f t="shared" si="35"/>
        <v>23.284199999999998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6"/>
        <v>0223-17</v>
      </c>
      <c r="AE139" s="85" t="str">
        <f t="shared" si="37"/>
        <v>aws s3 cp s3://rtdc.mdm.uploadarchive.raw/RTDC4052/ "%USERPROFILE%\AppData\Local\Temp\OnboardLogs"\RTDC4052\2017-04-17 --exclude "*" --recursive --include "*20170417*" &amp; "%USERPROFILE%\Documents\GitHub\mrs-test-scripts\Headless Mode &amp; Sideloading\WalkAndUnGZ.bat" "%USERPROFILE%\AppData\Local\Temp\OnboardLogs"\RTDC4052\2017-04-17 &amp; aws s3 cp s3://rtdc.mdm.uploadarchive.raw/RTDC4052/ "%USERPROFILE%\AppData\Local\Temp\OnboardLogs"\RTDC4052\2017-04-18 --exclude "*" --recursive --include "*20170418*" &amp; "%USERPROFILE%\Documents\GitHub\mrs-test-scripts\Headless Mode &amp; Sideloading\WalkAndUnGZ.bat" "%USERPROFILE%\AppData\Local\Temp\OnboardLogs"\RTDC4052\2017-04-18</v>
      </c>
      <c r="AF139" s="82" t="str">
        <f t="shared" si="38"/>
        <v>"C:\Program Files (x86)\AstroGrep\AstroGrep.exe" /e /r /s /spath="%USERPROFILE%\AppData\Local\Temp\OnboardLogs" /stypes="app*4052*20170418*" /stext=" 02:.+((SYSTEM_STATE.+slice.+state.+changed )|(ment ac)|(multiple cpu faults)|(system.+state.+changed )|(\[timeout)|(PRM\|1\|D)|(kpr)|(kdp)|(\|lc)|(penalty))"</v>
      </c>
      <c r="AG139" s="1" t="str">
        <f t="shared" si="39"/>
        <v>EC</v>
      </c>
      <c r="AH139" s="86" t="str">
        <f t="shared" si="40"/>
        <v>"%USERPROFILE%\Documents\GitHub\eaglep3\Utilities\RefineRTDCRunTimes.py" --tripid 223-17 --locoid 4052 --swversion DE.1.0.9.0 --startMP 204:453 --initTime 2017-04-17T19:22:26 --startdatetime 2017-04-17T19:30:17 --delay 1 --endMP 204:233295 --enddatetime 2017-04-17T20:06:57 --enforcementcount 0 &gt;&gt;C:\Users\stu\Documents\GitHub\eaglep3-reporting\EC\2017-04-17-refined-times.txt</v>
      </c>
      <c r="AI139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{"issue":{"subject":"","project_id":79,"tracker_id":40,"status_id":1,"priority_id":2,"assigned_to_id":23,"start_date":"2017-04-17","description":"","custom_fields":[{"id":1,"name":"Subdivision","value":"EC"},{"id":4,"name":"Milepost","value":"23.3295"},{"id":17,"name":"Train ID","value":"223-17"},{"id":16,"name":"Locomotive ID","value":"4052"},{"id":130,"name":"Impact","value":""},{"id":150,"name":"Time of Event (Mountain Time)","value":"20:06:57"},{"id":151,"name":"Denver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si="42"/>
        <v>start /low /b %USERPROFILE%\Documents\GitHub\eaglep3\Utilities\DownloadLogsFromS3.py --loco 4052 --day 2017-04-17</v>
      </c>
      <c r="AN139" s="159" t="str">
        <f t="shared" si="43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02:06:57"},{"id":29,"name":"Sharepoint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814</v>
      </c>
      <c r="B140" s="7">
        <v>4051</v>
      </c>
      <c r="C140" s="21" t="s">
        <v>213</v>
      </c>
      <c r="D140" s="21" t="s">
        <v>494</v>
      </c>
      <c r="E140" s="13">
        <v>42842.842453703706</v>
      </c>
      <c r="F140" s="13">
        <v>42842.851585648146</v>
      </c>
      <c r="G140" s="7">
        <v>1</v>
      </c>
      <c r="H140" s="21" t="s">
        <v>910</v>
      </c>
      <c r="I140" s="13">
        <v>42842.879965277774</v>
      </c>
      <c r="J140" s="7">
        <v>0</v>
      </c>
      <c r="K140" s="97" t="str">
        <f t="shared" si="27"/>
        <v>4051/4052</v>
      </c>
      <c r="L140" s="21" t="str">
        <f>VLOOKUP(A140,'Trips&amp;Operators'!$C$1:$G$99999,5,FALSE)</f>
        <v>SMITH MICHAEL</v>
      </c>
      <c r="M140" s="6">
        <f t="shared" si="28"/>
        <v>2.8379629628034309E-2</v>
      </c>
      <c r="N140" s="7">
        <f t="shared" si="47"/>
        <v>40.866666664369404</v>
      </c>
      <c r="O140" s="7"/>
      <c r="P140" s="7"/>
      <c r="Q140" s="22"/>
      <c r="R140" s="22" t="s">
        <v>1056</v>
      </c>
      <c r="S140" s="31">
        <f t="shared" si="48"/>
        <v>1</v>
      </c>
      <c r="T140" s="46" t="str">
        <f t="shared" si="29"/>
        <v>Southbound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si="30"/>
        <v>https://d0f6bd738d7f1b3e5a7ca70fe4ff75f0.us-east-1.aws.found.io/app/kibana#/discover/Steve-Slow-Train-Analysis-(2080s-and-2083s)?_g=(refreshInterval:(display:Off,pause:!f,section:0,value:0),time:(from:'2017-04-17T19:13:08-0600',mode:absolute,to:'2017-04-17T22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0" s="183" t="str">
        <f t="shared" si="31"/>
        <v>N</v>
      </c>
      <c r="X140" s="183">
        <f t="shared" si="32"/>
        <v>1</v>
      </c>
      <c r="Y140" s="62">
        <f t="shared" si="33"/>
        <v>23.298300000000001</v>
      </c>
      <c r="Z140" s="62">
        <f t="shared" si="34"/>
        <v>1.6500000000000001E-2</v>
      </c>
      <c r="AA140" s="62">
        <f t="shared" si="35"/>
        <v>23.2818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6"/>
        <v>0224-17</v>
      </c>
      <c r="AE140" s="85" t="str">
        <f t="shared" si="37"/>
        <v>aws s3 cp s3://rtdc.mdm.uploadarchive.raw/RTDC4051/ "%USERPROFILE%\AppData\Local\Temp\OnboardLogs"\RTDC4051\2017-04-17 --exclude "*" --recursive --include "*20170417*" &amp; "%USERPROFILE%\Documents\GitHub\mrs-test-scripts\Headless Mode &amp; Sideloading\WalkAndUnGZ.bat" "%USERPROFILE%\AppData\Local\Temp\OnboardLogs"\RTDC4051\2017-04-17 &amp; aws s3 cp s3://rtdc.mdm.uploadarchive.raw/RTDC4051/ "%USERPROFILE%\AppData\Local\Temp\OnboardLogs"\RTDC4051\2017-04-18 --exclude "*" --recursive --include "*20170418*" &amp; "%USERPROFILE%\Documents\GitHub\mrs-test-scripts\Headless Mode &amp; Sideloading\WalkAndUnGZ.bat" "%USERPROFILE%\AppData\Local\Temp\OnboardLogs"\RTDC4051\2017-04-18</v>
      </c>
      <c r="AF140" s="82" t="str">
        <f t="shared" si="38"/>
        <v>"C:\Program Files (x86)\AstroGrep\AstroGrep.exe" /e /r /s /spath="%USERPROFILE%\AppData\Local\Temp\OnboardLogs" /stypes="app*4051*20170418*" /stext=" 03:.+((SYSTEM_STATE.+slice.+state.+changed )|(ment ac)|(multiple cpu faults)|(system.+state.+changed )|(\[timeout)|(PRM\|1\|D)|(kpr)|(kdp)|(\|lc)|(penalty))"</v>
      </c>
      <c r="AG140" s="1" t="str">
        <f t="shared" si="39"/>
        <v>EC</v>
      </c>
      <c r="AH140" s="86" t="str">
        <f t="shared" si="40"/>
        <v>"%USERPROFILE%\Documents\GitHub\eaglep3\Utilities\RefineRTDCRunTimes.py" --tripid 224-17 --locoid 4051 --swversion DE.1.0.9.0 --startMP 204:232983 --initTime 2017-04-17T20:13:08 --startdatetime 2017-04-17T20:26:17 --delay 1 --endMP 204:165 --enddatetime 2017-04-17T21:07:09 --enforcementcount 0 &gt;&gt;C:\Users\stu\Documents\GitHub\eaglep3-reporting\EC\2017-04-17-refined-times.txt</v>
      </c>
      <c r="AI140" s="104" t="str">
        <f t="shared" si="41"/>
        <v>echo {"issue":{"subject":"Wi-MAX data drop resulted in unhealthy banners, no enforcements","project_id":79,"tracker_id":40,"status_id":1,"priority_id":2,"assigned_to_id":23,"start_date":"2017-04-17","description":"","custom_fields":[{"id":1,"name":"Subdivision","value":"EC"},{"id":4,"name":"Milepost","value":"0.0165"},{"id":17,"name":"Train ID","value":"224-17"},{"id":16,"name":"Locomotive ID","value":"4051"},{"id":130,"name":"Impact","value":""},{"id":150,"name":"Time of Event (Mountain Time)","value":"21:07:09"},{"id":151,"name":"Denver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42"/>
        <v>start /low /b %USERPROFILE%\Documents\GitHub\eaglep3\Utilities\DownloadLogsFromS3.py --loco 4051 --day 2017-04-17</v>
      </c>
      <c r="AN140" s="159" t="str">
        <f t="shared" si="43"/>
        <v>echo {"issue":{"subject":"Wi-MAX data drop resulted in unhealthy banners, no enforcements","project_id":30,"tracker_id":4,"status_id":1,"priority_id":1,"assigned_to_id":10,"start_date":"2017-04-18","description":"","custom_fields":[{"id":30,"name":"Category","value":"Issue"},{"id":3,"name":"Functional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03:07:09"},{"id":29,"name":"Sharepoint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813</v>
      </c>
      <c r="B141" s="7">
        <v>4054</v>
      </c>
      <c r="C141" s="21" t="s">
        <v>213</v>
      </c>
      <c r="D141" s="21" t="s">
        <v>595</v>
      </c>
      <c r="E141" s="13">
        <v>42842.829293981478</v>
      </c>
      <c r="F141" s="13">
        <v>42842.833634259259</v>
      </c>
      <c r="G141" s="7">
        <v>1</v>
      </c>
      <c r="H141" s="21" t="s">
        <v>592</v>
      </c>
      <c r="I141" s="13">
        <v>42842.858425925922</v>
      </c>
      <c r="J141" s="7">
        <v>0</v>
      </c>
      <c r="K141" s="97" t="str">
        <f t="shared" ref="K141:K204" si="49">IF(ISEVEN(B141),(B141-1)&amp;"/"&amp;B141,B141&amp;"/"&amp;(B141+1))</f>
        <v>4053/4054</v>
      </c>
      <c r="L141" s="21" t="str">
        <f>VLOOKUP(A141,'Trips&amp;Operators'!$C$1:$G$99999,5,FALSE)</f>
        <v>STAMBAUGH JAMES</v>
      </c>
      <c r="M141" s="6">
        <f t="shared" ref="M141:M204" si="50">I141-F141</f>
        <v>2.4791666663077194E-2</v>
      </c>
      <c r="N141" s="7">
        <f t="shared" si="47"/>
        <v>35.69999999483116</v>
      </c>
      <c r="O141" s="7"/>
      <c r="P141" s="7"/>
      <c r="Q141" s="22"/>
      <c r="R141" s="22"/>
      <c r="S141" s="31">
        <f t="shared" si="48"/>
        <v>1</v>
      </c>
      <c r="T141" s="46" t="str">
        <f t="shared" ref="T141:T204" si="51">IF(ISEVEN(LEFT(AD141,4)),"Southbound","NorthBound")</f>
        <v>NorthBound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ref="V141:V204" si="5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-17T18:54:11-0600',mode:absolute,to:'2017-04-17T21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1" s="183" t="str">
        <f t="shared" ref="W141:W204" si="53">IF(AA141&lt;IF(AG141="EC",23,5.65),"Y","N")</f>
        <v>N</v>
      </c>
      <c r="X141" s="183">
        <f t="shared" ref="X141:X204" si="54">VALUE(LEFT(AD141,4))-VALUE(LEFT(AD140,4))</f>
        <v>1</v>
      </c>
      <c r="Y141" s="62">
        <f t="shared" ref="Y141:Y204" si="55">RIGHT(D141,LEN(D141)-4)/10000</f>
        <v>4.3799999999999999E-2</v>
      </c>
      <c r="Z141" s="62">
        <f t="shared" ref="Z141:Z204" si="56">RIGHT(H141,LEN(H141)-4)/10000</f>
        <v>23.34</v>
      </c>
      <c r="AA141" s="62">
        <f t="shared" ref="AA141:AA204" si="57">ABS(Z141-Y141)</f>
        <v>23.296199999999999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8">IF(LEN(A141)=6,"0"&amp;A141,A141)</f>
        <v>0225-17</v>
      </c>
      <c r="AE141" s="85" t="str">
        <f t="shared" ref="AE141:AE204" si="5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s3://rtdc.mdm.uploadarchive.raw/RTDC4054/ "%USERPROFILE%\AppData\Local\Temp\OnboardLogs"\RTDC4054\2017-04-17 --exclude "*" --recursive --include "*20170417*" &amp; "%USERPROFILE%\Documents\GitHub\mrs-test-scripts\Headless Mode &amp; Sideloading\WalkAndUnGZ.bat" "%USERPROFILE%\AppData\Local\Temp\OnboardLogs"\RTDC4054\2017-04-17 &amp; aws s3 cp s3://rtdc.mdm.uploadarchive.raw/RTDC4054/ "%USERPROFILE%\AppData\Local\Temp\OnboardLogs"\RTDC4054\2017-04-18 --exclude "*" --recursive --include "*20170418*" &amp; "%USERPROFILE%\Documents\GitHub\mrs-test-scripts\Headless Mode &amp; Sideloading\WalkAndUnGZ.bat" "%USERPROFILE%\AppData\Local\Temp\OnboardLogs"\RTDC4054\2017-04-18</v>
      </c>
      <c r="AF141" s="82" t="str">
        <f t="shared" ref="AF141:AF204" si="6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/stypes="app*4054*20170418*" /stext=" 02:.+((SYSTEM_STATE.+slice.+state.+changed )|(ment ac)|(multiple cpu faults)|(system.+state.+changed )|(\[timeout)|(PRM\|1\|D)|(kpr)|(kdp)|(\|lc)|(penalty))"</v>
      </c>
      <c r="AG141" s="1" t="str">
        <f t="shared" ref="AG141:AG204" si="61">IFERROR(IF(VALUE(LEFT(AD141,2))&lt;=2,"EC",IF(OR(VALUE(LEFT(AD141,2))=8,VALUE(LEFT(AD141,2))=18),"NW","Other")),"Other")</f>
        <v>EC</v>
      </c>
      <c r="AH141" s="86" t="str">
        <f t="shared" si="40"/>
        <v>"%USERPROFILE%\Documents\GitHub\eaglep3\Utilities\RefineRTDCRunTimes.py" --tripid 225-17 --locoid 4054 --swversion DE.1.0.9.0 --startMP 204:438 --initTime 2017-04-17T19:54:11 --startdatetime 2017-04-17T20:00:26 --delay 1 --endMP 204:233400 --enddatetime 2017-04-17T20:36:08 --enforcementcount 0 &gt;&gt;C:\Users\stu\Documents\GitHub\eaglep3-reporting\EC\2017-04-17-refined-times.txt</v>
      </c>
      <c r="AI141" s="104" t="str">
        <f t="shared" si="41"/>
        <v>echo {"issue":{"subject":"","project_id":79,"tracker_id":40,"status_id":1,"priority_id":2,"assigned_to_id":23,"start_date":"2017-04-17","description":"","custom_fields":[{"id":1,"name":"Subdivision","value":"EC"},{"id":4,"name":"Milepost","value":"23.34"},{"id":17,"name":"Train ID","value":"225-17"},{"id":16,"name":"Locomotive ID","value":"4054"},{"id":130,"name":"Impact","value":""},{"id":150,"name":"Time of Event (Mountain Time)","value":"20:36:08"},{"id":151,"name":"Denver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si="42"/>
        <v>start /low /b %USERPROFILE%\Documents\GitHub\eaglep3\Utilities\DownloadLogsFromS3.py --loco 4054 --day 2017-04-17</v>
      </c>
      <c r="AN141" s="159" t="str">
        <f t="shared" si="43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02:36:08"},{"id":29,"name":"Sharepoint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3" t="s">
        <v>817</v>
      </c>
      <c r="B142" s="7">
        <v>4053</v>
      </c>
      <c r="C142" s="21" t="s">
        <v>213</v>
      </c>
      <c r="D142" s="21" t="s">
        <v>911</v>
      </c>
      <c r="E142" s="13">
        <v>42842.866215277776</v>
      </c>
      <c r="F142" s="13">
        <v>42842.872581018521</v>
      </c>
      <c r="G142" s="7">
        <v>1</v>
      </c>
      <c r="H142" s="21" t="s">
        <v>912</v>
      </c>
      <c r="I142" s="13">
        <v>42842.899224537039</v>
      </c>
      <c r="J142" s="7">
        <v>0</v>
      </c>
      <c r="K142" s="97" t="str">
        <f t="shared" si="49"/>
        <v>4053/4054</v>
      </c>
      <c r="L142" s="21" t="str">
        <f>VLOOKUP(A142,'Trips&amp;Operators'!$C$1:$G$99999,5,FALSE)</f>
        <v>STAMBAUGH JAMES</v>
      </c>
      <c r="M142" s="6">
        <f t="shared" si="50"/>
        <v>2.6643518518540077E-2</v>
      </c>
      <c r="N142" s="7">
        <f t="shared" si="47"/>
        <v>38.366666666697711</v>
      </c>
      <c r="O142" s="7"/>
      <c r="P142" s="7"/>
      <c r="Q142" s="22"/>
      <c r="R142" s="22"/>
      <c r="S142" s="31">
        <f t="shared" si="48"/>
        <v>1</v>
      </c>
      <c r="T142" s="46" t="str">
        <f t="shared" si="51"/>
        <v>Southbound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52"/>
        <v>https://d0f6bd738d7f1b3e5a7ca70fe4ff75f0.us-east-1.aws.found.io/app/kibana#/discover/Steve-Slow-Train-Analysis-(2080s-and-2083s)?_g=(refreshInterval:(display:Off,pause:!f,section:0,value:0),time:(from:'2017-04-17T19:47:21-0600',mode:absolute,to:'2017-04-17T22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2" s="183" t="str">
        <f t="shared" si="53"/>
        <v>N</v>
      </c>
      <c r="X142" s="183">
        <f t="shared" si="54"/>
        <v>1</v>
      </c>
      <c r="Y142" s="62">
        <f t="shared" si="55"/>
        <v>23.308299999999999</v>
      </c>
      <c r="Z142" s="62">
        <f t="shared" si="56"/>
        <v>1.2699999999999999E-2</v>
      </c>
      <c r="AA142" s="62">
        <f t="shared" si="57"/>
        <v>23.2956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8"/>
        <v>0226-17</v>
      </c>
      <c r="AE142" s="85" t="str">
        <f t="shared" si="59"/>
        <v>aws s3 cp s3://rtdc.mdm.uploadarchive.raw/RTDC4053/ "%USERPROFILE%\AppData\Local\Temp\OnboardLogs"\RTDC4053\2017-04-17 --exclude "*" --recursive --include "*20170417*" &amp; "%USERPROFILE%\Documents\GitHub\mrs-test-scripts\Headless Mode &amp; Sideloading\WalkAndUnGZ.bat" "%USERPROFILE%\AppData\Local\Temp\OnboardLogs"\RTDC4053\2017-04-17 &amp; aws s3 cp s3://rtdc.mdm.uploadarchive.raw/RTDC4053/ "%USERPROFILE%\AppData\Local\Temp\OnboardLogs"\RTDC4053\2017-04-18 --exclude "*" --recursive --include "*20170418*" &amp; "%USERPROFILE%\Documents\GitHub\mrs-test-scripts\Headless Mode &amp; Sideloading\WalkAndUnGZ.bat" "%USERPROFILE%\AppData\Local\Temp\OnboardLogs"\RTDC4053\2017-04-18</v>
      </c>
      <c r="AF142" s="82" t="str">
        <f t="shared" si="60"/>
        <v>"C:\Program Files (x86)\AstroGrep\AstroGrep.exe" /e /r /s /spath="%USERPROFILE%\AppData\Local\Temp\OnboardLogs" /stypes="app*4053*20170418*" /stext=" 03:.+((SYSTEM_STATE.+slice.+state.+changed )|(ment ac)|(multiple cpu faults)|(system.+state.+changed )|(\[timeout)|(PRM\|1\|D)|(kpr)|(kdp)|(\|lc)|(penalty))"</v>
      </c>
      <c r="AG142" s="1" t="str">
        <f t="shared" si="61"/>
        <v>EC</v>
      </c>
      <c r="AH142" s="86" t="str">
        <f t="shared" ref="AH142:AH205" si="6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226-17 --locoid 4053 --swversion DE.1.0.9.0 --startMP 204:233083 --initTime 2017-04-17T20:47:21 --startdatetime 2017-04-17T20:56:31 --delay 1 --endMP 204:127 --enddatetime 2017-04-17T21:34:53 --enforcementcount 0 &gt;&gt;C:\Users\stu\Documents\GitHub\eaglep3-reporting\EC\2017-04-17-refined-times.txt</v>
      </c>
      <c r="AI142" s="104" t="str">
        <f t="shared" ref="AI142:AI205" si="6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{"issue":{"subject":"","project_id":79,"tracker_id":40,"status_id":1,"priority_id":2,"assigned_to_id":23,"start_date":"2017-04-17","description":"","custom_fields":[{"id":1,"name":"Subdivision","value":"EC"},{"id":4,"name":"Milepost","value":"0.0127"},{"id":17,"name":"Train ID","value":"226-17"},{"id":16,"name":"Locomotive ID","value":"4053"},{"id":130,"name":"Impact","value":""},{"id":150,"name":"Time of Event (Mountain Time)","value":"21:34:53"},{"id":151,"name":"Denver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20"/>
      <c r="AK142" s="48"/>
      <c r="AL142" s="48"/>
      <c r="AM142" s="150" t="str">
        <f t="shared" ref="AM142:AM205" si="64">"start /low /b "&amp;dls3logs&amp;" --loco "&amp;B142&amp;" --day "&amp;TEXT(F142,"YYYY-MM-DD")</f>
        <v>start /low /b %USERPROFILE%\Documents\GitHub\eaglep3\Utilities\DownloadLogsFromS3.py --loco 4053 --day 2017-04-17</v>
      </c>
      <c r="AN142" s="159" t="str">
        <f t="shared" ref="AN142:AN205" si="65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03:34:53"},{"id":29,"name":"Sharepoint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3" spans="1:91" s="20" customFormat="1" x14ac:dyDescent="0.25">
      <c r="A143" s="33" t="s">
        <v>816</v>
      </c>
      <c r="B143" s="7">
        <v>4028</v>
      </c>
      <c r="C143" s="21" t="s">
        <v>213</v>
      </c>
      <c r="D143" s="21" t="s">
        <v>411</v>
      </c>
      <c r="E143" s="13">
        <v>42842.847326388888</v>
      </c>
      <c r="F143" s="13">
        <v>42842.854456018518</v>
      </c>
      <c r="G143" s="7">
        <v>3</v>
      </c>
      <c r="H143" s="21" t="s">
        <v>913</v>
      </c>
      <c r="I143" s="13">
        <v>42842.88013888889</v>
      </c>
      <c r="J143" s="7">
        <v>0</v>
      </c>
      <c r="K143" s="97" t="str">
        <f t="shared" si="49"/>
        <v>4027/4028</v>
      </c>
      <c r="L143" s="21" t="str">
        <f>VLOOKUP(A143,'Trips&amp;Operators'!$C$1:$G$99999,5,FALSE)</f>
        <v>STORY SAMANTHA</v>
      </c>
      <c r="M143" s="6">
        <f t="shared" si="50"/>
        <v>2.5682870371383615E-2</v>
      </c>
      <c r="N143" s="7">
        <f t="shared" si="47"/>
        <v>36.983333334792405</v>
      </c>
      <c r="O143" s="7"/>
      <c r="P143" s="7"/>
      <c r="Q143" s="22"/>
      <c r="R143" s="22"/>
      <c r="S143" s="31">
        <f t="shared" si="48"/>
        <v>1</v>
      </c>
      <c r="T143" s="46" t="str">
        <f t="shared" si="51"/>
        <v>NorthBound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52"/>
        <v>https://d0f6bd738d7f1b3e5a7ca70fe4ff75f0.us-east-1.aws.found.io/app/kibana#/discover/Steve-Slow-Train-Analysis-(2080s-and-2083s)?_g=(refreshInterval:(display:Off,pause:!f,section:0,value:0),time:(from:'2017-04-17T19:20:09-0600',mode:absolute,to:'2017-04-17T22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3" s="183" t="str">
        <f t="shared" si="53"/>
        <v>N</v>
      </c>
      <c r="X143" s="183">
        <f t="shared" si="54"/>
        <v>1</v>
      </c>
      <c r="Y143" s="62">
        <f t="shared" si="55"/>
        <v>4.7100000000000003E-2</v>
      </c>
      <c r="Z143" s="62">
        <f t="shared" si="56"/>
        <v>23.3338</v>
      </c>
      <c r="AA143" s="62">
        <f t="shared" si="57"/>
        <v>23.2867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8"/>
        <v>0227-17</v>
      </c>
      <c r="AE143" s="85" t="str">
        <f t="shared" si="59"/>
        <v>aws s3 cp s3://rtdc.mdm.uploadarchive.raw/RTDC4028/ "%USERPROFILE%\AppData\Local\Temp\OnboardLogs"\RTDC4028\2017-04-17 --exclude "*" --recursive --include "*20170417*" &amp; "%USERPROFILE%\Documents\GitHub\mrs-test-scripts\Headless Mode &amp; Sideloading\WalkAndUnGZ.bat" "%USERPROFILE%\AppData\Local\Temp\OnboardLogs"\RTDC4028\2017-04-17 &amp; aws s3 cp s3://rtdc.mdm.uploadarchive.raw/RTDC4028/ "%USERPROFILE%\AppData\Local\Temp\OnboardLogs"\RTDC4028\2017-04-18 --exclude "*" --recursive --include "*20170418*" &amp; "%USERPROFILE%\Documents\GitHub\mrs-test-scripts\Headless Mode &amp; Sideloading\WalkAndUnGZ.bat" "%USERPROFILE%\AppData\Local\Temp\OnboardLogs"\RTDC4028\2017-04-18</v>
      </c>
      <c r="AF143" s="82" t="str">
        <f t="shared" si="60"/>
        <v>"C:\Program Files (x86)\AstroGrep\AstroGrep.exe" /e /r /s /spath="%USERPROFILE%\AppData\Local\Temp\OnboardLogs" /stypes="app*4028*20170418*" /stext=" 03:.+((SYSTEM_STATE.+slice.+state.+changed )|(ment ac)|(multiple cpu faults)|(system.+state.+changed )|(\[timeout)|(PRM\|1\|D)|(kpr)|(kdp)|(\|lc)|(penalty))"</v>
      </c>
      <c r="AG143" s="1" t="str">
        <f t="shared" si="61"/>
        <v>EC</v>
      </c>
      <c r="AH143" s="86" t="str">
        <f t="shared" si="62"/>
        <v>"%USERPROFILE%\Documents\GitHub\eaglep3\Utilities\RefineRTDCRunTimes.py" --tripid 227-17 --locoid 4028 --swversion DE.1.0.9.0 --startMP 204:471 --initTime 2017-04-17T20:20:09 --startdatetime 2017-04-17T20:30:25 --delay 3 --endMP 204:233338 --enddatetime 2017-04-17T21:07:24 --enforcementcount 0 &gt;&gt;C:\Users\stu\Documents\GitHub\eaglep3-reporting\EC\2017-04-17-refined-times.txt</v>
      </c>
      <c r="AI143" s="104" t="str">
        <f t="shared" si="63"/>
        <v>echo {"issue":{"subject":"","project_id":79,"tracker_id":40,"status_id":1,"priority_id":2,"assigned_to_id":23,"start_date":"2017-04-17","description":"","custom_fields":[{"id":1,"name":"Subdivision","value":"EC"},{"id":4,"name":"Milepost","value":"23.3338"},{"id":17,"name":"Train ID","value":"227-17"},{"id":16,"name":"Locomotive ID","value":"4028"},{"id":130,"name":"Impact","value":""},{"id":150,"name":"Time of Event (Mountain Time)","value":"21:07:24"},{"id":151,"name":"Denver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8"/>
      <c r="AL143" s="48"/>
      <c r="AM143" s="150" t="str">
        <f t="shared" si="64"/>
        <v>start /low /b %USERPROFILE%\Documents\GitHub\eaglep3\Utilities\DownloadLogsFromS3.py --loco 4028 --day 2017-04-17</v>
      </c>
      <c r="AN143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03:07:24"},{"id":29,"name":"Sharepoint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821</v>
      </c>
      <c r="B144" s="7">
        <v>4027</v>
      </c>
      <c r="C144" s="21" t="s">
        <v>213</v>
      </c>
      <c r="D144" s="21" t="s">
        <v>914</v>
      </c>
      <c r="E144" s="13">
        <v>42842.885821759257</v>
      </c>
      <c r="F144" s="13">
        <v>42842.893541666665</v>
      </c>
      <c r="G144" s="7">
        <v>3</v>
      </c>
      <c r="H144" s="21" t="s">
        <v>496</v>
      </c>
      <c r="I144" s="13">
        <v>42842.921701388892</v>
      </c>
      <c r="J144" s="7">
        <v>0</v>
      </c>
      <c r="K144" s="97" t="str">
        <f t="shared" si="49"/>
        <v>4027/4028</v>
      </c>
      <c r="L144" s="21" t="str">
        <f>VLOOKUP(A144,'Trips&amp;Operators'!$C$1:$G$99999,5,FALSE)</f>
        <v>STORY SAMANTHA</v>
      </c>
      <c r="M144" s="6">
        <f t="shared" si="50"/>
        <v>2.8159722227428574E-2</v>
      </c>
      <c r="N144" s="7">
        <f t="shared" si="47"/>
        <v>40.550000007497147</v>
      </c>
      <c r="O144" s="7"/>
      <c r="P144" s="7"/>
      <c r="Q144" s="22"/>
      <c r="R144" s="22"/>
      <c r="S144" s="31">
        <f t="shared" si="48"/>
        <v>1</v>
      </c>
      <c r="T144" s="46" t="str">
        <f t="shared" si="51"/>
        <v>Southbound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52"/>
        <v>https://d0f6bd738d7f1b3e5a7ca70fe4ff75f0.us-east-1.aws.found.io/app/kibana#/discover/Steve-Slow-Train-Analysis-(2080s-and-2083s)?_g=(refreshInterval:(display:Off,pause:!f,section:0,value:0),time:(from:'2017-04-17T20:15:35-0600',mode:absolute,to:'2017-04-17T23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4" s="183" t="str">
        <f t="shared" si="53"/>
        <v>N</v>
      </c>
      <c r="X144" s="183">
        <f t="shared" si="54"/>
        <v>1</v>
      </c>
      <c r="Y144" s="62">
        <f t="shared" si="55"/>
        <v>23.303799999999999</v>
      </c>
      <c r="Z144" s="62">
        <f t="shared" si="56"/>
        <v>1.6299999999999999E-2</v>
      </c>
      <c r="AA144" s="62">
        <f t="shared" si="57"/>
        <v>23.287499999999998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8"/>
        <v>0228-17</v>
      </c>
      <c r="AE144" s="85" t="str">
        <f t="shared" si="59"/>
        <v>aws s3 cp s3://rtdc.mdm.uploadarchive.raw/RTDC4027/ "%USERPROFILE%\AppData\Local\Temp\OnboardLogs"\RTDC4027\2017-04-17 --exclude "*" --recursive --include "*20170417*" &amp; "%USERPROFILE%\Documents\GitHub\mrs-test-scripts\Headless Mode &amp; Sideloading\WalkAndUnGZ.bat" "%USERPROFILE%\AppData\Local\Temp\OnboardLogs"\RTDC4027\2017-04-17 &amp; aws s3 cp s3://rtdc.mdm.uploadarchive.raw/RTDC4027/ "%USERPROFILE%\AppData\Local\Temp\OnboardLogs"\RTDC4027\2017-04-18 --exclude "*" --recursive --include "*20170418*" &amp; "%USERPROFILE%\Documents\GitHub\mrs-test-scripts\Headless Mode &amp; Sideloading\WalkAndUnGZ.bat" "%USERPROFILE%\AppData\Local\Temp\OnboardLogs"\RTDC4027\2017-04-18</v>
      </c>
      <c r="AF144" s="82" t="str">
        <f t="shared" si="60"/>
        <v>"C:\Program Files (x86)\AstroGrep\AstroGrep.exe" /e /r /s /spath="%USERPROFILE%\AppData\Local\Temp\OnboardLogs" /stypes="app*4027*20170418*" /stext=" 04:.+((SYSTEM_STATE.+slice.+state.+changed )|(ment ac)|(multiple cpu faults)|(system.+state.+changed )|(\[timeout)|(PRM\|1\|D)|(kpr)|(kdp)|(\|lc)|(penalty))"</v>
      </c>
      <c r="AG144" s="1" t="str">
        <f t="shared" si="61"/>
        <v>EC</v>
      </c>
      <c r="AH144" s="86" t="str">
        <f t="shared" si="62"/>
        <v>"%USERPROFILE%\Documents\GitHub\eaglep3\Utilities\RefineRTDCRunTimes.py" --tripid 228-17 --locoid 4027 --swversion DE.1.0.9.0 --startMP 204:233038 --initTime 2017-04-17T21:15:35 --startdatetime 2017-04-17T21:26:42 --delay 3 --endMP 204:163 --enddatetime 2017-04-17T22:07:15 --enforcementcount 0 &gt;&gt;C:\Users\stu\Documents\GitHub\eaglep3-reporting\EC\2017-04-17-refined-times.txt</v>
      </c>
      <c r="AI144" s="104" t="str">
        <f t="shared" si="63"/>
        <v>echo {"issue":{"subject":"","project_id":79,"tracker_id":40,"status_id":1,"priority_id":2,"assigned_to_id":23,"start_date":"2017-04-17","description":"","custom_fields":[{"id":1,"name":"Subdivision","value":"EC"},{"id":4,"name":"Milepost","value":"0.0163"},{"id":17,"name":"Train ID","value":"228-17"},{"id":16,"name":"Locomotive ID","value":"4027"},{"id":130,"name":"Impact","value":""},{"id":150,"name":"Time of Event (Mountain Time)","value":"22:07:15"},{"id":151,"name":"Denver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64"/>
        <v>start /low /b %USERPROFILE%\Documents\GitHub\eaglep3\Utilities\DownloadLogsFromS3.py --loco 4027 --day 2017-04-17</v>
      </c>
      <c r="AN144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04:07:15"},{"id":29,"name":"Sharepoint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819</v>
      </c>
      <c r="B145" s="7">
        <v>4008</v>
      </c>
      <c r="C145" s="21" t="s">
        <v>213</v>
      </c>
      <c r="D145" s="21" t="s">
        <v>915</v>
      </c>
      <c r="E145" s="13">
        <v>42842.874525462961</v>
      </c>
      <c r="F145" s="13">
        <v>42842.875416666669</v>
      </c>
      <c r="G145" s="7">
        <v>1</v>
      </c>
      <c r="H145" s="21" t="s">
        <v>464</v>
      </c>
      <c r="I145" s="13">
        <v>42842.900613425925</v>
      </c>
      <c r="J145" s="7">
        <v>0</v>
      </c>
      <c r="K145" s="97" t="str">
        <f t="shared" si="49"/>
        <v>4007/4008</v>
      </c>
      <c r="L145" s="21" t="str">
        <f>VLOOKUP(A145,'Trips&amp;Operators'!$C$1:$G$99999,5,FALSE)</f>
        <v>CHANDLER KELVIN</v>
      </c>
      <c r="M145" s="6">
        <f t="shared" si="50"/>
        <v>2.5196759255777579E-2</v>
      </c>
      <c r="N145" s="7">
        <f t="shared" si="47"/>
        <v>36.283333328319713</v>
      </c>
      <c r="O145" s="7"/>
      <c r="P145" s="7"/>
      <c r="Q145" s="22"/>
      <c r="R145" s="22"/>
      <c r="S145" s="31">
        <f t="shared" si="48"/>
        <v>1</v>
      </c>
      <c r="T145" s="46" t="str">
        <f t="shared" si="51"/>
        <v>NorthBound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52"/>
        <v>https://d0f6bd738d7f1b3e5a7ca70fe4ff75f0.us-east-1.aws.found.io/app/kibana#/discover/Steve-Slow-Train-Analysis-(2080s-and-2083s)?_g=(refreshInterval:(display:Off,pause:!f,section:0,value:0),time:(from:'2017-04-17T19:59:19-0600',mode:absolute,to:'2017-04-17T22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5" s="183" t="str">
        <f t="shared" si="53"/>
        <v>N</v>
      </c>
      <c r="X145" s="183">
        <f t="shared" si="54"/>
        <v>1</v>
      </c>
      <c r="Y145" s="62">
        <f t="shared" si="55"/>
        <v>4.6399999999999997E-2</v>
      </c>
      <c r="Z145" s="62">
        <f t="shared" si="56"/>
        <v>23.3293</v>
      </c>
      <c r="AA145" s="62">
        <f t="shared" si="57"/>
        <v>23.282900000000001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8"/>
        <v>0229-17</v>
      </c>
      <c r="AE145" s="85" t="str">
        <f t="shared" si="59"/>
        <v>aws s3 cp s3://rtdc.mdm.uploadarchive.raw/RTDC4008/ "%USERPROFILE%\AppData\Local\Temp\OnboardLogs"\RTDC4008\2017-04-17 --exclude "*" --recursive --include "*20170417*" &amp; "%USERPROFILE%\Documents\GitHub\mrs-test-scripts\Headless Mode &amp; Sideloading\WalkAndUnGZ.bat" "%USERPROFILE%\AppData\Local\Temp\OnboardLogs"\RTDC4008\2017-04-17 &amp; aws s3 cp s3://rtdc.mdm.uploadarchive.raw/RTDC4008/ "%USERPROFILE%\AppData\Local\Temp\OnboardLogs"\RTDC4008\2017-04-18 --exclude "*" --recursive --include "*20170418*" &amp; "%USERPROFILE%\Documents\GitHub\mrs-test-scripts\Headless Mode &amp; Sideloading\WalkAndUnGZ.bat" "%USERPROFILE%\AppData\Local\Temp\OnboardLogs"\RTDC4008\2017-04-18</v>
      </c>
      <c r="AF145" s="82" t="str">
        <f t="shared" si="60"/>
        <v>"C:\Program Files (x86)\AstroGrep\AstroGrep.exe" /e /r /s /spath="%USERPROFILE%\AppData\Local\Temp\OnboardLogs" /stypes="app*4008*20170418*" /stext=" 03:.+((SYSTEM_STATE.+slice.+state.+changed )|(ment ac)|(multiple cpu faults)|(system.+state.+changed )|(\[timeout)|(PRM\|1\|D)|(kpr)|(kdp)|(\|lc)|(penalty))"</v>
      </c>
      <c r="AG145" s="1" t="str">
        <f t="shared" si="61"/>
        <v>EC</v>
      </c>
      <c r="AH145" s="86" t="str">
        <f t="shared" si="62"/>
        <v>"%USERPROFILE%\Documents\GitHub\eaglep3\Utilities\RefineRTDCRunTimes.py" --tripid 229-17 --locoid 4008 --swversion DE.1.0.9.0 --startMP 204:464 --initTime 2017-04-17T20:59:19 --startdatetime 2017-04-17T21:00:36 --delay 1 --endMP 204:233293 --enddatetime 2017-04-17T21:36:53 --enforcementcount 0 &gt;&gt;C:\Users\stu\Documents\GitHub\eaglep3-reporting\EC\2017-04-17-refined-times.txt</v>
      </c>
      <c r="AI145" s="104" t="str">
        <f t="shared" si="63"/>
        <v>echo {"issue":{"subject":"","project_id":79,"tracker_id":40,"status_id":1,"priority_id":2,"assigned_to_id":23,"start_date":"2017-04-17","description":"","custom_fields":[{"id":1,"name":"Subdivision","value":"EC"},{"id":4,"name":"Milepost","value":"23.3293"},{"id":17,"name":"Train ID","value":"229-17"},{"id":16,"name":"Locomotive ID","value":"4008"},{"id":130,"name":"Impact","value":""},{"id":150,"name":"Time of Event (Mountain Time)","value":"21:36:53"},{"id":151,"name":"Denver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64"/>
        <v>start /low /b %USERPROFILE%\Documents\GitHub\eaglep3\Utilities\DownloadLogsFromS3.py --loco 4008 --day 2017-04-17</v>
      </c>
      <c r="AN145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03:36:53"},{"id":29,"name":"Sharepoint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824</v>
      </c>
      <c r="B146" s="7">
        <v>4007</v>
      </c>
      <c r="C146" s="21" t="s">
        <v>213</v>
      </c>
      <c r="D146" s="21" t="s">
        <v>571</v>
      </c>
      <c r="E146" s="13">
        <v>42842.911446759259</v>
      </c>
      <c r="F146" s="13">
        <v>42842.914236111108</v>
      </c>
      <c r="G146" s="7">
        <v>1</v>
      </c>
      <c r="H146" s="21" t="s">
        <v>401</v>
      </c>
      <c r="I146" s="13">
        <v>42842.941736111112</v>
      </c>
      <c r="J146" s="7">
        <v>0</v>
      </c>
      <c r="K146" s="97" t="str">
        <f t="shared" si="49"/>
        <v>4007/4008</v>
      </c>
      <c r="L146" s="21" t="str">
        <f>VLOOKUP(A146,'Trips&amp;Operators'!$C$1:$G$99999,5,FALSE)</f>
        <v>CHANDLER KELVIN</v>
      </c>
      <c r="M146" s="6">
        <f t="shared" si="50"/>
        <v>2.7500000003783498E-2</v>
      </c>
      <c r="N146" s="7">
        <f t="shared" si="47"/>
        <v>39.600000005448237</v>
      </c>
      <c r="O146" s="7"/>
      <c r="P146" s="7"/>
      <c r="Q146" s="22"/>
      <c r="R146" s="22"/>
      <c r="S146" s="31">
        <f t="shared" si="48"/>
        <v>1</v>
      </c>
      <c r="T146" s="46" t="str">
        <f t="shared" si="51"/>
        <v>Southbound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52"/>
        <v>https://d0f6bd738d7f1b3e5a7ca70fe4ff75f0.us-east-1.aws.found.io/app/kibana#/discover/Steve-Slow-Train-Analysis-(2080s-and-2083s)?_g=(refreshInterval:(display:Off,pause:!f,section:0,value:0),time:(from:'2017-04-17T20:52:29-0600',mode:absolute,to:'2017-04-17T23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6" s="183" t="str">
        <f t="shared" si="53"/>
        <v>N</v>
      </c>
      <c r="X146" s="183">
        <f t="shared" si="54"/>
        <v>1</v>
      </c>
      <c r="Y146" s="62">
        <f t="shared" si="55"/>
        <v>23.297000000000001</v>
      </c>
      <c r="Z146" s="62">
        <f t="shared" si="56"/>
        <v>1.41E-2</v>
      </c>
      <c r="AA146" s="62">
        <f t="shared" si="57"/>
        <v>23.282900000000001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8"/>
        <v>0230-17</v>
      </c>
      <c r="AE146" s="85" t="str">
        <f t="shared" si="59"/>
        <v>aws s3 cp s3://rtdc.mdm.uploadarchive.raw/RTDC4007/ "%USERPROFILE%\AppData\Local\Temp\OnboardLogs"\RTDC4007\2017-04-17 --exclude "*" --recursive --include "*20170417*" &amp; "%USERPROFILE%\Documents\GitHub\mrs-test-scripts\Headless Mode &amp; Sideloading\WalkAndUnGZ.bat" "%USERPROFILE%\AppData\Local\Temp\OnboardLogs"\RTDC4007\2017-04-17 &amp; aws s3 cp s3://rtdc.mdm.uploadarchive.raw/RTDC4007/ "%USERPROFILE%\AppData\Local\Temp\OnboardLogs"\RTDC4007\2017-04-18 --exclude "*" --recursive --include "*20170418*" &amp; "%USERPROFILE%\Documents\GitHub\mrs-test-scripts\Headless Mode &amp; Sideloading\WalkAndUnGZ.bat" "%USERPROFILE%\AppData\Local\Temp\OnboardLogs"\RTDC4007\2017-04-18</v>
      </c>
      <c r="AF146" s="82" t="str">
        <f t="shared" si="60"/>
        <v>"C:\Program Files (x86)\AstroGrep\AstroGrep.exe" /e /r /s /spath="%USERPROFILE%\AppData\Local\Temp\OnboardLogs" /stypes="app*4007*20170418*" /stext=" 04:.+((SYSTEM_STATE.+slice.+state.+changed )|(ment ac)|(multiple cpu faults)|(system.+state.+changed )|(\[timeout)|(PRM\|1\|D)|(kpr)|(kdp)|(\|lc)|(penalty))"</v>
      </c>
      <c r="AG146" s="1" t="str">
        <f t="shared" si="61"/>
        <v>EC</v>
      </c>
      <c r="AH146" s="86" t="str">
        <f t="shared" si="62"/>
        <v>"%USERPROFILE%\Documents\GitHub\eaglep3\Utilities\RefineRTDCRunTimes.py" --tripid 230-17 --locoid 4007 --swversion DE.1.0.9.0 --startMP 204:232970 --initTime 2017-04-17T21:52:29 --startdatetime 2017-04-17T21:56:30 --delay 1 --endMP 204:141 --enddatetime 2017-04-17T22:36:06 --enforcementcount 0 &gt;&gt;C:\Users\stu\Documents\GitHub\eaglep3-reporting\EC\2017-04-17-refined-times.txt</v>
      </c>
      <c r="AI146" s="104" t="str">
        <f t="shared" si="63"/>
        <v>echo {"issue":{"subject":"","project_id":79,"tracker_id":40,"status_id":1,"priority_id":2,"assigned_to_id":23,"start_date":"2017-04-17","description":"","custom_fields":[{"id":1,"name":"Subdivision","value":"EC"},{"id":4,"name":"Milepost","value":"0.0141"},{"id":17,"name":"Train ID","value":"230-17"},{"id":16,"name":"Locomotive ID","value":"4007"},{"id":130,"name":"Impact","value":""},{"id":150,"name":"Time of Event (Mountain Time)","value":"22:36:06"},{"id":151,"name":"Denver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8"/>
      <c r="AL146" s="48"/>
      <c r="AM146" s="150" t="str">
        <f t="shared" si="64"/>
        <v>start /low /b %USERPROFILE%\Documents\GitHub\eaglep3\Utilities\DownloadLogsFromS3.py --loco 4007 --day 2017-04-17</v>
      </c>
      <c r="AN146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04:36:06"},{"id":29,"name":"Sharepoint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820</v>
      </c>
      <c r="B147" s="7">
        <v>4052</v>
      </c>
      <c r="C147" s="21" t="s">
        <v>213</v>
      </c>
      <c r="D147" s="21" t="s">
        <v>469</v>
      </c>
      <c r="E147" s="13">
        <v>42842.883969907409</v>
      </c>
      <c r="F147" s="13">
        <v>42842.89603009259</v>
      </c>
      <c r="G147" s="7">
        <v>1</v>
      </c>
      <c r="H147" s="21" t="s">
        <v>858</v>
      </c>
      <c r="I147" s="13">
        <v>42842.920972222222</v>
      </c>
      <c r="J147" s="7">
        <v>0</v>
      </c>
      <c r="K147" s="97" t="str">
        <f t="shared" si="49"/>
        <v>4051/4052</v>
      </c>
      <c r="L147" s="21" t="str">
        <f>VLOOKUP(A147,'Trips&amp;Operators'!$C$1:$G$99999,5,FALSE)</f>
        <v>SMITH MICHAEL</v>
      </c>
      <c r="M147" s="6">
        <f t="shared" si="50"/>
        <v>2.4942129632108845E-2</v>
      </c>
      <c r="N147" s="7">
        <f t="shared" si="47"/>
        <v>35.916666670236737</v>
      </c>
      <c r="O147" s="7"/>
      <c r="P147" s="7"/>
      <c r="Q147" s="22"/>
      <c r="R147" s="22"/>
      <c r="S147" s="31">
        <f t="shared" si="48"/>
        <v>1</v>
      </c>
      <c r="T147" s="46" t="str">
        <f t="shared" si="51"/>
        <v>NorthBound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52"/>
        <v>https://d0f6bd738d7f1b3e5a7ca70fe4ff75f0.us-east-1.aws.found.io/app/kibana#/discover/Steve-Slow-Train-Analysis-(2080s-and-2083s)?_g=(refreshInterval:(display:Off,pause:!f,section:0,value:0),time:(from:'2017-04-17T20:12:55-0600',mode:absolute,to:'2017-04-17T23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7" s="183" t="str">
        <f t="shared" si="53"/>
        <v>N</v>
      </c>
      <c r="X147" s="183">
        <f t="shared" si="54"/>
        <v>1</v>
      </c>
      <c r="Y147" s="62">
        <f t="shared" si="55"/>
        <v>4.7300000000000002E-2</v>
      </c>
      <c r="Z147" s="62">
        <f t="shared" si="56"/>
        <v>23.3308</v>
      </c>
      <c r="AA147" s="62">
        <f t="shared" si="57"/>
        <v>23.2835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8"/>
        <v>0231-17</v>
      </c>
      <c r="AE147" s="85" t="str">
        <f t="shared" si="59"/>
        <v>aws s3 cp s3://rtdc.mdm.uploadarchive.raw/RTDC4052/ "%USERPROFILE%\AppData\Local\Temp\OnboardLogs"\RTDC4052\2017-04-17 --exclude "*" --recursive --include "*20170417*" &amp; "%USERPROFILE%\Documents\GitHub\mrs-test-scripts\Headless Mode &amp; Sideloading\WalkAndUnGZ.bat" "%USERPROFILE%\AppData\Local\Temp\OnboardLogs"\RTDC4052\2017-04-17 &amp; aws s3 cp s3://rtdc.mdm.uploadarchive.raw/RTDC4052/ "%USERPROFILE%\AppData\Local\Temp\OnboardLogs"\RTDC4052\2017-04-18 --exclude "*" --recursive --include "*20170418*" &amp; "%USERPROFILE%\Documents\GitHub\mrs-test-scripts\Headless Mode &amp; Sideloading\WalkAndUnGZ.bat" "%USERPROFILE%\AppData\Local\Temp\OnboardLogs"\RTDC4052\2017-04-18</v>
      </c>
      <c r="AF147" s="82" t="str">
        <f t="shared" si="60"/>
        <v>"C:\Program Files (x86)\AstroGrep\AstroGrep.exe" /e /r /s /spath="%USERPROFILE%\AppData\Local\Temp\OnboardLogs" /stypes="app*4052*20170418*" /stext=" 04:.+((SYSTEM_STATE.+slice.+state.+changed )|(ment ac)|(multiple cpu faults)|(system.+state.+changed )|(\[timeout)|(PRM\|1\|D)|(kpr)|(kdp)|(\|lc)|(penalty))"</v>
      </c>
      <c r="AG147" s="1" t="str">
        <f t="shared" si="61"/>
        <v>EC</v>
      </c>
      <c r="AH147" s="86" t="str">
        <f t="shared" si="62"/>
        <v>"%USERPROFILE%\Documents\GitHub\eaglep3\Utilities\RefineRTDCRunTimes.py" --tripid 231-17 --locoid 4052 --swversion DE.1.0.9.0 --startMP 204:473 --initTime 2017-04-17T21:12:55 --startdatetime 2017-04-17T21:30:17 --delay 1 --endMP 204:233308 --enddatetime 2017-04-17T22:06:12 --enforcementcount 0 &gt;&gt;C:\Users\stu\Documents\GitHub\eaglep3-reporting\EC\2017-04-17-refined-times.txt</v>
      </c>
      <c r="AI147" s="104" t="str">
        <f t="shared" si="63"/>
        <v>echo {"issue":{"subject":"","project_id":79,"tracker_id":40,"status_id":1,"priority_id":2,"assigned_to_id":23,"start_date":"2017-04-17","description":"","custom_fields":[{"id":1,"name":"Subdivision","value":"EC"},{"id":4,"name":"Milepost","value":"23.3308"},{"id":17,"name":"Train ID","value":"231-17"},{"id":16,"name":"Locomotive ID","value":"4052"},{"id":130,"name":"Impact","value":""},{"id":150,"name":"Time of Event (Mountain Time)","value":"22:06:12"},{"id":151,"name":"Denver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64"/>
        <v>start /low /b %USERPROFILE%\Documents\GitHub\eaglep3\Utilities\DownloadLogsFromS3.py --loco 4052 --day 2017-04-17</v>
      </c>
      <c r="AN147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04:06:12"},{"id":29,"name":"Sharepoint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3" t="s">
        <v>826</v>
      </c>
      <c r="B148" s="7">
        <v>4051</v>
      </c>
      <c r="C148" s="21" t="s">
        <v>213</v>
      </c>
      <c r="D148" s="21" t="s">
        <v>542</v>
      </c>
      <c r="E148" s="13">
        <v>42842.926238425927</v>
      </c>
      <c r="F148" s="13">
        <v>42842.935069444444</v>
      </c>
      <c r="G148" s="7">
        <v>1</v>
      </c>
      <c r="H148" s="21" t="s">
        <v>568</v>
      </c>
      <c r="I148" s="13">
        <v>42842.96193287037</v>
      </c>
      <c r="J148" s="7">
        <v>0</v>
      </c>
      <c r="K148" s="97" t="str">
        <f t="shared" si="49"/>
        <v>4051/4052</v>
      </c>
      <c r="L148" s="21" t="str">
        <f>VLOOKUP(A148,'Trips&amp;Operators'!$C$1:$G$99999,5,FALSE)</f>
        <v>SMITH MICHAEL</v>
      </c>
      <c r="M148" s="6">
        <f t="shared" si="50"/>
        <v>2.6863425926421769E-2</v>
      </c>
      <c r="N148" s="7">
        <f t="shared" si="47"/>
        <v>38.683333334047347</v>
      </c>
      <c r="O148" s="7"/>
      <c r="P148" s="7"/>
      <c r="Q148" s="22"/>
      <c r="R148" s="22"/>
      <c r="S148" s="31">
        <f t="shared" si="48"/>
        <v>1</v>
      </c>
      <c r="T148" s="46" t="str">
        <f t="shared" si="51"/>
        <v>Southbound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52"/>
        <v>https://d0f6bd738d7f1b3e5a7ca70fe4ff75f0.us-east-1.aws.found.io/app/kibana#/discover/Steve-Slow-Train-Analysis-(2080s-and-2083s)?_g=(refreshInterval:(display:Off,pause:!f,section:0,value:0),time:(from:'2017-04-17T21:13:47-0600',mode:absolute,to:'2017-04-18T00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8" s="183" t="str">
        <f t="shared" si="53"/>
        <v>N</v>
      </c>
      <c r="X148" s="183">
        <f t="shared" si="54"/>
        <v>1</v>
      </c>
      <c r="Y148" s="62">
        <f t="shared" si="55"/>
        <v>23.297899999999998</v>
      </c>
      <c r="Z148" s="62">
        <f t="shared" si="56"/>
        <v>1.67E-2</v>
      </c>
      <c r="AA148" s="62">
        <f t="shared" si="57"/>
        <v>23.281199999999998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8"/>
        <v>0232-17</v>
      </c>
      <c r="AE148" s="85" t="str">
        <f t="shared" si="59"/>
        <v>aws s3 cp s3://rtdc.mdm.uploadarchive.raw/RTDC4051/ "%USERPROFILE%\AppData\Local\Temp\OnboardLogs"\RTDC4051\2017-04-17 --exclude "*" --recursive --include "*20170417*" &amp; "%USERPROFILE%\Documents\GitHub\mrs-test-scripts\Headless Mode &amp; Sideloading\WalkAndUnGZ.bat" "%USERPROFILE%\AppData\Local\Temp\OnboardLogs"\RTDC4051\2017-04-17 &amp; aws s3 cp s3://rtdc.mdm.uploadarchive.raw/RTDC4051/ "%USERPROFILE%\AppData\Local\Temp\OnboardLogs"\RTDC4051\2017-04-18 --exclude "*" --recursive --include "*20170418*" &amp; "%USERPROFILE%\Documents\GitHub\mrs-test-scripts\Headless Mode &amp; Sideloading\WalkAndUnGZ.bat" "%USERPROFILE%\AppData\Local\Temp\OnboardLogs"\RTDC4051\2017-04-18</v>
      </c>
      <c r="AF148" s="82" t="str">
        <f t="shared" si="60"/>
        <v>"C:\Program Files (x86)\AstroGrep\AstroGrep.exe" /e /r /s /spath="%USERPROFILE%\AppData\Local\Temp\OnboardLogs" /stypes="app*4051*20170418*" /stext=" 05:.+((SYSTEM_STATE.+slice.+state.+changed )|(ment ac)|(multiple cpu faults)|(system.+state.+changed )|(\[timeout)|(PRM\|1\|D)|(kpr)|(kdp)|(\|lc)|(penalty))"</v>
      </c>
      <c r="AG148" s="1" t="str">
        <f t="shared" si="61"/>
        <v>EC</v>
      </c>
      <c r="AH148" s="86" t="str">
        <f t="shared" si="62"/>
        <v>"%USERPROFILE%\Documents\GitHub\eaglep3\Utilities\RefineRTDCRunTimes.py" --tripid 232-17 --locoid 4051 --swversion DE.1.0.9.0 --startMP 204:232979 --initTime 2017-04-17T22:13:47 --startdatetime 2017-04-17T22:26:30 --delay 1 --endMP 204:167 --enddatetime 2017-04-17T23:05:11 --enforcementcount 0 &gt;&gt;C:\Users\stu\Documents\GitHub\eaglep3-reporting\EC\2017-04-17-refined-times.txt</v>
      </c>
      <c r="AI148" s="104" t="str">
        <f t="shared" si="63"/>
        <v>echo {"issue":{"subject":"","project_id":79,"tracker_id":40,"status_id":1,"priority_id":2,"assigned_to_id":23,"start_date":"2017-04-17","description":"","custom_fields":[{"id":1,"name":"Subdivision","value":"EC"},{"id":4,"name":"Milepost","value":"0.0167"},{"id":17,"name":"Train ID","value":"232-17"},{"id":16,"name":"Locomotive ID","value":"4051"},{"id":130,"name":"Impact","value":""},{"id":150,"name":"Time of Event (Mountain Time)","value":"23:05:11"},{"id":151,"name":"Denver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20"/>
      <c r="AK148" s="48"/>
      <c r="AL148" s="48"/>
      <c r="AM148" s="150" t="str">
        <f t="shared" si="64"/>
        <v>start /low /b %USERPROFILE%\Documents\GitHub\eaglep3\Utilities\DownloadLogsFromS3.py --loco 4051 --day 2017-04-17</v>
      </c>
      <c r="AN148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05:05:11"},{"id":29,"name":"Sharepoint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9" spans="1:91" s="20" customFormat="1" x14ac:dyDescent="0.25">
      <c r="A149" s="33" t="s">
        <v>823</v>
      </c>
      <c r="B149" s="7">
        <v>4054</v>
      </c>
      <c r="C149" s="21" t="s">
        <v>213</v>
      </c>
      <c r="D149" s="21" t="s">
        <v>916</v>
      </c>
      <c r="E149" s="13">
        <v>42842.901018518518</v>
      </c>
      <c r="F149" s="13">
        <v>42842.917210648149</v>
      </c>
      <c r="G149" s="7">
        <v>1</v>
      </c>
      <c r="H149" s="21" t="s">
        <v>917</v>
      </c>
      <c r="I149" s="13">
        <v>42842.941678240742</v>
      </c>
      <c r="J149" s="7">
        <v>0</v>
      </c>
      <c r="K149" s="97" t="str">
        <f t="shared" si="49"/>
        <v>4053/4054</v>
      </c>
      <c r="L149" s="21" t="str">
        <f>VLOOKUP(A149,'Trips&amp;Operators'!$C$1:$G$99999,5,FALSE)</f>
        <v>STAMBAUGH JAMES</v>
      </c>
      <c r="M149" s="6">
        <f t="shared" si="50"/>
        <v>2.4467592593282461E-2</v>
      </c>
      <c r="N149" s="7">
        <f t="shared" si="47"/>
        <v>35.233333334326744</v>
      </c>
      <c r="O149" s="7"/>
      <c r="P149" s="7"/>
      <c r="Q149" s="22"/>
      <c r="R149" s="22"/>
      <c r="S149" s="31">
        <f t="shared" si="48"/>
        <v>1</v>
      </c>
      <c r="T149" s="46" t="str">
        <f t="shared" si="51"/>
        <v>NorthBound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52"/>
        <v>https://d0f6bd738d7f1b3e5a7ca70fe4ff75f0.us-east-1.aws.found.io/app/kibana#/discover/Steve-Slow-Train-Analysis-(2080s-and-2083s)?_g=(refreshInterval:(display:Off,pause:!f,section:0,value:0),time:(from:'2017-04-17T20:37:28-0600',mode:absolute,to:'2017-04-17T23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9" s="183" t="str">
        <f t="shared" si="53"/>
        <v>N</v>
      </c>
      <c r="X149" s="183">
        <f t="shared" si="54"/>
        <v>1</v>
      </c>
      <c r="Y149" s="62">
        <f t="shared" si="55"/>
        <v>4.3099999999999999E-2</v>
      </c>
      <c r="Z149" s="62">
        <f t="shared" si="56"/>
        <v>23.334199999999999</v>
      </c>
      <c r="AA149" s="62">
        <f t="shared" si="57"/>
        <v>23.2911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8"/>
        <v>0233-17</v>
      </c>
      <c r="AE149" s="85" t="str">
        <f t="shared" si="59"/>
        <v>aws s3 cp s3://rtdc.mdm.uploadarchive.raw/RTDC4054/ "%USERPROFILE%\AppData\Local\Temp\OnboardLogs"\RTDC4054\2017-04-17 --exclude "*" --recursive --include "*20170417*" &amp; "%USERPROFILE%\Documents\GitHub\mrs-test-scripts\Headless Mode &amp; Sideloading\WalkAndUnGZ.bat" "%USERPROFILE%\AppData\Local\Temp\OnboardLogs"\RTDC4054\2017-04-17 &amp; aws s3 cp s3://rtdc.mdm.uploadarchive.raw/RTDC4054/ "%USERPROFILE%\AppData\Local\Temp\OnboardLogs"\RTDC4054\2017-04-18 --exclude "*" --recursive --include "*20170418*" &amp; "%USERPROFILE%\Documents\GitHub\mrs-test-scripts\Headless Mode &amp; Sideloading\WalkAndUnGZ.bat" "%USERPROFILE%\AppData\Local\Temp\OnboardLogs"\RTDC4054\2017-04-18</v>
      </c>
      <c r="AF149" s="82" t="str">
        <f t="shared" si="60"/>
        <v>"C:\Program Files (x86)\AstroGrep\AstroGrep.exe" /e /r /s /spath="%USERPROFILE%\AppData\Local\Temp\OnboardLogs" /stypes="app*4054*20170418*" /stext=" 04:.+((SYSTEM_STATE.+slice.+state.+changed )|(ment ac)|(multiple cpu faults)|(system.+state.+changed )|(\[timeout)|(PRM\|1\|D)|(kpr)|(kdp)|(\|lc)|(penalty))"</v>
      </c>
      <c r="AG149" s="1" t="str">
        <f t="shared" si="61"/>
        <v>EC</v>
      </c>
      <c r="AH149" s="86" t="str">
        <f t="shared" si="62"/>
        <v>"%USERPROFILE%\Documents\GitHub\eaglep3\Utilities\RefineRTDCRunTimes.py" --tripid 233-17 --locoid 4054 --swversion DE.1.0.9.0 --startMP 204:431 --initTime 2017-04-17T21:37:28 --startdatetime 2017-04-17T22:00:47 --delay 1 --endMP 204:233342 --enddatetime 2017-04-17T22:36:01 --enforcementcount 0 &gt;&gt;C:\Users\stu\Documents\GitHub\eaglep3-reporting\EC\2017-04-17-refined-times.txt</v>
      </c>
      <c r="AI149" s="104" t="str">
        <f t="shared" si="63"/>
        <v>echo {"issue":{"subject":"","project_id":79,"tracker_id":40,"status_id":1,"priority_id":2,"assigned_to_id":23,"start_date":"2017-04-17","description":"","custom_fields":[{"id":1,"name":"Subdivision","value":"EC"},{"id":4,"name":"Milepost","value":"23.3342"},{"id":17,"name":"Train ID","value":"233-17"},{"id":16,"name":"Locomotive ID","value":"4054"},{"id":130,"name":"Impact","value":""},{"id":150,"name":"Time of Event (Mountain Time)","value":"22:36:01"},{"id":151,"name":"Denver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8"/>
      <c r="AL149" s="48"/>
      <c r="AM149" s="150" t="str">
        <f t="shared" si="64"/>
        <v>start /low /b %USERPROFILE%\Documents\GitHub\eaglep3\Utilities\DownloadLogsFromS3.py --loco 4054 --day 2017-04-17</v>
      </c>
      <c r="AN149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04:36:01"},{"id":29,"name":"Sharepoint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829</v>
      </c>
      <c r="B150" s="7">
        <v>4053</v>
      </c>
      <c r="C150" s="21" t="s">
        <v>213</v>
      </c>
      <c r="D150" s="21" t="s">
        <v>918</v>
      </c>
      <c r="E150" s="13">
        <v>42842.953379629631</v>
      </c>
      <c r="F150" s="13">
        <v>42842.955983796295</v>
      </c>
      <c r="G150" s="7">
        <v>1</v>
      </c>
      <c r="H150" s="21" t="s">
        <v>919</v>
      </c>
      <c r="I150" s="13">
        <v>42842.982719907406</v>
      </c>
      <c r="J150" s="7">
        <v>0</v>
      </c>
      <c r="K150" s="97" t="str">
        <f t="shared" si="49"/>
        <v>4053/4054</v>
      </c>
      <c r="L150" s="21" t="str">
        <f>VLOOKUP(A150,'Trips&amp;Operators'!$C$1:$G$99999,5,FALSE)</f>
        <v>STAMBAUGH JAMES</v>
      </c>
      <c r="M150" s="6">
        <f t="shared" si="50"/>
        <v>2.6736111110949423E-2</v>
      </c>
      <c r="N150" s="7">
        <f t="shared" si="47"/>
        <v>38.499999999767169</v>
      </c>
      <c r="O150" s="7"/>
      <c r="P150" s="7"/>
      <c r="Q150" s="22"/>
      <c r="R150" s="22"/>
      <c r="S150" s="31">
        <f t="shared" si="48"/>
        <v>1</v>
      </c>
      <c r="T150" s="46" t="str">
        <f t="shared" si="51"/>
        <v>Southbound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52"/>
        <v>https://d0f6bd738d7f1b3e5a7ca70fe4ff75f0.us-east-1.aws.found.io/app/kibana#/discover/Steve-Slow-Train-Analysis-(2080s-and-2083s)?_g=(refreshInterval:(display:Off,pause:!f,section:0,value:0),time:(from:'2017-04-17T21:52:52-0600',mode:absolute,to:'2017-04-18T00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0" s="183" t="str">
        <f t="shared" si="53"/>
        <v>N</v>
      </c>
      <c r="X150" s="183">
        <f t="shared" si="54"/>
        <v>1</v>
      </c>
      <c r="Y150" s="62">
        <f t="shared" si="55"/>
        <v>23.314499999999999</v>
      </c>
      <c r="Z150" s="62">
        <f t="shared" si="56"/>
        <v>8.3000000000000001E-3</v>
      </c>
      <c r="AA150" s="62">
        <f t="shared" si="57"/>
        <v>23.3062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8"/>
        <v>0234-17</v>
      </c>
      <c r="AE150" s="85" t="str">
        <f t="shared" si="59"/>
        <v>aws s3 cp s3://rtdc.mdm.uploadarchive.raw/RTDC4053/ "%USERPROFILE%\AppData\Local\Temp\OnboardLogs"\RTDC4053\2017-04-17 --exclude "*" --recursive --include "*20170417*" &amp; "%USERPROFILE%\Documents\GitHub\mrs-test-scripts\Headless Mode &amp; Sideloading\WalkAndUnGZ.bat" "%USERPROFILE%\AppData\Local\Temp\OnboardLogs"\RTDC4053\2017-04-17 &amp; aws s3 cp s3://rtdc.mdm.uploadarchive.raw/RTDC4053/ "%USERPROFILE%\AppData\Local\Temp\OnboardLogs"\RTDC4053\2017-04-18 --exclude "*" --recursive --include "*20170418*" &amp; "%USERPROFILE%\Documents\GitHub\mrs-test-scripts\Headless Mode &amp; Sideloading\WalkAndUnGZ.bat" "%USERPROFILE%\AppData\Local\Temp\OnboardLogs"\RTDC4053\2017-04-18</v>
      </c>
      <c r="AF150" s="82" t="str">
        <f t="shared" si="60"/>
        <v>"C:\Program Files (x86)\AstroGrep\AstroGrep.exe" /e /r /s /spath="%USERPROFILE%\AppData\Local\Temp\OnboardLogs" /stypes="app*4053*20170418*" /stext=" 05:.+((SYSTEM_STATE.+slice.+state.+changed )|(ment ac)|(multiple cpu faults)|(system.+state.+changed )|(\[timeout)|(PRM\|1\|D)|(kpr)|(kdp)|(\|lc)|(penalty))"</v>
      </c>
      <c r="AG150" s="1" t="str">
        <f t="shared" si="61"/>
        <v>EC</v>
      </c>
      <c r="AH150" s="86" t="str">
        <f t="shared" si="62"/>
        <v>"%USERPROFILE%\Documents\GitHub\eaglep3\Utilities\RefineRTDCRunTimes.py" --tripid 234-17 --locoid 4053 --swversion DE.1.0.9.0 --startMP 204:233145 --initTime 2017-04-17T22:52:52 --startdatetime 2017-04-17T22:56:37 --delay 1 --endMP 204:83 --enddatetime 2017-04-17T23:35:07 --enforcementcount 0 &gt;&gt;C:\Users\stu\Documents\GitHub\eaglep3-reporting\EC\2017-04-17-refined-times.txt</v>
      </c>
      <c r="AI150" s="104" t="str">
        <f t="shared" si="63"/>
        <v>echo {"issue":{"subject":"","project_id":79,"tracker_id":40,"status_id":1,"priority_id":2,"assigned_to_id":23,"start_date":"2017-04-17","description":"","custom_fields":[{"id":1,"name":"Subdivision","value":"EC"},{"id":4,"name":"Milepost","value":"0.0083"},{"id":17,"name":"Train ID","value":"234-17"},{"id":16,"name":"Locomotive ID","value":"4053"},{"id":130,"name":"Impact","value":""},{"id":150,"name":"Time of Event (Mountain Time)","value":"23:35:07"},{"id":151,"name":"Denver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8"/>
      <c r="AL150" s="48"/>
      <c r="AM150" s="150" t="str">
        <f t="shared" si="64"/>
        <v>start /low /b %USERPROFILE%\Documents\GitHub\eaglep3\Utilities\DownloadLogsFromS3.py --loco 4053 --day 2017-04-17</v>
      </c>
      <c r="AN150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05:35:07"},{"id":29,"name":"Sharepoint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827</v>
      </c>
      <c r="B151" s="7">
        <v>4028</v>
      </c>
      <c r="C151" s="21" t="s">
        <v>213</v>
      </c>
      <c r="D151" s="21" t="s">
        <v>417</v>
      </c>
      <c r="E151" s="13">
        <v>42842.933310185188</v>
      </c>
      <c r="F151" s="13">
        <v>42842.937997685185</v>
      </c>
      <c r="G151" s="7">
        <v>1</v>
      </c>
      <c r="H151" s="21" t="s">
        <v>530</v>
      </c>
      <c r="I151" s="13">
        <v>42842.96434027778</v>
      </c>
      <c r="J151" s="7">
        <v>0</v>
      </c>
      <c r="K151" s="97" t="str">
        <f t="shared" si="49"/>
        <v>4027/4028</v>
      </c>
      <c r="L151" s="21" t="str">
        <f>VLOOKUP(A151,'Trips&amp;Operators'!$C$1:$G$99999,5,FALSE)</f>
        <v>STORY SAMANTHA</v>
      </c>
      <c r="M151" s="6">
        <f t="shared" si="50"/>
        <v>2.6342592595028691E-2</v>
      </c>
      <c r="N151" s="7">
        <f t="shared" si="47"/>
        <v>37.933333336841315</v>
      </c>
      <c r="O151" s="7"/>
      <c r="P151" s="7"/>
      <c r="Q151" s="22"/>
      <c r="R151" s="22"/>
      <c r="S151" s="31">
        <f t="shared" si="48"/>
        <v>1</v>
      </c>
      <c r="T151" s="46" t="str">
        <f t="shared" si="51"/>
        <v>NorthBound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52"/>
        <v>https://d0f6bd738d7f1b3e5a7ca70fe4ff75f0.us-east-1.aws.found.io/app/kibana#/discover/Steve-Slow-Train-Analysis-(2080s-and-2083s)?_g=(refreshInterval:(display:Off,pause:!f,section:0,value:0),time:(from:'2017-04-17T21:23:58-0600',mode:absolute,to:'2017-04-18T00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1" s="183" t="str">
        <f t="shared" si="53"/>
        <v>N</v>
      </c>
      <c r="X151" s="183">
        <f t="shared" si="54"/>
        <v>1</v>
      </c>
      <c r="Y151" s="62">
        <f t="shared" si="55"/>
        <v>4.58E-2</v>
      </c>
      <c r="Z151" s="62">
        <f t="shared" si="56"/>
        <v>23.333100000000002</v>
      </c>
      <c r="AA151" s="62">
        <f t="shared" si="57"/>
        <v>23.287300000000002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8"/>
        <v>0235-17</v>
      </c>
      <c r="AE151" s="85" t="str">
        <f t="shared" si="59"/>
        <v>aws s3 cp s3://rtdc.mdm.uploadarchive.raw/RTDC4028/ "%USERPROFILE%\AppData\Local\Temp\OnboardLogs"\RTDC4028\2017-04-17 --exclude "*" --recursive --include "*20170417*" &amp; "%USERPROFILE%\Documents\GitHub\mrs-test-scripts\Headless Mode &amp; Sideloading\WalkAndUnGZ.bat" "%USERPROFILE%\AppData\Local\Temp\OnboardLogs"\RTDC4028\2017-04-17 &amp; aws s3 cp s3://rtdc.mdm.uploadarchive.raw/RTDC4028/ "%USERPROFILE%\AppData\Local\Temp\OnboardLogs"\RTDC4028\2017-04-18 --exclude "*" --recursive --include "*20170418*" &amp; "%USERPROFILE%\Documents\GitHub\mrs-test-scripts\Headless Mode &amp; Sideloading\WalkAndUnGZ.bat" "%USERPROFILE%\AppData\Local\Temp\OnboardLogs"\RTDC4028\2017-04-18</v>
      </c>
      <c r="AF151" s="82" t="str">
        <f t="shared" si="60"/>
        <v>"C:\Program Files (x86)\AstroGrep\AstroGrep.exe" /e /r /s /spath="%USERPROFILE%\AppData\Local\Temp\OnboardLogs" /stypes="app*4028*20170418*" /stext=" 05:.+((SYSTEM_STATE.+slice.+state.+changed )|(ment ac)|(multiple cpu faults)|(system.+state.+changed )|(\[timeout)|(PRM\|1\|D)|(kpr)|(kdp)|(\|lc)|(penalty))"</v>
      </c>
      <c r="AG151" s="1" t="str">
        <f t="shared" si="61"/>
        <v>EC</v>
      </c>
      <c r="AH151" s="86" t="str">
        <f t="shared" si="62"/>
        <v>"%USERPROFILE%\Documents\GitHub\eaglep3\Utilities\RefineRTDCRunTimes.py" --tripid 235-17 --locoid 4028 --swversion DE.1.0.9.0 --startMP 204:458 --initTime 2017-04-17T22:23:58 --startdatetime 2017-04-17T22:30:43 --delay 1 --endMP 204:233331 --enddatetime 2017-04-17T23:08:39 --enforcementcount 0 &gt;&gt;C:\Users\stu\Documents\GitHub\eaglep3-reporting\EC\2017-04-17-refined-times.txt</v>
      </c>
      <c r="AI151" s="104" t="str">
        <f t="shared" si="63"/>
        <v>echo {"issue":{"subject":"","project_id":79,"tracker_id":40,"status_id":1,"priority_id":2,"assigned_to_id":23,"start_date":"2017-04-17","description":"","custom_fields":[{"id":1,"name":"Subdivision","value":"EC"},{"id":4,"name":"Milepost","value":"23.3331"},{"id":17,"name":"Train ID","value":"235-17"},{"id":16,"name":"Locomotive ID","value":"4028"},{"id":130,"name":"Impact","value":""},{"id":150,"name":"Time of Event (Mountain Time)","value":"23:08:39"},{"id":151,"name":"Denver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8"/>
      <c r="AL151" s="48"/>
      <c r="AM151" s="150" t="str">
        <f t="shared" si="64"/>
        <v>start /low /b %USERPROFILE%\Documents\GitHub\eaglep3\Utilities\DownloadLogsFromS3.py --loco 4028 --day 2017-04-17</v>
      </c>
      <c r="AN151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05:08:39"},{"id":29,"name":"Sharepoint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3" t="s">
        <v>832</v>
      </c>
      <c r="B152" s="7">
        <v>4027</v>
      </c>
      <c r="C152" s="21" t="s">
        <v>213</v>
      </c>
      <c r="D152" s="21" t="s">
        <v>455</v>
      </c>
      <c r="E152" s="13">
        <v>42842.97042824074</v>
      </c>
      <c r="F152" s="13">
        <v>42842.976574074077</v>
      </c>
      <c r="G152" s="7">
        <v>1</v>
      </c>
      <c r="H152" s="21" t="s">
        <v>198</v>
      </c>
      <c r="I152" s="13">
        <v>42843.005208333336</v>
      </c>
      <c r="J152" s="7">
        <v>0</v>
      </c>
      <c r="K152" s="97" t="str">
        <f t="shared" si="49"/>
        <v>4027/4028</v>
      </c>
      <c r="L152" s="21" t="str">
        <f>VLOOKUP(A152,'Trips&amp;Operators'!$C$1:$G$99999,5,FALSE)</f>
        <v>STORY SAMANTHA</v>
      </c>
      <c r="M152" s="6">
        <f t="shared" si="50"/>
        <v>2.8634259258979E-2</v>
      </c>
      <c r="N152" s="7">
        <f t="shared" si="47"/>
        <v>41.23333333292976</v>
      </c>
      <c r="O152" s="7"/>
      <c r="P152" s="7"/>
      <c r="Q152" s="22"/>
      <c r="R152" s="22"/>
      <c r="S152" s="31">
        <f t="shared" si="48"/>
        <v>1</v>
      </c>
      <c r="T152" s="46" t="str">
        <f t="shared" si="51"/>
        <v>Southbound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52"/>
        <v>https://d0f6bd738d7f1b3e5a7ca70fe4ff75f0.us-east-1.aws.found.io/app/kibana#/discover/Steve-Slow-Train-Analysis-(2080s-and-2083s)?_g=(refreshInterval:(display:Off,pause:!f,section:0,value:0),time:(from:'2017-04-17T22:17:25-0600',mode:absolute,to:'2017-04-18T01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2" s="183" t="str">
        <f t="shared" si="53"/>
        <v>N</v>
      </c>
      <c r="X152" s="183">
        <f t="shared" si="54"/>
        <v>1</v>
      </c>
      <c r="Y152" s="62">
        <f t="shared" si="55"/>
        <v>23.3002</v>
      </c>
      <c r="Z152" s="62">
        <f t="shared" si="56"/>
        <v>1.5800000000000002E-2</v>
      </c>
      <c r="AA152" s="62">
        <f t="shared" si="57"/>
        <v>23.284400000000002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8"/>
        <v>0236-17</v>
      </c>
      <c r="AE152" s="85" t="str">
        <f t="shared" si="59"/>
        <v>aws s3 cp s3://rtdc.mdm.uploadarchive.raw/RTDC4027/ "%USERPROFILE%\AppData\Local\Temp\OnboardLogs"\RTDC4027\2017-04-17 --exclude "*" --recursive --include "*20170417*" &amp; "%USERPROFILE%\Documents\GitHub\mrs-test-scripts\Headless Mode &amp; Sideloading\WalkAndUnGZ.bat" "%USERPROFILE%\AppData\Local\Temp\OnboardLogs"\RTDC4027\2017-04-17 &amp; aws s3 cp s3://rtdc.mdm.uploadarchive.raw/RTDC4027/ "%USERPROFILE%\AppData\Local\Temp\OnboardLogs"\RTDC4027\2017-04-18 --exclude "*" --recursive --include "*20170418*" &amp; "%USERPROFILE%\Documents\GitHub\mrs-test-scripts\Headless Mode &amp; Sideloading\WalkAndUnGZ.bat" "%USERPROFILE%\AppData\Local\Temp\OnboardLogs"\RTDC4027\2017-04-18</v>
      </c>
      <c r="AF152" s="82" t="str">
        <f t="shared" si="60"/>
        <v>"C:\Program Files (x86)\AstroGrep\AstroGrep.exe" /e /r /s /spath="%USERPROFILE%\AppData\Local\Temp\OnboardLogs" /stypes="app*4027*20170418*" /stext=" 06:.+((SYSTEM_STATE.+slice.+state.+changed )|(ment ac)|(multiple cpu faults)|(system.+state.+changed )|(\[timeout)|(PRM\|1\|D)|(kpr)|(kdp)|(\|lc)|(penalty))"</v>
      </c>
      <c r="AG152" s="1" t="str">
        <f t="shared" si="61"/>
        <v>EC</v>
      </c>
      <c r="AH152" s="86" t="str">
        <f t="shared" si="62"/>
        <v>"%USERPROFILE%\Documents\GitHub\eaglep3\Utilities\RefineRTDCRunTimes.py" --tripid 236-17 --locoid 4027 --swversion DE.1.0.9.0 --startMP 204:233002 --initTime 2017-04-17T23:17:25 --startdatetime 2017-04-17T23:26:16 --delay 1 --endMP 204:158 --enddatetime 2017-04-18T00:07:30 --enforcementcount 0 &gt;&gt;C:\Users\stu\Documents\GitHub\eaglep3-reporting\EC\2017-04-17-refined-times.txt</v>
      </c>
      <c r="AI152" s="104" t="str">
        <f t="shared" si="63"/>
        <v>echo {"issue":{"subject":"","project_id":79,"tracker_id":40,"status_id":1,"priority_id":2,"assigned_to_id":23,"start_date":"2017-04-18","description":"","custom_fields":[{"id":1,"name":"Subdivision","value":"EC"},{"id":4,"name":"Milepost","value":"0.0158"},{"id":17,"name":"Train ID","value":"236-17"},{"id":16,"name":"Locomotive ID","value":"4027"},{"id":130,"name":"Impact","value":""},{"id":150,"name":"Time of Event (Mountain Time)","value":"00:07:30"},{"id":151,"name":"Denver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8"/>
      <c r="AL152" s="48"/>
      <c r="AM152" s="150" t="str">
        <f t="shared" si="64"/>
        <v>start /low /b %USERPROFILE%\Documents\GitHub\eaglep3\Utilities\DownloadLogsFromS3.py --loco 4027 --day 2017-04-17</v>
      </c>
      <c r="AN152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06:07:30"},{"id":29,"name":"Sharepoint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x14ac:dyDescent="0.25">
      <c r="A153" s="33" t="s">
        <v>830</v>
      </c>
      <c r="B153" s="7">
        <v>4008</v>
      </c>
      <c r="C153" s="21" t="s">
        <v>213</v>
      </c>
      <c r="D153" s="21" t="s">
        <v>468</v>
      </c>
      <c r="E153" s="13">
        <v>42842.955381944441</v>
      </c>
      <c r="F153" s="13">
        <v>42842.958634259259</v>
      </c>
      <c r="G153" s="7">
        <v>1</v>
      </c>
      <c r="H153" s="21" t="s">
        <v>920</v>
      </c>
      <c r="I153" s="13">
        <v>42842.983749999999</v>
      </c>
      <c r="J153" s="7">
        <v>0</v>
      </c>
      <c r="K153" s="97" t="str">
        <f t="shared" si="49"/>
        <v>4007/4008</v>
      </c>
      <c r="L153" s="21" t="str">
        <f>VLOOKUP(A153,'Trips&amp;Operators'!$C$1:$G$99999,5,FALSE)</f>
        <v>CHANDLER KELVIN</v>
      </c>
      <c r="M153" s="6">
        <f t="shared" si="50"/>
        <v>2.5115740740147885E-2</v>
      </c>
      <c r="N153" s="7">
        <f t="shared" si="47"/>
        <v>36.166666665812954</v>
      </c>
      <c r="O153" s="7"/>
      <c r="P153" s="7"/>
      <c r="Q153" s="22"/>
      <c r="R153" s="22"/>
      <c r="S153" s="31">
        <f t="shared" si="48"/>
        <v>1</v>
      </c>
      <c r="T153" s="46" t="str">
        <f t="shared" si="51"/>
        <v>NorthBound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52"/>
        <v>https://d0f6bd738d7f1b3e5a7ca70fe4ff75f0.us-east-1.aws.found.io/app/kibana#/discover/Steve-Slow-Train-Analysis-(2080s-and-2083s)?_g=(refreshInterval:(display:Off,pause:!f,section:0,value:0),time:(from:'2017-04-17T21:55:45-0600',mode:absolute,to:'2017-04-18T00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3" s="183" t="str">
        <f t="shared" si="53"/>
        <v>N</v>
      </c>
      <c r="X153" s="183">
        <f t="shared" si="54"/>
        <v>1</v>
      </c>
      <c r="Y153" s="62">
        <f t="shared" si="55"/>
        <v>4.4699999999999997E-2</v>
      </c>
      <c r="Z153" s="62">
        <f t="shared" si="56"/>
        <v>23.328099999999999</v>
      </c>
      <c r="AA153" s="62">
        <f t="shared" si="57"/>
        <v>23.2834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8"/>
        <v>0237-17</v>
      </c>
      <c r="AE153" s="85" t="str">
        <f t="shared" si="59"/>
        <v>aws s3 cp s3://rtdc.mdm.uploadarchive.raw/RTDC4008/ "%USERPROFILE%\AppData\Local\Temp\OnboardLogs"\RTDC4008\2017-04-17 --exclude "*" --recursive --include "*20170417*" &amp; "%USERPROFILE%\Documents\GitHub\mrs-test-scripts\Headless Mode &amp; Sideloading\WalkAndUnGZ.bat" "%USERPROFILE%\AppData\Local\Temp\OnboardLogs"\RTDC4008\2017-04-17 &amp; aws s3 cp s3://rtdc.mdm.uploadarchive.raw/RTDC4008/ "%USERPROFILE%\AppData\Local\Temp\OnboardLogs"\RTDC4008\2017-04-18 --exclude "*" --recursive --include "*20170418*" &amp; "%USERPROFILE%\Documents\GitHub\mrs-test-scripts\Headless Mode &amp; Sideloading\WalkAndUnGZ.bat" "%USERPROFILE%\AppData\Local\Temp\OnboardLogs"\RTDC4008\2017-04-18</v>
      </c>
      <c r="AF153" s="82" t="str">
        <f t="shared" si="60"/>
        <v>"C:\Program Files (x86)\AstroGrep\AstroGrep.exe" /e /r /s /spath="%USERPROFILE%\AppData\Local\Temp\OnboardLogs" /stypes="app*4008*20170418*" /stext=" 05:.+((SYSTEM_STATE.+slice.+state.+changed )|(ment ac)|(multiple cpu faults)|(system.+state.+changed )|(\[timeout)|(PRM\|1\|D)|(kpr)|(kdp)|(\|lc)|(penalty))"</v>
      </c>
      <c r="AG153" s="1" t="str">
        <f t="shared" si="61"/>
        <v>EC</v>
      </c>
      <c r="AH153" s="86" t="str">
        <f t="shared" si="62"/>
        <v>"%USERPROFILE%\Documents\GitHub\eaglep3\Utilities\RefineRTDCRunTimes.py" --tripid 237-17 --locoid 4008 --swversion DE.1.0.9.0 --startMP 204:447 --initTime 2017-04-17T22:55:45 --startdatetime 2017-04-17T23:00:26 --delay 1 --endMP 204:233281 --enddatetime 2017-04-17T23:36:36 --enforcementcount 0 &gt;&gt;C:\Users\stu\Documents\GitHub\eaglep3-reporting\EC\2017-04-17-refined-times.txt</v>
      </c>
      <c r="AI153" s="104" t="str">
        <f t="shared" si="63"/>
        <v>echo {"issue":{"subject":"","project_id":79,"tracker_id":40,"status_id":1,"priority_id":2,"assigned_to_id":23,"start_date":"2017-04-17","description":"","custom_fields":[{"id":1,"name":"Subdivision","value":"EC"},{"id":4,"name":"Milepost","value":"23.3281"},{"id":17,"name":"Train ID","value":"237-17"},{"id":16,"name":"Locomotive ID","value":"4008"},{"id":130,"name":"Impact","value":""},{"id":150,"name":"Time of Event (Mountain Time)","value":"23:36:36"},{"id":151,"name":"Denver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8"/>
      <c r="AL153" s="48"/>
      <c r="AM153" s="150" t="str">
        <f t="shared" si="64"/>
        <v>start /low /b %USERPROFILE%\Documents\GitHub\eaglep3\Utilities\DownloadLogsFromS3.py --loco 4008 --day 2017-04-17</v>
      </c>
      <c r="AN153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05:36:36"},{"id":29,"name":"Sharepoint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x14ac:dyDescent="0.25">
      <c r="A154" s="33" t="s">
        <v>834</v>
      </c>
      <c r="B154" s="7">
        <v>4007</v>
      </c>
      <c r="C154" s="21" t="s">
        <v>213</v>
      </c>
      <c r="D154" s="21" t="s">
        <v>396</v>
      </c>
      <c r="E154" s="13">
        <v>42842.995740740742</v>
      </c>
      <c r="F154" s="13">
        <v>42842.997523148151</v>
      </c>
      <c r="G154" s="7">
        <v>1</v>
      </c>
      <c r="H154" s="21" t="s">
        <v>496</v>
      </c>
      <c r="I154" s="13">
        <v>42843.025023148148</v>
      </c>
      <c r="J154" s="7">
        <v>0</v>
      </c>
      <c r="K154" s="97" t="str">
        <f t="shared" si="49"/>
        <v>4007/4008</v>
      </c>
      <c r="L154" s="21" t="str">
        <f>VLOOKUP(A154,'Trips&amp;Operators'!$C$1:$G$99999,5,FALSE)</f>
        <v>CHANDLER KELVIN</v>
      </c>
      <c r="M154" s="6">
        <f t="shared" si="50"/>
        <v>2.749999999650754E-2</v>
      </c>
      <c r="N154" s="7">
        <f t="shared" si="47"/>
        <v>39.599999994970858</v>
      </c>
      <c r="O154" s="7"/>
      <c r="P154" s="7"/>
      <c r="Q154" s="22"/>
      <c r="R154" s="22"/>
      <c r="S154" s="31">
        <f t="shared" si="48"/>
        <v>1</v>
      </c>
      <c r="T154" s="46" t="str">
        <f t="shared" si="51"/>
        <v>Southbound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52"/>
        <v>https://d0f6bd738d7f1b3e5a7ca70fe4ff75f0.us-east-1.aws.found.io/app/kibana#/discover/Steve-Slow-Train-Analysis-(2080s-and-2083s)?_g=(refreshInterval:(display:Off,pause:!f,section:0,value:0),time:(from:'2017-04-17T22:53:52-0600',mode:absolute,to:'2017-04-18T01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4" s="183" t="str">
        <f t="shared" si="53"/>
        <v>N</v>
      </c>
      <c r="X154" s="183">
        <f t="shared" si="54"/>
        <v>1</v>
      </c>
      <c r="Y154" s="62">
        <f t="shared" si="55"/>
        <v>23.297699999999999</v>
      </c>
      <c r="Z154" s="62">
        <f t="shared" si="56"/>
        <v>1.6299999999999999E-2</v>
      </c>
      <c r="AA154" s="62">
        <f t="shared" si="57"/>
        <v>23.281399999999998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8"/>
        <v>0238-17</v>
      </c>
      <c r="AE154" s="85" t="str">
        <f t="shared" si="59"/>
        <v>aws s3 cp s3://rtdc.mdm.uploadarchive.raw/RTDC4007/ "%USERPROFILE%\AppData\Local\Temp\OnboardLogs"\RTDC4007\2017-04-17 --exclude "*" --recursive --include "*20170417*" &amp; "%USERPROFILE%\Documents\GitHub\mrs-test-scripts\Headless Mode &amp; Sideloading\WalkAndUnGZ.bat" "%USERPROFILE%\AppData\Local\Temp\OnboardLogs"\RTDC4007\2017-04-17 &amp; aws s3 cp s3://rtdc.mdm.uploadarchive.raw/RTDC4007/ "%USERPROFILE%\AppData\Local\Temp\OnboardLogs"\RTDC4007\2017-04-18 --exclude "*" --recursive --include "*20170418*" &amp; "%USERPROFILE%\Documents\GitHub\mrs-test-scripts\Headless Mode &amp; Sideloading\WalkAndUnGZ.bat" "%USERPROFILE%\AppData\Local\Temp\OnboardLogs"\RTDC4007\2017-04-18</v>
      </c>
      <c r="AF154" s="82" t="str">
        <f t="shared" si="60"/>
        <v>"C:\Program Files (x86)\AstroGrep\AstroGrep.exe" /e /r /s /spath="%USERPROFILE%\AppData\Local\Temp\OnboardLogs" /stypes="app*4007*20170418*" /stext=" 06:.+((SYSTEM_STATE.+slice.+state.+changed )|(ment ac)|(multiple cpu faults)|(system.+state.+changed )|(\[timeout)|(PRM\|1\|D)|(kpr)|(kdp)|(\|lc)|(penalty))"</v>
      </c>
      <c r="AG154" s="1" t="str">
        <f t="shared" si="61"/>
        <v>EC</v>
      </c>
      <c r="AH154" s="86" t="str">
        <f t="shared" si="62"/>
        <v>"%USERPROFILE%\Documents\GitHub\eaglep3\Utilities\RefineRTDCRunTimes.py" --tripid 238-17 --locoid 4007 --swversion DE.1.0.9.0 --startMP 204:232977 --initTime 2017-04-17T23:53:52 --startdatetime 2017-04-17T23:56:26 --delay 1 --endMP 204:163 --enddatetime 2017-04-18T00:36:02 --enforcementcount 0 &gt;&gt;C:\Users\stu\Documents\GitHub\eaglep3-reporting\EC\2017-04-17-refined-times.txt</v>
      </c>
      <c r="AI154" s="104" t="str">
        <f t="shared" si="63"/>
        <v>echo {"issue":{"subject":"","project_id":79,"tracker_id":40,"status_id":1,"priority_id":2,"assigned_to_id":23,"start_date":"2017-04-18","description":"","custom_fields":[{"id":1,"name":"Subdivision","value":"EC"},{"id":4,"name":"Milepost","value":"0.0163"},{"id":17,"name":"Train ID","value":"238-17"},{"id":16,"name":"Locomotive ID","value":"4007"},{"id":130,"name":"Impact","value":""},{"id":150,"name":"Time of Event (Mountain Time)","value":"00:36:02"},{"id":151,"name":"Denver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50" t="str">
        <f t="shared" si="64"/>
        <v>start /low /b %USERPROFILE%\Documents\GitHub\eaglep3\Utilities\DownloadLogsFromS3.py --loco 4007 --day 2017-04-17</v>
      </c>
      <c r="AN154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06:36:02"},{"id":29,"name":"Sharepoint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x14ac:dyDescent="0.25">
      <c r="A155" s="33" t="s">
        <v>831</v>
      </c>
      <c r="B155" s="7">
        <v>4052</v>
      </c>
      <c r="C155" s="21" t="s">
        <v>213</v>
      </c>
      <c r="D155" s="21" t="s">
        <v>411</v>
      </c>
      <c r="E155" s="13">
        <v>42842.967094907406</v>
      </c>
      <c r="F155" s="13">
        <v>42842.979421296295</v>
      </c>
      <c r="G155" s="7">
        <v>1</v>
      </c>
      <c r="H155" s="21" t="s">
        <v>412</v>
      </c>
      <c r="I155" s="13">
        <v>42843.003981481481</v>
      </c>
      <c r="J155" s="7">
        <v>0</v>
      </c>
      <c r="K155" s="97" t="str">
        <f t="shared" si="49"/>
        <v>4051/4052</v>
      </c>
      <c r="L155" s="21" t="str">
        <f>VLOOKUP(A155,'Trips&amp;Operators'!$C$1:$G$99999,5,FALSE)</f>
        <v>SMITH MICHAEL</v>
      </c>
      <c r="M155" s="6">
        <f t="shared" si="50"/>
        <v>2.4560185185691807E-2</v>
      </c>
      <c r="N155" s="7">
        <f t="shared" si="47"/>
        <v>35.366666667396203</v>
      </c>
      <c r="O155" s="7"/>
      <c r="P155" s="7"/>
      <c r="Q155" s="22"/>
      <c r="R155" s="22"/>
      <c r="S155" s="31">
        <f t="shared" si="48"/>
        <v>1</v>
      </c>
      <c r="T155" s="46" t="str">
        <f t="shared" si="51"/>
        <v>NorthBound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52"/>
        <v>https://d0f6bd738d7f1b3e5a7ca70fe4ff75f0.us-east-1.aws.found.io/app/kibana#/discover/Steve-Slow-Train-Analysis-(2080s-and-2083s)?_g=(refreshInterval:(display:Off,pause:!f,section:0,value:0),time:(from:'2017-04-17T22:12:37-0600',mode:absolute,to:'2017-04-18T01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5" s="183" t="str">
        <f t="shared" si="53"/>
        <v>N</v>
      </c>
      <c r="X155" s="183">
        <f t="shared" si="54"/>
        <v>1</v>
      </c>
      <c r="Y155" s="62">
        <f t="shared" si="55"/>
        <v>4.7100000000000003E-2</v>
      </c>
      <c r="Z155" s="62">
        <f t="shared" si="56"/>
        <v>23.329699999999999</v>
      </c>
      <c r="AA155" s="62">
        <f t="shared" si="57"/>
        <v>23.282599999999999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8"/>
        <v>0239-17</v>
      </c>
      <c r="AE155" s="85" t="str">
        <f t="shared" si="59"/>
        <v>aws s3 cp s3://rtdc.mdm.uploadarchive.raw/RTDC4052/ "%USERPROFILE%\AppData\Local\Temp\OnboardLogs"\RTDC4052\2017-04-17 --exclude "*" --recursive --include "*20170417*" &amp; "%USERPROFILE%\Documents\GitHub\mrs-test-scripts\Headless Mode &amp; Sideloading\WalkAndUnGZ.bat" "%USERPROFILE%\AppData\Local\Temp\OnboardLogs"\RTDC4052\2017-04-17 &amp; aws s3 cp s3://rtdc.mdm.uploadarchive.raw/RTDC4052/ "%USERPROFILE%\AppData\Local\Temp\OnboardLogs"\RTDC4052\2017-04-18 --exclude "*" --recursive --include "*20170418*" &amp; "%USERPROFILE%\Documents\GitHub\mrs-test-scripts\Headless Mode &amp; Sideloading\WalkAndUnGZ.bat" "%USERPROFILE%\AppData\Local\Temp\OnboardLogs"\RTDC4052\2017-04-18</v>
      </c>
      <c r="AF155" s="82" t="str">
        <f t="shared" si="60"/>
        <v>"C:\Program Files (x86)\AstroGrep\AstroGrep.exe" /e /r /s /spath="%USERPROFILE%\AppData\Local\Temp\OnboardLogs" /stypes="app*4052*20170418*" /stext=" 06:.+((SYSTEM_STATE.+slice.+state.+changed )|(ment ac)|(multiple cpu faults)|(system.+state.+changed )|(\[timeout)|(PRM\|1\|D)|(kpr)|(kdp)|(\|lc)|(penalty))"</v>
      </c>
      <c r="AG155" s="1" t="str">
        <f t="shared" si="61"/>
        <v>EC</v>
      </c>
      <c r="AH155" s="86" t="str">
        <f t="shared" si="62"/>
        <v>"%USERPROFILE%\Documents\GitHub\eaglep3\Utilities\RefineRTDCRunTimes.py" --tripid 239-17 --locoid 4052 --swversion DE.1.0.9.0 --startMP 204:471 --initTime 2017-04-17T23:12:37 --startdatetime 2017-04-17T23:30:22 --delay 1 --endMP 204:233297 --enddatetime 2017-04-18T00:05:44 --enforcementcount 0 &gt;&gt;C:\Users\stu\Documents\GitHub\eaglep3-reporting\EC\2017-04-17-refined-times.txt</v>
      </c>
      <c r="AI155" s="104" t="str">
        <f t="shared" si="63"/>
        <v>echo {"issue":{"subject":"","project_id":79,"tracker_id":40,"status_id":1,"priority_id":2,"assigned_to_id":23,"start_date":"2017-04-18","description":"","custom_fields":[{"id":1,"name":"Subdivision","value":"EC"},{"id":4,"name":"Milepost","value":"23.3297"},{"id":17,"name":"Train ID","value":"239-17"},{"id":16,"name":"Locomotive ID","value":"4052"},{"id":130,"name":"Impact","value":""},{"id":150,"name":"Time of Event (Mountain Time)","value":"00:05:44"},{"id":151,"name":"Denver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8"/>
      <c r="AL155" s="48"/>
      <c r="AM155" s="150" t="str">
        <f t="shared" si="64"/>
        <v>start /low /b %USERPROFILE%\Documents\GitHub\eaglep3\Utilities\DownloadLogsFromS3.py --loco 4052 --day 2017-04-17</v>
      </c>
      <c r="AN155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06:05:44"},{"id":29,"name":"Sharepoint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3" t="s">
        <v>634</v>
      </c>
      <c r="B156" s="7">
        <v>4051</v>
      </c>
      <c r="C156" s="21" t="s">
        <v>213</v>
      </c>
      <c r="D156" s="21" t="s">
        <v>396</v>
      </c>
      <c r="E156" s="13">
        <v>42843.007222222222</v>
      </c>
      <c r="F156" s="13">
        <v>42843.018252314818</v>
      </c>
      <c r="G156" s="7">
        <v>1</v>
      </c>
      <c r="H156" s="21" t="s">
        <v>198</v>
      </c>
      <c r="I156" s="13">
        <v>42843.046087962961</v>
      </c>
      <c r="J156" s="7">
        <v>0</v>
      </c>
      <c r="K156" s="97" t="str">
        <f t="shared" si="49"/>
        <v>4051/4052</v>
      </c>
      <c r="L156" s="21" t="str">
        <f>VLOOKUP(A156,'Trips&amp;Operators'!$C$1:$G$99999,5,FALSE)</f>
        <v>SMITH MICHAEL</v>
      </c>
      <c r="M156" s="6">
        <f t="shared" si="50"/>
        <v>2.7835648143081926E-2</v>
      </c>
      <c r="N156" s="7">
        <f t="shared" si="47"/>
        <v>40.083333326037973</v>
      </c>
      <c r="O156" s="7"/>
      <c r="P156" s="7"/>
      <c r="Q156" s="22"/>
      <c r="R156" s="22"/>
      <c r="S156" s="31">
        <f t="shared" si="48"/>
        <v>1</v>
      </c>
      <c r="T156" s="46" t="str">
        <f t="shared" si="51"/>
        <v>Southbound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52"/>
        <v>https://d0f6bd738d7f1b3e5a7ca70fe4ff75f0.us-east-1.aws.found.io/app/kibana#/discover/Steve-Slow-Train-Analysis-(2080s-and-2083s)?_g=(refreshInterval:(display:Off,pause:!f,section:0,value:0),time:(from:'2017-04-17T23:10:24-0600',mode:absolute,to:'2017-04-18T02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6" s="183" t="str">
        <f t="shared" si="53"/>
        <v>N</v>
      </c>
      <c r="X156" s="183">
        <f t="shared" si="54"/>
        <v>1</v>
      </c>
      <c r="Y156" s="62">
        <f t="shared" si="55"/>
        <v>23.297699999999999</v>
      </c>
      <c r="Z156" s="62">
        <f t="shared" si="56"/>
        <v>1.5800000000000002E-2</v>
      </c>
      <c r="AA156" s="62">
        <f t="shared" si="57"/>
        <v>23.2819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8"/>
        <v>0240-17</v>
      </c>
      <c r="AE156" s="85" t="str">
        <f t="shared" si="59"/>
        <v>aws s3 cp s3://rtdc.mdm.uploadarchive.raw/RTDC4051/ "%USERPROFILE%\AppData\Local\Temp\OnboardLogs"\RTDC4051\2017-04-18 --exclude "*" --recursive --include "*20170418*" &amp; "%USERPROFILE%\Documents\GitHub\mrs-test-scripts\Headless Mode &amp; Sideloading\WalkAndUnGZ.bat" "%USERPROFILE%\AppData\Local\Temp\OnboardLogs"\RTDC4051\2017-04-18 &amp; aws s3 cp s3://rtdc.mdm.uploadarchive.raw/RTDC4051/ "%USERPROFILE%\AppData\Local\Temp\OnboardLogs"\RTDC4051\2017-04-19 --exclude "*" --recursive --include "*20170419*" &amp; "%USERPROFILE%\Documents\GitHub\mrs-test-scripts\Headless Mode &amp; Sideloading\WalkAndUnGZ.bat" "%USERPROFILE%\AppData\Local\Temp\OnboardLogs"\RTDC4051\2017-04-19</v>
      </c>
      <c r="AF156" s="82" t="str">
        <f t="shared" si="60"/>
        <v>"C:\Program Files (x86)\AstroGrep\AstroGrep.exe" /e /r /s /spath="%USERPROFILE%\AppData\Local\Temp\OnboardLogs" /stypes="app*4051*20170418*" /stext=" 07:.+((SYSTEM_STATE.+slice.+state.+changed )|(ment ac)|(multiple cpu faults)|(system.+state.+changed )|(\[timeout)|(PRM\|1\|D)|(kpr)|(kdp)|(\|lc)|(penalty))"</v>
      </c>
      <c r="AG156" s="1" t="str">
        <f t="shared" si="61"/>
        <v>EC</v>
      </c>
      <c r="AH156" s="86" t="str">
        <f t="shared" si="62"/>
        <v>"%USERPROFILE%\Documents\GitHub\eaglep3\Utilities\RefineRTDCRunTimes.py" --tripid 240-17 --locoid 4051 --swversion DE.1.0.9.0 --startMP 204:232977 --initTime 2017-04-18T00:10:24 --startdatetime 2017-04-18T00:26:17 --delay 1 --endMP 204:158 --enddatetime 2017-04-18T01:06:22 --enforcementcount 0 &gt;&gt;C:\Users\stu\Documents\GitHub\eaglep3-reporting\EC\2017-04-17-refined-times.txt</v>
      </c>
      <c r="AI156" s="104" t="str">
        <f t="shared" si="63"/>
        <v>echo {"issue":{"subject":"","project_id":79,"tracker_id":40,"status_id":1,"priority_id":2,"assigned_to_id":23,"start_date":"2017-04-18","description":"","custom_fields":[{"id":1,"name":"Subdivision","value":"EC"},{"id":4,"name":"Milepost","value":"0.0158"},{"id":17,"name":"Train ID","value":"240-17"},{"id":16,"name":"Locomotive ID","value":"4051"},{"id":130,"name":"Impact","value":""},{"id":150,"name":"Time of Event (Mountain Time)","value":"01:06:22"},{"id":151,"name":"Denver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8"/>
      <c r="AL156" s="48"/>
      <c r="AM156" s="150" t="str">
        <f t="shared" si="64"/>
        <v>start /low /b %USERPROFILE%\Documents\GitHub\eaglep3\Utilities\DownloadLogsFromS3.py --loco 4051 --day 2017-04-18</v>
      </c>
      <c r="AN156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07:06:22"},{"id":29,"name":"Sharepoint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3" t="s">
        <v>833</v>
      </c>
      <c r="B157" s="7">
        <v>4054</v>
      </c>
      <c r="C157" s="21" t="s">
        <v>213</v>
      </c>
      <c r="D157" s="21" t="s">
        <v>921</v>
      </c>
      <c r="E157" s="13">
        <v>42843.004340277781</v>
      </c>
      <c r="F157" s="13">
        <v>42843.005185185182</v>
      </c>
      <c r="G157" s="7">
        <v>1</v>
      </c>
      <c r="H157" s="21" t="s">
        <v>922</v>
      </c>
      <c r="I157" s="13">
        <v>42843.026261574072</v>
      </c>
      <c r="J157" s="7">
        <v>0</v>
      </c>
      <c r="K157" s="97" t="str">
        <f t="shared" si="49"/>
        <v>4053/4054</v>
      </c>
      <c r="L157" s="21" t="str">
        <f>VLOOKUP(A157,'Trips&amp;Operators'!$C$1:$G$99999,5,FALSE)</f>
        <v>STAMBAUGH JAMES</v>
      </c>
      <c r="M157" s="6">
        <f t="shared" si="50"/>
        <v>2.1076388889923692E-2</v>
      </c>
      <c r="N157" s="7"/>
      <c r="O157" s="7"/>
      <c r="P157" s="7">
        <f>24*60*SUM($M157:$M157)</f>
        <v>30.350000001490116</v>
      </c>
      <c r="Q157" s="22"/>
      <c r="R157" s="22" t="s">
        <v>1047</v>
      </c>
      <c r="S157" s="31">
        <f t="shared" si="48"/>
        <v>1</v>
      </c>
      <c r="T157" s="46" t="str">
        <f t="shared" si="51"/>
        <v>NorthBound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 t="shared" si="52"/>
        <v>https://d0f6bd738d7f1b3e5a7ca70fe4ff75f0.us-east-1.aws.found.io/app/kibana#/discover/Steve-Slow-Train-Analysis-(2080s-and-2083s)?_g=(refreshInterval:(display:Off,pause:!f,section:0,value:0),time:(from:'2017-04-17T23:06:15-0600',mode:absolute,to:'2017-04-18T01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7" s="183" t="str">
        <f t="shared" si="53"/>
        <v>Y</v>
      </c>
      <c r="X157" s="183">
        <f t="shared" si="54"/>
        <v>1</v>
      </c>
      <c r="Y157" s="62">
        <f t="shared" si="55"/>
        <v>1.9128000000000001</v>
      </c>
      <c r="Z157" s="62">
        <f t="shared" si="56"/>
        <v>23.346599999999999</v>
      </c>
      <c r="AA157" s="62">
        <f t="shared" si="57"/>
        <v>21.433799999999998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8"/>
        <v>0241-17</v>
      </c>
      <c r="AE157" s="85" t="str">
        <f t="shared" si="59"/>
        <v>aws s3 cp s3://rtdc.mdm.uploadarchive.raw/RTDC4054/ "%USERPROFILE%\AppData\Local\Temp\OnboardLogs"\RTDC4054\2017-04-18 --exclude "*" --recursive --include "*20170418*" &amp; "%USERPROFILE%\Documents\GitHub\mrs-test-scripts\Headless Mode &amp; Sideloading\WalkAndUnGZ.bat" "%USERPROFILE%\AppData\Local\Temp\OnboardLogs"\RTDC4054\2017-04-18 &amp; aws s3 cp s3://rtdc.mdm.uploadarchive.raw/RTDC4054/ "%USERPROFILE%\AppData\Local\Temp\OnboardLogs"\RTDC4054\2017-04-19 --exclude "*" --recursive --include "*20170419*" &amp; "%USERPROFILE%\Documents\GitHub\mrs-test-scripts\Headless Mode &amp; Sideloading\WalkAndUnGZ.bat" "%USERPROFILE%\AppData\Local\Temp\OnboardLogs"\RTDC4054\2017-04-19</v>
      </c>
      <c r="AF157" s="82" t="str">
        <f t="shared" si="60"/>
        <v>"C:\Program Files (x86)\AstroGrep\AstroGrep.exe" /e /r /s /spath="%USERPROFILE%\AppData\Local\Temp\OnboardLogs" /stypes="app*4054*20170418*" /stext=" 06:.+((SYSTEM_STATE.+slice.+state.+changed )|(ment ac)|(multiple cpu faults)|(system.+state.+changed )|(\[timeout)|(PRM\|1\|D)|(kpr)|(kdp)|(\|lc)|(penalty))"</v>
      </c>
      <c r="AG157" s="1" t="str">
        <f t="shared" si="61"/>
        <v>EC</v>
      </c>
      <c r="AH157" s="86" t="str">
        <f t="shared" si="62"/>
        <v>"%USERPROFILE%\Documents\GitHub\eaglep3\Utilities\RefineRTDCRunTimes.py" --tripid 241-17 --locoid 4054 --swversion DE.1.0.9.0 --startMP 204:19128 --initTime 2017-04-18T00:06:15 --startdatetime 2017-04-18T00:07:28 --delay 1 --endMP 204:233466 --enddatetime 2017-04-18T00:37:49 --enforcementcount 0 &gt;&gt;C:\Users\stu\Documents\GitHub\eaglep3-reporting\EC\2017-04-17-refined-times.txt</v>
      </c>
      <c r="AI157" s="104" t="str">
        <f t="shared" si="63"/>
        <v>echo {"issue":{"subject":"Selected wrong track","project_id":79,"tracker_id":40,"status_id":1,"priority_id":2,"assigned_to_id":23,"start_date":"2017-04-18","description":"","custom_fields":[{"id":1,"name":"Subdivision","value":"EC"},{"id":4,"name":"Milepost","value":"23.3466"},{"id":17,"name":"Train ID","value":"241-17"},{"id":16,"name":"Locomotive ID","value":"4054"},{"id":130,"name":"Impact","value":""},{"id":150,"name":"Time of Event (Mountain Time)","value":"00:37:49"},{"id":151,"name":"Denver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8"/>
      <c r="AL157" s="48"/>
      <c r="AM157" s="150" t="str">
        <f t="shared" si="64"/>
        <v>start /low /b %USERPROFILE%\Documents\GitHub\eaglep3\Utilities\DownloadLogsFromS3.py --loco 4054 --day 2017-04-18</v>
      </c>
      <c r="AN157" s="159" t="str">
        <f t="shared" si="65"/>
        <v>echo {"issue":{"subject":"Selected wrong track","project_id":30,"tracker_id":4,"status_id":1,"priority_id":1,"assigned_to_id":10,"start_date":"2017-04-18","description":"","custom_fields":[{"id":30,"name":"Category","value":"Issue"},{"id":3,"name":"Functional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06:37:49"},{"id":29,"name":"Sharepoint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3" t="s">
        <v>833</v>
      </c>
      <c r="B158" s="7">
        <v>4054</v>
      </c>
      <c r="C158" s="21" t="s">
        <v>213</v>
      </c>
      <c r="D158" s="21" t="s">
        <v>923</v>
      </c>
      <c r="E158" s="13">
        <v>42842.984386574077</v>
      </c>
      <c r="F158" s="13">
        <v>42843.005185185182</v>
      </c>
      <c r="G158" s="7">
        <v>1</v>
      </c>
      <c r="H158" s="21" t="s">
        <v>924</v>
      </c>
      <c r="I158" s="13">
        <v>42843.026261574072</v>
      </c>
      <c r="J158" s="7">
        <v>0</v>
      </c>
      <c r="K158" s="97" t="str">
        <f t="shared" si="49"/>
        <v>4053/4054</v>
      </c>
      <c r="L158" s="21" t="str">
        <f>VLOOKUP(A158,'Trips&amp;Operators'!$C$1:$G$99999,5,FALSE)</f>
        <v>STAMBAUGH JAMES</v>
      </c>
      <c r="M158" s="6">
        <f t="shared" si="50"/>
        <v>2.1076388889923692E-2</v>
      </c>
      <c r="N158" s="7"/>
      <c r="O158" s="7"/>
      <c r="P158" s="7"/>
      <c r="Q158" s="22"/>
      <c r="R158" s="22"/>
      <c r="S158" s="31"/>
      <c r="T158" s="46" t="str">
        <f t="shared" si="51"/>
        <v>NorthBound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0</v>
      </c>
      <c r="V158" s="182" t="str">
        <f t="shared" si="52"/>
        <v>https://d0f6bd738d7f1b3e5a7ca70fe4ff75f0.us-east-1.aws.found.io/app/kibana#/discover/Steve-Slow-Train-Analysis-(2080s-and-2083s)?_g=(refreshInterval:(display:Off,pause:!f,section:0,value:0),time:(from:'2017-04-17T22:37:31-0600',mode:absolute,to:'2017-04-18T01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8" s="183" t="str">
        <f t="shared" si="53"/>
        <v>Y</v>
      </c>
      <c r="X158" s="183">
        <f t="shared" si="54"/>
        <v>0</v>
      </c>
      <c r="Y158" s="62">
        <f t="shared" si="55"/>
        <v>3.85E-2</v>
      </c>
      <c r="Z158" s="62">
        <f t="shared" si="56"/>
        <v>0.1484</v>
      </c>
      <c r="AA158" s="62">
        <f t="shared" si="57"/>
        <v>0.1099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8"/>
        <v>0241-17</v>
      </c>
      <c r="AE158" s="85" t="str">
        <f t="shared" si="59"/>
        <v>aws s3 cp s3://rtdc.mdm.uploadarchive.raw/RTDC4054/ "%USERPROFILE%\AppData\Local\Temp\OnboardLogs"\RTDC4054\2017-04-18 --exclude "*" --recursive --include "*20170418*" &amp; "%USERPROFILE%\Documents\GitHub\mrs-test-scripts\Headless Mode &amp; Sideloading\WalkAndUnGZ.bat" "%USERPROFILE%\AppData\Local\Temp\OnboardLogs"\RTDC4054\2017-04-18 &amp; aws s3 cp s3://rtdc.mdm.uploadarchive.raw/RTDC4054/ "%USERPROFILE%\AppData\Local\Temp\OnboardLogs"\RTDC4054\2017-04-19 --exclude "*" --recursive --include "*20170419*" &amp; "%USERPROFILE%\Documents\GitHub\mrs-test-scripts\Headless Mode &amp; Sideloading\WalkAndUnGZ.bat" "%USERPROFILE%\AppData\Local\Temp\OnboardLogs"\RTDC4054\2017-04-19</v>
      </c>
      <c r="AF158" s="82" t="str">
        <f t="shared" si="60"/>
        <v>"C:\Program Files (x86)\AstroGrep\AstroGrep.exe" /e /r /s /spath="%USERPROFILE%\AppData\Local\Temp\OnboardLogs" /stypes="app*4054*20170418*" /stext=" 06:.+((SYSTEM_STATE.+slice.+state.+changed )|(ment ac)|(multiple cpu faults)|(system.+state.+changed )|(\[timeout)|(PRM\|1\|D)|(kpr)|(kdp)|(\|lc)|(penalty))"</v>
      </c>
      <c r="AG158" s="1" t="str">
        <f t="shared" si="61"/>
        <v>EC</v>
      </c>
      <c r="AH158" s="86" t="str">
        <f t="shared" si="62"/>
        <v>"%USERPROFILE%\Documents\GitHub\eaglep3\Utilities\RefineRTDCRunTimes.py" --tripid 241-17 --locoid 4054 --swversion DE.1.0.9.0 --startMP 204:385 --initTime 2017-04-17T23:37:31 --startdatetime 2017-04-18T00:07:28 --delay 1 --endMP 204:1484 --enddatetime 2017-04-18T00:37:49 --enforcementcount 0 &gt;&gt;C:\Users\stu\Documents\GitHub\eaglep3-reporting\EC\2017-04-17-refined-times.txt</v>
      </c>
      <c r="AI158" s="104" t="str">
        <f t="shared" si="63"/>
        <v>echo {"issue":{"subject":"","project_id":79,"tracker_id":40,"status_id":1,"priority_id":2,"assigned_to_id":23,"start_date":"2017-04-18","description":"","custom_fields":[{"id":1,"name":"Subdivision","value":"EC"},{"id":4,"name":"Milepost","value":"0.1484"},{"id":17,"name":"Train ID","value":"241-17"},{"id":16,"name":"Locomotive ID","value":"4054"},{"id":130,"name":"Impact","value":""},{"id":150,"name":"Time of Event (Mountain Time)","value":"00:37:49"},{"id":151,"name":"Denver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8"/>
      <c r="AL158" s="48"/>
      <c r="AM158" s="150" t="str">
        <f t="shared" si="64"/>
        <v>start /low /b %USERPROFILE%\Documents\GitHub\eaglep3\Utilities\DownloadLogsFromS3.py --loco 4054 --day 2017-04-18</v>
      </c>
      <c r="AN158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06:37:49"},{"id":29,"name":"Sharepoint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3" t="s">
        <v>837</v>
      </c>
      <c r="B159" s="7">
        <v>4053</v>
      </c>
      <c r="C159" s="21" t="s">
        <v>213</v>
      </c>
      <c r="D159" s="21" t="s">
        <v>925</v>
      </c>
      <c r="E159" s="13">
        <v>42843.035775462966</v>
      </c>
      <c r="F159" s="13">
        <v>42843.039143518516</v>
      </c>
      <c r="G159" s="7">
        <v>1</v>
      </c>
      <c r="H159" s="21" t="s">
        <v>926</v>
      </c>
      <c r="I159" s="13">
        <v>42843.065358796295</v>
      </c>
      <c r="J159" s="7">
        <v>0</v>
      </c>
      <c r="K159" s="97" t="str">
        <f t="shared" si="49"/>
        <v>4053/4054</v>
      </c>
      <c r="L159" s="21" t="str">
        <f>VLOOKUP(A159,'Trips&amp;Operators'!$C$1:$G$99999,5,FALSE)</f>
        <v>STAMBAUGH JAMES</v>
      </c>
      <c r="M159" s="6">
        <f t="shared" si="50"/>
        <v>2.6215277779556345E-2</v>
      </c>
      <c r="N159" s="7">
        <f t="shared" ref="N159:N190" si="66">24*60*SUM($M159:$M159)</f>
        <v>37.750000002561137</v>
      </c>
      <c r="O159" s="7"/>
      <c r="P159" s="7"/>
      <c r="Q159" s="22"/>
      <c r="R159" s="22"/>
      <c r="S159" s="31">
        <f t="shared" ref="S159:S190" si="67">SUM(U159:U159)/IF(AG159="EC",12,1)</f>
        <v>1</v>
      </c>
      <c r="T159" s="46" t="str">
        <f t="shared" si="51"/>
        <v>Southbound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2" t="str">
        <f t="shared" si="52"/>
        <v>https://d0f6bd738d7f1b3e5a7ca70fe4ff75f0.us-east-1.aws.found.io/app/kibana#/discover/Steve-Slow-Train-Analysis-(2080s-and-2083s)?_g=(refreshInterval:(display:Off,pause:!f,section:0,value:0),time:(from:'2017-04-17T23:51:31-0600',mode:absolute,to:'2017-04-18T02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9" s="183" t="str">
        <f t="shared" si="53"/>
        <v>N</v>
      </c>
      <c r="X159" s="183">
        <f t="shared" si="54"/>
        <v>1</v>
      </c>
      <c r="Y159" s="62">
        <f t="shared" si="55"/>
        <v>23.314900000000002</v>
      </c>
      <c r="Z159" s="62">
        <f t="shared" si="56"/>
        <v>1.21E-2</v>
      </c>
      <c r="AA159" s="62">
        <f t="shared" si="57"/>
        <v>23.302800000000001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8"/>
        <v>0242-17</v>
      </c>
      <c r="AE159" s="85" t="str">
        <f t="shared" si="59"/>
        <v>aws s3 cp s3://rtdc.mdm.uploadarchive.raw/RTDC4053/ "%USERPROFILE%\AppData\Local\Temp\OnboardLogs"\RTDC4053\2017-04-18 --exclude "*" --recursive --include "*20170418*" &amp; "%USERPROFILE%\Documents\GitHub\mrs-test-scripts\Headless Mode &amp; Sideloading\WalkAndUnGZ.bat" "%USERPROFILE%\AppData\Local\Temp\OnboardLogs"\RTDC4053\2017-04-18 &amp; aws s3 cp s3://rtdc.mdm.uploadarchive.raw/RTDC4053/ "%USERPROFILE%\AppData\Local\Temp\OnboardLogs"\RTDC4053\2017-04-19 --exclude "*" --recursive --include "*20170419*" &amp; "%USERPROFILE%\Documents\GitHub\mrs-test-scripts\Headless Mode &amp; Sideloading\WalkAndUnGZ.bat" "%USERPROFILE%\AppData\Local\Temp\OnboardLogs"\RTDC4053\2017-04-19</v>
      </c>
      <c r="AF159" s="82" t="str">
        <f t="shared" si="60"/>
        <v>"C:\Program Files (x86)\AstroGrep\AstroGrep.exe" /e /r /s /spath="%USERPROFILE%\AppData\Local\Temp\OnboardLogs" /stypes="app*4053*20170418*" /stext=" 07:.+((SYSTEM_STATE.+slice.+state.+changed )|(ment ac)|(multiple cpu faults)|(system.+state.+changed )|(\[timeout)|(PRM\|1\|D)|(kpr)|(kdp)|(\|lc)|(penalty))"</v>
      </c>
      <c r="AG159" s="1" t="str">
        <f t="shared" si="61"/>
        <v>EC</v>
      </c>
      <c r="AH159" s="86" t="str">
        <f t="shared" si="62"/>
        <v>"%USERPROFILE%\Documents\GitHub\eaglep3\Utilities\RefineRTDCRunTimes.py" --tripid 242-17 --locoid 4053 --swversion DE.1.0.9.0 --startMP 204:233149 --initTime 2017-04-18T00:51:31 --startdatetime 2017-04-18T00:56:22 --delay 1 --endMP 204:121 --enddatetime 2017-04-18T01:34:07 --enforcementcount 0 &gt;&gt;C:\Users\stu\Documents\GitHub\eaglep3-reporting\EC\2017-04-17-refined-times.txt</v>
      </c>
      <c r="AI159" s="104" t="str">
        <f t="shared" si="63"/>
        <v>echo {"issue":{"subject":"","project_id":79,"tracker_id":40,"status_id":1,"priority_id":2,"assigned_to_id":23,"start_date":"2017-04-18","description":"","custom_fields":[{"id":1,"name":"Subdivision","value":"EC"},{"id":4,"name":"Milepost","value":"0.0121"},{"id":17,"name":"Train ID","value":"242-17"},{"id":16,"name":"Locomotive ID","value":"4053"},{"id":130,"name":"Impact","value":""},{"id":150,"name":"Time of Event (Mountain Time)","value":"01:34:07"},{"id":151,"name":"Denver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8"/>
      <c r="AL159" s="48"/>
      <c r="AM159" s="150" t="str">
        <f t="shared" si="64"/>
        <v>start /low /b %USERPROFILE%\Documents\GitHub\eaglep3\Utilities\DownloadLogsFromS3.py --loco 4053 --day 2017-04-18</v>
      </c>
      <c r="AN159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07:34:07"},{"id":29,"name":"Sharepoint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s="20" customFormat="1" x14ac:dyDescent="0.25">
      <c r="A160" s="33" t="s">
        <v>835</v>
      </c>
      <c r="B160" s="7">
        <v>4028</v>
      </c>
      <c r="C160" s="21" t="s">
        <v>213</v>
      </c>
      <c r="D160" s="21" t="s">
        <v>469</v>
      </c>
      <c r="E160" s="13">
        <v>42843.010208333333</v>
      </c>
      <c r="F160" s="13">
        <v>42843.021157407406</v>
      </c>
      <c r="G160" s="7">
        <v>4</v>
      </c>
      <c r="H160" s="21" t="s">
        <v>533</v>
      </c>
      <c r="I160" s="13">
        <v>42843.046435185184</v>
      </c>
      <c r="J160" s="7">
        <v>0</v>
      </c>
      <c r="K160" s="97" t="str">
        <f t="shared" si="49"/>
        <v>4027/4028</v>
      </c>
      <c r="L160" s="21" t="str">
        <f>VLOOKUP(A160,'Trips&amp;Operators'!$C$1:$G$99999,5,FALSE)</f>
        <v>STORY SAMANTHA</v>
      </c>
      <c r="M160" s="6">
        <f t="shared" si="50"/>
        <v>2.527777777868323E-2</v>
      </c>
      <c r="N160" s="7">
        <f t="shared" si="66"/>
        <v>36.400000001303852</v>
      </c>
      <c r="O160" s="7"/>
      <c r="P160" s="7"/>
      <c r="Q160" s="22"/>
      <c r="R160" s="22"/>
      <c r="S160" s="31">
        <f t="shared" si="67"/>
        <v>1</v>
      </c>
      <c r="T160" s="46" t="str">
        <f t="shared" si="51"/>
        <v>NorthBound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82" t="str">
        <f t="shared" si="52"/>
        <v>https://d0f6bd738d7f1b3e5a7ca70fe4ff75f0.us-east-1.aws.found.io/app/kibana#/discover/Steve-Slow-Train-Analysis-(2080s-and-2083s)?_g=(refreshInterval:(display:Off,pause:!f,section:0,value:0),time:(from:'2017-04-17T23:14:42-0600',mode:absolute,to:'2017-04-18T02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0" s="183" t="str">
        <f t="shared" si="53"/>
        <v>N</v>
      </c>
      <c r="X160" s="183">
        <f t="shared" si="54"/>
        <v>1</v>
      </c>
      <c r="Y160" s="62">
        <f t="shared" si="55"/>
        <v>4.7300000000000002E-2</v>
      </c>
      <c r="Z160" s="62">
        <f t="shared" si="56"/>
        <v>23.329899999999999</v>
      </c>
      <c r="AA160" s="62">
        <f t="shared" si="57"/>
        <v>23.282599999999999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8"/>
        <v>0243-17</v>
      </c>
      <c r="AE160" s="85" t="str">
        <f t="shared" si="59"/>
        <v>aws s3 cp s3://rtdc.mdm.uploadarchive.raw/RTDC4028/ "%USERPROFILE%\AppData\Local\Temp\OnboardLogs"\RTDC4028\2017-04-18 --exclude "*" --recursive --include "*20170418*" &amp; "%USERPROFILE%\Documents\GitHub\mrs-test-scripts\Headless Mode &amp; Sideloading\WalkAndUnGZ.bat" "%USERPROFILE%\AppData\Local\Temp\OnboardLogs"\RTDC4028\2017-04-18 &amp; aws s3 cp s3://rtdc.mdm.uploadarchive.raw/RTDC4028/ "%USERPROFILE%\AppData\Local\Temp\OnboardLogs"\RTDC4028\2017-04-19 --exclude "*" --recursive --include "*20170419*" &amp; "%USERPROFILE%\Documents\GitHub\mrs-test-scripts\Headless Mode &amp; Sideloading\WalkAndUnGZ.bat" "%USERPROFILE%\AppData\Local\Temp\OnboardLogs"\RTDC4028\2017-04-19</v>
      </c>
      <c r="AF160" s="82" t="str">
        <f t="shared" si="60"/>
        <v>"C:\Program Files (x86)\AstroGrep\AstroGrep.exe" /e /r /s /spath="%USERPROFILE%\AppData\Local\Temp\OnboardLogs" /stypes="app*4028*20170418*" /stext=" 07:.+((SYSTEM_STATE.+slice.+state.+changed )|(ment ac)|(multiple cpu faults)|(system.+state.+changed )|(\[timeout)|(PRM\|1\|D)|(kpr)|(kdp)|(\|lc)|(penalty))"</v>
      </c>
      <c r="AG160" s="1" t="str">
        <f t="shared" si="61"/>
        <v>EC</v>
      </c>
      <c r="AH160" s="86" t="str">
        <f t="shared" si="62"/>
        <v>"%USERPROFILE%\Documents\GitHub\eaglep3\Utilities\RefineRTDCRunTimes.py" --tripid 243-17 --locoid 4028 --swversion DE.1.0.9.0 --startMP 204:473 --initTime 2017-04-18T00:14:42 --startdatetime 2017-04-18T00:30:28 --delay 4 --endMP 204:233299 --enddatetime 2017-04-18T01:06:52 --enforcementcount 0 &gt;&gt;C:\Users\stu\Documents\GitHub\eaglep3-reporting\EC\2017-04-17-refined-times.txt</v>
      </c>
      <c r="AI160" s="104" t="str">
        <f t="shared" si="63"/>
        <v>echo {"issue":{"subject":"","project_id":79,"tracker_id":40,"status_id":1,"priority_id":2,"assigned_to_id":23,"start_date":"2017-04-18","description":"","custom_fields":[{"id":1,"name":"Subdivision","value":"EC"},{"id":4,"name":"Milepost","value":"23.3299"},{"id":17,"name":"Train ID","value":"243-17"},{"id":16,"name":"Locomotive ID","value":"4028"},{"id":130,"name":"Impact","value":""},{"id":150,"name":"Time of Event (Mountain Time)","value":"01:06:52"},{"id":151,"name":"Denver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8"/>
      <c r="AL160" s="48"/>
      <c r="AM160" s="150" t="str">
        <f t="shared" si="64"/>
        <v>start /low /b %USERPROFILE%\Documents\GitHub\eaglep3\Utilities\DownloadLogsFromS3.py --loco 4028 --day 2017-04-18</v>
      </c>
      <c r="AN160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07:06:52"},{"id":29,"name":"Sharepoint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3" t="s">
        <v>839</v>
      </c>
      <c r="B161" s="7">
        <v>4027</v>
      </c>
      <c r="C161" s="21" t="s">
        <v>213</v>
      </c>
      <c r="D161" s="21" t="s">
        <v>491</v>
      </c>
      <c r="E161" s="13">
        <v>42843.048935185187</v>
      </c>
      <c r="F161" s="13">
        <v>42843.060150462959</v>
      </c>
      <c r="G161" s="7">
        <v>4</v>
      </c>
      <c r="H161" s="21" t="s">
        <v>536</v>
      </c>
      <c r="I161" s="13">
        <v>42843.088460648149</v>
      </c>
      <c r="J161" s="7">
        <v>0</v>
      </c>
      <c r="K161" s="97" t="str">
        <f t="shared" si="49"/>
        <v>4027/4028</v>
      </c>
      <c r="L161" s="21" t="str">
        <f>VLOOKUP(A161,'Trips&amp;Operators'!$C$1:$G$99999,5,FALSE)</f>
        <v>STORY SAMANTHA</v>
      </c>
      <c r="M161" s="6">
        <f t="shared" si="50"/>
        <v>2.8310185189184267E-2</v>
      </c>
      <c r="N161" s="7">
        <f t="shared" si="66"/>
        <v>40.766666672425345</v>
      </c>
      <c r="O161" s="7"/>
      <c r="P161" s="7"/>
      <c r="Q161" s="22"/>
      <c r="R161" s="22"/>
      <c r="S161" s="31">
        <f t="shared" si="67"/>
        <v>1</v>
      </c>
      <c r="T161" s="46" t="str">
        <f t="shared" si="51"/>
        <v>Southbound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82" t="str">
        <f t="shared" si="52"/>
        <v>https://d0f6bd738d7f1b3e5a7ca70fe4ff75f0.us-east-1.aws.found.io/app/kibana#/discover/Steve-Slow-Train-Analysis-(2080s-and-2083s)?_g=(refreshInterval:(display:Off,pause:!f,section:0,value:0),time:(from:'2017-04-18T00:10:28-0600',mode:absolute,to:'2017-04-18T03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1" s="183" t="str">
        <f t="shared" si="53"/>
        <v>N</v>
      </c>
      <c r="X161" s="183">
        <f t="shared" si="54"/>
        <v>1</v>
      </c>
      <c r="Y161" s="62">
        <f t="shared" si="55"/>
        <v>23.298200000000001</v>
      </c>
      <c r="Z161" s="62">
        <f t="shared" si="56"/>
        <v>1.61E-2</v>
      </c>
      <c r="AA161" s="62">
        <f t="shared" si="57"/>
        <v>23.2821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8"/>
        <v>0244-17</v>
      </c>
      <c r="AE161" s="85" t="str">
        <f t="shared" si="59"/>
        <v>aws s3 cp s3://rtdc.mdm.uploadarchive.raw/RTDC4027/ "%USERPROFILE%\AppData\Local\Temp\OnboardLogs"\RTDC4027\2017-04-18 --exclude "*" --recursive --include "*20170418*" &amp; "%USERPROFILE%\Documents\GitHub\mrs-test-scripts\Headless Mode &amp; Sideloading\WalkAndUnGZ.bat" "%USERPROFILE%\AppData\Local\Temp\OnboardLogs"\RTDC4027\2017-04-18 &amp; aws s3 cp s3://rtdc.mdm.uploadarchive.raw/RTDC4027/ "%USERPROFILE%\AppData\Local\Temp\OnboardLogs"\RTDC4027\2017-04-19 --exclude "*" --recursive --include "*20170419*" &amp; "%USERPROFILE%\Documents\GitHub\mrs-test-scripts\Headless Mode &amp; Sideloading\WalkAndUnGZ.bat" "%USERPROFILE%\AppData\Local\Temp\OnboardLogs"\RTDC4027\2017-04-19</v>
      </c>
      <c r="AF161" s="82" t="str">
        <f t="shared" si="60"/>
        <v>"C:\Program Files (x86)\AstroGrep\AstroGrep.exe" /e /r /s /spath="%USERPROFILE%\AppData\Local\Temp\OnboardLogs" /stypes="app*4027*20170418*" /stext=" 08:.+((SYSTEM_STATE.+slice.+state.+changed )|(ment ac)|(multiple cpu faults)|(system.+state.+changed )|(\[timeout)|(PRM\|1\|D)|(kpr)|(kdp)|(\|lc)|(penalty))"</v>
      </c>
      <c r="AG161" s="1" t="str">
        <f t="shared" si="61"/>
        <v>EC</v>
      </c>
      <c r="AH161" s="86" t="str">
        <f t="shared" si="62"/>
        <v>"%USERPROFILE%\Documents\GitHub\eaglep3\Utilities\RefineRTDCRunTimes.py" --tripid 244-17 --locoid 4027 --swversion DE.1.0.9.0 --startMP 204:232982 --initTime 2017-04-18T01:10:28 --startdatetime 2017-04-18T01:26:37 --delay 4 --endMP 204:161 --enddatetime 2017-04-18T02:07:23 --enforcementcount 0 &gt;&gt;C:\Users\stu\Documents\GitHub\eaglep3-reporting\EC\2017-04-17-refined-times.txt</v>
      </c>
      <c r="AI161" s="104" t="str">
        <f t="shared" si="63"/>
        <v>echo {"issue":{"subject":"","project_id":79,"tracker_id":40,"status_id":1,"priority_id":2,"assigned_to_id":23,"start_date":"2017-04-18","description":"","custom_fields":[{"id":1,"name":"Subdivision","value":"EC"},{"id":4,"name":"Milepost","value":"0.0161"},{"id":17,"name":"Train ID","value":"244-17"},{"id":16,"name":"Locomotive ID","value":"4027"},{"id":130,"name":"Impact","value":""},{"id":150,"name":"Time of Event (Mountain Time)","value":"02:07:23"},{"id":151,"name":"Denver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8"/>
      <c r="AL161" s="48"/>
      <c r="AM161" s="150" t="str">
        <f t="shared" si="64"/>
        <v>start /low /b %USERPROFILE%\Documents\GitHub\eaglep3\Utilities\DownloadLogsFromS3.py --loco 4027 --day 2017-04-18</v>
      </c>
      <c r="AN161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08:07:23"},{"id":29,"name":"Sharepoint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3" t="s">
        <v>652</v>
      </c>
      <c r="B162" s="7">
        <v>4017</v>
      </c>
      <c r="C162" s="21" t="s">
        <v>213</v>
      </c>
      <c r="D162" s="21" t="s">
        <v>960</v>
      </c>
      <c r="E162" s="13">
        <v>42842.215196759258</v>
      </c>
      <c r="F162" s="13">
        <v>42842.216689814813</v>
      </c>
      <c r="G162" s="7">
        <v>1</v>
      </c>
      <c r="H162" s="21" t="s">
        <v>961</v>
      </c>
      <c r="I162" s="13">
        <v>42842.225659722222</v>
      </c>
      <c r="J162" s="7">
        <v>0</v>
      </c>
      <c r="K162" s="97" t="str">
        <f t="shared" si="49"/>
        <v>4017/4018</v>
      </c>
      <c r="L162" s="21" t="str">
        <f>VLOOKUP(A162,'Trips&amp;Operators'!$C$1:$G$99999,5,FALSE)</f>
        <v>LALONDE GREGORY</v>
      </c>
      <c r="M162" s="6">
        <f t="shared" si="50"/>
        <v>8.969907408754807E-3</v>
      </c>
      <c r="N162" s="7">
        <f t="shared" si="66"/>
        <v>12.916666668606922</v>
      </c>
      <c r="O162" s="7"/>
      <c r="P162" s="7"/>
      <c r="Q162" s="22"/>
      <c r="R162" s="22"/>
      <c r="S162" s="31">
        <f t="shared" si="67"/>
        <v>1</v>
      </c>
      <c r="T162" s="46" t="str">
        <f t="shared" si="51"/>
        <v>Southbound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52"/>
        <v>https://d0f6bd738d7f1b3e5a7ca70fe4ff75f0.us-east-1.aws.found.io/app/kibana#/discover/Steve-Slow-Train-Analysis-(2080s-and-2083s)?_g=(refreshInterval:(display:Off,pause:!f,section:0,value:0),time:(from:'2017-04-17T04:09:53-0600',mode:absolute,to:'2017-04-17T06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2" s="183" t="str">
        <f t="shared" si="53"/>
        <v>N</v>
      </c>
      <c r="X162" s="183">
        <f t="shared" si="54"/>
        <v>556</v>
      </c>
      <c r="Y162" s="62">
        <f t="shared" si="55"/>
        <v>5.8651</v>
      </c>
      <c r="Z162" s="62">
        <f t="shared" si="56"/>
        <v>6.9199999999999998E-2</v>
      </c>
      <c r="AA162" s="62">
        <f t="shared" si="57"/>
        <v>5.7958999999999996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8"/>
        <v>0800-17</v>
      </c>
      <c r="AE162" s="85" t="str">
        <f t="shared" si="59"/>
        <v>aws s3 cp s3://rtdc.mdm.uploadarchive.raw/RTDC4017/ "%USERPROFILE%\AppData\Local\Temp\OnboardLogs"\RTDC4017\2017-04-17 --exclude "*" --recursive --include "*20170417*" &amp; "%USERPROFILE%\Documents\GitHub\mrs-test-scripts\Headless Mode &amp; Sideloading\WalkAndUnGZ.bat" "%USERPROFILE%\AppData\Local\Temp\OnboardLogs"\RTDC4017\2017-04-17 &amp; aws s3 cp s3://rtdc.mdm.uploadarchive.raw/RTDC4017/ "%USERPROFILE%\AppData\Local\Temp\OnboardLogs"\RTDC4017\2017-04-18 --exclude "*" --recursive --include "*20170418*" &amp; "%USERPROFILE%\Documents\GitHub\mrs-test-scripts\Headless Mode &amp; Sideloading\WalkAndUnGZ.bat" "%USERPROFILE%\AppData\Local\Temp\OnboardLogs"\RTDC4017\2017-04-18</v>
      </c>
      <c r="AF162" s="82" t="str">
        <f t="shared" si="60"/>
        <v>"C:\Program Files (x86)\AstroGrep\AstroGrep.exe" /e /r /s /spath="%USERPROFILE%\AppData\Local\Temp\OnboardLogs" /stypes="app*4017*20170417*" /stext=" 11:.+((SYSTEM_STATE.+slice.+state.+changed )|(ment ac)|(multiple cpu faults)|(system.+state.+changed )|(\[timeout)|(PRM\|1\|D)|(kpr)|(kdp)|(\|lc)|(penalty))"</v>
      </c>
      <c r="AG162" s="1" t="str">
        <f t="shared" si="61"/>
        <v>NW</v>
      </c>
      <c r="AH162" s="86" t="str">
        <f t="shared" si="62"/>
        <v>"%USERPROFILE%\Documents\GitHub\eaglep3\Utilities\RefineRTDCRunTimes.py" --tripid 800-17 --locoid 4017 --swversion DE.1.0.9.0 --startMP 300:58651 --initTime 2017-04-17T05:09:53 --startdatetime 2017-04-17T05:12:02 --delay 1 --endMP 204:692 --enddatetime 2017-04-17T05:24:57 --enforcementcount 0 &gt;&gt;C:\Users\stu\Documents\GitHub\eaglep3-reporting\EC\2017-04-17-refined-times.txt</v>
      </c>
      <c r="AI162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{"issue":{"subject":"","project_id":79,"tracker_id":40,"status_id":1,"priority_id":2,"assigned_to_id":23,"start_date":"2017-04-17","description":"","custom_fields":[{"id":1,"name":"Subdivision","value":"NW"},{"id":4,"name":"Milepost","value":"0.0692"},{"id":17,"name":"Train ID","value":"800-17"},{"id":16,"name":"Locomotive ID","value":"4017"},{"id":130,"name":"Impact","value":""},{"id":150,"name":"Time of Event (Mountain Time)","value":"05:24:57"},{"id":151,"name":"Denver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8"/>
      <c r="AL162" s="48"/>
      <c r="AM162" s="150" t="str">
        <f t="shared" si="64"/>
        <v>start /low /b %USERPROFILE%\Documents\GitHub\eaglep3\Utilities\DownloadLogsFromS3.py --loco 4017 --day 2017-04-17</v>
      </c>
      <c r="AN162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11:24:57"},{"id":29,"name":"Sharepoint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3" t="s">
        <v>659</v>
      </c>
      <c r="B163" s="7">
        <v>4018</v>
      </c>
      <c r="C163" s="21" t="s">
        <v>213</v>
      </c>
      <c r="D163" s="21" t="s">
        <v>962</v>
      </c>
      <c r="E163" s="13">
        <v>42842.22861111111</v>
      </c>
      <c r="F163" s="13">
        <v>42842.243969907409</v>
      </c>
      <c r="G163" s="7">
        <v>1</v>
      </c>
      <c r="H163" s="21" t="s">
        <v>963</v>
      </c>
      <c r="I163" s="13">
        <v>42842.253182870372</v>
      </c>
      <c r="J163" s="7">
        <v>0</v>
      </c>
      <c r="K163" s="97" t="str">
        <f t="shared" si="49"/>
        <v>4017/4018</v>
      </c>
      <c r="L163" s="21" t="str">
        <f>VLOOKUP(A163,'Trips&amp;Operators'!$C$1:$G$99999,5,FALSE)</f>
        <v>LALONDE GREGORY</v>
      </c>
      <c r="M163" s="6">
        <f t="shared" si="50"/>
        <v>9.2129629629198462E-3</v>
      </c>
      <c r="N163" s="7">
        <f t="shared" si="66"/>
        <v>13.266666666604578</v>
      </c>
      <c r="O163" s="7"/>
      <c r="P163" s="7"/>
      <c r="Q163" s="22"/>
      <c r="R163" s="22"/>
      <c r="S163" s="31">
        <f t="shared" si="67"/>
        <v>1</v>
      </c>
      <c r="T163" s="46" t="str">
        <f t="shared" si="51"/>
        <v>NorthBound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 t="shared" si="52"/>
        <v>https://d0f6bd738d7f1b3e5a7ca70fe4ff75f0.us-east-1.aws.found.io/app/kibana#/discover/Steve-Slow-Train-Analysis-(2080s-and-2083s)?_g=(refreshInterval:(display:Off,pause:!f,section:0,value:0),time:(from:'2017-04-17T04:29:12-0600',mode:absolute,to:'2017-04-17T07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3" s="183" t="str">
        <f t="shared" si="53"/>
        <v>N</v>
      </c>
      <c r="X163" s="183">
        <f t="shared" si="54"/>
        <v>1</v>
      </c>
      <c r="Y163" s="62">
        <f t="shared" si="55"/>
        <v>9.7100000000000006E-2</v>
      </c>
      <c r="Z163" s="62">
        <f t="shared" si="56"/>
        <v>5.8968999999999996</v>
      </c>
      <c r="AA163" s="62">
        <f t="shared" si="57"/>
        <v>5.7997999999999994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8"/>
        <v>0801-17</v>
      </c>
      <c r="AE163" s="85" t="str">
        <f t="shared" si="59"/>
        <v>aws s3 cp s3://rtdc.mdm.uploadarchive.raw/RTDC4018/ "%USERPROFILE%\AppData\Local\Temp\OnboardLogs"\RTDC4018\2017-04-17 --exclude "*" --recursive --include "*20170417*" &amp; "%USERPROFILE%\Documents\GitHub\mrs-test-scripts\Headless Mode &amp; Sideloading\WalkAndUnGZ.bat" "%USERPROFILE%\AppData\Local\Temp\OnboardLogs"\RTDC4018\2017-04-17 &amp; aws s3 cp s3://rtdc.mdm.uploadarchive.raw/RTDC4018/ "%USERPROFILE%\AppData\Local\Temp\OnboardLogs"\RTDC4018\2017-04-18 --exclude "*" --recursive --include "*20170418*" &amp; "%USERPROFILE%\Documents\GitHub\mrs-test-scripts\Headless Mode &amp; Sideloading\WalkAndUnGZ.bat" "%USERPROFILE%\AppData\Local\Temp\OnboardLogs"\RTDC4018\2017-04-18</v>
      </c>
      <c r="AF163" s="82" t="str">
        <f t="shared" si="60"/>
        <v>"C:\Program Files (x86)\AstroGrep\AstroGrep.exe" /e /r /s /spath="%USERPROFILE%\AppData\Local\Temp\OnboardLogs" /stypes="app*4018*20170417*" /stext=" 12:.+((SYSTEM_STATE.+slice.+state.+changed )|(ment ac)|(multiple cpu faults)|(system.+state.+changed )|(\[timeout)|(PRM\|1\|D)|(kpr)|(kdp)|(\|lc)|(penalty))"</v>
      </c>
      <c r="AG163" s="1" t="str">
        <f t="shared" si="61"/>
        <v>NW</v>
      </c>
      <c r="AH163" s="86" t="str">
        <f t="shared" si="62"/>
        <v>"%USERPROFILE%\Documents\GitHub\eaglep3\Utilities\RefineRTDCRunTimes.py" --tripid 801-17 --locoid 4018 --swversion DE.1.0.9.0 --startMP 204:971 --initTime 2017-04-17T05:29:12 --startdatetime 2017-04-17T05:51:19 --delay 1 --endMP 300:58969 --enddatetime 2017-04-17T06:04:35 --enforcementcount 0 &gt;&gt;C:\Users\stu\Documents\GitHub\eaglep3-reporting\EC\2017-04-17-refined-times.txt</v>
      </c>
      <c r="AI163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{"issue":{"subject":"","project_id":79,"tracker_id":40,"status_id":1,"priority_id":2,"assigned_to_id":23,"start_date":"2017-04-17","description":"","custom_fields":[{"id":1,"name":"Subdivision","value":"NW"},{"id":4,"name":"Milepost","value":"5.8969"},{"id":17,"name":"Train ID","value":"801-17"},{"id":16,"name":"Locomotive ID","value":"4018"},{"id":130,"name":"Impact","value":""},{"id":150,"name":"Time of Event (Mountain Time)","value":"06:04:35"},{"id":151,"name":"Denver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8"/>
      <c r="AL163" s="48"/>
      <c r="AM163" s="150" t="str">
        <f t="shared" si="64"/>
        <v>start /low /b %USERPROFILE%\Documents\GitHub\eaglep3\Utilities\DownloadLogsFromS3.py --loco 4018 --day 2017-04-17</v>
      </c>
      <c r="AN163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12:04:35"},{"id":29,"name":"Sharepoint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3" t="s">
        <v>668</v>
      </c>
      <c r="B164" s="7">
        <v>4017</v>
      </c>
      <c r="C164" s="21" t="s">
        <v>213</v>
      </c>
      <c r="D164" s="21" t="s">
        <v>960</v>
      </c>
      <c r="E164" s="13">
        <v>42842.25408564815</v>
      </c>
      <c r="F164" s="13">
        <v>42842.255543981482</v>
      </c>
      <c r="G164" s="7">
        <v>1</v>
      </c>
      <c r="H164" s="21" t="s">
        <v>964</v>
      </c>
      <c r="I164" s="13">
        <v>42842.267233796294</v>
      </c>
      <c r="J164" s="7">
        <v>0</v>
      </c>
      <c r="K164" s="97" t="str">
        <f t="shared" si="49"/>
        <v>4017/4018</v>
      </c>
      <c r="L164" s="21" t="str">
        <f>VLOOKUP(A164,'Trips&amp;Operators'!$C$1:$G$99999,5,FALSE)</f>
        <v>LALONDE GREGORY</v>
      </c>
      <c r="M164" s="6">
        <f t="shared" si="50"/>
        <v>1.1689814811688848E-2</v>
      </c>
      <c r="N164" s="7">
        <f t="shared" si="66"/>
        <v>16.833333328831941</v>
      </c>
      <c r="O164" s="7"/>
      <c r="P164" s="7"/>
      <c r="Q164" s="22"/>
      <c r="R164" s="22"/>
      <c r="S164" s="31">
        <f t="shared" si="67"/>
        <v>1</v>
      </c>
      <c r="T164" s="46" t="str">
        <f t="shared" si="51"/>
        <v>Southbound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52"/>
        <v>https://d0f6bd738d7f1b3e5a7ca70fe4ff75f0.us-east-1.aws.found.io/app/kibana#/discover/Steve-Slow-Train-Analysis-(2080s-and-2083s)?_g=(refreshInterval:(display:Off,pause:!f,section:0,value:0),time:(from:'2017-04-17T05:05:53-0600',mode:absolute,to:'2017-04-17T07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4" s="183" t="str">
        <f t="shared" si="53"/>
        <v>N</v>
      </c>
      <c r="X164" s="183">
        <f t="shared" si="54"/>
        <v>1</v>
      </c>
      <c r="Y164" s="62">
        <f t="shared" si="55"/>
        <v>5.8651</v>
      </c>
      <c r="Z164" s="62">
        <f t="shared" si="56"/>
        <v>6.8199999999999997E-2</v>
      </c>
      <c r="AA164" s="62">
        <f t="shared" si="57"/>
        <v>5.7968999999999999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8"/>
        <v>0802-17</v>
      </c>
      <c r="AE164" s="85" t="str">
        <f t="shared" si="59"/>
        <v>aws s3 cp s3://rtdc.mdm.uploadarchive.raw/RTDC4017/ "%USERPROFILE%\AppData\Local\Temp\OnboardLogs"\RTDC4017\2017-04-17 --exclude "*" --recursive --include "*20170417*" &amp; "%USERPROFILE%\Documents\GitHub\mrs-test-scripts\Headless Mode &amp; Sideloading\WalkAndUnGZ.bat" "%USERPROFILE%\AppData\Local\Temp\OnboardLogs"\RTDC4017\2017-04-17 &amp; aws s3 cp s3://rtdc.mdm.uploadarchive.raw/RTDC4017/ "%USERPROFILE%\AppData\Local\Temp\OnboardLogs"\RTDC4017\2017-04-18 --exclude "*" --recursive --include "*20170418*" &amp; "%USERPROFILE%\Documents\GitHub\mrs-test-scripts\Headless Mode &amp; Sideloading\WalkAndUnGZ.bat" "%USERPROFILE%\AppData\Local\Temp\OnboardLogs"\RTDC4017\2017-04-18</v>
      </c>
      <c r="AF164" s="82" t="str">
        <f t="shared" si="60"/>
        <v>"C:\Program Files (x86)\AstroGrep\AstroGrep.exe" /e /r /s /spath="%USERPROFILE%\AppData\Local\Temp\OnboardLogs" /stypes="app*4017*20170417*" /stext=" 12:.+((SYSTEM_STATE.+slice.+state.+changed )|(ment ac)|(multiple cpu faults)|(system.+state.+changed )|(\[timeout)|(PRM\|1\|D)|(kpr)|(kdp)|(\|lc)|(penalty))"</v>
      </c>
      <c r="AG164" s="1" t="str">
        <f t="shared" si="61"/>
        <v>NW</v>
      </c>
      <c r="AH164" s="86" t="str">
        <f t="shared" si="62"/>
        <v>"%USERPROFILE%\Documents\GitHub\eaglep3\Utilities\RefineRTDCRunTimes.py" --tripid 802-17 --locoid 4017 --swversion DE.1.0.9.0 --startMP 300:58651 --initTime 2017-04-17T06:05:53 --startdatetime 2017-04-17T06:07:59 --delay 1 --endMP 204:682 --enddatetime 2017-04-17T06:24:49 --enforcementcount 0 &gt;&gt;C:\Users\stu\Documents\GitHub\eaglep3-reporting\EC\2017-04-17-refined-times.txt</v>
      </c>
      <c r="AI164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{"issue":{"subject":"","project_id":79,"tracker_id":40,"status_id":1,"priority_id":2,"assigned_to_id":23,"start_date":"2017-04-17","description":"","custom_fields":[{"id":1,"name":"Subdivision","value":"NW"},{"id":4,"name":"Milepost","value":"0.0682"},{"id":17,"name":"Train ID","value":"802-17"},{"id":16,"name":"Locomotive ID","value":"4017"},{"id":130,"name":"Impact","value":""},{"id":150,"name":"Time of Event (Mountain Time)","value":"06:24:49"},{"id":151,"name":"Denver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8"/>
      <c r="AL164" s="48"/>
      <c r="AM164" s="150" t="str">
        <f t="shared" si="64"/>
        <v>start /low /b %USERPROFILE%\Documents\GitHub\eaglep3\Utilities\DownloadLogsFromS3.py --loco 4017 --day 2017-04-17</v>
      </c>
      <c r="AN164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12:24:49"},{"id":29,"name":"Sharepoint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x14ac:dyDescent="0.25">
      <c r="A165" s="33" t="s">
        <v>669</v>
      </c>
      <c r="B165" s="7">
        <v>4024</v>
      </c>
      <c r="C165" s="21" t="s">
        <v>213</v>
      </c>
      <c r="D165" s="21" t="s">
        <v>965</v>
      </c>
      <c r="E165" s="13">
        <v>42842.256203703706</v>
      </c>
      <c r="F165" s="13">
        <v>42842.264780092592</v>
      </c>
      <c r="G165" s="7">
        <v>1</v>
      </c>
      <c r="H165" s="21" t="s">
        <v>583</v>
      </c>
      <c r="I165" s="13">
        <v>42842.273726851854</v>
      </c>
      <c r="J165" s="7">
        <v>0</v>
      </c>
      <c r="K165" s="97" t="str">
        <f t="shared" si="49"/>
        <v>4023/4024</v>
      </c>
      <c r="L165" s="21" t="str">
        <f>VLOOKUP(A165,'Trips&amp;Operators'!$C$1:$G$99999,5,FALSE)</f>
        <v>ROCHA YAOTL</v>
      </c>
      <c r="M165" s="6">
        <f t="shared" si="50"/>
        <v>8.9467592624714598E-3</v>
      </c>
      <c r="N165" s="7">
        <f t="shared" si="66"/>
        <v>12.883333337958902</v>
      </c>
      <c r="O165" s="7"/>
      <c r="P165" s="7"/>
      <c r="Q165" s="22"/>
      <c r="R165" s="22"/>
      <c r="S165" s="31">
        <f t="shared" si="67"/>
        <v>1</v>
      </c>
      <c r="T165" s="46" t="str">
        <f t="shared" si="51"/>
        <v>NorthBound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52"/>
        <v>https://d0f6bd738d7f1b3e5a7ca70fe4ff75f0.us-east-1.aws.found.io/app/kibana#/discover/Steve-Slow-Train-Analysis-(2080s-and-2083s)?_g=(refreshInterval:(display:Off,pause:!f,section:0,value:0),time:(from:'2017-04-17T05:08:56-0600',mode:absolute,to:'2017-04-17T07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5" s="183" t="str">
        <f t="shared" si="53"/>
        <v>N</v>
      </c>
      <c r="X165" s="183">
        <f t="shared" si="54"/>
        <v>1</v>
      </c>
      <c r="Y165" s="62">
        <f t="shared" si="55"/>
        <v>9.2999999999999999E-2</v>
      </c>
      <c r="Z165" s="62">
        <f t="shared" si="56"/>
        <v>5.8954000000000004</v>
      </c>
      <c r="AA165" s="62">
        <f t="shared" si="57"/>
        <v>5.8024000000000004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8"/>
        <v>0803-17</v>
      </c>
      <c r="AE165" s="85" t="str">
        <f t="shared" si="59"/>
        <v>aws s3 cp s3://rtdc.mdm.uploadarchive.raw/RTDC4024/ "%USERPROFILE%\AppData\Local\Temp\OnboardLogs"\RTDC4024\2017-04-17 --exclude "*" --recursive --include "*20170417*" &amp; "%USERPROFILE%\Documents\GitHub\mrs-test-scripts\Headless Mode &amp; Sideloading\WalkAndUnGZ.bat" "%USERPROFILE%\AppData\Local\Temp\OnboardLogs"\RTDC4024\2017-04-17 &amp; aws s3 cp s3://rtdc.mdm.uploadarchive.raw/RTDC4024/ "%USERPROFILE%\AppData\Local\Temp\OnboardLogs"\RTDC4024\2017-04-18 --exclude "*" --recursive --include "*20170418*" &amp; "%USERPROFILE%\Documents\GitHub\mrs-test-scripts\Headless Mode &amp; Sideloading\WalkAndUnGZ.bat" "%USERPROFILE%\AppData\Local\Temp\OnboardLogs"\RTDC4024\2017-04-18</v>
      </c>
      <c r="AF165" s="82" t="str">
        <f t="shared" si="60"/>
        <v>"C:\Program Files (x86)\AstroGrep\AstroGrep.exe" /e /r /s /spath="%USERPROFILE%\AppData\Local\Temp\OnboardLogs" /stypes="app*4024*20170417*" /stext=" 12:.+((SYSTEM_STATE.+slice.+state.+changed )|(ment ac)|(multiple cpu faults)|(system.+state.+changed )|(\[timeout)|(PRM\|1\|D)|(kpr)|(kdp)|(\|lc)|(penalty))"</v>
      </c>
      <c r="AG165" s="1" t="str">
        <f t="shared" si="61"/>
        <v>NW</v>
      </c>
      <c r="AH165" s="86" t="str">
        <f t="shared" si="62"/>
        <v>"%USERPROFILE%\Documents\GitHub\eaglep3\Utilities\RefineRTDCRunTimes.py" --tripid 803-17 --locoid 4024 --swversion DE.1.0.9.0 --startMP 204:930 --initTime 2017-04-17T06:08:56 --startdatetime 2017-04-17T06:21:17 --delay 1 --endMP 300:58954 --enddatetime 2017-04-17T06:34:10 --enforcementcount 0 &gt;&gt;C:\Users\stu\Documents\GitHub\eaglep3-reporting\EC\2017-04-17-refined-times.txt</v>
      </c>
      <c r="AI165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{"issue":{"subject":"","project_id":79,"tracker_id":40,"status_id":1,"priority_id":2,"assigned_to_id":23,"start_date":"2017-04-17","description":"","custom_fields":[{"id":1,"name":"Subdivision","value":"NW"},{"id":4,"name":"Milepost","value":"5.8954"},{"id":17,"name":"Train ID","value":"803-17"},{"id":16,"name":"Locomotive ID","value":"4024"},{"id":130,"name":"Impact","value":""},{"id":150,"name":"Time of Event (Mountain Time)","value":"06:34:10"},{"id":151,"name":"Denver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8"/>
      <c r="AL165" s="48"/>
      <c r="AM165" s="150" t="str">
        <f t="shared" si="64"/>
        <v>start /low /b %USERPROFILE%\Documents\GitHub\eaglep3\Utilities\DownloadLogsFromS3.py --loco 4024 --day 2017-04-17</v>
      </c>
      <c r="AN165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12:34:10"},{"id":29,"name":"Sharepoint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x14ac:dyDescent="0.25">
      <c r="A166" s="33" t="s">
        <v>675</v>
      </c>
      <c r="B166" s="7">
        <v>4023</v>
      </c>
      <c r="C166" s="21" t="s">
        <v>213</v>
      </c>
      <c r="D166" s="21" t="s">
        <v>538</v>
      </c>
      <c r="E166" s="13">
        <v>42842.27484953704</v>
      </c>
      <c r="F166" s="13">
        <v>42842.276319444441</v>
      </c>
      <c r="G166" s="7">
        <v>1</v>
      </c>
      <c r="H166" s="21" t="s">
        <v>966</v>
      </c>
      <c r="I166" s="13">
        <v>42842.288078703707</v>
      </c>
      <c r="J166" s="7">
        <v>0</v>
      </c>
      <c r="K166" s="97" t="str">
        <f t="shared" si="49"/>
        <v>4023/4024</v>
      </c>
      <c r="L166" s="21" t="str">
        <f>VLOOKUP(A166,'Trips&amp;Operators'!$C$1:$G$99999,5,FALSE)</f>
        <v>ROCHA YAOTL</v>
      </c>
      <c r="M166" s="6">
        <f t="shared" si="50"/>
        <v>1.1759259265090805E-2</v>
      </c>
      <c r="N166" s="7">
        <f t="shared" si="66"/>
        <v>16.933333341730759</v>
      </c>
      <c r="O166" s="7"/>
      <c r="P166" s="7"/>
      <c r="Q166" s="22"/>
      <c r="R166" s="22"/>
      <c r="S166" s="31">
        <f t="shared" si="67"/>
        <v>1</v>
      </c>
      <c r="T166" s="46" t="str">
        <f t="shared" si="51"/>
        <v>Southbound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52"/>
        <v>https://d0f6bd738d7f1b3e5a7ca70fe4ff75f0.us-east-1.aws.found.io/app/kibana#/discover/Steve-Slow-Train-Analysis-(2080s-and-2083s)?_g=(refreshInterval:(display:Off,pause:!f,section:0,value:0),time:(from:'2017-04-17T05:35:47-0600',mode:absolute,to:'2017-04-17T07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6" s="183" t="str">
        <f t="shared" si="53"/>
        <v>N</v>
      </c>
      <c r="X166" s="183">
        <f t="shared" si="54"/>
        <v>1</v>
      </c>
      <c r="Y166" s="62">
        <f t="shared" si="55"/>
        <v>5.8623000000000003</v>
      </c>
      <c r="Z166" s="62">
        <f t="shared" si="56"/>
        <v>6.6100000000000006E-2</v>
      </c>
      <c r="AA166" s="62">
        <f t="shared" si="57"/>
        <v>5.7962000000000007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8"/>
        <v>0804-17</v>
      </c>
      <c r="AE166" s="85" t="str">
        <f t="shared" si="59"/>
        <v>aws s3 cp s3://rtdc.mdm.uploadarchive.raw/RTDC4023/ "%USERPROFILE%\AppData\Local\Temp\OnboardLogs"\RTDC4023\2017-04-17 --exclude "*" --recursive --include "*20170417*" &amp; "%USERPROFILE%\Documents\GitHub\mrs-test-scripts\Headless Mode &amp; Sideloading\WalkAndUnGZ.bat" "%USERPROFILE%\AppData\Local\Temp\OnboardLogs"\RTDC4023\2017-04-17 &amp; aws s3 cp s3://rtdc.mdm.uploadarchive.raw/RTDC4023/ "%USERPROFILE%\AppData\Local\Temp\OnboardLogs"\RTDC4023\2017-04-18 --exclude "*" --recursive --include "*20170418*" &amp; "%USERPROFILE%\Documents\GitHub\mrs-test-scripts\Headless Mode &amp; Sideloading\WalkAndUnGZ.bat" "%USERPROFILE%\AppData\Local\Temp\OnboardLogs"\RTDC4023\2017-04-18</v>
      </c>
      <c r="AF166" s="82" t="str">
        <f t="shared" si="60"/>
        <v>"C:\Program Files (x86)\AstroGrep\AstroGrep.exe" /e /r /s /spath="%USERPROFILE%\AppData\Local\Temp\OnboardLogs" /stypes="app*4023*20170417*" /stext=" 12:.+((SYSTEM_STATE.+slice.+state.+changed )|(ment ac)|(multiple cpu faults)|(system.+state.+changed )|(\[timeout)|(PRM\|1\|D)|(kpr)|(kdp)|(\|lc)|(penalty))"</v>
      </c>
      <c r="AG166" s="1" t="str">
        <f t="shared" si="61"/>
        <v>NW</v>
      </c>
      <c r="AH166" s="86" t="str">
        <f t="shared" si="62"/>
        <v>"%USERPROFILE%\Documents\GitHub\eaglep3\Utilities\RefineRTDCRunTimes.py" --tripid 804-17 --locoid 4023 --swversion DE.1.0.9.0 --startMP 300:58623 --initTime 2017-04-17T06:35:47 --startdatetime 2017-04-17T06:37:54 --delay 1 --endMP 204:661 --enddatetime 2017-04-17T06:54:50 --enforcementcount 0 &gt;&gt;C:\Users\stu\Documents\GitHub\eaglep3-reporting\EC\2017-04-17-refined-times.txt</v>
      </c>
      <c r="AI166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{"issue":{"subject":"","project_id":79,"tracker_id":40,"status_id":1,"priority_id":2,"assigned_to_id":23,"start_date":"2017-04-17","description":"","custom_fields":[{"id":1,"name":"Subdivision","value":"NW"},{"id":4,"name":"Milepost","value":"0.0661"},{"id":17,"name":"Train ID","value":"804-17"},{"id":16,"name":"Locomotive ID","value":"4023"},{"id":130,"name":"Impact","value":""},{"id":150,"name":"Time of Event (Mountain Time)","value":"06:54:50"},{"id":151,"name":"Denver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64"/>
        <v>start /low /b %USERPROFILE%\Documents\GitHub\eaglep3\Utilities\DownloadLogsFromS3.py --loco 4023 --day 2017-04-17</v>
      </c>
      <c r="AN166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12:54:50"},{"id":29,"name":"Sharepoint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3" t="s">
        <v>674</v>
      </c>
      <c r="B167" s="7">
        <v>4018</v>
      </c>
      <c r="C167" s="21" t="s">
        <v>213</v>
      </c>
      <c r="D167" s="21" t="s">
        <v>967</v>
      </c>
      <c r="E167" s="13">
        <v>42842.269560185188</v>
      </c>
      <c r="F167" s="13">
        <v>42842.285578703704</v>
      </c>
      <c r="G167" s="7">
        <v>1</v>
      </c>
      <c r="H167" s="21" t="s">
        <v>968</v>
      </c>
      <c r="I167" s="13">
        <v>42842.294374999998</v>
      </c>
      <c r="J167" s="7">
        <v>0</v>
      </c>
      <c r="K167" s="97" t="str">
        <f t="shared" si="49"/>
        <v>4017/4018</v>
      </c>
      <c r="L167" s="21" t="str">
        <f>VLOOKUP(A167,'Trips&amp;Operators'!$C$1:$G$99999,5,FALSE)</f>
        <v>LALONDE GREGORY</v>
      </c>
      <c r="M167" s="6">
        <f t="shared" si="50"/>
        <v>8.7962962934398092E-3</v>
      </c>
      <c r="N167" s="7">
        <f t="shared" si="66"/>
        <v>12.666666662553325</v>
      </c>
      <c r="O167" s="7"/>
      <c r="P167" s="7"/>
      <c r="Q167" s="22"/>
      <c r="R167" s="22"/>
      <c r="S167" s="31">
        <f t="shared" si="67"/>
        <v>1</v>
      </c>
      <c r="T167" s="46" t="str">
        <f t="shared" si="51"/>
        <v>NorthBound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52"/>
        <v>https://d0f6bd738d7f1b3e5a7ca70fe4ff75f0.us-east-1.aws.found.io/app/kibana#/discover/Steve-Slow-Train-Analysis-(2080s-and-2083s)?_g=(refreshInterval:(display:Off,pause:!f,section:0,value:0),time:(from:'2017-04-17T05:28:10-0600',mode:absolute,to:'2017-04-17T08:03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7" s="183" t="str">
        <f t="shared" si="53"/>
        <v>N</v>
      </c>
      <c r="X167" s="183">
        <f t="shared" si="54"/>
        <v>1</v>
      </c>
      <c r="Y167" s="62">
        <f t="shared" si="55"/>
        <v>9.74E-2</v>
      </c>
      <c r="Z167" s="62">
        <f t="shared" si="56"/>
        <v>5.8975999999999997</v>
      </c>
      <c r="AA167" s="62">
        <f t="shared" si="57"/>
        <v>5.8001999999999994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8"/>
        <v>0805-17</v>
      </c>
      <c r="AE167" s="85" t="str">
        <f t="shared" si="59"/>
        <v>aws s3 cp s3://rtdc.mdm.uploadarchive.raw/RTDC4018/ "%USERPROFILE%\AppData\Local\Temp\OnboardLogs"\RTDC4018\2017-04-17 --exclude "*" --recursive --include "*20170417*" &amp; "%USERPROFILE%\Documents\GitHub\mrs-test-scripts\Headless Mode &amp; Sideloading\WalkAndUnGZ.bat" "%USERPROFILE%\AppData\Local\Temp\OnboardLogs"\RTDC4018\2017-04-17 &amp; aws s3 cp s3://rtdc.mdm.uploadarchive.raw/RTDC4018/ "%USERPROFILE%\AppData\Local\Temp\OnboardLogs"\RTDC4018\2017-04-18 --exclude "*" --recursive --include "*20170418*" &amp; "%USERPROFILE%\Documents\GitHub\mrs-test-scripts\Headless Mode &amp; Sideloading\WalkAndUnGZ.bat" "%USERPROFILE%\AppData\Local\Temp\OnboardLogs"\RTDC4018\2017-04-18</v>
      </c>
      <c r="AF167" s="82" t="str">
        <f t="shared" si="60"/>
        <v>"C:\Program Files (x86)\AstroGrep\AstroGrep.exe" /e /r /s /spath="%USERPROFILE%\AppData\Local\Temp\OnboardLogs" /stypes="app*4018*20170417*" /stext=" 13:.+((SYSTEM_STATE.+slice.+state.+changed )|(ment ac)|(multiple cpu faults)|(system.+state.+changed )|(\[timeout)|(PRM\|1\|D)|(kpr)|(kdp)|(\|lc)|(penalty))"</v>
      </c>
      <c r="AG167" s="1" t="str">
        <f t="shared" si="61"/>
        <v>NW</v>
      </c>
      <c r="AH167" s="86" t="str">
        <f t="shared" si="62"/>
        <v>"%USERPROFILE%\Documents\GitHub\eaglep3\Utilities\RefineRTDCRunTimes.py" --tripid 805-17 --locoid 4018 --swversion DE.1.0.9.0 --startMP 204:974 --initTime 2017-04-17T06:28:10 --startdatetime 2017-04-17T06:51:14 --delay 1 --endMP 300:58976 --enddatetime 2017-04-17T07:03:54 --enforcementcount 0 &gt;&gt;C:\Users\stu\Documents\GitHub\eaglep3-reporting\EC\2017-04-17-refined-times.txt</v>
      </c>
      <c r="AI167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{"issue":{"subject":"","project_id":79,"tracker_id":40,"status_id":1,"priority_id":2,"assigned_to_id":23,"start_date":"2017-04-17","description":"","custom_fields":[{"id":1,"name":"Subdivision","value":"NW"},{"id":4,"name":"Milepost","value":"5.8976"},{"id":17,"name":"Train ID","value":"805-17"},{"id":16,"name":"Locomotive ID","value":"4018"},{"id":130,"name":"Impact","value":""},{"id":150,"name":"Time of Event (Mountain Time)","value":"07:03:54"},{"id":151,"name":"Denver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8"/>
      <c r="AL167" s="48"/>
      <c r="AM167" s="150" t="str">
        <f t="shared" si="64"/>
        <v>start /low /b %USERPROFILE%\Documents\GitHub\eaglep3\Utilities\DownloadLogsFromS3.py --loco 4018 --day 2017-04-17</v>
      </c>
      <c r="AN167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13:03:54"},{"id":29,"name":"Sharepoint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3" t="s">
        <v>611</v>
      </c>
      <c r="B168" s="7">
        <v>4017</v>
      </c>
      <c r="C168" s="21" t="s">
        <v>213</v>
      </c>
      <c r="D168" s="21" t="s">
        <v>969</v>
      </c>
      <c r="E168" s="13">
        <v>42842.295335648145</v>
      </c>
      <c r="F168" s="13">
        <v>42842.296724537038</v>
      </c>
      <c r="G168" s="7">
        <v>1</v>
      </c>
      <c r="H168" s="21" t="s">
        <v>970</v>
      </c>
      <c r="I168" s="13">
        <v>42842.309178240743</v>
      </c>
      <c r="J168" s="7">
        <v>0</v>
      </c>
      <c r="K168" s="97" t="str">
        <f t="shared" si="49"/>
        <v>4017/4018</v>
      </c>
      <c r="L168" s="21" t="str">
        <f>VLOOKUP(A168,'Trips&amp;Operators'!$C$1:$G$99999,5,FALSE)</f>
        <v>LALONDE GREGORY</v>
      </c>
      <c r="M168" s="6">
        <f t="shared" si="50"/>
        <v>1.2453703704522923E-2</v>
      </c>
      <c r="N168" s="7">
        <f t="shared" si="66"/>
        <v>17.933333334513009</v>
      </c>
      <c r="O168" s="7"/>
      <c r="P168" s="7"/>
      <c r="Q168" s="22"/>
      <c r="R168" s="22"/>
      <c r="S168" s="31">
        <f t="shared" si="67"/>
        <v>1</v>
      </c>
      <c r="T168" s="46" t="str">
        <f t="shared" si="51"/>
        <v>Southbound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52"/>
        <v>https://d0f6bd738d7f1b3e5a7ca70fe4ff75f0.us-east-1.aws.found.io/app/kibana#/discover/Steve-Slow-Train-Analysis-(2080s-and-2083s)?_g=(refreshInterval:(display:Off,pause:!f,section:0,value:0),time:(from:'2017-04-17T06:05:17-0600',mode:absolute,to:'2017-04-17T08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8" s="183" t="str">
        <f t="shared" si="53"/>
        <v>N</v>
      </c>
      <c r="X168" s="183">
        <f t="shared" si="54"/>
        <v>1</v>
      </c>
      <c r="Y168" s="62">
        <f t="shared" si="55"/>
        <v>5.8653000000000004</v>
      </c>
      <c r="Z168" s="62">
        <f t="shared" si="56"/>
        <v>6.9099999999999995E-2</v>
      </c>
      <c r="AA168" s="62">
        <f t="shared" si="57"/>
        <v>5.7962000000000007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8"/>
        <v>0806-17</v>
      </c>
      <c r="AE168" s="85" t="str">
        <f t="shared" si="59"/>
        <v>aws s3 cp s3://rtdc.mdm.uploadarchive.raw/RTDC4017/ "%USERPROFILE%\AppData\Local\Temp\OnboardLogs"\RTDC4017\2017-04-17 --exclude "*" --recursive --include "*20170417*" &amp; "%USERPROFILE%\Documents\GitHub\mrs-test-scripts\Headless Mode &amp; Sideloading\WalkAndUnGZ.bat" "%USERPROFILE%\AppData\Local\Temp\OnboardLogs"\RTDC4017\2017-04-17 &amp; aws s3 cp s3://rtdc.mdm.uploadarchive.raw/RTDC4017/ "%USERPROFILE%\AppData\Local\Temp\OnboardLogs"\RTDC4017\2017-04-18 --exclude "*" --recursive --include "*20170418*" &amp; "%USERPROFILE%\Documents\GitHub\mrs-test-scripts\Headless Mode &amp; Sideloading\WalkAndUnGZ.bat" "%USERPROFILE%\AppData\Local\Temp\OnboardLogs"\RTDC4017\2017-04-18</v>
      </c>
      <c r="AF168" s="82" t="str">
        <f t="shared" si="60"/>
        <v>"C:\Program Files (x86)\AstroGrep\AstroGrep.exe" /e /r /s /spath="%USERPROFILE%\AppData\Local\Temp\OnboardLogs" /stypes="app*4017*20170417*" /stext=" 13:.+((SYSTEM_STATE.+slice.+state.+changed )|(ment ac)|(multiple cpu faults)|(system.+state.+changed )|(\[timeout)|(PRM\|1\|D)|(kpr)|(kdp)|(\|lc)|(penalty))"</v>
      </c>
      <c r="AG168" s="1" t="str">
        <f t="shared" si="61"/>
        <v>NW</v>
      </c>
      <c r="AH168" s="86" t="str">
        <f t="shared" si="62"/>
        <v>"%USERPROFILE%\Documents\GitHub\eaglep3\Utilities\RefineRTDCRunTimes.py" --tripid 806-17 --locoid 4017 --swversion DE.1.0.9.0 --startMP 300:58653 --initTime 2017-04-17T07:05:17 --startdatetime 2017-04-17T07:07:17 --delay 1 --endMP 204:691 --enddatetime 2017-04-17T07:25:13 --enforcementcount 0 &gt;&gt;C:\Users\stu\Documents\GitHub\eaglep3-reporting\EC\2017-04-17-refined-times.txt</v>
      </c>
      <c r="AI168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{"issue":{"subject":"","project_id":79,"tracker_id":40,"status_id":1,"priority_id":2,"assigned_to_id":23,"start_date":"2017-04-17","description":"","custom_fields":[{"id":1,"name":"Subdivision","value":"NW"},{"id":4,"name":"Milepost","value":"0.0691"},{"id":17,"name":"Train ID","value":"806-17"},{"id":16,"name":"Locomotive ID","value":"4017"},{"id":130,"name":"Impact","value":""},{"id":150,"name":"Time of Event (Mountain Time)","value":"07:25:13"},{"id":151,"name":"Denver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8"/>
      <c r="AL168" s="48"/>
      <c r="AM168" s="150" t="str">
        <f t="shared" si="64"/>
        <v>start /low /b %USERPROFILE%\Documents\GitHub\eaglep3\Utilities\DownloadLogsFromS3.py --loco 4017 --day 2017-04-17</v>
      </c>
      <c r="AN168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13:25:13"},{"id":29,"name":"Sharepoint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683</v>
      </c>
      <c r="B169" s="7">
        <v>4024</v>
      </c>
      <c r="C169" s="21" t="s">
        <v>213</v>
      </c>
      <c r="D169" s="21" t="s">
        <v>971</v>
      </c>
      <c r="E169" s="13">
        <v>42842.304560185185</v>
      </c>
      <c r="F169" s="13">
        <v>42842.30641203704</v>
      </c>
      <c r="G169" s="7">
        <v>1</v>
      </c>
      <c r="H169" s="21" t="s">
        <v>972</v>
      </c>
      <c r="I169" s="13">
        <v>42842.31517361111</v>
      </c>
      <c r="J169" s="7">
        <v>0</v>
      </c>
      <c r="K169" s="97" t="str">
        <f t="shared" si="49"/>
        <v>4023/4024</v>
      </c>
      <c r="L169" s="21" t="str">
        <f>VLOOKUP(A169,'Trips&amp;Operators'!$C$1:$G$99999,5,FALSE)</f>
        <v>ROCHA YAOTL</v>
      </c>
      <c r="M169" s="6">
        <f t="shared" si="50"/>
        <v>8.7615740703768097E-3</v>
      </c>
      <c r="N169" s="7">
        <f t="shared" si="66"/>
        <v>12.616666661342606</v>
      </c>
      <c r="O169" s="7"/>
      <c r="P169" s="7"/>
      <c r="Q169" s="22"/>
      <c r="R169" s="22"/>
      <c r="S169" s="31">
        <f t="shared" si="67"/>
        <v>1</v>
      </c>
      <c r="T169" s="46" t="str">
        <f t="shared" si="51"/>
        <v>NorthBound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52"/>
        <v>https://d0f6bd738d7f1b3e5a7ca70fe4ff75f0.us-east-1.aws.found.io/app/kibana#/discover/Steve-Slow-Train-Analysis-(2080s-and-2083s)?_g=(refreshInterval:(display:Off,pause:!f,section:0,value:0),time:(from:'2017-04-17T06:18:34-0600',mode:absolute,to:'2017-04-17T08:33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9" s="183" t="str">
        <f t="shared" si="53"/>
        <v>N</v>
      </c>
      <c r="X169" s="183">
        <f t="shared" si="54"/>
        <v>1</v>
      </c>
      <c r="Y169" s="62">
        <f t="shared" si="55"/>
        <v>9.5100000000000004E-2</v>
      </c>
      <c r="Z169" s="62">
        <f t="shared" si="56"/>
        <v>5.8952</v>
      </c>
      <c r="AA169" s="62">
        <f t="shared" si="57"/>
        <v>5.8000999999999996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8"/>
        <v>0807-17</v>
      </c>
      <c r="AE169" s="85" t="str">
        <f t="shared" si="59"/>
        <v>aws s3 cp s3://rtdc.mdm.uploadarchive.raw/RTDC4024/ "%USERPROFILE%\AppData\Local\Temp\OnboardLogs"\RTDC4024\2017-04-17 --exclude "*" --recursive --include "*20170417*" &amp; "%USERPROFILE%\Documents\GitHub\mrs-test-scripts\Headless Mode &amp; Sideloading\WalkAndUnGZ.bat" "%USERPROFILE%\AppData\Local\Temp\OnboardLogs"\RTDC4024\2017-04-17 &amp; aws s3 cp s3://rtdc.mdm.uploadarchive.raw/RTDC4024/ "%USERPROFILE%\AppData\Local\Temp\OnboardLogs"\RTDC4024\2017-04-18 --exclude "*" --recursive --include "*20170418*" &amp; "%USERPROFILE%\Documents\GitHub\mrs-test-scripts\Headless Mode &amp; Sideloading\WalkAndUnGZ.bat" "%USERPROFILE%\AppData\Local\Temp\OnboardLogs"\RTDC4024\2017-04-18</v>
      </c>
      <c r="AF169" s="82" t="str">
        <f t="shared" si="60"/>
        <v>"C:\Program Files (x86)\AstroGrep\AstroGrep.exe" /e /r /s /spath="%USERPROFILE%\AppData\Local\Temp\OnboardLogs" /stypes="app*4024*20170417*" /stext=" 13:.+((SYSTEM_STATE.+slice.+state.+changed )|(ment ac)|(multiple cpu faults)|(system.+state.+changed )|(\[timeout)|(PRM\|1\|D)|(kpr)|(kdp)|(\|lc)|(penalty))"</v>
      </c>
      <c r="AG169" s="1" t="str">
        <f t="shared" si="61"/>
        <v>NW</v>
      </c>
      <c r="AH169" s="86" t="str">
        <f t="shared" si="62"/>
        <v>"%USERPROFILE%\Documents\GitHub\eaglep3\Utilities\RefineRTDCRunTimes.py" --tripid 807-17 --locoid 4024 --swversion DE.1.0.9.0 --startMP 204:951 --initTime 2017-04-17T07:18:34 --startdatetime 2017-04-17T07:21:14 --delay 1 --endMP 300:58952 --enddatetime 2017-04-17T07:33:51 --enforcementcount 0 &gt;&gt;C:\Users\stu\Documents\GitHub\eaglep3-reporting\EC\2017-04-17-refined-times.txt</v>
      </c>
      <c r="AI169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{"issue":{"subject":"","project_id":79,"tracker_id":40,"status_id":1,"priority_id":2,"assigned_to_id":23,"start_date":"2017-04-17","description":"","custom_fields":[{"id":1,"name":"Subdivision","value":"NW"},{"id":4,"name":"Milepost","value":"5.8952"},{"id":17,"name":"Train ID","value":"807-17"},{"id":16,"name":"Locomotive ID","value":"4024"},{"id":130,"name":"Impact","value":""},{"id":150,"name":"Time of Event (Mountain Time)","value":"07:33:51"},{"id":151,"name":"Denver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8"/>
      <c r="AL169" s="48"/>
      <c r="AM169" s="150" t="str">
        <f t="shared" si="64"/>
        <v>start /low /b %USERPROFILE%\Documents\GitHub\eaglep3\Utilities\DownloadLogsFromS3.py --loco 4024 --day 2017-04-17</v>
      </c>
      <c r="AN169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13:33:51"},{"id":29,"name":"Sharepoint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s="20" customFormat="1" x14ac:dyDescent="0.25">
      <c r="A170" s="33" t="s">
        <v>686</v>
      </c>
      <c r="B170" s="7">
        <v>4023</v>
      </c>
      <c r="C170" s="21" t="s">
        <v>213</v>
      </c>
      <c r="D170" s="21" t="s">
        <v>584</v>
      </c>
      <c r="E170" s="13">
        <v>42842.317569444444</v>
      </c>
      <c r="F170" s="13">
        <v>42842.319305555553</v>
      </c>
      <c r="G170" s="7">
        <v>1</v>
      </c>
      <c r="H170" s="21" t="s">
        <v>973</v>
      </c>
      <c r="I170" s="13">
        <v>42842.329884259256</v>
      </c>
      <c r="J170" s="7">
        <v>0</v>
      </c>
      <c r="K170" s="97" t="str">
        <f t="shared" si="49"/>
        <v>4023/4024</v>
      </c>
      <c r="L170" s="21" t="str">
        <f>VLOOKUP(A170,'Trips&amp;Operators'!$C$1:$G$99999,5,FALSE)</f>
        <v>ROCHA YAOTL</v>
      </c>
      <c r="M170" s="6">
        <f t="shared" si="50"/>
        <v>1.0578703702776693E-2</v>
      </c>
      <c r="N170" s="7">
        <f t="shared" si="66"/>
        <v>15.233333331998438</v>
      </c>
      <c r="O170" s="7"/>
      <c r="P170" s="7"/>
      <c r="Q170" s="22"/>
      <c r="R170" s="22"/>
      <c r="S170" s="31">
        <f t="shared" si="67"/>
        <v>1</v>
      </c>
      <c r="T170" s="46" t="str">
        <f t="shared" si="51"/>
        <v>Southbound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52"/>
        <v>https://d0f6bd738d7f1b3e5a7ca70fe4ff75f0.us-east-1.aws.found.io/app/kibana#/discover/Steve-Slow-Train-Analysis-(2080s-and-2083s)?_g=(refreshInterval:(display:Off,pause:!f,section:0,value:0),time:(from:'2017-04-17T06:37:18-0600',mode:absolute,to:'2017-04-17T08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0" s="183" t="str">
        <f t="shared" si="53"/>
        <v>N</v>
      </c>
      <c r="X170" s="183">
        <f t="shared" si="54"/>
        <v>1</v>
      </c>
      <c r="Y170" s="62">
        <f t="shared" si="55"/>
        <v>5.8643000000000001</v>
      </c>
      <c r="Z170" s="62">
        <f t="shared" si="56"/>
        <v>6.4899999999999999E-2</v>
      </c>
      <c r="AA170" s="62">
        <f t="shared" si="57"/>
        <v>5.7994000000000003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8"/>
        <v>0808-17</v>
      </c>
      <c r="AE170" s="85" t="str">
        <f t="shared" si="59"/>
        <v>aws s3 cp s3://rtdc.mdm.uploadarchive.raw/RTDC4023/ "%USERPROFILE%\AppData\Local\Temp\OnboardLogs"\RTDC4023\2017-04-17 --exclude "*" --recursive --include "*20170417*" &amp; "%USERPROFILE%\Documents\GitHub\mrs-test-scripts\Headless Mode &amp; Sideloading\WalkAndUnGZ.bat" "%USERPROFILE%\AppData\Local\Temp\OnboardLogs"\RTDC4023\2017-04-17 &amp; aws s3 cp s3://rtdc.mdm.uploadarchive.raw/RTDC4023/ "%USERPROFILE%\AppData\Local\Temp\OnboardLogs"\RTDC4023\2017-04-18 --exclude "*" --recursive --include "*20170418*" &amp; "%USERPROFILE%\Documents\GitHub\mrs-test-scripts\Headless Mode &amp; Sideloading\WalkAndUnGZ.bat" "%USERPROFILE%\AppData\Local\Temp\OnboardLogs"\RTDC4023\2017-04-18</v>
      </c>
      <c r="AF170" s="82" t="str">
        <f t="shared" si="60"/>
        <v>"C:\Program Files (x86)\AstroGrep\AstroGrep.exe" /e /r /s /spath="%USERPROFILE%\AppData\Local\Temp\OnboardLogs" /stypes="app*4023*20170417*" /stext=" 13:.+((SYSTEM_STATE.+slice.+state.+changed )|(ment ac)|(multiple cpu faults)|(system.+state.+changed )|(\[timeout)|(PRM\|1\|D)|(kpr)|(kdp)|(\|lc)|(penalty))"</v>
      </c>
      <c r="AG170" s="1" t="str">
        <f t="shared" si="61"/>
        <v>NW</v>
      </c>
      <c r="AH170" s="86" t="str">
        <f t="shared" si="62"/>
        <v>"%USERPROFILE%\Documents\GitHub\eaglep3\Utilities\RefineRTDCRunTimes.py" --tripid 808-17 --locoid 4023 --swversion DE.1.0.9.0 --startMP 300:58643 --initTime 2017-04-17T07:37:18 --startdatetime 2017-04-17T07:39:48 --delay 1 --endMP 204:649 --enddatetime 2017-04-17T07:55:02 --enforcementcount 0 &gt;&gt;C:\Users\stu\Documents\GitHub\eaglep3-reporting\EC\2017-04-17-refined-times.txt</v>
      </c>
      <c r="AI170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{"issue":{"subject":"","project_id":79,"tracker_id":40,"status_id":1,"priority_id":2,"assigned_to_id":23,"start_date":"2017-04-17","description":"","custom_fields":[{"id":1,"name":"Subdivision","value":"NW"},{"id":4,"name":"Milepost","value":"0.0649"},{"id":17,"name":"Train ID","value":"808-17"},{"id":16,"name":"Locomotive ID","value":"4023"},{"id":130,"name":"Impact","value":""},{"id":150,"name":"Time of Event (Mountain Time)","value":"07:55:02"},{"id":151,"name":"Denver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8"/>
      <c r="AL170" s="48"/>
      <c r="AM170" s="150" t="str">
        <f t="shared" si="64"/>
        <v>start /low /b %USERPROFILE%\Documents\GitHub\eaglep3\Utilities\DownloadLogsFromS3.py --loco 4023 --day 2017-04-17</v>
      </c>
      <c r="AN170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13:55:02"},{"id":29,"name":"Sharepoint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685</v>
      </c>
      <c r="B171" s="7">
        <v>4018</v>
      </c>
      <c r="C171" s="21" t="s">
        <v>213</v>
      </c>
      <c r="D171" s="21" t="s">
        <v>967</v>
      </c>
      <c r="E171" s="13">
        <v>42842.311909722222</v>
      </c>
      <c r="F171" s="13">
        <v>42842.327303240738</v>
      </c>
      <c r="G171" s="7">
        <v>1</v>
      </c>
      <c r="H171" s="21" t="s">
        <v>974</v>
      </c>
      <c r="I171" s="13">
        <v>42842.336296296293</v>
      </c>
      <c r="J171" s="7">
        <v>0</v>
      </c>
      <c r="K171" s="97" t="str">
        <f t="shared" si="49"/>
        <v>4017/4018</v>
      </c>
      <c r="L171" s="21" t="str">
        <f>VLOOKUP(A171,'Trips&amp;Operators'!$C$1:$G$99999,5,FALSE)</f>
        <v>LALONDE GREGORY</v>
      </c>
      <c r="M171" s="6">
        <f t="shared" si="50"/>
        <v>8.9930555550381541E-3</v>
      </c>
      <c r="N171" s="7">
        <f t="shared" si="66"/>
        <v>12.949999999254942</v>
      </c>
      <c r="O171" s="7"/>
      <c r="P171" s="7"/>
      <c r="Q171" s="22"/>
      <c r="R171" s="22"/>
      <c r="S171" s="31">
        <f t="shared" si="67"/>
        <v>1</v>
      </c>
      <c r="T171" s="46" t="str">
        <f t="shared" si="51"/>
        <v>NorthBound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52"/>
        <v>https://d0f6bd738d7f1b3e5a7ca70fe4ff75f0.us-east-1.aws.found.io/app/kibana#/discover/Steve-Slow-Train-Analysis-(2080s-and-2083s)?_g=(refreshInterval:(display:Off,pause:!f,section:0,value:0),time:(from:'2017-04-17T06:29:09-0600',mode:absolute,to:'2017-04-17T09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1" s="183" t="str">
        <f t="shared" si="53"/>
        <v>N</v>
      </c>
      <c r="X171" s="183">
        <f t="shared" si="54"/>
        <v>1</v>
      </c>
      <c r="Y171" s="62">
        <f t="shared" si="55"/>
        <v>9.74E-2</v>
      </c>
      <c r="Z171" s="62">
        <f t="shared" si="56"/>
        <v>5.8971</v>
      </c>
      <c r="AA171" s="62">
        <f t="shared" si="57"/>
        <v>5.7996999999999996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8"/>
        <v>0809-17</v>
      </c>
      <c r="AE171" s="85" t="str">
        <f t="shared" si="59"/>
        <v>aws s3 cp s3://rtdc.mdm.uploadarchive.raw/RTDC4018/ "%USERPROFILE%\AppData\Local\Temp\OnboardLogs"\RTDC4018\2017-04-17 --exclude "*" --recursive --include "*20170417*" &amp; "%USERPROFILE%\Documents\GitHub\mrs-test-scripts\Headless Mode &amp; Sideloading\WalkAndUnGZ.bat" "%USERPROFILE%\AppData\Local\Temp\OnboardLogs"\RTDC4018\2017-04-17 &amp; aws s3 cp s3://rtdc.mdm.uploadarchive.raw/RTDC4018/ "%USERPROFILE%\AppData\Local\Temp\OnboardLogs"\RTDC4018\2017-04-18 --exclude "*" --recursive --include "*20170418*" &amp; "%USERPROFILE%\Documents\GitHub\mrs-test-scripts\Headless Mode &amp; Sideloading\WalkAndUnGZ.bat" "%USERPROFILE%\AppData\Local\Temp\OnboardLogs"\RTDC4018\2017-04-18</v>
      </c>
      <c r="AF171" s="82" t="str">
        <f t="shared" si="60"/>
        <v>"C:\Program Files (x86)\AstroGrep\AstroGrep.exe" /e /r /s /spath="%USERPROFILE%\AppData\Local\Temp\OnboardLogs" /stypes="app*4018*20170417*" /stext=" 14:.+((SYSTEM_STATE.+slice.+state.+changed )|(ment ac)|(multiple cpu faults)|(system.+state.+changed )|(\[timeout)|(PRM\|1\|D)|(kpr)|(kdp)|(\|lc)|(penalty))"</v>
      </c>
      <c r="AG171" s="1" t="str">
        <f t="shared" si="61"/>
        <v>NW</v>
      </c>
      <c r="AH171" s="86" t="str">
        <f t="shared" si="62"/>
        <v>"%USERPROFILE%\Documents\GitHub\eaglep3\Utilities\RefineRTDCRunTimes.py" --tripid 809-17 --locoid 4018 --swversion DE.1.0.9.0 --startMP 204:974 --initTime 2017-04-17T07:29:09 --startdatetime 2017-04-17T07:51:19 --delay 1 --endMP 300:58971 --enddatetime 2017-04-17T08:04:16 --enforcementcount 0 &gt;&gt;C:\Users\stu\Documents\GitHub\eaglep3-reporting\EC\2017-04-17-refined-times.txt</v>
      </c>
      <c r="AI171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{"issue":{"subject":"","project_id":79,"tracker_id":40,"status_id":1,"priority_id":2,"assigned_to_id":23,"start_date":"2017-04-17","description":"","custom_fields":[{"id":1,"name":"Subdivision","value":"NW"},{"id":4,"name":"Milepost","value":"5.8971"},{"id":17,"name":"Train ID","value":"809-17"},{"id":16,"name":"Locomotive ID","value":"4018"},{"id":130,"name":"Impact","value":""},{"id":150,"name":"Time of Event (Mountain Time)","value":"08:04:16"},{"id":151,"name":"Denver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8"/>
      <c r="AL171" s="48"/>
      <c r="AM171" s="150" t="str">
        <f t="shared" si="64"/>
        <v>start /low /b %USERPROFILE%\Documents\GitHub\eaglep3\Utilities\DownloadLogsFromS3.py --loco 4018 --day 2017-04-17</v>
      </c>
      <c r="AN171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14:04:16"},{"id":29,"name":"Sharepoint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3" t="s">
        <v>690</v>
      </c>
      <c r="B172" s="7">
        <v>4017</v>
      </c>
      <c r="C172" s="21" t="s">
        <v>213</v>
      </c>
      <c r="D172" s="21" t="s">
        <v>975</v>
      </c>
      <c r="E172" s="13">
        <v>42842.337245370371</v>
      </c>
      <c r="F172" s="13">
        <v>42842.338738425926</v>
      </c>
      <c r="G172" s="7">
        <v>1</v>
      </c>
      <c r="H172" s="21" t="s">
        <v>964</v>
      </c>
      <c r="I172" s="13">
        <v>42842.350636574076</v>
      </c>
      <c r="J172" s="7">
        <v>0</v>
      </c>
      <c r="K172" s="97" t="str">
        <f t="shared" si="49"/>
        <v>4017/4018</v>
      </c>
      <c r="L172" s="21" t="str">
        <f>VLOOKUP(A172,'Trips&amp;Operators'!$C$1:$G$99999,5,FALSE)</f>
        <v>LALONDE GREGORY</v>
      </c>
      <c r="M172" s="6">
        <f t="shared" si="50"/>
        <v>1.1898148150066845E-2</v>
      </c>
      <c r="N172" s="7">
        <f t="shared" si="66"/>
        <v>17.133333336096257</v>
      </c>
      <c r="O172" s="7"/>
      <c r="P172" s="7"/>
      <c r="Q172" s="22"/>
      <c r="R172" s="22"/>
      <c r="S172" s="31">
        <f t="shared" si="67"/>
        <v>1</v>
      </c>
      <c r="T172" s="46" t="str">
        <f t="shared" si="51"/>
        <v>Southbound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52"/>
        <v>https://d0f6bd738d7f1b3e5a7ca70fe4ff75f0.us-east-1.aws.found.io/app/kibana#/discover/Steve-Slow-Train-Analysis-(2080s-and-2083s)?_g=(refreshInterval:(display:Off,pause:!f,section:0,value:0),time:(from:'2017-04-17T07:05:38-0600',mode:absolute,to:'2017-04-17T09:24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2" s="183" t="str">
        <f t="shared" si="53"/>
        <v>N</v>
      </c>
      <c r="X172" s="183">
        <f t="shared" si="54"/>
        <v>1</v>
      </c>
      <c r="Y172" s="62">
        <f t="shared" si="55"/>
        <v>5.8654999999999999</v>
      </c>
      <c r="Z172" s="62">
        <f t="shared" si="56"/>
        <v>6.8199999999999997E-2</v>
      </c>
      <c r="AA172" s="62">
        <f t="shared" si="57"/>
        <v>5.7972999999999999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8"/>
        <v>0810-17</v>
      </c>
      <c r="AE172" s="85" t="str">
        <f t="shared" si="59"/>
        <v>aws s3 cp s3://rtdc.mdm.uploadarchive.raw/RTDC4017/ "%USERPROFILE%\AppData\Local\Temp\OnboardLogs"\RTDC4017\2017-04-17 --exclude "*" --recursive --include "*20170417*" &amp; "%USERPROFILE%\Documents\GitHub\mrs-test-scripts\Headless Mode &amp; Sideloading\WalkAndUnGZ.bat" "%USERPROFILE%\AppData\Local\Temp\OnboardLogs"\RTDC4017\2017-04-17 &amp; aws s3 cp s3://rtdc.mdm.uploadarchive.raw/RTDC4017/ "%USERPROFILE%\AppData\Local\Temp\OnboardLogs"\RTDC4017\2017-04-18 --exclude "*" --recursive --include "*20170418*" &amp; "%USERPROFILE%\Documents\GitHub\mrs-test-scripts\Headless Mode &amp; Sideloading\WalkAndUnGZ.bat" "%USERPROFILE%\AppData\Local\Temp\OnboardLogs"\RTDC4017\2017-04-18</v>
      </c>
      <c r="AF172" s="82" t="str">
        <f t="shared" si="60"/>
        <v>"C:\Program Files (x86)\AstroGrep\AstroGrep.exe" /e /r /s /spath="%USERPROFILE%\AppData\Local\Temp\OnboardLogs" /stypes="app*4017*20170417*" /stext=" 14:.+((SYSTEM_STATE.+slice.+state.+changed )|(ment ac)|(multiple cpu faults)|(system.+state.+changed )|(\[timeout)|(PRM\|1\|D)|(kpr)|(kdp)|(\|lc)|(penalty))"</v>
      </c>
      <c r="AG172" s="1" t="str">
        <f t="shared" si="61"/>
        <v>NW</v>
      </c>
      <c r="AH172" s="86" t="str">
        <f t="shared" si="62"/>
        <v>"%USERPROFILE%\Documents\GitHub\eaglep3\Utilities\RefineRTDCRunTimes.py" --tripid 810-17 --locoid 4017 --swversion DE.1.0.9.0 --startMP 300:58655 --initTime 2017-04-17T08:05:38 --startdatetime 2017-04-17T08:07:47 --delay 1 --endMP 204:682 --enddatetime 2017-04-17T08:24:55 --enforcementcount 0 &gt;&gt;C:\Users\stu\Documents\GitHub\eaglep3-reporting\EC\2017-04-17-refined-times.txt</v>
      </c>
      <c r="AI172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{"issue":{"subject":"","project_id":79,"tracker_id":40,"status_id":1,"priority_id":2,"assigned_to_id":23,"start_date":"2017-04-17","description":"","custom_fields":[{"id":1,"name":"Subdivision","value":"NW"},{"id":4,"name":"Milepost","value":"0.0682"},{"id":17,"name":"Train ID","value":"810-17"},{"id":16,"name":"Locomotive ID","value":"4017"},{"id":130,"name":"Impact","value":""},{"id":150,"name":"Time of Event (Mountain Time)","value":"08:24:55"},{"id":151,"name":"Denver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8"/>
      <c r="AL172" s="48"/>
      <c r="AM172" s="150" t="str">
        <f t="shared" si="64"/>
        <v>start /low /b %USERPROFILE%\Documents\GitHub\eaglep3\Utilities\DownloadLogsFromS3.py --loco 4017 --day 2017-04-17</v>
      </c>
      <c r="AN172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14:24:55"},{"id":29,"name":"Sharepoint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s="20" customFormat="1" x14ac:dyDescent="0.25">
      <c r="A173" s="33" t="s">
        <v>694</v>
      </c>
      <c r="B173" s="7">
        <v>4024</v>
      </c>
      <c r="C173" s="21" t="s">
        <v>213</v>
      </c>
      <c r="D173" s="21" t="s">
        <v>976</v>
      </c>
      <c r="E173" s="13">
        <v>42842.346342592595</v>
      </c>
      <c r="F173" s="13">
        <v>42842.348124999997</v>
      </c>
      <c r="G173" s="7">
        <v>1</v>
      </c>
      <c r="H173" s="21" t="s">
        <v>977</v>
      </c>
      <c r="I173" s="13">
        <v>42842.356840277775</v>
      </c>
      <c r="J173" s="7">
        <v>0</v>
      </c>
      <c r="K173" s="97" t="str">
        <f t="shared" si="49"/>
        <v>4023/4024</v>
      </c>
      <c r="L173" s="21" t="str">
        <f>VLOOKUP(A173,'Trips&amp;Operators'!$C$1:$G$99999,5,FALSE)</f>
        <v>ROCHA YAOTL</v>
      </c>
      <c r="M173" s="6">
        <f t="shared" si="50"/>
        <v>8.7152777778101154E-3</v>
      </c>
      <c r="N173" s="7">
        <f t="shared" si="66"/>
        <v>12.550000000046566</v>
      </c>
      <c r="O173" s="7"/>
      <c r="P173" s="7"/>
      <c r="Q173" s="22"/>
      <c r="R173" s="22"/>
      <c r="S173" s="31">
        <f t="shared" si="67"/>
        <v>1</v>
      </c>
      <c r="T173" s="46" t="str">
        <f t="shared" si="51"/>
        <v>NorthBound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52"/>
        <v>https://d0f6bd738d7f1b3e5a7ca70fe4ff75f0.us-east-1.aws.found.io/app/kibana#/discover/Steve-Slow-Train-Analysis-(2080s-and-2083s)?_g=(refreshInterval:(display:Off,pause:!f,section:0,value:0),time:(from:'2017-04-17T07:18:44-0600',mode:absolute,to:'2017-04-17T09:33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3" s="183" t="str">
        <f t="shared" si="53"/>
        <v>N</v>
      </c>
      <c r="X173" s="183">
        <f t="shared" si="54"/>
        <v>1</v>
      </c>
      <c r="Y173" s="62">
        <f t="shared" si="55"/>
        <v>9.6199999999999994E-2</v>
      </c>
      <c r="Z173" s="62">
        <f t="shared" si="56"/>
        <v>5.8958000000000004</v>
      </c>
      <c r="AA173" s="62">
        <f t="shared" si="57"/>
        <v>5.7996000000000008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8"/>
        <v>0811-17</v>
      </c>
      <c r="AE173" s="85" t="str">
        <f t="shared" si="59"/>
        <v>aws s3 cp s3://rtdc.mdm.uploadarchive.raw/RTDC4024/ "%USERPROFILE%\AppData\Local\Temp\OnboardLogs"\RTDC4024\2017-04-17 --exclude "*" --recursive --include "*20170417*" &amp; "%USERPROFILE%\Documents\GitHub\mrs-test-scripts\Headless Mode &amp; Sideloading\WalkAndUnGZ.bat" "%USERPROFILE%\AppData\Local\Temp\OnboardLogs"\RTDC4024\2017-04-17 &amp; aws s3 cp s3://rtdc.mdm.uploadarchive.raw/RTDC4024/ "%USERPROFILE%\AppData\Local\Temp\OnboardLogs"\RTDC4024\2017-04-18 --exclude "*" --recursive --include "*20170418*" &amp; "%USERPROFILE%\Documents\GitHub\mrs-test-scripts\Headless Mode &amp; Sideloading\WalkAndUnGZ.bat" "%USERPROFILE%\AppData\Local\Temp\OnboardLogs"\RTDC4024\2017-04-18</v>
      </c>
      <c r="AF173" s="82" t="str">
        <f t="shared" si="60"/>
        <v>"C:\Program Files (x86)\AstroGrep\AstroGrep.exe" /e /r /s /spath="%USERPROFILE%\AppData\Local\Temp\OnboardLogs" /stypes="app*4024*20170417*" /stext=" 14:.+((SYSTEM_STATE.+slice.+state.+changed )|(ment ac)|(multiple cpu faults)|(system.+state.+changed )|(\[timeout)|(PRM\|1\|D)|(kpr)|(kdp)|(\|lc)|(penalty))"</v>
      </c>
      <c r="AG173" s="1" t="str">
        <f t="shared" si="61"/>
        <v>NW</v>
      </c>
      <c r="AH173" s="86" t="str">
        <f t="shared" si="62"/>
        <v>"%USERPROFILE%\Documents\GitHub\eaglep3\Utilities\RefineRTDCRunTimes.py" --tripid 811-17 --locoid 4024 --swversion DE.1.0.9.0 --startMP 204:962 --initTime 2017-04-17T08:18:44 --startdatetime 2017-04-17T08:21:18 --delay 1 --endMP 300:58958 --enddatetime 2017-04-17T08:33:51 --enforcementcount 0 &gt;&gt;C:\Users\stu\Documents\GitHub\eaglep3-reporting\EC\2017-04-17-refined-times.txt</v>
      </c>
      <c r="AI173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{"issue":{"subject":"","project_id":79,"tracker_id":40,"status_id":1,"priority_id":2,"assigned_to_id":23,"start_date":"2017-04-17","description":"","custom_fields":[{"id":1,"name":"Subdivision","value":"NW"},{"id":4,"name":"Milepost","value":"5.8958"},{"id":17,"name":"Train ID","value":"811-17"},{"id":16,"name":"Locomotive ID","value":"4024"},{"id":130,"name":"Impact","value":""},{"id":150,"name":"Time of Event (Mountain Time)","value":"08:33:51"},{"id":151,"name":"Denver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8"/>
      <c r="AL173" s="48"/>
      <c r="AM173" s="150" t="str">
        <f t="shared" si="64"/>
        <v>start /low /b %USERPROFILE%\Documents\GitHub\eaglep3\Utilities\DownloadLogsFromS3.py --loco 4024 --day 2017-04-17</v>
      </c>
      <c r="AN173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14:33:51"},{"id":29,"name":"Sharepoint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698</v>
      </c>
      <c r="B174" s="7">
        <v>4023</v>
      </c>
      <c r="C174" s="21" t="s">
        <v>213</v>
      </c>
      <c r="D174" s="21" t="s">
        <v>978</v>
      </c>
      <c r="E174" s="13">
        <v>42842.359236111108</v>
      </c>
      <c r="F174" s="13">
        <v>42842.360555555555</v>
      </c>
      <c r="G174" s="7">
        <v>1</v>
      </c>
      <c r="H174" s="21" t="s">
        <v>979</v>
      </c>
      <c r="I174" s="13">
        <v>42842.372499999998</v>
      </c>
      <c r="J174" s="7">
        <v>0</v>
      </c>
      <c r="K174" s="97" t="str">
        <f t="shared" si="49"/>
        <v>4023/4024</v>
      </c>
      <c r="L174" s="21" t="str">
        <f>VLOOKUP(A174,'Trips&amp;Operators'!$C$1:$G$99999,5,FALSE)</f>
        <v>ROCHA YAOTL</v>
      </c>
      <c r="M174" s="6">
        <f t="shared" si="50"/>
        <v>1.1944444442633539E-2</v>
      </c>
      <c r="N174" s="7">
        <f t="shared" si="66"/>
        <v>17.199999997392297</v>
      </c>
      <c r="O174" s="7"/>
      <c r="P174" s="7"/>
      <c r="Q174" s="22"/>
      <c r="R174" s="22"/>
      <c r="S174" s="31">
        <f t="shared" si="67"/>
        <v>1</v>
      </c>
      <c r="T174" s="46" t="str">
        <f t="shared" si="51"/>
        <v>Southbound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52"/>
        <v>https://d0f6bd738d7f1b3e5a7ca70fe4ff75f0.us-east-1.aws.found.io/app/kibana#/discover/Steve-Slow-Train-Analysis-(2080s-and-2083s)?_g=(refreshInterval:(display:Off,pause:!f,section:0,value:0),time:(from:'2017-04-17T07:37:18-0600',mode:absolute,to:'2017-04-17T09:56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4" s="183" t="str">
        <f t="shared" si="53"/>
        <v>N</v>
      </c>
      <c r="X174" s="183">
        <f t="shared" si="54"/>
        <v>1</v>
      </c>
      <c r="Y174" s="62">
        <f t="shared" si="55"/>
        <v>5.8640999999999996</v>
      </c>
      <c r="Z174" s="62">
        <f t="shared" si="56"/>
        <v>6.6600000000000006E-2</v>
      </c>
      <c r="AA174" s="62">
        <f t="shared" si="57"/>
        <v>5.7974999999999994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8"/>
        <v>0812-17</v>
      </c>
      <c r="AE174" s="85" t="str">
        <f t="shared" si="59"/>
        <v>aws s3 cp s3://rtdc.mdm.uploadarchive.raw/RTDC4023/ "%USERPROFILE%\AppData\Local\Temp\OnboardLogs"\RTDC4023\2017-04-17 --exclude "*" --recursive --include "*20170417*" &amp; "%USERPROFILE%\Documents\GitHub\mrs-test-scripts\Headless Mode &amp; Sideloading\WalkAndUnGZ.bat" "%USERPROFILE%\AppData\Local\Temp\OnboardLogs"\RTDC4023\2017-04-17 &amp; aws s3 cp s3://rtdc.mdm.uploadarchive.raw/RTDC4023/ "%USERPROFILE%\AppData\Local\Temp\OnboardLogs"\RTDC4023\2017-04-18 --exclude "*" --recursive --include "*20170418*" &amp; "%USERPROFILE%\Documents\GitHub\mrs-test-scripts\Headless Mode &amp; Sideloading\WalkAndUnGZ.bat" "%USERPROFILE%\AppData\Local\Temp\OnboardLogs"\RTDC4023\2017-04-18</v>
      </c>
      <c r="AF174" s="82" t="str">
        <f t="shared" si="60"/>
        <v>"C:\Program Files (x86)\AstroGrep\AstroGrep.exe" /e /r /s /spath="%USERPROFILE%\AppData\Local\Temp\OnboardLogs" /stypes="app*4023*20170417*" /stext=" 14:.+((SYSTEM_STATE.+slice.+state.+changed )|(ment ac)|(multiple cpu faults)|(system.+state.+changed )|(\[timeout)|(PRM\|1\|D)|(kpr)|(kdp)|(\|lc)|(penalty))"</v>
      </c>
      <c r="AG174" s="1" t="str">
        <f t="shared" si="61"/>
        <v>NW</v>
      </c>
      <c r="AH174" s="86" t="str">
        <f t="shared" si="62"/>
        <v>"%USERPROFILE%\Documents\GitHub\eaglep3\Utilities\RefineRTDCRunTimes.py" --tripid 812-17 --locoid 4023 --swversion DE.1.0.9.0 --startMP 300:58641 --initTime 2017-04-17T08:37:18 --startdatetime 2017-04-17T08:39:12 --delay 1 --endMP 204:666 --enddatetime 2017-04-17T08:56:24 --enforcementcount 0 &gt;&gt;C:\Users\stu\Documents\GitHub\eaglep3-reporting\EC\2017-04-17-refined-times.txt</v>
      </c>
      <c r="AI174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{"issue":{"subject":"","project_id":79,"tracker_id":40,"status_id":1,"priority_id":2,"assigned_to_id":23,"start_date":"2017-04-17","description":"","custom_fields":[{"id":1,"name":"Subdivision","value":"NW"},{"id":4,"name":"Milepost","value":"0.0666"},{"id":17,"name":"Train ID","value":"812-17"},{"id":16,"name":"Locomotive ID","value":"4023"},{"id":130,"name":"Impact","value":""},{"id":150,"name":"Time of Event (Mountain Time)","value":"08:56:24"},{"id":151,"name":"Denver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8"/>
      <c r="AL174" s="48"/>
      <c r="AM174" s="150" t="str">
        <f t="shared" si="64"/>
        <v>start /low /b %USERPROFILE%\Documents\GitHub\eaglep3\Utilities\DownloadLogsFromS3.py --loco 4023 --day 2017-04-17</v>
      </c>
      <c r="AN174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14:56:24"},{"id":29,"name":"Sharepoint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3" t="s">
        <v>703</v>
      </c>
      <c r="B175" s="7">
        <v>4024</v>
      </c>
      <c r="C175" s="21" t="s">
        <v>213</v>
      </c>
      <c r="D175" s="21" t="s">
        <v>971</v>
      </c>
      <c r="E175" s="13">
        <v>42842.388449074075</v>
      </c>
      <c r="F175" s="13">
        <v>42842.389756944445</v>
      </c>
      <c r="G175" s="7">
        <v>1</v>
      </c>
      <c r="H175" s="21" t="s">
        <v>980</v>
      </c>
      <c r="I175" s="13">
        <v>42842.398831018516</v>
      </c>
      <c r="J175" s="7">
        <v>0</v>
      </c>
      <c r="K175" s="97" t="str">
        <f t="shared" si="49"/>
        <v>4023/4024</v>
      </c>
      <c r="L175" s="21" t="str">
        <f>VLOOKUP(A175,'Trips&amp;Operators'!$C$1:$G$99999,5,FALSE)</f>
        <v>ROCHA YAOTL</v>
      </c>
      <c r="M175" s="6">
        <f t="shared" si="50"/>
        <v>9.074074070667848E-3</v>
      </c>
      <c r="N175" s="7">
        <f t="shared" si="66"/>
        <v>13.066666661761701</v>
      </c>
      <c r="O175" s="7"/>
      <c r="P175" s="7"/>
      <c r="Q175" s="22"/>
      <c r="R175" s="22"/>
      <c r="S175" s="31">
        <f t="shared" si="67"/>
        <v>1</v>
      </c>
      <c r="T175" s="46" t="str">
        <f t="shared" si="51"/>
        <v>NorthBound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52"/>
        <v>https://d0f6bd738d7f1b3e5a7ca70fe4ff75f0.us-east-1.aws.found.io/app/kibana#/discover/Steve-Slow-Train-Analysis-(2080s-and-2083s)?_g=(refreshInterval:(display:Off,pause:!f,section:0,value:0),time:(from:'2017-04-17T08:19:22-0600',mode:absolute,to:'2017-04-17T10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5" s="183" t="str">
        <f t="shared" si="53"/>
        <v>N</v>
      </c>
      <c r="X175" s="183">
        <f t="shared" si="54"/>
        <v>1</v>
      </c>
      <c r="Y175" s="62">
        <f t="shared" si="55"/>
        <v>9.5100000000000004E-2</v>
      </c>
      <c r="Z175" s="62">
        <f t="shared" si="56"/>
        <v>5.8960999999999997</v>
      </c>
      <c r="AA175" s="62">
        <f t="shared" si="57"/>
        <v>5.8009999999999993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8"/>
        <v>0813-17</v>
      </c>
      <c r="AE175" s="85" t="str">
        <f t="shared" si="59"/>
        <v>aws s3 cp s3://rtdc.mdm.uploadarchive.raw/RTDC4024/ "%USERPROFILE%\AppData\Local\Temp\OnboardLogs"\RTDC4024\2017-04-17 --exclude "*" --recursive --include "*20170417*" &amp; "%USERPROFILE%\Documents\GitHub\mrs-test-scripts\Headless Mode &amp; Sideloading\WalkAndUnGZ.bat" "%USERPROFILE%\AppData\Local\Temp\OnboardLogs"\RTDC4024\2017-04-17 &amp; aws s3 cp s3://rtdc.mdm.uploadarchive.raw/RTDC4024/ "%USERPROFILE%\AppData\Local\Temp\OnboardLogs"\RTDC4024\2017-04-18 --exclude "*" --recursive --include "*20170418*" &amp; "%USERPROFILE%\Documents\GitHub\mrs-test-scripts\Headless Mode &amp; Sideloading\WalkAndUnGZ.bat" "%USERPROFILE%\AppData\Local\Temp\OnboardLogs"\RTDC4024\2017-04-18</v>
      </c>
      <c r="AF175" s="82" t="str">
        <f t="shared" si="60"/>
        <v>"C:\Program Files (x86)\AstroGrep\AstroGrep.exe" /e /r /s /spath="%USERPROFILE%\AppData\Local\Temp\OnboardLogs" /stypes="app*4024*20170417*" /stext=" 15:.+((SYSTEM_STATE.+slice.+state.+changed )|(ment ac)|(multiple cpu faults)|(system.+state.+changed )|(\[timeout)|(PRM\|1\|D)|(kpr)|(kdp)|(\|lc)|(penalty))"</v>
      </c>
      <c r="AG175" s="1" t="str">
        <f t="shared" si="61"/>
        <v>NW</v>
      </c>
      <c r="AH175" s="86" t="str">
        <f t="shared" si="62"/>
        <v>"%USERPROFILE%\Documents\GitHub\eaglep3\Utilities\RefineRTDCRunTimes.py" --tripid 813-17 --locoid 4024 --swversion DE.1.0.9.0 --startMP 204:951 --initTime 2017-04-17T09:19:22 --startdatetime 2017-04-17T09:21:15 --delay 1 --endMP 300:58961 --enddatetime 2017-04-17T09:34:19 --enforcementcount 0 &gt;&gt;C:\Users\stu\Documents\GitHub\eaglep3-reporting\EC\2017-04-17-refined-times.txt</v>
      </c>
      <c r="AI175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{"issue":{"subject":"","project_id":79,"tracker_id":40,"status_id":1,"priority_id":2,"assigned_to_id":23,"start_date":"2017-04-17","description":"","custom_fields":[{"id":1,"name":"Subdivision","value":"NW"},{"id":4,"name":"Milepost","value":"5.8961"},{"id":17,"name":"Train ID","value":"813-17"},{"id":16,"name":"Locomotive ID","value":"4024"},{"id":130,"name":"Impact","value":""},{"id":150,"name":"Time of Event (Mountain Time)","value":"09:34:19"},{"id":151,"name":"Denver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8"/>
      <c r="AL175" s="48"/>
      <c r="AM175" s="150" t="str">
        <f t="shared" si="64"/>
        <v>start /low /b %USERPROFILE%\Documents\GitHub\eaglep3\Utilities\DownloadLogsFromS3.py --loco 4024 --day 2017-04-17</v>
      </c>
      <c r="AN175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15:34:19"},{"id":29,"name":"Sharepoint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3" t="s">
        <v>706</v>
      </c>
      <c r="B176" s="7">
        <v>4023</v>
      </c>
      <c r="C176" s="21" t="s">
        <v>213</v>
      </c>
      <c r="D176" s="21" t="s">
        <v>981</v>
      </c>
      <c r="E176" s="13">
        <v>42842.400034722225</v>
      </c>
      <c r="F176" s="13">
        <v>42842.401296296295</v>
      </c>
      <c r="G176" s="7">
        <v>1</v>
      </c>
      <c r="H176" s="21" t="s">
        <v>982</v>
      </c>
      <c r="I176" s="13">
        <v>42842.414780092593</v>
      </c>
      <c r="J176" s="7">
        <v>0</v>
      </c>
      <c r="K176" s="97" t="str">
        <f t="shared" si="49"/>
        <v>4023/4024</v>
      </c>
      <c r="L176" s="21" t="str">
        <f>VLOOKUP(A176,'Trips&amp;Operators'!$C$1:$G$99999,5,FALSE)</f>
        <v>ROCHA YAOTL</v>
      </c>
      <c r="M176" s="6">
        <f t="shared" si="50"/>
        <v>1.3483796297805384E-2</v>
      </c>
      <c r="N176" s="7">
        <f t="shared" si="66"/>
        <v>19.416666668839753</v>
      </c>
      <c r="O176" s="7"/>
      <c r="P176" s="7"/>
      <c r="Q176" s="22"/>
      <c r="R176" s="22"/>
      <c r="S176" s="31">
        <f t="shared" si="67"/>
        <v>1</v>
      </c>
      <c r="T176" s="46" t="str">
        <f t="shared" si="51"/>
        <v>Southbound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 t="shared" si="52"/>
        <v>https://d0f6bd738d7f1b3e5a7ca70fe4ff75f0.us-east-1.aws.found.io/app/kibana#/discover/Steve-Slow-Train-Analysis-(2080s-and-2083s)?_g=(refreshInterval:(display:Off,pause:!f,section:0,value:0),time:(from:'2017-04-17T08:36:03-0600',mode:absolute,to:'2017-04-17T10:57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6" s="183" t="str">
        <f t="shared" si="53"/>
        <v>N</v>
      </c>
      <c r="X176" s="183">
        <f t="shared" si="54"/>
        <v>1</v>
      </c>
      <c r="Y176" s="62">
        <f t="shared" si="55"/>
        <v>5.8647</v>
      </c>
      <c r="Z176" s="62">
        <f t="shared" si="56"/>
        <v>6.3500000000000001E-2</v>
      </c>
      <c r="AA176" s="62">
        <f t="shared" si="57"/>
        <v>5.8011999999999997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8"/>
        <v>0814-17</v>
      </c>
      <c r="AE176" s="85" t="str">
        <f t="shared" si="59"/>
        <v>aws s3 cp s3://rtdc.mdm.uploadarchive.raw/RTDC4023/ "%USERPROFILE%\AppData\Local\Temp\OnboardLogs"\RTDC4023\2017-04-17 --exclude "*" --recursive --include "*20170417*" &amp; "%USERPROFILE%\Documents\GitHub\mrs-test-scripts\Headless Mode &amp; Sideloading\WalkAndUnGZ.bat" "%USERPROFILE%\AppData\Local\Temp\OnboardLogs"\RTDC4023\2017-04-17 &amp; aws s3 cp s3://rtdc.mdm.uploadarchive.raw/RTDC4023/ "%USERPROFILE%\AppData\Local\Temp\OnboardLogs"\RTDC4023\2017-04-18 --exclude "*" --recursive --include "*20170418*" &amp; "%USERPROFILE%\Documents\GitHub\mrs-test-scripts\Headless Mode &amp; Sideloading\WalkAndUnGZ.bat" "%USERPROFILE%\AppData\Local\Temp\OnboardLogs"\RTDC4023\2017-04-18</v>
      </c>
      <c r="AF176" s="82" t="str">
        <f t="shared" si="60"/>
        <v>"C:\Program Files (x86)\AstroGrep\AstroGrep.exe" /e /r /s /spath="%USERPROFILE%\AppData\Local\Temp\OnboardLogs" /stypes="app*4023*20170417*" /stext=" 15:.+((SYSTEM_STATE.+slice.+state.+changed )|(ment ac)|(multiple cpu faults)|(system.+state.+changed )|(\[timeout)|(PRM\|1\|D)|(kpr)|(kdp)|(\|lc)|(penalty))"</v>
      </c>
      <c r="AG176" s="1" t="str">
        <f t="shared" si="61"/>
        <v>NW</v>
      </c>
      <c r="AH176" s="86" t="str">
        <f t="shared" si="62"/>
        <v>"%USERPROFILE%\Documents\GitHub\eaglep3\Utilities\RefineRTDCRunTimes.py" --tripid 814-17 --locoid 4023 --swversion DE.1.0.9.0 --startMP 300:58647 --initTime 2017-04-17T09:36:03 --startdatetime 2017-04-17T09:37:52 --delay 1 --endMP 204:635 --enddatetime 2017-04-17T09:57:17 --enforcementcount 0 &gt;&gt;C:\Users\stu\Documents\GitHub\eaglep3-reporting\EC\2017-04-17-refined-times.txt</v>
      </c>
      <c r="AI176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{"issue":{"subject":"","project_id":79,"tracker_id":40,"status_id":1,"priority_id":2,"assigned_to_id":23,"start_date":"2017-04-17","description":"","custom_fields":[{"id":1,"name":"Subdivision","value":"NW"},{"id":4,"name":"Milepost","value":"0.0635"},{"id":17,"name":"Train ID","value":"814-17"},{"id":16,"name":"Locomotive ID","value":"4023"},{"id":130,"name":"Impact","value":""},{"id":150,"name":"Time of Event (Mountain Time)","value":"09:57:17"},{"id":151,"name":"Denver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 t="shared" si="64"/>
        <v>start /low /b %USERPROFILE%\Documents\GitHub\eaglep3\Utilities\DownloadLogsFromS3.py --loco 4023 --day 2017-04-17</v>
      </c>
      <c r="AN176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15:57:17"},{"id":29,"name":"Sharepoint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3" t="s">
        <v>712</v>
      </c>
      <c r="B177" s="7">
        <v>4024</v>
      </c>
      <c r="C177" s="21" t="s">
        <v>213</v>
      </c>
      <c r="D177" s="21" t="s">
        <v>983</v>
      </c>
      <c r="E177" s="13">
        <v>42842.430092592593</v>
      </c>
      <c r="F177" s="13">
        <v>42842.431435185186</v>
      </c>
      <c r="G177" s="7">
        <v>0</v>
      </c>
      <c r="H177" s="21" t="s">
        <v>539</v>
      </c>
      <c r="I177" s="13">
        <v>42842.440532407411</v>
      </c>
      <c r="J177" s="7">
        <v>0</v>
      </c>
      <c r="K177" s="97" t="str">
        <f t="shared" si="49"/>
        <v>4023/4024</v>
      </c>
      <c r="L177" s="21" t="str">
        <f>VLOOKUP(A177,'Trips&amp;Operators'!$C$1:$G$99999,5,FALSE)</f>
        <v>ROCHA YAOTL</v>
      </c>
      <c r="M177" s="6">
        <f t="shared" si="50"/>
        <v>9.0972222242271528E-3</v>
      </c>
      <c r="N177" s="7">
        <f t="shared" si="66"/>
        <v>13.1000000028871</v>
      </c>
      <c r="O177" s="7"/>
      <c r="P177" s="7"/>
      <c r="Q177" s="22"/>
      <c r="R177" s="22"/>
      <c r="S177" s="31">
        <f t="shared" si="67"/>
        <v>1</v>
      </c>
      <c r="T177" s="46" t="str">
        <f t="shared" si="51"/>
        <v>NorthBound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52"/>
        <v>https://d0f6bd738d7f1b3e5a7ca70fe4ff75f0.us-east-1.aws.found.io/app/kibana#/discover/Steve-Slow-Train-Analysis-(2080s-and-2083s)?_g=(refreshInterval:(display:Off,pause:!f,section:0,value:0),time:(from:'2017-04-17T09:19:20-0600',mode:absolute,to:'2017-04-17T11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7" s="183" t="str">
        <f t="shared" si="53"/>
        <v>N</v>
      </c>
      <c r="X177" s="183">
        <f t="shared" si="54"/>
        <v>1</v>
      </c>
      <c r="Y177" s="62">
        <f t="shared" si="55"/>
        <v>9.4600000000000004E-2</v>
      </c>
      <c r="Z177" s="62">
        <f t="shared" si="56"/>
        <v>5.8945999999999996</v>
      </c>
      <c r="AA177" s="62">
        <f t="shared" si="57"/>
        <v>5.8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8"/>
        <v>0815-17</v>
      </c>
      <c r="AE177" s="85" t="str">
        <f t="shared" si="59"/>
        <v>aws s3 cp s3://rtdc.mdm.uploadarchive.raw/RTDC4024/ "%USERPROFILE%\AppData\Local\Temp\OnboardLogs"\RTDC4024\2017-04-17 --exclude "*" --recursive --include "*20170417*" &amp; "%USERPROFILE%\Documents\GitHub\mrs-test-scripts\Headless Mode &amp; Sideloading\WalkAndUnGZ.bat" "%USERPROFILE%\AppData\Local\Temp\OnboardLogs"\RTDC4024\2017-04-17 &amp; aws s3 cp s3://rtdc.mdm.uploadarchive.raw/RTDC4024/ "%USERPROFILE%\AppData\Local\Temp\OnboardLogs"\RTDC4024\2017-04-18 --exclude "*" --recursive --include "*20170418*" &amp; "%USERPROFILE%\Documents\GitHub\mrs-test-scripts\Headless Mode &amp; Sideloading\WalkAndUnGZ.bat" "%USERPROFILE%\AppData\Local\Temp\OnboardLogs"\RTDC4024\2017-04-18</v>
      </c>
      <c r="AF177" s="82" t="str">
        <f t="shared" si="60"/>
        <v>"C:\Program Files (x86)\AstroGrep\AstroGrep.exe" /e /r /s /spath="%USERPROFILE%\AppData\Local\Temp\OnboardLogs" /stypes="app*4024*20170417*" /stext=" 16:.+((SYSTEM_STATE.+slice.+state.+changed )|(ment ac)|(multiple cpu faults)|(system.+state.+changed )|(\[timeout)|(PRM\|1\|D)|(kpr)|(kdp)|(\|lc)|(penalty))"</v>
      </c>
      <c r="AG177" s="1" t="str">
        <f t="shared" si="61"/>
        <v>NW</v>
      </c>
      <c r="AH177" s="86" t="str">
        <f t="shared" si="62"/>
        <v>"%USERPROFILE%\Documents\GitHub\eaglep3\Utilities\RefineRTDCRunTimes.py" --tripid 815-17 --locoid 4024 --swversion DE.1.0.9.0 --startMP 204:946 --initTime 2017-04-17T10:19:20 --startdatetime 2017-04-17T10:21:16 --delay 0 --endMP 300:58946 --enddatetime 2017-04-17T10:34:22 --enforcementcount 0 &gt;&gt;C:\Users\stu\Documents\GitHub\eaglep3-reporting\EC\2017-04-17-refined-times.txt</v>
      </c>
      <c r="AI177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{"issue":{"subject":"","project_id":79,"tracker_id":40,"status_id":1,"priority_id":2,"assigned_to_id":23,"start_date":"2017-04-17","description":"","custom_fields":[{"id":1,"name":"Subdivision","value":"NW"},{"id":4,"name":"Milepost","value":"5.8946"},{"id":17,"name":"Train ID","value":"815-17"},{"id":16,"name":"Locomotive ID","value":"4024"},{"id":130,"name":"Impact","value":""},{"id":150,"name":"Time of Event (Mountain Time)","value":"10:34:22"},{"id":151,"name":"Denver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64"/>
        <v>start /low /b %USERPROFILE%\Documents\GitHub\eaglep3\Utilities\DownloadLogsFromS3.py --loco 4024 --day 2017-04-17</v>
      </c>
      <c r="AN177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16:34:22"},{"id":29,"name":"Sharepoint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3" t="s">
        <v>715</v>
      </c>
      <c r="B178" s="7">
        <v>4023</v>
      </c>
      <c r="C178" s="21" t="s">
        <v>213</v>
      </c>
      <c r="D178" s="21" t="s">
        <v>984</v>
      </c>
      <c r="E178" s="13">
        <v>42842.442997685182</v>
      </c>
      <c r="F178" s="13">
        <v>42842.444467592592</v>
      </c>
      <c r="G178" s="7">
        <v>1</v>
      </c>
      <c r="H178" s="21" t="s">
        <v>985</v>
      </c>
      <c r="I178" s="13">
        <v>42842.45453703704</v>
      </c>
      <c r="J178" s="7">
        <v>0</v>
      </c>
      <c r="K178" s="97" t="str">
        <f t="shared" si="49"/>
        <v>4023/4024</v>
      </c>
      <c r="L178" s="21" t="str">
        <f>VLOOKUP(A178,'Trips&amp;Operators'!$C$1:$G$99999,5,FALSE)</f>
        <v>ROCHA YAOTL</v>
      </c>
      <c r="M178" s="6">
        <f t="shared" si="50"/>
        <v>1.0069444448163267E-2</v>
      </c>
      <c r="N178" s="7">
        <f t="shared" si="66"/>
        <v>14.500000005355105</v>
      </c>
      <c r="O178" s="7"/>
      <c r="P178" s="7"/>
      <c r="Q178" s="22"/>
      <c r="R178" s="22"/>
      <c r="S178" s="31">
        <f t="shared" si="67"/>
        <v>1</v>
      </c>
      <c r="T178" s="46" t="str">
        <f t="shared" si="51"/>
        <v>Southbound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52"/>
        <v>https://d0f6bd738d7f1b3e5a7ca70fe4ff75f0.us-east-1.aws.found.io/app/kibana#/discover/Steve-Slow-Train-Analysis-(2080s-and-2083s)?_g=(refreshInterval:(display:Off,pause:!f,section:0,value:0),time:(from:'2017-04-17T09:37:55-0600',mode:absolute,to:'2017-04-17T11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8" s="183" t="str">
        <f t="shared" si="53"/>
        <v>N</v>
      </c>
      <c r="X178" s="183">
        <f t="shared" si="54"/>
        <v>1</v>
      </c>
      <c r="Y178" s="62">
        <f t="shared" si="55"/>
        <v>5.8634000000000004</v>
      </c>
      <c r="Z178" s="62">
        <f t="shared" si="56"/>
        <v>6.6299999999999998E-2</v>
      </c>
      <c r="AA178" s="62">
        <f t="shared" si="57"/>
        <v>5.7971000000000004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8"/>
        <v>0816-17</v>
      </c>
      <c r="AE178" s="85" t="str">
        <f t="shared" si="59"/>
        <v>aws s3 cp s3://rtdc.mdm.uploadarchive.raw/RTDC4023/ "%USERPROFILE%\AppData\Local\Temp\OnboardLogs"\RTDC4023\2017-04-17 --exclude "*" --recursive --include "*20170417*" &amp; "%USERPROFILE%\Documents\GitHub\mrs-test-scripts\Headless Mode &amp; Sideloading\WalkAndUnGZ.bat" "%USERPROFILE%\AppData\Local\Temp\OnboardLogs"\RTDC4023\2017-04-17 &amp; aws s3 cp s3://rtdc.mdm.uploadarchive.raw/RTDC4023/ "%USERPROFILE%\AppData\Local\Temp\OnboardLogs"\RTDC4023\2017-04-18 --exclude "*" --recursive --include "*20170418*" &amp; "%USERPROFILE%\Documents\GitHub\mrs-test-scripts\Headless Mode &amp; Sideloading\WalkAndUnGZ.bat" "%USERPROFILE%\AppData\Local\Temp\OnboardLogs"\RTDC4023\2017-04-18</v>
      </c>
      <c r="AF178" s="82" t="str">
        <f t="shared" si="60"/>
        <v>"C:\Program Files (x86)\AstroGrep\AstroGrep.exe" /e /r /s /spath="%USERPROFILE%\AppData\Local\Temp\OnboardLogs" /stypes="app*4023*20170417*" /stext=" 16:.+((SYSTEM_STATE.+slice.+state.+changed )|(ment ac)|(multiple cpu faults)|(system.+state.+changed )|(\[timeout)|(PRM\|1\|D)|(kpr)|(kdp)|(\|lc)|(penalty))"</v>
      </c>
      <c r="AG178" s="1" t="str">
        <f t="shared" si="61"/>
        <v>NW</v>
      </c>
      <c r="AH178" s="86" t="str">
        <f t="shared" si="62"/>
        <v>"%USERPROFILE%\Documents\GitHub\eaglep3\Utilities\RefineRTDCRunTimes.py" --tripid 816-17 --locoid 4023 --swversion DE.1.0.9.0 --startMP 300:58634 --initTime 2017-04-17T10:37:55 --startdatetime 2017-04-17T10:40:02 --delay 1 --endMP 204:663 --enddatetime 2017-04-17T10:54:32 --enforcementcount 0 &gt;&gt;C:\Users\stu\Documents\GitHub\eaglep3-reporting\EC\2017-04-17-refined-times.txt</v>
      </c>
      <c r="AI178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{"issue":{"subject":"","project_id":79,"tracker_id":40,"status_id":1,"priority_id":2,"assigned_to_id":23,"start_date":"2017-04-17","description":"","custom_fields":[{"id":1,"name":"Subdivision","value":"NW"},{"id":4,"name":"Milepost","value":"0.0663"},{"id":17,"name":"Train ID","value":"816-17"},{"id":16,"name":"Locomotive ID","value":"4023"},{"id":130,"name":"Impact","value":""},{"id":150,"name":"Time of Event (Mountain Time)","value":"10:54:32"},{"id":151,"name":"Denver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8"/>
      <c r="AL178" s="48"/>
      <c r="AM178" s="150" t="str">
        <f t="shared" si="64"/>
        <v>start /low /b %USERPROFILE%\Documents\GitHub\eaglep3\Utilities\DownloadLogsFromS3.py --loco 4023 --day 2017-04-17</v>
      </c>
      <c r="AN178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16:54:32"},{"id":29,"name":"Sharepoint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3" t="s">
        <v>721</v>
      </c>
      <c r="B179" s="7">
        <v>4024</v>
      </c>
      <c r="C179" s="21" t="s">
        <v>213</v>
      </c>
      <c r="D179" s="21" t="s">
        <v>986</v>
      </c>
      <c r="E179" s="13">
        <v>42842.467615740738</v>
      </c>
      <c r="F179" s="13">
        <v>42842.473136574074</v>
      </c>
      <c r="G179" s="7">
        <v>1</v>
      </c>
      <c r="H179" s="21" t="s">
        <v>974</v>
      </c>
      <c r="I179" s="13">
        <v>42842.482824074075</v>
      </c>
      <c r="J179" s="7">
        <v>0</v>
      </c>
      <c r="K179" s="97" t="str">
        <f t="shared" si="49"/>
        <v>4023/4024</v>
      </c>
      <c r="L179" s="21" t="str">
        <f>VLOOKUP(A179,'Trips&amp;Operators'!$C$1:$G$99999,5,FALSE)</f>
        <v>ROCHA YAOTL</v>
      </c>
      <c r="M179" s="6">
        <f t="shared" si="50"/>
        <v>9.6875000017462298E-3</v>
      </c>
      <c r="N179" s="7">
        <f t="shared" si="66"/>
        <v>13.950000002514571</v>
      </c>
      <c r="O179" s="7"/>
      <c r="P179" s="7"/>
      <c r="Q179" s="22"/>
      <c r="R179" s="22"/>
      <c r="S179" s="31">
        <f t="shared" si="67"/>
        <v>1</v>
      </c>
      <c r="T179" s="46" t="str">
        <f t="shared" si="51"/>
        <v>NorthBound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52"/>
        <v>https://d0f6bd738d7f1b3e5a7ca70fe4ff75f0.us-east-1.aws.found.io/app/kibana#/discover/Steve-Slow-Train-Analysis-(2080s-and-2083s)?_g=(refreshInterval:(display:Off,pause:!f,section:0,value:0),time:(from:'2017-04-17T10:13:22-0600',mode:absolute,to:'2017-04-17T12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9" s="183" t="str">
        <f t="shared" si="53"/>
        <v>N</v>
      </c>
      <c r="X179" s="183">
        <f t="shared" si="54"/>
        <v>1</v>
      </c>
      <c r="Y179" s="62">
        <f t="shared" si="55"/>
        <v>9.5000000000000001E-2</v>
      </c>
      <c r="Z179" s="62">
        <f t="shared" si="56"/>
        <v>5.8971</v>
      </c>
      <c r="AA179" s="62">
        <f t="shared" si="57"/>
        <v>5.8021000000000003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8"/>
        <v>0817-17</v>
      </c>
      <c r="AE179" s="85" t="str">
        <f t="shared" si="59"/>
        <v>aws s3 cp s3://rtdc.mdm.uploadarchive.raw/RTDC4024/ "%USERPROFILE%\AppData\Local\Temp\OnboardLogs"\RTDC4024\2017-04-17 --exclude "*" --recursive --include "*20170417*" &amp; "%USERPROFILE%\Documents\GitHub\mrs-test-scripts\Headless Mode &amp; Sideloading\WalkAndUnGZ.bat" "%USERPROFILE%\AppData\Local\Temp\OnboardLogs"\RTDC4024\2017-04-17 &amp; aws s3 cp s3://rtdc.mdm.uploadarchive.raw/RTDC4024/ "%USERPROFILE%\AppData\Local\Temp\OnboardLogs"\RTDC4024\2017-04-18 --exclude "*" --recursive --include "*20170418*" &amp; "%USERPROFILE%\Documents\GitHub\mrs-test-scripts\Headless Mode &amp; Sideloading\WalkAndUnGZ.bat" "%USERPROFILE%\AppData\Local\Temp\OnboardLogs"\RTDC4024\2017-04-18</v>
      </c>
      <c r="AF179" s="82" t="str">
        <f t="shared" si="60"/>
        <v>"C:\Program Files (x86)\AstroGrep\AstroGrep.exe" /e /r /s /spath="%USERPROFILE%\AppData\Local\Temp\OnboardLogs" /stypes="app*4024*20170417*" /stext=" 17:.+((SYSTEM_STATE.+slice.+state.+changed )|(ment ac)|(multiple cpu faults)|(system.+state.+changed )|(\[timeout)|(PRM\|1\|D)|(kpr)|(kdp)|(\|lc)|(penalty))"</v>
      </c>
      <c r="AG179" s="1" t="str">
        <f t="shared" si="61"/>
        <v>NW</v>
      </c>
      <c r="AH179" s="86" t="str">
        <f t="shared" si="62"/>
        <v>"%USERPROFILE%\Documents\GitHub\eaglep3\Utilities\RefineRTDCRunTimes.py" --tripid 817-17 --locoid 4024 --swversion DE.1.0.9.0 --startMP 204:950 --initTime 2017-04-17T11:13:22 --startdatetime 2017-04-17T11:21:19 --delay 1 --endMP 300:58971 --enddatetime 2017-04-17T11:35:16 --enforcementcount 0 &gt;&gt;C:\Users\stu\Documents\GitHub\eaglep3-reporting\EC\2017-04-17-refined-times.txt</v>
      </c>
      <c r="AI179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{"issue":{"subject":"","project_id":79,"tracker_id":40,"status_id":1,"priority_id":2,"assigned_to_id":23,"start_date":"2017-04-17","description":"","custom_fields":[{"id":1,"name":"Subdivision","value":"NW"},{"id":4,"name":"Milepost","value":"5.8971"},{"id":17,"name":"Train ID","value":"817-17"},{"id":16,"name":"Locomotive ID","value":"4024"},{"id":130,"name":"Impact","value":""},{"id":150,"name":"Time of Event (Mountain Time)","value":"11:35:16"},{"id":151,"name":"Denver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64"/>
        <v>start /low /b %USERPROFILE%\Documents\GitHub\eaglep3\Utilities\DownloadLogsFromS3.py --loco 4024 --day 2017-04-17</v>
      </c>
      <c r="AN179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17:35:16"},{"id":29,"name":"Sharepoint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3" t="s">
        <v>729</v>
      </c>
      <c r="B180" s="7">
        <v>4023</v>
      </c>
      <c r="C180" s="21" t="s">
        <v>213</v>
      </c>
      <c r="D180" s="21" t="s">
        <v>975</v>
      </c>
      <c r="E180" s="13">
        <v>42842.484363425923</v>
      </c>
      <c r="F180" s="13">
        <v>42842.486817129633</v>
      </c>
      <c r="G180" s="7">
        <v>2</v>
      </c>
      <c r="H180" s="21" t="s">
        <v>987</v>
      </c>
      <c r="I180" s="13">
        <v>42842.496076388888</v>
      </c>
      <c r="J180" s="7">
        <v>0</v>
      </c>
      <c r="K180" s="97" t="str">
        <f t="shared" si="49"/>
        <v>4023/4024</v>
      </c>
      <c r="L180" s="21" t="str">
        <f>VLOOKUP(A180,'Trips&amp;Operators'!$C$1:$G$99999,5,FALSE)</f>
        <v>ROCHA YAOTL</v>
      </c>
      <c r="M180" s="6">
        <f t="shared" si="50"/>
        <v>9.2592592554865405E-3</v>
      </c>
      <c r="N180" s="7">
        <f t="shared" si="66"/>
        <v>13.333333327900618</v>
      </c>
      <c r="O180" s="7"/>
      <c r="P180" s="7"/>
      <c r="Q180" s="22"/>
      <c r="R180" s="22"/>
      <c r="S180" s="31">
        <f t="shared" si="67"/>
        <v>1</v>
      </c>
      <c r="T180" s="46" t="str">
        <f t="shared" si="51"/>
        <v>Southbound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52"/>
        <v>https://d0f6bd738d7f1b3e5a7ca70fe4ff75f0.us-east-1.aws.found.io/app/kibana#/discover/Steve-Slow-Train-Analysis-(2080s-and-2083s)?_g=(refreshInterval:(display:Off,pause:!f,section:0,value:0),time:(from:'2017-04-17T10:37:29-0600',mode:absolute,to:'2017-04-17T12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0" s="183" t="str">
        <f t="shared" si="53"/>
        <v>N</v>
      </c>
      <c r="X180" s="183">
        <f t="shared" si="54"/>
        <v>1</v>
      </c>
      <c r="Y180" s="62">
        <f t="shared" si="55"/>
        <v>5.8654999999999999</v>
      </c>
      <c r="Z180" s="62">
        <f t="shared" si="56"/>
        <v>6.4199999999999993E-2</v>
      </c>
      <c r="AA180" s="62">
        <f t="shared" si="57"/>
        <v>5.8013000000000003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8"/>
        <v>0818-17</v>
      </c>
      <c r="AE180" s="85" t="str">
        <f t="shared" si="59"/>
        <v>aws s3 cp s3://rtdc.mdm.uploadarchive.raw/RTDC4023/ "%USERPROFILE%\AppData\Local\Temp\OnboardLogs"\RTDC4023\2017-04-17 --exclude "*" --recursive --include "*20170417*" &amp; "%USERPROFILE%\Documents\GitHub\mrs-test-scripts\Headless Mode &amp; Sideloading\WalkAndUnGZ.bat" "%USERPROFILE%\AppData\Local\Temp\OnboardLogs"\RTDC4023\2017-04-17 &amp; aws s3 cp s3://rtdc.mdm.uploadarchive.raw/RTDC4023/ "%USERPROFILE%\AppData\Local\Temp\OnboardLogs"\RTDC4023\2017-04-18 --exclude "*" --recursive --include "*20170418*" &amp; "%USERPROFILE%\Documents\GitHub\mrs-test-scripts\Headless Mode &amp; Sideloading\WalkAndUnGZ.bat" "%USERPROFILE%\AppData\Local\Temp\OnboardLogs"\RTDC4023\2017-04-18</v>
      </c>
      <c r="AF180" s="82" t="str">
        <f t="shared" si="60"/>
        <v>"C:\Program Files (x86)\AstroGrep\AstroGrep.exe" /e /r /s /spath="%USERPROFILE%\AppData\Local\Temp\OnboardLogs" /stypes="app*4023*20170417*" /stext=" 17:.+((SYSTEM_STATE.+slice.+state.+changed )|(ment ac)|(multiple cpu faults)|(system.+state.+changed )|(\[timeout)|(PRM\|1\|D)|(kpr)|(kdp)|(\|lc)|(penalty))"</v>
      </c>
      <c r="AG180" s="1" t="str">
        <f t="shared" si="61"/>
        <v>NW</v>
      </c>
      <c r="AH180" s="86" t="str">
        <f t="shared" si="62"/>
        <v>"%USERPROFILE%\Documents\GitHub\eaglep3\Utilities\RefineRTDCRunTimes.py" --tripid 818-17 --locoid 4023 --swversion DE.1.0.9.0 --startMP 300:58655 --initTime 2017-04-17T11:37:29 --startdatetime 2017-04-17T11:41:01 --delay 2 --endMP 204:642 --enddatetime 2017-04-17T11:54:21 --enforcementcount 0 &gt;&gt;C:\Users\stu\Documents\GitHub\eaglep3-reporting\EC\2017-04-17-refined-times.txt</v>
      </c>
      <c r="AI180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{"issue":{"subject":"","project_id":79,"tracker_id":40,"status_id":1,"priority_id":2,"assigned_to_id":23,"start_date":"2017-04-17","description":"","custom_fields":[{"id":1,"name":"Subdivision","value":"NW"},{"id":4,"name":"Milepost","value":"0.0642"},{"id":17,"name":"Train ID","value":"818-17"},{"id":16,"name":"Locomotive ID","value":"4023"},{"id":130,"name":"Impact","value":""},{"id":150,"name":"Time of Event (Mountain Time)","value":"11:54:21"},{"id":151,"name":"Denver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8"/>
      <c r="AL180" s="48"/>
      <c r="AM180" s="150" t="str">
        <f t="shared" si="64"/>
        <v>start /low /b %USERPROFILE%\Documents\GitHub\eaglep3\Utilities\DownloadLogsFromS3.py --loco 4023 --day 2017-04-17</v>
      </c>
      <c r="AN180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17:54:21"},{"id":29,"name":"Sharepoint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3" t="s">
        <v>735</v>
      </c>
      <c r="B181" s="7">
        <v>4024</v>
      </c>
      <c r="C181" s="21" t="s">
        <v>213</v>
      </c>
      <c r="D181" s="21" t="s">
        <v>988</v>
      </c>
      <c r="E181" s="13">
        <v>42842.497708333336</v>
      </c>
      <c r="F181" s="13">
        <v>42842.514768518522</v>
      </c>
      <c r="G181" s="7">
        <v>1</v>
      </c>
      <c r="H181" s="21" t="s">
        <v>581</v>
      </c>
      <c r="I181" s="13">
        <v>42842.523981481485</v>
      </c>
      <c r="J181" s="7">
        <v>0</v>
      </c>
      <c r="K181" s="97" t="str">
        <f t="shared" si="49"/>
        <v>4023/4024</v>
      </c>
      <c r="L181" s="21" t="str">
        <f>VLOOKUP(A181,'Trips&amp;Operators'!$C$1:$G$99999,5,FALSE)</f>
        <v>ROCHA YAOTL</v>
      </c>
      <c r="M181" s="6">
        <f t="shared" si="50"/>
        <v>9.2129629629198462E-3</v>
      </c>
      <c r="N181" s="7">
        <f t="shared" si="66"/>
        <v>13.266666666604578</v>
      </c>
      <c r="O181" s="7"/>
      <c r="P181" s="7"/>
      <c r="Q181" s="22"/>
      <c r="R181" s="22"/>
      <c r="S181" s="31">
        <f t="shared" si="67"/>
        <v>1</v>
      </c>
      <c r="T181" s="46" t="str">
        <f t="shared" si="51"/>
        <v>NorthBound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52"/>
        <v>https://d0f6bd738d7f1b3e5a7ca70fe4ff75f0.us-east-1.aws.found.io/app/kibana#/discover/Steve-Slow-Train-Analysis-(2080s-and-2083s)?_g=(refreshInterval:(display:Off,pause:!f,section:0,value:0),time:(from:'2017-04-17T10:56:42-0600',mode:absolute,to:'2017-04-17T13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1" s="183" t="str">
        <f t="shared" si="53"/>
        <v>N</v>
      </c>
      <c r="X181" s="183">
        <f t="shared" si="54"/>
        <v>1</v>
      </c>
      <c r="Y181" s="62">
        <f t="shared" si="55"/>
        <v>9.3399999999999997E-2</v>
      </c>
      <c r="Z181" s="62">
        <f t="shared" si="56"/>
        <v>5.8933</v>
      </c>
      <c r="AA181" s="62">
        <f t="shared" si="57"/>
        <v>5.7999000000000001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8"/>
        <v>0819-17</v>
      </c>
      <c r="AE181" s="85" t="str">
        <f t="shared" si="59"/>
        <v>aws s3 cp s3://rtdc.mdm.uploadarchive.raw/RTDC4024/ "%USERPROFILE%\AppData\Local\Temp\OnboardLogs"\RTDC4024\2017-04-17 --exclude "*" --recursive --include "*20170417*" &amp; "%USERPROFILE%\Documents\GitHub\mrs-test-scripts\Headless Mode &amp; Sideloading\WalkAndUnGZ.bat" "%USERPROFILE%\AppData\Local\Temp\OnboardLogs"\RTDC4024\2017-04-17 &amp; aws s3 cp s3://rtdc.mdm.uploadarchive.raw/RTDC4024/ "%USERPROFILE%\AppData\Local\Temp\OnboardLogs"\RTDC4024\2017-04-18 --exclude "*" --recursive --include "*20170418*" &amp; "%USERPROFILE%\Documents\GitHub\mrs-test-scripts\Headless Mode &amp; Sideloading\WalkAndUnGZ.bat" "%USERPROFILE%\AppData\Local\Temp\OnboardLogs"\RTDC4024\2017-04-18</v>
      </c>
      <c r="AF181" s="82" t="str">
        <f t="shared" si="60"/>
        <v>"C:\Program Files (x86)\AstroGrep\AstroGrep.exe" /e /r /s /spath="%USERPROFILE%\AppData\Local\Temp\OnboardLogs" /stypes="app*4024*20170417*" /stext=" 18:.+((SYSTEM_STATE.+slice.+state.+changed )|(ment ac)|(multiple cpu faults)|(system.+state.+changed )|(\[timeout)|(PRM\|1\|D)|(kpr)|(kdp)|(\|lc)|(penalty))"</v>
      </c>
      <c r="AG181" s="1" t="str">
        <f t="shared" si="61"/>
        <v>NW</v>
      </c>
      <c r="AH181" s="86" t="str">
        <f t="shared" si="62"/>
        <v>"%USERPROFILE%\Documents\GitHub\eaglep3\Utilities\RefineRTDCRunTimes.py" --tripid 819-17 --locoid 4024 --swversion DE.1.0.9.0 --startMP 204:934 --initTime 2017-04-17T11:56:42 --startdatetime 2017-04-17T12:21:16 --delay 1 --endMP 300:58933 --enddatetime 2017-04-17T12:34:32 --enforcementcount 0 &gt;&gt;C:\Users\stu\Documents\GitHub\eaglep3-reporting\EC\2017-04-17-refined-times.txt</v>
      </c>
      <c r="AI181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{"issue":{"subject":"","project_id":79,"tracker_id":40,"status_id":1,"priority_id":2,"assigned_to_id":23,"start_date":"2017-04-17","description":"","custom_fields":[{"id":1,"name":"Subdivision","value":"NW"},{"id":4,"name":"Milepost","value":"5.8933"},{"id":17,"name":"Train ID","value":"819-17"},{"id":16,"name":"Locomotive ID","value":"4024"},{"id":130,"name":"Impact","value":""},{"id":150,"name":"Time of Event (Mountain Time)","value":"12:34:32"},{"id":151,"name":"Denver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50" t="str">
        <f t="shared" si="64"/>
        <v>start /low /b %USERPROFILE%\Documents\GitHub\eaglep3\Utilities\DownloadLogsFromS3.py --loco 4024 --day 2017-04-17</v>
      </c>
      <c r="AN181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18:34:32"},{"id":29,"name":"Sharepoint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3" t="s">
        <v>742</v>
      </c>
      <c r="B182" s="7">
        <v>4023</v>
      </c>
      <c r="C182" s="21" t="s">
        <v>213</v>
      </c>
      <c r="D182" s="21" t="s">
        <v>989</v>
      </c>
      <c r="E182" s="13">
        <v>42842.525000000001</v>
      </c>
      <c r="F182" s="13">
        <v>42842.526458333334</v>
      </c>
      <c r="G182" s="7">
        <v>1</v>
      </c>
      <c r="H182" s="21" t="s">
        <v>990</v>
      </c>
      <c r="I182" s="13">
        <v>42842.537581018521</v>
      </c>
      <c r="J182" s="7">
        <v>0</v>
      </c>
      <c r="K182" s="97" t="str">
        <f t="shared" si="49"/>
        <v>4023/4024</v>
      </c>
      <c r="L182" s="21" t="str">
        <f>VLOOKUP(A182,'Trips&amp;Operators'!$C$1:$G$99999,5,FALSE)</f>
        <v>ROCHA YAOTL</v>
      </c>
      <c r="M182" s="6">
        <f t="shared" si="50"/>
        <v>1.1122685187729076E-2</v>
      </c>
      <c r="N182" s="7">
        <f t="shared" si="66"/>
        <v>16.016666670329869</v>
      </c>
      <c r="O182" s="7"/>
      <c r="P182" s="7"/>
      <c r="Q182" s="22"/>
      <c r="R182" s="22"/>
      <c r="S182" s="31">
        <f t="shared" si="67"/>
        <v>1</v>
      </c>
      <c r="T182" s="46" t="str">
        <f t="shared" si="51"/>
        <v>Southbound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52"/>
        <v>https://d0f6bd738d7f1b3e5a7ca70fe4ff75f0.us-east-1.aws.found.io/app/kibana#/discover/Steve-Slow-Train-Analysis-(2080s-and-2083s)?_g=(refreshInterval:(display:Off,pause:!f,section:0,value:0),time:(from:'2017-04-17T11:36:00-0600',mode:absolute,to:'2017-04-17T13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2" s="183" t="str">
        <f t="shared" si="53"/>
        <v>N</v>
      </c>
      <c r="X182" s="183">
        <f t="shared" si="54"/>
        <v>1</v>
      </c>
      <c r="Y182" s="62">
        <f t="shared" si="55"/>
        <v>5.8624000000000001</v>
      </c>
      <c r="Z182" s="62">
        <f t="shared" si="56"/>
        <v>6.8500000000000005E-2</v>
      </c>
      <c r="AA182" s="62">
        <f t="shared" si="57"/>
        <v>5.7938999999999998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8"/>
        <v>0820-17</v>
      </c>
      <c r="AE182" s="85" t="str">
        <f t="shared" si="59"/>
        <v>aws s3 cp s3://rtdc.mdm.uploadarchive.raw/RTDC4023/ "%USERPROFILE%\AppData\Local\Temp\OnboardLogs"\RTDC4023\2017-04-17 --exclude "*" --recursive --include "*20170417*" &amp; "%USERPROFILE%\Documents\GitHub\mrs-test-scripts\Headless Mode &amp; Sideloading\WalkAndUnGZ.bat" "%USERPROFILE%\AppData\Local\Temp\OnboardLogs"\RTDC4023\2017-04-17 &amp; aws s3 cp s3://rtdc.mdm.uploadarchive.raw/RTDC4023/ "%USERPROFILE%\AppData\Local\Temp\OnboardLogs"\RTDC4023\2017-04-18 --exclude "*" --recursive --include "*20170418*" &amp; "%USERPROFILE%\Documents\GitHub\mrs-test-scripts\Headless Mode &amp; Sideloading\WalkAndUnGZ.bat" "%USERPROFILE%\AppData\Local\Temp\OnboardLogs"\RTDC4023\2017-04-18</v>
      </c>
      <c r="AF182" s="82" t="str">
        <f t="shared" si="60"/>
        <v>"C:\Program Files (x86)\AstroGrep\AstroGrep.exe" /e /r /s /spath="%USERPROFILE%\AppData\Local\Temp\OnboardLogs" /stypes="app*4023*20170417*" /stext=" 18:.+((SYSTEM_STATE.+slice.+state.+changed )|(ment ac)|(multiple cpu faults)|(system.+state.+changed )|(\[timeout)|(PRM\|1\|D)|(kpr)|(kdp)|(\|lc)|(penalty))"</v>
      </c>
      <c r="AG182" s="1" t="str">
        <f t="shared" si="61"/>
        <v>NW</v>
      </c>
      <c r="AH182" s="86" t="str">
        <f t="shared" si="62"/>
        <v>"%USERPROFILE%\Documents\GitHub\eaglep3\Utilities\RefineRTDCRunTimes.py" --tripid 820-17 --locoid 4023 --swversion DE.1.0.9.0 --startMP 300:58624 --initTime 2017-04-17T12:36:00 --startdatetime 2017-04-17T12:38:06 --delay 1 --endMP 204:685 --enddatetime 2017-04-17T12:54:07 --enforcementcount 0 &gt;&gt;C:\Users\stu\Documents\GitHub\eaglep3-reporting\EC\2017-04-17-refined-times.txt</v>
      </c>
      <c r="AI182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{"issue":{"subject":"","project_id":79,"tracker_id":40,"status_id":1,"priority_id":2,"assigned_to_id":23,"start_date":"2017-04-17","description":"","custom_fields":[{"id":1,"name":"Subdivision","value":"NW"},{"id":4,"name":"Milepost","value":"0.0685"},{"id":17,"name":"Train ID","value":"820-17"},{"id":16,"name":"Locomotive ID","value":"4023"},{"id":130,"name":"Impact","value":""},{"id":150,"name":"Time of Event (Mountain Time)","value":"12:54:07"},{"id":151,"name":"Denver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 t="shared" si="64"/>
        <v>start /low /b %USERPROFILE%\Documents\GitHub\eaglep3\Utilities\DownloadLogsFromS3.py --loco 4023 --day 2017-04-17</v>
      </c>
      <c r="AN182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18:54:07"},{"id":29,"name":"Sharepoint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s="20" customFormat="1" x14ac:dyDescent="0.25">
      <c r="A183" s="33" t="s">
        <v>747</v>
      </c>
      <c r="B183" s="7">
        <v>4024</v>
      </c>
      <c r="C183" s="21" t="s">
        <v>213</v>
      </c>
      <c r="D183" s="21" t="s">
        <v>971</v>
      </c>
      <c r="E183" s="13">
        <v>42842.553055555552</v>
      </c>
      <c r="F183" s="13">
        <v>42842.556493055556</v>
      </c>
      <c r="G183" s="7">
        <v>1</v>
      </c>
      <c r="H183" s="21" t="s">
        <v>585</v>
      </c>
      <c r="I183" s="13">
        <v>42842.565648148149</v>
      </c>
      <c r="J183" s="7">
        <v>0</v>
      </c>
      <c r="K183" s="97" t="str">
        <f t="shared" si="49"/>
        <v>4023/4024</v>
      </c>
      <c r="L183" s="21" t="str">
        <f>VLOOKUP(A183,'Trips&amp;Operators'!$C$1:$G$99999,5,FALSE)</f>
        <v>LEVIN SCOTT</v>
      </c>
      <c r="M183" s="6">
        <f t="shared" si="50"/>
        <v>9.1550925935734995E-3</v>
      </c>
      <c r="N183" s="7">
        <f t="shared" si="66"/>
        <v>13.183333334745839</v>
      </c>
      <c r="O183" s="7"/>
      <c r="P183" s="7"/>
      <c r="Q183" s="22"/>
      <c r="R183" s="22"/>
      <c r="S183" s="31">
        <f t="shared" si="67"/>
        <v>1</v>
      </c>
      <c r="T183" s="46" t="str">
        <f t="shared" si="51"/>
        <v>NorthBound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52"/>
        <v>https://d0f6bd738d7f1b3e5a7ca70fe4ff75f0.us-east-1.aws.found.io/app/kibana#/discover/Steve-Slow-Train-Analysis-(2080s-and-2083s)?_g=(refreshInterval:(display:Off,pause:!f,section:0,value:0),time:(from:'2017-04-17T12:16:24-0600',mode:absolute,to:'2017-04-17T14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3" s="183" t="str">
        <f t="shared" si="53"/>
        <v>N</v>
      </c>
      <c r="X183" s="183">
        <f t="shared" si="54"/>
        <v>1</v>
      </c>
      <c r="Y183" s="62">
        <f t="shared" si="55"/>
        <v>9.5100000000000004E-2</v>
      </c>
      <c r="Z183" s="62">
        <f t="shared" si="56"/>
        <v>5.8949999999999996</v>
      </c>
      <c r="AA183" s="62">
        <f t="shared" si="57"/>
        <v>5.7998999999999992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8"/>
        <v>0821-17</v>
      </c>
      <c r="AE183" s="85" t="str">
        <f t="shared" si="59"/>
        <v>aws s3 cp s3://rtdc.mdm.uploadarchive.raw/RTDC4024/ "%USERPROFILE%\AppData\Local\Temp\OnboardLogs"\RTDC4024\2017-04-17 --exclude "*" --recursive --include "*20170417*" &amp; "%USERPROFILE%\Documents\GitHub\mrs-test-scripts\Headless Mode &amp; Sideloading\WalkAndUnGZ.bat" "%USERPROFILE%\AppData\Local\Temp\OnboardLogs"\RTDC4024\2017-04-17 &amp; aws s3 cp s3://rtdc.mdm.uploadarchive.raw/RTDC4024/ "%USERPROFILE%\AppData\Local\Temp\OnboardLogs"\RTDC4024\2017-04-18 --exclude "*" --recursive --include "*20170418*" &amp; "%USERPROFILE%\Documents\GitHub\mrs-test-scripts\Headless Mode &amp; Sideloading\WalkAndUnGZ.bat" "%USERPROFILE%\AppData\Local\Temp\OnboardLogs"\RTDC4024\2017-04-18</v>
      </c>
      <c r="AF183" s="82" t="str">
        <f t="shared" si="60"/>
        <v>"C:\Program Files (x86)\AstroGrep\AstroGrep.exe" /e /r /s /spath="%USERPROFILE%\AppData\Local\Temp\OnboardLogs" /stypes="app*4024*20170417*" /stext=" 19:.+((SYSTEM_STATE.+slice.+state.+changed )|(ment ac)|(multiple cpu faults)|(system.+state.+changed )|(\[timeout)|(PRM\|1\|D)|(kpr)|(kdp)|(\|lc)|(penalty))"</v>
      </c>
      <c r="AG183" s="1" t="str">
        <f t="shared" si="61"/>
        <v>NW</v>
      </c>
      <c r="AH183" s="86" t="str">
        <f t="shared" si="62"/>
        <v>"%USERPROFILE%\Documents\GitHub\eaglep3\Utilities\RefineRTDCRunTimes.py" --tripid 821-17 --locoid 4024 --swversion DE.1.0.9.0 --startMP 204:951 --initTime 2017-04-17T13:16:24 --startdatetime 2017-04-17T13:21:21 --delay 1 --endMP 300:58950 --enddatetime 2017-04-17T13:34:32 --enforcementcount 0 &gt;&gt;C:\Users\stu\Documents\GitHub\eaglep3-reporting\EC\2017-04-17-refined-times.txt</v>
      </c>
      <c r="AI183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{"issue":{"subject":"","project_id":79,"tracker_id":40,"status_id":1,"priority_id":2,"assigned_to_id":23,"start_date":"2017-04-17","description":"","custom_fields":[{"id":1,"name":"Subdivision","value":"NW"},{"id":4,"name":"Milepost","value":"5.895"},{"id":17,"name":"Train ID","value":"821-17"},{"id":16,"name":"Locomotive ID","value":"4024"},{"id":130,"name":"Impact","value":""},{"id":150,"name":"Time of Event (Mountain Time)","value":"13:34:32"},{"id":151,"name":"Denver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8"/>
      <c r="AL183" s="48"/>
      <c r="AM183" s="150" t="str">
        <f t="shared" si="64"/>
        <v>start /low /b %USERPROFILE%\Documents\GitHub\eaglep3\Utilities\DownloadLogsFromS3.py --loco 4024 --day 2017-04-17</v>
      </c>
      <c r="AN183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19:34:32"},{"id":29,"name":"Sharepoint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3" t="s">
        <v>751</v>
      </c>
      <c r="B184" s="7">
        <v>4023</v>
      </c>
      <c r="C184" s="21" t="s">
        <v>213</v>
      </c>
      <c r="D184" s="21" t="s">
        <v>991</v>
      </c>
      <c r="E184" s="13">
        <v>42842.566712962966</v>
      </c>
      <c r="F184" s="13">
        <v>42842.568067129629</v>
      </c>
      <c r="G184" s="7">
        <v>1</v>
      </c>
      <c r="H184" s="21" t="s">
        <v>992</v>
      </c>
      <c r="I184" s="13">
        <v>42842.57953703704</v>
      </c>
      <c r="J184" s="7">
        <v>0</v>
      </c>
      <c r="K184" s="97" t="str">
        <f t="shared" si="49"/>
        <v>4023/4024</v>
      </c>
      <c r="L184" s="21" t="str">
        <f>VLOOKUP(A184,'Trips&amp;Operators'!$C$1:$G$99999,5,FALSE)</f>
        <v>LEVIN SCOTT</v>
      </c>
      <c r="M184" s="6">
        <f t="shared" si="50"/>
        <v>1.1469907411083113E-2</v>
      </c>
      <c r="N184" s="7">
        <f t="shared" si="66"/>
        <v>16.516666671959683</v>
      </c>
      <c r="O184" s="7"/>
      <c r="P184" s="7"/>
      <c r="Q184" s="22"/>
      <c r="R184" s="22"/>
      <c r="S184" s="31">
        <f t="shared" si="67"/>
        <v>1</v>
      </c>
      <c r="T184" s="46" t="str">
        <f t="shared" si="51"/>
        <v>Southbound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52"/>
        <v>https://d0f6bd738d7f1b3e5a7ca70fe4ff75f0.us-east-1.aws.found.io/app/kibana#/discover/Steve-Slow-Train-Analysis-(2080s-and-2083s)?_g=(refreshInterval:(display:Off,pause:!f,section:0,value:0),time:(from:'2017-04-17T12:36:04-0600',mode:absolute,to:'2017-04-17T14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4" s="183" t="str">
        <f t="shared" si="53"/>
        <v>N</v>
      </c>
      <c r="X184" s="183">
        <f t="shared" si="54"/>
        <v>1</v>
      </c>
      <c r="Y184" s="62">
        <f t="shared" si="55"/>
        <v>5.8638000000000003</v>
      </c>
      <c r="Z184" s="62">
        <f t="shared" si="56"/>
        <v>6.2899999999999998E-2</v>
      </c>
      <c r="AA184" s="62">
        <f t="shared" si="57"/>
        <v>5.8009000000000004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8"/>
        <v>0822-17</v>
      </c>
      <c r="AE184" s="85" t="str">
        <f t="shared" si="59"/>
        <v>aws s3 cp s3://rtdc.mdm.uploadarchive.raw/RTDC4023/ "%USERPROFILE%\AppData\Local\Temp\OnboardLogs"\RTDC4023\2017-04-17 --exclude "*" --recursive --include "*20170417*" &amp; "%USERPROFILE%\Documents\GitHub\mrs-test-scripts\Headless Mode &amp; Sideloading\WalkAndUnGZ.bat" "%USERPROFILE%\AppData\Local\Temp\OnboardLogs"\RTDC4023\2017-04-17 &amp; aws s3 cp s3://rtdc.mdm.uploadarchive.raw/RTDC4023/ "%USERPROFILE%\AppData\Local\Temp\OnboardLogs"\RTDC4023\2017-04-18 --exclude "*" --recursive --include "*20170418*" &amp; "%USERPROFILE%\Documents\GitHub\mrs-test-scripts\Headless Mode &amp; Sideloading\WalkAndUnGZ.bat" "%USERPROFILE%\AppData\Local\Temp\OnboardLogs"\RTDC4023\2017-04-18</v>
      </c>
      <c r="AF184" s="82" t="str">
        <f t="shared" si="60"/>
        <v>"C:\Program Files (x86)\AstroGrep\AstroGrep.exe" /e /r /s /spath="%USERPROFILE%\AppData\Local\Temp\OnboardLogs" /stypes="app*4023*20170417*" /stext=" 19:.+((SYSTEM_STATE.+slice.+state.+changed )|(ment ac)|(multiple cpu faults)|(system.+state.+changed )|(\[timeout)|(PRM\|1\|D)|(kpr)|(kdp)|(\|lc)|(penalty))"</v>
      </c>
      <c r="AG184" s="1" t="str">
        <f t="shared" si="61"/>
        <v>NW</v>
      </c>
      <c r="AH184" s="86" t="str">
        <f t="shared" si="62"/>
        <v>"%USERPROFILE%\Documents\GitHub\eaglep3\Utilities\RefineRTDCRunTimes.py" --tripid 822-17 --locoid 4023 --swversion DE.1.0.9.0 --startMP 300:58638 --initTime 2017-04-17T13:36:04 --startdatetime 2017-04-17T13:38:01 --delay 1 --endMP 204:629 --enddatetime 2017-04-17T13:54:32 --enforcementcount 0 &gt;&gt;C:\Users\stu\Documents\GitHub\eaglep3-reporting\EC\2017-04-17-refined-times.txt</v>
      </c>
      <c r="AI184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{"issue":{"subject":"","project_id":79,"tracker_id":40,"status_id":1,"priority_id":2,"assigned_to_id":23,"start_date":"2017-04-17","description":"","custom_fields":[{"id":1,"name":"Subdivision","value":"NW"},{"id":4,"name":"Milepost","value":"0.0629"},{"id":17,"name":"Train ID","value":"822-17"},{"id":16,"name":"Locomotive ID","value":"4023"},{"id":130,"name":"Impact","value":""},{"id":150,"name":"Time of Event (Mountain Time)","value":"13:54:32"},{"id":151,"name":"Denver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8"/>
      <c r="AL184" s="48"/>
      <c r="AM184" s="150" t="str">
        <f t="shared" si="64"/>
        <v>start /low /b %USERPROFILE%\Documents\GitHub\eaglep3\Utilities\DownloadLogsFromS3.py --loco 4023 --day 2017-04-17</v>
      </c>
      <c r="AN184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19:54:32"},{"id":29,"name":"Sharepoint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3" t="s">
        <v>757</v>
      </c>
      <c r="B185" s="7">
        <v>4024</v>
      </c>
      <c r="C185" s="21" t="s">
        <v>213</v>
      </c>
      <c r="D185" s="21" t="s">
        <v>993</v>
      </c>
      <c r="E185" s="13">
        <v>42842.595567129632</v>
      </c>
      <c r="F185" s="13">
        <v>42842.598101851851</v>
      </c>
      <c r="G185" s="7">
        <v>1</v>
      </c>
      <c r="H185" s="21" t="s">
        <v>994</v>
      </c>
      <c r="I185" s="13">
        <v>42842.607106481482</v>
      </c>
      <c r="J185" s="7">
        <v>0</v>
      </c>
      <c r="K185" s="97" t="str">
        <f t="shared" si="49"/>
        <v>4023/4024</v>
      </c>
      <c r="L185" s="21" t="str">
        <f>VLOOKUP(A185,'Trips&amp;Operators'!$C$1:$G$99999,5,FALSE)</f>
        <v>LEVIN SCOTT</v>
      </c>
      <c r="M185" s="6">
        <f t="shared" si="50"/>
        <v>9.0046296318178065E-3</v>
      </c>
      <c r="N185" s="7">
        <f t="shared" si="66"/>
        <v>12.966666669817641</v>
      </c>
      <c r="O185" s="7"/>
      <c r="P185" s="7"/>
      <c r="Q185" s="22"/>
      <c r="R185" s="22"/>
      <c r="S185" s="31">
        <f t="shared" si="67"/>
        <v>1</v>
      </c>
      <c r="T185" s="46" t="str">
        <f t="shared" si="51"/>
        <v>NorthBound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52"/>
        <v>https://d0f6bd738d7f1b3e5a7ca70fe4ff75f0.us-east-1.aws.found.io/app/kibana#/discover/Steve-Slow-Train-Analysis-(2080s-and-2083s)?_g=(refreshInterval:(display:Off,pause:!f,section:0,value:0),time:(from:'2017-04-17T13:17:37-0600',mode:absolute,to:'2017-04-17T15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5" s="183" t="str">
        <f t="shared" si="53"/>
        <v>N</v>
      </c>
      <c r="X185" s="183">
        <f t="shared" si="54"/>
        <v>1</v>
      </c>
      <c r="Y185" s="62">
        <f t="shared" si="55"/>
        <v>9.3700000000000006E-2</v>
      </c>
      <c r="Z185" s="62">
        <f t="shared" si="56"/>
        <v>5.899</v>
      </c>
      <c r="AA185" s="62">
        <f t="shared" si="57"/>
        <v>5.8052999999999999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8"/>
        <v>0823-17</v>
      </c>
      <c r="AE185" s="85" t="str">
        <f t="shared" si="59"/>
        <v>aws s3 cp s3://rtdc.mdm.uploadarchive.raw/RTDC4024/ "%USERPROFILE%\AppData\Local\Temp\OnboardLogs"\RTDC4024\2017-04-17 --exclude "*" --recursive --include "*20170417*" &amp; "%USERPROFILE%\Documents\GitHub\mrs-test-scripts\Headless Mode &amp; Sideloading\WalkAndUnGZ.bat" "%USERPROFILE%\AppData\Local\Temp\OnboardLogs"\RTDC4024\2017-04-17 &amp; aws s3 cp s3://rtdc.mdm.uploadarchive.raw/RTDC4024/ "%USERPROFILE%\AppData\Local\Temp\OnboardLogs"\RTDC4024\2017-04-18 --exclude "*" --recursive --include "*20170418*" &amp; "%USERPROFILE%\Documents\GitHub\mrs-test-scripts\Headless Mode &amp; Sideloading\WalkAndUnGZ.bat" "%USERPROFILE%\AppData\Local\Temp\OnboardLogs"\RTDC4024\2017-04-18</v>
      </c>
      <c r="AF185" s="82" t="str">
        <f t="shared" si="60"/>
        <v>"C:\Program Files (x86)\AstroGrep\AstroGrep.exe" /e /r /s /spath="%USERPROFILE%\AppData\Local\Temp\OnboardLogs" /stypes="app*4024*20170417*" /stext=" 20:.+((SYSTEM_STATE.+slice.+state.+changed )|(ment ac)|(multiple cpu faults)|(system.+state.+changed )|(\[timeout)|(PRM\|1\|D)|(kpr)|(kdp)|(\|lc)|(penalty))"</v>
      </c>
      <c r="AG185" s="1" t="str">
        <f t="shared" si="61"/>
        <v>NW</v>
      </c>
      <c r="AH185" s="86" t="str">
        <f t="shared" si="62"/>
        <v>"%USERPROFILE%\Documents\GitHub\eaglep3\Utilities\RefineRTDCRunTimes.py" --tripid 823-17 --locoid 4024 --swversion DE.1.0.9.0 --startMP 204:937 --initTime 2017-04-17T14:17:37 --startdatetime 2017-04-17T14:21:16 --delay 1 --endMP 300:58990 --enddatetime 2017-04-17T14:34:14 --enforcementcount 0 &gt;&gt;C:\Users\stu\Documents\GitHub\eaglep3-reporting\EC\2017-04-17-refined-times.txt</v>
      </c>
      <c r="AI185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{"issue":{"subject":"","project_id":79,"tracker_id":40,"status_id":1,"priority_id":2,"assigned_to_id":23,"start_date":"2017-04-17","description":"","custom_fields":[{"id":1,"name":"Subdivision","value":"NW"},{"id":4,"name":"Milepost","value":"5.899"},{"id":17,"name":"Train ID","value":"823-17"},{"id":16,"name":"Locomotive ID","value":"4024"},{"id":130,"name":"Impact","value":""},{"id":150,"name":"Time of Event (Mountain Time)","value":"14:34:14"},{"id":151,"name":"Denver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8"/>
      <c r="AL185" s="48"/>
      <c r="AM185" s="150" t="str">
        <f t="shared" si="64"/>
        <v>start /low /b %USERPROFILE%\Documents\GitHub\eaglep3\Utilities\DownloadLogsFromS3.py --loco 4024 --day 2017-04-17</v>
      </c>
      <c r="AN185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20:34:14"},{"id":29,"name":"Sharepoint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760</v>
      </c>
      <c r="B186" s="7">
        <v>4023</v>
      </c>
      <c r="C186" s="21" t="s">
        <v>213</v>
      </c>
      <c r="D186" s="21" t="s">
        <v>995</v>
      </c>
      <c r="E186" s="13">
        <v>42842.608298611114</v>
      </c>
      <c r="F186" s="13">
        <v>42842.609826388885</v>
      </c>
      <c r="G186" s="7">
        <v>1</v>
      </c>
      <c r="H186" s="21" t="s">
        <v>996</v>
      </c>
      <c r="I186" s="13">
        <v>42842.62127314815</v>
      </c>
      <c r="J186" s="7">
        <v>0</v>
      </c>
      <c r="K186" s="97" t="str">
        <f t="shared" si="49"/>
        <v>4023/4024</v>
      </c>
      <c r="L186" s="21" t="str">
        <f>VLOOKUP(A186,'Trips&amp;Operators'!$C$1:$G$99999,5,FALSE)</f>
        <v>LEVIN SCOTT</v>
      </c>
      <c r="M186" s="6">
        <f t="shared" si="50"/>
        <v>1.1446759264799766E-2</v>
      </c>
      <c r="N186" s="7">
        <f t="shared" si="66"/>
        <v>16.483333341311663</v>
      </c>
      <c r="O186" s="7"/>
      <c r="P186" s="7"/>
      <c r="Q186" s="22"/>
      <c r="R186" s="22"/>
      <c r="S186" s="31">
        <f t="shared" si="67"/>
        <v>1</v>
      </c>
      <c r="T186" s="46" t="str">
        <f t="shared" si="51"/>
        <v>Southbound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52"/>
        <v>https://d0f6bd738d7f1b3e5a7ca70fe4ff75f0.us-east-1.aws.found.io/app/kibana#/discover/Steve-Slow-Train-Analysis-(2080s-and-2083s)?_g=(refreshInterval:(display:Off,pause:!f,section:0,value:0),time:(from:'2017-04-17T13:35:57-0600',mode:absolute,to:'2017-04-17T15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6" s="183" t="str">
        <f t="shared" si="53"/>
        <v>N</v>
      </c>
      <c r="X186" s="183">
        <f t="shared" si="54"/>
        <v>1</v>
      </c>
      <c r="Y186" s="62">
        <f t="shared" si="55"/>
        <v>5.8667999999999996</v>
      </c>
      <c r="Z186" s="62">
        <f t="shared" si="56"/>
        <v>6.4000000000000001E-2</v>
      </c>
      <c r="AA186" s="62">
        <f t="shared" si="57"/>
        <v>5.8027999999999995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8"/>
        <v>0824-17</v>
      </c>
      <c r="AE186" s="85" t="str">
        <f t="shared" si="59"/>
        <v>aws s3 cp s3://rtdc.mdm.uploadarchive.raw/RTDC4023/ "%USERPROFILE%\AppData\Local\Temp\OnboardLogs"\RTDC4023\2017-04-17 --exclude "*" --recursive --include "*20170417*" &amp; "%USERPROFILE%\Documents\GitHub\mrs-test-scripts\Headless Mode &amp; Sideloading\WalkAndUnGZ.bat" "%USERPROFILE%\AppData\Local\Temp\OnboardLogs"\RTDC4023\2017-04-17 &amp; aws s3 cp s3://rtdc.mdm.uploadarchive.raw/RTDC4023/ "%USERPROFILE%\AppData\Local\Temp\OnboardLogs"\RTDC4023\2017-04-18 --exclude "*" --recursive --include "*20170418*" &amp; "%USERPROFILE%\Documents\GitHub\mrs-test-scripts\Headless Mode &amp; Sideloading\WalkAndUnGZ.bat" "%USERPROFILE%\AppData\Local\Temp\OnboardLogs"\RTDC4023\2017-04-18</v>
      </c>
      <c r="AF186" s="82" t="str">
        <f t="shared" si="60"/>
        <v>"C:\Program Files (x86)\AstroGrep\AstroGrep.exe" /e /r /s /spath="%USERPROFILE%\AppData\Local\Temp\OnboardLogs" /stypes="app*4023*20170417*" /stext=" 20:.+((SYSTEM_STATE.+slice.+state.+changed )|(ment ac)|(multiple cpu faults)|(system.+state.+changed )|(\[timeout)|(PRM\|1\|D)|(kpr)|(kdp)|(\|lc)|(penalty))"</v>
      </c>
      <c r="AG186" s="1" t="str">
        <f t="shared" si="61"/>
        <v>NW</v>
      </c>
      <c r="AH186" s="86" t="str">
        <f t="shared" si="62"/>
        <v>"%USERPROFILE%\Documents\GitHub\eaglep3\Utilities\RefineRTDCRunTimes.py" --tripid 824-17 --locoid 4023 --swversion DE.1.0.9.0 --startMP 300:58668 --initTime 2017-04-17T14:35:57 --startdatetime 2017-04-17T14:38:09 --delay 1 --endMP 204:640 --enddatetime 2017-04-17T14:54:38 --enforcementcount 0 &gt;&gt;C:\Users\stu\Documents\GitHub\eaglep3-reporting\EC\2017-04-17-refined-times.txt</v>
      </c>
      <c r="AI186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{"issue":{"subject":"","project_id":79,"tracker_id":40,"status_id":1,"priority_id":2,"assigned_to_id":23,"start_date":"2017-04-17","description":"","custom_fields":[{"id":1,"name":"Subdivision","value":"NW"},{"id":4,"name":"Milepost","value":"0.064"},{"id":17,"name":"Train ID","value":"824-17"},{"id":16,"name":"Locomotive ID","value":"4023"},{"id":130,"name":"Impact","value":""},{"id":150,"name":"Time of Event (Mountain Time)","value":"14:54:38"},{"id":151,"name":"Denver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8"/>
      <c r="AL186" s="48"/>
      <c r="AM186" s="150" t="str">
        <f t="shared" si="64"/>
        <v>start /low /b %USERPROFILE%\Documents\GitHub\eaglep3\Utilities\DownloadLogsFromS3.py --loco 4023 --day 2017-04-17</v>
      </c>
      <c r="AN186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20:54:38"},{"id":29,"name":"Sharepoint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3" t="s">
        <v>766</v>
      </c>
      <c r="B187" s="7">
        <v>4024</v>
      </c>
      <c r="C187" s="21" t="s">
        <v>213</v>
      </c>
      <c r="D187" s="21" t="s">
        <v>997</v>
      </c>
      <c r="E187" s="13">
        <v>42842.637719907405</v>
      </c>
      <c r="F187" s="13">
        <v>42842.639768518522</v>
      </c>
      <c r="G187" s="7">
        <v>1</v>
      </c>
      <c r="H187" s="21" t="s">
        <v>585</v>
      </c>
      <c r="I187" s="13">
        <v>42842.648819444446</v>
      </c>
      <c r="J187" s="7">
        <v>0</v>
      </c>
      <c r="K187" s="97" t="str">
        <f t="shared" si="49"/>
        <v>4023/4024</v>
      </c>
      <c r="L187" s="21" t="str">
        <f>VLOOKUP(A187,'Trips&amp;Operators'!$C$1:$G$99999,5,FALSE)</f>
        <v>LEVIN SCOTT</v>
      </c>
      <c r="M187" s="6">
        <f t="shared" si="50"/>
        <v>9.0509259243845008E-3</v>
      </c>
      <c r="N187" s="7">
        <f t="shared" si="66"/>
        <v>13.033333331113681</v>
      </c>
      <c r="O187" s="7"/>
      <c r="P187" s="7"/>
      <c r="Q187" s="22"/>
      <c r="R187" s="22"/>
      <c r="S187" s="31">
        <f t="shared" si="67"/>
        <v>1</v>
      </c>
      <c r="T187" s="46" t="str">
        <f t="shared" si="51"/>
        <v>NorthBound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52"/>
        <v>https://d0f6bd738d7f1b3e5a7ca70fe4ff75f0.us-east-1.aws.found.io/app/kibana#/discover/Steve-Slow-Train-Analysis-(2080s-and-2083s)?_g=(refreshInterval:(display:Off,pause:!f,section:0,value:0),time:(from:'2017-04-17T14:18:19-0600',mode:absolute,to:'2017-04-17T16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7" s="183" t="str">
        <f t="shared" si="53"/>
        <v>N</v>
      </c>
      <c r="X187" s="183">
        <f t="shared" si="54"/>
        <v>1</v>
      </c>
      <c r="Y187" s="62">
        <f t="shared" si="55"/>
        <v>9.4100000000000003E-2</v>
      </c>
      <c r="Z187" s="62">
        <f t="shared" si="56"/>
        <v>5.8949999999999996</v>
      </c>
      <c r="AA187" s="62">
        <f t="shared" si="57"/>
        <v>5.8008999999999995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8"/>
        <v>0825-17</v>
      </c>
      <c r="AE187" s="85" t="str">
        <f t="shared" si="59"/>
        <v>aws s3 cp s3://rtdc.mdm.uploadarchive.raw/RTDC4024/ "%USERPROFILE%\AppData\Local\Temp\OnboardLogs"\RTDC4024\2017-04-17 --exclude "*" --recursive --include "*20170417*" &amp; "%USERPROFILE%\Documents\GitHub\mrs-test-scripts\Headless Mode &amp; Sideloading\WalkAndUnGZ.bat" "%USERPROFILE%\AppData\Local\Temp\OnboardLogs"\RTDC4024\2017-04-17 &amp; aws s3 cp s3://rtdc.mdm.uploadarchive.raw/RTDC4024/ "%USERPROFILE%\AppData\Local\Temp\OnboardLogs"\RTDC4024\2017-04-18 --exclude "*" --recursive --include "*20170418*" &amp; "%USERPROFILE%\Documents\GitHub\mrs-test-scripts\Headless Mode &amp; Sideloading\WalkAndUnGZ.bat" "%USERPROFILE%\AppData\Local\Temp\OnboardLogs"\RTDC4024\2017-04-18</v>
      </c>
      <c r="AF187" s="82" t="str">
        <f t="shared" si="60"/>
        <v>"C:\Program Files (x86)\AstroGrep\AstroGrep.exe" /e /r /s /spath="%USERPROFILE%\AppData\Local\Temp\OnboardLogs" /stypes="app*4024*20170417*" /stext=" 21:.+((SYSTEM_STATE.+slice.+state.+changed )|(ment ac)|(multiple cpu faults)|(system.+state.+changed )|(\[timeout)|(PRM\|1\|D)|(kpr)|(kdp)|(\|lc)|(penalty))"</v>
      </c>
      <c r="AG187" s="1" t="str">
        <f t="shared" si="61"/>
        <v>NW</v>
      </c>
      <c r="AH187" s="86" t="str">
        <f t="shared" si="62"/>
        <v>"%USERPROFILE%\Documents\GitHub\eaglep3\Utilities\RefineRTDCRunTimes.py" --tripid 825-17 --locoid 4024 --swversion DE.1.0.9.0 --startMP 204:941 --initTime 2017-04-17T15:18:19 --startdatetime 2017-04-17T15:21:16 --delay 1 --endMP 300:58950 --enddatetime 2017-04-17T15:34:18 --enforcementcount 0 &gt;&gt;C:\Users\stu\Documents\GitHub\eaglep3-reporting\EC\2017-04-17-refined-times.txt</v>
      </c>
      <c r="AI187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{"issue":{"subject":"","project_id":79,"tracker_id":40,"status_id":1,"priority_id":2,"assigned_to_id":23,"start_date":"2017-04-17","description":"","custom_fields":[{"id":1,"name":"Subdivision","value":"NW"},{"id":4,"name":"Milepost","value":"5.895"},{"id":17,"name":"Train ID","value":"825-17"},{"id":16,"name":"Locomotive ID","value":"4024"},{"id":130,"name":"Impact","value":""},{"id":150,"name":"Time of Event (Mountain Time)","value":"15:34:18"},{"id":151,"name":"Denver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8"/>
      <c r="AL187" s="48"/>
      <c r="AM187" s="150" t="str">
        <f t="shared" si="64"/>
        <v>start /low /b %USERPROFILE%\Documents\GitHub\eaglep3\Utilities\DownloadLogsFromS3.py --loco 4024 --day 2017-04-17</v>
      </c>
      <c r="AN187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21:34:18"},{"id":29,"name":"Sharepoint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3" t="s">
        <v>622</v>
      </c>
      <c r="B188" s="7">
        <v>4023</v>
      </c>
      <c r="C188" s="21" t="s">
        <v>213</v>
      </c>
      <c r="D188" s="21" t="s">
        <v>586</v>
      </c>
      <c r="E188" s="13">
        <v>42842.650092592594</v>
      </c>
      <c r="F188" s="13">
        <v>42842.651331018518</v>
      </c>
      <c r="G188" s="7">
        <v>0</v>
      </c>
      <c r="H188" s="21" t="s">
        <v>973</v>
      </c>
      <c r="I188" s="13">
        <v>42842.6640625</v>
      </c>
      <c r="J188" s="7">
        <v>0</v>
      </c>
      <c r="K188" s="97" t="str">
        <f t="shared" si="49"/>
        <v>4023/4024</v>
      </c>
      <c r="L188" s="21" t="str">
        <f>VLOOKUP(A188,'Trips&amp;Operators'!$C$1:$G$99999,5,FALSE)</f>
        <v>LEVIN SCOTT</v>
      </c>
      <c r="M188" s="6">
        <f t="shared" si="50"/>
        <v>1.2731481481750961E-2</v>
      </c>
      <c r="N188" s="7">
        <f t="shared" si="66"/>
        <v>18.333333333721384</v>
      </c>
      <c r="O188" s="7"/>
      <c r="P188" s="7"/>
      <c r="Q188" s="22"/>
      <c r="R188" s="22"/>
      <c r="S188" s="31">
        <f t="shared" si="67"/>
        <v>1</v>
      </c>
      <c r="T188" s="46" t="str">
        <f t="shared" si="51"/>
        <v>Southbound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52"/>
        <v>https://d0f6bd738d7f1b3e5a7ca70fe4ff75f0.us-east-1.aws.found.io/app/kibana#/discover/Steve-Slow-Train-Analysis-(2080s-and-2083s)?_g=(refreshInterval:(display:Off,pause:!f,section:0,value:0),time:(from:'2017-04-17T14:36:08-0600',mode:absolute,to:'2017-04-17T16:56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8" s="183" t="str">
        <f t="shared" si="53"/>
        <v>N</v>
      </c>
      <c r="X188" s="183">
        <f t="shared" si="54"/>
        <v>1</v>
      </c>
      <c r="Y188" s="62">
        <f t="shared" si="55"/>
        <v>5.8632</v>
      </c>
      <c r="Z188" s="62">
        <f t="shared" si="56"/>
        <v>6.4899999999999999E-2</v>
      </c>
      <c r="AA188" s="62">
        <f t="shared" si="57"/>
        <v>5.7983000000000002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8"/>
        <v>0826-17</v>
      </c>
      <c r="AE188" s="85" t="str">
        <f t="shared" si="59"/>
        <v>aws s3 cp s3://rtdc.mdm.uploadarchive.raw/RTDC4023/ "%USERPROFILE%\AppData\Local\Temp\OnboardLogs"\RTDC4023\2017-04-17 --exclude "*" --recursive --include "*20170417*" &amp; "%USERPROFILE%\Documents\GitHub\mrs-test-scripts\Headless Mode &amp; Sideloading\WalkAndUnGZ.bat" "%USERPROFILE%\AppData\Local\Temp\OnboardLogs"\RTDC4023\2017-04-17 &amp; aws s3 cp s3://rtdc.mdm.uploadarchive.raw/RTDC4023/ "%USERPROFILE%\AppData\Local\Temp\OnboardLogs"\RTDC4023\2017-04-18 --exclude "*" --recursive --include "*20170418*" &amp; "%USERPROFILE%\Documents\GitHub\mrs-test-scripts\Headless Mode &amp; Sideloading\WalkAndUnGZ.bat" "%USERPROFILE%\AppData\Local\Temp\OnboardLogs"\RTDC4023\2017-04-18</v>
      </c>
      <c r="AF188" s="82" t="str">
        <f t="shared" si="60"/>
        <v>"C:\Program Files (x86)\AstroGrep\AstroGrep.exe" /e /r /s /spath="%USERPROFILE%\AppData\Local\Temp\OnboardLogs" /stypes="app*4023*20170417*" /stext=" 21:.+((SYSTEM_STATE.+slice.+state.+changed )|(ment ac)|(multiple cpu faults)|(system.+state.+changed )|(\[timeout)|(PRM\|1\|D)|(kpr)|(kdp)|(\|lc)|(penalty))"</v>
      </c>
      <c r="AG188" s="1" t="str">
        <f t="shared" si="61"/>
        <v>NW</v>
      </c>
      <c r="AH188" s="86" t="str">
        <f t="shared" si="62"/>
        <v>"%USERPROFILE%\Documents\GitHub\eaglep3\Utilities\RefineRTDCRunTimes.py" --tripid 826-17 --locoid 4023 --swversion DE.1.0.9.0 --startMP 300:58632 --initTime 2017-04-17T15:36:08 --startdatetime 2017-04-17T15:37:55 --delay 0 --endMP 204:649 --enddatetime 2017-04-17T15:56:15 --enforcementcount 0 &gt;&gt;C:\Users\stu\Documents\GitHub\eaglep3-reporting\EC\2017-04-17-refined-times.txt</v>
      </c>
      <c r="AI188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{"issue":{"subject":"","project_id":79,"tracker_id":40,"status_id":1,"priority_id":2,"assigned_to_id":23,"start_date":"2017-04-17","description":"","custom_fields":[{"id":1,"name":"Subdivision","value":"NW"},{"id":4,"name":"Milepost","value":"0.0649"},{"id":17,"name":"Train ID","value":"826-17"},{"id":16,"name":"Locomotive ID","value":"4023"},{"id":130,"name":"Impact","value":""},{"id":150,"name":"Time of Event (Mountain Time)","value":"15:56:15"},{"id":151,"name":"Denver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8"/>
      <c r="AL188" s="48"/>
      <c r="AM188" s="150" t="str">
        <f t="shared" si="64"/>
        <v>start /low /b %USERPROFILE%\Documents\GitHub\eaglep3\Utilities\DownloadLogsFromS3.py --loco 4023 --day 2017-04-17</v>
      </c>
      <c r="AN188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21:56:15"},{"id":29,"name":"Sharepoint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770</v>
      </c>
      <c r="B189" s="7">
        <v>4018</v>
      </c>
      <c r="C189" s="21" t="s">
        <v>213</v>
      </c>
      <c r="D189" s="21" t="s">
        <v>971</v>
      </c>
      <c r="E189" s="13">
        <v>42842.650787037041</v>
      </c>
      <c r="F189" s="13">
        <v>42842.660555555558</v>
      </c>
      <c r="G189" s="7">
        <v>1</v>
      </c>
      <c r="H189" s="21" t="s">
        <v>998</v>
      </c>
      <c r="I189" s="13">
        <v>42842.669328703705</v>
      </c>
      <c r="J189" s="7">
        <v>0</v>
      </c>
      <c r="K189" s="97" t="str">
        <f t="shared" si="49"/>
        <v>4017/4018</v>
      </c>
      <c r="L189" s="21" t="str">
        <f>VLOOKUP(A189,'Trips&amp;Operators'!$C$1:$G$99999,5,FALSE)</f>
        <v>NEWELL JAMES</v>
      </c>
      <c r="M189" s="6">
        <f t="shared" si="50"/>
        <v>8.7731481471564621E-3</v>
      </c>
      <c r="N189" s="7">
        <f t="shared" si="66"/>
        <v>12.633333331905305</v>
      </c>
      <c r="O189" s="7"/>
      <c r="P189" s="7"/>
      <c r="Q189" s="22"/>
      <c r="R189" s="22"/>
      <c r="S189" s="31">
        <f t="shared" si="67"/>
        <v>1</v>
      </c>
      <c r="T189" s="46" t="str">
        <f t="shared" si="51"/>
        <v>NorthBound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52"/>
        <v>https://d0f6bd738d7f1b3e5a7ca70fe4ff75f0.us-east-1.aws.found.io/app/kibana#/discover/Steve-Slow-Train-Analysis-(2080s-and-2083s)?_g=(refreshInterval:(display:Off,pause:!f,section:0,value:0),time:(from:'2017-04-17T14:37:08-0600',mode:absolute,to:'2017-04-17T17:03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9" s="183" t="str">
        <f t="shared" si="53"/>
        <v>N</v>
      </c>
      <c r="X189" s="183">
        <f t="shared" si="54"/>
        <v>1</v>
      </c>
      <c r="Y189" s="62">
        <f t="shared" si="55"/>
        <v>9.5100000000000004E-2</v>
      </c>
      <c r="Z189" s="62">
        <f t="shared" si="56"/>
        <v>5.8925999999999998</v>
      </c>
      <c r="AA189" s="62">
        <f t="shared" si="57"/>
        <v>5.7974999999999994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8"/>
        <v>0827-17</v>
      </c>
      <c r="AE189" s="85" t="str">
        <f t="shared" si="59"/>
        <v>aws s3 cp s3://rtdc.mdm.uploadarchive.raw/RTDC4018/ "%USERPROFILE%\AppData\Local\Temp\OnboardLogs"\RTDC4018\2017-04-17 --exclude "*" --recursive --include "*20170417*" &amp; "%USERPROFILE%\Documents\GitHub\mrs-test-scripts\Headless Mode &amp; Sideloading\WalkAndUnGZ.bat" "%USERPROFILE%\AppData\Local\Temp\OnboardLogs"\RTDC4018\2017-04-17 &amp; aws s3 cp s3://rtdc.mdm.uploadarchive.raw/RTDC4018/ "%USERPROFILE%\AppData\Local\Temp\OnboardLogs"\RTDC4018\2017-04-18 --exclude "*" --recursive --include "*20170418*" &amp; "%USERPROFILE%\Documents\GitHub\mrs-test-scripts\Headless Mode &amp; Sideloading\WalkAndUnGZ.bat" "%USERPROFILE%\AppData\Local\Temp\OnboardLogs"\RTDC4018\2017-04-18</v>
      </c>
      <c r="AF189" s="82" t="str">
        <f t="shared" si="60"/>
        <v>"C:\Program Files (x86)\AstroGrep\AstroGrep.exe" /e /r /s /spath="%USERPROFILE%\AppData\Local\Temp\OnboardLogs" /stypes="app*4018*20170417*" /stext=" 22:.+((SYSTEM_STATE.+slice.+state.+changed )|(ment ac)|(multiple cpu faults)|(system.+state.+changed )|(\[timeout)|(PRM\|1\|D)|(kpr)|(kdp)|(\|lc)|(penalty))"</v>
      </c>
      <c r="AG189" s="1" t="str">
        <f t="shared" si="61"/>
        <v>NW</v>
      </c>
      <c r="AH189" s="86" t="str">
        <f t="shared" si="62"/>
        <v>"%USERPROFILE%\Documents\GitHub\eaglep3\Utilities\RefineRTDCRunTimes.py" --tripid 827-17 --locoid 4018 --swversion DE.1.0.9.0 --startMP 204:951 --initTime 2017-04-17T15:37:08 --startdatetime 2017-04-17T15:51:12 --delay 1 --endMP 300:58926 --enddatetime 2017-04-17T16:03:50 --enforcementcount 0 &gt;&gt;C:\Users\stu\Documents\GitHub\eaglep3-reporting\EC\2017-04-17-refined-times.txt</v>
      </c>
      <c r="AI189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{"issue":{"subject":"","project_id":79,"tracker_id":40,"status_id":1,"priority_id":2,"assigned_to_id":23,"start_date":"2017-04-17","description":"","custom_fields":[{"id":1,"name":"Subdivision","value":"NW"},{"id":4,"name":"Milepost","value":"5.8926"},{"id":17,"name":"Train ID","value":"827-17"},{"id":16,"name":"Locomotive ID","value":"4018"},{"id":130,"name":"Impact","value":""},{"id":150,"name":"Time of Event (Mountain Time)","value":"16:03:50"},{"id":151,"name":"Denver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64"/>
        <v>start /low /b %USERPROFILE%\Documents\GitHub\eaglep3\Utilities\DownloadLogsFromS3.py --loco 4018 --day 2017-04-17</v>
      </c>
      <c r="AN189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22:03:50"},{"id":29,"name":"Sharepoint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775</v>
      </c>
      <c r="B190" s="7">
        <v>4017</v>
      </c>
      <c r="C190" s="21" t="s">
        <v>213</v>
      </c>
      <c r="D190" s="21" t="s">
        <v>582</v>
      </c>
      <c r="E190" s="13">
        <v>42842.67019675926</v>
      </c>
      <c r="F190" s="13">
        <v>42842.671932870369</v>
      </c>
      <c r="G190" s="7">
        <v>1</v>
      </c>
      <c r="H190" s="21" t="s">
        <v>999</v>
      </c>
      <c r="I190" s="13">
        <v>42842.684074074074</v>
      </c>
      <c r="J190" s="7">
        <v>0</v>
      </c>
      <c r="K190" s="97" t="str">
        <f t="shared" si="49"/>
        <v>4017/4018</v>
      </c>
      <c r="L190" s="21" t="str">
        <f>VLOOKUP(A190,'Trips&amp;Operators'!$C$1:$G$99999,5,FALSE)</f>
        <v>NEWELL JAMES</v>
      </c>
      <c r="M190" s="6">
        <f t="shared" si="50"/>
        <v>1.2141203704231884E-2</v>
      </c>
      <c r="N190" s="7">
        <f t="shared" si="66"/>
        <v>17.483333334093913</v>
      </c>
      <c r="O190" s="7"/>
      <c r="P190" s="7"/>
      <c r="Q190" s="22"/>
      <c r="R190" s="22"/>
      <c r="S190" s="31">
        <f t="shared" si="67"/>
        <v>1</v>
      </c>
      <c r="T190" s="46" t="str">
        <f t="shared" si="51"/>
        <v>Southbound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52"/>
        <v>https://d0f6bd738d7f1b3e5a7ca70fe4ff75f0.us-east-1.aws.found.io/app/kibana#/discover/Steve-Slow-Train-Analysis-(2080s-and-2083s)?_g=(refreshInterval:(display:Off,pause:!f,section:0,value:0),time:(from:'2017-04-17T15:05:05-0600',mode:absolute,to:'2017-04-17T17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0" s="183" t="str">
        <f t="shared" si="53"/>
        <v>N</v>
      </c>
      <c r="X190" s="183">
        <f t="shared" si="54"/>
        <v>1</v>
      </c>
      <c r="Y190" s="62">
        <f t="shared" si="55"/>
        <v>5.8613</v>
      </c>
      <c r="Z190" s="62">
        <f t="shared" si="56"/>
        <v>6.4699999999999994E-2</v>
      </c>
      <c r="AA190" s="62">
        <f t="shared" si="57"/>
        <v>5.7965999999999998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8"/>
        <v>0828-17</v>
      </c>
      <c r="AE190" s="85" t="str">
        <f t="shared" si="59"/>
        <v>aws s3 cp s3://rtdc.mdm.uploadarchive.raw/RTDC4017/ "%USERPROFILE%\AppData\Local\Temp\OnboardLogs"\RTDC4017\2017-04-17 --exclude "*" --recursive --include "*20170417*" &amp; "%USERPROFILE%\Documents\GitHub\mrs-test-scripts\Headless Mode &amp; Sideloading\WalkAndUnGZ.bat" "%USERPROFILE%\AppData\Local\Temp\OnboardLogs"\RTDC4017\2017-04-17 &amp; aws s3 cp s3://rtdc.mdm.uploadarchive.raw/RTDC4017/ "%USERPROFILE%\AppData\Local\Temp\OnboardLogs"\RTDC4017\2017-04-18 --exclude "*" --recursive --include "*20170418*" &amp; "%USERPROFILE%\Documents\GitHub\mrs-test-scripts\Headless Mode &amp; Sideloading\WalkAndUnGZ.bat" "%USERPROFILE%\AppData\Local\Temp\OnboardLogs"\RTDC4017\2017-04-18</v>
      </c>
      <c r="AF190" s="82" t="str">
        <f t="shared" si="60"/>
        <v>"C:\Program Files (x86)\AstroGrep\AstroGrep.exe" /e /r /s /spath="%USERPROFILE%\AppData\Local\Temp\OnboardLogs" /stypes="app*4017*20170417*" /stext=" 22:.+((SYSTEM_STATE.+slice.+state.+changed )|(ment ac)|(multiple cpu faults)|(system.+state.+changed )|(\[timeout)|(PRM\|1\|D)|(kpr)|(kdp)|(\|lc)|(penalty))"</v>
      </c>
      <c r="AG190" s="1" t="str">
        <f t="shared" si="61"/>
        <v>NW</v>
      </c>
      <c r="AH190" s="86" t="str">
        <f t="shared" si="62"/>
        <v>"%USERPROFILE%\Documents\GitHub\eaglep3\Utilities\RefineRTDCRunTimes.py" --tripid 828-17 --locoid 4017 --swversion DE.1.0.9.0 --startMP 300:58613 --initTime 2017-04-17T16:05:05 --startdatetime 2017-04-17T16:07:35 --delay 1 --endMP 204:647 --enddatetime 2017-04-17T16:25:04 --enforcementcount 0 &gt;&gt;C:\Users\stu\Documents\GitHub\eaglep3-reporting\EC\2017-04-17-refined-times.txt</v>
      </c>
      <c r="AI190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{"issue":{"subject":"","project_id":79,"tracker_id":40,"status_id":1,"priority_id":2,"assigned_to_id":23,"start_date":"2017-04-17","description":"","custom_fields":[{"id":1,"name":"Subdivision","value":"NW"},{"id":4,"name":"Milepost","value":"0.0647"},{"id":17,"name":"Train ID","value":"828-17"},{"id":16,"name":"Locomotive ID","value":"4017"},{"id":130,"name":"Impact","value":""},{"id":150,"name":"Time of Event (Mountain Time)","value":"16:25:04"},{"id":151,"name":"Denver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64"/>
        <v>start /low /b %USERPROFILE%\Documents\GitHub\eaglep3\Utilities\DownloadLogsFromS3.py --loco 4017 --day 2017-04-17</v>
      </c>
      <c r="AN190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22:25:04"},{"id":29,"name":"Sharepoint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778</v>
      </c>
      <c r="B191" s="7">
        <v>4024</v>
      </c>
      <c r="C191" s="21" t="s">
        <v>213</v>
      </c>
      <c r="D191" s="21" t="s">
        <v>965</v>
      </c>
      <c r="E191" s="13">
        <v>42842.679259259261</v>
      </c>
      <c r="F191" s="13">
        <v>42842.68141203704</v>
      </c>
      <c r="G191" s="7">
        <v>1</v>
      </c>
      <c r="H191" s="21" t="s">
        <v>1000</v>
      </c>
      <c r="I191" s="13">
        <v>42842.690266203703</v>
      </c>
      <c r="J191" s="7">
        <v>0</v>
      </c>
      <c r="K191" s="97" t="str">
        <f t="shared" si="49"/>
        <v>4023/4024</v>
      </c>
      <c r="L191" s="21" t="str">
        <f>VLOOKUP(A191,'Trips&amp;Operators'!$C$1:$G$99999,5,FALSE)</f>
        <v>LEVIN SCOTT</v>
      </c>
      <c r="M191" s="6">
        <f t="shared" si="50"/>
        <v>8.8541666627861559E-3</v>
      </c>
      <c r="N191" s="7">
        <f t="shared" ref="N191:N222" si="68">24*60*SUM($M191:$M191)</f>
        <v>12.749999994412065</v>
      </c>
      <c r="O191" s="7"/>
      <c r="P191" s="7"/>
      <c r="Q191" s="22"/>
      <c r="R191" s="22"/>
      <c r="S191" s="31">
        <f t="shared" ref="S191:S222" si="69">SUM(U191:U191)/IF(AG191="EC",12,1)</f>
        <v>1</v>
      </c>
      <c r="T191" s="46" t="str">
        <f t="shared" si="51"/>
        <v>NorthBound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52"/>
        <v>https://d0f6bd738d7f1b3e5a7ca70fe4ff75f0.us-east-1.aws.found.io/app/kibana#/discover/Steve-Slow-Train-Analysis-(2080s-and-2083s)?_g=(refreshInterval:(display:Off,pause:!f,section:0,value:0),time:(from:'2017-04-17T15:18:08-0600',mode:absolute,to:'2017-04-17T17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1" s="183" t="str">
        <f t="shared" si="53"/>
        <v>N</v>
      </c>
      <c r="X191" s="183">
        <f t="shared" si="54"/>
        <v>1</v>
      </c>
      <c r="Y191" s="62">
        <f t="shared" si="55"/>
        <v>9.2999999999999999E-2</v>
      </c>
      <c r="Z191" s="62">
        <f t="shared" si="56"/>
        <v>5.9009999999999998</v>
      </c>
      <c r="AA191" s="62">
        <f t="shared" si="57"/>
        <v>5.8079999999999998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8"/>
        <v>0829-17</v>
      </c>
      <c r="AE191" s="85" t="str">
        <f t="shared" si="59"/>
        <v>aws s3 cp s3://rtdc.mdm.uploadarchive.raw/RTDC4024/ "%USERPROFILE%\AppData\Local\Temp\OnboardLogs"\RTDC4024\2017-04-17 --exclude "*" --recursive --include "*20170417*" &amp; "%USERPROFILE%\Documents\GitHub\mrs-test-scripts\Headless Mode &amp; Sideloading\WalkAndUnGZ.bat" "%USERPROFILE%\AppData\Local\Temp\OnboardLogs"\RTDC4024\2017-04-17 &amp; aws s3 cp s3://rtdc.mdm.uploadarchive.raw/RTDC4024/ "%USERPROFILE%\AppData\Local\Temp\OnboardLogs"\RTDC4024\2017-04-18 --exclude "*" --recursive --include "*20170418*" &amp; "%USERPROFILE%\Documents\GitHub\mrs-test-scripts\Headless Mode &amp; Sideloading\WalkAndUnGZ.bat" "%USERPROFILE%\AppData\Local\Temp\OnboardLogs"\RTDC4024\2017-04-18</v>
      </c>
      <c r="AF191" s="82" t="str">
        <f t="shared" si="60"/>
        <v>"C:\Program Files (x86)\AstroGrep\AstroGrep.exe" /e /r /s /spath="%USERPROFILE%\AppData\Local\Temp\OnboardLogs" /stypes="app*4024*20170417*" /stext=" 22:.+((SYSTEM_STATE.+slice.+state.+changed )|(ment ac)|(multiple cpu faults)|(system.+state.+changed )|(\[timeout)|(PRM\|1\|D)|(kpr)|(kdp)|(\|lc)|(penalty))"</v>
      </c>
      <c r="AG191" s="1" t="str">
        <f t="shared" si="61"/>
        <v>NW</v>
      </c>
      <c r="AH191" s="86" t="str">
        <f t="shared" si="62"/>
        <v>"%USERPROFILE%\Documents\GitHub\eaglep3\Utilities\RefineRTDCRunTimes.py" --tripid 829-17 --locoid 4024 --swversion DE.1.0.9.0 --startMP 204:930 --initTime 2017-04-17T16:18:08 --startdatetime 2017-04-17T16:21:14 --delay 1 --endMP 300:59010 --enddatetime 2017-04-17T16:33:59 --enforcementcount 0 &gt;&gt;C:\Users\stu\Documents\GitHub\eaglep3-reporting\EC\2017-04-17-refined-times.txt</v>
      </c>
      <c r="AI191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{"issue":{"subject":"","project_id":79,"tracker_id":40,"status_id":1,"priority_id":2,"assigned_to_id":23,"start_date":"2017-04-17","description":"","custom_fields":[{"id":1,"name":"Subdivision","value":"NW"},{"id":4,"name":"Milepost","value":"5.901"},{"id":17,"name":"Train ID","value":"829-17"},{"id":16,"name":"Locomotive ID","value":"4024"},{"id":130,"name":"Impact","value":""},{"id":150,"name":"Time of Event (Mountain Time)","value":"16:33:59"},{"id":151,"name":"Denver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64"/>
        <v>start /low /b %USERPROFILE%\Documents\GitHub\eaglep3\Utilities\DownloadLogsFromS3.py --loco 4024 --day 2017-04-17</v>
      </c>
      <c r="AN191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22:33:59"},{"id":29,"name":"Sharepoint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624</v>
      </c>
      <c r="B192" s="7">
        <v>4023</v>
      </c>
      <c r="C192" s="21" t="s">
        <v>213</v>
      </c>
      <c r="D192" s="21" t="s">
        <v>1001</v>
      </c>
      <c r="E192" s="13">
        <v>42842.691365740742</v>
      </c>
      <c r="F192" s="13">
        <v>42842.692731481482</v>
      </c>
      <c r="G192" s="7">
        <v>1</v>
      </c>
      <c r="H192" s="21" t="s">
        <v>1002</v>
      </c>
      <c r="I192" s="13">
        <v>42842.704918981479</v>
      </c>
      <c r="J192" s="7">
        <v>0</v>
      </c>
      <c r="K192" s="97" t="str">
        <f t="shared" si="49"/>
        <v>4023/4024</v>
      </c>
      <c r="L192" s="21" t="str">
        <f>VLOOKUP(A192,'Trips&amp;Operators'!$C$1:$G$99999,5,FALSE)</f>
        <v>LEVIN SCOTT</v>
      </c>
      <c r="M192" s="6">
        <f t="shared" si="50"/>
        <v>1.2187499996798579E-2</v>
      </c>
      <c r="N192" s="7">
        <f t="shared" si="68"/>
        <v>17.549999995389953</v>
      </c>
      <c r="O192" s="7"/>
      <c r="P192" s="7"/>
      <c r="Q192" s="22"/>
      <c r="R192" s="22"/>
      <c r="S192" s="31">
        <f t="shared" si="69"/>
        <v>1</v>
      </c>
      <c r="T192" s="46" t="str">
        <f t="shared" si="51"/>
        <v>Southbound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52"/>
        <v>https://d0f6bd738d7f1b3e5a7ca70fe4ff75f0.us-east-1.aws.found.io/app/kibana#/discover/Steve-Slow-Train-Analysis-(2080s-and-2083s)?_g=(refreshInterval:(display:Off,pause:!f,section:0,value:0),time:(from:'2017-04-17T15:35:34-0600',mode:absolute,to:'2017-04-17T17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2" s="183" t="str">
        <f t="shared" si="53"/>
        <v>N</v>
      </c>
      <c r="X192" s="183">
        <f t="shared" si="54"/>
        <v>1</v>
      </c>
      <c r="Y192" s="62">
        <f t="shared" si="55"/>
        <v>5.8696000000000002</v>
      </c>
      <c r="Z192" s="62">
        <f t="shared" si="56"/>
        <v>6.3799999999999996E-2</v>
      </c>
      <c r="AA192" s="62">
        <f t="shared" si="57"/>
        <v>5.8058000000000005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8"/>
        <v>0830-17</v>
      </c>
      <c r="AE192" s="85" t="str">
        <f t="shared" si="59"/>
        <v>aws s3 cp s3://rtdc.mdm.uploadarchive.raw/RTDC4023/ "%USERPROFILE%\AppData\Local\Temp\OnboardLogs"\RTDC4023\2017-04-17 --exclude "*" --recursive --include "*20170417*" &amp; "%USERPROFILE%\Documents\GitHub\mrs-test-scripts\Headless Mode &amp; Sideloading\WalkAndUnGZ.bat" "%USERPROFILE%\AppData\Local\Temp\OnboardLogs"\RTDC4023\2017-04-17 &amp; aws s3 cp s3://rtdc.mdm.uploadarchive.raw/RTDC4023/ "%USERPROFILE%\AppData\Local\Temp\OnboardLogs"\RTDC4023\2017-04-18 --exclude "*" --recursive --include "*20170418*" &amp; "%USERPROFILE%\Documents\GitHub\mrs-test-scripts\Headless Mode &amp; Sideloading\WalkAndUnGZ.bat" "%USERPROFILE%\AppData\Local\Temp\OnboardLogs"\RTDC4023\2017-04-18</v>
      </c>
      <c r="AF192" s="82" t="str">
        <f t="shared" si="60"/>
        <v>"C:\Program Files (x86)\AstroGrep\AstroGrep.exe" /e /r /s /spath="%USERPROFILE%\AppData\Local\Temp\OnboardLogs" /stypes="app*4023*20170417*" /stext=" 22:.+((SYSTEM_STATE.+slice.+state.+changed )|(ment ac)|(multiple cpu faults)|(system.+state.+changed )|(\[timeout)|(PRM\|1\|D)|(kpr)|(kdp)|(\|lc)|(penalty))"</v>
      </c>
      <c r="AG192" s="1" t="str">
        <f t="shared" si="61"/>
        <v>NW</v>
      </c>
      <c r="AH192" s="86" t="str">
        <f t="shared" si="62"/>
        <v>"%USERPROFILE%\Documents\GitHub\eaglep3\Utilities\RefineRTDCRunTimes.py" --tripid 830-17 --locoid 4023 --swversion DE.1.0.9.0 --startMP 300:58696 --initTime 2017-04-17T16:35:34 --startdatetime 2017-04-17T16:37:32 --delay 1 --endMP 204:638 --enddatetime 2017-04-17T16:55:05 --enforcementcount 0 &gt;&gt;C:\Users\stu\Documents\GitHub\eaglep3-reporting\EC\2017-04-17-refined-times.txt</v>
      </c>
      <c r="AI192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{"issue":{"subject":"","project_id":79,"tracker_id":40,"status_id":1,"priority_id":2,"assigned_to_id":23,"start_date":"2017-04-17","description":"","custom_fields":[{"id":1,"name":"Subdivision","value":"NW"},{"id":4,"name":"Milepost","value":"0.0638"},{"id":17,"name":"Train ID","value":"830-17"},{"id":16,"name":"Locomotive ID","value":"4023"},{"id":130,"name":"Impact","value":""},{"id":150,"name":"Time of Event (Mountain Time)","value":"16:55:05"},{"id":151,"name":"Denver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64"/>
        <v>start /low /b %USERPROFILE%\Documents\GitHub\eaglep3\Utilities\DownloadLogsFromS3.py --loco 4023 --day 2017-04-17</v>
      </c>
      <c r="AN192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22:55:05"},{"id":29,"name":"Sharepoint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780</v>
      </c>
      <c r="B193" s="7">
        <v>4018</v>
      </c>
      <c r="C193" s="21" t="s">
        <v>213</v>
      </c>
      <c r="D193" s="21" t="s">
        <v>1003</v>
      </c>
      <c r="E193" s="13">
        <v>42842.685486111113</v>
      </c>
      <c r="F193" s="13">
        <v>42842.702233796299</v>
      </c>
      <c r="G193" s="7">
        <v>1</v>
      </c>
      <c r="H193" s="21" t="s">
        <v>1004</v>
      </c>
      <c r="I193" s="13">
        <v>42842.711018518516</v>
      </c>
      <c r="J193" s="7">
        <v>0</v>
      </c>
      <c r="K193" s="97" t="str">
        <f t="shared" si="49"/>
        <v>4017/4018</v>
      </c>
      <c r="L193" s="21" t="str">
        <f>VLOOKUP(A193,'Trips&amp;Operators'!$C$1:$G$99999,5,FALSE)</f>
        <v>NEWELL JAMES</v>
      </c>
      <c r="M193" s="6">
        <f t="shared" si="50"/>
        <v>8.7847222166601568E-3</v>
      </c>
      <c r="N193" s="7">
        <f t="shared" si="68"/>
        <v>12.649999991990626</v>
      </c>
      <c r="O193" s="7"/>
      <c r="P193" s="7"/>
      <c r="Q193" s="22"/>
      <c r="R193" s="22"/>
      <c r="S193" s="31">
        <f t="shared" si="69"/>
        <v>1</v>
      </c>
      <c r="T193" s="46" t="str">
        <f t="shared" si="51"/>
        <v>NorthBound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52"/>
        <v>https://d0f6bd738d7f1b3e5a7ca70fe4ff75f0.us-east-1.aws.found.io/app/kibana#/discover/Steve-Slow-Train-Analysis-(2080s-and-2083s)?_g=(refreshInterval:(display:Off,pause:!f,section:0,value:0),time:(from:'2017-04-17T15:27:06-0600',mode:absolute,to:'2017-04-17T18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3" s="183" t="str">
        <f t="shared" si="53"/>
        <v>N</v>
      </c>
      <c r="X193" s="183">
        <f t="shared" si="54"/>
        <v>1</v>
      </c>
      <c r="Y193" s="62">
        <f t="shared" si="55"/>
        <v>9.4299999999999995E-2</v>
      </c>
      <c r="Z193" s="62">
        <f t="shared" si="56"/>
        <v>5.8935000000000004</v>
      </c>
      <c r="AA193" s="62">
        <f t="shared" si="57"/>
        <v>5.7992000000000008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8"/>
        <v>0831-17</v>
      </c>
      <c r="AE193" s="85" t="str">
        <f t="shared" si="59"/>
        <v>aws s3 cp s3://rtdc.mdm.uploadarchive.raw/RTDC4018/ "%USERPROFILE%\AppData\Local\Temp\OnboardLogs"\RTDC4018\2017-04-17 --exclude "*" --recursive --include "*20170417*" &amp; "%USERPROFILE%\Documents\GitHub\mrs-test-scripts\Headless Mode &amp; Sideloading\WalkAndUnGZ.bat" "%USERPROFILE%\AppData\Local\Temp\OnboardLogs"\RTDC4018\2017-04-17 &amp; aws s3 cp s3://rtdc.mdm.uploadarchive.raw/RTDC4018/ "%USERPROFILE%\AppData\Local\Temp\OnboardLogs"\RTDC4018\2017-04-18 --exclude "*" --recursive --include "*20170418*" &amp; "%USERPROFILE%\Documents\GitHub\mrs-test-scripts\Headless Mode &amp; Sideloading\WalkAndUnGZ.bat" "%USERPROFILE%\AppData\Local\Temp\OnboardLogs"\RTDC4018\2017-04-18</v>
      </c>
      <c r="AF193" s="82" t="str">
        <f t="shared" si="60"/>
        <v>"C:\Program Files (x86)\AstroGrep\AstroGrep.exe" /e /r /s /spath="%USERPROFILE%\AppData\Local\Temp\OnboardLogs" /stypes="app*4018*20170417*" /stext=" 23:.+((SYSTEM_STATE.+slice.+state.+changed )|(ment ac)|(multiple cpu faults)|(system.+state.+changed )|(\[timeout)|(PRM\|1\|D)|(kpr)|(kdp)|(\|lc)|(penalty))"</v>
      </c>
      <c r="AG193" s="1" t="str">
        <f t="shared" si="61"/>
        <v>NW</v>
      </c>
      <c r="AH193" s="86" t="str">
        <f t="shared" si="62"/>
        <v>"%USERPROFILE%\Documents\GitHub\eaglep3\Utilities\RefineRTDCRunTimes.py" --tripid 831-17 --locoid 4018 --swversion DE.1.0.9.0 --startMP 204:943 --initTime 2017-04-17T16:27:06 --startdatetime 2017-04-17T16:51:13 --delay 1 --endMP 300:58935 --enddatetime 2017-04-17T17:03:52 --enforcementcount 0 &gt;&gt;C:\Users\stu\Documents\GitHub\eaglep3-reporting\EC\2017-04-17-refined-times.txt</v>
      </c>
      <c r="AI193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{"issue":{"subject":"","project_id":79,"tracker_id":40,"status_id":1,"priority_id":2,"assigned_to_id":23,"start_date":"2017-04-17","description":"","custom_fields":[{"id":1,"name":"Subdivision","value":"NW"},{"id":4,"name":"Milepost","value":"5.8935"},{"id":17,"name":"Train ID","value":"831-17"},{"id":16,"name":"Locomotive ID","value":"4018"},{"id":130,"name":"Impact","value":""},{"id":150,"name":"Time of Event (Mountain Time)","value":"17:03:52"},{"id":151,"name":"Denver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50" t="str">
        <f t="shared" si="64"/>
        <v>start /low /b %USERPROFILE%\Documents\GitHub\eaglep3\Utilities\DownloadLogsFromS3.py --loco 4018 --day 2017-04-17</v>
      </c>
      <c r="AN193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23:03:52"},{"id":29,"name":"Sharepoint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785</v>
      </c>
      <c r="B194" s="7">
        <v>4017</v>
      </c>
      <c r="C194" s="21" t="s">
        <v>213</v>
      </c>
      <c r="D194" s="21" t="s">
        <v>514</v>
      </c>
      <c r="E194" s="13">
        <v>42842.711817129632</v>
      </c>
      <c r="F194" s="13">
        <v>42842.713541666664</v>
      </c>
      <c r="G194" s="7">
        <v>1</v>
      </c>
      <c r="H194" s="21" t="s">
        <v>966</v>
      </c>
      <c r="I194" s="13">
        <v>42842.726782407408</v>
      </c>
      <c r="J194" s="7">
        <v>0</v>
      </c>
      <c r="K194" s="97" t="str">
        <f t="shared" si="49"/>
        <v>4017/4018</v>
      </c>
      <c r="L194" s="21" t="str">
        <f>VLOOKUP(A194,'Trips&amp;Operators'!$C$1:$G$99999,5,FALSE)</f>
        <v>NEWELL JAMES</v>
      </c>
      <c r="M194" s="6">
        <f t="shared" si="50"/>
        <v>1.3240740743640345E-2</v>
      </c>
      <c r="N194" s="7">
        <f t="shared" si="68"/>
        <v>19.066666670842096</v>
      </c>
      <c r="O194" s="7"/>
      <c r="P194" s="7"/>
      <c r="Q194" s="22"/>
      <c r="R194" s="22"/>
      <c r="S194" s="31">
        <f t="shared" si="69"/>
        <v>1</v>
      </c>
      <c r="T194" s="46" t="str">
        <f t="shared" si="51"/>
        <v>Southbound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52"/>
        <v>https://d0f6bd738d7f1b3e5a7ca70fe4ff75f0.us-east-1.aws.found.io/app/kibana#/discover/Steve-Slow-Train-Analysis-(2080s-and-2083s)?_g=(refreshInterval:(display:Off,pause:!f,section:0,value:0),time:(from:'2017-04-17T16:05:01-0600',mode:absolute,to:'2017-04-17T18:26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4" s="183" t="str">
        <f t="shared" si="53"/>
        <v>N</v>
      </c>
      <c r="X194" s="183">
        <f t="shared" si="54"/>
        <v>1</v>
      </c>
      <c r="Y194" s="62">
        <f t="shared" si="55"/>
        <v>5.8619000000000003</v>
      </c>
      <c r="Z194" s="62">
        <f t="shared" si="56"/>
        <v>6.6100000000000006E-2</v>
      </c>
      <c r="AA194" s="62">
        <f t="shared" si="57"/>
        <v>5.7958000000000007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8"/>
        <v>0832-17</v>
      </c>
      <c r="AE194" s="85" t="str">
        <f t="shared" si="59"/>
        <v>aws s3 cp s3://rtdc.mdm.uploadarchive.raw/RTDC4017/ "%USERPROFILE%\AppData\Local\Temp\OnboardLogs"\RTDC4017\2017-04-17 --exclude "*" --recursive --include "*20170417*" &amp; "%USERPROFILE%\Documents\GitHub\mrs-test-scripts\Headless Mode &amp; Sideloading\WalkAndUnGZ.bat" "%USERPROFILE%\AppData\Local\Temp\OnboardLogs"\RTDC4017\2017-04-17 &amp; aws s3 cp s3://rtdc.mdm.uploadarchive.raw/RTDC4017/ "%USERPROFILE%\AppData\Local\Temp\OnboardLogs"\RTDC4017\2017-04-18 --exclude "*" --recursive --include "*20170418*" &amp; "%USERPROFILE%\Documents\GitHub\mrs-test-scripts\Headless Mode &amp; Sideloading\WalkAndUnGZ.bat" "%USERPROFILE%\AppData\Local\Temp\OnboardLogs"\RTDC4017\2017-04-18</v>
      </c>
      <c r="AF194" s="82" t="str">
        <f t="shared" si="60"/>
        <v>"C:\Program Files (x86)\AstroGrep\AstroGrep.exe" /e /r /s /spath="%USERPROFILE%\AppData\Local\Temp\OnboardLogs" /stypes="app*4017*20170417*" /stext=" 23:.+((SYSTEM_STATE.+slice.+state.+changed )|(ment ac)|(multiple cpu faults)|(system.+state.+changed )|(\[timeout)|(PRM\|1\|D)|(kpr)|(kdp)|(\|lc)|(penalty))"</v>
      </c>
      <c r="AG194" s="1" t="str">
        <f t="shared" si="61"/>
        <v>NW</v>
      </c>
      <c r="AH194" s="86" t="str">
        <f t="shared" si="62"/>
        <v>"%USERPROFILE%\Documents\GitHub\eaglep3\Utilities\RefineRTDCRunTimes.py" --tripid 832-17 --locoid 4017 --swversion DE.1.0.9.0 --startMP 300:58619 --initTime 2017-04-17T17:05:01 --startdatetime 2017-04-17T17:07:30 --delay 1 --endMP 204:661 --enddatetime 2017-04-17T17:26:34 --enforcementcount 0 &gt;&gt;C:\Users\stu\Documents\GitHub\eaglep3-reporting\EC\2017-04-17-refined-times.txt</v>
      </c>
      <c r="AI194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{"issue":{"subject":"","project_id":79,"tracker_id":40,"status_id":1,"priority_id":2,"assigned_to_id":23,"start_date":"2017-04-17","description":"","custom_fields":[{"id":1,"name":"Subdivision","value":"NW"},{"id":4,"name":"Milepost","value":"0.0661"},{"id":17,"name":"Train ID","value":"832-17"},{"id":16,"name":"Locomotive ID","value":"4017"},{"id":130,"name":"Impact","value":""},{"id":150,"name":"Time of Event (Mountain Time)","value":"17:26:34"},{"id":151,"name":"Denver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64"/>
        <v>start /low /b %USERPROFILE%\Documents\GitHub\eaglep3\Utilities\DownloadLogsFromS3.py --loco 4017 --day 2017-04-17</v>
      </c>
      <c r="AN194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23:26:34"},{"id":29,"name":"Sharepoint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788</v>
      </c>
      <c r="B195" s="7">
        <v>4024</v>
      </c>
      <c r="C195" s="21" t="s">
        <v>213</v>
      </c>
      <c r="D195" s="21" t="s">
        <v>1005</v>
      </c>
      <c r="E195" s="13">
        <v>42842.720659722225</v>
      </c>
      <c r="F195" s="13">
        <v>42842.723055555558</v>
      </c>
      <c r="G195" s="7">
        <v>0</v>
      </c>
      <c r="H195" s="21" t="s">
        <v>980</v>
      </c>
      <c r="I195" s="13">
        <v>42842.732152777775</v>
      </c>
      <c r="J195" s="7">
        <v>0</v>
      </c>
      <c r="K195" s="97" t="str">
        <f t="shared" si="49"/>
        <v>4023/4024</v>
      </c>
      <c r="L195" s="21" t="str">
        <f>VLOOKUP(A195,'Trips&amp;Operators'!$C$1:$G$99999,5,FALSE)</f>
        <v>LEVIN SCOTT</v>
      </c>
      <c r="M195" s="6">
        <f t="shared" si="50"/>
        <v>9.0972222169511952E-3</v>
      </c>
      <c r="N195" s="7">
        <f t="shared" si="68"/>
        <v>13.099999992409721</v>
      </c>
      <c r="O195" s="7"/>
      <c r="P195" s="7"/>
      <c r="Q195" s="22"/>
      <c r="R195" s="22"/>
      <c r="S195" s="31">
        <f t="shared" si="69"/>
        <v>1</v>
      </c>
      <c r="T195" s="46" t="str">
        <f t="shared" si="51"/>
        <v>NorthBound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52"/>
        <v>https://d0f6bd738d7f1b3e5a7ca70fe4ff75f0.us-east-1.aws.found.io/app/kibana#/discover/Steve-Slow-Train-Analysis-(2080s-and-2083s)?_g=(refreshInterval:(display:Off,pause:!f,section:0,value:0),time:(from:'2017-04-17T16:17:45-0600',mode:absolute,to:'2017-04-17T18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5" s="183" t="str">
        <f t="shared" si="53"/>
        <v>N</v>
      </c>
      <c r="X195" s="183">
        <f t="shared" si="54"/>
        <v>1</v>
      </c>
      <c r="Y195" s="62">
        <f t="shared" si="55"/>
        <v>9.2499999999999999E-2</v>
      </c>
      <c r="Z195" s="62">
        <f t="shared" si="56"/>
        <v>5.8960999999999997</v>
      </c>
      <c r="AA195" s="62">
        <f t="shared" si="57"/>
        <v>5.8035999999999994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8"/>
        <v>0833-17</v>
      </c>
      <c r="AE195" s="85" t="str">
        <f t="shared" si="59"/>
        <v>aws s3 cp s3://rtdc.mdm.uploadarchive.raw/RTDC4024/ "%USERPROFILE%\AppData\Local\Temp\OnboardLogs"\RTDC4024\2017-04-17 --exclude "*" --recursive --include "*20170417*" &amp; "%USERPROFILE%\Documents\GitHub\mrs-test-scripts\Headless Mode &amp; Sideloading\WalkAndUnGZ.bat" "%USERPROFILE%\AppData\Local\Temp\OnboardLogs"\RTDC4024\2017-04-17 &amp; aws s3 cp s3://rtdc.mdm.uploadarchive.raw/RTDC4024/ "%USERPROFILE%\AppData\Local\Temp\OnboardLogs"\RTDC4024\2017-04-18 --exclude "*" --recursive --include "*20170418*" &amp; "%USERPROFILE%\Documents\GitHub\mrs-test-scripts\Headless Mode &amp; Sideloading\WalkAndUnGZ.bat" "%USERPROFILE%\AppData\Local\Temp\OnboardLogs"\RTDC4024\2017-04-18</v>
      </c>
      <c r="AF195" s="82" t="str">
        <f t="shared" si="60"/>
        <v>"C:\Program Files (x86)\AstroGrep\AstroGrep.exe" /e /r /s /spath="%USERPROFILE%\AppData\Local\Temp\OnboardLogs" /stypes="app*4024*20170417*" /stext=" 23:.+((SYSTEM_STATE.+slice.+state.+changed )|(ment ac)|(multiple cpu faults)|(system.+state.+changed )|(\[timeout)|(PRM\|1\|D)|(kpr)|(kdp)|(\|lc)|(penalty))"</v>
      </c>
      <c r="AG195" s="1" t="str">
        <f t="shared" si="61"/>
        <v>NW</v>
      </c>
      <c r="AH195" s="86" t="str">
        <f t="shared" si="62"/>
        <v>"%USERPROFILE%\Documents\GitHub\eaglep3\Utilities\RefineRTDCRunTimes.py" --tripid 833-17 --locoid 4024 --swversion DE.1.0.9.0 --startMP 204:925 --initTime 2017-04-17T17:17:45 --startdatetime 2017-04-17T17:21:12 --delay 0 --endMP 300:58961 --enddatetime 2017-04-17T17:34:18 --enforcementcount 0 &gt;&gt;C:\Users\stu\Documents\GitHub\eaglep3-reporting\EC\2017-04-17-refined-times.txt</v>
      </c>
      <c r="AI195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{"issue":{"subject":"","project_id":79,"tracker_id":40,"status_id":1,"priority_id":2,"assigned_to_id":23,"start_date":"2017-04-17","description":"","custom_fields":[{"id":1,"name":"Subdivision","value":"NW"},{"id":4,"name":"Milepost","value":"5.8961"},{"id":17,"name":"Train ID","value":"833-17"},{"id":16,"name":"Locomotive ID","value":"4024"},{"id":130,"name":"Impact","value":""},{"id":150,"name":"Time of Event (Mountain Time)","value":"17:34:18"},{"id":151,"name":"Denver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64"/>
        <v>start /low /b %USERPROFILE%\Documents\GitHub\eaglep3\Utilities\DownloadLogsFromS3.py --loco 4024 --day 2017-04-17</v>
      </c>
      <c r="AN195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23:34:18"},{"id":29,"name":"Sharepoint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s="20" customFormat="1" x14ac:dyDescent="0.25">
      <c r="A196" s="33" t="s">
        <v>628</v>
      </c>
      <c r="B196" s="7">
        <v>4023</v>
      </c>
      <c r="C196" s="21" t="s">
        <v>213</v>
      </c>
      <c r="D196" s="21" t="s">
        <v>1006</v>
      </c>
      <c r="E196" s="13">
        <v>42842.733229166668</v>
      </c>
      <c r="F196" s="13">
        <v>42842.734652777777</v>
      </c>
      <c r="G196" s="7">
        <v>1</v>
      </c>
      <c r="H196" s="21" t="s">
        <v>1007</v>
      </c>
      <c r="I196" s="13">
        <v>42842.748159722221</v>
      </c>
      <c r="J196" s="7">
        <v>0</v>
      </c>
      <c r="K196" s="97" t="str">
        <f t="shared" si="49"/>
        <v>4023/4024</v>
      </c>
      <c r="L196" s="21" t="str">
        <f>VLOOKUP(A196,'Trips&amp;Operators'!$C$1:$G$99999,5,FALSE)</f>
        <v>LEVIN SCOTT</v>
      </c>
      <c r="M196" s="6">
        <f t="shared" si="50"/>
        <v>1.3506944444088731E-2</v>
      </c>
      <c r="N196" s="7">
        <f t="shared" si="68"/>
        <v>19.449999999487773</v>
      </c>
      <c r="O196" s="7"/>
      <c r="P196" s="7"/>
      <c r="Q196" s="22"/>
      <c r="R196" s="22"/>
      <c r="S196" s="31">
        <f t="shared" si="69"/>
        <v>1</v>
      </c>
      <c r="T196" s="46" t="str">
        <f t="shared" si="51"/>
        <v>Southbound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52"/>
        <v>https://d0f6bd738d7f1b3e5a7ca70fe4ff75f0.us-east-1.aws.found.io/app/kibana#/discover/Steve-Slow-Train-Analysis-(2080s-and-2083s)?_g=(refreshInterval:(display:Off,pause:!f,section:0,value:0),time:(from:'2017-04-17T16:35:51-0600',mode:absolute,to:'2017-04-17T18:57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6" s="183" t="str">
        <f t="shared" si="53"/>
        <v>N</v>
      </c>
      <c r="X196" s="183">
        <f t="shared" si="54"/>
        <v>1</v>
      </c>
      <c r="Y196" s="62">
        <f t="shared" si="55"/>
        <v>5.8658000000000001</v>
      </c>
      <c r="Z196" s="62">
        <f t="shared" si="56"/>
        <v>6.2199999999999998E-2</v>
      </c>
      <c r="AA196" s="62">
        <f t="shared" si="57"/>
        <v>5.8036000000000003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8"/>
        <v>0834-17</v>
      </c>
      <c r="AE196" s="85" t="str">
        <f t="shared" si="59"/>
        <v>aws s3 cp s3://rtdc.mdm.uploadarchive.raw/RTDC4023/ "%USERPROFILE%\AppData\Local\Temp\OnboardLogs"\RTDC4023\2017-04-17 --exclude "*" --recursive --include "*20170417*" &amp; "%USERPROFILE%\Documents\GitHub\mrs-test-scripts\Headless Mode &amp; Sideloading\WalkAndUnGZ.bat" "%USERPROFILE%\AppData\Local\Temp\OnboardLogs"\RTDC4023\2017-04-17 &amp; aws s3 cp s3://rtdc.mdm.uploadarchive.raw/RTDC4023/ "%USERPROFILE%\AppData\Local\Temp\OnboardLogs"\RTDC4023\2017-04-18 --exclude "*" --recursive --include "*20170418*" &amp; "%USERPROFILE%\Documents\GitHub\mrs-test-scripts\Headless Mode &amp; Sideloading\WalkAndUnGZ.bat" "%USERPROFILE%\AppData\Local\Temp\OnboardLogs"\RTDC4023\2017-04-18</v>
      </c>
      <c r="AF196" s="82" t="str">
        <f t="shared" si="60"/>
        <v>"C:\Program Files (x86)\AstroGrep\AstroGrep.exe" /e /r /s /spath="%USERPROFILE%\AppData\Local\Temp\OnboardLogs" /stypes="app*4023*20170417*" /stext=" 23:.+((SYSTEM_STATE.+slice.+state.+changed )|(ment ac)|(multiple cpu faults)|(system.+state.+changed )|(\[timeout)|(PRM\|1\|D)|(kpr)|(kdp)|(\|lc)|(penalty))"</v>
      </c>
      <c r="AG196" s="1" t="str">
        <f t="shared" si="61"/>
        <v>NW</v>
      </c>
      <c r="AH196" s="86" t="str">
        <f t="shared" si="62"/>
        <v>"%USERPROFILE%\Documents\GitHub\eaglep3\Utilities\RefineRTDCRunTimes.py" --tripid 834-17 --locoid 4023 --swversion DE.1.0.9.0 --startMP 300:58658 --initTime 2017-04-17T17:35:51 --startdatetime 2017-04-17T17:37:54 --delay 1 --endMP 204:622 --enddatetime 2017-04-17T17:57:21 --enforcementcount 0 &gt;&gt;C:\Users\stu\Documents\GitHub\eaglep3-reporting\EC\2017-04-17-refined-times.txt</v>
      </c>
      <c r="AI196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{"issue":{"subject":"","project_id":79,"tracker_id":40,"status_id":1,"priority_id":2,"assigned_to_id":23,"start_date":"2017-04-17","description":"","custom_fields":[{"id":1,"name":"Subdivision","value":"NW"},{"id":4,"name":"Milepost","value":"0.0622"},{"id":17,"name":"Train ID","value":"834-17"},{"id":16,"name":"Locomotive ID","value":"4023"},{"id":130,"name":"Impact","value":""},{"id":150,"name":"Time of Event (Mountain Time)","value":"17:57:21"},{"id":151,"name":"Denver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8"/>
      <c r="AL196" s="48"/>
      <c r="AM196" s="150" t="str">
        <f t="shared" si="64"/>
        <v>start /low /b %USERPROFILE%\Documents\GitHub\eaglep3\Utilities\DownloadLogsFromS3.py --loco 4023 --day 2017-04-17</v>
      </c>
      <c r="AN196" s="159" t="str">
        <f t="shared" si="6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23:57:21"},{"id":29,"name":"Sharepoint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790</v>
      </c>
      <c r="B197" s="7">
        <v>4018</v>
      </c>
      <c r="C197" s="21" t="s">
        <v>213</v>
      </c>
      <c r="D197" s="21" t="s">
        <v>986</v>
      </c>
      <c r="E197" s="13">
        <v>42842.728101851855</v>
      </c>
      <c r="F197" s="13">
        <v>42842.743900462963</v>
      </c>
      <c r="G197" s="7">
        <v>1</v>
      </c>
      <c r="H197" s="21" t="s">
        <v>1008</v>
      </c>
      <c r="I197" s="13">
        <v>42842.753287037034</v>
      </c>
      <c r="J197" s="7">
        <v>0</v>
      </c>
      <c r="K197" s="97" t="str">
        <f t="shared" si="49"/>
        <v>4017/4018</v>
      </c>
      <c r="L197" s="21" t="str">
        <f>VLOOKUP(A197,'Trips&amp;Operators'!$C$1:$G$99999,5,FALSE)</f>
        <v>NEWELL JAMES</v>
      </c>
      <c r="M197" s="6">
        <f t="shared" si="50"/>
        <v>9.3865740709588863E-3</v>
      </c>
      <c r="N197" s="7">
        <f t="shared" si="68"/>
        <v>13.516666662180796</v>
      </c>
      <c r="O197" s="7"/>
      <c r="P197" s="7"/>
      <c r="Q197" s="22"/>
      <c r="R197" s="22"/>
      <c r="S197" s="31">
        <f t="shared" si="69"/>
        <v>1</v>
      </c>
      <c r="T197" s="46" t="str">
        <f t="shared" si="51"/>
        <v>NorthBound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52"/>
        <v>https://d0f6bd738d7f1b3e5a7ca70fe4ff75f0.us-east-1.aws.found.io/app/kibana#/discover/Steve-Slow-Train-Analysis-(2080s-and-2083s)?_g=(refreshInterval:(display:Off,pause:!f,section:0,value:0),time:(from:'2017-04-17T16:28:28-0600',mode:absolute,to:'2017-04-17T19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7" s="183" t="str">
        <f t="shared" si="53"/>
        <v>N</v>
      </c>
      <c r="X197" s="183">
        <f t="shared" si="54"/>
        <v>1</v>
      </c>
      <c r="Y197" s="62">
        <f t="shared" si="55"/>
        <v>9.5000000000000001E-2</v>
      </c>
      <c r="Z197" s="62">
        <f t="shared" si="56"/>
        <v>5.8929</v>
      </c>
      <c r="AA197" s="62">
        <f t="shared" si="57"/>
        <v>5.7979000000000003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8"/>
        <v>0835-17</v>
      </c>
      <c r="AE197" s="85" t="str">
        <f t="shared" si="59"/>
        <v>aws s3 cp s3://rtdc.mdm.uploadarchive.raw/RTDC4018/ "%USERPROFILE%\AppData\Local\Temp\OnboardLogs"\RTDC4018\2017-04-17 --exclude "*" --recursive --include "*20170417*" &amp; "%USERPROFILE%\Documents\GitHub\mrs-test-scripts\Headless Mode &amp; Sideloading\WalkAndUnGZ.bat" "%USERPROFILE%\AppData\Local\Temp\OnboardLogs"\RTDC4018\2017-04-17 &amp; aws s3 cp s3://rtdc.mdm.uploadarchive.raw/RTDC4018/ "%USERPROFILE%\AppData\Local\Temp\OnboardLogs"\RTDC4018\2017-04-18 --exclude "*" --recursive --include "*20170418*" &amp; "%USERPROFILE%\Documents\GitHub\mrs-test-scripts\Headless Mode &amp; Sideloading\WalkAndUnGZ.bat" "%USERPROFILE%\AppData\Local\Temp\OnboardLogs"\RTDC4018\2017-04-18</v>
      </c>
      <c r="AF197" s="82" t="str">
        <f t="shared" si="60"/>
        <v>"C:\Program Files (x86)\AstroGrep\AstroGrep.exe" /e /r /s /spath="%USERPROFILE%\AppData\Local\Temp\OnboardLogs" /stypes="app*4018*20170418*" /stext=" 00:.+((SYSTEM_STATE.+slice.+state.+changed )|(ment ac)|(multiple cpu faults)|(system.+state.+changed )|(\[timeout)|(PRM\|1\|D)|(kpr)|(kdp)|(\|lc)|(penalty))"</v>
      </c>
      <c r="AG197" s="1" t="str">
        <f t="shared" si="61"/>
        <v>NW</v>
      </c>
      <c r="AH197" s="86" t="str">
        <f t="shared" si="62"/>
        <v>"%USERPROFILE%\Documents\GitHub\eaglep3\Utilities\RefineRTDCRunTimes.py" --tripid 835-17 --locoid 4018 --swversion DE.1.0.9.0 --startMP 204:950 --initTime 2017-04-17T17:28:28 --startdatetime 2017-04-17T17:51:13 --delay 1 --endMP 300:58929 --enddatetime 2017-04-17T18:04:44 --enforcementcount 0 &gt;&gt;C:\Users\stu\Documents\GitHub\eaglep3-reporting\EC\2017-04-17-refined-times.txt</v>
      </c>
      <c r="AI197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{"issue":{"subject":"","project_id":79,"tracker_id":40,"status_id":1,"priority_id":2,"assigned_to_id":23,"start_date":"2017-04-17","description":"","custom_fields":[{"id":1,"name":"Subdivision","value":"NW"},{"id":4,"name":"Milepost","value":"5.8929"},{"id":17,"name":"Train ID","value":"835-17"},{"id":16,"name":"Locomotive ID","value":"4018"},{"id":130,"name":"Impact","value":""},{"id":150,"name":"Time of Event (Mountain Time)","value":"18:04:44"},{"id":151,"name":"Denver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64"/>
        <v>start /low /b %USERPROFILE%\Documents\GitHub\eaglep3\Utilities\DownloadLogsFromS3.py --loco 4018 --day 2017-04-17</v>
      </c>
      <c r="AN197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00:04:44"},{"id":29,"name":"Sharepoint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794</v>
      </c>
      <c r="B198" s="7">
        <v>4017</v>
      </c>
      <c r="C198" s="21" t="s">
        <v>213</v>
      </c>
      <c r="D198" s="21" t="s">
        <v>479</v>
      </c>
      <c r="E198" s="13">
        <v>42842.754131944443</v>
      </c>
      <c r="F198" s="13">
        <v>42842.755381944444</v>
      </c>
      <c r="G198" s="7">
        <v>1</v>
      </c>
      <c r="H198" s="21" t="s">
        <v>1009</v>
      </c>
      <c r="I198" s="13">
        <v>42842.767314814817</v>
      </c>
      <c r="J198" s="7">
        <v>0</v>
      </c>
      <c r="K198" s="97" t="str">
        <f t="shared" si="49"/>
        <v>4017/4018</v>
      </c>
      <c r="L198" s="21" t="str">
        <f>VLOOKUP(A198,'Trips&amp;Operators'!$C$1:$G$99999,5,FALSE)</f>
        <v>NEWELL JAMES</v>
      </c>
      <c r="M198" s="6">
        <f t="shared" si="50"/>
        <v>1.1932870373129845E-2</v>
      </c>
      <c r="N198" s="7">
        <f t="shared" si="68"/>
        <v>17.183333337306976</v>
      </c>
      <c r="O198" s="7"/>
      <c r="P198" s="7"/>
      <c r="Q198" s="22"/>
      <c r="R198" s="22"/>
      <c r="S198" s="31">
        <f t="shared" si="69"/>
        <v>1</v>
      </c>
      <c r="T198" s="46" t="str">
        <f t="shared" si="51"/>
        <v>Southbound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52"/>
        <v>https://d0f6bd738d7f1b3e5a7ca70fe4ff75f0.us-east-1.aws.found.io/app/kibana#/discover/Steve-Slow-Train-Analysis-(2080s-and-2083s)?_g=(refreshInterval:(display:Off,pause:!f,section:0,value:0),time:(from:'2017-04-17T17:05:57-0600',mode:absolute,to:'2017-04-17T19:24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8" s="183" t="str">
        <f t="shared" si="53"/>
        <v>N</v>
      </c>
      <c r="X198" s="183">
        <f t="shared" si="54"/>
        <v>1</v>
      </c>
      <c r="Y198" s="62">
        <f t="shared" si="55"/>
        <v>5.8611000000000004</v>
      </c>
      <c r="Z198" s="62">
        <f t="shared" si="56"/>
        <v>6.54E-2</v>
      </c>
      <c r="AA198" s="62">
        <f t="shared" si="57"/>
        <v>5.7957000000000001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8"/>
        <v>0836-17</v>
      </c>
      <c r="AE198" s="85" t="str">
        <f t="shared" si="59"/>
        <v>aws s3 cp s3://rtdc.mdm.uploadarchive.raw/RTDC4017/ "%USERPROFILE%\AppData\Local\Temp\OnboardLogs"\RTDC4017\2017-04-17 --exclude "*" --recursive --include "*20170417*" &amp; "%USERPROFILE%\Documents\GitHub\mrs-test-scripts\Headless Mode &amp; Sideloading\WalkAndUnGZ.bat" "%USERPROFILE%\AppData\Local\Temp\OnboardLogs"\RTDC4017\2017-04-17 &amp; aws s3 cp s3://rtdc.mdm.uploadarchive.raw/RTDC4017/ "%USERPROFILE%\AppData\Local\Temp\OnboardLogs"\RTDC4017\2017-04-18 --exclude "*" --recursive --include "*20170418*" &amp; "%USERPROFILE%\Documents\GitHub\mrs-test-scripts\Headless Mode &amp; Sideloading\WalkAndUnGZ.bat" "%USERPROFILE%\AppData\Local\Temp\OnboardLogs"\RTDC4017\2017-04-18</v>
      </c>
      <c r="AF198" s="82" t="str">
        <f t="shared" si="60"/>
        <v>"C:\Program Files (x86)\AstroGrep\AstroGrep.exe" /e /r /s /spath="%USERPROFILE%\AppData\Local\Temp\OnboardLogs" /stypes="app*4017*20170418*" /stext=" 00:.+((SYSTEM_STATE.+slice.+state.+changed )|(ment ac)|(multiple cpu faults)|(system.+state.+changed )|(\[timeout)|(PRM\|1\|D)|(kpr)|(kdp)|(\|lc)|(penalty))"</v>
      </c>
      <c r="AG198" s="1" t="str">
        <f t="shared" si="61"/>
        <v>NW</v>
      </c>
      <c r="AH198" s="86" t="str">
        <f t="shared" si="62"/>
        <v>"%USERPROFILE%\Documents\GitHub\eaglep3\Utilities\RefineRTDCRunTimes.py" --tripid 836-17 --locoid 4017 --swversion DE.1.0.9.0 --startMP 300:58611 --initTime 2017-04-17T18:05:57 --startdatetime 2017-04-17T18:07:45 --delay 1 --endMP 204:654 --enddatetime 2017-04-17T18:24:56 --enforcementcount 0 &gt;&gt;C:\Users\stu\Documents\GitHub\eaglep3-reporting\EC\2017-04-17-refined-times.txt</v>
      </c>
      <c r="AI198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{"issue":{"subject":"","project_id":79,"tracker_id":40,"status_id":1,"priority_id":2,"assigned_to_id":23,"start_date":"2017-04-17","description":"","custom_fields":[{"id":1,"name":"Subdivision","value":"NW"},{"id":4,"name":"Milepost","value":"0.0654"},{"id":17,"name":"Train ID","value":"836-17"},{"id":16,"name":"Locomotive ID","value":"4017"},{"id":130,"name":"Impact","value":""},{"id":150,"name":"Time of Event (Mountain Time)","value":"18:24:56"},{"id":151,"name":"Denver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64"/>
        <v>start /low /b %USERPROFILE%\Documents\GitHub\eaglep3\Utilities\DownloadLogsFromS3.py --loco 4017 --day 2017-04-17</v>
      </c>
      <c r="AN198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00:24:56"},{"id":29,"name":"Sharepoint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797</v>
      </c>
      <c r="B199" s="7">
        <v>4024</v>
      </c>
      <c r="C199" s="21" t="s">
        <v>213</v>
      </c>
      <c r="D199" s="21" t="s">
        <v>1010</v>
      </c>
      <c r="E199" s="13">
        <v>42842.762476851851</v>
      </c>
      <c r="F199" s="13">
        <v>42842.764745370368</v>
      </c>
      <c r="G199" s="7">
        <v>1</v>
      </c>
      <c r="H199" s="21" t="s">
        <v>1011</v>
      </c>
      <c r="I199" s="13">
        <v>42842.773761574077</v>
      </c>
      <c r="J199" s="7">
        <v>0</v>
      </c>
      <c r="K199" s="97" t="str">
        <f t="shared" si="49"/>
        <v>4023/4024</v>
      </c>
      <c r="L199" s="21" t="str">
        <f>VLOOKUP(A199,'Trips&amp;Operators'!$C$1:$G$99999,5,FALSE)</f>
        <v>LEVIN SCOTT</v>
      </c>
      <c r="M199" s="6">
        <f t="shared" si="50"/>
        <v>9.0162037085974589E-3</v>
      </c>
      <c r="N199" s="7">
        <f t="shared" si="68"/>
        <v>12.983333340380341</v>
      </c>
      <c r="O199" s="7"/>
      <c r="P199" s="7"/>
      <c r="Q199" s="22"/>
      <c r="R199" s="22"/>
      <c r="S199" s="31">
        <f t="shared" si="69"/>
        <v>1</v>
      </c>
      <c r="T199" s="46" t="str">
        <f t="shared" si="51"/>
        <v>NorthBound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52"/>
        <v>https://d0f6bd738d7f1b3e5a7ca70fe4ff75f0.us-east-1.aws.found.io/app/kibana#/discover/Steve-Slow-Train-Analysis-(2080s-and-2083s)?_g=(refreshInterval:(display:Off,pause:!f,section:0,value:0),time:(from:'2017-04-17T17:17:58-0600',mode:absolute,to:'2017-04-17T19:34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9" s="183" t="str">
        <f t="shared" si="53"/>
        <v>N</v>
      </c>
      <c r="X199" s="183">
        <f t="shared" si="54"/>
        <v>1</v>
      </c>
      <c r="Y199" s="62">
        <f t="shared" si="55"/>
        <v>9.1800000000000007E-2</v>
      </c>
      <c r="Z199" s="62">
        <f t="shared" si="56"/>
        <v>5.8956</v>
      </c>
      <c r="AA199" s="62">
        <f t="shared" si="57"/>
        <v>5.8037999999999998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8"/>
        <v>0837-17</v>
      </c>
      <c r="AE199" s="85" t="str">
        <f t="shared" si="59"/>
        <v>aws s3 cp s3://rtdc.mdm.uploadarchive.raw/RTDC4024/ "%USERPROFILE%\AppData\Local\Temp\OnboardLogs"\RTDC4024\2017-04-17 --exclude "*" --recursive --include "*20170417*" &amp; "%USERPROFILE%\Documents\GitHub\mrs-test-scripts\Headless Mode &amp; Sideloading\WalkAndUnGZ.bat" "%USERPROFILE%\AppData\Local\Temp\OnboardLogs"\RTDC4024\2017-04-17 &amp; aws s3 cp s3://rtdc.mdm.uploadarchive.raw/RTDC4024/ "%USERPROFILE%\AppData\Local\Temp\OnboardLogs"\RTDC4024\2017-04-18 --exclude "*" --recursive --include "*20170418*" &amp; "%USERPROFILE%\Documents\GitHub\mrs-test-scripts\Headless Mode &amp; Sideloading\WalkAndUnGZ.bat" "%USERPROFILE%\AppData\Local\Temp\OnboardLogs"\RTDC4024\2017-04-18</v>
      </c>
      <c r="AF199" s="82" t="str">
        <f t="shared" si="60"/>
        <v>"C:\Program Files (x86)\AstroGrep\AstroGrep.exe" /e /r /s /spath="%USERPROFILE%\AppData\Local\Temp\OnboardLogs" /stypes="app*4024*20170418*" /stext=" 00:.+((SYSTEM_STATE.+slice.+state.+changed )|(ment ac)|(multiple cpu faults)|(system.+state.+changed )|(\[timeout)|(PRM\|1\|D)|(kpr)|(kdp)|(\|lc)|(penalty))"</v>
      </c>
      <c r="AG199" s="1" t="str">
        <f t="shared" si="61"/>
        <v>NW</v>
      </c>
      <c r="AH199" s="86" t="str">
        <f t="shared" si="62"/>
        <v>"%USERPROFILE%\Documents\GitHub\eaglep3\Utilities\RefineRTDCRunTimes.py" --tripid 837-17 --locoid 4024 --swversion DE.1.0.9.0 --startMP 204:918 --initTime 2017-04-17T18:17:58 --startdatetime 2017-04-17T18:21:14 --delay 1 --endMP 300:58956 --enddatetime 2017-04-17T18:34:13 --enforcementcount 0 &gt;&gt;C:\Users\stu\Documents\GitHub\eaglep3-reporting\EC\2017-04-17-refined-times.txt</v>
      </c>
      <c r="AI199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{"issue":{"subject":"","project_id":79,"tracker_id":40,"status_id":1,"priority_id":2,"assigned_to_id":23,"start_date":"2017-04-17","description":"","custom_fields":[{"id":1,"name":"Subdivision","value":"NW"},{"id":4,"name":"Milepost","value":"5.8956"},{"id":17,"name":"Train ID","value":"837-17"},{"id":16,"name":"Locomotive ID","value":"4024"},{"id":130,"name":"Impact","value":""},{"id":150,"name":"Time of Event (Mountain Time)","value":"18:34:13"},{"id":151,"name":"Denver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64"/>
        <v>start /low /b %USERPROFILE%\Documents\GitHub\eaglep3\Utilities\DownloadLogsFromS3.py --loco 4024 --day 2017-04-17</v>
      </c>
      <c r="AN199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00:34:13"},{"id":29,"name":"Sharepoint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801</v>
      </c>
      <c r="B200" s="7">
        <v>4023</v>
      </c>
      <c r="C200" s="21" t="s">
        <v>213</v>
      </c>
      <c r="D200" s="21" t="s">
        <v>487</v>
      </c>
      <c r="E200" s="13">
        <v>42842.775069444448</v>
      </c>
      <c r="F200" s="13">
        <v>42842.776608796295</v>
      </c>
      <c r="G200" s="7">
        <v>1</v>
      </c>
      <c r="H200" s="21" t="s">
        <v>982</v>
      </c>
      <c r="I200" s="13">
        <v>42842.789490740739</v>
      </c>
      <c r="J200" s="7">
        <v>0</v>
      </c>
      <c r="K200" s="97" t="str">
        <f t="shared" si="49"/>
        <v>4023/4024</v>
      </c>
      <c r="L200" s="21" t="str">
        <f>VLOOKUP(A200,'Trips&amp;Operators'!$C$1:$G$99999,5,FALSE)</f>
        <v>LEVIN SCOTT</v>
      </c>
      <c r="M200" s="6">
        <f t="shared" si="50"/>
        <v>1.2881944443506654E-2</v>
      </c>
      <c r="N200" s="7">
        <f t="shared" si="68"/>
        <v>18.549999998649582</v>
      </c>
      <c r="O200" s="7"/>
      <c r="P200" s="7"/>
      <c r="Q200" s="22"/>
      <c r="R200" s="22"/>
      <c r="S200" s="31">
        <f t="shared" si="69"/>
        <v>1</v>
      </c>
      <c r="T200" s="46" t="str">
        <f t="shared" si="51"/>
        <v>Southbound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52"/>
        <v>https://d0f6bd738d7f1b3e5a7ca70fe4ff75f0.us-east-1.aws.found.io/app/kibana#/discover/Steve-Slow-Train-Analysis-(2080s-and-2083s)?_g=(refreshInterval:(display:Off,pause:!f,section:0,value:0),time:(from:'2017-04-17T17:36:06-0600',mode:absolute,to:'2017-04-17T19:56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0" s="183" t="str">
        <f t="shared" si="53"/>
        <v>N</v>
      </c>
      <c r="X200" s="183">
        <f t="shared" si="54"/>
        <v>1</v>
      </c>
      <c r="Y200" s="62">
        <f t="shared" si="55"/>
        <v>5.8630000000000004</v>
      </c>
      <c r="Z200" s="62">
        <f t="shared" si="56"/>
        <v>6.3500000000000001E-2</v>
      </c>
      <c r="AA200" s="62">
        <f t="shared" si="57"/>
        <v>5.7995000000000001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8"/>
        <v>0838-17</v>
      </c>
      <c r="AE200" s="85" t="str">
        <f t="shared" si="59"/>
        <v>aws s3 cp s3://rtdc.mdm.uploadarchive.raw/RTDC4023/ "%USERPROFILE%\AppData\Local\Temp\OnboardLogs"\RTDC4023\2017-04-17 --exclude "*" --recursive --include "*20170417*" &amp; "%USERPROFILE%\Documents\GitHub\mrs-test-scripts\Headless Mode &amp; Sideloading\WalkAndUnGZ.bat" "%USERPROFILE%\AppData\Local\Temp\OnboardLogs"\RTDC4023\2017-04-17 &amp; aws s3 cp s3://rtdc.mdm.uploadarchive.raw/RTDC4023/ "%USERPROFILE%\AppData\Local\Temp\OnboardLogs"\RTDC4023\2017-04-18 --exclude "*" --recursive --include "*20170418*" &amp; "%USERPROFILE%\Documents\GitHub\mrs-test-scripts\Headless Mode &amp; Sideloading\WalkAndUnGZ.bat" "%USERPROFILE%\AppData\Local\Temp\OnboardLogs"\RTDC4023\2017-04-18</v>
      </c>
      <c r="AF200" s="82" t="str">
        <f t="shared" si="60"/>
        <v>"C:\Program Files (x86)\AstroGrep\AstroGrep.exe" /e /r /s /spath="%USERPROFILE%\AppData\Local\Temp\OnboardLogs" /stypes="app*4023*20170418*" /stext=" 00:.+((SYSTEM_STATE.+slice.+state.+changed )|(ment ac)|(multiple cpu faults)|(system.+state.+changed )|(\[timeout)|(PRM\|1\|D)|(kpr)|(kdp)|(\|lc)|(penalty))"</v>
      </c>
      <c r="AG200" s="1" t="str">
        <f t="shared" si="61"/>
        <v>NW</v>
      </c>
      <c r="AH200" s="86" t="str">
        <f t="shared" si="62"/>
        <v>"%USERPROFILE%\Documents\GitHub\eaglep3\Utilities\RefineRTDCRunTimes.py" --tripid 838-17 --locoid 4023 --swversion DE.1.0.9.0 --startMP 300:58630 --initTime 2017-04-17T18:36:06 --startdatetime 2017-04-17T18:38:19 --delay 1 --endMP 204:635 --enddatetime 2017-04-17T18:56:52 --enforcementcount 0 &gt;&gt;C:\Users\stu\Documents\GitHub\eaglep3-reporting\EC\2017-04-17-refined-times.txt</v>
      </c>
      <c r="AI200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{"issue":{"subject":"","project_id":79,"tracker_id":40,"status_id":1,"priority_id":2,"assigned_to_id":23,"start_date":"2017-04-17","description":"","custom_fields":[{"id":1,"name":"Subdivision","value":"NW"},{"id":4,"name":"Milepost","value":"0.0635"},{"id":17,"name":"Train ID","value":"838-17"},{"id":16,"name":"Locomotive ID","value":"4023"},{"id":130,"name":"Impact","value":""},{"id":150,"name":"Time of Event (Mountain Time)","value":"18:56:52"},{"id":151,"name":"Denver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50" t="str">
        <f t="shared" si="64"/>
        <v>start /low /b %USERPROFILE%\Documents\GitHub\eaglep3\Utilities\DownloadLogsFromS3.py --loco 4023 --day 2017-04-17</v>
      </c>
      <c r="AN200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00:56:52"},{"id":29,"name":"Sharepoint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799</v>
      </c>
      <c r="B201" s="7">
        <v>4018</v>
      </c>
      <c r="C201" s="21" t="s">
        <v>213</v>
      </c>
      <c r="D201" s="21" t="s">
        <v>986</v>
      </c>
      <c r="E201" s="13">
        <v>42842.769861111112</v>
      </c>
      <c r="F201" s="13">
        <v>42842.785567129627</v>
      </c>
      <c r="G201" s="7">
        <v>1</v>
      </c>
      <c r="H201" s="21" t="s">
        <v>1004</v>
      </c>
      <c r="I201" s="13">
        <v>42842.79478009259</v>
      </c>
      <c r="J201" s="7">
        <v>0</v>
      </c>
      <c r="K201" s="97" t="str">
        <f t="shared" si="49"/>
        <v>4017/4018</v>
      </c>
      <c r="L201" s="21" t="str">
        <f>VLOOKUP(A201,'Trips&amp;Operators'!$C$1:$G$99999,5,FALSE)</f>
        <v>NEWELL JAMES</v>
      </c>
      <c r="M201" s="6">
        <f t="shared" si="50"/>
        <v>9.2129629629198462E-3</v>
      </c>
      <c r="N201" s="7">
        <f t="shared" si="68"/>
        <v>13.266666666604578</v>
      </c>
      <c r="O201" s="7"/>
      <c r="P201" s="7"/>
      <c r="Q201" s="22"/>
      <c r="R201" s="22"/>
      <c r="S201" s="31">
        <f t="shared" si="69"/>
        <v>1</v>
      </c>
      <c r="T201" s="46" t="str">
        <f t="shared" si="51"/>
        <v>NorthBound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52"/>
        <v>https://d0f6bd738d7f1b3e5a7ca70fe4ff75f0.us-east-1.aws.found.io/app/kibana#/discover/Steve-Slow-Train-Analysis-(2080s-and-2083s)?_g=(refreshInterval:(display:Off,pause:!f,section:0,value:0),time:(from:'2017-04-17T17:28:36-0600',mode:absolute,to:'2017-04-17T20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1" s="183" t="str">
        <f t="shared" si="53"/>
        <v>N</v>
      </c>
      <c r="X201" s="183">
        <f t="shared" si="54"/>
        <v>1</v>
      </c>
      <c r="Y201" s="62">
        <f t="shared" si="55"/>
        <v>9.5000000000000001E-2</v>
      </c>
      <c r="Z201" s="62">
        <f t="shared" si="56"/>
        <v>5.8935000000000004</v>
      </c>
      <c r="AA201" s="62">
        <f t="shared" si="57"/>
        <v>5.7985000000000007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8"/>
        <v>0839-17</v>
      </c>
      <c r="AE201" s="85" t="str">
        <f t="shared" si="59"/>
        <v>aws s3 cp s3://rtdc.mdm.uploadarchive.raw/RTDC4018/ "%USERPROFILE%\AppData\Local\Temp\OnboardLogs"\RTDC4018\2017-04-17 --exclude "*" --recursive --include "*20170417*" &amp; "%USERPROFILE%\Documents\GitHub\mrs-test-scripts\Headless Mode &amp; Sideloading\WalkAndUnGZ.bat" "%USERPROFILE%\AppData\Local\Temp\OnboardLogs"\RTDC4018\2017-04-17 &amp; aws s3 cp s3://rtdc.mdm.uploadarchive.raw/RTDC4018/ "%USERPROFILE%\AppData\Local\Temp\OnboardLogs"\RTDC4018\2017-04-18 --exclude "*" --recursive --include "*20170418*" &amp; "%USERPROFILE%\Documents\GitHub\mrs-test-scripts\Headless Mode &amp; Sideloading\WalkAndUnGZ.bat" "%USERPROFILE%\AppData\Local\Temp\OnboardLogs"\RTDC4018\2017-04-18</v>
      </c>
      <c r="AF201" s="82" t="str">
        <f t="shared" si="60"/>
        <v>"C:\Program Files (x86)\AstroGrep\AstroGrep.exe" /e /r /s /spath="%USERPROFILE%\AppData\Local\Temp\OnboardLogs" /stypes="app*4018*20170418*" /stext=" 01:.+((SYSTEM_STATE.+slice.+state.+changed )|(ment ac)|(multiple cpu faults)|(system.+state.+changed )|(\[timeout)|(PRM\|1\|D)|(kpr)|(kdp)|(\|lc)|(penalty))"</v>
      </c>
      <c r="AG201" s="1" t="str">
        <f t="shared" si="61"/>
        <v>NW</v>
      </c>
      <c r="AH201" s="86" t="str">
        <f t="shared" si="62"/>
        <v>"%USERPROFILE%\Documents\GitHub\eaglep3\Utilities\RefineRTDCRunTimes.py" --tripid 839-17 --locoid 4018 --swversion DE.1.0.9.0 --startMP 204:950 --initTime 2017-04-17T18:28:36 --startdatetime 2017-04-17T18:51:13 --delay 1 --endMP 300:58935 --enddatetime 2017-04-17T19:04:29 --enforcementcount 0 &gt;&gt;C:\Users\stu\Documents\GitHub\eaglep3-reporting\EC\2017-04-17-refined-times.txt</v>
      </c>
      <c r="AI201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{"issue":{"subject":"","project_id":79,"tracker_id":40,"status_id":1,"priority_id":2,"assigned_to_id":23,"start_date":"2017-04-17","description":"","custom_fields":[{"id":1,"name":"Subdivision","value":"NW"},{"id":4,"name":"Milepost","value":"5.8935"},{"id":17,"name":"Train ID","value":"839-17"},{"id":16,"name":"Locomotive ID","value":"4018"},{"id":130,"name":"Impact","value":""},{"id":150,"name":"Time of Event (Mountain Time)","value":"19:04:29"},{"id":151,"name":"Denver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64"/>
        <v>start /low /b %USERPROFILE%\Documents\GitHub\eaglep3\Utilities\DownloadLogsFromS3.py --loco 4018 --day 2017-04-17</v>
      </c>
      <c r="AN201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01:04:29"},{"id":29,"name":"Sharepoint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811</v>
      </c>
      <c r="B202" s="7">
        <v>4023</v>
      </c>
      <c r="C202" s="21" t="s">
        <v>213</v>
      </c>
      <c r="D202" s="21" t="s">
        <v>991</v>
      </c>
      <c r="E202" s="13">
        <v>42842.816377314812</v>
      </c>
      <c r="F202" s="13">
        <v>42842.817557870374</v>
      </c>
      <c r="G202" s="7">
        <v>1</v>
      </c>
      <c r="H202" s="21" t="s">
        <v>1009</v>
      </c>
      <c r="I202" s="13">
        <v>42842.831388888888</v>
      </c>
      <c r="J202" s="7">
        <v>0</v>
      </c>
      <c r="K202" s="97" t="str">
        <f t="shared" si="49"/>
        <v>4023/4024</v>
      </c>
      <c r="L202" s="21" t="str">
        <f>VLOOKUP(A202,'Trips&amp;Operators'!$C$1:$G$99999,5,FALSE)</f>
        <v>LEVIN SCOTT</v>
      </c>
      <c r="M202" s="6">
        <f t="shared" si="50"/>
        <v>1.3831018513883464E-2</v>
      </c>
      <c r="N202" s="7">
        <f t="shared" si="68"/>
        <v>19.916666659992188</v>
      </c>
      <c r="O202" s="7"/>
      <c r="P202" s="7"/>
      <c r="Q202" s="22"/>
      <c r="R202" s="22"/>
      <c r="S202" s="31">
        <f t="shared" si="69"/>
        <v>1</v>
      </c>
      <c r="T202" s="46" t="str">
        <f t="shared" si="51"/>
        <v>Southbound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52"/>
        <v>https://d0f6bd738d7f1b3e5a7ca70fe4ff75f0.us-east-1.aws.found.io/app/kibana#/discover/Steve-Slow-Train-Analysis-(2080s-and-2083s)?_g=(refreshInterval:(display:Off,pause:!f,section:0,value:0),time:(from:'2017-04-17T18:35:35-0600',mode:absolute,to:'2017-04-17T20:57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2" s="183" t="str">
        <f t="shared" si="53"/>
        <v>N</v>
      </c>
      <c r="X202" s="183">
        <f t="shared" si="54"/>
        <v>1</v>
      </c>
      <c r="Y202" s="62">
        <f t="shared" si="55"/>
        <v>5.8638000000000003</v>
      </c>
      <c r="Z202" s="62">
        <f t="shared" si="56"/>
        <v>6.54E-2</v>
      </c>
      <c r="AA202" s="62">
        <f t="shared" si="57"/>
        <v>5.7984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8"/>
        <v>0840-17</v>
      </c>
      <c r="AE202" s="85" t="str">
        <f t="shared" si="59"/>
        <v>aws s3 cp s3://rtdc.mdm.uploadarchive.raw/RTDC4023/ "%USERPROFILE%\AppData\Local\Temp\OnboardLogs"\RTDC4023\2017-04-17 --exclude "*" --recursive --include "*20170417*" &amp; "%USERPROFILE%\Documents\GitHub\mrs-test-scripts\Headless Mode &amp; Sideloading\WalkAndUnGZ.bat" "%USERPROFILE%\AppData\Local\Temp\OnboardLogs"\RTDC4023\2017-04-17 &amp; aws s3 cp s3://rtdc.mdm.uploadarchive.raw/RTDC4023/ "%USERPROFILE%\AppData\Local\Temp\OnboardLogs"\RTDC4023\2017-04-18 --exclude "*" --recursive --include "*20170418*" &amp; "%USERPROFILE%\Documents\GitHub\mrs-test-scripts\Headless Mode &amp; Sideloading\WalkAndUnGZ.bat" "%USERPROFILE%\AppData\Local\Temp\OnboardLogs"\RTDC4023\2017-04-18</v>
      </c>
      <c r="AF202" s="82" t="str">
        <f t="shared" si="60"/>
        <v>"C:\Program Files (x86)\AstroGrep\AstroGrep.exe" /e /r /s /spath="%USERPROFILE%\AppData\Local\Temp\OnboardLogs" /stypes="app*4023*20170418*" /stext=" 01:.+((SYSTEM_STATE.+slice.+state.+changed )|(ment ac)|(multiple cpu faults)|(system.+state.+changed )|(\[timeout)|(PRM\|1\|D)|(kpr)|(kdp)|(\|lc)|(penalty))"</v>
      </c>
      <c r="AG202" s="1" t="str">
        <f t="shared" si="61"/>
        <v>NW</v>
      </c>
      <c r="AH202" s="86" t="str">
        <f t="shared" si="62"/>
        <v>"%USERPROFILE%\Documents\GitHub\eaglep3\Utilities\RefineRTDCRunTimes.py" --tripid 840-17 --locoid 4023 --swversion DE.1.0.9.0 --startMP 300:58638 --initTime 2017-04-17T19:35:35 --startdatetime 2017-04-17T19:37:17 --delay 1 --endMP 204:654 --enddatetime 2017-04-17T19:57:12 --enforcementcount 0 &gt;&gt;C:\Users\stu\Documents\GitHub\eaglep3-reporting\EC\2017-04-17-refined-times.txt</v>
      </c>
      <c r="AI202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{"issue":{"subject":"","project_id":79,"tracker_id":40,"status_id":1,"priority_id":2,"assigned_to_id":23,"start_date":"2017-04-17","description":"","custom_fields":[{"id":1,"name":"Subdivision","value":"NW"},{"id":4,"name":"Milepost","value":"0.0654"},{"id":17,"name":"Train ID","value":"840-17"},{"id":16,"name":"Locomotive ID","value":"4023"},{"id":130,"name":"Impact","value":""},{"id":150,"name":"Time of Event (Mountain Time)","value":"19:57:12"},{"id":151,"name":"Denver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64"/>
        <v>start /low /b %USERPROFILE%\Documents\GitHub\eaglep3\Utilities\DownloadLogsFromS3.py --loco 4023 --day 2017-04-17</v>
      </c>
      <c r="AN202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01:57:12"},{"id":29,"name":"Sharepoint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s="20" customFormat="1" x14ac:dyDescent="0.25">
      <c r="A203" s="33" t="s">
        <v>809</v>
      </c>
      <c r="B203" s="7">
        <v>4024</v>
      </c>
      <c r="C203" s="21" t="s">
        <v>213</v>
      </c>
      <c r="D203" s="21" t="s">
        <v>1012</v>
      </c>
      <c r="E203" s="13">
        <v>42842.799687500003</v>
      </c>
      <c r="F203" s="13">
        <v>42842.80641203704</v>
      </c>
      <c r="G203" s="7">
        <v>1</v>
      </c>
      <c r="H203" s="21" t="s">
        <v>1013</v>
      </c>
      <c r="I203" s="13">
        <v>42842.815162037034</v>
      </c>
      <c r="J203" s="7">
        <v>0</v>
      </c>
      <c r="K203" s="97" t="str">
        <f t="shared" si="49"/>
        <v>4023/4024</v>
      </c>
      <c r="L203" s="21" t="str">
        <f>VLOOKUP(A203,'Trips&amp;Operators'!$C$1:$G$99999,5,FALSE)</f>
        <v>LEVIN SCOTT</v>
      </c>
      <c r="M203" s="6">
        <f t="shared" si="50"/>
        <v>8.7499999935971573E-3</v>
      </c>
      <c r="N203" s="7">
        <f t="shared" si="68"/>
        <v>12.599999990779907</v>
      </c>
      <c r="O203" s="7"/>
      <c r="P203" s="7"/>
      <c r="Q203" s="22"/>
      <c r="R203" s="22"/>
      <c r="S203" s="31">
        <f t="shared" si="69"/>
        <v>1</v>
      </c>
      <c r="T203" s="46" t="str">
        <f t="shared" si="51"/>
        <v>NorthBound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52"/>
        <v>https://d0f6bd738d7f1b3e5a7ca70fe4ff75f0.us-east-1.aws.found.io/app/kibana#/discover/Steve-Slow-Train-Analysis-(2080s-and-2083s)?_g=(refreshInterval:(display:Off,pause:!f,section:0,value:0),time:(from:'2017-04-17T18:11:33-0600',mode:absolute,to:'2017-04-17T20:33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3" s="183" t="str">
        <f t="shared" si="53"/>
        <v>N</v>
      </c>
      <c r="X203" s="183">
        <f t="shared" si="54"/>
        <v>1</v>
      </c>
      <c r="Y203" s="62">
        <f t="shared" si="55"/>
        <v>9.1600000000000001E-2</v>
      </c>
      <c r="Z203" s="62">
        <f t="shared" si="56"/>
        <v>5.8944000000000001</v>
      </c>
      <c r="AA203" s="62">
        <f t="shared" si="57"/>
        <v>5.8028000000000004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8"/>
        <v>0841-17</v>
      </c>
      <c r="AE203" s="85" t="str">
        <f t="shared" si="59"/>
        <v>aws s3 cp s3://rtdc.mdm.uploadarchive.raw/RTDC4024/ "%USERPROFILE%\AppData\Local\Temp\OnboardLogs"\RTDC4024\2017-04-17 --exclude "*" --recursive --include "*20170417*" &amp; "%USERPROFILE%\Documents\GitHub\mrs-test-scripts\Headless Mode &amp; Sideloading\WalkAndUnGZ.bat" "%USERPROFILE%\AppData\Local\Temp\OnboardLogs"\RTDC4024\2017-04-17 &amp; aws s3 cp s3://rtdc.mdm.uploadarchive.raw/RTDC4024/ "%USERPROFILE%\AppData\Local\Temp\OnboardLogs"\RTDC4024\2017-04-18 --exclude "*" --recursive --include "*20170418*" &amp; "%USERPROFILE%\Documents\GitHub\mrs-test-scripts\Headless Mode &amp; Sideloading\WalkAndUnGZ.bat" "%USERPROFILE%\AppData\Local\Temp\OnboardLogs"\RTDC4024\2017-04-18</v>
      </c>
      <c r="AF203" s="82" t="str">
        <f t="shared" si="60"/>
        <v>"C:\Program Files (x86)\AstroGrep\AstroGrep.exe" /e /r /s /spath="%USERPROFILE%\AppData\Local\Temp\OnboardLogs" /stypes="app*4024*20170418*" /stext=" 01:.+((SYSTEM_STATE.+slice.+state.+changed )|(ment ac)|(multiple cpu faults)|(system.+state.+changed )|(\[timeout)|(PRM\|1\|D)|(kpr)|(kdp)|(\|lc)|(penalty))"</v>
      </c>
      <c r="AG203" s="1" t="str">
        <f t="shared" si="61"/>
        <v>NW</v>
      </c>
      <c r="AH203" s="86" t="str">
        <f t="shared" si="62"/>
        <v>"%USERPROFILE%\Documents\GitHub\eaglep3\Utilities\RefineRTDCRunTimes.py" --tripid 841-17 --locoid 4024 --swversion DE.1.0.9.0 --startMP 204:916 --initTime 2017-04-17T19:11:33 --startdatetime 2017-04-17T19:21:14 --delay 1 --endMP 300:58944 --enddatetime 2017-04-17T19:33:50 --enforcementcount 0 &gt;&gt;C:\Users\stu\Documents\GitHub\eaglep3-reporting\EC\2017-04-17-refined-times.txt</v>
      </c>
      <c r="AI203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{"issue":{"subject":"","project_id":79,"tracker_id":40,"status_id":1,"priority_id":2,"assigned_to_id":23,"start_date":"2017-04-17","description":"","custom_fields":[{"id":1,"name":"Subdivision","value":"NW"},{"id":4,"name":"Milepost","value":"5.8944"},{"id":17,"name":"Train ID","value":"841-17"},{"id":16,"name":"Locomotive ID","value":"4024"},{"id":130,"name":"Impact","value":""},{"id":150,"name":"Time of Event (Mountain Time)","value":"19:33:50"},{"id":151,"name":"Denver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8"/>
      <c r="AL203" s="48"/>
      <c r="AM203" s="150" t="str">
        <f t="shared" si="64"/>
        <v>start /low /b %USERPROFILE%\Documents\GitHub\eaglep3\Utilities\DownloadLogsFromS3.py --loco 4024 --day 2017-04-17</v>
      </c>
      <c r="AN203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01:33:50"},{"id":29,"name":"Sharepoint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633</v>
      </c>
      <c r="B204" s="7">
        <v>4023</v>
      </c>
      <c r="C204" s="21" t="s">
        <v>213</v>
      </c>
      <c r="D204" s="21" t="s">
        <v>1014</v>
      </c>
      <c r="E204" s="13">
        <v>42842.858622685184</v>
      </c>
      <c r="F204" s="13">
        <v>42842.859930555554</v>
      </c>
      <c r="G204" s="7">
        <v>1</v>
      </c>
      <c r="H204" s="21" t="s">
        <v>1015</v>
      </c>
      <c r="I204" s="13">
        <v>42842.87122685185</v>
      </c>
      <c r="J204" s="7">
        <v>0</v>
      </c>
      <c r="K204" s="97" t="str">
        <f t="shared" si="49"/>
        <v>4023/4024</v>
      </c>
      <c r="L204" s="21" t="str">
        <f>VLOOKUP(A204,'Trips&amp;Operators'!$C$1:$G$99999,5,FALSE)</f>
        <v>LEVIN SCOTT</v>
      </c>
      <c r="M204" s="6">
        <f t="shared" si="50"/>
        <v>1.1296296295768116E-2</v>
      </c>
      <c r="N204" s="7">
        <f t="shared" si="68"/>
        <v>16.266666665906087</v>
      </c>
      <c r="O204" s="7"/>
      <c r="P204" s="7"/>
      <c r="Q204" s="22"/>
      <c r="R204" s="22"/>
      <c r="S204" s="31">
        <f t="shared" si="69"/>
        <v>1</v>
      </c>
      <c r="T204" s="46" t="str">
        <f t="shared" si="51"/>
        <v>Southbound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 t="shared" si="52"/>
        <v>https://d0f6bd738d7f1b3e5a7ca70fe4ff75f0.us-east-1.aws.found.io/app/kibana#/discover/Steve-Slow-Train-Analysis-(2080s-and-2083s)?_g=(refreshInterval:(display:Off,pause:!f,section:0,value:0),time:(from:'2017-04-17T19:36:25-0600',mode:absolute,to:'2017-04-17T21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4" s="183" t="str">
        <f t="shared" si="53"/>
        <v>N</v>
      </c>
      <c r="X204" s="183">
        <f t="shared" si="54"/>
        <v>1</v>
      </c>
      <c r="Y204" s="62">
        <f t="shared" si="55"/>
        <v>5.8639999999999999</v>
      </c>
      <c r="Z204" s="62">
        <f t="shared" si="56"/>
        <v>6.7100000000000007E-2</v>
      </c>
      <c r="AA204" s="62">
        <f t="shared" si="57"/>
        <v>5.7968999999999999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8"/>
        <v>0842-17</v>
      </c>
      <c r="AE204" s="85" t="str">
        <f t="shared" si="59"/>
        <v>aws s3 cp s3://rtdc.mdm.uploadarchive.raw/RTDC4023/ "%USERPROFILE%\AppData\Local\Temp\OnboardLogs"\RTDC4023\2017-04-17 --exclude "*" --recursive --include "*20170417*" &amp; "%USERPROFILE%\Documents\GitHub\mrs-test-scripts\Headless Mode &amp; Sideloading\WalkAndUnGZ.bat" "%USERPROFILE%\AppData\Local\Temp\OnboardLogs"\RTDC4023\2017-04-17 &amp; aws s3 cp s3://rtdc.mdm.uploadarchive.raw/RTDC4023/ "%USERPROFILE%\AppData\Local\Temp\OnboardLogs"\RTDC4023\2017-04-18 --exclude "*" --recursive --include "*20170418*" &amp; "%USERPROFILE%\Documents\GitHub\mrs-test-scripts\Headless Mode &amp; Sideloading\WalkAndUnGZ.bat" "%USERPROFILE%\AppData\Local\Temp\OnboardLogs"\RTDC4023\2017-04-18</v>
      </c>
      <c r="AF204" s="82" t="str">
        <f t="shared" si="60"/>
        <v>"C:\Program Files (x86)\AstroGrep\AstroGrep.exe" /e /r /s /spath="%USERPROFILE%\AppData\Local\Temp\OnboardLogs" /stypes="app*4023*20170418*" /stext=" 02:.+((SYSTEM_STATE.+slice.+state.+changed )|(ment ac)|(multiple cpu faults)|(system.+state.+changed )|(\[timeout)|(PRM\|1\|D)|(kpr)|(kdp)|(\|lc)|(penalty))"</v>
      </c>
      <c r="AG204" s="1" t="str">
        <f t="shared" si="61"/>
        <v>NW</v>
      </c>
      <c r="AH204" s="86" t="str">
        <f t="shared" si="62"/>
        <v>"%USERPROFILE%\Documents\GitHub\eaglep3\Utilities\RefineRTDCRunTimes.py" --tripid 842-17 --locoid 4023 --swversion DE.1.0.9.0 --startMP 300:58640 --initTime 2017-04-17T20:36:25 --startdatetime 2017-04-17T20:38:18 --delay 1 --endMP 204:671 --enddatetime 2017-04-17T20:54:34 --enforcementcount 0 &gt;&gt;C:\Users\stu\Documents\GitHub\eaglep3-reporting\EC\2017-04-17-refined-times.txt</v>
      </c>
      <c r="AI204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{"issue":{"subject":"","project_id":79,"tracker_id":40,"status_id":1,"priority_id":2,"assigned_to_id":23,"start_date":"2017-04-17","description":"","custom_fields":[{"id":1,"name":"Subdivision","value":"NW"},{"id":4,"name":"Milepost","value":"0.0671"},{"id":17,"name":"Train ID","value":"842-17"},{"id":16,"name":"Locomotive ID","value":"4023"},{"id":130,"name":"Impact","value":""},{"id":150,"name":"Time of Event (Mountain Time)","value":"20:54:34"},{"id":151,"name":"Denver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si="64"/>
        <v>start /low /b %USERPROFILE%\Documents\GitHub\eaglep3\Utilities\DownloadLogsFromS3.py --loco 4023 --day 2017-04-17</v>
      </c>
      <c r="AN204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02:54:34"},{"id":29,"name":"Sharepoint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815</v>
      </c>
      <c r="B205" s="7">
        <v>4024</v>
      </c>
      <c r="C205" s="21" t="s">
        <v>213</v>
      </c>
      <c r="D205" s="21" t="s">
        <v>1016</v>
      </c>
      <c r="E205" s="13">
        <v>42842.845717592594</v>
      </c>
      <c r="F205" s="13">
        <v>42842.848067129627</v>
      </c>
      <c r="G205" s="7">
        <v>1</v>
      </c>
      <c r="H205" s="21" t="s">
        <v>977</v>
      </c>
      <c r="I205" s="13">
        <v>42842.85696759259</v>
      </c>
      <c r="J205" s="7">
        <v>0</v>
      </c>
      <c r="K205" s="97" t="str">
        <f t="shared" ref="K205:K242" si="70">IF(ISEVEN(B205),(B205-1)&amp;"/"&amp;B205,B205&amp;"/"&amp;(B205+1))</f>
        <v>4023/4024</v>
      </c>
      <c r="L205" s="21" t="str">
        <f>VLOOKUP(A205,'Trips&amp;Operators'!$C$1:$G$99999,5,FALSE)</f>
        <v>LEVIN SCOTT</v>
      </c>
      <c r="M205" s="6">
        <f t="shared" ref="M205:M242" si="71">I205-F205</f>
        <v>8.9004629626288079E-3</v>
      </c>
      <c r="N205" s="7">
        <f t="shared" si="68"/>
        <v>12.816666666185483</v>
      </c>
      <c r="O205" s="7"/>
      <c r="P205" s="7"/>
      <c r="Q205" s="22"/>
      <c r="R205" s="22"/>
      <c r="S205" s="31">
        <f t="shared" si="69"/>
        <v>1</v>
      </c>
      <c r="T205" s="46" t="str">
        <f t="shared" ref="T205:T242" si="72">IF(ISEVEN(LEFT(AD205,4)),"Southbound","NorthBound")</f>
        <v>NorthBound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 t="shared" ref="V205:V242" si="7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-17T19:17:50-0600',mode:absolute,to:'2017-04-17T21:34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5" s="183" t="str">
        <f t="shared" ref="W205:W242" si="74">IF(AA205&lt;IF(AG205="EC",23,5.65),"Y","N")</f>
        <v>N</v>
      </c>
      <c r="X205" s="183">
        <f t="shared" ref="X205:X242" si="75">VALUE(LEFT(AD205,4))-VALUE(LEFT(AD204,4))</f>
        <v>1</v>
      </c>
      <c r="Y205" s="62">
        <f t="shared" ref="Y205:Y242" si="76">RIGHT(D205,LEN(D205)-4)/10000</f>
        <v>9.5299999999999996E-2</v>
      </c>
      <c r="Z205" s="62">
        <f t="shared" ref="Z205:Z242" si="77">RIGHT(H205,LEN(H205)-4)/10000</f>
        <v>5.8958000000000004</v>
      </c>
      <c r="AA205" s="62">
        <f t="shared" ref="AA205:AA242" si="78">ABS(Z205-Y205)</f>
        <v>5.8005000000000004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42" si="79">IF(LEN(A205)=6,"0"&amp;A205,A205)</f>
        <v>0843-17</v>
      </c>
      <c r="AE205" s="85" t="str">
        <f t="shared" ref="AE205:AE242" si="8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s3://rtdc.mdm.uploadarchive.raw/RTDC4024/ "%USERPROFILE%\AppData\Local\Temp\OnboardLogs"\RTDC4024\2017-04-17 --exclude "*" --recursive --include "*20170417*" &amp; "%USERPROFILE%\Documents\GitHub\mrs-test-scripts\Headless Mode &amp; Sideloading\WalkAndUnGZ.bat" "%USERPROFILE%\AppData\Local\Temp\OnboardLogs"\RTDC4024\2017-04-17 &amp; aws s3 cp s3://rtdc.mdm.uploadarchive.raw/RTDC4024/ "%USERPROFILE%\AppData\Local\Temp\OnboardLogs"\RTDC4024\2017-04-18 --exclude "*" --recursive --include "*20170418*" &amp; "%USERPROFILE%\Documents\GitHub\mrs-test-scripts\Headless Mode &amp; Sideloading\WalkAndUnGZ.bat" "%USERPROFILE%\AppData\Local\Temp\OnboardLogs"\RTDC4024\2017-04-18</v>
      </c>
      <c r="AF205" s="82" t="str">
        <f t="shared" ref="AF205:AF242" si="81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/stypes="app*4024*20170418*" /stext=" 02:.+((SYSTEM_STATE.+slice.+state.+changed )|(ment ac)|(multiple cpu faults)|(system.+state.+changed )|(\[timeout)|(PRM\|1\|D)|(kpr)|(kdp)|(\|lc)|(penalty))"</v>
      </c>
      <c r="AG205" s="1" t="str">
        <f t="shared" ref="AG205:AG242" si="82">IFERROR(IF(VALUE(LEFT(AD205,2))&lt;=2,"EC",IF(OR(VALUE(LEFT(AD205,2))=8,VALUE(LEFT(AD205,2))=18),"NW","Other")),"Other")</f>
        <v>NW</v>
      </c>
      <c r="AH205" s="86" t="str">
        <f t="shared" si="62"/>
        <v>"%USERPROFILE%\Documents\GitHub\eaglep3\Utilities\RefineRTDCRunTimes.py" --tripid 843-17 --locoid 4024 --swversion DE.1.0.9.0 --startMP 204:953 --initTime 2017-04-17T20:17:50 --startdatetime 2017-04-17T20:21:13 --delay 1 --endMP 300:58958 --enddatetime 2017-04-17T20:34:02 --enforcementcount 0 &gt;&gt;C:\Users\stu\Documents\GitHub\eaglep3-reporting\EC\2017-04-17-refined-times.txt</v>
      </c>
      <c r="AI205" s="104" t="str">
        <f t="shared" si="63"/>
        <v>echo {"issue":{"subject":"","project_id":79,"tracker_id":40,"status_id":1,"priority_id":2,"assigned_to_id":23,"start_date":"2017-04-17","description":"","custom_fields":[{"id":1,"name":"Subdivision","value":"NW"},{"id":4,"name":"Milepost","value":"5.8958"},{"id":17,"name":"Train ID","value":"843-17"},{"id":16,"name":"Locomotive ID","value":"4024"},{"id":130,"name":"Impact","value":""},{"id":150,"name":"Time of Event (Mountain Time)","value":"20:34:02"},{"id":151,"name":"Denver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50" t="str">
        <f t="shared" si="64"/>
        <v>start /low /b %USERPROFILE%\Documents\GitHub\eaglep3\Utilities\DownloadLogsFromS3.py --loco 4024 --day 2017-04-17</v>
      </c>
      <c r="AN205" s="159" t="str">
        <f t="shared" si="65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02:34:02"},{"id":29,"name":"Sharepoint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822</v>
      </c>
      <c r="B206" s="7">
        <v>4023</v>
      </c>
      <c r="C206" s="21" t="s">
        <v>213</v>
      </c>
      <c r="D206" s="21" t="s">
        <v>538</v>
      </c>
      <c r="E206" s="13">
        <v>42842.899780092594</v>
      </c>
      <c r="F206" s="13">
        <v>42842.901423611111</v>
      </c>
      <c r="G206" s="7">
        <v>1</v>
      </c>
      <c r="H206" s="21" t="s">
        <v>1017</v>
      </c>
      <c r="I206" s="13">
        <v>42842.912905092591</v>
      </c>
      <c r="J206" s="7">
        <v>0</v>
      </c>
      <c r="K206" s="97" t="str">
        <f t="shared" si="70"/>
        <v>4023/4024</v>
      </c>
      <c r="L206" s="21" t="str">
        <f>VLOOKUP(A206,'Trips&amp;Operators'!$C$1:$G$99999,5,FALSE)</f>
        <v>NEWELL JAMES</v>
      </c>
      <c r="M206" s="6">
        <f t="shared" si="71"/>
        <v>1.1481481480586808E-2</v>
      </c>
      <c r="N206" s="7">
        <f t="shared" si="68"/>
        <v>16.533333332045004</v>
      </c>
      <c r="O206" s="7"/>
      <c r="P206" s="7"/>
      <c r="Q206" s="22"/>
      <c r="R206" s="22"/>
      <c r="S206" s="31">
        <f t="shared" si="69"/>
        <v>1</v>
      </c>
      <c r="T206" s="46" t="str">
        <f t="shared" si="72"/>
        <v>Southbound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 t="shared" si="73"/>
        <v>https://d0f6bd738d7f1b3e5a7ca70fe4ff75f0.us-east-1.aws.found.io/app/kibana#/discover/Steve-Slow-Train-Analysis-(2080s-and-2083s)?_g=(refreshInterval:(display:Off,pause:!f,section:0,value:0),time:(from:'2017-04-17T20:35:41-0600',mode:absolute,to:'2017-04-17T22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6" s="183" t="str">
        <f t="shared" si="74"/>
        <v>N</v>
      </c>
      <c r="X206" s="183">
        <f t="shared" si="75"/>
        <v>1</v>
      </c>
      <c r="Y206" s="62">
        <f t="shared" si="76"/>
        <v>5.8623000000000003</v>
      </c>
      <c r="Z206" s="62">
        <f t="shared" si="77"/>
        <v>6.7500000000000004E-2</v>
      </c>
      <c r="AA206" s="62">
        <f t="shared" si="78"/>
        <v>5.7948000000000004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79"/>
        <v>0844-17</v>
      </c>
      <c r="AE206" s="85" t="str">
        <f t="shared" si="80"/>
        <v>aws s3 cp s3://rtdc.mdm.uploadarchive.raw/RTDC4023/ "%USERPROFILE%\AppData\Local\Temp\OnboardLogs"\RTDC4023\2017-04-17 --exclude "*" --recursive --include "*20170417*" &amp; "%USERPROFILE%\Documents\GitHub\mrs-test-scripts\Headless Mode &amp; Sideloading\WalkAndUnGZ.bat" "%USERPROFILE%\AppData\Local\Temp\OnboardLogs"\RTDC4023\2017-04-17 &amp; aws s3 cp s3://rtdc.mdm.uploadarchive.raw/RTDC4023/ "%USERPROFILE%\AppData\Local\Temp\OnboardLogs"\RTDC4023\2017-04-18 --exclude "*" --recursive --include "*20170418*" &amp; "%USERPROFILE%\Documents\GitHub\mrs-test-scripts\Headless Mode &amp; Sideloading\WalkAndUnGZ.bat" "%USERPROFILE%\AppData\Local\Temp\OnboardLogs"\RTDC4023\2017-04-18</v>
      </c>
      <c r="AF206" s="82" t="str">
        <f t="shared" si="81"/>
        <v>"C:\Program Files (x86)\AstroGrep\AstroGrep.exe" /e /r /s /spath="%USERPROFILE%\AppData\Local\Temp\OnboardLogs" /stypes="app*4023*20170418*" /stext=" 03:.+((SYSTEM_STATE.+slice.+state.+changed )|(ment ac)|(multiple cpu faults)|(system.+state.+changed )|(\[timeout)|(PRM\|1\|D)|(kpr)|(kdp)|(\|lc)|(penalty))"</v>
      </c>
      <c r="AG206" s="1" t="str">
        <f t="shared" si="82"/>
        <v>NW</v>
      </c>
      <c r="AH206" s="86" t="str">
        <f t="shared" ref="AH206:AH242" si="83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844-17 --locoid 4023 --swversion DE.1.0.9.0 --startMP 300:58623 --initTime 2017-04-17T21:35:41 --startdatetime 2017-04-17T21:38:03 --delay 1 --endMP 204:675 --enddatetime 2017-04-17T21:54:35 --enforcementcount 0 &gt;&gt;C:\Users\stu\Documents\GitHub\eaglep3-reporting\EC\2017-04-17-refined-times.txt</v>
      </c>
      <c r="AI206" s="104" t="str">
        <f t="shared" ref="AI206:AI242" si="84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{"issue":{"subject":"","project_id":79,"tracker_id":40,"status_id":1,"priority_id":2,"assigned_to_id":23,"start_date":"2017-04-17","description":"","custom_fields":[{"id":1,"name":"Subdivision","value":"NW"},{"id":4,"name":"Milepost","value":"0.0675"},{"id":17,"name":"Train ID","value":"844-17"},{"id":16,"name":"Locomotive ID","value":"4023"},{"id":130,"name":"Impact","value":""},{"id":150,"name":"Time of Event (Mountain Time)","value":"21:54:35"},{"id":151,"name":"Denver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ref="AM206:AM242" si="85">"start /low /b "&amp;dls3logs&amp;" --loco "&amp;B206&amp;" --day "&amp;TEXT(F206,"YYYY-MM-DD")</f>
        <v>start /low /b %USERPROFILE%\Documents\GitHub\eaglep3\Utilities\DownloadLogsFromS3.py --loco 4023 --day 2017-04-17</v>
      </c>
      <c r="AN206" s="159" t="str">
        <f t="shared" ref="AN206:AN242" si="86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03:54:35"},{"id":29,"name":"Sharepoint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818</v>
      </c>
      <c r="B207" s="7">
        <v>4024</v>
      </c>
      <c r="C207" s="21" t="s">
        <v>213</v>
      </c>
      <c r="D207" s="21" t="s">
        <v>1003</v>
      </c>
      <c r="E207" s="13">
        <v>42842.874166666668</v>
      </c>
      <c r="F207" s="13">
        <v>42842.889733796299</v>
      </c>
      <c r="G207" s="7">
        <v>2</v>
      </c>
      <c r="H207" s="21" t="s">
        <v>1008</v>
      </c>
      <c r="I207" s="13">
        <v>42842.898680555554</v>
      </c>
      <c r="J207" s="7">
        <v>0</v>
      </c>
      <c r="K207" s="97" t="str">
        <f t="shared" si="70"/>
        <v>4023/4024</v>
      </c>
      <c r="L207" s="21" t="str">
        <f>VLOOKUP(A207,'Trips&amp;Operators'!$C$1:$G$99999,5,FALSE)</f>
        <v>NEWELL JAMES</v>
      </c>
      <c r="M207" s="6">
        <f t="shared" si="71"/>
        <v>8.9467592551955022E-3</v>
      </c>
      <c r="N207" s="7">
        <f t="shared" si="68"/>
        <v>12.883333327481523</v>
      </c>
      <c r="O207" s="7"/>
      <c r="P207" s="7"/>
      <c r="Q207" s="22"/>
      <c r="R207" s="22"/>
      <c r="S207" s="31">
        <f t="shared" si="69"/>
        <v>1</v>
      </c>
      <c r="T207" s="46" t="str">
        <f t="shared" si="72"/>
        <v>NorthBound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 t="shared" si="73"/>
        <v>https://d0f6bd738d7f1b3e5a7ca70fe4ff75f0.us-east-1.aws.found.io/app/kibana#/discover/Steve-Slow-Train-Analysis-(2080s-and-2083s)?_g=(refreshInterval:(display:Off,pause:!f,section:0,value:0),time:(from:'2017-04-17T19:58:48-0600',mode:absolute,to:'2017-04-17T22:34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7" s="183" t="str">
        <f t="shared" si="74"/>
        <v>N</v>
      </c>
      <c r="X207" s="183">
        <f t="shared" si="75"/>
        <v>1</v>
      </c>
      <c r="Y207" s="62">
        <f t="shared" si="76"/>
        <v>9.4299999999999995E-2</v>
      </c>
      <c r="Z207" s="62">
        <f t="shared" si="77"/>
        <v>5.8929</v>
      </c>
      <c r="AA207" s="62">
        <f t="shared" si="78"/>
        <v>5.7986000000000004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79"/>
        <v>0845-17</v>
      </c>
      <c r="AE207" s="85" t="str">
        <f t="shared" si="80"/>
        <v>aws s3 cp s3://rtdc.mdm.uploadarchive.raw/RTDC4024/ "%USERPROFILE%\AppData\Local\Temp\OnboardLogs"\RTDC4024\2017-04-17 --exclude "*" --recursive --include "*20170417*" &amp; "%USERPROFILE%\Documents\GitHub\mrs-test-scripts\Headless Mode &amp; Sideloading\WalkAndUnGZ.bat" "%USERPROFILE%\AppData\Local\Temp\OnboardLogs"\RTDC4024\2017-04-17 &amp; aws s3 cp s3://rtdc.mdm.uploadarchive.raw/RTDC4024/ "%USERPROFILE%\AppData\Local\Temp\OnboardLogs"\RTDC4024\2017-04-18 --exclude "*" --recursive --include "*20170418*" &amp; "%USERPROFILE%\Documents\GitHub\mrs-test-scripts\Headless Mode &amp; Sideloading\WalkAndUnGZ.bat" "%USERPROFILE%\AppData\Local\Temp\OnboardLogs"\RTDC4024\2017-04-18</v>
      </c>
      <c r="AF207" s="82" t="str">
        <f t="shared" si="81"/>
        <v>"C:\Program Files (x86)\AstroGrep\AstroGrep.exe" /e /r /s /spath="%USERPROFILE%\AppData\Local\Temp\OnboardLogs" /stypes="app*4024*20170418*" /stext=" 03:.+((SYSTEM_STATE.+slice.+state.+changed )|(ment ac)|(multiple cpu faults)|(system.+state.+changed )|(\[timeout)|(PRM\|1\|D)|(kpr)|(kdp)|(\|lc)|(penalty))"</v>
      </c>
      <c r="AG207" s="1" t="str">
        <f t="shared" si="82"/>
        <v>NW</v>
      </c>
      <c r="AH207" s="86" t="str">
        <f t="shared" si="83"/>
        <v>"%USERPROFILE%\Documents\GitHub\eaglep3\Utilities\RefineRTDCRunTimes.py" --tripid 845-17 --locoid 4024 --swversion DE.1.0.9.0 --startMP 204:943 --initTime 2017-04-17T20:58:48 --startdatetime 2017-04-17T21:21:13 --delay 2 --endMP 300:58929 --enddatetime 2017-04-17T21:34:06 --enforcementcount 0 &gt;&gt;C:\Users\stu\Documents\GitHub\eaglep3-reporting\EC\2017-04-17-refined-times.txt</v>
      </c>
      <c r="AI207" s="104" t="str">
        <f t="shared" si="84"/>
        <v>echo {"issue":{"subject":"","project_id":79,"tracker_id":40,"status_id":1,"priority_id":2,"assigned_to_id":23,"start_date":"2017-04-17","description":"","custom_fields":[{"id":1,"name":"Subdivision","value":"NW"},{"id":4,"name":"Milepost","value":"5.8929"},{"id":17,"name":"Train ID","value":"845-17"},{"id":16,"name":"Locomotive ID","value":"4024"},{"id":130,"name":"Impact","value":""},{"id":150,"name":"Time of Event (Mountain Time)","value":"21:34:06"},{"id":151,"name":"Denver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85"/>
        <v>start /low /b %USERPROFILE%\Documents\GitHub\eaglep3\Utilities\DownloadLogsFromS3.py --loco 4024 --day 2017-04-17</v>
      </c>
      <c r="AN207" s="159" t="str">
        <f t="shared" si="86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03:34:06"},{"id":29,"name":"Sharepoint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825</v>
      </c>
      <c r="B208" s="7">
        <v>4024</v>
      </c>
      <c r="C208" s="21" t="s">
        <v>213</v>
      </c>
      <c r="D208" s="21" t="s">
        <v>1018</v>
      </c>
      <c r="E208" s="13">
        <v>42842.914236111108</v>
      </c>
      <c r="F208" s="13">
        <v>42842.931400462963</v>
      </c>
      <c r="G208" s="7">
        <v>1</v>
      </c>
      <c r="H208" s="21" t="s">
        <v>1004</v>
      </c>
      <c r="I208" s="13">
        <v>42842.94059027778</v>
      </c>
      <c r="J208" s="7">
        <v>0</v>
      </c>
      <c r="K208" s="97" t="str">
        <f t="shared" si="70"/>
        <v>4023/4024</v>
      </c>
      <c r="L208" s="21" t="str">
        <f>VLOOKUP(A208,'Trips&amp;Operators'!$C$1:$G$99999,5,FALSE)</f>
        <v>NEWELL JAMES</v>
      </c>
      <c r="M208" s="6">
        <f t="shared" si="71"/>
        <v>9.189814816636499E-3</v>
      </c>
      <c r="N208" s="7">
        <f t="shared" si="68"/>
        <v>13.233333335956559</v>
      </c>
      <c r="O208" s="7"/>
      <c r="P208" s="7"/>
      <c r="Q208" s="22"/>
      <c r="R208" s="22"/>
      <c r="S208" s="31">
        <f t="shared" si="69"/>
        <v>1</v>
      </c>
      <c r="T208" s="46" t="str">
        <f t="shared" si="72"/>
        <v>NorthBound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 t="shared" si="73"/>
        <v>https://d0f6bd738d7f1b3e5a7ca70fe4ff75f0.us-east-1.aws.found.io/app/kibana#/discover/Steve-Slow-Train-Analysis-(2080s-and-2083s)?_g=(refreshInterval:(display:Off,pause:!f,section:0,value:0),time:(from:'2017-04-17T20:56:30-0600',mode:absolute,to:'2017-04-17T23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8" s="183" t="str">
        <f t="shared" si="74"/>
        <v>N</v>
      </c>
      <c r="X208" s="183">
        <f t="shared" si="75"/>
        <v>2</v>
      </c>
      <c r="Y208" s="62">
        <f t="shared" si="76"/>
        <v>9.69E-2</v>
      </c>
      <c r="Z208" s="62">
        <f t="shared" si="77"/>
        <v>5.8935000000000004</v>
      </c>
      <c r="AA208" s="62">
        <f t="shared" si="78"/>
        <v>5.7966000000000006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79"/>
        <v>0847-17</v>
      </c>
      <c r="AE208" s="85" t="str">
        <f t="shared" si="80"/>
        <v>aws s3 cp s3://rtdc.mdm.uploadarchive.raw/RTDC4024/ "%USERPROFILE%\AppData\Local\Temp\OnboardLogs"\RTDC4024\2017-04-17 --exclude "*" --recursive --include "*20170417*" &amp; "%USERPROFILE%\Documents\GitHub\mrs-test-scripts\Headless Mode &amp; Sideloading\WalkAndUnGZ.bat" "%USERPROFILE%\AppData\Local\Temp\OnboardLogs"\RTDC4024\2017-04-17 &amp; aws s3 cp s3://rtdc.mdm.uploadarchive.raw/RTDC4024/ "%USERPROFILE%\AppData\Local\Temp\OnboardLogs"\RTDC4024\2017-04-18 --exclude "*" --recursive --include "*20170418*" &amp; "%USERPROFILE%\Documents\GitHub\mrs-test-scripts\Headless Mode &amp; Sideloading\WalkAndUnGZ.bat" "%USERPROFILE%\AppData\Local\Temp\OnboardLogs"\RTDC4024\2017-04-18</v>
      </c>
      <c r="AF208" s="82" t="str">
        <f t="shared" si="81"/>
        <v>"C:\Program Files (x86)\AstroGrep\AstroGrep.exe" /e /r /s /spath="%USERPROFILE%\AppData\Local\Temp\OnboardLogs" /stypes="app*4024*20170418*" /stext=" 04:.+((SYSTEM_STATE.+slice.+state.+changed )|(ment ac)|(multiple cpu faults)|(system.+state.+changed )|(\[timeout)|(PRM\|1\|D)|(kpr)|(kdp)|(\|lc)|(penalty))"</v>
      </c>
      <c r="AG208" s="1" t="str">
        <f t="shared" si="82"/>
        <v>NW</v>
      </c>
      <c r="AH208" s="86" t="str">
        <f t="shared" si="83"/>
        <v>"%USERPROFILE%\Documents\GitHub\eaglep3\Utilities\RefineRTDCRunTimes.py" --tripid 847-17 --locoid 4024 --swversion DE.1.0.9.0 --startMP 204:969 --initTime 2017-04-17T21:56:30 --startdatetime 2017-04-17T22:21:13 --delay 1 --endMP 300:58935 --enddatetime 2017-04-17T22:34:27 --enforcementcount 0 &gt;&gt;C:\Users\stu\Documents\GitHub\eaglep3-reporting\EC\2017-04-17-refined-times.txt</v>
      </c>
      <c r="AI208" s="104" t="str">
        <f t="shared" si="84"/>
        <v>echo {"issue":{"subject":"","project_id":79,"tracker_id":40,"status_id":1,"priority_id":2,"assigned_to_id":23,"start_date":"2017-04-17","description":"","custom_fields":[{"id":1,"name":"Subdivision","value":"NW"},{"id":4,"name":"Milepost","value":"5.8935"},{"id":17,"name":"Train ID","value":"847-17"},{"id":16,"name":"Locomotive ID","value":"4024"},{"id":130,"name":"Impact","value":""},{"id":150,"name":"Time of Event (Mountain Time)","value":"22:34:27"},{"id":151,"name":"Denver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85"/>
        <v>start /low /b %USERPROFILE%\Documents\GitHub\eaglep3\Utilities\DownloadLogsFromS3.py --loco 4024 --day 2017-04-17</v>
      </c>
      <c r="AN208" s="159" t="str">
        <f t="shared" si="86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04:34:27"},{"id":29,"name":"Sharepoint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635</v>
      </c>
      <c r="B209" s="7">
        <v>4001</v>
      </c>
      <c r="C209" s="21" t="s">
        <v>213</v>
      </c>
      <c r="D209" s="21" t="s">
        <v>927</v>
      </c>
      <c r="E209" s="13">
        <v>42842.116493055553</v>
      </c>
      <c r="F209" s="13">
        <v>42842.120243055557</v>
      </c>
      <c r="G209" s="7">
        <v>5</v>
      </c>
      <c r="H209" s="21" t="s">
        <v>467</v>
      </c>
      <c r="I209" s="13">
        <v>42842.124155092592</v>
      </c>
      <c r="J209" s="7">
        <v>0</v>
      </c>
      <c r="K209" s="97" t="str">
        <f t="shared" si="70"/>
        <v>4001/4002</v>
      </c>
      <c r="L209" s="21" t="str">
        <f>VLOOKUP(A209,'Trips&amp;Operators'!$C$1:$G$99999,5,FALSE)</f>
        <v>SANTIZO D. EDY</v>
      </c>
      <c r="M209" s="6">
        <f t="shared" si="71"/>
        <v>3.9120370347518474E-3</v>
      </c>
      <c r="N209" s="7">
        <f t="shared" si="68"/>
        <v>5.6333333300426602</v>
      </c>
      <c r="O209" s="7"/>
      <c r="P209" s="7"/>
      <c r="Q209" s="22"/>
      <c r="R209" s="22"/>
      <c r="S209" s="31">
        <f t="shared" si="69"/>
        <v>1</v>
      </c>
      <c r="T209" s="46" t="str">
        <f t="shared" si="72"/>
        <v>Southbound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 t="shared" si="73"/>
        <v>https://d0f6bd738d7f1b3e5a7ca70fe4ff75f0.us-east-1.aws.found.io/app/kibana#/discover/Steve-Slow-Train-Analysis-(2080s-and-2083s)?_g=(refreshInterval:(display:Off,pause:!f,section:0,value:0),time:(from:'2017-04-17T01:47:45-0600',mode:absolute,to:'2017-04-17T03:58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9" s="183" t="str">
        <f t="shared" si="74"/>
        <v>Y</v>
      </c>
      <c r="X209" s="183">
        <f t="shared" si="75"/>
        <v>-545</v>
      </c>
      <c r="Y209" s="62">
        <f t="shared" si="76"/>
        <v>1.9509000000000001</v>
      </c>
      <c r="Z209" s="62">
        <f t="shared" si="77"/>
        <v>1.4999999999999999E-2</v>
      </c>
      <c r="AA209" s="62">
        <f t="shared" si="78"/>
        <v>1.9359000000000002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79"/>
        <v>0302-17</v>
      </c>
      <c r="AE209" s="85" t="str">
        <f t="shared" si="80"/>
        <v>aws s3 cp s3://rtdc.mdm.uploadarchive.raw/RTDC4001/ "%USERPROFILE%\AppData\Local\Temp\OnboardLogs"\RTDC4001\2017-04-17 --exclude "*" --recursive --include "*20170417*" &amp; "%USERPROFILE%\Documents\GitHub\mrs-test-scripts\Headless Mode &amp; Sideloading\WalkAndUnGZ.bat" "%USERPROFILE%\AppData\Local\Temp\OnboardLogs"\RTDC4001\2017-04-17 &amp; aws s3 cp s3://rtdc.mdm.uploadarchive.raw/RTDC4001/ "%USERPROFILE%\AppData\Local\Temp\OnboardLogs"\RTDC4001\2017-04-18 --exclude "*" --recursive --include "*20170418*" &amp; "%USERPROFILE%\Documents\GitHub\mrs-test-scripts\Headless Mode &amp; Sideloading\WalkAndUnGZ.bat" "%USERPROFILE%\AppData\Local\Temp\OnboardLogs"\RTDC4001\2017-04-18</v>
      </c>
      <c r="AF209" s="82" t="str">
        <f t="shared" si="81"/>
        <v>"C:\Program Files (x86)\AstroGrep\AstroGrep.exe" /e /r /s /spath="%USERPROFILE%\AppData\Local\Temp\OnboardLogs" /stypes="app*4001*20170417*" /stext=" 08:.+((SYSTEM_STATE.+slice.+state.+changed )|(ment ac)|(multiple cpu faults)|(system.+state.+changed )|(\[timeout)|(PRM\|1\|D)|(kpr)|(kdp)|(\|lc)|(penalty))"</v>
      </c>
      <c r="AG209" s="1" t="str">
        <f t="shared" si="82"/>
        <v>Other</v>
      </c>
      <c r="AH209" s="86" t="str">
        <f t="shared" si="83"/>
        <v>"%USERPROFILE%\Documents\GitHub\eaglep3\Utilities\RefineRTDCRunTimes.py" --tripid 302-17 --locoid 4001 --swversion DE.1.0.9.0 --startMP 300:19509 --initTime 2017-04-17T02:47:45 --startdatetime 2017-04-17T02:53:09 --delay 5 --endMP 204:150 --enddatetime 2017-04-17T02:58:47 --enforcementcount 0 &gt;&gt;C:\Users\stu\Documents\GitHub\eaglep3-reporting\EC\2017-04-17-refined-times.txt</v>
      </c>
      <c r="AI209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{"issue":{"subject":"","project_id":79,"tracker_id":40,"status_id":1,"priority_id":2,"assigned_to_id":23,"start_date":"2017-04-17","description":"","custom_fields":[{"id":1,"name":"Subdivision","value":"Other"},{"id":4,"name":"Milepost","value":"0.015"},{"id":17,"name":"Train ID","value":"302-17"},{"id":16,"name":"Locomotive ID","value":"4001"},{"id":130,"name":"Impact","value":""},{"id":150,"name":"Time of Event (Mountain Time)","value":"02:58:47"},{"id":151,"name":"Denver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85"/>
        <v>start /low /b %USERPROFILE%\Documents\GitHub\eaglep3\Utilities\DownloadLogsFromS3.py --loco 4001 --day 2017-04-17</v>
      </c>
      <c r="AN209" s="159" t="str">
        <f t="shared" si="86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08:58:47"},{"id":29,"name":"Sharepoint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802</v>
      </c>
      <c r="B210" s="7">
        <v>4046</v>
      </c>
      <c r="C210" s="21" t="s">
        <v>213</v>
      </c>
      <c r="D210" s="21" t="s">
        <v>209</v>
      </c>
      <c r="E210" s="13">
        <v>42842.779432870368</v>
      </c>
      <c r="F210" s="13">
        <v>42842.780925925923</v>
      </c>
      <c r="G210" s="7">
        <v>1</v>
      </c>
      <c r="H210" s="21" t="s">
        <v>928</v>
      </c>
      <c r="I210" s="13">
        <v>42842.787395833337</v>
      </c>
      <c r="J210" s="7">
        <v>0</v>
      </c>
      <c r="K210" s="97" t="str">
        <f t="shared" si="70"/>
        <v>4045/4046</v>
      </c>
      <c r="L210" s="21" t="str">
        <f>VLOOKUP(A210,'Trips&amp;Operators'!$C$1:$G$99999,5,FALSE)</f>
        <v>ROMERO CHAD</v>
      </c>
      <c r="M210" s="6">
        <f t="shared" si="71"/>
        <v>6.4699074137024581E-3</v>
      </c>
      <c r="N210" s="7">
        <f t="shared" si="68"/>
        <v>9.3166666757315397</v>
      </c>
      <c r="O210" s="7"/>
      <c r="P210" s="7"/>
      <c r="Q210" s="22"/>
      <c r="R210" s="22"/>
      <c r="S210" s="31">
        <f t="shared" si="69"/>
        <v>1</v>
      </c>
      <c r="T210" s="46" t="str">
        <f t="shared" si="72"/>
        <v>NorthBound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2" t="str">
        <f t="shared" si="73"/>
        <v>https://d0f6bd738d7f1b3e5a7ca70fe4ff75f0.us-east-1.aws.found.io/app/kibana#/discover/Steve-Slow-Train-Analysis-(2080s-and-2083s)?_g=(refreshInterval:(display:Off,pause:!f,section:0,value:0),time:(from:'2017-04-17T17:42:23-0600',mode:absolute,to:'2017-04-17T19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0" s="183" t="str">
        <f t="shared" si="74"/>
        <v>Y</v>
      </c>
      <c r="X210" s="183">
        <f t="shared" si="75"/>
        <v>1</v>
      </c>
      <c r="Y210" s="62">
        <f t="shared" si="76"/>
        <v>4.5499999999999999E-2</v>
      </c>
      <c r="Z210" s="62">
        <f t="shared" si="77"/>
        <v>2.3311999999999999</v>
      </c>
      <c r="AA210" s="62">
        <f t="shared" si="78"/>
        <v>2.2856999999999998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79"/>
        <v>0303-17</v>
      </c>
      <c r="AE210" s="85" t="str">
        <f t="shared" si="80"/>
        <v>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 &amp; aws s3 cp s3://rtdc.mdm.uploadarchive.raw/RTDC4046/ "%USERPROFILE%\AppData\Local\Temp\OnboardLogs"\RTDC4046\2017-04-18 --exclude "*" --recursive --include "*20170418*" &amp; "%USERPROFILE%\Documents\GitHub\mrs-test-scripts\Headless Mode &amp; Sideloading\WalkAndUnGZ.bat" "%USERPROFILE%\AppData\Local\Temp\OnboardLogs"\RTDC4046\2017-04-18</v>
      </c>
      <c r="AF210" s="82" t="str">
        <f t="shared" si="81"/>
        <v>"C:\Program Files (x86)\AstroGrep\AstroGrep.exe" /e /r /s /spath="%USERPROFILE%\AppData\Local\Temp\OnboardLogs" /stypes="app*4046*20170418*" /stext=" 00:.+((SYSTEM_STATE.+slice.+state.+changed )|(ment ac)|(multiple cpu faults)|(system.+state.+changed )|(\[timeout)|(PRM\|1\|D)|(kpr)|(kdp)|(\|lc)|(penalty))"</v>
      </c>
      <c r="AG210" s="1" t="str">
        <f t="shared" si="82"/>
        <v>Other</v>
      </c>
      <c r="AH210" s="86" t="str">
        <f t="shared" si="83"/>
        <v>"%USERPROFILE%\Documents\GitHub\eaglep3\Utilities\RefineRTDCRunTimes.py" --tripid 303-17 --locoid 4046 --swversion DE.1.0.9.0 --startMP 204:455 --initTime 2017-04-17T18:42:23 --startdatetime 2017-04-17T18:44:32 --delay 1 --endMP 300:23312 --enddatetime 2017-04-17T18:53:51 --enforcementcount 0 &gt;&gt;C:\Users\stu\Documents\GitHub\eaglep3-reporting\EC\2017-04-17-refined-times.txt</v>
      </c>
      <c r="AI210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{"issue":{"subject":"","project_id":79,"tracker_id":40,"status_id":1,"priority_id":2,"assigned_to_id":23,"start_date":"2017-04-17","description":"","custom_fields":[{"id":1,"name":"Subdivision","value":"Other"},{"id":4,"name":"Milepost","value":"2.3312"},{"id":17,"name":"Train ID","value":"303-17"},{"id":16,"name":"Locomotive ID","value":"4046"},{"id":130,"name":"Impact","value":""},{"id":150,"name":"Time of Event (Mountain Time)","value":"18:53:51"},{"id":151,"name":"Denver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85"/>
        <v>start /low /b %USERPROFILE%\Documents\GitHub\eaglep3\Utilities\DownloadLogsFromS3.py --loco 4046 --day 2017-04-17</v>
      </c>
      <c r="AN210" s="159" t="str">
        <f t="shared" si="86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00:53:51"},{"id":29,"name":"Sharepoint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637</v>
      </c>
      <c r="B211" s="7">
        <v>4031</v>
      </c>
      <c r="C211" s="21" t="s">
        <v>213</v>
      </c>
      <c r="D211" s="21" t="s">
        <v>929</v>
      </c>
      <c r="E211" s="13">
        <v>42842.142916666664</v>
      </c>
      <c r="F211" s="13">
        <v>42842.146365740744</v>
      </c>
      <c r="G211" s="7">
        <v>4</v>
      </c>
      <c r="H211" s="21" t="s">
        <v>475</v>
      </c>
      <c r="I211" s="13">
        <v>42842.152106481481</v>
      </c>
      <c r="J211" s="7">
        <v>0</v>
      </c>
      <c r="K211" s="97" t="str">
        <f t="shared" si="70"/>
        <v>4031/4032</v>
      </c>
      <c r="L211" s="21" t="str">
        <f>VLOOKUP(A211,'Trips&amp;Operators'!$C$1:$G$99999,5,FALSE)</f>
        <v>MAELZER KURT</v>
      </c>
      <c r="M211" s="6">
        <f t="shared" si="71"/>
        <v>5.7407407366554253E-3</v>
      </c>
      <c r="N211" s="7">
        <f t="shared" si="68"/>
        <v>8.2666666607838124</v>
      </c>
      <c r="O211" s="7"/>
      <c r="P211" s="7"/>
      <c r="Q211" s="22"/>
      <c r="R211" s="22"/>
      <c r="S211" s="31">
        <f t="shared" si="69"/>
        <v>1</v>
      </c>
      <c r="T211" s="46" t="str">
        <f t="shared" si="72"/>
        <v>Southbound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 t="shared" si="73"/>
        <v>https://d0f6bd738d7f1b3e5a7ca70fe4ff75f0.us-east-1.aws.found.io/app/kibana#/discover/Steve-Slow-Train-Analysis-(2080s-and-2083s)?_g=(refreshInterval:(display:Off,pause:!f,section:0,value:0),time:(from:'2017-04-17T02:25:48-0600',mode:absolute,to:'2017-04-17T04:39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1" s="183" t="str">
        <f t="shared" si="74"/>
        <v>Y</v>
      </c>
      <c r="X211" s="183">
        <f t="shared" si="75"/>
        <v>1</v>
      </c>
      <c r="Y211" s="62">
        <f t="shared" si="76"/>
        <v>2.3205</v>
      </c>
      <c r="Z211" s="62">
        <f t="shared" si="77"/>
        <v>1.49E-2</v>
      </c>
      <c r="AA211" s="62">
        <f t="shared" si="78"/>
        <v>2.3056000000000001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79"/>
        <v>0304-17</v>
      </c>
      <c r="AE211" s="85" t="str">
        <f t="shared" si="80"/>
        <v>aws s3 cp s3://rtdc.mdm.uploadarchive.raw/RTDC4031/ "%USERPROFILE%\AppData\Local\Temp\OnboardLogs"\RTDC4031\2017-04-17 --exclude "*" --recursive --include "*20170417*" &amp; "%USERPROFILE%\Documents\GitHub\mrs-test-scripts\Headless Mode &amp; Sideloading\WalkAndUnGZ.bat" "%USERPROFILE%\AppData\Local\Temp\OnboardLogs"\RTDC4031\2017-04-17 &amp; aws s3 cp s3://rtdc.mdm.uploadarchive.raw/RTDC4031/ "%USERPROFILE%\AppData\Local\Temp\OnboardLogs"\RTDC4031\2017-04-18 --exclude "*" --recursive --include "*20170418*" &amp; "%USERPROFILE%\Documents\GitHub\mrs-test-scripts\Headless Mode &amp; Sideloading\WalkAndUnGZ.bat" "%USERPROFILE%\AppData\Local\Temp\OnboardLogs"\RTDC4031\2017-04-18</v>
      </c>
      <c r="AF211" s="82" t="str">
        <f t="shared" si="81"/>
        <v>"C:\Program Files (x86)\AstroGrep\AstroGrep.exe" /e /r /s /spath="%USERPROFILE%\AppData\Local\Temp\OnboardLogs" /stypes="app*4031*20170417*" /stext=" 09:.+((SYSTEM_STATE.+slice.+state.+changed )|(ment ac)|(multiple cpu faults)|(system.+state.+changed )|(\[timeout)|(PRM\|1\|D)|(kpr)|(kdp)|(\|lc)|(penalty))"</v>
      </c>
      <c r="AG211" s="1" t="str">
        <f t="shared" si="82"/>
        <v>Other</v>
      </c>
      <c r="AH211" s="86" t="str">
        <f t="shared" si="83"/>
        <v>"%USERPROFILE%\Documents\GitHub\eaglep3\Utilities\RefineRTDCRunTimes.py" --tripid 304-17 --locoid 4031 --swversion DE.1.0.9.0 --startMP 300:23205 --initTime 2017-04-17T03:25:48 --startdatetime 2017-04-17T03:30:46 --delay 4 --endMP 204:149 --enddatetime 2017-04-17T03:39:02 --enforcementcount 0 &gt;&gt;C:\Users\stu\Documents\GitHub\eaglep3-reporting\EC\2017-04-17-refined-times.txt</v>
      </c>
      <c r="AI211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{"issue":{"subject":"","project_id":79,"tracker_id":40,"status_id":1,"priority_id":2,"assigned_to_id":23,"start_date":"2017-04-17","description":"","custom_fields":[{"id":1,"name":"Subdivision","value":"Other"},{"id":4,"name":"Milepost","value":"0.0149"},{"id":17,"name":"Train ID","value":"304-17"},{"id":16,"name":"Locomotive ID","value":"4031"},{"id":130,"name":"Impact","value":""},{"id":150,"name":"Time of Event (Mountain Time)","value":"03:39:02"},{"id":151,"name":"Denver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 t="shared" si="85"/>
        <v>start /low /b %USERPROFILE%\Documents\GitHub\eaglep3\Utilities\DownloadLogsFromS3.py --loco 4031 --day 2017-04-17</v>
      </c>
      <c r="AN211" s="159" t="str">
        <f t="shared" si="86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09:39:02"},{"id":29,"name":"Sharepoint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808</v>
      </c>
      <c r="B212" s="7">
        <v>4002</v>
      </c>
      <c r="C212" s="21" t="s">
        <v>213</v>
      </c>
      <c r="D212" s="21" t="s">
        <v>930</v>
      </c>
      <c r="E212" s="13">
        <v>42842.798449074071</v>
      </c>
      <c r="F212" s="13">
        <v>42842.803263888891</v>
      </c>
      <c r="G212" s="7">
        <v>1</v>
      </c>
      <c r="H212" s="21" t="s">
        <v>931</v>
      </c>
      <c r="I212" s="13">
        <v>42842.808194444442</v>
      </c>
      <c r="J212" s="7">
        <v>0</v>
      </c>
      <c r="K212" s="97" t="str">
        <f t="shared" si="70"/>
        <v>4001/4002</v>
      </c>
      <c r="L212" s="21" t="str">
        <f>VLOOKUP(A212,'Trips&amp;Operators'!$C$1:$G$99999,5,FALSE)</f>
        <v>MACDONALD THOMAS</v>
      </c>
      <c r="M212" s="6">
        <f t="shared" si="71"/>
        <v>4.9305555512546562E-3</v>
      </c>
      <c r="N212" s="7">
        <f t="shared" si="68"/>
        <v>7.0999999938067049</v>
      </c>
      <c r="O212" s="7"/>
      <c r="P212" s="7"/>
      <c r="Q212" s="22"/>
      <c r="R212" s="22"/>
      <c r="S212" s="31">
        <f t="shared" si="69"/>
        <v>1</v>
      </c>
      <c r="T212" s="46" t="str">
        <f t="shared" si="72"/>
        <v>NorthBound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 t="shared" si="73"/>
        <v>https://d0f6bd738d7f1b3e5a7ca70fe4ff75f0.us-east-1.aws.found.io/app/kibana#/discover/Steve-Slow-Train-Analysis-(2080s-and-2083s)?_g=(refreshInterval:(display:Off,pause:!f,section:0,value:0),time:(from:'2017-04-17T18:09:46-0600',mode:absolute,to:'2017-04-17T20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2" s="183" t="str">
        <f t="shared" si="74"/>
        <v>Y</v>
      </c>
      <c r="X212" s="183">
        <f t="shared" si="75"/>
        <v>1</v>
      </c>
      <c r="Y212" s="62">
        <f t="shared" si="76"/>
        <v>5.4399999999999997E-2</v>
      </c>
      <c r="Z212" s="62">
        <f t="shared" si="77"/>
        <v>2.3306</v>
      </c>
      <c r="AA212" s="62">
        <f t="shared" si="78"/>
        <v>2.2762000000000002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79"/>
        <v>0305-17</v>
      </c>
      <c r="AE212" s="85" t="str">
        <f t="shared" si="80"/>
        <v>aws s3 cp s3://rtdc.mdm.uploadarchive.raw/RTDC4002/ "%USERPROFILE%\AppData\Local\Temp\OnboardLogs"\RTDC4002\2017-04-17 --exclude "*" --recursive --include "*20170417*" &amp; "%USERPROFILE%\Documents\GitHub\mrs-test-scripts\Headless Mode &amp; Sideloading\WalkAndUnGZ.bat" "%USERPROFILE%\AppData\Local\Temp\OnboardLogs"\RTDC4002\2017-04-17 &amp; aws s3 cp s3://rtdc.mdm.uploadarchive.raw/RTDC4002/ "%USERPROFILE%\AppData\Local\Temp\OnboardLogs"\RTDC4002\2017-04-18 --exclude "*" --recursive --include "*20170418*" &amp; "%USERPROFILE%\Documents\GitHub\mrs-test-scripts\Headless Mode &amp; Sideloading\WalkAndUnGZ.bat" "%USERPROFILE%\AppData\Local\Temp\OnboardLogs"\RTDC4002\2017-04-18</v>
      </c>
      <c r="AF212" s="82" t="str">
        <f t="shared" si="81"/>
        <v>"C:\Program Files (x86)\AstroGrep\AstroGrep.exe" /e /r /s /spath="%USERPROFILE%\AppData\Local\Temp\OnboardLogs" /stypes="app*4002*20170418*" /stext=" 01:.+((SYSTEM_STATE.+slice.+state.+changed )|(ment ac)|(multiple cpu faults)|(system.+state.+changed )|(\[timeout)|(PRM\|1\|D)|(kpr)|(kdp)|(\|lc)|(penalty))"</v>
      </c>
      <c r="AG212" s="1" t="str">
        <f t="shared" si="82"/>
        <v>Other</v>
      </c>
      <c r="AH212" s="86" t="str">
        <f t="shared" si="83"/>
        <v>"%USERPROFILE%\Documents\GitHub\eaglep3\Utilities\RefineRTDCRunTimes.py" --tripid 305-17 --locoid 4002 --swversion DE.1.0.9.0 --startMP 204:544 --initTime 2017-04-17T19:09:46 --startdatetime 2017-04-17T19:16:42 --delay 1 --endMP 300:23306 --enddatetime 2017-04-17T19:23:48 --enforcementcount 0 &gt;&gt;C:\Users\stu\Documents\GitHub\eaglep3-reporting\EC\2017-04-17-refined-times.txt</v>
      </c>
      <c r="AI212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{"issue":{"subject":"","project_id":79,"tracker_id":40,"status_id":1,"priority_id":2,"assigned_to_id":23,"start_date":"2017-04-17","description":"","custom_fields":[{"id":1,"name":"Subdivision","value":"Other"},{"id":4,"name":"Milepost","value":"2.3306"},{"id":17,"name":"Train ID","value":"305-17"},{"id":16,"name":"Locomotive ID","value":"4002"},{"id":130,"name":"Impact","value":""},{"id":150,"name":"Time of Event (Mountain Time)","value":"19:23:48"},{"id":151,"name":"Denver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85"/>
        <v>start /low /b %USERPROFILE%\Documents\GitHub\eaglep3\Utilities\DownloadLogsFromS3.py --loco 4002 --day 2017-04-17</v>
      </c>
      <c r="AN212" s="159" t="str">
        <f t="shared" si="86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01:23:48"},{"id":29,"name":"Sharepoint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642</v>
      </c>
      <c r="B213" s="7">
        <v>4027</v>
      </c>
      <c r="C213" s="21" t="s">
        <v>213</v>
      </c>
      <c r="D213" s="21" t="s">
        <v>932</v>
      </c>
      <c r="E213" s="13">
        <v>42842.161006944443</v>
      </c>
      <c r="F213" s="13">
        <v>42842.163900462961</v>
      </c>
      <c r="G213" s="7">
        <v>4</v>
      </c>
      <c r="H213" s="21" t="s">
        <v>511</v>
      </c>
      <c r="I213" s="13">
        <v>42842.170613425929</v>
      </c>
      <c r="J213" s="7">
        <v>0</v>
      </c>
      <c r="K213" s="97" t="str">
        <f t="shared" si="70"/>
        <v>4027/4028</v>
      </c>
      <c r="L213" s="21" t="str">
        <f>VLOOKUP(A213,'Trips&amp;Operators'!$C$1:$G$99999,5,FALSE)</f>
        <v>STARKS ANGELINA</v>
      </c>
      <c r="M213" s="6">
        <f t="shared" si="71"/>
        <v>6.7129629678674974E-3</v>
      </c>
      <c r="N213" s="7">
        <f t="shared" si="68"/>
        <v>9.6666666737291962</v>
      </c>
      <c r="O213" s="7"/>
      <c r="P213" s="7"/>
      <c r="Q213" s="22"/>
      <c r="R213" s="22"/>
      <c r="S213" s="31">
        <f t="shared" si="69"/>
        <v>1</v>
      </c>
      <c r="T213" s="46" t="str">
        <f t="shared" si="72"/>
        <v>Southbound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2" t="str">
        <f t="shared" si="73"/>
        <v>https://d0f6bd738d7f1b3e5a7ca70fe4ff75f0.us-east-1.aws.found.io/app/kibana#/discover/Steve-Slow-Train-Analysis-(2080s-and-2083s)?_g=(refreshInterval:(display:Off,pause:!f,section:0,value:0),time:(from:'2017-04-17T02:51:51-0600',mode:absolute,to:'2017-04-17T05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3" s="183" t="str">
        <f t="shared" si="74"/>
        <v>Y</v>
      </c>
      <c r="X213" s="183">
        <f t="shared" si="75"/>
        <v>1</v>
      </c>
      <c r="Y213" s="62">
        <f t="shared" si="76"/>
        <v>2.3403999999999998</v>
      </c>
      <c r="Z213" s="62">
        <f t="shared" si="77"/>
        <v>1.5599999999999999E-2</v>
      </c>
      <c r="AA213" s="62">
        <f t="shared" si="78"/>
        <v>2.3247999999999998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79"/>
        <v>0306-17</v>
      </c>
      <c r="AE213" s="85" t="str">
        <f t="shared" si="80"/>
        <v>aws s3 cp s3://rtdc.mdm.uploadarchive.raw/RTDC4027/ "%USERPROFILE%\AppData\Local\Temp\OnboardLogs"\RTDC4027\2017-04-17 --exclude "*" --recursive --include "*20170417*" &amp; "%USERPROFILE%\Documents\GitHub\mrs-test-scripts\Headless Mode &amp; Sideloading\WalkAndUnGZ.bat" "%USERPROFILE%\AppData\Local\Temp\OnboardLogs"\RTDC4027\2017-04-17 &amp; aws s3 cp s3://rtdc.mdm.uploadarchive.raw/RTDC4027/ "%USERPROFILE%\AppData\Local\Temp\OnboardLogs"\RTDC4027\2017-04-18 --exclude "*" --recursive --include "*20170418*" &amp; "%USERPROFILE%\Documents\GitHub\mrs-test-scripts\Headless Mode &amp; Sideloading\WalkAndUnGZ.bat" "%USERPROFILE%\AppData\Local\Temp\OnboardLogs"\RTDC4027\2017-04-18</v>
      </c>
      <c r="AF213" s="82" t="str">
        <f t="shared" si="81"/>
        <v>"C:\Program Files (x86)\AstroGrep\AstroGrep.exe" /e /r /s /spath="%USERPROFILE%\AppData\Local\Temp\OnboardLogs" /stypes="app*4027*20170417*" /stext=" 10:.+((SYSTEM_STATE.+slice.+state.+changed )|(ment ac)|(multiple cpu faults)|(system.+state.+changed )|(\[timeout)|(PRM\|1\|D)|(kpr)|(kdp)|(\|lc)|(penalty))"</v>
      </c>
      <c r="AG213" s="1" t="str">
        <f t="shared" si="82"/>
        <v>Other</v>
      </c>
      <c r="AH213" s="86" t="str">
        <f t="shared" si="83"/>
        <v>"%USERPROFILE%\Documents\GitHub\eaglep3\Utilities\RefineRTDCRunTimes.py" --tripid 306-17 --locoid 4027 --swversion DE.1.0.9.0 --startMP 300:23404 --initTime 2017-04-17T03:51:51 --startdatetime 2017-04-17T03:56:01 --delay 4 --endMP 204:156 --enddatetime 2017-04-17T04:05:41 --enforcementcount 0 &gt;&gt;C:\Users\stu\Documents\GitHub\eaglep3-reporting\EC\2017-04-17-refined-times.txt</v>
      </c>
      <c r="AI213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{"issue":{"subject":"","project_id":79,"tracker_id":40,"status_id":1,"priority_id":2,"assigned_to_id":23,"start_date":"2017-04-17","description":"","custom_fields":[{"id":1,"name":"Subdivision","value":"Other"},{"id":4,"name":"Milepost","value":"0.0156"},{"id":17,"name":"Train ID","value":"306-17"},{"id":16,"name":"Locomotive ID","value":"4027"},{"id":130,"name":"Impact","value":""},{"id":150,"name":"Time of Event (Mountain Time)","value":"04:05:41"},{"id":151,"name":"Denver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85"/>
        <v>start /low /b %USERPROFILE%\Documents\GitHub\eaglep3\Utilities\DownloadLogsFromS3.py --loco 4027 --day 2017-04-17</v>
      </c>
      <c r="AN213" s="159" t="str">
        <f t="shared" si="86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10:05:41"},{"id":29,"name":"Sharepoint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643</v>
      </c>
      <c r="B214" s="7">
        <v>4015</v>
      </c>
      <c r="C214" s="21" t="s">
        <v>213</v>
      </c>
      <c r="D214" s="21" t="s">
        <v>933</v>
      </c>
      <c r="E214" s="13">
        <v>42842.171215277776</v>
      </c>
      <c r="F214" s="13">
        <v>42842.174618055556</v>
      </c>
      <c r="G214" s="7">
        <v>4</v>
      </c>
      <c r="H214" s="21" t="s">
        <v>210</v>
      </c>
      <c r="I214" s="13">
        <v>42842.180289351854</v>
      </c>
      <c r="J214" s="7">
        <v>0</v>
      </c>
      <c r="K214" s="97" t="str">
        <f t="shared" si="70"/>
        <v>4015/4016</v>
      </c>
      <c r="L214" s="21" t="str">
        <f>VLOOKUP(A214,'Trips&amp;Operators'!$C$1:$G$99999,5,FALSE)</f>
        <v>BONDS REYNALDO</v>
      </c>
      <c r="M214" s="6">
        <f t="shared" si="71"/>
        <v>5.6712962978053838E-3</v>
      </c>
      <c r="N214" s="7">
        <f t="shared" si="68"/>
        <v>8.1666666688397527</v>
      </c>
      <c r="O214" s="7"/>
      <c r="P214" s="7"/>
      <c r="Q214" s="22"/>
      <c r="R214" s="22"/>
      <c r="S214" s="31">
        <f t="shared" si="69"/>
        <v>1</v>
      </c>
      <c r="T214" s="46" t="str">
        <f t="shared" si="72"/>
        <v>Southbound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2" t="str">
        <f t="shared" si="73"/>
        <v>https://d0f6bd738d7f1b3e5a7ca70fe4ff75f0.us-east-1.aws.found.io/app/kibana#/discover/Steve-Slow-Train-Analysis-(2080s-and-2083s)?_g=(refreshInterval:(display:Off,pause:!f,section:0,value:0),time:(from:'2017-04-17T03:06:33-0600',mode:absolute,to:'2017-04-17T05:19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4" s="183" t="str">
        <f t="shared" si="74"/>
        <v>Y</v>
      </c>
      <c r="X214" s="183">
        <f t="shared" si="75"/>
        <v>2</v>
      </c>
      <c r="Y214" s="62">
        <f t="shared" si="76"/>
        <v>2.3395999999999999</v>
      </c>
      <c r="Z214" s="62">
        <f t="shared" si="77"/>
        <v>1.47E-2</v>
      </c>
      <c r="AA214" s="62">
        <f t="shared" si="78"/>
        <v>2.3249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79"/>
        <v>0308-17</v>
      </c>
      <c r="AE214" s="85" t="str">
        <f t="shared" si="80"/>
        <v>aws s3 cp s3://rtdc.mdm.uploadarchive.raw/RTDC4015/ "%USERPROFILE%\AppData\Local\Temp\OnboardLogs"\RTDC4015\2017-04-17 --exclude "*" --recursive --include "*20170417*" &amp; "%USERPROFILE%\Documents\GitHub\mrs-test-scripts\Headless Mode &amp; Sideloading\WalkAndUnGZ.bat" "%USERPROFILE%\AppData\Local\Temp\OnboardLogs"\RTDC4015\2017-04-17 &amp; aws s3 cp s3://rtdc.mdm.uploadarchive.raw/RTDC4015/ "%USERPROFILE%\AppData\Local\Temp\OnboardLogs"\RTDC4015\2017-04-18 --exclude "*" --recursive --include "*20170418*" &amp; "%USERPROFILE%\Documents\GitHub\mrs-test-scripts\Headless Mode &amp; Sideloading\WalkAndUnGZ.bat" "%USERPROFILE%\AppData\Local\Temp\OnboardLogs"\RTDC4015\2017-04-18</v>
      </c>
      <c r="AF214" s="82" t="str">
        <f t="shared" si="81"/>
        <v>"C:\Program Files (x86)\AstroGrep\AstroGrep.exe" /e /r /s /spath="%USERPROFILE%\AppData\Local\Temp\OnboardLogs" /stypes="app*4015*20170417*" /stext=" 10:.+((SYSTEM_STATE.+slice.+state.+changed )|(ment ac)|(multiple cpu faults)|(system.+state.+changed )|(\[timeout)|(PRM\|1\|D)|(kpr)|(kdp)|(\|lc)|(penalty))"</v>
      </c>
      <c r="AG214" s="1" t="str">
        <f t="shared" si="82"/>
        <v>Other</v>
      </c>
      <c r="AH214" s="86" t="str">
        <f t="shared" si="83"/>
        <v>"%USERPROFILE%\Documents\GitHub\eaglep3\Utilities\RefineRTDCRunTimes.py" --tripid 308-17 --locoid 4015 --swversion DE.1.0.9.0 --startMP 300:23396 --initTime 2017-04-17T04:06:33 --startdatetime 2017-04-17T04:11:27 --delay 4 --endMP 204:147 --enddatetime 2017-04-17T04:19:37 --enforcementcount 0 &gt;&gt;C:\Users\stu\Documents\GitHub\eaglep3-reporting\EC\2017-04-17-refined-times.txt</v>
      </c>
      <c r="AI214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{"issue":{"subject":"","project_id":79,"tracker_id":40,"status_id":1,"priority_id":2,"assigned_to_id":23,"start_date":"2017-04-17","description":"","custom_fields":[{"id":1,"name":"Subdivision","value":"Other"},{"id":4,"name":"Milepost","value":"0.0147"},{"id":17,"name":"Train ID","value":"308-17"},{"id":16,"name":"Locomotive ID","value":"4015"},{"id":130,"name":"Impact","value":""},{"id":150,"name":"Time of Event (Mountain Time)","value":"04:19:37"},{"id":151,"name":"Denver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85"/>
        <v>start /low /b %USERPROFILE%\Documents\GitHub\eaglep3\Utilities\DownloadLogsFromS3.py --loco 4015 --day 2017-04-17</v>
      </c>
      <c r="AN214" s="159" t="str">
        <f t="shared" si="86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10:19:37"},{"id":29,"name":"Sharepoint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838</v>
      </c>
      <c r="B215" s="7">
        <v>4052</v>
      </c>
      <c r="C215" s="21" t="s">
        <v>213</v>
      </c>
      <c r="D215" s="21" t="s">
        <v>469</v>
      </c>
      <c r="E215" s="13">
        <v>42843.048206018517</v>
      </c>
      <c r="F215" s="13">
        <v>42843.049861111111</v>
      </c>
      <c r="G215" s="7">
        <v>1</v>
      </c>
      <c r="H215" s="21" t="s">
        <v>544</v>
      </c>
      <c r="I215" s="13">
        <v>42843.057534722226</v>
      </c>
      <c r="J215" s="7">
        <v>0</v>
      </c>
      <c r="K215" s="97" t="str">
        <f t="shared" si="70"/>
        <v>4051/4052</v>
      </c>
      <c r="L215" s="21" t="str">
        <f>VLOOKUP(A215,'Trips&amp;Operators'!$C$1:$G$99999,5,FALSE)</f>
        <v>SMITH MICHAEL</v>
      </c>
      <c r="M215" s="6">
        <f t="shared" si="71"/>
        <v>7.6736111150239594E-3</v>
      </c>
      <c r="N215" s="7">
        <f t="shared" si="68"/>
        <v>11.050000005634502</v>
      </c>
      <c r="O215" s="7"/>
      <c r="P215" s="7"/>
      <c r="Q215" s="22"/>
      <c r="R215" s="22"/>
      <c r="S215" s="31">
        <f t="shared" si="69"/>
        <v>1</v>
      </c>
      <c r="T215" s="46" t="str">
        <f t="shared" si="72"/>
        <v>NorthBound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2" t="str">
        <f t="shared" si="73"/>
        <v>https://d0f6bd738d7f1b3e5a7ca70fe4ff75f0.us-east-1.aws.found.io/app/kibana#/discover/Steve-Slow-Train-Analysis-(2080s-and-2083s)?_g=(refreshInterval:(display:Off,pause:!f,section:0,value:0),time:(from:'2017-04-18T00:09:25-0600',mode:absolute,to:'2017-04-18T02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5" s="183" t="str">
        <f t="shared" si="74"/>
        <v>Y</v>
      </c>
      <c r="X215" s="183">
        <f t="shared" si="75"/>
        <v>1</v>
      </c>
      <c r="Y215" s="62">
        <f t="shared" si="76"/>
        <v>4.7300000000000002E-2</v>
      </c>
      <c r="Z215" s="62">
        <f t="shared" si="77"/>
        <v>2.3308</v>
      </c>
      <c r="AA215" s="62">
        <f t="shared" si="78"/>
        <v>2.2835000000000001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79"/>
        <v>0309-17</v>
      </c>
      <c r="AE215" s="85" t="str">
        <f t="shared" si="80"/>
        <v>aws s3 cp s3://rtdc.mdm.uploadarchive.raw/RTDC4052/ "%USERPROFILE%\AppData\Local\Temp\OnboardLogs"\RTDC4052\2017-04-18 --exclude "*" --recursive --include "*20170418*" &amp; "%USERPROFILE%\Documents\GitHub\mrs-test-scripts\Headless Mode &amp; Sideloading\WalkAndUnGZ.bat" "%USERPROFILE%\AppData\Local\Temp\OnboardLogs"\RTDC4052\2017-04-18 &amp; aws s3 cp s3://rtdc.mdm.uploadarchive.raw/RTDC4052/ "%USERPROFILE%\AppData\Local\Temp\OnboardLogs"\RTDC4052\2017-04-19 --exclude "*" --recursive --include "*20170419*" &amp; "%USERPROFILE%\Documents\GitHub\mrs-test-scripts\Headless Mode &amp; Sideloading\WalkAndUnGZ.bat" "%USERPROFILE%\AppData\Local\Temp\OnboardLogs"\RTDC4052\2017-04-19</v>
      </c>
      <c r="AF215" s="82" t="str">
        <f t="shared" si="81"/>
        <v>"C:\Program Files (x86)\AstroGrep\AstroGrep.exe" /e /r /s /spath="%USERPROFILE%\AppData\Local\Temp\OnboardLogs" /stypes="app*4052*20170418*" /stext=" 07:.+((SYSTEM_STATE.+slice.+state.+changed )|(ment ac)|(multiple cpu faults)|(system.+state.+changed )|(\[timeout)|(PRM\|1\|D)|(kpr)|(kdp)|(\|lc)|(penalty))"</v>
      </c>
      <c r="AG215" s="1" t="str">
        <f t="shared" si="82"/>
        <v>Other</v>
      </c>
      <c r="AH215" s="86" t="str">
        <f t="shared" si="83"/>
        <v>"%USERPROFILE%\Documents\GitHub\eaglep3\Utilities\RefineRTDCRunTimes.py" --tripid 309-17 --locoid 4052 --swversion DE.1.0.9.0 --startMP 204:473 --initTime 2017-04-18T01:09:25 --startdatetime 2017-04-18T01:11:48 --delay 1 --endMP 300:23308 --enddatetime 2017-04-18T01:22:51 --enforcementcount 0 &gt;&gt;C:\Users\stu\Documents\GitHub\eaglep3-reporting\EC\2017-04-17-refined-times.txt</v>
      </c>
      <c r="AI215" s="104" t="str">
        <f t="shared" si="84"/>
        <v>echo {"issue":{"subject":"","project_id":79,"tracker_id":40,"status_id":1,"priority_id":2,"assigned_to_id":23,"start_date":"2017-04-18","description":"","custom_fields":[{"id":1,"name":"Subdivision","value":"Other"},{"id":4,"name":"Milepost","value":"2.3308"},{"id":17,"name":"Train ID","value":"309-17"},{"id":16,"name":"Locomotive ID","value":"4052"},{"id":130,"name":"Impact","value":""},{"id":150,"name":"Time of Event (Mountain Time)","value":"01:22:51"},{"id":151,"name":"Denver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85"/>
        <v>start /low /b %USERPROFILE%\Documents\GitHub\eaglep3\Utilities\DownloadLogsFromS3.py --loco 4052 --day 2017-04-18</v>
      </c>
      <c r="AN215" s="159" t="str">
        <f t="shared" si="86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07:22:51"},{"id":29,"name":"Sharepoint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646</v>
      </c>
      <c r="B216" s="7">
        <v>4045</v>
      </c>
      <c r="C216" s="21" t="s">
        <v>213</v>
      </c>
      <c r="D216" s="21" t="s">
        <v>934</v>
      </c>
      <c r="E216" s="13">
        <v>42842.176932870374</v>
      </c>
      <c r="F216" s="13">
        <v>42842.18167824074</v>
      </c>
      <c r="G216" s="7">
        <v>1</v>
      </c>
      <c r="H216" s="21" t="s">
        <v>401</v>
      </c>
      <c r="I216" s="13">
        <v>42842.187083333331</v>
      </c>
      <c r="J216" s="7">
        <v>0</v>
      </c>
      <c r="K216" s="97" t="str">
        <f t="shared" si="70"/>
        <v>4045/4046</v>
      </c>
      <c r="L216" s="21" t="str">
        <f>VLOOKUP(A216,'Trips&amp;Operators'!$C$1:$G$99999,5,FALSE)</f>
        <v>SHOOK JOHN</v>
      </c>
      <c r="M216" s="6">
        <f t="shared" si="71"/>
        <v>5.4050925900810398E-3</v>
      </c>
      <c r="N216" s="7">
        <f t="shared" si="68"/>
        <v>7.7833333297166973</v>
      </c>
      <c r="O216" s="7"/>
      <c r="P216" s="7"/>
      <c r="Q216" s="22"/>
      <c r="R216" s="22"/>
      <c r="S216" s="31">
        <f t="shared" si="69"/>
        <v>1</v>
      </c>
      <c r="T216" s="46" t="str">
        <f t="shared" si="72"/>
        <v>Southbound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2" t="str">
        <f t="shared" si="73"/>
        <v>https://d0f6bd738d7f1b3e5a7ca70fe4ff75f0.us-east-1.aws.found.io/app/kibana#/discover/Steve-Slow-Train-Analysis-(2080s-and-2083s)?_g=(refreshInterval:(display:Off,pause:!f,section:0,value:0),time:(from:'2017-04-17T03:14:47-0600',mode:absolute,to:'2017-04-17T05:29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6" s="183" t="str">
        <f t="shared" si="74"/>
        <v>Y</v>
      </c>
      <c r="X216" s="183">
        <f t="shared" si="75"/>
        <v>1</v>
      </c>
      <c r="Y216" s="62">
        <f t="shared" si="76"/>
        <v>2.6095999999999999</v>
      </c>
      <c r="Z216" s="62">
        <f t="shared" si="77"/>
        <v>1.41E-2</v>
      </c>
      <c r="AA216" s="62">
        <f t="shared" si="78"/>
        <v>2.5954999999999999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79"/>
        <v>0310-17</v>
      </c>
      <c r="AE216" s="85" t="str">
        <f t="shared" si="80"/>
        <v>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 &amp; aws s3 cp s3://rtdc.mdm.uploadarchive.raw/RTDC4045/ "%USERPROFILE%\AppData\Local\Temp\OnboardLogs"\RTDC4045\2017-04-18 --exclude "*" --recursive --include "*20170418*" &amp; "%USERPROFILE%\Documents\GitHub\mrs-test-scripts\Headless Mode &amp; Sideloading\WalkAndUnGZ.bat" "%USERPROFILE%\AppData\Local\Temp\OnboardLogs"\RTDC4045\2017-04-18</v>
      </c>
      <c r="AF216" s="82" t="str">
        <f t="shared" si="81"/>
        <v>"C:\Program Files (x86)\AstroGrep\AstroGrep.exe" /e /r /s /spath="%USERPROFILE%\AppData\Local\Temp\OnboardLogs" /stypes="app*4045*20170417*" /stext=" 10:.+((SYSTEM_STATE.+slice.+state.+changed )|(ment ac)|(multiple cpu faults)|(system.+state.+changed )|(\[timeout)|(PRM\|1\|D)|(kpr)|(kdp)|(\|lc)|(penalty))"</v>
      </c>
      <c r="AG216" s="1" t="str">
        <f t="shared" si="82"/>
        <v>Other</v>
      </c>
      <c r="AH216" s="86" t="str">
        <f t="shared" si="83"/>
        <v>"%USERPROFILE%\Documents\GitHub\eaglep3\Utilities\RefineRTDCRunTimes.py" --tripid 310-17 --locoid 4045 --swversion DE.1.0.9.0 --startMP 300:26096 --initTime 2017-04-17T04:14:47 --startdatetime 2017-04-17T04:21:37 --delay 1 --endMP 204:141 --enddatetime 2017-04-17T04:29:24 --enforcementcount 0 &gt;&gt;C:\Users\stu\Documents\GitHub\eaglep3-reporting\EC\2017-04-17-refined-times.txt</v>
      </c>
      <c r="AI216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{"issue":{"subject":"","project_id":79,"tracker_id":40,"status_id":1,"priority_id":2,"assigned_to_id":23,"start_date":"2017-04-17","description":"","custom_fields":[{"id":1,"name":"Subdivision","value":"Other"},{"id":4,"name":"Milepost","value":"0.0141"},{"id":17,"name":"Train ID","value":"310-17"},{"id":16,"name":"Locomotive ID","value":"4045"},{"id":130,"name":"Impact","value":""},{"id":150,"name":"Time of Event (Mountain Time)","value":"04:29:24"},{"id":151,"name":"Denver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85"/>
        <v>start /low /b %USERPROFILE%\Documents\GitHub\eaglep3\Utilities\DownloadLogsFromS3.py --loco 4045 --day 2017-04-17</v>
      </c>
      <c r="AN216" s="159" t="str">
        <f t="shared" si="86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10:29:24"},{"id":29,"name":"Sharepoint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840</v>
      </c>
      <c r="B217" s="7">
        <v>4054</v>
      </c>
      <c r="C217" s="21" t="s">
        <v>213</v>
      </c>
      <c r="D217" s="21" t="s">
        <v>907</v>
      </c>
      <c r="E217" s="13">
        <v>42843.06726851852</v>
      </c>
      <c r="F217" s="13">
        <v>42843.06858796296</v>
      </c>
      <c r="G217" s="7">
        <v>1</v>
      </c>
      <c r="H217" s="21" t="s">
        <v>928</v>
      </c>
      <c r="I217" s="13">
        <v>42843.087881944448</v>
      </c>
      <c r="J217" s="7">
        <v>0</v>
      </c>
      <c r="K217" s="97" t="str">
        <f t="shared" si="70"/>
        <v>4053/4054</v>
      </c>
      <c r="L217" s="21" t="str">
        <f>VLOOKUP(A217,'Trips&amp;Operators'!$C$1:$G$99999,5,FALSE)</f>
        <v>STAMBAUGH JAMES</v>
      </c>
      <c r="M217" s="6">
        <f t="shared" si="71"/>
        <v>1.9293981487862766E-2</v>
      </c>
      <c r="N217" s="7">
        <f t="shared" si="68"/>
        <v>27.783333342522383</v>
      </c>
      <c r="O217" s="7"/>
      <c r="P217" s="7"/>
      <c r="Q217" s="22"/>
      <c r="R217" s="22"/>
      <c r="S217" s="31">
        <f t="shared" si="69"/>
        <v>1</v>
      </c>
      <c r="T217" s="46" t="str">
        <f t="shared" si="72"/>
        <v>NorthBound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2" t="str">
        <f t="shared" si="73"/>
        <v>https://d0f6bd738d7f1b3e5a7ca70fe4ff75f0.us-east-1.aws.found.io/app/kibana#/discover/Steve-Slow-Train-Analysis-(2080s-and-2083s)?_g=(refreshInterval:(display:Off,pause:!f,section:0,value:0),time:(from:'2017-04-18T00:36:52-0600',mode:absolute,to:'2017-04-18T03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7" s="183" t="str">
        <f t="shared" si="74"/>
        <v>Y</v>
      </c>
      <c r="X217" s="183">
        <f t="shared" si="75"/>
        <v>1</v>
      </c>
      <c r="Y217" s="62">
        <f t="shared" si="76"/>
        <v>4.1799999999999997E-2</v>
      </c>
      <c r="Z217" s="62">
        <f t="shared" si="77"/>
        <v>2.3311999999999999</v>
      </c>
      <c r="AA217" s="62">
        <f t="shared" si="78"/>
        <v>2.2894000000000001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79"/>
        <v>0311-17</v>
      </c>
      <c r="AE217" s="85" t="str">
        <f t="shared" si="80"/>
        <v>aws s3 cp s3://rtdc.mdm.uploadarchive.raw/RTDC4054/ "%USERPROFILE%\AppData\Local\Temp\OnboardLogs"\RTDC4054\2017-04-18 --exclude "*" --recursive --include "*20170418*" &amp; "%USERPROFILE%\Documents\GitHub\mrs-test-scripts\Headless Mode &amp; Sideloading\WalkAndUnGZ.bat" "%USERPROFILE%\AppData\Local\Temp\OnboardLogs"\RTDC4054\2017-04-18 &amp; aws s3 cp s3://rtdc.mdm.uploadarchive.raw/RTDC4054/ "%USERPROFILE%\AppData\Local\Temp\OnboardLogs"\RTDC4054\2017-04-19 --exclude "*" --recursive --include "*20170419*" &amp; "%USERPROFILE%\Documents\GitHub\mrs-test-scripts\Headless Mode &amp; Sideloading\WalkAndUnGZ.bat" "%USERPROFILE%\AppData\Local\Temp\OnboardLogs"\RTDC4054\2017-04-19</v>
      </c>
      <c r="AF217" s="82" t="str">
        <f t="shared" si="81"/>
        <v>"C:\Program Files (x86)\AstroGrep\AstroGrep.exe" /e /r /s /spath="%USERPROFILE%\AppData\Local\Temp\OnboardLogs" /stypes="app*4054*20170418*" /stext=" 08:.+((SYSTEM_STATE.+slice.+state.+changed )|(ment ac)|(multiple cpu faults)|(system.+state.+changed )|(\[timeout)|(PRM\|1\|D)|(kpr)|(kdp)|(\|lc)|(penalty))"</v>
      </c>
      <c r="AG217" s="1" t="str">
        <f t="shared" si="82"/>
        <v>Other</v>
      </c>
      <c r="AH217" s="86" t="str">
        <f t="shared" si="83"/>
        <v>"%USERPROFILE%\Documents\GitHub\eaglep3\Utilities\RefineRTDCRunTimes.py" --tripid 311-17 --locoid 4054 --swversion DE.1.0.9.0 --startMP 204:418 --initTime 2017-04-18T01:36:52 --startdatetime 2017-04-18T01:38:46 --delay 1 --endMP 300:23312 --enddatetime 2017-04-18T02:06:33 --enforcementcount 0 &gt;&gt;C:\Users\stu\Documents\GitHub\eaglep3-reporting\EC\2017-04-17-refined-times.txt</v>
      </c>
      <c r="AI217" s="104" t="str">
        <f t="shared" si="84"/>
        <v>echo {"issue":{"subject":"","project_id":79,"tracker_id":40,"status_id":1,"priority_id":2,"assigned_to_id":23,"start_date":"2017-04-18","description":"","custom_fields":[{"id":1,"name":"Subdivision","value":"Other"},{"id":4,"name":"Milepost","value":"2.3312"},{"id":17,"name":"Train ID","value":"311-17"},{"id":16,"name":"Locomotive ID","value":"4054"},{"id":130,"name":"Impact","value":""},{"id":150,"name":"Time of Event (Mountain Time)","value":"02:06:33"},{"id":151,"name":"Denver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50" t="str">
        <f t="shared" si="85"/>
        <v>start /low /b %USERPROFILE%\Documents\GitHub\eaglep3\Utilities\DownloadLogsFromS3.py --loco 4054 --day 2017-04-18</v>
      </c>
      <c r="AN217" s="159" t="str">
        <f t="shared" si="86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08:06:33"},{"id":29,"name":"Sharepoint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841</v>
      </c>
      <c r="B218" s="7">
        <v>4028</v>
      </c>
      <c r="C218" s="21" t="s">
        <v>213</v>
      </c>
      <c r="D218" s="21" t="s">
        <v>528</v>
      </c>
      <c r="E218" s="13">
        <v>42843.089907407404</v>
      </c>
      <c r="F218" s="13">
        <v>42843.091157407405</v>
      </c>
      <c r="G218" s="7">
        <v>1</v>
      </c>
      <c r="H218" s="21" t="s">
        <v>935</v>
      </c>
      <c r="I218" s="13">
        <v>42843.096076388887</v>
      </c>
      <c r="J218" s="7">
        <v>0</v>
      </c>
      <c r="K218" s="97" t="str">
        <f t="shared" si="70"/>
        <v>4027/4028</v>
      </c>
      <c r="L218" s="21" t="str">
        <f>VLOOKUP(A218,'Trips&amp;Operators'!$C$1:$G$99999,5,FALSE)</f>
        <v>STORY SAMANTHA</v>
      </c>
      <c r="M218" s="6">
        <f t="shared" si="71"/>
        <v>4.9189814817509614E-3</v>
      </c>
      <c r="N218" s="7">
        <f t="shared" si="68"/>
        <v>7.0833333337213844</v>
      </c>
      <c r="O218" s="7"/>
      <c r="P218" s="7"/>
      <c r="Q218" s="22"/>
      <c r="R218" s="22"/>
      <c r="S218" s="31">
        <f t="shared" si="69"/>
        <v>1</v>
      </c>
      <c r="T218" s="46" t="str">
        <f t="shared" si="72"/>
        <v>NorthBound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2" t="str">
        <f t="shared" si="73"/>
        <v>https://d0f6bd738d7f1b3e5a7ca70fe4ff75f0.us-east-1.aws.found.io/app/kibana#/discover/Steve-Slow-Train-Analysis-(2080s-and-2083s)?_g=(refreshInterval:(display:Off,pause:!f,section:0,value:0),time:(from:'2017-04-18T01:09:28-0600',mode:absolute,to:'2017-04-18T03:18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8" s="183" t="str">
        <f t="shared" si="74"/>
        <v>Y</v>
      </c>
      <c r="X218" s="183">
        <f t="shared" si="75"/>
        <v>2</v>
      </c>
      <c r="Y218" s="62">
        <f t="shared" si="76"/>
        <v>4.8399999999999999E-2</v>
      </c>
      <c r="Z218" s="62">
        <f t="shared" si="77"/>
        <v>2.2544</v>
      </c>
      <c r="AA218" s="62">
        <f t="shared" si="78"/>
        <v>2.206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79"/>
        <v>0313-17</v>
      </c>
      <c r="AE218" s="85" t="str">
        <f t="shared" si="80"/>
        <v>aws s3 cp s3://rtdc.mdm.uploadarchive.raw/RTDC4028/ "%USERPROFILE%\AppData\Local\Temp\OnboardLogs"\RTDC4028\2017-04-18 --exclude "*" --recursive --include "*20170418*" &amp; "%USERPROFILE%\Documents\GitHub\mrs-test-scripts\Headless Mode &amp; Sideloading\WalkAndUnGZ.bat" "%USERPROFILE%\AppData\Local\Temp\OnboardLogs"\RTDC4028\2017-04-18 &amp; aws s3 cp s3://rtdc.mdm.uploadarchive.raw/RTDC4028/ "%USERPROFILE%\AppData\Local\Temp\OnboardLogs"\RTDC4028\2017-04-19 --exclude "*" --recursive --include "*20170419*" &amp; "%USERPROFILE%\Documents\GitHub\mrs-test-scripts\Headless Mode &amp; Sideloading\WalkAndUnGZ.bat" "%USERPROFILE%\AppData\Local\Temp\OnboardLogs"\RTDC4028\2017-04-19</v>
      </c>
      <c r="AF218" s="82" t="str">
        <f t="shared" si="81"/>
        <v>"C:\Program Files (x86)\AstroGrep\AstroGrep.exe" /e /r /s /spath="%USERPROFILE%\AppData\Local\Temp\OnboardLogs" /stypes="app*4028*20170418*" /stext=" 08:.+((SYSTEM_STATE.+slice.+state.+changed )|(ment ac)|(multiple cpu faults)|(system.+state.+changed )|(\[timeout)|(PRM\|1\|D)|(kpr)|(kdp)|(\|lc)|(penalty))"</v>
      </c>
      <c r="AG218" s="1" t="str">
        <f t="shared" si="82"/>
        <v>Other</v>
      </c>
      <c r="AH218" s="86" t="str">
        <f t="shared" si="83"/>
        <v>"%USERPROFILE%\Documents\GitHub\eaglep3\Utilities\RefineRTDCRunTimes.py" --tripid 313-17 --locoid 4028 --swversion DE.1.0.9.0 --startMP 204:484 --initTime 2017-04-18T02:09:28 --startdatetime 2017-04-18T02:11:16 --delay 1 --endMP 300:22544 --enddatetime 2017-04-18T02:18:21 --enforcementcount 0 &gt;&gt;C:\Users\stu\Documents\GitHub\eaglep3-reporting\EC\2017-04-17-refined-times.txt</v>
      </c>
      <c r="AI218" s="104" t="str">
        <f t="shared" si="84"/>
        <v>echo {"issue":{"subject":"","project_id":79,"tracker_id":40,"status_id":1,"priority_id":2,"assigned_to_id":23,"start_date":"2017-04-18","description":"","custom_fields":[{"id":1,"name":"Subdivision","value":"Other"},{"id":4,"name":"Milepost","value":"2.2544"},{"id":17,"name":"Train ID","value":"313-17"},{"id":16,"name":"Locomotive ID","value":"4028"},{"id":130,"name":"Impact","value":""},{"id":150,"name":"Time of Event (Mountain Time)","value":"02:18:21"},{"id":151,"name":"Denver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 t="shared" si="85"/>
        <v>start /low /b %USERPROFILE%\Documents\GitHub\eaglep3\Utilities\DownloadLogsFromS3.py --loco 4028 --day 2017-04-18</v>
      </c>
      <c r="AN218" s="159" t="str">
        <f t="shared" si="86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08:18:21"},{"id":29,"name":"Sharepoint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836</v>
      </c>
      <c r="B219" s="7">
        <v>4008</v>
      </c>
      <c r="C219" s="21" t="s">
        <v>213</v>
      </c>
      <c r="D219" s="21" t="s">
        <v>915</v>
      </c>
      <c r="E219" s="13">
        <v>42843.028506944444</v>
      </c>
      <c r="F219" s="13">
        <v>42843.029641203706</v>
      </c>
      <c r="G219" s="7">
        <v>1</v>
      </c>
      <c r="H219" s="21" t="s">
        <v>596</v>
      </c>
      <c r="I219" s="13">
        <v>42843.035671296297</v>
      </c>
      <c r="J219" s="7">
        <v>0</v>
      </c>
      <c r="K219" s="97" t="str">
        <f t="shared" si="70"/>
        <v>4007/4008</v>
      </c>
      <c r="L219" s="21" t="str">
        <f>VLOOKUP(A219,'Trips&amp;Operators'!$C$1:$G$99999,5,FALSE)</f>
        <v>CHANDLER KELVIN</v>
      </c>
      <c r="M219" s="6">
        <f t="shared" si="71"/>
        <v>6.0300925906631164E-3</v>
      </c>
      <c r="N219" s="7">
        <f t="shared" si="68"/>
        <v>8.6833333305548877</v>
      </c>
      <c r="O219" s="7"/>
      <c r="P219" s="7"/>
      <c r="Q219" s="22"/>
      <c r="R219" s="22"/>
      <c r="S219" s="31">
        <f t="shared" si="69"/>
        <v>1</v>
      </c>
      <c r="T219" s="46" t="str">
        <f t="shared" si="72"/>
        <v>NorthBound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2" t="str">
        <f t="shared" si="73"/>
        <v>https://d0f6bd738d7f1b3e5a7ca70fe4ff75f0.us-east-1.aws.found.io/app/kibana#/discover/Steve-Slow-Train-Analysis-(2080s-and-2083s)?_g=(refreshInterval:(display:Off,pause:!f,section:0,value:0),time:(from:'2017-04-17T23:41:03-0600',mode:absolute,to:'2017-04-18T01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9" s="183" t="str">
        <f t="shared" si="74"/>
        <v>Y</v>
      </c>
      <c r="X219" s="183">
        <f t="shared" si="75"/>
        <v>2</v>
      </c>
      <c r="Y219" s="62">
        <f t="shared" si="76"/>
        <v>4.6399999999999997E-2</v>
      </c>
      <c r="Z219" s="62">
        <f t="shared" si="77"/>
        <v>2.3304</v>
      </c>
      <c r="AA219" s="62">
        <f t="shared" si="78"/>
        <v>2.2839999999999998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79"/>
        <v>0315-17</v>
      </c>
      <c r="AE219" s="85" t="str">
        <f t="shared" si="80"/>
        <v>aws s3 cp s3://rtdc.mdm.uploadarchive.raw/RTDC4008/ "%USERPROFILE%\AppData\Local\Temp\OnboardLogs"\RTDC4008\2017-04-18 --exclude "*" --recursive --include "*20170418*" &amp; "%USERPROFILE%\Documents\GitHub\mrs-test-scripts\Headless Mode &amp; Sideloading\WalkAndUnGZ.bat" "%USERPROFILE%\AppData\Local\Temp\OnboardLogs"\RTDC4008\2017-04-18 &amp; aws s3 cp s3://rtdc.mdm.uploadarchive.raw/RTDC4008/ "%USERPROFILE%\AppData\Local\Temp\OnboardLogs"\RTDC4008\2017-04-19 --exclude "*" --recursive --include "*20170419*" &amp; "%USERPROFILE%\Documents\GitHub\mrs-test-scripts\Headless Mode &amp; Sideloading\WalkAndUnGZ.bat" "%USERPROFILE%\AppData\Local\Temp\OnboardLogs"\RTDC4008\2017-04-19</v>
      </c>
      <c r="AF219" s="82" t="str">
        <f t="shared" si="81"/>
        <v>"C:\Program Files (x86)\AstroGrep\AstroGrep.exe" /e /r /s /spath="%USERPROFILE%\AppData\Local\Temp\OnboardLogs" /stypes="app*4008*20170418*" /stext=" 06:.+((SYSTEM_STATE.+slice.+state.+changed )|(ment ac)|(multiple cpu faults)|(system.+state.+changed )|(\[timeout)|(PRM\|1\|D)|(kpr)|(kdp)|(\|lc)|(penalty))"</v>
      </c>
      <c r="AG219" s="1" t="str">
        <f t="shared" si="82"/>
        <v>Other</v>
      </c>
      <c r="AH219" s="86" t="str">
        <f t="shared" si="83"/>
        <v>"%USERPROFILE%\Documents\GitHub\eaglep3\Utilities\RefineRTDCRunTimes.py" --tripid 315-17 --locoid 4008 --swversion DE.1.0.9.0 --startMP 204:464 --initTime 2017-04-18T00:41:03 --startdatetime 2017-04-18T00:42:41 --delay 1 --endMP 300:23304 --enddatetime 2017-04-18T00:51:22 --enforcementcount 0 &gt;&gt;C:\Users\stu\Documents\GitHub\eaglep3-reporting\EC\2017-04-17-refined-times.txt</v>
      </c>
      <c r="AI219" s="104" t="str">
        <f t="shared" si="84"/>
        <v>echo {"issue":{"subject":"","project_id":79,"tracker_id":40,"status_id":1,"priority_id":2,"assigned_to_id":23,"start_date":"2017-04-18","description":"","custom_fields":[{"id":1,"name":"Subdivision","value":"Other"},{"id":4,"name":"Milepost","value":"2.3304"},{"id":17,"name":"Train ID","value":"315-17"},{"id":16,"name":"Locomotive ID","value":"4008"},{"id":130,"name":"Impact","value":""},{"id":150,"name":"Time of Event (Mountain Time)","value":"00:51:22"},{"id":151,"name":"Denver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8"/>
      <c r="AL219" s="48"/>
      <c r="AM219" s="150" t="str">
        <f t="shared" si="85"/>
        <v>start /low /b %USERPROFILE%\Documents\GitHub\eaglep3\Utilities\DownloadLogsFromS3.py --loco 4008 --day 2017-04-18</v>
      </c>
      <c r="AN219" s="159" t="str">
        <f t="shared" si="86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06:51:22"},{"id":29,"name":"Sharepoint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650</v>
      </c>
      <c r="B220" s="7">
        <v>4018</v>
      </c>
      <c r="C220" s="21" t="s">
        <v>213</v>
      </c>
      <c r="D220" s="21" t="s">
        <v>1019</v>
      </c>
      <c r="E220" s="13">
        <v>42842.205312500002</v>
      </c>
      <c r="F220" s="13">
        <v>42842.20888888889</v>
      </c>
      <c r="G220" s="7">
        <v>5</v>
      </c>
      <c r="H220" s="21" t="s">
        <v>974</v>
      </c>
      <c r="I220" s="13">
        <v>42842.214155092595</v>
      </c>
      <c r="J220" s="7">
        <v>0</v>
      </c>
      <c r="K220" s="97" t="str">
        <f t="shared" si="70"/>
        <v>4017/4018</v>
      </c>
      <c r="L220" s="21" t="str">
        <f>VLOOKUP(A220,'Trips&amp;Operators'!$C$1:$G$99999,5,FALSE)</f>
        <v>LALONDE GREGORY</v>
      </c>
      <c r="M220" s="6">
        <f t="shared" si="71"/>
        <v>5.2662037051049992E-3</v>
      </c>
      <c r="N220" s="7">
        <f t="shared" si="68"/>
        <v>7.5833333353511989</v>
      </c>
      <c r="O220" s="7"/>
      <c r="P220" s="7"/>
      <c r="Q220" s="22"/>
      <c r="R220" s="22"/>
      <c r="S220" s="31">
        <f t="shared" si="69"/>
        <v>0</v>
      </c>
      <c r="T220" s="46" t="str">
        <f t="shared" si="72"/>
        <v>NorthBound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2" t="str">
        <f t="shared" si="73"/>
        <v>https://d0f6bd738d7f1b3e5a7ca70fe4ff75f0.us-east-1.aws.found.io/app/kibana#/discover/Steve-Slow-Train-Analysis-(2080s-and-2083s)?_g=(refreshInterval:(display:Off,pause:!f,section:0,value:0),time:(from:'2017-04-17T03:55:39-0600',mode:absolute,to:'2017-04-17T06:08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0" s="183" t="str">
        <f t="shared" si="74"/>
        <v>Y</v>
      </c>
      <c r="X220" s="183">
        <f t="shared" si="75"/>
        <v>586</v>
      </c>
      <c r="Y220" s="62">
        <f t="shared" si="76"/>
        <v>3.0243000000000002</v>
      </c>
      <c r="Z220" s="62">
        <f t="shared" si="77"/>
        <v>5.8971</v>
      </c>
      <c r="AA220" s="62">
        <f t="shared" si="78"/>
        <v>2.8727999999999998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79"/>
        <v>0901-17</v>
      </c>
      <c r="AE220" s="85" t="str">
        <f t="shared" si="80"/>
        <v>aws s3 cp s3://rtdc.mdm.uploadarchive.raw/RTDC4018/ "%USERPROFILE%\AppData\Local\Temp\OnboardLogs"\RTDC4018\2017-04-17 --exclude "*" --recursive --include "*20170417*" &amp; "%USERPROFILE%\Documents\GitHub\mrs-test-scripts\Headless Mode &amp; Sideloading\WalkAndUnGZ.bat" "%USERPROFILE%\AppData\Local\Temp\OnboardLogs"\RTDC4018\2017-04-17 &amp; aws s3 cp s3://rtdc.mdm.uploadarchive.raw/RTDC4018/ "%USERPROFILE%\AppData\Local\Temp\OnboardLogs"\RTDC4018\2017-04-18 --exclude "*" --recursive --include "*20170418*" &amp; "%USERPROFILE%\Documents\GitHub\mrs-test-scripts\Headless Mode &amp; Sideloading\WalkAndUnGZ.bat" "%USERPROFILE%\AppData\Local\Temp\OnboardLogs"\RTDC4018\2017-04-18</v>
      </c>
      <c r="AF220" s="82" t="str">
        <f t="shared" si="81"/>
        <v>"C:\Program Files (x86)\AstroGrep\AstroGrep.exe" /e /r /s /spath="%USERPROFILE%\AppData\Local\Temp\OnboardLogs" /stypes="app*4018*20170417*" /stext=" 11:.+((SYSTEM_STATE.+slice.+state.+changed )|(ment ac)|(multiple cpu faults)|(system.+state.+changed )|(\[timeout)|(PRM\|1\|D)|(kpr)|(kdp)|(\|lc)|(penalty))"</v>
      </c>
      <c r="AG220" s="1" t="str">
        <f t="shared" si="82"/>
        <v>Other</v>
      </c>
      <c r="AH220" s="86" t="str">
        <f t="shared" si="83"/>
        <v>"%USERPROFILE%\Documents\GitHub\eaglep3\Utilities\RefineRTDCRunTimes.py" --tripid 901-17 --locoid 4018 --swversion DE.1.0.9.0 --startMP 300:30243 --initTime 2017-04-17T04:55:39 --startdatetime 2017-04-17T05:00:48 --delay 5 --endMP 300:58971 --enddatetime 2017-04-17T05:08:23 --enforcementcount 0 &gt;&gt;C:\Users\stu\Documents\GitHub\eaglep3-reporting\EC\2017-04-17-refined-times.txt</v>
      </c>
      <c r="AI220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{"issue":{"subject":"","project_id":79,"tracker_id":40,"status_id":1,"priority_id":2,"assigned_to_id":23,"start_date":"2017-04-17","description":"","custom_fields":[{"id":1,"name":"Subdivision","value":"Other"},{"id":4,"name":"Milepost","value":"5.8971"},{"id":17,"name":"Train ID","value":"901-17"},{"id":16,"name":"Locomotive ID","value":"4018"},{"id":130,"name":"Impact","value":""},{"id":150,"name":"Time of Event (Mountain Time)","value":"05:08:23"},{"id":151,"name":"Denver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8"/>
      <c r="AL220" s="48"/>
      <c r="AM220" s="150" t="str">
        <f t="shared" si="85"/>
        <v>start /low /b %USERPROFILE%\Documents\GitHub\eaglep3\Utilities\DownloadLogsFromS3.py --loco 4018 --day 2017-04-17</v>
      </c>
      <c r="AN220" s="159" t="str">
        <f t="shared" si="86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11:08:23"},{"id":29,"name":"Sharepoint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3" t="s">
        <v>662</v>
      </c>
      <c r="B221" s="7">
        <v>4023</v>
      </c>
      <c r="C221" s="21" t="s">
        <v>213</v>
      </c>
      <c r="D221" s="21" t="s">
        <v>1020</v>
      </c>
      <c r="E221" s="13">
        <v>42842.246446759258</v>
      </c>
      <c r="F221" s="13">
        <v>42842.249490740738</v>
      </c>
      <c r="G221" s="7">
        <v>4</v>
      </c>
      <c r="H221" s="21" t="s">
        <v>1021</v>
      </c>
      <c r="I221" s="13">
        <v>42842.25445601852</v>
      </c>
      <c r="J221" s="7">
        <v>0</v>
      </c>
      <c r="K221" s="97" t="str">
        <f t="shared" si="70"/>
        <v>4023/4024</v>
      </c>
      <c r="L221" s="21" t="str">
        <f>VLOOKUP(A221,'Trips&amp;Operators'!$C$1:$G$99999,5,FALSE)</f>
        <v>ROCHA YAOTL</v>
      </c>
      <c r="M221" s="6">
        <f t="shared" si="71"/>
        <v>4.9652777815936133E-3</v>
      </c>
      <c r="N221" s="7">
        <f t="shared" si="68"/>
        <v>7.1500000054948032</v>
      </c>
      <c r="O221" s="7"/>
      <c r="P221" s="7"/>
      <c r="Q221" s="22"/>
      <c r="R221" s="22"/>
      <c r="S221" s="31">
        <f t="shared" si="69"/>
        <v>1</v>
      </c>
      <c r="T221" s="46" t="str">
        <f t="shared" si="72"/>
        <v>Southbound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2" t="str">
        <f t="shared" si="73"/>
        <v>https://d0f6bd738d7f1b3e5a7ca70fe4ff75f0.us-east-1.aws.found.io/app/kibana#/discover/Steve-Slow-Train-Analysis-(2080s-and-2083s)?_g=(refreshInterval:(display:Off,pause:!f,section:0,value:0),time:(from:'2017-04-17T04:54:53-0600',mode:absolute,to:'2017-04-17T07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1" s="183" t="str">
        <f t="shared" si="74"/>
        <v>Y</v>
      </c>
      <c r="X221" s="183">
        <f t="shared" si="75"/>
        <v>1</v>
      </c>
      <c r="Y221" s="62">
        <f t="shared" si="76"/>
        <v>2.3452999999999999</v>
      </c>
      <c r="Z221" s="62">
        <f t="shared" si="77"/>
        <v>6.5000000000000002E-2</v>
      </c>
      <c r="AA221" s="62">
        <f t="shared" si="78"/>
        <v>2.2803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79"/>
        <v>0902-17</v>
      </c>
      <c r="AE221" s="85" t="str">
        <f t="shared" si="80"/>
        <v>aws s3 cp s3://rtdc.mdm.uploadarchive.raw/RTDC4023/ "%USERPROFILE%\AppData\Local\Temp\OnboardLogs"\RTDC4023\2017-04-17 --exclude "*" --recursive --include "*20170417*" &amp; "%USERPROFILE%\Documents\GitHub\mrs-test-scripts\Headless Mode &amp; Sideloading\WalkAndUnGZ.bat" "%USERPROFILE%\AppData\Local\Temp\OnboardLogs"\RTDC4023\2017-04-17 &amp; aws s3 cp s3://rtdc.mdm.uploadarchive.raw/RTDC4023/ "%USERPROFILE%\AppData\Local\Temp\OnboardLogs"\RTDC4023\2017-04-18 --exclude "*" --recursive --include "*20170418*" &amp; "%USERPROFILE%\Documents\GitHub\mrs-test-scripts\Headless Mode &amp; Sideloading\WalkAndUnGZ.bat" "%USERPROFILE%\AppData\Local\Temp\OnboardLogs"\RTDC4023\2017-04-18</v>
      </c>
      <c r="AF221" s="82" t="str">
        <f t="shared" si="81"/>
        <v>"C:\Program Files (x86)\AstroGrep\AstroGrep.exe" /e /r /s /spath="%USERPROFILE%\AppData\Local\Temp\OnboardLogs" /stypes="app*4023*20170417*" /stext=" 12:.+((SYSTEM_STATE.+slice.+state.+changed )|(ment ac)|(multiple cpu faults)|(system.+state.+changed )|(\[timeout)|(PRM\|1\|D)|(kpr)|(kdp)|(\|lc)|(penalty))"</v>
      </c>
      <c r="AG221" s="1" t="str">
        <f t="shared" si="82"/>
        <v>Other</v>
      </c>
      <c r="AH221" s="86" t="str">
        <f t="shared" si="83"/>
        <v>"%USERPROFILE%\Documents\GitHub\eaglep3\Utilities\RefineRTDCRunTimes.py" --tripid 902-17 --locoid 4023 --swversion DE.1.0.9.0 --startMP 300:23453 --initTime 2017-04-17T05:54:53 --startdatetime 2017-04-17T05:59:16 --delay 4 --endMP 204:650 --enddatetime 2017-04-17T06:06:25 --enforcementcount 0 &gt;&gt;C:\Users\stu\Documents\GitHub\eaglep3-reporting\EC\2017-04-17-refined-times.txt</v>
      </c>
      <c r="AI221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{"issue":{"subject":"","project_id":79,"tracker_id":40,"status_id":1,"priority_id":2,"assigned_to_id":23,"start_date":"2017-04-17","description":"","custom_fields":[{"id":1,"name":"Subdivision","value":"Other"},{"id":4,"name":"Milepost","value":"0.065"},{"id":17,"name":"Train ID","value":"902-17"},{"id":16,"name":"Locomotive ID","value":"4023"},{"id":130,"name":"Impact","value":""},{"id":150,"name":"Time of Event (Mountain Time)","value":"06:06:25"},{"id":151,"name":"Denver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8"/>
      <c r="AL221" s="48"/>
      <c r="AM221" s="150" t="str">
        <f t="shared" si="85"/>
        <v>start /low /b %USERPROFILE%\Documents\GitHub\eaglep3\Utilities\DownloadLogsFromS3.py --loco 4023 --day 2017-04-17</v>
      </c>
      <c r="AN221" s="159" t="str">
        <f t="shared" si="86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12:06:25"},{"id":29,"name":"Sharepoint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696</v>
      </c>
      <c r="B222" s="7">
        <v>4018</v>
      </c>
      <c r="C222" s="21" t="s">
        <v>213</v>
      </c>
      <c r="D222" s="21" t="s">
        <v>1022</v>
      </c>
      <c r="E222" s="13">
        <v>42842.352696759262</v>
      </c>
      <c r="F222" s="13">
        <v>42842.35423611111</v>
      </c>
      <c r="G222" s="7">
        <v>1</v>
      </c>
      <c r="H222" s="21" t="s">
        <v>1023</v>
      </c>
      <c r="I222" s="13">
        <v>42842.359074074076</v>
      </c>
      <c r="J222" s="7">
        <v>0</v>
      </c>
      <c r="K222" s="97" t="str">
        <f t="shared" si="70"/>
        <v>4017/4018</v>
      </c>
      <c r="L222" s="21" t="str">
        <f>VLOOKUP(A222,'Trips&amp;Operators'!$C$1:$G$99999,5,FALSE)</f>
        <v>LALONDE GREGORY</v>
      </c>
      <c r="M222" s="6">
        <f t="shared" si="71"/>
        <v>4.8379629661212675E-3</v>
      </c>
      <c r="N222" s="7">
        <f t="shared" si="68"/>
        <v>6.9666666712146252</v>
      </c>
      <c r="O222" s="7"/>
      <c r="P222" s="7"/>
      <c r="Q222" s="22"/>
      <c r="R222" s="22"/>
      <c r="S222" s="31">
        <f t="shared" si="69"/>
        <v>1</v>
      </c>
      <c r="T222" s="46" t="str">
        <f t="shared" si="72"/>
        <v>NorthBound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2" t="str">
        <f t="shared" si="73"/>
        <v>https://d0f6bd738d7f1b3e5a7ca70fe4ff75f0.us-east-1.aws.found.io/app/kibana#/discover/Steve-Slow-Train-Analysis-(2080s-and-2083s)?_g=(refreshInterval:(display:Off,pause:!f,section:0,value:0),time:(from:'2017-04-17T07:27:53-0600',mode:absolute,to:'2017-04-17T09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2" s="183" t="str">
        <f t="shared" si="74"/>
        <v>Y</v>
      </c>
      <c r="X222" s="183">
        <f t="shared" si="75"/>
        <v>1</v>
      </c>
      <c r="Y222" s="62">
        <f t="shared" si="76"/>
        <v>9.7199999999999995E-2</v>
      </c>
      <c r="Z222" s="62">
        <f t="shared" si="77"/>
        <v>2.4224000000000001</v>
      </c>
      <c r="AA222" s="62">
        <f t="shared" si="78"/>
        <v>2.3252000000000002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79"/>
        <v>0903-17</v>
      </c>
      <c r="AE222" s="85" t="str">
        <f t="shared" si="80"/>
        <v>aws s3 cp s3://rtdc.mdm.uploadarchive.raw/RTDC4018/ "%USERPROFILE%\AppData\Local\Temp\OnboardLogs"\RTDC4018\2017-04-17 --exclude "*" --recursive --include "*20170417*" &amp; "%USERPROFILE%\Documents\GitHub\mrs-test-scripts\Headless Mode &amp; Sideloading\WalkAndUnGZ.bat" "%USERPROFILE%\AppData\Local\Temp\OnboardLogs"\RTDC4018\2017-04-17 &amp; aws s3 cp s3://rtdc.mdm.uploadarchive.raw/RTDC4018/ "%USERPROFILE%\AppData\Local\Temp\OnboardLogs"\RTDC4018\2017-04-18 --exclude "*" --recursive --include "*20170418*" &amp; "%USERPROFILE%\Documents\GitHub\mrs-test-scripts\Headless Mode &amp; Sideloading\WalkAndUnGZ.bat" "%USERPROFILE%\AppData\Local\Temp\OnboardLogs"\RTDC4018\2017-04-18</v>
      </c>
      <c r="AF222" s="82" t="str">
        <f t="shared" si="81"/>
        <v>"C:\Program Files (x86)\AstroGrep\AstroGrep.exe" /e /r /s /spath="%USERPROFILE%\AppData\Local\Temp\OnboardLogs" /stypes="app*4018*20170417*" /stext=" 14:.+((SYSTEM_STATE.+slice.+state.+changed )|(ment ac)|(multiple cpu faults)|(system.+state.+changed )|(\[timeout)|(PRM\|1\|D)|(kpr)|(kdp)|(\|lc)|(penalty))"</v>
      </c>
      <c r="AG222" s="1" t="str">
        <f t="shared" si="82"/>
        <v>Other</v>
      </c>
      <c r="AH222" s="86" t="str">
        <f t="shared" si="83"/>
        <v>"%USERPROFILE%\Documents\GitHub\eaglep3\Utilities\RefineRTDCRunTimes.py" --tripid 903-17 --locoid 4018 --swversion DE.1.0.9.0 --startMP 204:972 --initTime 2017-04-17T08:27:53 --startdatetime 2017-04-17T08:30:06 --delay 1 --endMP 300:24224 --enddatetime 2017-04-17T08:37:04 --enforcementcount 0 &gt;&gt;C:\Users\stu\Documents\GitHub\eaglep3-reporting\EC\2017-04-17-refined-times.txt</v>
      </c>
      <c r="AI222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{"issue":{"subject":"","project_id":79,"tracker_id":40,"status_id":1,"priority_id":2,"assigned_to_id":23,"start_date":"2017-04-17","description":"","custom_fields":[{"id":1,"name":"Subdivision","value":"Other"},{"id":4,"name":"Milepost","value":"2.4224"},{"id":17,"name":"Train ID","value":"903-17"},{"id":16,"name":"Locomotive ID","value":"4018"},{"id":130,"name":"Impact","value":""},{"id":150,"name":"Time of Event (Mountain Time)","value":"08:37:04"},{"id":151,"name":"Denver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8"/>
      <c r="AL222" s="48"/>
      <c r="AM222" s="150" t="str">
        <f t="shared" si="85"/>
        <v>start /low /b %USERPROFILE%\Documents\GitHub\eaglep3\Utilities\DownloadLogsFromS3.py --loco 4018 --day 2017-04-17</v>
      </c>
      <c r="AN222" s="159" t="str">
        <f t="shared" si="86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14:37:04"},{"id":29,"name":"Sharepoint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768</v>
      </c>
      <c r="B223" s="7">
        <v>4017</v>
      </c>
      <c r="C223" s="21" t="s">
        <v>213</v>
      </c>
      <c r="D223" s="21" t="s">
        <v>932</v>
      </c>
      <c r="E223" s="13">
        <v>42842.641550925924</v>
      </c>
      <c r="F223" s="13">
        <v>42842.643726851849</v>
      </c>
      <c r="G223" s="7">
        <v>3</v>
      </c>
      <c r="H223" s="21" t="s">
        <v>966</v>
      </c>
      <c r="I223" s="13">
        <v>42842.648680555554</v>
      </c>
      <c r="J223" s="7">
        <v>0</v>
      </c>
      <c r="K223" s="97" t="str">
        <f t="shared" si="70"/>
        <v>4017/4018</v>
      </c>
      <c r="L223" s="21" t="str">
        <f>VLOOKUP(A223,'Trips&amp;Operators'!$C$1:$G$99999,5,FALSE)</f>
        <v>NEWELL JAMES</v>
      </c>
      <c r="M223" s="6">
        <f t="shared" si="71"/>
        <v>4.9537037048139609E-3</v>
      </c>
      <c r="N223" s="7">
        <f t="shared" ref="N223:N242" si="87">24*60*SUM($M223:$M223)</f>
        <v>7.1333333349321038</v>
      </c>
      <c r="O223" s="7"/>
      <c r="P223" s="7"/>
      <c r="Q223" s="22"/>
      <c r="R223" s="22"/>
      <c r="S223" s="31">
        <f t="shared" ref="S223:S242" si="88">SUM(U223:U223)/IF(AG223="EC",12,1)</f>
        <v>1</v>
      </c>
      <c r="T223" s="46" t="str">
        <f t="shared" si="72"/>
        <v>Southbound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82" t="str">
        <f t="shared" si="73"/>
        <v>https://d0f6bd738d7f1b3e5a7ca70fe4ff75f0.us-east-1.aws.found.io/app/kibana#/discover/Steve-Slow-Train-Analysis-(2080s-and-2083s)?_g=(refreshInterval:(display:Off,pause:!f,section:0,value:0),time:(from:'2017-04-17T14:23:50-0600',mode:absolute,to:'2017-04-17T16:34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3" s="183" t="str">
        <f t="shared" si="74"/>
        <v>Y</v>
      </c>
      <c r="X223" s="183">
        <f t="shared" si="75"/>
        <v>1</v>
      </c>
      <c r="Y223" s="62">
        <f t="shared" si="76"/>
        <v>2.3403999999999998</v>
      </c>
      <c r="Z223" s="62">
        <f t="shared" si="77"/>
        <v>6.6100000000000006E-2</v>
      </c>
      <c r="AA223" s="62">
        <f t="shared" si="78"/>
        <v>2.2742999999999998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79"/>
        <v>0904-17</v>
      </c>
      <c r="AE223" s="85" t="str">
        <f t="shared" si="80"/>
        <v>aws s3 cp s3://rtdc.mdm.uploadarchive.raw/RTDC4017/ "%USERPROFILE%\AppData\Local\Temp\OnboardLogs"\RTDC4017\2017-04-17 --exclude "*" --recursive --include "*20170417*" &amp; "%USERPROFILE%\Documents\GitHub\mrs-test-scripts\Headless Mode &amp; Sideloading\WalkAndUnGZ.bat" "%USERPROFILE%\AppData\Local\Temp\OnboardLogs"\RTDC4017\2017-04-17 &amp; aws s3 cp s3://rtdc.mdm.uploadarchive.raw/RTDC4017/ "%USERPROFILE%\AppData\Local\Temp\OnboardLogs"\RTDC4017\2017-04-18 --exclude "*" --recursive --include "*20170418*" &amp; "%USERPROFILE%\Documents\GitHub\mrs-test-scripts\Headless Mode &amp; Sideloading\WalkAndUnGZ.bat" "%USERPROFILE%\AppData\Local\Temp\OnboardLogs"\RTDC4017\2017-04-18</v>
      </c>
      <c r="AF223" s="82" t="str">
        <f t="shared" si="81"/>
        <v>"C:\Program Files (x86)\AstroGrep\AstroGrep.exe" /e /r /s /spath="%USERPROFILE%\AppData\Local\Temp\OnboardLogs" /stypes="app*4017*20170417*" /stext=" 21:.+((SYSTEM_STATE.+slice.+state.+changed )|(ment ac)|(multiple cpu faults)|(system.+state.+changed )|(\[timeout)|(PRM\|1\|D)|(kpr)|(kdp)|(\|lc)|(penalty))"</v>
      </c>
      <c r="AG223" s="1" t="str">
        <f t="shared" si="82"/>
        <v>Other</v>
      </c>
      <c r="AH223" s="86" t="str">
        <f t="shared" si="83"/>
        <v>"%USERPROFILE%\Documents\GitHub\eaglep3\Utilities\RefineRTDCRunTimes.py" --tripid 904-17 --locoid 4017 --swversion DE.1.0.9.0 --startMP 300:23404 --initTime 2017-04-17T15:23:50 --startdatetime 2017-04-17T15:26:58 --delay 3 --endMP 204:661 --enddatetime 2017-04-17T15:34:06 --enforcementcount 0 &gt;&gt;C:\Users\stu\Documents\GitHub\eaglep3-reporting\EC\2017-04-17-refined-times.txt</v>
      </c>
      <c r="AI223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{"issue":{"subject":"","project_id":79,"tracker_id":40,"status_id":1,"priority_id":2,"assigned_to_id":23,"start_date":"2017-04-17","description":"","custom_fields":[{"id":1,"name":"Subdivision","value":"Other"},{"id":4,"name":"Milepost","value":"0.0661"},{"id":17,"name":"Train ID","value":"904-17"},{"id":16,"name":"Locomotive ID","value":"4017"},{"id":130,"name":"Impact","value":""},{"id":150,"name":"Time of Event (Mountain Time)","value":"15:34:06"},{"id":151,"name":"Denver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8"/>
      <c r="AL223" s="48"/>
      <c r="AM223" s="150" t="str">
        <f t="shared" si="85"/>
        <v>start /low /b %USERPROFILE%\Documents\GitHub\eaglep3\Utilities\DownloadLogsFromS3.py --loco 4017 --day 2017-04-17</v>
      </c>
      <c r="AN223" s="159" t="str">
        <f t="shared" si="86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21:34:06"},{"id":29,"name":"Sharepoint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s="20" customFormat="1" x14ac:dyDescent="0.25">
      <c r="A224" s="33" t="s">
        <v>807</v>
      </c>
      <c r="B224" s="7">
        <v>4017</v>
      </c>
      <c r="C224" s="21" t="s">
        <v>213</v>
      </c>
      <c r="D224" s="21" t="s">
        <v>1024</v>
      </c>
      <c r="E224" s="13">
        <v>42842.795497685183</v>
      </c>
      <c r="F224" s="13">
        <v>42842.796747685185</v>
      </c>
      <c r="G224" s="7">
        <v>1</v>
      </c>
      <c r="H224" s="21" t="s">
        <v>1025</v>
      </c>
      <c r="I224" s="13">
        <v>42842.804456018515</v>
      </c>
      <c r="J224" s="7">
        <v>0</v>
      </c>
      <c r="K224" s="97" t="str">
        <f t="shared" si="70"/>
        <v>4017/4018</v>
      </c>
      <c r="L224" s="21" t="str">
        <f>VLOOKUP(A224,'Trips&amp;Operators'!$C$1:$G$99999,5,FALSE)</f>
        <v>NEWELL JAMES</v>
      </c>
      <c r="M224" s="6">
        <f t="shared" si="71"/>
        <v>7.7083333308110014E-3</v>
      </c>
      <c r="N224" s="7">
        <f t="shared" si="87"/>
        <v>11.099999996367842</v>
      </c>
      <c r="O224" s="7"/>
      <c r="P224" s="7"/>
      <c r="Q224" s="22"/>
      <c r="R224" s="22"/>
      <c r="S224" s="31">
        <f t="shared" si="88"/>
        <v>0</v>
      </c>
      <c r="T224" s="46" t="str">
        <f t="shared" si="72"/>
        <v>Southbound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 t="shared" si="73"/>
        <v>https://d0f6bd738d7f1b3e5a7ca70fe4ff75f0.us-east-1.aws.found.io/app/kibana#/discover/Steve-Slow-Train-Analysis-(2080s-and-2083s)?_g=(refreshInterval:(display:Off,pause:!f,section:0,value:0),time:(from:'2017-04-17T18:05:31-0600',mode:absolute,to:'2017-04-17T20:18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4" s="183" t="str">
        <f t="shared" si="74"/>
        <v>Y</v>
      </c>
      <c r="X224" s="183">
        <f t="shared" si="75"/>
        <v>2</v>
      </c>
      <c r="Y224" s="62">
        <f t="shared" si="76"/>
        <v>5.8609</v>
      </c>
      <c r="Z224" s="62">
        <f t="shared" si="77"/>
        <v>2.8780000000000001</v>
      </c>
      <c r="AA224" s="62">
        <f t="shared" si="78"/>
        <v>2.9828999999999999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79"/>
        <v>0906-17</v>
      </c>
      <c r="AE224" s="85" t="str">
        <f t="shared" si="80"/>
        <v>aws s3 cp s3://rtdc.mdm.uploadarchive.raw/RTDC4017/ "%USERPROFILE%\AppData\Local\Temp\OnboardLogs"\RTDC4017\2017-04-17 --exclude "*" --recursive --include "*20170417*" &amp; "%USERPROFILE%\Documents\GitHub\mrs-test-scripts\Headless Mode &amp; Sideloading\WalkAndUnGZ.bat" "%USERPROFILE%\AppData\Local\Temp\OnboardLogs"\RTDC4017\2017-04-17 &amp; aws s3 cp s3://rtdc.mdm.uploadarchive.raw/RTDC4017/ "%USERPROFILE%\AppData\Local\Temp\OnboardLogs"\RTDC4017\2017-04-18 --exclude "*" --recursive --include "*20170418*" &amp; "%USERPROFILE%\Documents\GitHub\mrs-test-scripts\Headless Mode &amp; Sideloading\WalkAndUnGZ.bat" "%USERPROFILE%\AppData\Local\Temp\OnboardLogs"\RTDC4017\2017-04-18</v>
      </c>
      <c r="AF224" s="82" t="str">
        <f t="shared" si="81"/>
        <v>"C:\Program Files (x86)\AstroGrep\AstroGrep.exe" /e /r /s /spath="%USERPROFILE%\AppData\Local\Temp\OnboardLogs" /stypes="app*4017*20170418*" /stext=" 01:.+((SYSTEM_STATE.+slice.+state.+changed )|(ment ac)|(multiple cpu faults)|(system.+state.+changed )|(\[timeout)|(PRM\|1\|D)|(kpr)|(kdp)|(\|lc)|(penalty))"</v>
      </c>
      <c r="AG224" s="1" t="str">
        <f t="shared" si="82"/>
        <v>Other</v>
      </c>
      <c r="AH224" s="86" t="str">
        <f t="shared" si="83"/>
        <v>"%USERPROFILE%\Documents\GitHub\eaglep3\Utilities\RefineRTDCRunTimes.py" --tripid 906-17 --locoid 4017 --swversion DE.1.0.9.0 --startMP 300:58609 --initTime 2017-04-17T19:05:31 --startdatetime 2017-04-17T19:07:19 --delay 1 --endMP 300:28780 --enddatetime 2017-04-17T19:18:25 --enforcementcount 0 &gt;&gt;C:\Users\stu\Documents\GitHub\eaglep3-reporting\EC\2017-04-17-refined-times.txt</v>
      </c>
      <c r="AI224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{"issue":{"subject":"","project_id":79,"tracker_id":40,"status_id":1,"priority_id":2,"assigned_to_id":23,"start_date":"2017-04-17","description":"","custom_fields":[{"id":1,"name":"Subdivision","value":"Other"},{"id":4,"name":"Milepost","value":"2.878"},{"id":17,"name":"Train ID","value":"906-17"},{"id":16,"name":"Locomotive ID","value":"4017"},{"id":130,"name":"Impact","value":""},{"id":150,"name":"Time of Event (Mountain Time)","value":"19:18:25"},{"id":151,"name":"Denver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4" s="48"/>
      <c r="AL224" s="48"/>
      <c r="AM224" s="150" t="str">
        <f t="shared" si="85"/>
        <v>start /low /b %USERPROFILE%\Documents\GitHub\eaglep3\Utilities\DownloadLogsFromS3.py --loco 4017 --day 2017-04-17</v>
      </c>
      <c r="AN224" s="159" t="str">
        <f t="shared" si="86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01:18:25"},{"id":29,"name":"Sharepoint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828</v>
      </c>
      <c r="B225" s="7">
        <v>4023</v>
      </c>
      <c r="C225" s="21" t="s">
        <v>213</v>
      </c>
      <c r="D225" s="21" t="s">
        <v>540</v>
      </c>
      <c r="E225" s="13">
        <v>42842.942060185182</v>
      </c>
      <c r="F225" s="13">
        <v>42842.943368055552</v>
      </c>
      <c r="G225" s="7">
        <v>1</v>
      </c>
      <c r="H225" s="21" t="s">
        <v>1026</v>
      </c>
      <c r="I225" s="13">
        <v>42842.947754629633</v>
      </c>
      <c r="J225" s="7">
        <v>0</v>
      </c>
      <c r="K225" s="97" t="str">
        <f t="shared" si="70"/>
        <v>4023/4024</v>
      </c>
      <c r="L225" s="21" t="str">
        <f>VLOOKUP(A225,'Trips&amp;Operators'!$C$1:$G$99999,5,FALSE)</f>
        <v>NEWELL JAMES</v>
      </c>
      <c r="M225" s="6">
        <f t="shared" si="71"/>
        <v>4.3865740808541887E-3</v>
      </c>
      <c r="N225" s="7">
        <f t="shared" si="87"/>
        <v>6.3166666764300317</v>
      </c>
      <c r="O225" s="7"/>
      <c r="P225" s="7"/>
      <c r="Q225" s="22"/>
      <c r="R225" s="22"/>
      <c r="S225" s="31">
        <f t="shared" si="88"/>
        <v>0</v>
      </c>
      <c r="T225" s="46" t="str">
        <f t="shared" si="72"/>
        <v>Southbound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 t="shared" si="73"/>
        <v>https://d0f6bd738d7f1b3e5a7ca70fe4ff75f0.us-east-1.aws.found.io/app/kibana#/discover/Steve-Slow-Train-Analysis-(2080s-and-2083s)?_g=(refreshInterval:(display:Off,pause:!f,section:0,value:0),time:(from:'2017-04-17T21:36:34-0600',mode:absolute,to:'2017-04-17T23:44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5" s="183" t="str">
        <f t="shared" si="74"/>
        <v>Y</v>
      </c>
      <c r="X225" s="183">
        <f t="shared" si="75"/>
        <v>2</v>
      </c>
      <c r="Y225" s="62">
        <f t="shared" si="76"/>
        <v>5.8620999999999999</v>
      </c>
      <c r="Z225" s="62">
        <f t="shared" si="77"/>
        <v>2.1745999999999999</v>
      </c>
      <c r="AA225" s="62">
        <f t="shared" si="78"/>
        <v>3.6875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79"/>
        <v>0908-17</v>
      </c>
      <c r="AE225" s="85" t="str">
        <f t="shared" si="80"/>
        <v>aws s3 cp s3://rtdc.mdm.uploadarchive.raw/RTDC4023/ "%USERPROFILE%\AppData\Local\Temp\OnboardLogs"\RTDC4023\2017-04-17 --exclude "*" --recursive --include "*20170417*" &amp; "%USERPROFILE%\Documents\GitHub\mrs-test-scripts\Headless Mode &amp; Sideloading\WalkAndUnGZ.bat" "%USERPROFILE%\AppData\Local\Temp\OnboardLogs"\RTDC4023\2017-04-17 &amp; aws s3 cp s3://rtdc.mdm.uploadarchive.raw/RTDC4023/ "%USERPROFILE%\AppData\Local\Temp\OnboardLogs"\RTDC4023\2017-04-18 --exclude "*" --recursive --include "*20170418*" &amp; "%USERPROFILE%\Documents\GitHub\mrs-test-scripts\Headless Mode &amp; Sideloading\WalkAndUnGZ.bat" "%USERPROFILE%\AppData\Local\Temp\OnboardLogs"\RTDC4023\2017-04-18</v>
      </c>
      <c r="AF225" s="82" t="str">
        <f t="shared" si="81"/>
        <v>"C:\Program Files (x86)\AstroGrep\AstroGrep.exe" /e /r /s /spath="%USERPROFILE%\AppData\Local\Temp\OnboardLogs" /stypes="app*4023*20170418*" /stext=" 04:.+((SYSTEM_STATE.+slice.+state.+changed )|(ment ac)|(multiple cpu faults)|(system.+state.+changed )|(\[timeout)|(PRM\|1\|D)|(kpr)|(kdp)|(\|lc)|(penalty))"</v>
      </c>
      <c r="AG225" s="1" t="str">
        <f t="shared" si="82"/>
        <v>Other</v>
      </c>
      <c r="AH225" s="86" t="str">
        <f t="shared" si="83"/>
        <v>"%USERPROFILE%\Documents\GitHub\eaglep3\Utilities\RefineRTDCRunTimes.py" --tripid 908-17 --locoid 4023 --swversion DE.1.0.9.0 --startMP 300:58621 --initTime 2017-04-17T22:36:34 --startdatetime 2017-04-17T22:38:27 --delay 1 --endMP 300:21746 --enddatetime 2017-04-17T22:44:46 --enforcementcount 0 &gt;&gt;C:\Users\stu\Documents\GitHub\eaglep3-reporting\EC\2017-04-17-refined-times.txt</v>
      </c>
      <c r="AI225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{"issue":{"subject":"","project_id":79,"tracker_id":40,"status_id":1,"priority_id":2,"assigned_to_id":23,"start_date":"2017-04-17","description":"","custom_fields":[{"id":1,"name":"Subdivision","value":"Other"},{"id":4,"name":"Milepost","value":"2.1746"},{"id":17,"name":"Train ID","value":"908-17"},{"id":16,"name":"Locomotive ID","value":"4023"},{"id":130,"name":"Impact","value":""},{"id":150,"name":"Time of Event (Mountain Time)","value":"22:44:46"},{"id":151,"name":"Denver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8"/>
      <c r="AL225" s="48"/>
      <c r="AM225" s="150" t="str">
        <f t="shared" si="85"/>
        <v>start /low /b %USERPROFILE%\Documents\GitHub\eaglep3\Utilities\DownloadLogsFromS3.py --loco 4023 --day 2017-04-17</v>
      </c>
      <c r="AN225" s="159" t="str">
        <f t="shared" si="86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04:44:46"},{"id":29,"name":"Sharepoint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563</v>
      </c>
      <c r="B226" s="7">
        <v>4013</v>
      </c>
      <c r="C226" s="21" t="s">
        <v>213</v>
      </c>
      <c r="D226" s="21" t="s">
        <v>936</v>
      </c>
      <c r="E226" s="13">
        <v>42842.113749999997</v>
      </c>
      <c r="F226" s="13">
        <v>42842.118506944447</v>
      </c>
      <c r="G226" s="7">
        <v>1</v>
      </c>
      <c r="H226" s="21" t="s">
        <v>937</v>
      </c>
      <c r="I226" s="13">
        <v>42842.134571759256</v>
      </c>
      <c r="J226" s="7">
        <v>0</v>
      </c>
      <c r="K226" s="97" t="str">
        <f t="shared" si="70"/>
        <v>4013/4014</v>
      </c>
      <c r="L226" s="21" t="str">
        <f>VLOOKUP(A226,'Trips&amp;Operators'!$C$1:$G$99999,5,FALSE)</f>
        <v>DUNCAN SHEILA</v>
      </c>
      <c r="M226" s="6">
        <f t="shared" si="71"/>
        <v>1.6064814808487426E-2</v>
      </c>
      <c r="N226" s="7">
        <f t="shared" si="87"/>
        <v>23.133333324221894</v>
      </c>
      <c r="O226" s="7"/>
      <c r="P226" s="7"/>
      <c r="Q226" s="22"/>
      <c r="R226" s="22"/>
      <c r="S226" s="31">
        <f t="shared" si="88"/>
        <v>0</v>
      </c>
      <c r="T226" s="46" t="e">
        <f t="shared" si="72"/>
        <v>#VALUE!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 t="shared" si="73"/>
        <v>https://d0f6bd738d7f1b3e5a7ca70fe4ff75f0.us-east-1.aws.found.io/app/kibana#/discover/Steve-Slow-Train-Analysis-(2080s-and-2083s)?_g=(refreshInterval:(display:Off,pause:!f,section:0,value:0),time:(from:'2017-04-17T01:43:48-0600',mode:absolute,to:'2017-04-17T04:13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6" s="183" t="str">
        <f t="shared" si="74"/>
        <v>N</v>
      </c>
      <c r="X226" s="183" t="e">
        <f t="shared" si="75"/>
        <v>#VALUE!</v>
      </c>
      <c r="Y226" s="62">
        <f t="shared" si="76"/>
        <v>10.6625</v>
      </c>
      <c r="Z226" s="62">
        <f t="shared" si="77"/>
        <v>8.8099999999999998E-2</v>
      </c>
      <c r="AA226" s="62">
        <f t="shared" si="78"/>
        <v>10.574399999999999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79"/>
        <v>50-17</v>
      </c>
      <c r="AE226" s="85" t="str">
        <f t="shared" si="80"/>
        <v>aws s3 cp s3://rtdc.mdm.uploadarchive.raw/RTDC4013/ "%USERPROFILE%\AppData\Local\Temp\OnboardLogs"\RTDC4013\2017-04-17 --exclude "*" --recursive --include "*20170417*" &amp; "%USERPROFILE%\Documents\GitHub\mrs-test-scripts\Headless Mode &amp; Sideloading\WalkAndUnGZ.bat" "%USERPROFILE%\AppData\Local\Temp\OnboardLogs"\RTDC4013\2017-04-17 &amp; aws s3 cp s3://rtdc.mdm.uploadarchive.raw/RTDC4013/ "%USERPROFILE%\AppData\Local\Temp\OnboardLogs"\RTDC4013\2017-04-18 --exclude "*" --recursive --include "*20170418*" &amp; "%USERPROFILE%\Documents\GitHub\mrs-test-scripts\Headless Mode &amp; Sideloading\WalkAndUnGZ.bat" "%USERPROFILE%\AppData\Local\Temp\OnboardLogs"\RTDC4013\2017-04-18</v>
      </c>
      <c r="AF226" s="82" t="str">
        <f t="shared" si="81"/>
        <v>"C:\Program Files (x86)\AstroGrep\AstroGrep.exe" /e /r /s /spath="%USERPROFILE%\AppData\Local\Temp\OnboardLogs" /stypes="app*4013*20170417*" /stext=" 09:.+((SYSTEM_STATE.+slice.+state.+changed )|(ment ac)|(multiple cpu faults)|(system.+state.+changed )|(\[timeout)|(PRM\|1\|D)|(kpr)|(kdp)|(\|lc)|(penalty))"</v>
      </c>
      <c r="AG226" s="1" t="str">
        <f t="shared" si="82"/>
        <v>Other</v>
      </c>
      <c r="AH226" s="86" t="str">
        <f t="shared" si="83"/>
        <v>"%USERPROFILE%\Documents\GitHub\eaglep3\Utilities\RefineRTDCRunTimes.py" --tripid 50-17 --locoid 4013 --swversion DE.1.0.9.0 --startMP 204:106625 --initTime 2017-04-17T02:43:48 --startdatetime 2017-04-17T02:50:39 --delay 1 --endMP 204:881 --enddatetime 2017-04-17T03:13:47 --enforcementcount 0 &gt;&gt;C:\Users\stu\Documents\GitHub\eaglep3-reporting\EC\2017-04-17-refined-times.txt</v>
      </c>
      <c r="AI226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{"issue":{"subject":"","project_id":79,"tracker_id":40,"status_id":1,"priority_id":2,"assigned_to_id":23,"start_date":"2017-04-17","description":"","custom_fields":[{"id":1,"name":"Subdivision","value":"Other"},{"id":4,"name":"Milepost","value":"0.0881"},{"id":17,"name":"Train ID","value":"50-17"},{"id":16,"name":"Locomotive ID","value":"4013"},{"id":130,"name":"Impact","value":""},{"id":150,"name":"Time of Event (Mountain Time)","value":"03:13:47"},{"id":151,"name":"Denver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8"/>
      <c r="AL226" s="48"/>
      <c r="AM226" s="150" t="str">
        <f t="shared" si="85"/>
        <v>start /low /b %USERPROFILE%\Documents\GitHub\eaglep3\Utilities\DownloadLogsFromS3.py --loco 4013 --day 2017-04-17</v>
      </c>
      <c r="AN226" s="159" t="str">
        <f t="shared" si="86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09:13:47"},{"id":29,"name":"Sharepoint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3" t="s">
        <v>561</v>
      </c>
      <c r="B227" s="7">
        <v>4014</v>
      </c>
      <c r="C227" s="21" t="s">
        <v>213</v>
      </c>
      <c r="D227" s="21" t="s">
        <v>597</v>
      </c>
      <c r="E227" s="13">
        <v>42842.079085648147</v>
      </c>
      <c r="F227" s="13">
        <v>42842.092268518521</v>
      </c>
      <c r="G227" s="7">
        <v>1</v>
      </c>
      <c r="H227" s="21" t="s">
        <v>598</v>
      </c>
      <c r="I227" s="13">
        <v>42842.112071759257</v>
      </c>
      <c r="J227" s="7">
        <v>0</v>
      </c>
      <c r="K227" s="97" t="str">
        <f t="shared" si="70"/>
        <v>4013/4014</v>
      </c>
      <c r="L227" s="21" t="str">
        <f>VLOOKUP(A227,'Trips&amp;Operators'!$C$1:$G$99999,5,FALSE)</f>
        <v>HAUSER FRANK</v>
      </c>
      <c r="M227" s="6">
        <f t="shared" si="71"/>
        <v>1.9803240735200234E-2</v>
      </c>
      <c r="N227" s="7">
        <f t="shared" si="87"/>
        <v>28.516666658688337</v>
      </c>
      <c r="O227" s="7"/>
      <c r="P227" s="7"/>
      <c r="Q227" s="22"/>
      <c r="R227" s="22"/>
      <c r="S227" s="31">
        <f t="shared" si="88"/>
        <v>0</v>
      </c>
      <c r="T227" s="46" t="e">
        <f t="shared" si="72"/>
        <v>#VALUE!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 t="shared" si="73"/>
        <v>https://d0f6bd738d7f1b3e5a7ca70fe4ff75f0.us-east-1.aws.found.io/app/kibana#/discover/Steve-Slow-Train-Analysis-(2080s-and-2083s)?_g=(refreshInterval:(display:Off,pause:!f,section:0,value:0),time:(from:'2017-04-17T00:53:53-0600',mode:absolute,to:'2017-04-17T03:41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7" s="183" t="str">
        <f t="shared" si="74"/>
        <v>N</v>
      </c>
      <c r="X227" s="183" t="e">
        <f t="shared" si="75"/>
        <v>#VALUE!</v>
      </c>
      <c r="Y227" s="62">
        <f t="shared" si="76"/>
        <v>0.1158</v>
      </c>
      <c r="Z227" s="62">
        <f t="shared" si="77"/>
        <v>10.694900000000001</v>
      </c>
      <c r="AA227" s="62">
        <f t="shared" si="78"/>
        <v>10.5791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79"/>
        <v>51-17</v>
      </c>
      <c r="AE227" s="85" t="str">
        <f t="shared" si="80"/>
        <v>aws s3 cp s3://rtdc.mdm.uploadarchive.raw/RTDC4014/ "%USERPROFILE%\AppData\Local\Temp\OnboardLogs"\RTDC4014\2017-04-17 --exclude "*" --recursive --include "*20170417*" &amp; "%USERPROFILE%\Documents\GitHub\mrs-test-scripts\Headless Mode &amp; Sideloading\WalkAndUnGZ.bat" "%USERPROFILE%\AppData\Local\Temp\OnboardLogs"\RTDC4014\2017-04-17 &amp; aws s3 cp s3://rtdc.mdm.uploadarchive.raw/RTDC4014/ "%USERPROFILE%\AppData\Local\Temp\OnboardLogs"\RTDC4014\2017-04-18 --exclude "*" --recursive --include "*20170418*" &amp; "%USERPROFILE%\Documents\GitHub\mrs-test-scripts\Headless Mode &amp; Sideloading\WalkAndUnGZ.bat" "%USERPROFILE%\AppData\Local\Temp\OnboardLogs"\RTDC4014\2017-04-18</v>
      </c>
      <c r="AF227" s="82" t="str">
        <f t="shared" si="81"/>
        <v>"C:\Program Files (x86)\AstroGrep\AstroGrep.exe" /e /r /s /spath="%USERPROFILE%\AppData\Local\Temp\OnboardLogs" /stypes="app*4014*20170417*" /stext=" 08:.+((SYSTEM_STATE.+slice.+state.+changed )|(ment ac)|(multiple cpu faults)|(system.+state.+changed )|(\[timeout)|(PRM\|1\|D)|(kpr)|(kdp)|(\|lc)|(penalty))"</v>
      </c>
      <c r="AG227" s="1" t="str">
        <f t="shared" si="82"/>
        <v>Other</v>
      </c>
      <c r="AH227" s="86" t="str">
        <f t="shared" si="83"/>
        <v>"%USERPROFILE%\Documents\GitHub\eaglep3\Utilities\RefineRTDCRunTimes.py" --tripid 51-17 --locoid 4014 --swversion DE.1.0.9.0 --startMP 204:1158 --initTime 2017-04-17T01:53:53 --startdatetime 2017-04-17T02:12:52 --delay 1 --endMP 204:106949 --enddatetime 2017-04-17T02:41:23 --enforcementcount 0 &gt;&gt;C:\Users\stu\Documents\GitHub\eaglep3-reporting\EC\2017-04-17-refined-times.txt</v>
      </c>
      <c r="AI227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{"issue":{"subject":"","project_id":79,"tracker_id":40,"status_id":1,"priority_id":2,"assigned_to_id":23,"start_date":"2017-04-17","description":"","custom_fields":[{"id":1,"name":"Subdivision","value":"Other"},{"id":4,"name":"Milepost","value":"10.6949"},{"id":17,"name":"Train ID","value":"51-17"},{"id":16,"name":"Locomotive ID","value":"4014"},{"id":130,"name":"Impact","value":""},{"id":150,"name":"Time of Event (Mountain Time)","value":"02:41:23"},{"id":151,"name":"Denver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8"/>
      <c r="AL227" s="48"/>
      <c r="AM227" s="150" t="str">
        <f t="shared" si="85"/>
        <v>start /low /b %USERPROFILE%\Documents\GitHub\eaglep3\Utilities\DownloadLogsFromS3.py --loco 4014 --day 2017-04-17</v>
      </c>
      <c r="AN227" s="159" t="str">
        <f t="shared" si="86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08:41:23"},{"id":29,"name":"Sharepoint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3" t="s">
        <v>842</v>
      </c>
      <c r="B228" s="7">
        <v>4026</v>
      </c>
      <c r="C228" s="21" t="s">
        <v>213</v>
      </c>
      <c r="D228" s="21" t="s">
        <v>938</v>
      </c>
      <c r="E228" s="13">
        <v>42843.084166666667</v>
      </c>
      <c r="F228" s="13">
        <v>42843.100208333337</v>
      </c>
      <c r="G228" s="7">
        <v>10</v>
      </c>
      <c r="H228" s="21" t="s">
        <v>939</v>
      </c>
      <c r="I228" s="13">
        <v>42843.120312500003</v>
      </c>
      <c r="J228" s="7">
        <v>0</v>
      </c>
      <c r="K228" s="97" t="str">
        <f t="shared" si="70"/>
        <v>4025/4026</v>
      </c>
      <c r="L228" s="21" t="str">
        <f>VLOOKUP(A228,'Trips&amp;Operators'!$C$1:$G$99999,5,FALSE)</f>
        <v>DAVIDSON DAVID</v>
      </c>
      <c r="M228" s="6">
        <f t="shared" si="71"/>
        <v>2.0104166665987577E-2</v>
      </c>
      <c r="N228" s="7">
        <f t="shared" si="87"/>
        <v>28.949999999022111</v>
      </c>
      <c r="O228" s="7"/>
      <c r="P228" s="7"/>
      <c r="Q228" s="22"/>
      <c r="R228" s="22"/>
      <c r="S228" s="31">
        <f t="shared" si="88"/>
        <v>0</v>
      </c>
      <c r="T228" s="46" t="e">
        <f t="shared" si="72"/>
        <v>#VALUE!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 t="shared" si="73"/>
        <v>https://d0f6bd738d7f1b3e5a7ca70fe4ff75f0.us-east-1.aws.found.io/app/kibana#/discover/Steve-Slow-Train-Analysis-(2080s-and-2083s)?_g=(refreshInterval:(display:Off,pause:!f,section:0,value:0),time:(from:'2017-04-18T01:01:12-0600',mode:absolute,to:'2017-04-18T03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8" s="183" t="str">
        <f t="shared" si="74"/>
        <v>N</v>
      </c>
      <c r="X228" s="183" t="e">
        <f t="shared" si="75"/>
        <v>#VALUE!</v>
      </c>
      <c r="Y228" s="62">
        <f t="shared" si="76"/>
        <v>0.11600000000000001</v>
      </c>
      <c r="Z228" s="62">
        <f t="shared" si="77"/>
        <v>10.7318</v>
      </c>
      <c r="AA228" s="62">
        <f t="shared" si="78"/>
        <v>10.6158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79"/>
        <v>51-18</v>
      </c>
      <c r="AE228" s="85" t="str">
        <f t="shared" si="80"/>
        <v>aws s3 cp s3://rtdc.mdm.uploadarchive.raw/RTDC4026/ "%USERPROFILE%\AppData\Local\Temp\OnboardLogs"\RTDC4026\2017-04-18 --exclude "*" --recursive --include "*20170418*" &amp; "%USERPROFILE%\Documents\GitHub\mrs-test-scripts\Headless Mode &amp; Sideloading\WalkAndUnGZ.bat" "%USERPROFILE%\AppData\Local\Temp\OnboardLogs"\RTDC4026\2017-04-18 &amp; aws s3 cp s3://rtdc.mdm.uploadarchive.raw/RTDC4026/ "%USERPROFILE%\AppData\Local\Temp\OnboardLogs"\RTDC4026\2017-04-19 --exclude "*" --recursive --include "*20170419*" &amp; "%USERPROFILE%\Documents\GitHub\mrs-test-scripts\Headless Mode &amp; Sideloading\WalkAndUnGZ.bat" "%USERPROFILE%\AppData\Local\Temp\OnboardLogs"\RTDC4026\2017-04-19</v>
      </c>
      <c r="AF228" s="82" t="str">
        <f t="shared" si="81"/>
        <v>"C:\Program Files (x86)\AstroGrep\AstroGrep.exe" /e /r /s /spath="%USERPROFILE%\AppData\Local\Temp\OnboardLogs" /stypes="app*4026*20170418*" /stext=" 08:.+((SYSTEM_STATE.+slice.+state.+changed )|(ment ac)|(multiple cpu faults)|(system.+state.+changed )|(\[timeout)|(PRM\|1\|D)|(kpr)|(kdp)|(\|lc)|(penalty))"</v>
      </c>
      <c r="AG228" s="1" t="str">
        <f t="shared" si="82"/>
        <v>Other</v>
      </c>
      <c r="AH228" s="86" t="str">
        <f t="shared" si="83"/>
        <v>"%USERPROFILE%\Documents\GitHub\eaglep3\Utilities\RefineRTDCRunTimes.py" --tripid 51-18 --locoid 4026 --swversion DE.1.0.9.0 --startMP 204:1160 --initTime 2017-04-18T02:01:12 --startdatetime 2017-04-18T02:24:18 --delay 10 --endMP 204:107318 --enddatetime 2017-04-18T02:53:15 --enforcementcount 0 &gt;&gt;C:\Users\stu\Documents\GitHub\eaglep3-reporting\EC\2017-04-17-refined-times.txt</v>
      </c>
      <c r="AI228" s="104" t="str">
        <f t="shared" si="84"/>
        <v>echo {"issue":{"subject":"","project_id":79,"tracker_id":40,"status_id":1,"priority_id":2,"assigned_to_id":23,"start_date":"2017-04-18","description":"","custom_fields":[{"id":1,"name":"Subdivision","value":"Other"},{"id":4,"name":"Milepost","value":"10.7318"},{"id":17,"name":"Train ID","value":"51-18"},{"id":16,"name":"Locomotive ID","value":"4026"},{"id":130,"name":"Impact","value":""},{"id":150,"name":"Time of Event (Mountain Time)","value":"02:53:15"},{"id":151,"name":"Denver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8"/>
      <c r="AL228" s="48"/>
      <c r="AM228" s="150" t="str">
        <f t="shared" si="85"/>
        <v>start /low /b %USERPROFILE%\Documents\GitHub\eaglep3\Utilities\DownloadLogsFromS3.py --loco 4026 --day 2017-04-18</v>
      </c>
      <c r="AN228" s="159" t="str">
        <f t="shared" si="86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08:53:15"},{"id":29,"name":"Sharepoint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3" t="s">
        <v>792</v>
      </c>
      <c r="B229" s="7">
        <v>4025</v>
      </c>
      <c r="C229" s="21" t="s">
        <v>213</v>
      </c>
      <c r="D229" s="21" t="s">
        <v>940</v>
      </c>
      <c r="E229" s="13">
        <v>42842.744317129633</v>
      </c>
      <c r="F229" s="13">
        <v>42842.749918981484</v>
      </c>
      <c r="G229" s="7">
        <v>7</v>
      </c>
      <c r="H229" s="21" t="s">
        <v>543</v>
      </c>
      <c r="I229" s="13">
        <v>42842.760381944441</v>
      </c>
      <c r="J229" s="7">
        <v>0</v>
      </c>
      <c r="K229" s="97" t="str">
        <f t="shared" si="70"/>
        <v>4025/4026</v>
      </c>
      <c r="L229" s="21" t="str">
        <f>VLOOKUP(A229,'Trips&amp;Operators'!$C$1:$G$99999,5,FALSE)</f>
        <v>MAGEE KENYA</v>
      </c>
      <c r="M229" s="6">
        <f t="shared" si="71"/>
        <v>1.0462962956808042E-2</v>
      </c>
      <c r="N229" s="7">
        <f t="shared" si="87"/>
        <v>15.06666665780358</v>
      </c>
      <c r="O229" s="7"/>
      <c r="P229" s="7"/>
      <c r="Q229" s="22"/>
      <c r="R229" s="22"/>
      <c r="S229" s="31">
        <f t="shared" si="88"/>
        <v>0</v>
      </c>
      <c r="T229" s="46" t="e">
        <f t="shared" si="72"/>
        <v>#VALUE!</v>
      </c>
      <c r="U229" s="18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2" t="str">
        <f t="shared" si="73"/>
        <v>https://d0f6bd738d7f1b3e5a7ca70fe4ff75f0.us-east-1.aws.found.io/app/kibana#/discover/Steve-Slow-Train-Analysis-(2080s-and-2083s)?_g=(refreshInterval:(display:Off,pause:!f,section:0,value:0),time:(from:'2017-04-17T16:51:49-0600',mode:absolute,to:'2017-04-17T19:14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9" s="183" t="str">
        <f t="shared" si="74"/>
        <v>Y</v>
      </c>
      <c r="X229" s="183" t="e">
        <f t="shared" si="75"/>
        <v>#VALUE!</v>
      </c>
      <c r="Y229" s="62">
        <f t="shared" si="76"/>
        <v>2.2244000000000002</v>
      </c>
      <c r="Z229" s="62">
        <f t="shared" si="77"/>
        <v>1.6899999999999998E-2</v>
      </c>
      <c r="AA229" s="62">
        <f t="shared" si="78"/>
        <v>2.2075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79"/>
        <v>52-17</v>
      </c>
      <c r="AE229" s="85" t="str">
        <f t="shared" si="80"/>
        <v>aws s3 cp s3://rtdc.mdm.uploadarchive.raw/RTDC4025/ "%USERPROFILE%\AppData\Local\Temp\OnboardLogs"\RTDC4025\2017-04-17 --exclude "*" --recursive --include "*20170417*" &amp; "%USERPROFILE%\Documents\GitHub\mrs-test-scripts\Headless Mode &amp; Sideloading\WalkAndUnGZ.bat" "%USERPROFILE%\AppData\Local\Temp\OnboardLogs"\RTDC4025\2017-04-17 &amp; aws s3 cp s3://rtdc.mdm.uploadarchive.raw/RTDC4025/ "%USERPROFILE%\AppData\Local\Temp\OnboardLogs"\RTDC4025\2017-04-18 --exclude "*" --recursive --include "*20170418*" &amp; "%USERPROFILE%\Documents\GitHub\mrs-test-scripts\Headless Mode &amp; Sideloading\WalkAndUnGZ.bat" "%USERPROFILE%\AppData\Local\Temp\OnboardLogs"\RTDC4025\2017-04-18</v>
      </c>
      <c r="AF229" s="82" t="str">
        <f t="shared" si="81"/>
        <v>"C:\Program Files (x86)\AstroGrep\AstroGrep.exe" /e /r /s /spath="%USERPROFILE%\AppData\Local\Temp\OnboardLogs" /stypes="app*4025*20170418*" /stext=" 00:.+((SYSTEM_STATE.+slice.+state.+changed )|(ment ac)|(multiple cpu faults)|(system.+state.+changed )|(\[timeout)|(PRM\|1\|D)|(kpr)|(kdp)|(\|lc)|(penalty))"</v>
      </c>
      <c r="AG229" s="1" t="str">
        <f t="shared" si="82"/>
        <v>Other</v>
      </c>
      <c r="AH229" s="86" t="str">
        <f t="shared" si="83"/>
        <v>"%USERPROFILE%\Documents\GitHub\eaglep3\Utilities\RefineRTDCRunTimes.py" --tripid 52-17 --locoid 4025 --swversion DE.1.0.9.0 --startMP 300:22244 --initTime 2017-04-17T17:51:49 --startdatetime 2017-04-17T17:59:53 --delay 7 --endMP 204:169 --enddatetime 2017-04-17T18:14:57 --enforcementcount 0 &gt;&gt;C:\Users\stu\Documents\GitHub\eaglep3-reporting\EC\2017-04-17-refined-times.txt</v>
      </c>
      <c r="AI229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{"issue":{"subject":"","project_id":79,"tracker_id":40,"status_id":1,"priority_id":2,"assigned_to_id":23,"start_date":"2017-04-17","description":"","custom_fields":[{"id":1,"name":"Subdivision","value":"Other"},{"id":4,"name":"Milepost","value":"0.0169"},{"id":17,"name":"Train ID","value":"52-17"},{"id":16,"name":"Locomotive ID","value":"4025"},{"id":130,"name":"Impact","value":""},{"id":150,"name":"Time of Event (Mountain Time)","value":"18:14:57"},{"id":151,"name":"Denver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8"/>
      <c r="AL229" s="48"/>
      <c r="AM229" s="150" t="str">
        <f t="shared" si="85"/>
        <v>start /low /b %USERPROFILE%\Documents\GitHub\eaglep3\Utilities\DownloadLogsFromS3.py --loco 4025 --day 2017-04-17</v>
      </c>
      <c r="AN229" s="159" t="str">
        <f t="shared" si="86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00:14:57"},{"id":29,"name":"Sharepoint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3" t="s">
        <v>665</v>
      </c>
      <c r="B230" s="7">
        <v>4028</v>
      </c>
      <c r="C230" s="21" t="s">
        <v>213</v>
      </c>
      <c r="D230" s="21" t="s">
        <v>531</v>
      </c>
      <c r="E230" s="13">
        <v>42842.249861111108</v>
      </c>
      <c r="F230" s="13">
        <v>42842.255706018521</v>
      </c>
      <c r="G230" s="7">
        <v>1</v>
      </c>
      <c r="H230" s="21" t="s">
        <v>941</v>
      </c>
      <c r="I230" s="13">
        <v>42842.256909722222</v>
      </c>
      <c r="J230" s="7">
        <v>0</v>
      </c>
      <c r="K230" s="97" t="str">
        <f t="shared" si="70"/>
        <v>4027/4028</v>
      </c>
      <c r="L230" s="21" t="str">
        <f>VLOOKUP(A230,'Trips&amp;Operators'!$C$1:$G$99999,5,FALSE)</f>
        <v>YOUNG ELIZABETH</v>
      </c>
      <c r="M230" s="6">
        <f t="shared" si="71"/>
        <v>1.2037037013215013E-3</v>
      </c>
      <c r="N230" s="7">
        <f t="shared" si="87"/>
        <v>1.7333333299029619</v>
      </c>
      <c r="O230" s="7"/>
      <c r="P230" s="7"/>
      <c r="Q230" s="22"/>
      <c r="R230" s="22"/>
      <c r="S230" s="31">
        <f t="shared" si="88"/>
        <v>0</v>
      </c>
      <c r="T230" s="46" t="e">
        <f t="shared" si="72"/>
        <v>#VALUE!</v>
      </c>
      <c r="U230" s="18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2" t="str">
        <f t="shared" si="73"/>
        <v>https://d0f6bd738d7f1b3e5a7ca70fe4ff75f0.us-east-1.aws.found.io/app/kibana#/discover/Steve-Slow-Train-Analysis-(2080s-and-2083s)?_g=(refreshInterval:(display:Off,pause:!f,section:0,value:0),time:(from:'2017-04-17T04:59:48-0600',mode:absolute,to:'2017-04-17T07:09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0" s="183" t="str">
        <f t="shared" si="74"/>
        <v>Y</v>
      </c>
      <c r="X230" s="183" t="e">
        <f t="shared" si="75"/>
        <v>#VALUE!</v>
      </c>
      <c r="Y230" s="62">
        <f t="shared" si="76"/>
        <v>4.4400000000000002E-2</v>
      </c>
      <c r="Z230" s="62">
        <f t="shared" si="77"/>
        <v>0.35980000000000001</v>
      </c>
      <c r="AA230" s="62">
        <f t="shared" si="78"/>
        <v>0.31540000000000001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79"/>
        <v>53-17</v>
      </c>
      <c r="AE230" s="85" t="str">
        <f t="shared" si="80"/>
        <v>aws s3 cp s3://rtdc.mdm.uploadarchive.raw/RTDC4028/ "%USERPROFILE%\AppData\Local\Temp\OnboardLogs"\RTDC4028\2017-04-17 --exclude "*" --recursive --include "*20170417*" &amp; "%USERPROFILE%\Documents\GitHub\mrs-test-scripts\Headless Mode &amp; Sideloading\WalkAndUnGZ.bat" "%USERPROFILE%\AppData\Local\Temp\OnboardLogs"\RTDC4028\2017-04-17 &amp; aws s3 cp s3://rtdc.mdm.uploadarchive.raw/RTDC4028/ "%USERPROFILE%\AppData\Local\Temp\OnboardLogs"\RTDC4028\2017-04-18 --exclude "*" --recursive --include "*20170418*" &amp; "%USERPROFILE%\Documents\GitHub\mrs-test-scripts\Headless Mode &amp; Sideloading\WalkAndUnGZ.bat" "%USERPROFILE%\AppData\Local\Temp\OnboardLogs"\RTDC4028\2017-04-18</v>
      </c>
      <c r="AF230" s="82" t="str">
        <f t="shared" si="81"/>
        <v>"C:\Program Files (x86)\AstroGrep\AstroGrep.exe" /e /r /s /spath="%USERPROFILE%\AppData\Local\Temp\OnboardLogs" /stypes="app*4028*20170417*" /stext=" 12:.+((SYSTEM_STATE.+slice.+state.+changed )|(ment ac)|(multiple cpu faults)|(system.+state.+changed )|(\[timeout)|(PRM\|1\|D)|(kpr)|(kdp)|(\|lc)|(penalty))"</v>
      </c>
      <c r="AG230" s="1" t="str">
        <f t="shared" si="82"/>
        <v>Other</v>
      </c>
      <c r="AH230" s="86" t="str">
        <f t="shared" si="83"/>
        <v>"%USERPROFILE%\Documents\GitHub\eaglep3\Utilities\RefineRTDCRunTimes.py" --tripid 53-17 --locoid 4028 --swversion DE.1.0.9.0 --startMP 204:444 --initTime 2017-04-17T05:59:48 --startdatetime 2017-04-17T06:08:13 --delay 1 --endMP 204:3598 --enddatetime 2017-04-17T06:09:57 --enforcementcount 0 &gt;&gt;C:\Users\stu\Documents\GitHub\eaglep3-reporting\EC\2017-04-17-refined-times.txt</v>
      </c>
      <c r="AI230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{"issue":{"subject":"","project_id":79,"tracker_id":40,"status_id":1,"priority_id":2,"assigned_to_id":23,"start_date":"2017-04-17","description":"","custom_fields":[{"id":1,"name":"Subdivision","value":"Other"},{"id":4,"name":"Milepost","value":"0.3598"},{"id":17,"name":"Train ID","value":"53-17"},{"id":16,"name":"Locomotive ID","value":"4028"},{"id":130,"name":"Impact","value":""},{"id":150,"name":"Time of Event (Mountain Time)","value":"06:09:57"},{"id":151,"name":"Denver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8"/>
      <c r="AL230" s="48"/>
      <c r="AM230" s="150" t="str">
        <f t="shared" si="85"/>
        <v>start /low /b %USERPROFILE%\Documents\GitHub\eaglep3\Utilities\DownloadLogsFromS3.py --loco 4028 --day 2017-04-17</v>
      </c>
      <c r="AN230" s="159" t="str">
        <f t="shared" si="86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12:09:57"},{"id":29,"name":"Sharepoint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3" t="s">
        <v>671</v>
      </c>
      <c r="B231" s="7">
        <v>4027</v>
      </c>
      <c r="C231" s="21" t="s">
        <v>213</v>
      </c>
      <c r="D231" s="21" t="s">
        <v>942</v>
      </c>
      <c r="E231" s="13">
        <v>42842.257951388892</v>
      </c>
      <c r="F231" s="13">
        <v>42842.259479166663</v>
      </c>
      <c r="G231" s="7">
        <v>1</v>
      </c>
      <c r="H231" s="21" t="s">
        <v>943</v>
      </c>
      <c r="I231" s="13">
        <v>42842.261319444442</v>
      </c>
      <c r="J231" s="7">
        <v>0</v>
      </c>
      <c r="K231" s="97" t="str">
        <f t="shared" si="70"/>
        <v>4027/4028</v>
      </c>
      <c r="L231" s="21" t="str">
        <f>VLOOKUP(A231,'Trips&amp;Operators'!$C$1:$G$99999,5,FALSE)</f>
        <v>YOUNG ELIZABETH</v>
      </c>
      <c r="M231" s="6">
        <f t="shared" si="71"/>
        <v>1.8402777786832303E-3</v>
      </c>
      <c r="N231" s="7">
        <f t="shared" si="87"/>
        <v>2.6500000013038516</v>
      </c>
      <c r="O231" s="7"/>
      <c r="P231" s="7"/>
      <c r="Q231" s="22"/>
      <c r="R231" s="22"/>
      <c r="S231" s="31">
        <f t="shared" si="88"/>
        <v>0</v>
      </c>
      <c r="T231" s="46" t="e">
        <f t="shared" si="72"/>
        <v>#VALUE!</v>
      </c>
      <c r="U231" s="18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2" t="str">
        <f t="shared" si="73"/>
        <v>https://d0f6bd738d7f1b3e5a7ca70fe4ff75f0.us-east-1.aws.found.io/app/kibana#/discover/Steve-Slow-Train-Analysis-(2080s-and-2083s)?_g=(refreshInterval:(display:Off,pause:!f,section:0,value:0),time:(from:'2017-04-17T05:11:27-0600',mode:absolute,to:'2017-04-17T07:16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1" s="183" t="str">
        <f t="shared" si="74"/>
        <v>Y</v>
      </c>
      <c r="X231" s="183" t="e">
        <f t="shared" si="75"/>
        <v>#VALUE!</v>
      </c>
      <c r="Y231" s="62">
        <f t="shared" si="76"/>
        <v>0.32900000000000001</v>
      </c>
      <c r="Z231" s="62">
        <f t="shared" si="77"/>
        <v>0.1167</v>
      </c>
      <c r="AA231" s="62">
        <f t="shared" si="78"/>
        <v>0.21230000000000002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79"/>
        <v>54-17</v>
      </c>
      <c r="AE231" s="85" t="str">
        <f t="shared" si="80"/>
        <v>aws s3 cp s3://rtdc.mdm.uploadarchive.raw/RTDC4027/ "%USERPROFILE%\AppData\Local\Temp\OnboardLogs"\RTDC4027\2017-04-17 --exclude "*" --recursive --include "*20170417*" &amp; "%USERPROFILE%\Documents\GitHub\mrs-test-scripts\Headless Mode &amp; Sideloading\WalkAndUnGZ.bat" "%USERPROFILE%\AppData\Local\Temp\OnboardLogs"\RTDC4027\2017-04-17 &amp; aws s3 cp s3://rtdc.mdm.uploadarchive.raw/RTDC4027/ "%USERPROFILE%\AppData\Local\Temp\OnboardLogs"\RTDC4027\2017-04-18 --exclude "*" --recursive --include "*20170418*" &amp; "%USERPROFILE%\Documents\GitHub\mrs-test-scripts\Headless Mode &amp; Sideloading\WalkAndUnGZ.bat" "%USERPROFILE%\AppData\Local\Temp\OnboardLogs"\RTDC4027\2017-04-18</v>
      </c>
      <c r="AF231" s="82" t="str">
        <f t="shared" si="81"/>
        <v>"C:\Program Files (x86)\AstroGrep\AstroGrep.exe" /e /r /s /spath="%USERPROFILE%\AppData\Local\Temp\OnboardLogs" /stypes="app*4027*20170417*" /stext=" 12:.+((SYSTEM_STATE.+slice.+state.+changed )|(ment ac)|(multiple cpu faults)|(system.+state.+changed )|(\[timeout)|(PRM\|1\|D)|(kpr)|(kdp)|(\|lc)|(penalty))"</v>
      </c>
      <c r="AG231" s="1" t="str">
        <f t="shared" si="82"/>
        <v>Other</v>
      </c>
      <c r="AH231" s="86" t="str">
        <f t="shared" si="83"/>
        <v>"%USERPROFILE%\Documents\GitHub\eaglep3\Utilities\RefineRTDCRunTimes.py" --tripid 54-17 --locoid 4027 --swversion DE.1.0.9.0 --startMP 204:3290 --initTime 2017-04-17T06:11:27 --startdatetime 2017-04-17T06:13:39 --delay 1 --endMP 204:1167 --enddatetime 2017-04-17T06:16:18 --enforcementcount 0 &gt;&gt;C:\Users\stu\Documents\GitHub\eaglep3-reporting\EC\2017-04-17-refined-times.txt</v>
      </c>
      <c r="AI231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{"issue":{"subject":"","project_id":79,"tracker_id":40,"status_id":1,"priority_id":2,"assigned_to_id":23,"start_date":"2017-04-17","description":"","custom_fields":[{"id":1,"name":"Subdivision","value":"Other"},{"id":4,"name":"Milepost","value":"0.1167"},{"id":17,"name":"Train ID","value":"54-17"},{"id":16,"name":"Locomotive ID","value":"4027"},{"id":130,"name":"Impact","value":""},{"id":150,"name":"Time of Event (Mountain Time)","value":"06:16:18"},{"id":151,"name":"Denver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8"/>
      <c r="AL231" s="48"/>
      <c r="AM231" s="150" t="str">
        <f t="shared" si="85"/>
        <v>start /low /b %USERPROFILE%\Documents\GitHub\eaglep3\Utilities\DownloadLogsFromS3.py --loco 4027 --day 2017-04-17</v>
      </c>
      <c r="AN231" s="159" t="str">
        <f t="shared" si="86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12:16:18"},{"id":29,"name":"Sharepoint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3" t="s">
        <v>616</v>
      </c>
      <c r="B232" s="7">
        <v>4003</v>
      </c>
      <c r="C232" s="21" t="s">
        <v>213</v>
      </c>
      <c r="D232" s="21" t="s">
        <v>944</v>
      </c>
      <c r="E232" s="13">
        <v>42842.435231481482</v>
      </c>
      <c r="F232" s="13">
        <v>42842.439189814817</v>
      </c>
      <c r="G232" s="7">
        <v>5</v>
      </c>
      <c r="H232" s="21" t="s">
        <v>945</v>
      </c>
      <c r="I232" s="13">
        <v>42842.445277777777</v>
      </c>
      <c r="J232" s="7">
        <v>0</v>
      </c>
      <c r="K232" s="97" t="str">
        <f t="shared" si="70"/>
        <v>4003/4004</v>
      </c>
      <c r="L232" s="21" t="str">
        <f>VLOOKUP(A232,'Trips&amp;Operators'!$C$1:$G$99999,5,FALSE)</f>
        <v>DAVIS MICHAEL</v>
      </c>
      <c r="M232" s="6">
        <f t="shared" si="71"/>
        <v>6.0879629600094631E-3</v>
      </c>
      <c r="N232" s="7">
        <f t="shared" si="87"/>
        <v>8.7666666624136269</v>
      </c>
      <c r="O232" s="7"/>
      <c r="P232" s="7"/>
      <c r="Q232" s="22"/>
      <c r="R232" s="22"/>
      <c r="S232" s="31">
        <f t="shared" si="88"/>
        <v>0</v>
      </c>
      <c r="T232" s="46" t="e">
        <f t="shared" si="72"/>
        <v>#VALUE!</v>
      </c>
      <c r="U232" s="18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2" t="str">
        <f t="shared" si="73"/>
        <v>https://d0f6bd738d7f1b3e5a7ca70fe4ff75f0.us-east-1.aws.found.io/app/kibana#/discover/Steve-Slow-Train-Analysis-(2080s-and-2083s)?_g=(refreshInterval:(display:Off,pause:!f,section:0,value:0),time:(from:'2017-04-17T09:26:44-0600',mode:absolute,to:'2017-04-17T11:41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2" s="183" t="str">
        <f t="shared" si="74"/>
        <v>Y</v>
      </c>
      <c r="X232" s="183" t="e">
        <f t="shared" si="75"/>
        <v>#VALUE!</v>
      </c>
      <c r="Y232" s="62">
        <f t="shared" si="76"/>
        <v>2.3250000000000002</v>
      </c>
      <c r="Z232" s="62">
        <f t="shared" si="77"/>
        <v>0.1038</v>
      </c>
      <c r="AA232" s="62">
        <f t="shared" si="78"/>
        <v>2.2212000000000001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79"/>
        <v>56-17</v>
      </c>
      <c r="AE232" s="85" t="str">
        <f t="shared" si="80"/>
        <v>aws s3 cp s3://rtdc.mdm.uploadarchive.raw/RTDC4003/ "%USERPROFILE%\AppData\Local\Temp\OnboardLogs"\RTDC4003\2017-04-17 --exclude "*" --recursive --include "*20170417*" &amp; "%USERPROFILE%\Documents\GitHub\mrs-test-scripts\Headless Mode &amp; Sideloading\WalkAndUnGZ.bat" "%USERPROFILE%\AppData\Local\Temp\OnboardLogs"\RTDC4003\2017-04-17 &amp; aws s3 cp s3://rtdc.mdm.uploadarchive.raw/RTDC4003/ "%USERPROFILE%\AppData\Local\Temp\OnboardLogs"\RTDC4003\2017-04-18 --exclude "*" --recursive --include "*20170418*" &amp; "%USERPROFILE%\Documents\GitHub\mrs-test-scripts\Headless Mode &amp; Sideloading\WalkAndUnGZ.bat" "%USERPROFILE%\AppData\Local\Temp\OnboardLogs"\RTDC4003\2017-04-18</v>
      </c>
      <c r="AF232" s="82" t="str">
        <f t="shared" si="81"/>
        <v>"C:\Program Files (x86)\AstroGrep\AstroGrep.exe" /e /r /s /spath="%USERPROFILE%\AppData\Local\Temp\OnboardLogs" /stypes="app*4003*20170417*" /stext=" 16:.+((SYSTEM_STATE.+slice.+state.+changed )|(ment ac)|(multiple cpu faults)|(system.+state.+changed )|(\[timeout)|(PRM\|1\|D)|(kpr)|(kdp)|(\|lc)|(penalty))"</v>
      </c>
      <c r="AG232" s="1" t="str">
        <f t="shared" si="82"/>
        <v>Other</v>
      </c>
      <c r="AH232" s="86" t="str">
        <f t="shared" si="83"/>
        <v>"%USERPROFILE%\Documents\GitHub\eaglep3\Utilities\RefineRTDCRunTimes.py" --tripid 56-17 --locoid 4003 --swversion DE.1.0.9.0 --startMP 300:23250 --initTime 2017-04-17T10:26:44 --startdatetime 2017-04-17T10:32:26 --delay 5 --endMP 204:1038 --enddatetime 2017-04-17T10:41:12 --enforcementcount 0 &gt;&gt;C:\Users\stu\Documents\GitHub\eaglep3-reporting\EC\2017-04-17-refined-times.txt</v>
      </c>
      <c r="AI232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{"issue":{"subject":"","project_id":79,"tracker_id":40,"status_id":1,"priority_id":2,"assigned_to_id":23,"start_date":"2017-04-17","description":"","custom_fields":[{"id":1,"name":"Subdivision","value":"Other"},{"id":4,"name":"Milepost","value":"0.1038"},{"id":17,"name":"Train ID","value":"56-17"},{"id":16,"name":"Locomotive ID","value":"4003"},{"id":130,"name":"Impact","value":""},{"id":150,"name":"Time of Event (Mountain Time)","value":"10:41:12"},{"id":151,"name":"Denver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8"/>
      <c r="AL232" s="48"/>
      <c r="AM232" s="150" t="str">
        <f t="shared" si="85"/>
        <v>start /low /b %USERPROFILE%\Documents\GitHub\eaglep3\Utilities\DownloadLogsFromS3.py --loco 4003 --day 2017-04-17</v>
      </c>
      <c r="AN232" s="159" t="str">
        <f t="shared" si="86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16:41:12"},{"id":29,"name":"Sharepoint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3" t="s">
        <v>720</v>
      </c>
      <c r="B233" s="7">
        <v>4004</v>
      </c>
      <c r="C233" s="21" t="s">
        <v>213</v>
      </c>
      <c r="D233" s="21" t="s">
        <v>946</v>
      </c>
      <c r="E233" s="13">
        <v>42842.458472222221</v>
      </c>
      <c r="F233" s="13">
        <v>42842.468819444446</v>
      </c>
      <c r="G233" s="7">
        <v>1</v>
      </c>
      <c r="H233" s="21" t="s">
        <v>947</v>
      </c>
      <c r="I233" s="13">
        <v>42842.474270833336</v>
      </c>
      <c r="J233" s="7">
        <v>0</v>
      </c>
      <c r="K233" s="97" t="str">
        <f t="shared" si="70"/>
        <v>4003/4004</v>
      </c>
      <c r="L233" s="21" t="str">
        <f>VLOOKUP(A233,'Trips&amp;Operators'!$C$1:$G$99999,5,FALSE)</f>
        <v>MAELZER KURT</v>
      </c>
      <c r="M233" s="6">
        <f t="shared" si="71"/>
        <v>5.4513888899236917E-3</v>
      </c>
      <c r="N233" s="7">
        <f t="shared" si="87"/>
        <v>7.8500000014901161</v>
      </c>
      <c r="O233" s="7"/>
      <c r="P233" s="7"/>
      <c r="Q233" s="22"/>
      <c r="R233" s="22"/>
      <c r="S233" s="31">
        <f t="shared" si="88"/>
        <v>0</v>
      </c>
      <c r="T233" s="46" t="e">
        <f t="shared" si="72"/>
        <v>#VALUE!</v>
      </c>
      <c r="U233" s="18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2" t="str">
        <f t="shared" si="73"/>
        <v>https://d0f6bd738d7f1b3e5a7ca70fe4ff75f0.us-east-1.aws.found.io/app/kibana#/discover/Steve-Slow-Train-Analysis-(2080s-and-2083s)?_g=(refreshInterval:(display:Off,pause:!f,section:0,value:0),time:(from:'2017-04-17T10:00:12-0600',mode:absolute,to:'2017-04-17T12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3" s="183" t="str">
        <f t="shared" si="74"/>
        <v>Y</v>
      </c>
      <c r="X233" s="183" t="e">
        <f t="shared" si="75"/>
        <v>#VALUE!</v>
      </c>
      <c r="Y233" s="62">
        <f t="shared" si="76"/>
        <v>0.1168</v>
      </c>
      <c r="Z233" s="62">
        <f t="shared" si="77"/>
        <v>2.4235000000000002</v>
      </c>
      <c r="AA233" s="62">
        <f t="shared" si="78"/>
        <v>2.3067000000000002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79"/>
        <v>57-17</v>
      </c>
      <c r="AE233" s="85" t="str">
        <f t="shared" si="80"/>
        <v>aws s3 cp s3://rtdc.mdm.uploadarchive.raw/RTDC4004/ "%USERPROFILE%\AppData\Local\Temp\OnboardLogs"\RTDC4004\2017-04-17 --exclude "*" --recursive --include "*20170417*" &amp; "%USERPROFILE%\Documents\GitHub\mrs-test-scripts\Headless Mode &amp; Sideloading\WalkAndUnGZ.bat" "%USERPROFILE%\AppData\Local\Temp\OnboardLogs"\RTDC4004\2017-04-17 &amp; aws s3 cp s3://rtdc.mdm.uploadarchive.raw/RTDC4004/ "%USERPROFILE%\AppData\Local\Temp\OnboardLogs"\RTDC4004\2017-04-18 --exclude "*" --recursive --include "*20170418*" &amp; "%USERPROFILE%\Documents\GitHub\mrs-test-scripts\Headless Mode &amp; Sideloading\WalkAndUnGZ.bat" "%USERPROFILE%\AppData\Local\Temp\OnboardLogs"\RTDC4004\2017-04-18</v>
      </c>
      <c r="AF233" s="82" t="str">
        <f t="shared" si="81"/>
        <v>"C:\Program Files (x86)\AstroGrep\AstroGrep.exe" /e /r /s /spath="%USERPROFILE%\AppData\Local\Temp\OnboardLogs" /stypes="app*4004*20170417*" /stext=" 17:.+((SYSTEM_STATE.+slice.+state.+changed )|(ment ac)|(multiple cpu faults)|(system.+state.+changed )|(\[timeout)|(PRM\|1\|D)|(kpr)|(kdp)|(\|lc)|(penalty))"</v>
      </c>
      <c r="AG233" s="1" t="str">
        <f t="shared" si="82"/>
        <v>Other</v>
      </c>
      <c r="AH233" s="86" t="str">
        <f t="shared" si="83"/>
        <v>"%USERPROFILE%\Documents\GitHub\eaglep3\Utilities\RefineRTDCRunTimes.py" --tripid 57-17 --locoid 4004 --swversion DE.1.0.9.0 --startMP 204:1168 --initTime 2017-04-17T11:00:12 --startdatetime 2017-04-17T11:15:06 --delay 1 --endMP 300:24235 --enddatetime 2017-04-17T11:22:57 --enforcementcount 0 &gt;&gt;C:\Users\stu\Documents\GitHub\eaglep3-reporting\EC\2017-04-17-refined-times.txt</v>
      </c>
      <c r="AI233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{"issue":{"subject":"","project_id":79,"tracker_id":40,"status_id":1,"priority_id":2,"assigned_to_id":23,"start_date":"2017-04-17","description":"","custom_fields":[{"id":1,"name":"Subdivision","value":"Other"},{"id":4,"name":"Milepost","value":"2.4235"},{"id":17,"name":"Train ID","value":"57-17"},{"id":16,"name":"Locomotive ID","value":"4004"},{"id":130,"name":"Impact","value":""},{"id":150,"name":"Time of Event (Mountain Time)","value":"11:22:57"},{"id":151,"name":"Denver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8"/>
      <c r="AL233" s="48"/>
      <c r="AM233" s="150" t="str">
        <f t="shared" si="85"/>
        <v>start /low /b %USERPROFILE%\Documents\GitHub\eaglep3\Utilities\DownloadLogsFromS3.py --loco 4004 --day 2017-04-17</v>
      </c>
      <c r="AN233" s="159" t="str">
        <f t="shared" si="86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17:22:57"},{"id":29,"name":"Sharepoint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3" t="s">
        <v>627</v>
      </c>
      <c r="B234" s="7">
        <v>4016</v>
      </c>
      <c r="C234" s="21" t="s">
        <v>213</v>
      </c>
      <c r="D234" s="21" t="s">
        <v>948</v>
      </c>
      <c r="E234" s="13">
        <v>42842.722002314818</v>
      </c>
      <c r="F234" s="13">
        <v>42842.740347222221</v>
      </c>
      <c r="G234" s="7">
        <v>2</v>
      </c>
      <c r="H234" s="21" t="s">
        <v>949</v>
      </c>
      <c r="I234" s="13">
        <v>42842.740474537037</v>
      </c>
      <c r="J234" s="7">
        <v>0</v>
      </c>
      <c r="K234" s="97" t="str">
        <f t="shared" si="70"/>
        <v>4015/4016</v>
      </c>
      <c r="L234" s="21" t="str">
        <f>VLOOKUP(A234,'Trips&amp;Operators'!$C$1:$G$99999,5,FALSE)</f>
        <v>NELSON ARIANE</v>
      </c>
      <c r="M234" s="6">
        <f t="shared" si="71"/>
        <v>1.273148154723458E-4</v>
      </c>
      <c r="N234" s="7">
        <f t="shared" si="87"/>
        <v>0.18333333428017795</v>
      </c>
      <c r="O234" s="7"/>
      <c r="P234" s="7"/>
      <c r="Q234" s="22"/>
      <c r="R234" s="22"/>
      <c r="S234" s="31">
        <f t="shared" si="88"/>
        <v>0</v>
      </c>
      <c r="T234" s="46" t="e">
        <f t="shared" si="72"/>
        <v>#VALUE!</v>
      </c>
      <c r="U234" s="18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2" t="str">
        <f t="shared" si="73"/>
        <v>https://d0f6bd738d7f1b3e5a7ca70fe4ff75f0.us-east-1.aws.found.io/app/kibana#/discover/Steve-Slow-Train-Analysis-(2080s-and-2083s)?_g=(refreshInterval:(display:Off,pause:!f,section:0,value:0),time:(from:'2017-04-17T16:19:41-0600',mode:absolute,to:'2017-04-17T18:46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4" s="183" t="str">
        <f t="shared" si="74"/>
        <v>Y</v>
      </c>
      <c r="X234" s="183" t="e">
        <f t="shared" si="75"/>
        <v>#VALUE!</v>
      </c>
      <c r="Y234" s="62">
        <f t="shared" si="76"/>
        <v>0.14749999999999999</v>
      </c>
      <c r="Z234" s="62">
        <f t="shared" si="77"/>
        <v>0.1777</v>
      </c>
      <c r="AA234" s="62">
        <f t="shared" si="78"/>
        <v>3.0200000000000005E-2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79"/>
        <v>65-17</v>
      </c>
      <c r="AE234" s="85" t="str">
        <f t="shared" si="80"/>
        <v>aws s3 cp s3://rtdc.mdm.uploadarchive.raw/RTDC4016/ "%USERPROFILE%\AppData\Local\Temp\OnboardLogs"\RTDC4016\2017-04-17 --exclude "*" --recursive --include "*20170417*" &amp; "%USERPROFILE%\Documents\GitHub\mrs-test-scripts\Headless Mode &amp; Sideloading\WalkAndUnGZ.bat" "%USERPROFILE%\AppData\Local\Temp\OnboardLogs"\RTDC4016\2017-04-17 &amp; aws s3 cp s3://rtdc.mdm.uploadarchive.raw/RTDC4016/ "%USERPROFILE%\AppData\Local\Temp\OnboardLogs"\RTDC4016\2017-04-18 --exclude "*" --recursive --include "*20170418*" &amp; "%USERPROFILE%\Documents\GitHub\mrs-test-scripts\Headless Mode &amp; Sideloading\WalkAndUnGZ.bat" "%USERPROFILE%\AppData\Local\Temp\OnboardLogs"\RTDC4016\2017-04-18</v>
      </c>
      <c r="AF234" s="82" t="str">
        <f t="shared" si="81"/>
        <v>"C:\Program Files (x86)\AstroGrep\AstroGrep.exe" /e /r /s /spath="%USERPROFILE%\AppData\Local\Temp\OnboardLogs" /stypes="app*4016*20170417*" /stext=" 23:.+((SYSTEM_STATE.+slice.+state.+changed )|(ment ac)|(multiple cpu faults)|(system.+state.+changed )|(\[timeout)|(PRM\|1\|D)|(kpr)|(kdp)|(\|lc)|(penalty))"</v>
      </c>
      <c r="AG234" s="1" t="str">
        <f t="shared" si="82"/>
        <v>Other</v>
      </c>
      <c r="AH234" s="86" t="str">
        <f t="shared" si="83"/>
        <v>"%USERPROFILE%\Documents\GitHub\eaglep3\Utilities\RefineRTDCRunTimes.py" --tripid 65-17 --locoid 4016 --swversion DE.1.0.9.0 --startMP 204:1475 --initTime 2017-04-17T17:19:41 --startdatetime 2017-04-17T17:46:06 --delay 2 --endMP 204:1777 --enddatetime 2017-04-17T17:46:17 --enforcementcount 0 &gt;&gt;C:\Users\stu\Documents\GitHub\eaglep3-reporting\EC\2017-04-17-refined-times.txt</v>
      </c>
      <c r="AI234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{"issue":{"subject":"","project_id":79,"tracker_id":40,"status_id":1,"priority_id":2,"assigned_to_id":23,"start_date":"2017-04-17","description":"","custom_fields":[{"id":1,"name":"Subdivision","value":"Other"},{"id":4,"name":"Milepost","value":"0.1777"},{"id":17,"name":"Train ID","value":"65-17"},{"id":16,"name":"Locomotive ID","value":"4016"},{"id":130,"name":"Impact","value":""},{"id":150,"name":"Time of Event (Mountain Time)","value":"17:46:17"},{"id":151,"name":"Denver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8"/>
      <c r="AL234" s="48"/>
      <c r="AM234" s="150" t="str">
        <f t="shared" si="85"/>
        <v>start /low /b %USERPROFILE%\Documents\GitHub\eaglep3\Utilities\DownloadLogsFromS3.py --loco 4016 --day 2017-04-17</v>
      </c>
      <c r="AN234" s="159" t="str">
        <f t="shared" si="86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23:46:17"},{"id":29,"name":"Sharepoint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3" t="s">
        <v>627</v>
      </c>
      <c r="B235" s="7">
        <v>4027</v>
      </c>
      <c r="C235" s="21" t="s">
        <v>213</v>
      </c>
      <c r="D235" s="21" t="s">
        <v>950</v>
      </c>
      <c r="E235" s="13">
        <v>42842.475740740738</v>
      </c>
      <c r="F235" s="13">
        <v>42842.477199074077</v>
      </c>
      <c r="G235" s="7">
        <v>1</v>
      </c>
      <c r="H235" s="21" t="s">
        <v>413</v>
      </c>
      <c r="I235" s="13">
        <v>42842.478935185187</v>
      </c>
      <c r="J235" s="7">
        <v>0</v>
      </c>
      <c r="K235" s="97" t="str">
        <f t="shared" si="70"/>
        <v>4027/4028</v>
      </c>
      <c r="L235" s="21" t="str">
        <f>VLOOKUP(A235,'Trips&amp;Operators'!$C$1:$G$99999,5,FALSE)</f>
        <v>NELSON ARIANE</v>
      </c>
      <c r="M235" s="6">
        <f t="shared" si="71"/>
        <v>1.7361111094942316E-3</v>
      </c>
      <c r="N235" s="7">
        <f t="shared" si="87"/>
        <v>2.4999999976716936</v>
      </c>
      <c r="O235" s="7"/>
      <c r="P235" s="7"/>
      <c r="Q235" s="22"/>
      <c r="R235" s="22"/>
      <c r="S235" s="31">
        <f t="shared" si="88"/>
        <v>0</v>
      </c>
      <c r="T235" s="46" t="e">
        <f t="shared" si="72"/>
        <v>#VALUE!</v>
      </c>
      <c r="U235" s="18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2" t="str">
        <f t="shared" si="73"/>
        <v>https://d0f6bd738d7f1b3e5a7ca70fe4ff75f0.us-east-1.aws.found.io/app/kibana#/discover/Steve-Slow-Train-Analysis-(2080s-and-2083s)?_g=(refreshInterval:(display:Off,pause:!f,section:0,value:0),time:(from:'2017-04-17T10:25:04-0600',mode:absolute,to:'2017-04-17T12:29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5" s="183" t="str">
        <f t="shared" si="74"/>
        <v>Y</v>
      </c>
      <c r="X235" s="183" t="e">
        <f t="shared" si="75"/>
        <v>#VALUE!</v>
      </c>
      <c r="Y235" s="62">
        <f t="shared" si="76"/>
        <v>0.44500000000000001</v>
      </c>
      <c r="Z235" s="62">
        <f t="shared" si="77"/>
        <v>1.4500000000000001E-2</v>
      </c>
      <c r="AA235" s="62">
        <f t="shared" si="78"/>
        <v>0.43049999999999999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79"/>
        <v>65-17</v>
      </c>
      <c r="AE235" s="85" t="str">
        <f t="shared" si="80"/>
        <v>aws s3 cp s3://rtdc.mdm.uploadarchive.raw/RTDC4027/ "%USERPROFILE%\AppData\Local\Temp\OnboardLogs"\RTDC4027\2017-04-17 --exclude "*" --recursive --include "*20170417*" &amp; "%USERPROFILE%\Documents\GitHub\mrs-test-scripts\Headless Mode &amp; Sideloading\WalkAndUnGZ.bat" "%USERPROFILE%\AppData\Local\Temp\OnboardLogs"\RTDC4027\2017-04-17 &amp; aws s3 cp s3://rtdc.mdm.uploadarchive.raw/RTDC4027/ "%USERPROFILE%\AppData\Local\Temp\OnboardLogs"\RTDC4027\2017-04-18 --exclude "*" --recursive --include "*20170418*" &amp; "%USERPROFILE%\Documents\GitHub\mrs-test-scripts\Headless Mode &amp; Sideloading\WalkAndUnGZ.bat" "%USERPROFILE%\AppData\Local\Temp\OnboardLogs"\RTDC4027\2017-04-18</v>
      </c>
      <c r="AF235" s="82" t="str">
        <f t="shared" si="81"/>
        <v>"C:\Program Files (x86)\AstroGrep\AstroGrep.exe" /e /r /s /spath="%USERPROFILE%\AppData\Local\Temp\OnboardLogs" /stypes="app*4027*20170417*" /stext=" 17:.+((SYSTEM_STATE.+slice.+state.+changed )|(ment ac)|(multiple cpu faults)|(system.+state.+changed )|(\[timeout)|(PRM\|1\|D)|(kpr)|(kdp)|(\|lc)|(penalty))"</v>
      </c>
      <c r="AG235" s="1" t="str">
        <f t="shared" si="82"/>
        <v>Other</v>
      </c>
      <c r="AH235" s="86" t="str">
        <f t="shared" si="83"/>
        <v>"%USERPROFILE%\Documents\GitHub\eaglep3\Utilities\RefineRTDCRunTimes.py" --tripid 65-17 --locoid 4027 --swversion DE.1.0.9.0 --startMP 204:4450 --initTime 2017-04-17T11:25:04 --startdatetime 2017-04-17T11:27:10 --delay 1 --endMP 204:145 --enddatetime 2017-04-17T11:29:40 --enforcementcount 0 &gt;&gt;C:\Users\stu\Documents\GitHub\eaglep3-reporting\EC\2017-04-17-refined-times.txt</v>
      </c>
      <c r="AI235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{"issue":{"subject":"","project_id":79,"tracker_id":40,"status_id":1,"priority_id":2,"assigned_to_id":23,"start_date":"2017-04-17","description":"","custom_fields":[{"id":1,"name":"Subdivision","value":"Other"},{"id":4,"name":"Milepost","value":"0.0145"},{"id":17,"name":"Train ID","value":"65-17"},{"id":16,"name":"Locomotive ID","value":"4027"},{"id":130,"name":"Impact","value":""},{"id":150,"name":"Time of Event (Mountain Time)","value":"11:29:40"},{"id":151,"name":"Denver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8"/>
      <c r="AL235" s="48"/>
      <c r="AM235" s="150" t="str">
        <f t="shared" si="85"/>
        <v>start /low /b %USERPROFILE%\Documents\GitHub\eaglep3\Utilities\DownloadLogsFromS3.py --loco 4027 --day 2017-04-17</v>
      </c>
      <c r="AN235" s="159" t="str">
        <f t="shared" si="86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17:29:40"},{"id":29,"name":"Sharepoint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3" t="s">
        <v>627</v>
      </c>
      <c r="B236" s="7">
        <v>4028</v>
      </c>
      <c r="C236" s="21" t="s">
        <v>213</v>
      </c>
      <c r="D236" s="21" t="s">
        <v>951</v>
      </c>
      <c r="E236" s="13">
        <v>42842.470636574071</v>
      </c>
      <c r="F236" s="13">
        <v>42842.477199074077</v>
      </c>
      <c r="G236" s="7">
        <v>1</v>
      </c>
      <c r="H236" s="21" t="s">
        <v>952</v>
      </c>
      <c r="I236" s="13">
        <v>42842.478935185187</v>
      </c>
      <c r="J236" s="7">
        <v>0</v>
      </c>
      <c r="K236" s="97" t="str">
        <f t="shared" si="70"/>
        <v>4027/4028</v>
      </c>
      <c r="L236" s="21" t="str">
        <f>VLOOKUP(A236,'Trips&amp;Operators'!$C$1:$G$99999,5,FALSE)</f>
        <v>NELSON ARIANE</v>
      </c>
      <c r="M236" s="6">
        <f t="shared" si="71"/>
        <v>1.7361111094942316E-3</v>
      </c>
      <c r="N236" s="7">
        <f t="shared" si="87"/>
        <v>2.4999999976716936</v>
      </c>
      <c r="O236" s="7"/>
      <c r="P236" s="7"/>
      <c r="Q236" s="22"/>
      <c r="R236" s="22"/>
      <c r="S236" s="31">
        <f t="shared" si="88"/>
        <v>0</v>
      </c>
      <c r="T236" s="46" t="e">
        <f t="shared" si="72"/>
        <v>#VALUE!</v>
      </c>
      <c r="U236" s="18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2" t="str">
        <f t="shared" si="73"/>
        <v>https://d0f6bd738d7f1b3e5a7ca70fe4ff75f0.us-east-1.aws.found.io/app/kibana#/discover/Steve-Slow-Train-Analysis-(2080s-and-2083s)?_g=(refreshInterval:(display:Off,pause:!f,section:0,value:0),time:(from:'2017-04-17T10:17:43-0600',mode:absolute,to:'2017-04-17T12:29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6" s="183" t="str">
        <f t="shared" si="74"/>
        <v>Y</v>
      </c>
      <c r="X236" s="183" t="e">
        <f t="shared" si="75"/>
        <v>#VALUE!</v>
      </c>
      <c r="Y236" s="62">
        <f t="shared" si="76"/>
        <v>0.14879999999999999</v>
      </c>
      <c r="Z236" s="62">
        <f t="shared" si="77"/>
        <v>0.4758</v>
      </c>
      <c r="AA236" s="62">
        <f t="shared" si="78"/>
        <v>0.32700000000000001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79"/>
        <v>65-17</v>
      </c>
      <c r="AE236" s="85" t="str">
        <f t="shared" si="80"/>
        <v>aws s3 cp s3://rtdc.mdm.uploadarchive.raw/RTDC4028/ "%USERPROFILE%\AppData\Local\Temp\OnboardLogs"\RTDC4028\2017-04-17 --exclude "*" --recursive --include "*20170417*" &amp; "%USERPROFILE%\Documents\GitHub\mrs-test-scripts\Headless Mode &amp; Sideloading\WalkAndUnGZ.bat" "%USERPROFILE%\AppData\Local\Temp\OnboardLogs"\RTDC4028\2017-04-17 &amp; aws s3 cp s3://rtdc.mdm.uploadarchive.raw/RTDC4028/ "%USERPROFILE%\AppData\Local\Temp\OnboardLogs"\RTDC4028\2017-04-18 --exclude "*" --recursive --include "*20170418*" &amp; "%USERPROFILE%\Documents\GitHub\mrs-test-scripts\Headless Mode &amp; Sideloading\WalkAndUnGZ.bat" "%USERPROFILE%\AppData\Local\Temp\OnboardLogs"\RTDC4028\2017-04-18</v>
      </c>
      <c r="AF236" s="82" t="str">
        <f t="shared" si="81"/>
        <v>"C:\Program Files (x86)\AstroGrep\AstroGrep.exe" /e /r /s /spath="%USERPROFILE%\AppData\Local\Temp\OnboardLogs" /stypes="app*4028*20170417*" /stext=" 17:.+((SYSTEM_STATE.+slice.+state.+changed )|(ment ac)|(multiple cpu faults)|(system.+state.+changed )|(\[timeout)|(PRM\|1\|D)|(kpr)|(kdp)|(\|lc)|(penalty))"</v>
      </c>
      <c r="AG236" s="1" t="str">
        <f t="shared" si="82"/>
        <v>Other</v>
      </c>
      <c r="AH236" s="86" t="str">
        <f t="shared" si="83"/>
        <v>"%USERPROFILE%\Documents\GitHub\eaglep3\Utilities\RefineRTDCRunTimes.py" --tripid 65-17 --locoid 4028 --swversion DE.1.0.9.0 --startMP 204:1488 --initTime 2017-04-17T11:17:43 --startdatetime 2017-04-17T11:27:10 --delay 1 --endMP 204:4758 --enddatetime 2017-04-17T11:29:40 --enforcementcount 0 &gt;&gt;C:\Users\stu\Documents\GitHub\eaglep3-reporting\EC\2017-04-17-refined-times.txt</v>
      </c>
      <c r="AI236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{"issue":{"subject":"","project_id":79,"tracker_id":40,"status_id":1,"priority_id":2,"assigned_to_id":23,"start_date":"2017-04-17","description":"","custom_fields":[{"id":1,"name":"Subdivision","value":"Other"},{"id":4,"name":"Milepost","value":"0.4758"},{"id":17,"name":"Train ID","value":"65-17"},{"id":16,"name":"Locomotive ID","value":"4028"},{"id":130,"name":"Impact","value":""},{"id":150,"name":"Time of Event (Mountain Time)","value":"11:29:40"},{"id":151,"name":"Denver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8"/>
      <c r="AL236" s="48"/>
      <c r="AM236" s="150" t="str">
        <f t="shared" si="85"/>
        <v>start /low /b %USERPROFILE%\Documents\GitHub\eaglep3\Utilities\DownloadLogsFromS3.py --loco 4028 --day 2017-04-17</v>
      </c>
      <c r="AN236" s="159" t="str">
        <f t="shared" si="86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17:29:40"},{"id":29,"name":"Sharepoint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3" t="s">
        <v>805</v>
      </c>
      <c r="B237" s="7">
        <v>4025</v>
      </c>
      <c r="C237" s="21" t="s">
        <v>213</v>
      </c>
      <c r="D237" s="21" t="s">
        <v>953</v>
      </c>
      <c r="E237" s="13">
        <v>42842.848738425928</v>
      </c>
      <c r="F237" s="13">
        <v>42842.850115740737</v>
      </c>
      <c r="G237" s="7">
        <v>1</v>
      </c>
      <c r="H237" s="21" t="s">
        <v>954</v>
      </c>
      <c r="I237" s="13">
        <v>42842.850613425922</v>
      </c>
      <c r="J237" s="7">
        <v>0</v>
      </c>
      <c r="K237" s="97" t="str">
        <f t="shared" si="70"/>
        <v>4025/4026</v>
      </c>
      <c r="L237" s="21" t="str">
        <f>VLOOKUP(A237,'Trips&amp;Operators'!$C$1:$G$99999,5,FALSE)</f>
        <v>MAGEE KENYA</v>
      </c>
      <c r="M237" s="6">
        <f t="shared" si="71"/>
        <v>4.9768518510973081E-4</v>
      </c>
      <c r="N237" s="7">
        <f t="shared" si="87"/>
        <v>0.71666666655801237</v>
      </c>
      <c r="O237" s="7"/>
      <c r="P237" s="7"/>
      <c r="Q237" s="22"/>
      <c r="R237" s="22"/>
      <c r="S237" s="31">
        <f t="shared" si="88"/>
        <v>0</v>
      </c>
      <c r="T237" s="46" t="e">
        <f t="shared" si="72"/>
        <v>#VALUE!</v>
      </c>
      <c r="U237" s="18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2" t="str">
        <f t="shared" si="73"/>
        <v>https://d0f6bd738d7f1b3e5a7ca70fe4ff75f0.us-east-1.aws.found.io/app/kibana#/discover/Steve-Slow-Train-Analysis-(2080s-and-2083s)?_g=(refreshInterval:(display:Off,pause:!f,section:0,value:0),time:(from:'2017-04-17T19:22:11-0600',mode:absolute,to:'2017-04-17T21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7" s="183" t="str">
        <f t="shared" si="74"/>
        <v>Y</v>
      </c>
      <c r="X237" s="183" t="e">
        <f t="shared" si="75"/>
        <v>#VALUE!</v>
      </c>
      <c r="Y237" s="62">
        <f t="shared" si="76"/>
        <v>0.33260000000000001</v>
      </c>
      <c r="Z237" s="62">
        <f t="shared" si="77"/>
        <v>0.1671</v>
      </c>
      <c r="AA237" s="62">
        <f t="shared" si="78"/>
        <v>0.16550000000000001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79"/>
        <v>68-17</v>
      </c>
      <c r="AE237" s="85" t="str">
        <f t="shared" si="80"/>
        <v>aws s3 cp s3://rtdc.mdm.uploadarchive.raw/RTDC4025/ "%USERPROFILE%\AppData\Local\Temp\OnboardLogs"\RTDC4025\2017-04-17 --exclude "*" --recursive --include "*20170417*" &amp; "%USERPROFILE%\Documents\GitHub\mrs-test-scripts\Headless Mode &amp; Sideloading\WalkAndUnGZ.bat" "%USERPROFILE%\AppData\Local\Temp\OnboardLogs"\RTDC4025\2017-04-17 &amp; aws s3 cp s3://rtdc.mdm.uploadarchive.raw/RTDC4025/ "%USERPROFILE%\AppData\Local\Temp\OnboardLogs"\RTDC4025\2017-04-18 --exclude "*" --recursive --include "*20170418*" &amp; "%USERPROFILE%\Documents\GitHub\mrs-test-scripts\Headless Mode &amp; Sideloading\WalkAndUnGZ.bat" "%USERPROFILE%\AppData\Local\Temp\OnboardLogs"\RTDC4025\2017-04-18</v>
      </c>
      <c r="AF237" s="82" t="str">
        <f t="shared" si="81"/>
        <v>"C:\Program Files (x86)\AstroGrep\AstroGrep.exe" /e /r /s /spath="%USERPROFILE%\AppData\Local\Temp\OnboardLogs" /stypes="app*4025*20170418*" /stext=" 02:.+((SYSTEM_STATE.+slice.+state.+changed )|(ment ac)|(multiple cpu faults)|(system.+state.+changed )|(\[timeout)|(PRM\|1\|D)|(kpr)|(kdp)|(\|lc)|(penalty))"</v>
      </c>
      <c r="AG237" s="1" t="str">
        <f t="shared" si="82"/>
        <v>Other</v>
      </c>
      <c r="AH237" s="86" t="str">
        <f t="shared" si="83"/>
        <v>"%USERPROFILE%\Documents\GitHub\eaglep3\Utilities\RefineRTDCRunTimes.py" --tripid 68-17 --locoid 4025 --swversion DE.1.0.9.0 --startMP 204:3326 --initTime 2017-04-17T20:22:11 --startdatetime 2017-04-17T20:24:10 --delay 1 --endMP 204:1671 --enddatetime 2017-04-17T20:24:53 --enforcementcount 0 &gt;&gt;C:\Users\stu\Documents\GitHub\eaglep3-reporting\EC\2017-04-17-refined-times.txt</v>
      </c>
      <c r="AI237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{"issue":{"subject":"","project_id":79,"tracker_id":40,"status_id":1,"priority_id":2,"assigned_to_id":23,"start_date":"2017-04-17","description":"","custom_fields":[{"id":1,"name":"Subdivision","value":"Other"},{"id":4,"name":"Milepost","value":"0.1671"},{"id":17,"name":"Train ID","value":"68-17"},{"id":16,"name":"Locomotive ID","value":"4025"},{"id":130,"name":"Impact","value":""},{"id":150,"name":"Time of Event (Mountain Time)","value":"20:24:53"},{"id":151,"name":"Denver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8"/>
      <c r="AL237" s="48"/>
      <c r="AM237" s="150" t="str">
        <f t="shared" si="85"/>
        <v>start /low /b %USERPROFILE%\Documents\GitHub\eaglep3\Utilities\DownloadLogsFromS3.py --loco 4025 --day 2017-04-17</v>
      </c>
      <c r="AN237" s="159" t="str">
        <f t="shared" si="86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02:24:53"},{"id":29,"name":"Sharepoint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3" t="s">
        <v>805</v>
      </c>
      <c r="B238" s="7">
        <v>4027</v>
      </c>
      <c r="C238" s="21" t="s">
        <v>213</v>
      </c>
      <c r="D238" s="21" t="s">
        <v>955</v>
      </c>
      <c r="E238" s="13">
        <v>42842.838460648149</v>
      </c>
      <c r="F238" s="13">
        <v>42842.850115740737</v>
      </c>
      <c r="G238" s="7">
        <v>2</v>
      </c>
      <c r="H238" s="21" t="s">
        <v>467</v>
      </c>
      <c r="I238" s="13">
        <v>42842.850613425922</v>
      </c>
      <c r="J238" s="7">
        <v>0</v>
      </c>
      <c r="K238" s="97" t="str">
        <f t="shared" si="70"/>
        <v>4027/4028</v>
      </c>
      <c r="L238" s="21" t="str">
        <f>VLOOKUP(A238,'Trips&amp;Operators'!$C$1:$G$99999,5,FALSE)</f>
        <v>MAGEE KENYA</v>
      </c>
      <c r="M238" s="6">
        <f t="shared" si="71"/>
        <v>4.9768518510973081E-4</v>
      </c>
      <c r="N238" s="7">
        <f t="shared" si="87"/>
        <v>0.71666666655801237</v>
      </c>
      <c r="O238" s="7"/>
      <c r="P238" s="7"/>
      <c r="Q238" s="22"/>
      <c r="R238" s="22"/>
      <c r="S238" s="31">
        <f t="shared" si="88"/>
        <v>0</v>
      </c>
      <c r="T238" s="46" t="e">
        <f t="shared" si="72"/>
        <v>#VALUE!</v>
      </c>
      <c r="U238" s="18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2" t="str">
        <f t="shared" si="73"/>
        <v>https://d0f6bd738d7f1b3e5a7ca70fe4ff75f0.us-east-1.aws.found.io/app/kibana#/discover/Steve-Slow-Train-Analysis-(2080s-and-2083s)?_g=(refreshInterval:(display:Off,pause:!f,section:0,value:0),time:(from:'2017-04-17T19:07:23-0600',mode:absolute,to:'2017-04-17T21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8" s="183" t="str">
        <f t="shared" si="74"/>
        <v>Y</v>
      </c>
      <c r="X238" s="183" t="e">
        <f t="shared" si="75"/>
        <v>#VALUE!</v>
      </c>
      <c r="Y238" s="62">
        <f t="shared" si="76"/>
        <v>0.31019999999999998</v>
      </c>
      <c r="Z238" s="62">
        <f t="shared" si="77"/>
        <v>1.4999999999999999E-2</v>
      </c>
      <c r="AA238" s="62">
        <f t="shared" si="78"/>
        <v>0.29519999999999996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79"/>
        <v>68-17</v>
      </c>
      <c r="AE238" s="85" t="str">
        <f t="shared" si="80"/>
        <v>aws s3 cp s3://rtdc.mdm.uploadarchive.raw/RTDC4027/ "%USERPROFILE%\AppData\Local\Temp\OnboardLogs"\RTDC4027\2017-04-17 --exclude "*" --recursive --include "*20170417*" &amp; "%USERPROFILE%\Documents\GitHub\mrs-test-scripts\Headless Mode &amp; Sideloading\WalkAndUnGZ.bat" "%USERPROFILE%\AppData\Local\Temp\OnboardLogs"\RTDC4027\2017-04-17 &amp; aws s3 cp s3://rtdc.mdm.uploadarchive.raw/RTDC4027/ "%USERPROFILE%\AppData\Local\Temp\OnboardLogs"\RTDC4027\2017-04-18 --exclude "*" --recursive --include "*20170418*" &amp; "%USERPROFILE%\Documents\GitHub\mrs-test-scripts\Headless Mode &amp; Sideloading\WalkAndUnGZ.bat" "%USERPROFILE%\AppData\Local\Temp\OnboardLogs"\RTDC4027\2017-04-18</v>
      </c>
      <c r="AF238" s="82" t="str">
        <f t="shared" si="81"/>
        <v>"C:\Program Files (x86)\AstroGrep\AstroGrep.exe" /e /r /s /spath="%USERPROFILE%\AppData\Local\Temp\OnboardLogs" /stypes="app*4027*20170418*" /stext=" 02:.+((SYSTEM_STATE.+slice.+state.+changed )|(ment ac)|(multiple cpu faults)|(system.+state.+changed )|(\[timeout)|(PRM\|1\|D)|(kpr)|(kdp)|(\|lc)|(penalty))"</v>
      </c>
      <c r="AG238" s="1" t="str">
        <f t="shared" si="82"/>
        <v>Other</v>
      </c>
      <c r="AH238" s="86" t="str">
        <f t="shared" si="83"/>
        <v>"%USERPROFILE%\Documents\GitHub\eaglep3\Utilities\RefineRTDCRunTimes.py" --tripid 68-17 --locoid 4027 --swversion DE.1.0.9.0 --startMP 204:3102 --initTime 2017-04-17T20:07:23 --startdatetime 2017-04-17T20:24:10 --delay 2 --endMP 204:150 --enddatetime 2017-04-17T20:24:53 --enforcementcount 0 &gt;&gt;C:\Users\stu\Documents\GitHub\eaglep3-reporting\EC\2017-04-17-refined-times.txt</v>
      </c>
      <c r="AI238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{"issue":{"subject":"","project_id":79,"tracker_id":40,"status_id":1,"priority_id":2,"assigned_to_id":23,"start_date":"2017-04-17","description":"","custom_fields":[{"id":1,"name":"Subdivision","value":"Other"},{"id":4,"name":"Milepost","value":"0.015"},{"id":17,"name":"Train ID","value":"68-17"},{"id":16,"name":"Locomotive ID","value":"4027"},{"id":130,"name":"Impact","value":""},{"id":150,"name":"Time of Event (Mountain Time)","value":"20:24:53"},{"id":151,"name":"Denver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8"/>
      <c r="AL238" s="48"/>
      <c r="AM238" s="150" t="str">
        <f t="shared" si="85"/>
        <v>start /low /b %USERPROFILE%\Documents\GitHub\eaglep3\Utilities\DownloadLogsFromS3.py --loco 4027 --day 2017-04-17</v>
      </c>
      <c r="AN238" s="159" t="str">
        <f t="shared" si="86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02:24:53"},{"id":29,"name":"Sharepoint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3" t="s">
        <v>805</v>
      </c>
      <c r="B239" s="7">
        <v>4027</v>
      </c>
      <c r="C239" s="21" t="s">
        <v>213</v>
      </c>
      <c r="D239" s="21" t="s">
        <v>956</v>
      </c>
      <c r="E239" s="13">
        <v>42842.790370370371</v>
      </c>
      <c r="F239" s="13">
        <v>42842.840104166666</v>
      </c>
      <c r="G239" s="7">
        <v>1</v>
      </c>
      <c r="H239" s="21" t="s">
        <v>956</v>
      </c>
      <c r="I239" s="13">
        <v>42842.84134259259</v>
      </c>
      <c r="J239" s="7">
        <v>0</v>
      </c>
      <c r="K239" s="97" t="str">
        <f t="shared" si="70"/>
        <v>4027/4028</v>
      </c>
      <c r="L239" s="21" t="str">
        <f>VLOOKUP(A239,'Trips&amp;Operators'!$C$1:$G$99999,5,FALSE)</f>
        <v>MAGEE KENYA</v>
      </c>
      <c r="M239" s="6">
        <f t="shared" si="71"/>
        <v>1.2384259243845008E-3</v>
      </c>
      <c r="N239" s="7">
        <f t="shared" si="87"/>
        <v>1.7833333311136812</v>
      </c>
      <c r="O239" s="7"/>
      <c r="P239" s="7"/>
      <c r="Q239" s="22"/>
      <c r="R239" s="22"/>
      <c r="S239" s="31">
        <f t="shared" si="88"/>
        <v>0</v>
      </c>
      <c r="T239" s="46" t="e">
        <f t="shared" si="72"/>
        <v>#VALUE!</v>
      </c>
      <c r="U239" s="18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2" t="str">
        <f t="shared" si="73"/>
        <v>https://d0f6bd738d7f1b3e5a7ca70fe4ff75f0.us-east-1.aws.found.io/app/kibana#/discover/Steve-Slow-Train-Analysis-(2080s-and-2083s)?_g=(refreshInterval:(display:Off,pause:!f,section:0,value:0),time:(from:'2017-04-17T17:58:08-0600',mode:absolute,to:'2017-04-17T21:11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9" s="183" t="str">
        <f t="shared" si="74"/>
        <v>Y</v>
      </c>
      <c r="X239" s="183" t="e">
        <f t="shared" si="75"/>
        <v>#VALUE!</v>
      </c>
      <c r="Y239" s="62">
        <f t="shared" si="76"/>
        <v>8.3799999999999999E-2</v>
      </c>
      <c r="Z239" s="62">
        <f t="shared" si="77"/>
        <v>8.3799999999999999E-2</v>
      </c>
      <c r="AA239" s="62">
        <f t="shared" si="78"/>
        <v>0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79"/>
        <v>68-17</v>
      </c>
      <c r="AE239" s="85" t="str">
        <f t="shared" si="80"/>
        <v>aws s3 cp s3://rtdc.mdm.uploadarchive.raw/RTDC4027/ "%USERPROFILE%\AppData\Local\Temp\OnboardLogs"\RTDC4027\2017-04-17 --exclude "*" --recursive --include "*20170417*" &amp; "%USERPROFILE%\Documents\GitHub\mrs-test-scripts\Headless Mode &amp; Sideloading\WalkAndUnGZ.bat" "%USERPROFILE%\AppData\Local\Temp\OnboardLogs"\RTDC4027\2017-04-17 &amp; aws s3 cp s3://rtdc.mdm.uploadarchive.raw/RTDC4027/ "%USERPROFILE%\AppData\Local\Temp\OnboardLogs"\RTDC4027\2017-04-18 --exclude "*" --recursive --include "*20170418*" &amp; "%USERPROFILE%\Documents\GitHub\mrs-test-scripts\Headless Mode &amp; Sideloading\WalkAndUnGZ.bat" "%USERPROFILE%\AppData\Local\Temp\OnboardLogs"\RTDC4027\2017-04-18</v>
      </c>
      <c r="AF239" s="82" t="str">
        <f t="shared" si="81"/>
        <v>"C:\Program Files (x86)\AstroGrep\AstroGrep.exe" /e /r /s /spath="%USERPROFILE%\AppData\Local\Temp\OnboardLogs" /stypes="app*4027*20170418*" /stext=" 02:.+((SYSTEM_STATE.+slice.+state.+changed )|(ment ac)|(multiple cpu faults)|(system.+state.+changed )|(\[timeout)|(PRM\|1\|D)|(kpr)|(kdp)|(\|lc)|(penalty))"</v>
      </c>
      <c r="AG239" s="1" t="str">
        <f t="shared" si="82"/>
        <v>Other</v>
      </c>
      <c r="AH239" s="86" t="str">
        <f t="shared" si="83"/>
        <v>"%USERPROFILE%\Documents\GitHub\eaglep3\Utilities\RefineRTDCRunTimes.py" --tripid 68-17 --locoid 4027 --swversion DE.1.0.9.0 --startMP 204:838 --initTime 2017-04-17T18:58:08 --startdatetime 2017-04-17T20:09:45 --delay 1 --endMP 204:838 --enddatetime 2017-04-17T20:11:32 --enforcementcount 0 &gt;&gt;C:\Users\stu\Documents\GitHub\eaglep3-reporting\EC\2017-04-17-refined-times.txt</v>
      </c>
      <c r="AI239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{"issue":{"subject":"","project_id":79,"tracker_id":40,"status_id":1,"priority_id":2,"assigned_to_id":23,"start_date":"2017-04-17","description":"","custom_fields":[{"id":1,"name":"Subdivision","value":"Other"},{"id":4,"name":"Milepost","value":"0.0838"},{"id":17,"name":"Train ID","value":"68-17"},{"id":16,"name":"Locomotive ID","value":"4027"},{"id":130,"name":"Impact","value":""},{"id":150,"name":"Time of Event (Mountain Time)","value":"20:11:32"},{"id":151,"name":"Denver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8"/>
      <c r="AL239" s="48"/>
      <c r="AM239" s="150" t="str">
        <f t="shared" si="85"/>
        <v>start /low /b %USERPROFILE%\Documents\GitHub\eaglep3\Utilities\DownloadLogsFromS3.py --loco 4027 --day 2017-04-17</v>
      </c>
      <c r="AN239" s="159" t="str">
        <f t="shared" si="86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02:11:32"},{"id":29,"name":"Sharepoint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3" t="s">
        <v>804</v>
      </c>
      <c r="B240" s="7">
        <v>4026</v>
      </c>
      <c r="C240" s="21" t="s">
        <v>213</v>
      </c>
      <c r="D240" s="21" t="s">
        <v>864</v>
      </c>
      <c r="E240" s="13">
        <v>42842.84480324074</v>
      </c>
      <c r="F240" s="13">
        <v>42842.846365740741</v>
      </c>
      <c r="G240" s="7">
        <v>1</v>
      </c>
      <c r="H240" s="21" t="s">
        <v>957</v>
      </c>
      <c r="I240" s="13">
        <v>42842.847673611112</v>
      </c>
      <c r="J240" s="7">
        <v>0</v>
      </c>
      <c r="K240" s="97" t="str">
        <f t="shared" si="70"/>
        <v>4025/4026</v>
      </c>
      <c r="L240" s="21" t="str">
        <f>VLOOKUP(A240,'Trips&amp;Operators'!$C$1:$G$99999,5,FALSE)</f>
        <v>MAGEE KENYA</v>
      </c>
      <c r="M240" s="6">
        <f t="shared" si="71"/>
        <v>1.3078703705104999E-3</v>
      </c>
      <c r="N240" s="7">
        <f t="shared" si="87"/>
        <v>1.8833333335351199</v>
      </c>
      <c r="O240" s="7"/>
      <c r="P240" s="7"/>
      <c r="Q240" s="22"/>
      <c r="R240" s="22"/>
      <c r="S240" s="31">
        <f t="shared" si="88"/>
        <v>0</v>
      </c>
      <c r="T240" s="46" t="e">
        <f t="shared" si="72"/>
        <v>#VALUE!</v>
      </c>
      <c r="U240" s="181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2" t="str">
        <f t="shared" si="73"/>
        <v>https://d0f6bd738d7f1b3e5a7ca70fe4ff75f0.us-east-1.aws.found.io/app/kibana#/discover/Steve-Slow-Train-Analysis-(2080s-and-2083s)?_g=(refreshInterval:(display:Off,pause:!f,section:0,value:0),time:(from:'2017-04-17T19:16:31-0600',mode:absolute,to:'2017-04-17T21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0" s="183" t="str">
        <f t="shared" si="74"/>
        <v>Y</v>
      </c>
      <c r="X240" s="183" t="e">
        <f t="shared" si="75"/>
        <v>#VALUE!</v>
      </c>
      <c r="Y240" s="62">
        <f t="shared" si="76"/>
        <v>4.6899999999999997E-2</v>
      </c>
      <c r="Z240" s="62">
        <f t="shared" si="77"/>
        <v>0.36280000000000001</v>
      </c>
      <c r="AA240" s="62">
        <f t="shared" si="78"/>
        <v>0.31590000000000001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79"/>
        <v>69-17</v>
      </c>
      <c r="AE240" s="85" t="str">
        <f t="shared" si="80"/>
        <v>aws s3 cp s3://rtdc.mdm.uploadarchive.raw/RTDC4026/ "%USERPROFILE%\AppData\Local\Temp\OnboardLogs"\RTDC4026\2017-04-17 --exclude "*" --recursive --include "*20170417*" &amp; "%USERPROFILE%\Documents\GitHub\mrs-test-scripts\Headless Mode &amp; Sideloading\WalkAndUnGZ.bat" "%USERPROFILE%\AppData\Local\Temp\OnboardLogs"\RTDC4026\2017-04-17 &amp; aws s3 cp s3://rtdc.mdm.uploadarchive.raw/RTDC4026/ "%USERPROFILE%\AppData\Local\Temp\OnboardLogs"\RTDC4026\2017-04-18 --exclude "*" --recursive --include "*20170418*" &amp; "%USERPROFILE%\Documents\GitHub\mrs-test-scripts\Headless Mode &amp; Sideloading\WalkAndUnGZ.bat" "%USERPROFILE%\AppData\Local\Temp\OnboardLogs"\RTDC4026\2017-04-18</v>
      </c>
      <c r="AF240" s="82" t="str">
        <f t="shared" si="81"/>
        <v>"C:\Program Files (x86)\AstroGrep\AstroGrep.exe" /e /r /s /spath="%USERPROFILE%\AppData\Local\Temp\OnboardLogs" /stypes="app*4026*20170418*" /stext=" 02:.+((SYSTEM_STATE.+slice.+state.+changed )|(ment ac)|(multiple cpu faults)|(system.+state.+changed )|(\[timeout)|(PRM\|1\|D)|(kpr)|(kdp)|(\|lc)|(penalty))"</v>
      </c>
      <c r="AG240" s="1" t="str">
        <f t="shared" si="82"/>
        <v>Other</v>
      </c>
      <c r="AH240" s="86" t="str">
        <f t="shared" si="83"/>
        <v>"%USERPROFILE%\Documents\GitHub\eaglep3\Utilities\RefineRTDCRunTimes.py" --tripid 69-17 --locoid 4026 --swversion DE.1.0.9.0 --startMP 204:469 --initTime 2017-04-17T20:16:31 --startdatetime 2017-04-17T20:18:46 --delay 1 --endMP 204:3628 --enddatetime 2017-04-17T20:20:39 --enforcementcount 0 &gt;&gt;C:\Users\stu\Documents\GitHub\eaglep3-reporting\EC\2017-04-17-refined-times.txt</v>
      </c>
      <c r="AI240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{"issue":{"subject":"","project_id":79,"tracker_id":40,"status_id":1,"priority_id":2,"assigned_to_id":23,"start_date":"2017-04-17","description":"","custom_fields":[{"id":1,"name":"Subdivision","value":"Other"},{"id":4,"name":"Milepost","value":"0.3628"},{"id":17,"name":"Train ID","value":"69-17"},{"id":16,"name":"Locomotive ID","value":"4026"},{"id":130,"name":"Impact","value":""},{"id":150,"name":"Time of Event (Mountain Time)","value":"20:20:39"},{"id":151,"name":"Denver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8"/>
      <c r="AL240" s="48"/>
      <c r="AM240" s="150" t="str">
        <f t="shared" si="85"/>
        <v>start /low /b %USERPROFILE%\Documents\GitHub\eaglep3\Utilities\DownloadLogsFromS3.py --loco 4026 --day 2017-04-17</v>
      </c>
      <c r="AN240" s="159" t="str">
        <f t="shared" si="86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02:20:39"},{"id":29,"name":"Sharepoint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3" t="s">
        <v>804</v>
      </c>
      <c r="B241" s="7">
        <v>4028</v>
      </c>
      <c r="C241" s="21" t="s">
        <v>213</v>
      </c>
      <c r="D241" s="21" t="s">
        <v>574</v>
      </c>
      <c r="E241" s="13">
        <v>42842.787141203706</v>
      </c>
      <c r="F241" s="13">
        <v>42842.836770833332</v>
      </c>
      <c r="G241" s="7">
        <v>1</v>
      </c>
      <c r="H241" s="21" t="s">
        <v>958</v>
      </c>
      <c r="I241" s="13">
        <v>42842.837604166663</v>
      </c>
      <c r="J241" s="7">
        <v>0</v>
      </c>
      <c r="K241" s="97" t="str">
        <f t="shared" si="70"/>
        <v>4027/4028</v>
      </c>
      <c r="L241" s="21" t="str">
        <f>VLOOKUP(A241,'Trips&amp;Operators'!$C$1:$G$99999,5,FALSE)</f>
        <v>MAGEE KENYA</v>
      </c>
      <c r="M241" s="6">
        <f t="shared" si="71"/>
        <v>8.3333333168411627E-4</v>
      </c>
      <c r="N241" s="7">
        <f t="shared" si="87"/>
        <v>1.1999999976251274</v>
      </c>
      <c r="O241" s="7"/>
      <c r="P241" s="7"/>
      <c r="Q241" s="22"/>
      <c r="R241" s="22"/>
      <c r="S241" s="31">
        <f t="shared" si="88"/>
        <v>0</v>
      </c>
      <c r="T241" s="46" t="e">
        <f t="shared" si="72"/>
        <v>#VALUE!</v>
      </c>
      <c r="U241" s="181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2" t="str">
        <f t="shared" si="73"/>
        <v>https://d0f6bd738d7f1b3e5a7ca70fe4ff75f0.us-east-1.aws.found.io/app/kibana#/discover/Steve-Slow-Train-Analysis-(2080s-and-2083s)?_g=(refreshInterval:(display:Off,pause:!f,section:0,value:0),time:(from:'2017-04-17T17:53:29-0600',mode:absolute,to:'2017-04-17T21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41" s="183" t="str">
        <f t="shared" si="74"/>
        <v>Y</v>
      </c>
      <c r="X241" s="183" t="e">
        <f t="shared" si="75"/>
        <v>#VALUE!</v>
      </c>
      <c r="Y241" s="62">
        <f t="shared" si="76"/>
        <v>0.1154</v>
      </c>
      <c r="Z241" s="62">
        <f t="shared" si="77"/>
        <v>0.11559999999999999</v>
      </c>
      <c r="AA241" s="62">
        <f t="shared" si="78"/>
        <v>1.9999999999999185E-4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 t="shared" si="79"/>
        <v>69-17</v>
      </c>
      <c r="AE241" s="85" t="str">
        <f t="shared" si="80"/>
        <v>aws s3 cp s3://rtdc.mdm.uploadarchive.raw/RTDC4028/ "%USERPROFILE%\AppData\Local\Temp\OnboardLogs"\RTDC4028\2017-04-17 --exclude "*" --recursive --include "*20170417*" &amp; "%USERPROFILE%\Documents\GitHub\mrs-test-scripts\Headless Mode &amp; Sideloading\WalkAndUnGZ.bat" "%USERPROFILE%\AppData\Local\Temp\OnboardLogs"\RTDC4028\2017-04-17 &amp; aws s3 cp s3://rtdc.mdm.uploadarchive.raw/RTDC4028/ "%USERPROFILE%\AppData\Local\Temp\OnboardLogs"\RTDC4028\2017-04-18 --exclude "*" --recursive --include "*20170418*" &amp; "%USERPROFILE%\Documents\GitHub\mrs-test-scripts\Headless Mode &amp; Sideloading\WalkAndUnGZ.bat" "%USERPROFILE%\AppData\Local\Temp\OnboardLogs"\RTDC4028\2017-04-18</v>
      </c>
      <c r="AF241" s="82" t="str">
        <f t="shared" si="81"/>
        <v>"C:\Program Files (x86)\AstroGrep\AstroGrep.exe" /e /r /s /spath="%USERPROFILE%\AppData\Local\Temp\OnboardLogs" /stypes="app*4028*20170418*" /stext=" 02:.+((SYSTEM_STATE.+slice.+state.+changed )|(ment ac)|(multiple cpu faults)|(system.+state.+changed )|(\[timeout)|(PRM\|1\|D)|(kpr)|(kdp)|(\|lc)|(penalty))"</v>
      </c>
      <c r="AG241" s="1" t="str">
        <f t="shared" si="82"/>
        <v>Other</v>
      </c>
      <c r="AH241" s="86" t="str">
        <f t="shared" si="83"/>
        <v>"%USERPROFILE%\Documents\GitHub\eaglep3\Utilities\RefineRTDCRunTimes.py" --tripid 69-17 --locoid 4028 --swversion DE.1.0.9.0 --startMP 204:1154 --initTime 2017-04-17T18:53:29 --startdatetime 2017-04-17T20:04:57 --delay 1 --endMP 204:1156 --enddatetime 2017-04-17T20:06:09 --enforcementcount 0 &gt;&gt;C:\Users\stu\Documents\GitHub\eaglep3-reporting\EC\2017-04-17-refined-times.txt</v>
      </c>
      <c r="AI241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{"issue":{"subject":"","project_id":79,"tracker_id":40,"status_id":1,"priority_id":2,"assigned_to_id":23,"start_date":"2017-04-17","description":"","custom_fields":[{"id":1,"name":"Subdivision","value":"Other"},{"id":4,"name":"Milepost","value":"0.1156"},{"id":17,"name":"Train ID","value":"69-17"},{"id":16,"name":"Locomotive ID","value":"4028"},{"id":130,"name":"Impact","value":""},{"id":150,"name":"Time of Event (Mountain Time)","value":"20:06:09"},{"id":151,"name":"Denver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8"/>
      <c r="AL241" s="48"/>
      <c r="AM241" s="150" t="str">
        <f t="shared" si="85"/>
        <v>start /low /b %USERPROFILE%\Documents\GitHub\eaglep3\Utilities\DownloadLogsFromS3.py --loco 4028 --day 2017-04-17</v>
      </c>
      <c r="AN241" s="159" t="str">
        <f t="shared" si="86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02:06:09"},{"id":29,"name":"Sharepoint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3" t="s">
        <v>804</v>
      </c>
      <c r="B242" s="7">
        <v>4028</v>
      </c>
      <c r="C242" s="21" t="s">
        <v>213</v>
      </c>
      <c r="D242" s="21" t="s">
        <v>597</v>
      </c>
      <c r="E242" s="13">
        <v>42842.83017361111</v>
      </c>
      <c r="F242" s="13">
        <v>42842.846365740741</v>
      </c>
      <c r="G242" s="7">
        <v>1</v>
      </c>
      <c r="H242" s="21" t="s">
        <v>959</v>
      </c>
      <c r="I242" s="13">
        <v>42842.847673611112</v>
      </c>
      <c r="J242" s="7">
        <v>0</v>
      </c>
      <c r="K242" s="97" t="str">
        <f t="shared" si="70"/>
        <v>4027/4028</v>
      </c>
      <c r="L242" s="21" t="str">
        <f>VLOOKUP(A242,'Trips&amp;Operators'!$C$1:$G$99999,5,FALSE)</f>
        <v>MAGEE KENYA</v>
      </c>
      <c r="M242" s="6">
        <f t="shared" si="71"/>
        <v>1.3078703705104999E-3</v>
      </c>
      <c r="N242" s="7">
        <f t="shared" si="87"/>
        <v>1.8833333335351199</v>
      </c>
      <c r="O242" s="7"/>
      <c r="P242" s="7"/>
      <c r="Q242" s="22"/>
      <c r="R242" s="22"/>
      <c r="S242" s="31">
        <f t="shared" si="88"/>
        <v>0</v>
      </c>
      <c r="T242" s="46" t="e">
        <f t="shared" si="72"/>
        <v>#VALUE!</v>
      </c>
      <c r="U242" s="181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2" t="str">
        <f t="shared" si="73"/>
        <v>https://d0f6bd738d7f1b3e5a7ca70fe4ff75f0.us-east-1.aws.found.io/app/kibana#/discover/Steve-Slow-Train-Analysis-(2080s-and-2083s)?_g=(refreshInterval:(display:Off,pause:!f,section:0,value:0),time:(from:'2017-04-17T18:55:27-0600',mode:absolute,to:'2017-04-17T21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42" s="183" t="str">
        <f t="shared" si="74"/>
        <v>Y</v>
      </c>
      <c r="X242" s="183" t="e">
        <f t="shared" si="75"/>
        <v>#VALUE!</v>
      </c>
      <c r="Y242" s="62">
        <f t="shared" si="76"/>
        <v>0.1158</v>
      </c>
      <c r="Z242" s="62">
        <f t="shared" si="77"/>
        <v>0.34570000000000001</v>
      </c>
      <c r="AA242" s="62">
        <f t="shared" si="78"/>
        <v>0.22989999999999999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 t="shared" si="79"/>
        <v>69-17</v>
      </c>
      <c r="AE242" s="85" t="str">
        <f t="shared" si="80"/>
        <v>aws s3 cp s3://rtdc.mdm.uploadarchive.raw/RTDC4028/ "%USERPROFILE%\AppData\Local\Temp\OnboardLogs"\RTDC4028\2017-04-17 --exclude "*" --recursive --include "*20170417*" &amp; "%USERPROFILE%\Documents\GitHub\mrs-test-scripts\Headless Mode &amp; Sideloading\WalkAndUnGZ.bat" "%USERPROFILE%\AppData\Local\Temp\OnboardLogs"\RTDC4028\2017-04-17 &amp; aws s3 cp s3://rtdc.mdm.uploadarchive.raw/RTDC4028/ "%USERPROFILE%\AppData\Local\Temp\OnboardLogs"\RTDC4028\2017-04-18 --exclude "*" --recursive --include "*20170418*" &amp; "%USERPROFILE%\Documents\GitHub\mrs-test-scripts\Headless Mode &amp; Sideloading\WalkAndUnGZ.bat" "%USERPROFILE%\AppData\Local\Temp\OnboardLogs"\RTDC4028\2017-04-18</v>
      </c>
      <c r="AF242" s="82" t="str">
        <f t="shared" si="81"/>
        <v>"C:\Program Files (x86)\AstroGrep\AstroGrep.exe" /e /r /s /spath="%USERPROFILE%\AppData\Local\Temp\OnboardLogs" /stypes="app*4028*20170418*" /stext=" 02:.+((SYSTEM_STATE.+slice.+state.+changed )|(ment ac)|(multiple cpu faults)|(system.+state.+changed )|(\[timeout)|(PRM\|1\|D)|(kpr)|(kdp)|(\|lc)|(penalty))"</v>
      </c>
      <c r="AG242" s="1" t="str">
        <f t="shared" si="82"/>
        <v>Other</v>
      </c>
      <c r="AH242" s="86" t="str">
        <f t="shared" si="83"/>
        <v>"%USERPROFILE%\Documents\GitHub\eaglep3\Utilities\RefineRTDCRunTimes.py" --tripid 69-17 --locoid 4028 --swversion DE.1.0.9.0 --startMP 204:1158 --initTime 2017-04-17T19:55:27 --startdatetime 2017-04-17T20:18:46 --delay 1 --endMP 204:3457 --enddatetime 2017-04-17T20:20:39 --enforcementcount 0 &gt;&gt;C:\Users\stu\Documents\GitHub\eaglep3-reporting\EC\2017-04-17-refined-times.txt</v>
      </c>
      <c r="AI242" s="104" t="str">
        <f t="shared" si="84"/>
        <v>echo {"issue":{"subject":"","project_id":79,"tracker_id":40,"status_id":1,"priority_id":2,"assigned_to_id":23,"start_date":"2017-04-17","description":"","custom_fields":[{"id":1,"name":"Subdivision","value":"Other"},{"id":4,"name":"Milepost","value":"0.3457"},{"id":17,"name":"Train ID","value":"69-17"},{"id":16,"name":"Locomotive ID","value":"4028"},{"id":130,"name":"Impact","value":""},{"id":150,"name":"Time of Event (Mountain Time)","value":"20:20:39"},{"id":151,"name":"Denver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8"/>
      <c r="AL242" s="48"/>
      <c r="AM242" s="150" t="str">
        <f t="shared" si="85"/>
        <v>start /low /b %USERPROFILE%\Documents\GitHub\eaglep3\Utilities\DownloadLogsFromS3.py --loco 4028 --day 2017-04-17</v>
      </c>
      <c r="AN242" s="159" t="str">
        <f t="shared" si="86"/>
        <v>echo {"issue":{"subject":"","project_id":30,"tracker_id":4,"status_id":1,"priority_id":1,"assigned_to_id":10,"start_date":"2017-04-18","description":"","custom_fields":[{"id":30,"name":"Category","value":"Issue"},{"id":3,"name":"Functional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UTC","value":"2017-04-18 02:20:39"},{"id":29,"name":"Sharepoint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40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40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</sheetData>
  <autoFilter ref="A12:AG259">
    <sortState ref="A13:AG259">
      <sortCondition ref="AG13:AG242"/>
      <sortCondition ref="AD13:AD242"/>
    </sortState>
  </autoFilter>
  <sortState ref="A13:AH200">
    <sortCondition ref="AG13:AG200"/>
    <sortCondition ref="AD13:AD200"/>
  </sortState>
  <mergeCells count="1">
    <mergeCell ref="A11:P11"/>
  </mergeCells>
  <conditionalFormatting sqref="W11:W12 W266:X1048576 W13:X242">
    <cfRule type="cellIs" dxfId="10" priority="370" operator="equal">
      <formula>"Y"</formula>
    </cfRule>
  </conditionalFormatting>
  <conditionalFormatting sqref="X266:X1048576 X13:X242">
    <cfRule type="cellIs" dxfId="9" priority="353" operator="greaterThan">
      <formula>1</formula>
    </cfRule>
  </conditionalFormatting>
  <conditionalFormatting sqref="X266:X1048576 X12:X242">
    <cfRule type="cellIs" dxfId="8" priority="350" operator="equal">
      <formula>0</formula>
    </cfRule>
  </conditionalFormatting>
  <conditionalFormatting sqref="A13:S242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AK13:AK242</xm:sqref>
        </x14:dataValidation>
        <x14:dataValidation type="list" allowBlank="1" showInputMessage="1" showErrorMessage="1">
          <x14:formula1>
            <xm:f>'Redmine List Values'!$C$2:$C$15</xm:f>
          </x14:formula1>
          <xm:sqref>AL13:AL242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9"/>
  <sheetViews>
    <sheetView tabSelected="1" topLeftCell="A2" zoomScaleNormal="100" workbookViewId="0">
      <selection activeCell="O17" sqref="O1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24.140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COUNTIF($O$7:$O$297,"=Y")</f>
        <v>7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COUNTA($O$7:$O$297)-O2</f>
        <v>27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- 2017-04-17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190</v>
      </c>
      <c r="AE6" s="151" t="s">
        <v>200</v>
      </c>
    </row>
    <row r="7" spans="1:32" s="1" customFormat="1" x14ac:dyDescent="0.25">
      <c r="A7" s="32">
        <v>42842.369062500002</v>
      </c>
      <c r="B7" s="30" t="s">
        <v>613</v>
      </c>
      <c r="C7" s="30" t="s">
        <v>614</v>
      </c>
      <c r="D7" s="30" t="s">
        <v>49</v>
      </c>
      <c r="E7" s="30" t="s">
        <v>191</v>
      </c>
      <c r="F7" s="43">
        <v>0</v>
      </c>
      <c r="G7" s="43">
        <v>155</v>
      </c>
      <c r="H7" s="43">
        <v>26972</v>
      </c>
      <c r="I7" s="43">
        <v>27177</v>
      </c>
      <c r="J7" s="30" t="s">
        <v>192</v>
      </c>
      <c r="K7" s="43">
        <v>27053</v>
      </c>
      <c r="L7" s="139" t="s">
        <v>50</v>
      </c>
      <c r="M7" s="140">
        <f>CONVERT((I7-K7)/10000,"mi","ft")*IF(L7="Increasing Mileposts (1)",-1,1)</f>
        <v>-65.471999999999994</v>
      </c>
      <c r="N7" s="141" t="str">
        <f>VLOOKUP(C7,'Trips&amp;Operators'!$C$1:$G$99999,5,FALSE)</f>
        <v>SANTIZO D. EDY</v>
      </c>
      <c r="O7" s="190" t="s">
        <v>184</v>
      </c>
      <c r="P7" s="142" t="s">
        <v>600</v>
      </c>
      <c r="Q7" s="30"/>
      <c r="R7" s="89" t="str">
        <f>IF(VLOOKUP(C7,'Train Runs'!$A$13:$AE$9935,1,1)=C7,VLOOKUP(C7,'Train Runs'!$A$13:$AE$9935,31,1),NA())</f>
        <v>aws s3 cp s3://rtdc.mdm.uploadarchive.raw/RTDC4002/ "%USERPROFILE%\AppData\Local\Temp\OnboardLogs"\RTDC4002\2017-04-17 --exclude "*" --recursive --include "*20170417*" &amp; "%USERPROFILE%\Documents\GitHub\mrs-test-scripts\Headless Mode &amp; Sideloading\WalkAndUnGZ.bat" "%USERPROFILE%\AppData\Local\Temp\OnboardLogs"\RTDC4002\2017-04-17 &amp; aws s3 cp s3://rtdc.mdm.uploadarchive.raw/RTDC4002/ "%USERPROFILE%\AppData\Local\Temp\OnboardLogs"\RTDC4002\2017-04-18 --exclude "*" --recursive --include "*20170418*" &amp; "%USERPROFILE%\Documents\GitHub\mrs-test-scripts\Headless Mode &amp; Sideloading\WalkAndUnGZ.bat" "%USERPROFILE%\AppData\Local\Temp\OnboardLogs"\RTDC4002\2017-04-18</v>
      </c>
      <c r="S7" s="92" t="str">
        <f>VLOOKUP(C7,'Train Runs'!$A$13:$AE$9935,22,0)</f>
        <v>https://d0f6bd738d7f1b3e5a7ca70fe4ff75f0.us-east-1.aws.found.io/app/kibana#/discover/Steve-Slow-Train-Analysis-(2080s-and-2083s)?_g=(refreshInterval:(display:Off,pause:!f,section:0,value:0),time:(from:'2017-04-17T07:35:11-0600',mode:absolute,to:'2017-04-17T10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7" s="94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/stypes="*4002*201704171*" /stext=" 14:.+((SYSTEM_STATE.+slice.+state.+changed )|(ment ac)|(multiple cpu faults)|(system.+state.+changed )|(\[timeout)|(PRM\|1\|D)|(kpr)|(kdp)|(\|lc)|(penalty))"</v>
      </c>
      <c r="U7" s="9" t="str">
        <f>MID(B7,13,4)</f>
        <v>4002</v>
      </c>
      <c r="V7" s="32">
        <f>A7-utc_offset/24</f>
        <v>42842.619062500002</v>
      </c>
      <c r="W7" s="46" t="str">
        <f>IFERROR(IF(VALUE(LEFT(IF(LEN(C7)=6,"0"&amp;C7,C7),2))&lt;=2,"EC",IF(OR(VALUE(LEFT(IF(LEN(C7)=6,"0"&amp;C7,C7),2))=8,VALUE(LEFT(IF(LEN(C7)=6,"0"&amp;C7,C7),2))=18),"NW","Other")),"Other")</f>
        <v>EC</v>
      </c>
      <c r="X7" s="46" t="str">
        <f>IF(AND(E7="TRACK WARRANT AUTHORITY",G7&lt;10),"OMIT","KEEP")</f>
        <v>KEEP</v>
      </c>
      <c r="Y7" s="104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arrival","project_id":79,"tracker_id":40,"status_id":1,"priority_id":2,"assigned_to_id":23,"start_date":"2017-04-17","description":"","custom_fields":[{"id":1,"name":"Subdivision","value":"EC"},{"id":4,"name":"Milepost","value":"2.7053"},{"id":17,"name":"Train ID","value":"141-17"},{"id":16,"name":"Locomotive ID","value":"4002"},{"id":130,"name":"Impact","value":""},{"id":150,"name":"Time of Event (Mountain Time)","value":"08:51:27"},{"id":151,"name":"Denver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"%USERPROFILE%\AppData\Local\Temp\OnboardLogs"\RTDC4002\*4002*201704171*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"%USERPROFILE%\AppData\Local\Temp\OnboardLogs"\RTDC4002\*4002*201704171* &gt;&gt; 2017-04-17-SliceDisagreementCheck.txt</v>
      </c>
      <c r="AE7" s="153" t="str">
        <f>"start /low /b "&amp;dls3logs&amp;" --loco "&amp;U7&amp;" --day "&amp;TEXT(V7,"YYYY-MM-DD")</f>
        <v>start /low /b %USERPROFILE%\Documents\GitHub\eaglep3\Utilities\DownloadLogsFromS3.py --loco 4002 --day 2017-04-17</v>
      </c>
    </row>
    <row r="8" spans="1:32" s="1" customFormat="1" x14ac:dyDescent="0.25">
      <c r="A8" s="32">
        <v>42842.7340625</v>
      </c>
      <c r="B8" s="30" t="s">
        <v>613</v>
      </c>
      <c r="C8" s="30" t="s">
        <v>625</v>
      </c>
      <c r="D8" s="30" t="s">
        <v>49</v>
      </c>
      <c r="E8" s="30" t="s">
        <v>191</v>
      </c>
      <c r="F8" s="43">
        <v>0</v>
      </c>
      <c r="G8" s="43">
        <v>218</v>
      </c>
      <c r="H8" s="43">
        <v>26935</v>
      </c>
      <c r="I8" s="43">
        <v>27327</v>
      </c>
      <c r="J8" s="30" t="s">
        <v>192</v>
      </c>
      <c r="K8" s="43">
        <v>27053</v>
      </c>
      <c r="L8" s="139" t="s">
        <v>50</v>
      </c>
      <c r="M8" s="140">
        <f>CONVERT((I8-K8)/10000,"mi","ft")*IF(L8="Increasing Mileposts (1)",-1,1)</f>
        <v>-144.672</v>
      </c>
      <c r="N8" s="141" t="str">
        <f>VLOOKUP(C8,'Trips&amp;Operators'!$C$1:$G$99999,5,FALSE)</f>
        <v>MACDONALD THOMAS</v>
      </c>
      <c r="O8" s="190" t="s">
        <v>184</v>
      </c>
      <c r="P8" s="142" t="s">
        <v>600</v>
      </c>
      <c r="Q8" s="30"/>
      <c r="R8" s="89" t="str">
        <f>IF(VLOOKUP(C8,'Train Runs'!$A$13:$AE$9935,1,1)=C8,VLOOKUP(C8,'Train Runs'!$A$13:$AE$9935,31,1),NA())</f>
        <v>aws s3 cp s3://rtdc.mdm.uploadarchive.raw/RTDC4002/ "%USERPROFILE%\AppData\Local\Temp\OnboardLogs"\RTDC4002\2017-04-17 --exclude "*" --recursive --include "*20170417*" &amp; "%USERPROFILE%\Documents\GitHub\mrs-test-scripts\Headless Mode &amp; Sideloading\WalkAndUnGZ.bat" "%USERPROFILE%\AppData\Local\Temp\OnboardLogs"\RTDC4002\2017-04-17 &amp; aws s3 cp s3://rtdc.mdm.uploadarchive.raw/RTDC4002/ "%USERPROFILE%\AppData\Local\Temp\OnboardLogs"\RTDC4002\2017-04-18 --exclude "*" --recursive --include "*20170418*" &amp; "%USERPROFILE%\Documents\GitHub\mrs-test-scripts\Headless Mode &amp; Sideloading\WalkAndUnGZ.bat" "%USERPROFILE%\AppData\Local\Temp\OnboardLogs"\RTDC4002\2017-04-18</v>
      </c>
      <c r="S8" s="92" t="str">
        <f>VLOOKUP(C8,'Train Runs'!$A$13:$AE$9935,22,0)</f>
        <v>https://d0f6bd738d7f1b3e5a7ca70fe4ff75f0.us-east-1.aws.found.io/app/kibana#/discover/Steve-Slow-Train-Analysis-(2080s-and-2083s)?_g=(refreshInterval:(display:Off,pause:!f,section:0,value:0),time:(from:'2017-04-17T16:25:08-0600',mode:absolute,to:'2017-04-17T19:10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8" s="94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/stypes="*4002*201704172*" /stext=" 23:.+((SYSTEM_STATE.+slice.+state.+changed )|(ment ac)|(multiple cpu faults)|(system.+state.+changed )|(\[timeout)|(PRM\|1\|D)|(kpr)|(kdp)|(\|lc)|(penalty))"</v>
      </c>
      <c r="U8" s="9" t="str">
        <f>MID(B8,13,4)</f>
        <v>4002</v>
      </c>
      <c r="V8" s="32">
        <f>A8-utc_offset/24</f>
        <v>42842.9840625</v>
      </c>
      <c r="W8" s="46" t="str">
        <f>IFERROR(IF(VALUE(LEFT(IF(LEN(C8)=6,"0"&amp;C8,C8),2))&lt;=2,"EC",IF(OR(VALUE(LEFT(IF(LEN(C8)=6,"0"&amp;C8,C8),2))=8,VALUE(LEFT(IF(LEN(C8)=6,"0"&amp;C8,C8),2))=18),"NW","Other")),"Other")</f>
        <v>EC</v>
      </c>
      <c r="X8" s="46" t="str">
        <f>IF(AND(E8="TRACK WARRANT AUTHORITY",G8&lt;10),"OMIT","KEEP")</f>
        <v>KEEP</v>
      </c>
      <c r="Y8" s="104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arrival","project_id":79,"tracker_id":40,"status_id":1,"priority_id":2,"assigned_to_id":23,"start_date":"2017-04-17","description":"","custom_fields":[{"id":1,"name":"Subdivision","value":"EC"},{"id":4,"name":"Milepost","value":"2.7053"},{"id":17,"name":"Train ID","value":"211-17"},{"id":16,"name":"Locomotive ID","value":"4002"},{"id":130,"name":"Impact","value":""},{"id":150,"name":"Time of Event (Mountain Time)","value":"17:37:03"},{"id":151,"name":"Denver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>"grep -hSE -A400 ""Enforcement Action"" "&amp;search_path&amp;"\RTDC"&amp;U8&amp;"\*"&amp;U8&amp;"*"&amp;TEXT(A8-utc_offset/24,"YYYYMMDD")&amp;LEFT(TEXT(A8-utc_offset/24,"HH"),1)&amp;"* | grep -SE ""((Enforcement Ac)|(PRM.+XING))"" -"</f>
        <v>grep -hSE -A400 "Enforcement Action" "%USERPROFILE%\AppData\Local\Temp\OnboardLogs"\RTDC4002\*4002*201704172*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"%USERPROFILE%\AppData\Local\Temp\OnboardLogs"\RTDC4002\*4002*201704172* &gt;&gt; 2017-04-17-SliceDisagreementCheck.txt</v>
      </c>
      <c r="AE8" s="153" t="str">
        <f>"start /low /b "&amp;dls3logs&amp;" --loco "&amp;U8&amp;" --day "&amp;TEXT(V8,"YYYY-MM-DD")</f>
        <v>start /low /b %USERPROFILE%\Documents\GitHub\eaglep3\Utilities\DownloadLogsFromS3.py --loco 4002 --day 2017-04-17</v>
      </c>
    </row>
    <row r="9" spans="1:32" s="1" customFormat="1" x14ac:dyDescent="0.25">
      <c r="A9" s="32">
        <v>42842.196423611109</v>
      </c>
      <c r="B9" s="30" t="s">
        <v>605</v>
      </c>
      <c r="C9" s="30" t="s">
        <v>606</v>
      </c>
      <c r="D9" s="30" t="s">
        <v>98</v>
      </c>
      <c r="E9" s="30" t="s">
        <v>191</v>
      </c>
      <c r="F9" s="43">
        <v>0</v>
      </c>
      <c r="G9" s="43">
        <v>208</v>
      </c>
      <c r="H9" s="43">
        <v>30941</v>
      </c>
      <c r="I9" s="43">
        <v>30699</v>
      </c>
      <c r="J9" s="30" t="s">
        <v>192</v>
      </c>
      <c r="K9" s="43">
        <v>30970</v>
      </c>
      <c r="L9" s="139" t="s">
        <v>51</v>
      </c>
      <c r="M9" s="140">
        <f>CONVERT((I9-K9)/10000,"mi","ft")*IF(L9="Increasing Mileposts (1)",-1,1)</f>
        <v>-143.08799999999999</v>
      </c>
      <c r="N9" s="141" t="str">
        <f>VLOOKUP(C9,'Trips&amp;Operators'!$C$1:$G$99999,5,FALSE)</f>
        <v>SANTIZO D. EDY</v>
      </c>
      <c r="O9" s="190" t="s">
        <v>184</v>
      </c>
      <c r="P9" s="142" t="s">
        <v>600</v>
      </c>
      <c r="Q9" s="30"/>
      <c r="R9" s="89" t="str">
        <f>IF(VLOOKUP(C9,'Train Runs'!$A$13:$AE$9935,1,1)=C9,VLOOKUP(C9,'Train Runs'!$A$13:$AE$9935,31,1),NA())</f>
        <v>aws s3 cp s3://rtdc.mdm.uploadarchive.raw/RTDC4001/ "%USERPROFILE%\AppData\Local\Temp\OnboardLogs"\RTDC4001\2017-04-17 --exclude "*" --recursive --include "*20170417*" &amp; "%USERPROFILE%\Documents\GitHub\mrs-test-scripts\Headless Mode &amp; Sideloading\WalkAndUnGZ.bat" "%USERPROFILE%\AppData\Local\Temp\OnboardLogs"\RTDC4001\2017-04-17 &amp; aws s3 cp s3://rtdc.mdm.uploadarchive.raw/RTDC4001/ "%USERPROFILE%\AppData\Local\Temp\OnboardLogs"\RTDC4001\2017-04-18 --exclude "*" --recursive --include "*20170418*" &amp; "%USERPROFILE%\Documents\GitHub\mrs-test-scripts\Headless Mode &amp; Sideloading\WalkAndUnGZ.bat" "%USERPROFILE%\AppData\Local\Temp\OnboardLogs"\RTDC4001\2017-04-18</v>
      </c>
      <c r="S9" s="92" t="str">
        <f>VLOOKUP(C9,'Train Runs'!$A$13:$AE$9935,22,0)</f>
        <v>https://d0f6bd738d7f1b3e5a7ca70fe4ff75f0.us-east-1.aws.found.io/app/kibana#/discover/Steve-Slow-Train-Analysis-(2080s-and-2083s)?_g=(refreshInterval:(display:Off,pause:!f,section:0,value:0),time:(from:'2017-04-17T02:54:33-0600',mode:absolute,to:'2017-04-17T05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9" s="94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/stypes="*4001*201704171*" /stext=" 10:.+((SYSTEM_STATE.+slice.+state.+changed )|(ment ac)|(multiple cpu faults)|(system.+state.+changed )|(\[timeout)|(PRM\|1\|D)|(kpr)|(kdp)|(\|lc)|(penalty))"</v>
      </c>
      <c r="U9" s="9" t="str">
        <f>MID(B9,13,4)</f>
        <v>4001</v>
      </c>
      <c r="V9" s="32">
        <f>A9-utc_offset/24</f>
        <v>42842.446423611109</v>
      </c>
      <c r="W9" s="46" t="str">
        <f>IFERROR(IF(VALUE(LEFT(IF(LEN(C9)=6,"0"&amp;C9,C9),2))&lt;=2,"EC",IF(OR(VALUE(LEFT(IF(LEN(C9)=6,"0"&amp;C9,C9),2))=8,VALUE(LEFT(IF(LEN(C9)=6,"0"&amp;C9,C9),2))=18),"NW","Other")),"Other")</f>
        <v>EC</v>
      </c>
      <c r="X9" s="46" t="str">
        <f>IF(AND(E9="TRACK WARRANT AUTHORITY",G9&lt;10),"OMIT","KEEP")</f>
        <v>KEEP</v>
      </c>
      <c r="Y9" s="104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arrival","project_id":79,"tracker_id":40,"status_id":1,"priority_id":2,"assigned_to_id":23,"start_date":"2017-04-17","description":"","custom_fields":[{"id":1,"name":"Subdivision","value":"EC"},{"id":4,"name":"Milepost","value":"3.097"},{"id":17,"name":"Train ID","value":"102-17"},{"id":16,"name":"Locomotive ID","value":"4001"},{"id":130,"name":"Impact","value":""},{"id":150,"name":"Time of Event (Mountain Time)","value":"04:42:51"},{"id":151,"name":"Denver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>"grep -hSE -A400 ""Enforcement Action"" "&amp;search_path&amp;"\RTDC"&amp;U9&amp;"\*"&amp;U9&amp;"*"&amp;TEXT(A9-utc_offset/24,"YYYYMMDD")&amp;LEFT(TEXT(A9-utc_offset/24,"HH"),1)&amp;"* | grep -SE ""((Enforcement Ac)|(PRM.+XING))"" -"</f>
        <v>grep -hSE -A400 "Enforcement Action" "%USERPROFILE%\AppData\Local\Temp\OnboardLogs"\RTDC4001\*4001*201704171*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"%USERPROFILE%\AppData\Local\Temp\OnboardLogs"\RTDC4001\*4001*201704171* &gt;&gt; 2017-04-17-SliceDisagreementCheck.txt</v>
      </c>
      <c r="AE9" s="153" t="str">
        <f>"start /low /b "&amp;dls3logs&amp;" --loco "&amp;U9&amp;" --day "&amp;TEXT(V9,"YYYY-MM-DD")</f>
        <v>start /low /b %USERPROFILE%\Documents\GitHub\eaglep3\Utilities\DownloadLogsFromS3.py --loco 4001 --day 2017-04-17</v>
      </c>
    </row>
    <row r="10" spans="1:32" s="1" customFormat="1" x14ac:dyDescent="0.25">
      <c r="A10" s="32">
        <v>42842.77138888889</v>
      </c>
      <c r="B10" s="30" t="s">
        <v>410</v>
      </c>
      <c r="C10" s="30" t="s">
        <v>629</v>
      </c>
      <c r="D10" s="30" t="s">
        <v>49</v>
      </c>
      <c r="E10" s="30" t="s">
        <v>191</v>
      </c>
      <c r="F10" s="43">
        <v>0</v>
      </c>
      <c r="G10" s="43">
        <v>192</v>
      </c>
      <c r="H10" s="43">
        <v>31031</v>
      </c>
      <c r="I10" s="43">
        <v>30846</v>
      </c>
      <c r="J10" s="30" t="s">
        <v>192</v>
      </c>
      <c r="K10" s="43">
        <v>30970</v>
      </c>
      <c r="L10" s="139" t="s">
        <v>51</v>
      </c>
      <c r="M10" s="140">
        <f>CONVERT((I10-K10)/10000,"mi","ft")*IF(L10="Increasing Mileposts (1)",-1,1)</f>
        <v>-65.471999999999994</v>
      </c>
      <c r="N10" s="141" t="str">
        <f>VLOOKUP(C10,'Trips&amp;Operators'!$C$1:$G$99999,5,FALSE)</f>
        <v>ROMERO CHAD</v>
      </c>
      <c r="O10" s="190" t="s">
        <v>184</v>
      </c>
      <c r="P10" s="142" t="s">
        <v>600</v>
      </c>
      <c r="Q10" s="30"/>
      <c r="R10" s="89" t="str">
        <f>IF(VLOOKUP(C10,'Train Runs'!$A$13:$AE$9935,1,1)=C10,VLOOKUP(C10,'Train Runs'!$A$13:$AE$9935,31,1),NA())</f>
        <v>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 &amp; aws s3 cp s3://rtdc.mdm.uploadarchive.raw/RTDC4045/ "%USERPROFILE%\AppData\Local\Temp\OnboardLogs"\RTDC4045\2017-04-18 --exclude "*" --recursive --include "*20170418*" &amp; "%USERPROFILE%\Documents\GitHub\mrs-test-scripts\Headless Mode &amp; Sideloading\WalkAndUnGZ.bat" "%USERPROFILE%\AppData\Local\Temp\OnboardLogs"\RTDC4045\2017-04-18</v>
      </c>
      <c r="S10" s="92" t="str">
        <f>VLOOKUP(C10,'Train Runs'!$A$13:$AE$9935,22,0)</f>
        <v>https://d0f6bd738d7f1b3e5a7ca70fe4ff75f0.us-east-1.aws.found.io/app/kibana#/discover/Steve-Slow-Train-Analysis-(2080s-and-2083s)?_g=(refreshInterval:(display:Off,pause:!f,section:0,value:0),time:(from:'2017-04-17T16:37:52-0600',mode:absolute,to:'2017-04-17T19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0" s="94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/stypes="*4045*201704180*" /stext=" 00:.+((SYSTEM_STATE.+slice.+state.+changed )|(ment ac)|(multiple cpu faults)|(system.+state.+changed )|(\[timeout)|(PRM\|1\|D)|(kpr)|(kdp)|(\|lc)|(penalty))"</v>
      </c>
      <c r="U10" s="9" t="str">
        <f>MID(B10,13,4)</f>
        <v>4045</v>
      </c>
      <c r="V10" s="32">
        <f>A10-utc_offset/24</f>
        <v>42843.02138888889</v>
      </c>
      <c r="W10" s="46" t="str">
        <f>IFERROR(IF(VALUE(LEFT(IF(LEN(C10)=6,"0"&amp;C10,C10),2))&lt;=2,"EC",IF(OR(VALUE(LEFT(IF(LEN(C10)=6,"0"&amp;C10,C10),2))=8,VALUE(LEFT(IF(LEN(C10)=6,"0"&amp;C10,C10),2))=18),"NW","Other")),"Other")</f>
        <v>EC</v>
      </c>
      <c r="X10" s="46" t="str">
        <f>IF(AND(E10="TRACK WARRANT AUTHORITY",G10&lt;10),"OMIT","KEEP")</f>
        <v>KEEP</v>
      </c>
      <c r="Y10" s="104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arrival","project_id":79,"tracker_id":40,"status_id":1,"priority_id":2,"assigned_to_id":23,"start_date":"2017-04-17","description":"","custom_fields":[{"id":1,"name":"Subdivision","value":"EC"},{"id":4,"name":"Milepost","value":"3.097"},{"id":17,"name":"Train ID","value":"208-17"},{"id":16,"name":"Locomotive ID","value":"4045"},{"id":130,"name":"Impact","value":""},{"id":150,"name":"Time of Event (Mountain Time)","value":"18:30:48"},{"id":151,"name":"Denver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>"grep -hSE -A400 ""Enforcement Action"" "&amp;search_path&amp;"\RTDC"&amp;U10&amp;"\*"&amp;U10&amp;"*"&amp;TEXT(A10-utc_offset/24,"YYYYMMDD")&amp;LEFT(TEXT(A10-utc_offset/24,"HH"),1)&amp;"* | grep -SE ""((Enforcement Ac)|(PRM.+XING))"" -"</f>
        <v>grep -hSE -A400 "Enforcement Action" "%USERPROFILE%\AppData\Local\Temp\OnboardLogs"\RTDC4045\*4045*201704180*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"%USERPROFILE%\AppData\Local\Temp\OnboardLogs"\RTDC4045\*4045*201704180* &gt;&gt; 2017-04-17-SliceDisagreementCheck.txt</v>
      </c>
      <c r="AE10" s="153" t="str">
        <f>"start /low /b "&amp;dls3logs&amp;" --loco "&amp;U10&amp;" --day "&amp;TEXT(V10,"YYYY-MM-DD")</f>
        <v>start /low /b %USERPROFILE%\Documents\GitHub\eaglep3\Utilities\DownloadLogsFromS3.py --loco 4045 --day 2017-04-18</v>
      </c>
    </row>
    <row r="11" spans="1:32" s="1" customFormat="1" x14ac:dyDescent="0.25">
      <c r="A11" s="32">
        <v>42842.548819444448</v>
      </c>
      <c r="B11" s="30" t="s">
        <v>410</v>
      </c>
      <c r="C11" s="30" t="s">
        <v>619</v>
      </c>
      <c r="D11" s="30" t="s">
        <v>49</v>
      </c>
      <c r="E11" s="30" t="s">
        <v>191</v>
      </c>
      <c r="F11" s="43">
        <v>250</v>
      </c>
      <c r="G11" s="43">
        <v>343</v>
      </c>
      <c r="H11" s="43">
        <v>35945</v>
      </c>
      <c r="I11" s="43">
        <v>35043</v>
      </c>
      <c r="J11" s="30" t="s">
        <v>192</v>
      </c>
      <c r="K11" s="43">
        <v>33257</v>
      </c>
      <c r="L11" s="139" t="s">
        <v>51</v>
      </c>
      <c r="M11" s="140">
        <f>CONVERT((I11-K11)/10000,"mi","ft")*IF(L11="Increasing Mileposts (1)",-1,1)</f>
        <v>943.00800000000004</v>
      </c>
      <c r="N11" s="141" t="str">
        <f>VLOOKUP(C11,'Trips&amp;Operators'!$C$1:$G$99999,5,FALSE)</f>
        <v>ROMERO CHAD</v>
      </c>
      <c r="O11" s="190" t="s">
        <v>184</v>
      </c>
      <c r="P11" s="142" t="s">
        <v>600</v>
      </c>
      <c r="Q11" s="30"/>
      <c r="R11" s="89" t="str">
        <f>IF(VLOOKUP(C11,'Train Runs'!$A$13:$AE$9935,1,1)=C11,VLOOKUP(C11,'Train Runs'!$A$13:$AE$9935,31,1),NA())</f>
        <v>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 &amp; aws s3 cp s3://rtdc.mdm.uploadarchive.raw/RTDC4045/ "%USERPROFILE%\AppData\Local\Temp\OnboardLogs"\RTDC4045\2017-04-18 --exclude "*" --recursive --include "*20170418*" &amp; "%USERPROFILE%\Documents\GitHub\mrs-test-scripts\Headless Mode &amp; Sideloading\WalkAndUnGZ.bat" "%USERPROFILE%\AppData\Local\Temp\OnboardLogs"\RTDC4045\2017-04-18</v>
      </c>
      <c r="S11" s="92" t="str">
        <f>VLOOKUP(C11,'Train Runs'!$A$13:$AE$9935,22,0)</f>
        <v>https://d0f6bd738d7f1b3e5a7ca70fe4ff75f0.us-east-1.aws.found.io/app/kibana#/discover/Steve-Slow-Train-Analysis-(2080s-and-2083s)?_g=(refreshInterval:(display:Off,pause:!f,section:0,value:0),time:(from:'2017-04-17T11:28:16-0600',mode:absolute,to:'2017-04-17T14:19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1" s="94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/stypes="*4045*201704171*" /stext=" 19:.+((SYSTEM_STATE.+slice.+state.+changed )|(ment ac)|(multiple cpu faults)|(system.+state.+changed )|(\[timeout)|(PRM\|1\|D)|(kpr)|(kdp)|(\|lc)|(penalty))"</v>
      </c>
      <c r="U11" s="9" t="str">
        <f>MID(B11,13,4)</f>
        <v>4045</v>
      </c>
      <c r="V11" s="32">
        <f>A11-utc_offset/24</f>
        <v>42842.798819444448</v>
      </c>
      <c r="W11" s="46" t="str">
        <f>IFERROR(IF(VALUE(LEFT(IF(LEN(C11)=6,"0"&amp;C11,C11),2))&lt;=2,"EC",IF(OR(VALUE(LEFT(IF(LEN(C11)=6,"0"&amp;C11,C11),2))=8,VALUE(LEFT(IF(LEN(C11)=6,"0"&amp;C11,C11),2))=18),"NW","Other")),"Other")</f>
        <v>EC</v>
      </c>
      <c r="X11" s="46" t="str">
        <f>IF(AND(E11="TRACK WARRANT AUTHORITY",G11&lt;10),"OMIT","KEEP")</f>
        <v>KEEP</v>
      </c>
      <c r="Y11" s="104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arrival","project_id":79,"tracker_id":40,"status_id":1,"priority_id":2,"assigned_to_id":23,"start_date":"2017-04-17","description":"","custom_fields":[{"id":1,"name":"Subdivision","value":"EC"},{"id":4,"name":"Milepost","value":"3.3257"},{"id":17,"name":"Train ID","value":"166-17"},{"id":16,"name":"Locomotive ID","value":"4045"},{"id":130,"name":"Impact","value":""},{"id":150,"name":"Time of Event (Mountain Time)","value":"13:10:18"},{"id":151,"name":"Denver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>"grep -hSE -A400 ""Enforcement Action"" "&amp;search_path&amp;"\RTDC"&amp;U11&amp;"\*"&amp;U11&amp;"*"&amp;TEXT(A11-utc_offset/24,"YYYYMMDD")&amp;LEFT(TEXT(A11-utc_offset/24,"HH"),1)&amp;"* | grep -SE ""((Enforcement Ac)|(PRM.+XING))"" -"</f>
        <v>grep -hSE -A400 "Enforcement Action" "%USERPROFILE%\AppData\Local\Temp\OnboardLogs"\RTDC4045\*4045*201704171*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"%USERPROFILE%\AppData\Local\Temp\OnboardLogs"\RTDC4045\*4045*201704171* &gt;&gt; 2017-04-17-SliceDisagreementCheck.txt</v>
      </c>
      <c r="AE11" s="153" t="str">
        <f>"start /low /b "&amp;dls3logs&amp;" --loco "&amp;U11&amp;" --day "&amp;TEXT(V11,"YYYY-MM-DD")</f>
        <v>start /low /b %USERPROFILE%\Documents\GitHub\eaglep3\Utilities\DownloadLogsFromS3.py --loco 4045 --day 2017-04-17</v>
      </c>
    </row>
    <row r="12" spans="1:32" s="1" customFormat="1" x14ac:dyDescent="0.25">
      <c r="A12" s="32">
        <v>42842.257361111115</v>
      </c>
      <c r="B12" s="30" t="s">
        <v>456</v>
      </c>
      <c r="C12" s="30" t="s">
        <v>609</v>
      </c>
      <c r="D12" s="30" t="s">
        <v>49</v>
      </c>
      <c r="E12" s="30" t="s">
        <v>191</v>
      </c>
      <c r="F12" s="43">
        <v>140</v>
      </c>
      <c r="G12" s="43">
        <v>345</v>
      </c>
      <c r="H12" s="43">
        <v>41895</v>
      </c>
      <c r="I12" s="43">
        <v>42730</v>
      </c>
      <c r="J12" s="30" t="s">
        <v>192</v>
      </c>
      <c r="K12" s="43">
        <v>42779</v>
      </c>
      <c r="L12" s="139" t="s">
        <v>50</v>
      </c>
      <c r="M12" s="140">
        <f>CONVERT((I12-K12)/10000,"mi","ft")*IF(L12="Increasing Mileposts (1)",-1,1)</f>
        <v>25.872</v>
      </c>
      <c r="N12" s="141" t="str">
        <f>VLOOKUP(C12,'Trips&amp;Operators'!$C$1:$G$99999,5,FALSE)</f>
        <v>STARKS ANGELINA</v>
      </c>
      <c r="O12" s="190" t="s">
        <v>184</v>
      </c>
      <c r="P12" s="142" t="s">
        <v>600</v>
      </c>
      <c r="Q12" s="30"/>
      <c r="R12" s="89" t="str">
        <f>IF(VLOOKUP(C12,'Train Runs'!$A$13:$AE$9935,1,1)=C12,VLOOKUP(C12,'Train Runs'!$A$13:$AE$9935,31,1),NA())</f>
        <v>aws s3 cp s3://rtdc.mdm.uploadarchive.raw/RTDC4054/ "%USERPROFILE%\AppData\Local\Temp\OnboardLogs"\RTDC4054\2017-04-17 --exclude "*" --recursive --include "*20170417*" &amp; "%USERPROFILE%\Documents\GitHub\mrs-test-scripts\Headless Mode &amp; Sideloading\WalkAndUnGZ.bat" "%USERPROFILE%\AppData\Local\Temp\OnboardLogs"\RTDC4054\2017-04-17 &amp; aws s3 cp s3://rtdc.mdm.uploadarchive.raw/RTDC4054/ "%USERPROFILE%\AppData\Local\Temp\OnboardLogs"\RTDC4054\2017-04-18 --exclude "*" --recursive --include "*20170418*" &amp; "%USERPROFILE%\Documents\GitHub\mrs-test-scripts\Headless Mode &amp; Sideloading\WalkAndUnGZ.bat" "%USERPROFILE%\AppData\Local\Temp\OnboardLogs"\RTDC4054\2017-04-18</v>
      </c>
      <c r="S12" s="92" t="str">
        <f>VLOOKUP(C12,'Train Runs'!$A$13:$AE$9935,22,0)</f>
        <v>https://d0f6bd738d7f1b3e5a7ca70fe4ff75f0.us-east-1.aws.found.io/app/kibana#/discover/Steve-Slow-Train-Analysis-(2080s-and-2083s)?_g=(refreshInterval:(display:Off,pause:!f,section:0,value:0),time:(from:'2017-04-17T04:56:32-0600',mode:absolute,to:'2017-04-17T07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2" s="94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/stypes="*4054*201704171*" /stext=" 12:.+((SYSTEM_STATE.+slice.+state.+changed )|(ment ac)|(multiple cpu faults)|(system.+state.+changed )|(\[timeout)|(PRM\|1\|D)|(kpr)|(kdp)|(\|lc)|(penalty))"</v>
      </c>
      <c r="U12" s="9" t="str">
        <f>MID(B12,13,4)</f>
        <v>4054</v>
      </c>
      <c r="V12" s="32">
        <f>A12-utc_offset/24</f>
        <v>42842.507361111115</v>
      </c>
      <c r="W12" s="46" t="str">
        <f>IFERROR(IF(VALUE(LEFT(IF(LEN(C12)=6,"0"&amp;C12,C12),2))&lt;=2,"EC",IF(OR(VALUE(LEFT(IF(LEN(C12)=6,"0"&amp;C12,C12),2))=8,VALUE(LEFT(IF(LEN(C12)=6,"0"&amp;C12,C12),2))=18),"NW","Other")),"Other")</f>
        <v>EC</v>
      </c>
      <c r="X12" s="46" t="str">
        <f>IF(AND(E12="TRACK WARRANT AUTHORITY",G12&lt;10),"OMIT","KEEP")</f>
        <v>KEEP</v>
      </c>
      <c r="Y12" s="104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arrival","project_id":79,"tracker_id":40,"status_id":1,"priority_id":2,"assigned_to_id":23,"start_date":"2017-04-17","description":"","custom_fields":[{"id":1,"name":"Subdivision","value":"EC"},{"id":4,"name":"Milepost","value":"4.2779"},{"id":17,"name":"Train ID","value":"119-17"},{"id":16,"name":"Locomotive ID","value":"4054"},{"id":130,"name":"Impact","value":""},{"id":150,"name":"Time of Event (Mountain Time)","value":"06:10:36"},{"id":151,"name":"Denver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>"grep -hSE -A400 ""Enforcement Action"" "&amp;search_path&amp;"\RTDC"&amp;U12&amp;"\*"&amp;U12&amp;"*"&amp;TEXT(A12-utc_offset/24,"YYYYMMDD")&amp;LEFT(TEXT(A12-utc_offset/24,"HH"),1)&amp;"* | grep -SE ""((Enforcement Ac)|(PRM.+XING))"" -"</f>
        <v>grep -hSE -A400 "Enforcement Action" "%USERPROFILE%\AppData\Local\Temp\OnboardLogs"\RTDC4054\*4054*201704171*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"%USERPROFILE%\AppData\Local\Temp\OnboardLogs"\RTDC4054\*4054*201704171* &gt;&gt; 2017-04-17-SliceDisagreementCheck.txt</v>
      </c>
      <c r="AE12" s="153" t="str">
        <f>"start /low /b "&amp;dls3logs&amp;" --loco "&amp;U12&amp;" --day "&amp;TEXT(V12,"YYYY-MM-DD")</f>
        <v>start /low /b %USERPROFILE%\Documents\GitHub\eaglep3\Utilities\DownloadLogsFromS3.py --loco 4054 --day 2017-04-17</v>
      </c>
    </row>
    <row r="13" spans="1:32" s="1" customFormat="1" x14ac:dyDescent="0.25">
      <c r="A13" s="32">
        <v>42842.206134259257</v>
      </c>
      <c r="B13" s="30" t="s">
        <v>375</v>
      </c>
      <c r="C13" s="30" t="s">
        <v>608</v>
      </c>
      <c r="D13" s="30" t="s">
        <v>49</v>
      </c>
      <c r="E13" s="30" t="s">
        <v>191</v>
      </c>
      <c r="F13" s="43">
        <v>520</v>
      </c>
      <c r="G13" s="43">
        <v>609</v>
      </c>
      <c r="H13" s="43">
        <v>46447</v>
      </c>
      <c r="I13" s="43">
        <v>48881</v>
      </c>
      <c r="J13" s="30" t="s">
        <v>192</v>
      </c>
      <c r="K13" s="43">
        <v>47866</v>
      </c>
      <c r="L13" s="139" t="s">
        <v>50</v>
      </c>
      <c r="M13" s="140">
        <f>CONVERT((I13-K13)/10000,"mi","ft")*IF(L13="Increasing Mileposts (1)",-1,1)</f>
        <v>-535.91999999999996</v>
      </c>
      <c r="N13" s="141" t="str">
        <f>VLOOKUP(C13,'Trips&amp;Operators'!$C$1:$G$99999,5,FALSE)</f>
        <v>SHOOK JOHN</v>
      </c>
      <c r="O13" s="190" t="s">
        <v>184</v>
      </c>
      <c r="P13" s="142" t="s">
        <v>600</v>
      </c>
      <c r="Q13" s="30"/>
      <c r="R13" s="89" t="str">
        <f>IF(VLOOKUP(C13,'Train Runs'!$A$13:$AE$9935,1,1)=C13,VLOOKUP(C13,'Train Runs'!$A$13:$AE$9935,31,1),NA())</f>
        <v>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 &amp; aws s3 cp s3://rtdc.mdm.uploadarchive.raw/RTDC4046/ "%USERPROFILE%\AppData\Local\Temp\OnboardLogs"\RTDC4046\2017-04-18 --exclude "*" --recursive --include "*20170418*" &amp; "%USERPROFILE%\Documents\GitHub\mrs-test-scripts\Headless Mode &amp; Sideloading\WalkAndUnGZ.bat" "%USERPROFILE%\AppData\Local\Temp\OnboardLogs"\RTDC4046\2017-04-18</v>
      </c>
      <c r="S13" s="92" t="str">
        <f>VLOOKUP(C13,'Train Runs'!$A$13:$AE$9935,22,0)</f>
        <v>https://d0f6bd738d7f1b3e5a7ca70fe4ff75f0.us-east-1.aws.found.io/app/kibana#/discover/Steve-Slow-Train-Analysis-(2080s-and-2083s)?_g=(refreshInterval:(display:Off,pause:!f,section:0,value:0),time:(from:'2017-04-17T03:34:39-0600',mode:absolute,to:'2017-04-17T06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3" s="94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/stypes="*4046*201704171*" /stext=" 10:.+((SYSTEM_STATE.+slice.+state.+changed )|(ment ac)|(multiple cpu faults)|(system.+state.+changed )|(\[timeout)|(PRM\|1\|D)|(kpr)|(kdp)|(\|lc)|(penalty))"</v>
      </c>
      <c r="U13" s="9" t="str">
        <f>MID(B13,13,4)</f>
        <v>4046</v>
      </c>
      <c r="V13" s="32">
        <f>A13-utc_offset/24</f>
        <v>42842.456134259257</v>
      </c>
      <c r="W13" s="46" t="str">
        <f>IFERROR(IF(VALUE(LEFT(IF(LEN(C13)=6,"0"&amp;C13,C13),2))&lt;=2,"EC",IF(OR(VALUE(LEFT(IF(LEN(C13)=6,"0"&amp;C13,C13),2))=8,VALUE(LEFT(IF(LEN(C13)=6,"0"&amp;C13,C13),2))=18),"NW","Other")),"Other")</f>
        <v>EC</v>
      </c>
      <c r="X13" s="46" t="str">
        <f>IF(AND(E13="TRACK WARRANT AUTHORITY",G13&lt;10),"OMIT","KEEP")</f>
        <v>KEEP</v>
      </c>
      <c r="Y13" s="104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arrival","project_id":79,"tracker_id":40,"status_id":1,"priority_id":2,"assigned_to_id":23,"start_date":"2017-04-17","description":"","custom_fields":[{"id":1,"name":"Subdivision","value":"EC"},{"id":4,"name":"Milepost","value":"4.7866"},{"id":17,"name":"Train ID","value":"109-17"},{"id":16,"name":"Locomotive ID","value":"4046"},{"id":130,"name":"Impact","value":""},{"id":150,"name":"Time of Event (Mountain Time)","value":"04:56:50"},{"id":151,"name":"Denver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>"grep -hSE -A400 ""Enforcement Action"" "&amp;search_path&amp;"\RTDC"&amp;U13&amp;"\*"&amp;U13&amp;"*"&amp;TEXT(A13-utc_offset/24,"YYYYMMDD")&amp;LEFT(TEXT(A13-utc_offset/24,"HH"),1)&amp;"* | grep -SE ""((Enforcement Ac)|(PRM.+XING))"" -"</f>
        <v>grep -hSE -A400 "Enforcement Action" "%USERPROFILE%\AppData\Local\Temp\OnboardLogs"\RTDC4046\*4046*201704171*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"%USERPROFILE%\AppData\Local\Temp\OnboardLogs"\RTDC4046\*4046*201704171* &gt;&gt; 2017-04-17-SliceDisagreementCheck.txt</v>
      </c>
      <c r="AE13" s="153" t="str">
        <f>"start /low /b "&amp;dls3logs&amp;" --loco "&amp;U13&amp;" --day "&amp;TEXT(V13,"YYYY-MM-DD")</f>
        <v>start /low /b %USERPROFILE%\Documents\GitHub\eaglep3\Utilities\DownloadLogsFromS3.py --loco 4046 --day 2017-04-17</v>
      </c>
    </row>
    <row r="14" spans="1:32" x14ac:dyDescent="0.25">
      <c r="A14" s="32">
        <v>42842.384826388887</v>
      </c>
      <c r="B14" s="30" t="s">
        <v>501</v>
      </c>
      <c r="C14" s="30" t="s">
        <v>615</v>
      </c>
      <c r="D14" s="30" t="s">
        <v>49</v>
      </c>
      <c r="E14" s="30" t="s">
        <v>191</v>
      </c>
      <c r="F14" s="43">
        <v>70</v>
      </c>
      <c r="G14" s="43">
        <v>128</v>
      </c>
      <c r="H14" s="43">
        <v>57484</v>
      </c>
      <c r="I14" s="43">
        <v>57702</v>
      </c>
      <c r="J14" s="30" t="s">
        <v>192</v>
      </c>
      <c r="K14" s="43">
        <v>58118</v>
      </c>
      <c r="L14" s="139" t="s">
        <v>50</v>
      </c>
      <c r="M14" s="140">
        <f>CONVERT((I14-K14)/10000,"mi","ft")*IF(L14="Increasing Mileposts (1)",-1,1)</f>
        <v>219.648</v>
      </c>
      <c r="N14" s="141" t="str">
        <f>VLOOKUP(C14,'Trips&amp;Operators'!$C$1:$G$99999,5,FALSE)</f>
        <v>ROBINSON KADDIBA</v>
      </c>
      <c r="O14" s="190" t="s">
        <v>184</v>
      </c>
      <c r="P14" s="142" t="s">
        <v>600</v>
      </c>
      <c r="Q14" s="30"/>
      <c r="R14" s="89" t="str">
        <f>IF(VLOOKUP(C14,'Train Runs'!$A$13:$AE$9935,1,1)=C14,VLOOKUP(C14,'Train Runs'!$A$13:$AE$9935,31,1),NA())</f>
        <v>aws s3 cp s3://rtdc.mdm.uploadarchive.raw/RTDC4052/ "%USERPROFILE%\AppData\Local\Temp\OnboardLogs"\RTDC4052\2017-04-17 --exclude "*" --recursive --include "*20170417*" &amp; "%USERPROFILE%\Documents\GitHub\mrs-test-scripts\Headless Mode &amp; Sideloading\WalkAndUnGZ.bat" "%USERPROFILE%\AppData\Local\Temp\OnboardLogs"\RTDC4052\2017-04-17 &amp; aws s3 cp s3://rtdc.mdm.uploadarchive.raw/RTDC4052/ "%USERPROFILE%\AppData\Local\Temp\OnboardLogs"\RTDC4052\2017-04-18 --exclude "*" --recursive --include "*20170418*" &amp; "%USERPROFILE%\Documents\GitHub\mrs-test-scripts\Headless Mode &amp; Sideloading\WalkAndUnGZ.bat" "%USERPROFILE%\AppData\Local\Temp\OnboardLogs"\RTDC4052\2017-04-18</v>
      </c>
      <c r="S14" s="92" t="str">
        <f>VLOOKUP(C14,'Train Runs'!$A$13:$AE$9935,22,0)</f>
        <v>https://d0f6bd738d7f1b3e5a7ca70fe4ff75f0.us-east-1.aws.found.io/app/kibana#/discover/Steve-Slow-Train-Analysis-(2080s-and-2083s)?_g=(refreshInterval:(display:Off,pause:!f,section:0,value:0),time:(from:'2017-04-17T07:53:26-0600',mode:absolute,to:'2017-04-17T10:40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4" s="94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/stypes="*4052*201704171*" /stext=" 15:.+((SYSTEM_STATE.+slice.+state.+changed )|(ment ac)|(multiple cpu faults)|(system.+state.+changed )|(\[timeout)|(PRM\|1\|D)|(kpr)|(kdp)|(\|lc)|(penalty))"</v>
      </c>
      <c r="U14" s="9" t="str">
        <f>MID(B14,13,4)</f>
        <v>4052</v>
      </c>
      <c r="V14" s="32">
        <f>A14-utc_offset/24</f>
        <v>42842.634826388887</v>
      </c>
      <c r="W14" s="46" t="str">
        <f>IFERROR(IF(VALUE(LEFT(IF(LEN(C14)=6,"0"&amp;C14,C14),2))&lt;=2,"EC",IF(OR(VALUE(LEFT(IF(LEN(C14)=6,"0"&amp;C14,C14),2))=8,VALUE(LEFT(IF(LEN(C14)=6,"0"&amp;C14,C14),2))=18),"NW","Other")),"Other")</f>
        <v>EC</v>
      </c>
      <c r="X14" s="46" t="str">
        <f>IF(AND(E14="TRACK WARRANT AUTHORITY",G14&lt;10),"OMIT","KEEP")</f>
        <v>KEEP</v>
      </c>
      <c r="Y14" s="104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arrival","project_id":79,"tracker_id":40,"status_id":1,"priority_id":2,"assigned_to_id":23,"start_date":"2017-04-17","description":"","custom_fields":[{"id":1,"name":"Subdivision","value":"EC"},{"id":4,"name":"Milepost","value":"5.8118"},{"id":17,"name":"Train ID","value":"143-17"},{"id":16,"name":"Locomotive ID","value":"4052"},{"id":130,"name":"Impact","value":""},{"id":150,"name":"Time of Event (Mountain Time)","value":"09:14:09"},{"id":151,"name":"Denver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>"grep -hSE -A400 ""Enforcement Action"" "&amp;search_path&amp;"\RTDC"&amp;U14&amp;"\*"&amp;U14&amp;"*"&amp;TEXT(A14-utc_offset/24,"YYYYMMDD")&amp;LEFT(TEXT(A14-utc_offset/24,"HH"),1)&amp;"* | grep -SE ""((Enforcement Ac)|(PRM.+XING))"" -"</f>
        <v>grep -hSE -A400 "Enforcement Action" "%USERPROFILE%\AppData\Local\Temp\OnboardLogs"\RTDC4052\*4052*201704171*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"%USERPROFILE%\AppData\Local\Temp\OnboardLogs"\RTDC4052\*4052*201704171* &gt;&gt; 2017-04-17-SliceDisagreementCheck.txt</v>
      </c>
      <c r="AE14" s="153" t="str">
        <f>"start /low /b "&amp;dls3logs&amp;" --loco "&amp;U14&amp;" --day "&amp;TEXT(V14,"YYYY-MM-DD")</f>
        <v>start /low /b %USERPROFILE%\Documents\GitHub\eaglep3\Utilities\DownloadLogsFromS3.py --loco 4052 --day 2017-04-17</v>
      </c>
      <c r="AF14" s="1"/>
    </row>
    <row r="15" spans="1:32" x14ac:dyDescent="0.25">
      <c r="A15" s="32">
        <v>42842.384386574071</v>
      </c>
      <c r="B15" s="30" t="s">
        <v>501</v>
      </c>
      <c r="C15" s="30" t="s">
        <v>615</v>
      </c>
      <c r="D15" s="30" t="s">
        <v>49</v>
      </c>
      <c r="E15" s="30" t="s">
        <v>191</v>
      </c>
      <c r="F15" s="43">
        <v>370</v>
      </c>
      <c r="G15" s="43">
        <v>422</v>
      </c>
      <c r="H15" s="43">
        <v>56250</v>
      </c>
      <c r="I15" s="43">
        <v>57331</v>
      </c>
      <c r="J15" s="30" t="s">
        <v>192</v>
      </c>
      <c r="K15" s="43">
        <v>58118</v>
      </c>
      <c r="L15" s="139" t="s">
        <v>50</v>
      </c>
      <c r="M15" s="140">
        <f>CONVERT((I15-K15)/10000,"mi","ft")*IF(L15="Increasing Mileposts (1)",-1,1)</f>
        <v>415.536</v>
      </c>
      <c r="N15" s="141" t="str">
        <f>VLOOKUP(C15,'Trips&amp;Operators'!$C$1:$G$99999,5,FALSE)</f>
        <v>ROBINSON KADDIBA</v>
      </c>
      <c r="O15" s="190" t="s">
        <v>184</v>
      </c>
      <c r="P15" s="142" t="s">
        <v>600</v>
      </c>
      <c r="Q15" s="30"/>
      <c r="R15" s="89" t="str">
        <f>IF(VLOOKUP(C15,'Train Runs'!$A$13:$AE$9935,1,1)=C15,VLOOKUP(C15,'Train Runs'!$A$13:$AE$9935,31,1),NA())</f>
        <v>aws s3 cp s3://rtdc.mdm.uploadarchive.raw/RTDC4052/ "%USERPROFILE%\AppData\Local\Temp\OnboardLogs"\RTDC4052\2017-04-17 --exclude "*" --recursive --include "*20170417*" &amp; "%USERPROFILE%\Documents\GitHub\mrs-test-scripts\Headless Mode &amp; Sideloading\WalkAndUnGZ.bat" "%USERPROFILE%\AppData\Local\Temp\OnboardLogs"\RTDC4052\2017-04-17 &amp; aws s3 cp s3://rtdc.mdm.uploadarchive.raw/RTDC4052/ "%USERPROFILE%\AppData\Local\Temp\OnboardLogs"\RTDC4052\2017-04-18 --exclude "*" --recursive --include "*20170418*" &amp; "%USERPROFILE%\Documents\GitHub\mrs-test-scripts\Headless Mode &amp; Sideloading\WalkAndUnGZ.bat" "%USERPROFILE%\AppData\Local\Temp\OnboardLogs"\RTDC4052\2017-04-18</v>
      </c>
      <c r="S15" s="92" t="str">
        <f>VLOOKUP(C15,'Train Runs'!$A$13:$AE$9935,22,0)</f>
        <v>https://d0f6bd738d7f1b3e5a7ca70fe4ff75f0.us-east-1.aws.found.io/app/kibana#/discover/Steve-Slow-Train-Analysis-(2080s-and-2083s)?_g=(refreshInterval:(display:Off,pause:!f,section:0,value:0),time:(from:'2017-04-17T07:53:26-0600',mode:absolute,to:'2017-04-17T10:40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5" s="94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/stypes="*4052*201704171*" /stext=" 15:.+((SYSTEM_STATE.+slice.+state.+changed )|(ment ac)|(multiple cpu faults)|(system.+state.+changed )|(\[timeout)|(PRM\|1\|D)|(kpr)|(kdp)|(\|lc)|(penalty))"</v>
      </c>
      <c r="U15" s="9" t="str">
        <f>MID(B15,13,4)</f>
        <v>4052</v>
      </c>
      <c r="V15" s="32">
        <f>A15-utc_offset/24</f>
        <v>42842.634386574071</v>
      </c>
      <c r="W15" s="46" t="str">
        <f>IFERROR(IF(VALUE(LEFT(IF(LEN(C15)=6,"0"&amp;C15,C15),2))&lt;=2,"EC",IF(OR(VALUE(LEFT(IF(LEN(C15)=6,"0"&amp;C15,C15),2))=8,VALUE(LEFT(IF(LEN(C15)=6,"0"&amp;C15,C15),2))=18),"NW","Other")),"Other")</f>
        <v>EC</v>
      </c>
      <c r="X15" s="46" t="str">
        <f>IF(AND(E15="TRACK WARRANT AUTHORITY",G15&lt;10),"OMIT","KEEP")</f>
        <v>KEEP</v>
      </c>
      <c r="Y15" s="104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arrival","project_id":79,"tracker_id":40,"status_id":1,"priority_id":2,"assigned_to_id":23,"start_date":"2017-04-17","description":"","custom_fields":[{"id":1,"name":"Subdivision","value":"EC"},{"id":4,"name":"Milepost","value":"5.8118"},{"id":17,"name":"Train ID","value":"143-17"},{"id":16,"name":"Locomotive ID","value":"4052"},{"id":130,"name":"Impact","value":""},{"id":150,"name":"Time of Event (Mountain Time)","value":"09:13:31"},{"id":151,"name":"Denver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>"grep -hSE -A400 ""Enforcement Action"" "&amp;search_path&amp;"\RTDC"&amp;U15&amp;"\*"&amp;U15&amp;"*"&amp;TEXT(A15-utc_offset/24,"YYYYMMDD")&amp;LEFT(TEXT(A15-utc_offset/24,"HH"),1)&amp;"* | grep -SE ""((Enforcement Ac)|(PRM.+XING))"" -"</f>
        <v>grep -hSE -A400 "Enforcement Action" "%USERPROFILE%\AppData\Local\Temp\OnboardLogs"\RTDC4052\*4052*201704171*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"%USERPROFILE%\AppData\Local\Temp\OnboardLogs"\RTDC4052\*4052*201704171* &gt;&gt; 2017-04-17-SliceDisagreementCheck.txt</v>
      </c>
      <c r="AE15" s="153" t="str">
        <f>"start /low /b "&amp;dls3logs&amp;" --loco "&amp;U15&amp;" --day "&amp;TEXT(V15,"YYYY-MM-DD")</f>
        <v>start /low /b %USERPROFILE%\Documents\GitHub\eaglep3\Utilities\DownloadLogsFromS3.py --loco 4052 --day 2017-04-17</v>
      </c>
      <c r="AF15" s="1"/>
    </row>
    <row r="16" spans="1:32" x14ac:dyDescent="0.25">
      <c r="A16" s="32">
        <v>42842.634039351855</v>
      </c>
      <c r="B16" s="30" t="s">
        <v>488</v>
      </c>
      <c r="C16" s="30" t="s">
        <v>621</v>
      </c>
      <c r="D16" s="30" t="s">
        <v>49</v>
      </c>
      <c r="E16" s="30" t="s">
        <v>191</v>
      </c>
      <c r="F16" s="43">
        <v>380</v>
      </c>
      <c r="G16" s="43">
        <v>455</v>
      </c>
      <c r="H16" s="43">
        <v>59154</v>
      </c>
      <c r="I16" s="43">
        <v>57609</v>
      </c>
      <c r="J16" s="30" t="s">
        <v>192</v>
      </c>
      <c r="K16" s="43">
        <v>58301</v>
      </c>
      <c r="L16" s="139" t="s">
        <v>51</v>
      </c>
      <c r="M16" s="140">
        <f>CONVERT((I16-K16)/10000,"mi","ft")*IF(L16="Increasing Mileposts (1)",-1,1)</f>
        <v>-365.37599999999998</v>
      </c>
      <c r="N16" s="141" t="str">
        <f>VLOOKUP(C16,'Trips&amp;Operators'!$C$1:$G$99999,5,FALSE)</f>
        <v>MACDONALD THOMAS</v>
      </c>
      <c r="O16" s="190" t="s">
        <v>184</v>
      </c>
      <c r="P16" s="142" t="s">
        <v>600</v>
      </c>
      <c r="Q16" s="30"/>
      <c r="R16" s="89" t="str">
        <f>IF(VLOOKUP(C16,'Train Runs'!$A$13:$AE$9935,1,1)=C16,VLOOKUP(C16,'Train Runs'!$A$13:$AE$9935,31,1),NA())</f>
        <v>aws s3 cp s3://rtdc.mdm.uploadarchive.raw/RTDC4007/ "%USERPROFILE%\AppData\Local\Temp\OnboardLogs"\RTDC4007\2017-04-17 --exclude "*" --recursive --include "*20170417*" &amp; "%USERPROFILE%\Documents\GitHub\mrs-test-scripts\Headless Mode &amp; Sideloading\WalkAndUnGZ.bat" "%USERPROFILE%\AppData\Local\Temp\OnboardLogs"\RTDC4007\2017-04-17 &amp; aws s3 cp s3://rtdc.mdm.uploadarchive.raw/RTDC4007/ "%USERPROFILE%\AppData\Local\Temp\OnboardLogs"\RTDC4007\2017-04-18 --exclude "*" --recursive --include "*20170418*" &amp; "%USERPROFILE%\Documents\GitHub\mrs-test-scripts\Headless Mode &amp; Sideloading\WalkAndUnGZ.bat" "%USERPROFILE%\AppData\Local\Temp\OnboardLogs"\RTDC4007\2017-04-18</v>
      </c>
      <c r="S16" s="92" t="str">
        <f>VLOOKUP(C16,'Train Runs'!$A$13:$AE$9935,22,0)</f>
        <v>https://d0f6bd738d7f1b3e5a7ca70fe4ff75f0.us-east-1.aws.found.io/app/kibana#/discover/Steve-Slow-Train-Analysis-(2080s-and-2083s)?_g=(refreshInterval:(display:Off,pause:!f,section:0,value:0),time:(from:'2017-04-17T14:00:01-0600',mode:absolute,to:'2017-04-17T16:27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6" s="94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/stypes="*4007*201704172*" /stext=" 21:.+((SYSTEM_STATE.+slice.+state.+changed )|(ment ac)|(multiple cpu faults)|(system.+state.+changed )|(\[timeout)|(PRM\|1\|D)|(kpr)|(kdp)|(\|lc)|(penalty))"</v>
      </c>
      <c r="U16" s="9" t="str">
        <f>MID(B16,13,4)</f>
        <v>4007</v>
      </c>
      <c r="V16" s="32">
        <f>A16-utc_offset/24</f>
        <v>42842.884039351855</v>
      </c>
      <c r="W16" s="46" t="str">
        <f>IFERROR(IF(VALUE(LEFT(IF(LEN(C16)=6,"0"&amp;C16,C16),2))&lt;=2,"EC",IF(OR(VALUE(LEFT(IF(LEN(C16)=6,"0"&amp;C16,C16),2))=8,VALUE(LEFT(IF(LEN(C16)=6,"0"&amp;C16,C16),2))=18),"NW","Other")),"Other")</f>
        <v>EC</v>
      </c>
      <c r="X16" s="46" t="str">
        <f>IF(AND(E16="TRACK WARRANT AUTHORITY",G16&lt;10),"OMIT","KEEP")</f>
        <v>KEEP</v>
      </c>
      <c r="Y16" s="104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arrival","project_id":79,"tracker_id":40,"status_id":1,"priority_id":2,"assigned_to_id":23,"start_date":"2017-04-17","description":"","custom_fields":[{"id":1,"name":"Subdivision","value":"EC"},{"id":4,"name":"Milepost","value":"5.8301"},{"id":17,"name":"Train ID","value":"182-17"},{"id":16,"name":"Locomotive ID","value":"4007"},{"id":130,"name":"Impact","value":""},{"id":150,"name":"Time of Event (Mountain Time)","value":"15:13:01"},{"id":151,"name":"Denver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>"grep -hSE -A400 ""Enforcement Action"" "&amp;search_path&amp;"\RTDC"&amp;U16&amp;"\*"&amp;U16&amp;"*"&amp;TEXT(A16-utc_offset/24,"YYYYMMDD")&amp;LEFT(TEXT(A16-utc_offset/24,"HH"),1)&amp;"* | grep -SE ""((Enforcement Ac)|(PRM.+XING))"" -"</f>
        <v>grep -hSE -A400 "Enforcement Action" "%USERPROFILE%\AppData\Local\Temp\OnboardLogs"\RTDC4007\*4007*201704172*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"%USERPROFILE%\AppData\Local\Temp\OnboardLogs"\RTDC4007\*4007*201704172* &gt;&gt; 2017-04-17-SliceDisagreementCheck.txt</v>
      </c>
      <c r="AE16" s="153" t="str">
        <f>"start /low /b "&amp;dls3logs&amp;" --loco "&amp;U16&amp;" --day "&amp;TEXT(V16,"YYYY-MM-DD")</f>
        <v>start /low /b %USERPROFILE%\Documents\GitHub\eaglep3\Utilities\DownloadLogsFromS3.py --loco 4007 --day 2017-04-17</v>
      </c>
      <c r="AF16" s="1"/>
    </row>
    <row r="17" spans="1:32" x14ac:dyDescent="0.25">
      <c r="A17" s="32">
        <v>42842.816782407404</v>
      </c>
      <c r="B17" s="30" t="s">
        <v>424</v>
      </c>
      <c r="C17" s="30" t="s">
        <v>631</v>
      </c>
      <c r="D17" s="30" t="s">
        <v>49</v>
      </c>
      <c r="E17" s="30" t="s">
        <v>191</v>
      </c>
      <c r="F17" s="43">
        <v>0</v>
      </c>
      <c r="G17" s="43">
        <v>258</v>
      </c>
      <c r="H17" s="43">
        <v>58526</v>
      </c>
      <c r="I17" s="43">
        <v>58127</v>
      </c>
      <c r="J17" s="30" t="s">
        <v>192</v>
      </c>
      <c r="K17" s="43">
        <v>58301</v>
      </c>
      <c r="L17" s="139" t="s">
        <v>51</v>
      </c>
      <c r="M17" s="140">
        <f>CONVERT((I17-K17)/10000,"mi","ft")*IF(L17="Increasing Mileposts (1)",-1,1)</f>
        <v>-91.872</v>
      </c>
      <c r="N17" s="141" t="str">
        <f>VLOOKUP(C17,'Trips&amp;Operators'!$C$1:$G$99999,5,FALSE)</f>
        <v>STAMBAUGH JAMES</v>
      </c>
      <c r="O17" s="190" t="s">
        <v>184</v>
      </c>
      <c r="P17" s="142" t="s">
        <v>600</v>
      </c>
      <c r="Q17" s="30"/>
      <c r="R17" s="89" t="str">
        <f>IF(VLOOKUP(C17,'Train Runs'!$A$13:$AE$9935,1,1)=C17,VLOOKUP(C17,'Train Runs'!$A$13:$AE$9935,31,1),NA())</f>
        <v>aws s3 cp s3://rtdc.mdm.uploadarchive.raw/RTDC4053/ "%USERPROFILE%\AppData\Local\Temp\OnboardLogs"\RTDC4053\2017-04-17 --exclude "*" --recursive --include "*20170417*" &amp; "%USERPROFILE%\Documents\GitHub\mrs-test-scripts\Headless Mode &amp; Sideloading\WalkAndUnGZ.bat" "%USERPROFILE%\AppData\Local\Temp\OnboardLogs"\RTDC4053\2017-04-17 &amp; aws s3 cp s3://rtdc.mdm.uploadarchive.raw/RTDC4053/ "%USERPROFILE%\AppData\Local\Temp\OnboardLogs"\RTDC4053\2017-04-18 --exclude "*" --recursive --include "*20170418*" &amp; "%USERPROFILE%\Documents\GitHub\mrs-test-scripts\Headless Mode &amp; Sideloading\WalkAndUnGZ.bat" "%USERPROFILE%\AppData\Local\Temp\OnboardLogs"\RTDC4053\2017-04-18</v>
      </c>
      <c r="S17" s="92" t="str">
        <f>VLOOKUP(C17,'Train Runs'!$A$13:$AE$9935,22,0)</f>
        <v>https://d0f6bd738d7f1b3e5a7ca70fe4ff75f0.us-east-1.aws.found.io/app/kibana#/discover/Steve-Slow-Train-Analysis-(2080s-and-2083s)?_g=(refreshInterval:(display:Off,pause:!f,section:0,value:0),time:(from:'2017-04-17T18:05:22-0600',mode:absolute,to:'2017-04-17T20:49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7" s="94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/stypes="*4053*201704180*" /stext=" 01:.+((SYSTEM_STATE.+slice.+state.+changed )|(ment ac)|(multiple cpu faults)|(system.+state.+changed )|(\[timeout)|(PRM\|1\|D)|(kpr)|(kdp)|(\|lc)|(penalty))"</v>
      </c>
      <c r="U17" s="9" t="str">
        <f>MID(B17,13,4)</f>
        <v>4053</v>
      </c>
      <c r="V17" s="32">
        <f>A17-utc_offset/24</f>
        <v>42843.066782407404</v>
      </c>
      <c r="W17" s="46" t="str">
        <f>IFERROR(IF(VALUE(LEFT(IF(LEN(C17)=6,"0"&amp;C17,C17),2))&lt;=2,"EC",IF(OR(VALUE(LEFT(IF(LEN(C17)=6,"0"&amp;C17,C17),2))=8,VALUE(LEFT(IF(LEN(C17)=6,"0"&amp;C17,C17),2))=18),"NW","Other")),"Other")</f>
        <v>EC</v>
      </c>
      <c r="X17" s="46" t="str">
        <f>IF(AND(E17="TRACK WARRANT AUTHORITY",G17&lt;10),"OMIT","KEEP")</f>
        <v>KEEP</v>
      </c>
      <c r="Y17" s="104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arrival","project_id":79,"tracker_id":40,"status_id":1,"priority_id":2,"assigned_to_id":23,"start_date":"2017-04-17","description":"","custom_fields":[{"id":1,"name":"Subdivision","value":"EC"},{"id":4,"name":"Milepost","value":"5.8301"},{"id":17,"name":"Train ID","value":"218-17"},{"id":16,"name":"Locomotive ID","value":"4053"},{"id":130,"name":"Impact","value":""},{"id":150,"name":"Time of Event (Mountain Time)","value":"19:36:10"},{"id":151,"name":"Denver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>"grep -hSE -A400 ""Enforcement Action"" "&amp;search_path&amp;"\RTDC"&amp;U17&amp;"\*"&amp;U17&amp;"*"&amp;TEXT(A17-utc_offset/24,"YYYYMMDD")&amp;LEFT(TEXT(A17-utc_offset/24,"HH"),1)&amp;"* | grep -SE ""((Enforcement Ac)|(PRM.+XING))"" -"</f>
        <v>grep -hSE -A400 "Enforcement Action" "%USERPROFILE%\AppData\Local\Temp\OnboardLogs"\RTDC4053\*4053*201704180*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"%USERPROFILE%\AppData\Local\Temp\OnboardLogs"\RTDC4053\*4053*201704180* &gt;&gt; 2017-04-17-SliceDisagreementCheck.txt</v>
      </c>
      <c r="AE17" s="153" t="str">
        <f>"start /low /b "&amp;dls3logs&amp;" --loco "&amp;U17&amp;" --day "&amp;TEXT(V17,"YYYY-MM-DD")</f>
        <v>start /low /b %USERPROFILE%\Documents\GitHub\eaglep3\Utilities\DownloadLogsFromS3.py --loco 4053 --day 2017-04-18</v>
      </c>
      <c r="AF17" s="1"/>
    </row>
    <row r="18" spans="1:32" ht="15" customHeight="1" x14ac:dyDescent="0.25">
      <c r="A18" s="32">
        <v>42842.821828703702</v>
      </c>
      <c r="B18" s="30" t="s">
        <v>501</v>
      </c>
      <c r="C18" s="30" t="s">
        <v>632</v>
      </c>
      <c r="D18" s="30" t="s">
        <v>49</v>
      </c>
      <c r="E18" s="30" t="s">
        <v>191</v>
      </c>
      <c r="F18" s="43">
        <v>410</v>
      </c>
      <c r="G18" s="43">
        <v>470</v>
      </c>
      <c r="H18" s="43">
        <v>62129</v>
      </c>
      <c r="I18" s="43">
        <v>63754</v>
      </c>
      <c r="J18" s="30" t="s">
        <v>192</v>
      </c>
      <c r="K18" s="43">
        <v>63069</v>
      </c>
      <c r="L18" s="139" t="s">
        <v>50</v>
      </c>
      <c r="M18" s="140">
        <f>CONVERT((I18-K18)/10000,"mi","ft")*IF(L18="Increasing Mileposts (1)",-1,1)</f>
        <v>-361.68</v>
      </c>
      <c r="N18" s="141" t="str">
        <f>VLOOKUP(C18,'Trips&amp;Operators'!$C$1:$G$99999,5,FALSE)</f>
        <v>SMITH MICHAEL</v>
      </c>
      <c r="O18" s="190" t="s">
        <v>184</v>
      </c>
      <c r="P18" s="142" t="s">
        <v>600</v>
      </c>
      <c r="Q18" s="30"/>
      <c r="R18" s="89" t="str">
        <f>IF(VLOOKUP(C18,'Train Runs'!$A$13:$AE$9935,1,1)=C18,VLOOKUP(C18,'Train Runs'!$A$13:$AE$9935,31,1),NA())</f>
        <v>aws s3 cp s3://rtdc.mdm.uploadarchive.raw/RTDC4052/ "%USERPROFILE%\AppData\Local\Temp\OnboardLogs"\RTDC4052\2017-04-17 --exclude "*" --recursive --include "*20170417*" &amp; "%USERPROFILE%\Documents\GitHub\mrs-test-scripts\Headless Mode &amp; Sideloading\WalkAndUnGZ.bat" "%USERPROFILE%\AppData\Local\Temp\OnboardLogs"\RTDC4052\2017-04-17 &amp; aws s3 cp s3://rtdc.mdm.uploadarchive.raw/RTDC4052/ "%USERPROFILE%\AppData\Local\Temp\OnboardLogs"\RTDC4052\2017-04-18 --exclude "*" --recursive --include "*20170418*" &amp; "%USERPROFILE%\Documents\GitHub\mrs-test-scripts\Headless Mode &amp; Sideloading\WalkAndUnGZ.bat" "%USERPROFILE%\AppData\Local\Temp\OnboardLogs"\RTDC4052\2017-04-18</v>
      </c>
      <c r="S18" s="92" t="str">
        <f>VLOOKUP(C18,'Train Runs'!$A$13:$AE$9935,22,0)</f>
        <v>https://d0f6bd738d7f1b3e5a7ca70fe4ff75f0.us-east-1.aws.found.io/app/kibana#/discover/Steve-Slow-Train-Analysis-(2080s-and-2083s)?_g=(refreshInterval:(display:Off,pause:!f,section:0,value:0),time:(from:'2017-04-17T18:22:26-0600',mode:absolute,to:'2017-04-17T21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8" s="94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/stypes="*4052*201704180*" /stext=" 01:.+((SYSTEM_STATE.+slice.+state.+changed )|(ment ac)|(multiple cpu faults)|(system.+state.+changed )|(\[timeout)|(PRM\|1\|D)|(kpr)|(kdp)|(\|lc)|(penalty))"</v>
      </c>
      <c r="U18" s="9" t="str">
        <f>MID(B18,13,4)</f>
        <v>4052</v>
      </c>
      <c r="V18" s="32">
        <f>A18-utc_offset/24</f>
        <v>42843.071828703702</v>
      </c>
      <c r="W18" s="46" t="str">
        <f>IFERROR(IF(VALUE(LEFT(IF(LEN(C18)=6,"0"&amp;C18,C18),2))&lt;=2,"EC",IF(OR(VALUE(LEFT(IF(LEN(C18)=6,"0"&amp;C18,C18),2))=8,VALUE(LEFT(IF(LEN(C18)=6,"0"&amp;C18,C18),2))=18),"NW","Other")),"Other")</f>
        <v>EC</v>
      </c>
      <c r="X18" s="46" t="str">
        <f>IF(AND(E18="TRACK WARRANT AUTHORITY",G18&lt;10),"OMIT","KEEP")</f>
        <v>KEEP</v>
      </c>
      <c r="Y18" s="104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arrival","project_id":79,"tracker_id":40,"status_id":1,"priority_id":2,"assigned_to_id":23,"start_date":"2017-04-17","description":"","custom_fields":[{"id":1,"name":"Subdivision","value":"EC"},{"id":4,"name":"Milepost","value":"6.3069"},{"id":17,"name":"Train ID","value":"223-17"},{"id":16,"name":"Locomotive ID","value":"4052"},{"id":130,"name":"Impact","value":""},{"id":150,"name":"Time of Event (Mountain Time)","value":"19:43:26"},{"id":151,"name":"Denver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>"grep -hSE -A400 ""Enforcement Action"" "&amp;search_path&amp;"\RTDC"&amp;U18&amp;"\*"&amp;U18&amp;"*"&amp;TEXT(A18-utc_offset/24,"YYYYMMDD")&amp;LEFT(TEXT(A18-utc_offset/24,"HH"),1)&amp;"* | grep -SE ""((Enforcement Ac)|(PRM.+XING))"" -"</f>
        <v>grep -hSE -A400 "Enforcement Action" "%USERPROFILE%\AppData\Local\Temp\OnboardLogs"\RTDC4052\*4052*201704180*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"%USERPROFILE%\AppData\Local\Temp\OnboardLogs"\RTDC4052\*4052*201704180* &gt;&gt; 2017-04-17-SliceDisagreementCheck.txt</v>
      </c>
      <c r="AE18" s="153" t="str">
        <f>"start /low /b "&amp;dls3logs&amp;" --loco "&amp;U18&amp;" --day "&amp;TEXT(V18,"YYYY-MM-DD")</f>
        <v>start /low /b %USERPROFILE%\Documents\GitHub\eaglep3\Utilities\DownloadLogsFromS3.py --loco 4052 --day 2017-04-18</v>
      </c>
      <c r="AF18" s="1"/>
    </row>
    <row r="19" spans="1:32" x14ac:dyDescent="0.25">
      <c r="A19" s="32">
        <v>42842.557060185187</v>
      </c>
      <c r="B19" s="30" t="s">
        <v>488</v>
      </c>
      <c r="C19" s="30" t="s">
        <v>620</v>
      </c>
      <c r="D19" s="30" t="s">
        <v>98</v>
      </c>
      <c r="E19" s="30" t="s">
        <v>191</v>
      </c>
      <c r="F19" s="43">
        <v>130</v>
      </c>
      <c r="G19" s="43">
        <v>180</v>
      </c>
      <c r="H19" s="43">
        <v>63111</v>
      </c>
      <c r="I19" s="43">
        <v>62885</v>
      </c>
      <c r="J19" s="30" t="s">
        <v>192</v>
      </c>
      <c r="K19" s="43">
        <v>63309</v>
      </c>
      <c r="L19" s="139" t="s">
        <v>51</v>
      </c>
      <c r="M19" s="140">
        <f>CONVERT((I19-K19)/10000,"mi","ft")*IF(L19="Increasing Mileposts (1)",-1,1)</f>
        <v>-223.87200000000001</v>
      </c>
      <c r="N19" s="141" t="str">
        <f>VLOOKUP(C19,'Trips&amp;Operators'!$C$1:$G$99999,5,FALSE)</f>
        <v>MACDONALD THOMAS</v>
      </c>
      <c r="O19" s="190" t="s">
        <v>184</v>
      </c>
      <c r="P19" s="142" t="s">
        <v>600</v>
      </c>
      <c r="Q19" s="30"/>
      <c r="R19" s="89" t="str">
        <f>IF(VLOOKUP(C19,'Train Runs'!$A$13:$AE$9935,1,1)=C19,VLOOKUP(C19,'Train Runs'!$A$13:$AE$9935,31,1),NA())</f>
        <v>aws s3 cp s3://rtdc.mdm.uploadarchive.raw/RTDC4007/ "%USERPROFILE%\AppData\Local\Temp\OnboardLogs"\RTDC4007\2017-04-17 --exclude "*" --recursive --include "*20170417*" &amp; "%USERPROFILE%\Documents\GitHub\mrs-test-scripts\Headless Mode &amp; Sideloading\WalkAndUnGZ.bat" "%USERPROFILE%\AppData\Local\Temp\OnboardLogs"\RTDC4007\2017-04-17 &amp; aws s3 cp s3://rtdc.mdm.uploadarchive.raw/RTDC4007/ "%USERPROFILE%\AppData\Local\Temp\OnboardLogs"\RTDC4007\2017-04-18 --exclude "*" --recursive --include "*20170418*" &amp; "%USERPROFILE%\Documents\GitHub\mrs-test-scripts\Headless Mode &amp; Sideloading\WalkAndUnGZ.bat" "%USERPROFILE%\AppData\Local\Temp\OnboardLogs"\RTDC4007\2017-04-18</v>
      </c>
      <c r="S19" s="92" t="str">
        <f>VLOOKUP(C19,'Train Runs'!$A$13:$AE$9935,22,0)</f>
        <v>https://d0f6bd738d7f1b3e5a7ca70fe4ff75f0.us-east-1.aws.found.io/app/kibana#/discover/Steve-Slow-Train-Analysis-(2080s-and-2083s)?_g=(refreshInterval:(display:Off,pause:!f,section:0,value:0),time:(from:'2017-04-17T11:48:06-0600',mode:absolute,to:'2017-04-17T14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9" s="94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/stypes="*4007*201704171*" /stext=" 19:.+((SYSTEM_STATE.+slice.+state.+changed )|(ment ac)|(multiple cpu faults)|(system.+state.+changed )|(\[timeout)|(PRM\|1\|D)|(kpr)|(kdp)|(\|lc)|(penalty))"</v>
      </c>
      <c r="U19" s="9" t="str">
        <f>MID(B19,13,4)</f>
        <v>4007</v>
      </c>
      <c r="V19" s="32">
        <f>A19-utc_offset/24</f>
        <v>42842.807060185187</v>
      </c>
      <c r="W19" s="46" t="str">
        <f>IFERROR(IF(VALUE(LEFT(IF(LEN(C19)=6,"0"&amp;C19,C19),2))&lt;=2,"EC",IF(OR(VALUE(LEFT(IF(LEN(C19)=6,"0"&amp;C19,C19),2))=8,VALUE(LEFT(IF(LEN(C19)=6,"0"&amp;C19,C19),2))=18),"NW","Other")),"Other")</f>
        <v>EC</v>
      </c>
      <c r="X19" s="46" t="str">
        <f>IF(AND(E19="TRACK WARRANT AUTHORITY",G19&lt;10),"OMIT","KEEP")</f>
        <v>KEEP</v>
      </c>
      <c r="Y19" s="104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arrival","project_id":79,"tracker_id":40,"status_id":1,"priority_id":2,"assigned_to_id":23,"start_date":"2017-04-17","description":"","custom_fields":[{"id":1,"name":"Subdivision","value":"EC"},{"id":4,"name":"Milepost","value":"6.3309"},{"id":17,"name":"Train ID","value":"168-17"},{"id":16,"name":"Locomotive ID","value":"4007"},{"id":130,"name":"Impact","value":""},{"id":150,"name":"Time of Event (Mountain Time)","value":"13:22:10"},{"id":151,"name":"Denver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>"grep -hSE -A400 ""Enforcement Action"" "&amp;search_path&amp;"\RTDC"&amp;U19&amp;"\*"&amp;U19&amp;"*"&amp;TEXT(A19-utc_offset/24,"YYYYMMDD")&amp;LEFT(TEXT(A19-utc_offset/24,"HH"),1)&amp;"* | grep -SE ""((Enforcement Ac)|(PRM.+XING))"" -"</f>
        <v>grep -hSE -A400 "Enforcement Action" "%USERPROFILE%\AppData\Local\Temp\OnboardLogs"\RTDC4007\*4007*201704171*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"%USERPROFILE%\AppData\Local\Temp\OnboardLogs"\RTDC4007\*4007*201704171* &gt;&gt; 2017-04-17-SliceDisagreementCheck.txt</v>
      </c>
      <c r="AE19" s="153" t="str">
        <f>"start /low /b "&amp;dls3logs&amp;" --loco "&amp;U19&amp;" --day "&amp;TEXT(V19,"YYYY-MM-DD")</f>
        <v>start /low /b %USERPROFILE%\Documents\GitHub\eaglep3\Utilities\DownloadLogsFromS3.py --loco 4007 --day 2017-04-17</v>
      </c>
      <c r="AF19" s="1"/>
    </row>
    <row r="20" spans="1:32" x14ac:dyDescent="0.25">
      <c r="A20" s="32">
        <v>42842.701828703706</v>
      </c>
      <c r="B20" s="30" t="s">
        <v>488</v>
      </c>
      <c r="C20" s="30" t="s">
        <v>623</v>
      </c>
      <c r="D20" s="30" t="s">
        <v>98</v>
      </c>
      <c r="E20" s="30" t="s">
        <v>191</v>
      </c>
      <c r="F20" s="43">
        <v>80</v>
      </c>
      <c r="G20" s="43">
        <v>131</v>
      </c>
      <c r="H20" s="43">
        <v>63142</v>
      </c>
      <c r="I20" s="43">
        <v>63021</v>
      </c>
      <c r="J20" s="30" t="s">
        <v>192</v>
      </c>
      <c r="K20" s="43">
        <v>63309</v>
      </c>
      <c r="L20" s="139" t="s">
        <v>51</v>
      </c>
      <c r="M20" s="140">
        <f>CONVERT((I20-K20)/10000,"mi","ft")*IF(L20="Increasing Mileposts (1)",-1,1)</f>
        <v>-152.06399999999999</v>
      </c>
      <c r="N20" s="141" t="str">
        <f>VLOOKUP(C20,'Trips&amp;Operators'!$C$1:$G$99999,5,FALSE)</f>
        <v>MACDONALD THOMAS</v>
      </c>
      <c r="O20" s="190" t="s">
        <v>184</v>
      </c>
      <c r="P20" s="142" t="s">
        <v>600</v>
      </c>
      <c r="Q20" s="30"/>
      <c r="R20" s="89" t="str">
        <f>IF(VLOOKUP(C20,'Train Runs'!$A$13:$AE$9935,1,1)=C20,VLOOKUP(C20,'Train Runs'!$A$13:$AE$9935,31,1),NA())</f>
        <v>aws s3 cp s3://rtdc.mdm.uploadarchive.raw/RTDC4007/ "%USERPROFILE%\AppData\Local\Temp\OnboardLogs"\RTDC4007\2017-04-17 --exclude "*" --recursive --include "*20170417*" &amp; "%USERPROFILE%\Documents\GitHub\mrs-test-scripts\Headless Mode &amp; Sideloading\WalkAndUnGZ.bat" "%USERPROFILE%\AppData\Local\Temp\OnboardLogs"\RTDC4007\2017-04-17 &amp; aws s3 cp s3://rtdc.mdm.uploadarchive.raw/RTDC4007/ "%USERPROFILE%\AppData\Local\Temp\OnboardLogs"\RTDC4007\2017-04-18 --exclude "*" --recursive --include "*20170418*" &amp; "%USERPROFILE%\Documents\GitHub\mrs-test-scripts\Headless Mode &amp; Sideloading\WalkAndUnGZ.bat" "%USERPROFILE%\AppData\Local\Temp\OnboardLogs"\RTDC4007\2017-04-18</v>
      </c>
      <c r="S20" s="92" t="str">
        <f>VLOOKUP(C20,'Train Runs'!$A$13:$AE$9935,22,0)</f>
        <v>https://d0f6bd738d7f1b3e5a7ca70fe4ff75f0.us-east-1.aws.found.io/app/kibana#/discover/Steve-Slow-Train-Analysis-(2080s-and-2083s)?_g=(refreshInterval:(display:Off,pause:!f,section:0,value:0),time:(from:'2017-04-17T15:23:06-0600',mode:absolute,to:'2017-04-17T18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0" s="94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/stypes="*4007*201704172*" /stext=" 22:.+((SYSTEM_STATE.+slice.+state.+changed )|(ment ac)|(multiple cpu faults)|(system.+state.+changed )|(\[timeout)|(PRM\|1\|D)|(kpr)|(kdp)|(\|lc)|(penalty))"</v>
      </c>
      <c r="U20" s="9" t="str">
        <f>MID(B20,13,4)</f>
        <v>4007</v>
      </c>
      <c r="V20" s="32">
        <f>A20-utc_offset/24</f>
        <v>42842.951828703706</v>
      </c>
      <c r="W20" s="46" t="str">
        <f>IFERROR(IF(VALUE(LEFT(IF(LEN(C20)=6,"0"&amp;C20,C20),2))&lt;=2,"EC",IF(OR(VALUE(LEFT(IF(LEN(C20)=6,"0"&amp;C20,C20),2))=8,VALUE(LEFT(IF(LEN(C20)=6,"0"&amp;C20,C20),2))=18),"NW","Other")),"Other")</f>
        <v>EC</v>
      </c>
      <c r="X20" s="46" t="str">
        <f>IF(AND(E20="TRACK WARRANT AUTHORITY",G20&lt;10),"OMIT","KEEP")</f>
        <v>KEEP</v>
      </c>
      <c r="Y20" s="104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arrival","project_id":79,"tracker_id":40,"status_id":1,"priority_id":2,"assigned_to_id":23,"start_date":"2017-04-17","description":"","custom_fields":[{"id":1,"name":"Subdivision","value":"EC"},{"id":4,"name":"Milepost","value":"6.3309"},{"id":17,"name":"Train ID","value":"196-17"},{"id":16,"name":"Locomotive ID","value":"4007"},{"id":130,"name":"Impact","value":""},{"id":150,"name":"Time of Event (Mountain Time)","value":"16:50:38"},{"id":151,"name":"Denver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>"grep -hSE -A400 ""Enforcement Action"" "&amp;search_path&amp;"\RTDC"&amp;U20&amp;"\*"&amp;U20&amp;"*"&amp;TEXT(A20-utc_offset/24,"YYYYMMDD")&amp;LEFT(TEXT(A20-utc_offset/24,"HH"),1)&amp;"* | grep -SE ""((Enforcement Ac)|(PRM.+XING))"" -"</f>
        <v>grep -hSE -A400 "Enforcement Action" "%USERPROFILE%\AppData\Local\Temp\OnboardLogs"\RTDC4007\*4007*201704172*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"%USERPROFILE%\AppData\Local\Temp\OnboardLogs"\RTDC4007\*4007*201704172* &gt;&gt; 2017-04-17-SliceDisagreementCheck.txt</v>
      </c>
      <c r="AE20" s="153" t="str">
        <f>"start /low /b "&amp;dls3logs&amp;" --loco "&amp;U20&amp;" --day "&amp;TEXT(V20,"YYYY-MM-DD")</f>
        <v>start /low /b %USERPROFILE%\Documents\GitHub\eaglep3\Utilities\DownloadLogsFromS3.py --loco 4007 --day 2017-04-17</v>
      </c>
      <c r="AF20" s="1"/>
    </row>
    <row r="21" spans="1:32" x14ac:dyDescent="0.25">
      <c r="A21" s="32">
        <v>42842.332071759258</v>
      </c>
      <c r="B21" s="30" t="s">
        <v>488</v>
      </c>
      <c r="C21" s="30" t="s">
        <v>612</v>
      </c>
      <c r="D21" s="30" t="s">
        <v>49</v>
      </c>
      <c r="E21" s="30" t="s">
        <v>191</v>
      </c>
      <c r="F21" s="43">
        <v>350</v>
      </c>
      <c r="G21" s="43">
        <v>415</v>
      </c>
      <c r="H21" s="43">
        <v>110059</v>
      </c>
      <c r="I21" s="43">
        <v>108733</v>
      </c>
      <c r="J21" s="30" t="s">
        <v>192</v>
      </c>
      <c r="K21" s="43">
        <v>109135</v>
      </c>
      <c r="L21" s="139" t="s">
        <v>51</v>
      </c>
      <c r="M21" s="140">
        <f>CONVERT((I21-K21)/10000,"mi","ft")*IF(L21="Increasing Mileposts (1)",-1,1)</f>
        <v>-212.256</v>
      </c>
      <c r="N21" s="141" t="str">
        <f>VLOOKUP(C21,'Trips&amp;Operators'!$C$1:$G$99999,5,FALSE)</f>
        <v>YORK EDGAR</v>
      </c>
      <c r="O21" s="190" t="s">
        <v>184</v>
      </c>
      <c r="P21" s="142" t="s">
        <v>600</v>
      </c>
      <c r="Q21" s="30"/>
      <c r="R21" s="89" t="str">
        <f>IF(VLOOKUP(C21,'Train Runs'!$A$13:$AE$9935,1,1)=C21,VLOOKUP(C21,'Train Runs'!$A$13:$AE$9935,31,1),NA())</f>
        <v>aws s3 cp s3://rtdc.mdm.uploadarchive.raw/RTDC4007/ "%USERPROFILE%\AppData\Local\Temp\OnboardLogs"\RTDC4007\2017-04-17 --exclude "*" --recursive --include "*20170417*" &amp; "%USERPROFILE%\Documents\GitHub\mrs-test-scripts\Headless Mode &amp; Sideloading\WalkAndUnGZ.bat" "%USERPROFILE%\AppData\Local\Temp\OnboardLogs"\RTDC4007\2017-04-17 &amp; aws s3 cp s3://rtdc.mdm.uploadarchive.raw/RTDC4007/ "%USERPROFILE%\AppData\Local\Temp\OnboardLogs"\RTDC4007\2017-04-18 --exclude "*" --recursive --include "*20170418*" &amp; "%USERPROFILE%\Documents\GitHub\mrs-test-scripts\Headless Mode &amp; Sideloading\WalkAndUnGZ.bat" "%USERPROFILE%\AppData\Local\Temp\OnboardLogs"\RTDC4007\2017-04-18</v>
      </c>
      <c r="S21" s="92" t="str">
        <f>VLOOKUP(C21,'Train Runs'!$A$13:$AE$9935,22,0)</f>
        <v>https://d0f6bd738d7f1b3e5a7ca70fe4ff75f0.us-east-1.aws.found.io/app/kibana#/discover/Steve-Slow-Train-Analysis-(2080s-and-2083s)?_g=(refreshInterval:(display:Off,pause:!f,section:0,value:0),time:(from:'2017-04-17T06:21:58-0600',mode:absolute,to:'2017-04-17T09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1" s="94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/stypes="*4007*201704171*" /stext=" 13:.+((SYSTEM_STATE.+slice.+state.+changed )|(ment ac)|(multiple cpu faults)|(system.+state.+changed )|(\[timeout)|(PRM\|1\|D)|(kpr)|(kdp)|(\|lc)|(penalty))"</v>
      </c>
      <c r="U21" s="9" t="str">
        <f>MID(B21,13,4)</f>
        <v>4007</v>
      </c>
      <c r="V21" s="32">
        <f>A21-utc_offset/24</f>
        <v>42842.582071759258</v>
      </c>
      <c r="W21" s="46" t="str">
        <f>IFERROR(IF(VALUE(LEFT(IF(LEN(C21)=6,"0"&amp;C21,C21),2))&lt;=2,"EC",IF(OR(VALUE(LEFT(IF(LEN(C21)=6,"0"&amp;C21,C21),2))=8,VALUE(LEFT(IF(LEN(C21)=6,"0"&amp;C21,C21),2))=18),"NW","Other")),"Other")</f>
        <v>EC</v>
      </c>
      <c r="X21" s="46" t="str">
        <f>IF(AND(E21="TRACK WARRANT AUTHORITY",G21&lt;10),"OMIT","KEEP")</f>
        <v>KEEP</v>
      </c>
      <c r="Y21" s="104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arrival","project_id":79,"tracker_id":40,"status_id":1,"priority_id":2,"assigned_to_id":23,"start_date":"2017-04-17","description":"","custom_fields":[{"id":1,"name":"Subdivision","value":"EC"},{"id":4,"name":"Milepost","value":"10.9135"},{"id":17,"name":"Train ID","value":"126-17"},{"id":16,"name":"Locomotive ID","value":"4007"},{"id":130,"name":"Impact","value":""},{"id":150,"name":"Time of Event (Mountain Time)","value":"07:58:11"},{"id":151,"name":"Denver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>"grep -hSE -A400 ""Enforcement Action"" "&amp;search_path&amp;"\RTDC"&amp;U21&amp;"\*"&amp;U21&amp;"*"&amp;TEXT(A21-utc_offset/24,"YYYYMMDD")&amp;LEFT(TEXT(A21-utc_offset/24,"HH"),1)&amp;"* | grep -SE ""((Enforcement Ac)|(PRM.+XING))"" -"</f>
        <v>grep -hSE -A400 "Enforcement Action" "%USERPROFILE%\AppData\Local\Temp\OnboardLogs"\RTDC4007\*4007*201704171*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"%USERPROFILE%\AppData\Local\Temp\OnboardLogs"\RTDC4007\*4007*201704171* &gt;&gt; 2017-04-17-SliceDisagreementCheck.txt</v>
      </c>
      <c r="AE21" s="153" t="str">
        <f>"start /low /b "&amp;dls3logs&amp;" --loco "&amp;U21&amp;" --day "&amp;TEXT(V21,"YYYY-MM-DD")</f>
        <v>start /low /b %USERPROFILE%\Documents\GitHub\eaglep3\Utilities\DownloadLogsFromS3.py --loco 4007 --day 2017-04-17</v>
      </c>
      <c r="AF21" s="1"/>
    </row>
    <row r="22" spans="1:32" x14ac:dyDescent="0.25">
      <c r="A22" s="32">
        <v>42842.200312499997</v>
      </c>
      <c r="B22" s="30" t="s">
        <v>456</v>
      </c>
      <c r="C22" s="30" t="s">
        <v>607</v>
      </c>
      <c r="D22" s="30" t="s">
        <v>49</v>
      </c>
      <c r="E22" s="30" t="s">
        <v>211</v>
      </c>
      <c r="F22" s="43">
        <v>550</v>
      </c>
      <c r="G22" s="43">
        <v>761</v>
      </c>
      <c r="H22" s="43">
        <v>217584</v>
      </c>
      <c r="I22" s="43">
        <v>221745</v>
      </c>
      <c r="J22" s="30" t="s">
        <v>212</v>
      </c>
      <c r="K22" s="43">
        <v>222091</v>
      </c>
      <c r="L22" s="139" t="s">
        <v>50</v>
      </c>
      <c r="M22" s="140">
        <f>CONVERT((I22-K22)/10000,"mi","ft")*IF(L22="Increasing Mileposts (1)",-1,1)</f>
        <v>182.68799999999999</v>
      </c>
      <c r="N22" s="141" t="str">
        <f>VLOOKUP(C22,'Trips&amp;Operators'!$C$1:$G$99999,5,FALSE)</f>
        <v>STARKS ANGELINA</v>
      </c>
      <c r="O22" s="190" t="s">
        <v>184</v>
      </c>
      <c r="P22" s="142"/>
      <c r="Q22" s="30"/>
      <c r="R22" s="89" t="str">
        <f>IF(VLOOKUP(C22,'Train Runs'!$A$13:$AE$9935,1,1)=C22,VLOOKUP(C22,'Train Runs'!$A$13:$AE$9935,31,1),NA())</f>
        <v>aws s3 cp s3://rtdc.mdm.uploadarchive.raw/RTDC4054/ "%USERPROFILE%\AppData\Local\Temp\OnboardLogs"\RTDC4054\2017-04-17 --exclude "*" --recursive --include "*20170417*" &amp; "%USERPROFILE%\Documents\GitHub\mrs-test-scripts\Headless Mode &amp; Sideloading\WalkAndUnGZ.bat" "%USERPROFILE%\AppData\Local\Temp\OnboardLogs"\RTDC4054\2017-04-17 &amp; aws s3 cp s3://rtdc.mdm.uploadarchive.raw/RTDC4054/ "%USERPROFILE%\AppData\Local\Temp\OnboardLogs"\RTDC4054\2017-04-18 --exclude "*" --recursive --include "*20170418*" &amp; "%USERPROFILE%\Documents\GitHub\mrs-test-scripts\Headless Mode &amp; Sideloading\WalkAndUnGZ.bat" "%USERPROFILE%\AppData\Local\Temp\OnboardLogs"\RTDC4054\2017-04-18</v>
      </c>
      <c r="S22" s="92" t="str">
        <f>VLOOKUP(C22,'Train Runs'!$A$13:$AE$9935,22,0)</f>
        <v>https://d0f6bd738d7f1b3e5a7ca70fe4ff75f0.us-east-1.aws.found.io/app/kibana#/discover/Steve-Slow-Train-Analysis-(2080s-and-2083s)?_g=(refreshInterval:(display:Off,pause:!f,section:0,value:0),time:(from:'2017-04-17T03:10:47-0600',mode:absolute,to:'2017-04-17T05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2" s="94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/stypes="*4054*201704171*" /stext=" 10:.+((SYSTEM_STATE.+slice.+state.+changed )|(ment ac)|(multiple cpu faults)|(system.+state.+changed )|(\[timeout)|(PRM\|1\|D)|(kpr)|(kdp)|(\|lc)|(penalty))"</v>
      </c>
      <c r="U22" s="9" t="str">
        <f>MID(B22,13,4)</f>
        <v>4054</v>
      </c>
      <c r="V22" s="32">
        <f>A22-utc_offset/24</f>
        <v>42842.450312499997</v>
      </c>
      <c r="W22" s="46" t="str">
        <f>IFERROR(IF(VALUE(LEFT(IF(LEN(C22)=6,"0"&amp;C22,C22),2))&lt;=2,"EC",IF(OR(VALUE(LEFT(IF(LEN(C22)=6,"0"&amp;C22,C22),2))=8,VALUE(LEFT(IF(LEN(C22)=6,"0"&amp;C22,C22),2))=18),"NW","Other")),"Other")</f>
        <v>EC</v>
      </c>
      <c r="X22" s="46" t="str">
        <f>IF(AND(E22="TRACK WARRANT AUTHORITY",G22&lt;10),"OMIT","KEEP")</f>
        <v>KEEP</v>
      </c>
      <c r="Y22" s="104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{"issue":{"subject":"","project_id":79,"tracker_id":40,"status_id":1,"priority_id":2,"assigned_to_id":23,"start_date":"2017-04-17","description":"","custom_fields":[{"id":1,"name":"Subdivision","value":"EC"},{"id":4,"name":"Milepost","value":"22.2091"},{"id":17,"name":"Train ID","value":"105-17"},{"id":16,"name":"Locomotive ID","value":"4054"},{"id":130,"name":"Impact","value":""},{"id":150,"name":"Time of Event (Mountain Time)","value":"04:48:27"},{"id":151,"name":"Denver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>"grep -hSE -A400 ""Enforcement Action"" "&amp;search_path&amp;"\RTDC"&amp;U22&amp;"\*"&amp;U22&amp;"*"&amp;TEXT(A22-utc_offset/24,"YYYYMMDD")&amp;LEFT(TEXT(A22-utc_offset/24,"HH"),1)&amp;"* | grep -SE ""((Enforcement Ac)|(PRM.+XING))"" -"</f>
        <v>grep -hSE -A400 "Enforcement Action" "%USERPROFILE%\AppData\Local\Temp\OnboardLogs"\RTDC4054\*4054*201704171*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"%USERPROFILE%\AppData\Local\Temp\OnboardLogs"\RTDC4054\*4054*201704171* &gt;&gt; 2017-04-17-SliceDisagreementCheck.txt</v>
      </c>
      <c r="AE22" s="153" t="str">
        <f>"start /low /b "&amp;dls3logs&amp;" --loco "&amp;U22&amp;" --day "&amp;TEXT(V22,"YYYY-MM-DD")</f>
        <v>start /low /b %USERPROFILE%\Documents\GitHub\eaglep3\Utilities\DownloadLogsFromS3.py --loco 4054 --day 2017-04-17</v>
      </c>
      <c r="AF22" s="1"/>
    </row>
    <row r="23" spans="1:32" x14ac:dyDescent="0.25">
      <c r="A23" s="32">
        <v>42842.165590277778</v>
      </c>
      <c r="B23" s="30" t="s">
        <v>501</v>
      </c>
      <c r="C23" s="30" t="s">
        <v>602</v>
      </c>
      <c r="D23" s="30" t="s">
        <v>49</v>
      </c>
      <c r="E23" s="30" t="s">
        <v>603</v>
      </c>
      <c r="F23" s="43">
        <v>0</v>
      </c>
      <c r="G23" s="43">
        <v>351</v>
      </c>
      <c r="H23" s="43">
        <v>63274</v>
      </c>
      <c r="I23" s="43">
        <v>64024</v>
      </c>
      <c r="J23" s="30" t="s">
        <v>604</v>
      </c>
      <c r="K23" s="43">
        <v>63995</v>
      </c>
      <c r="L23" s="139" t="s">
        <v>50</v>
      </c>
      <c r="M23" s="140">
        <f>CONVERT((I23-K23)/10000,"mi","ft")*IF(L23="Increasing Mileposts (1)",-1,1)</f>
        <v>-15.311999999999999</v>
      </c>
      <c r="N23" s="141" t="str">
        <f>VLOOKUP(C23,'Trips&amp;Operators'!$C$1:$G$99999,5,FALSE)</f>
        <v>MAELZER KURT</v>
      </c>
      <c r="O23" s="190" t="s">
        <v>502</v>
      </c>
      <c r="P23" s="142" t="s">
        <v>1055</v>
      </c>
      <c r="Q23" s="30"/>
      <c r="R23" s="89" t="str">
        <f>IF(VLOOKUP(C23,'Train Runs'!$A$13:$AE$9935,1,1)=C23,VLOOKUP(C23,'Train Runs'!$A$13:$AE$9935,31,1),NA())</f>
        <v>aws s3 cp s3://rtdc.mdm.uploadarchive.raw/RTDC4052/ "%USERPROFILE%\AppData\Local\Temp\OnboardLogs"\RTDC4052\2017-04-17 --exclude "*" --recursive --include "*20170417*" &amp; "%USERPROFILE%\Documents\GitHub\mrs-test-scripts\Headless Mode &amp; Sideloading\WalkAndUnGZ.bat" "%USERPROFILE%\AppData\Local\Temp\OnboardLogs"\RTDC4052\2017-04-17 &amp; aws s3 cp s3://rtdc.mdm.uploadarchive.raw/RTDC4052/ "%USERPROFILE%\AppData\Local\Temp\OnboardLogs"\RTDC4052\2017-04-18 --exclude "*" --recursive --include "*20170418*" &amp; "%USERPROFILE%\Documents\GitHub\mrs-test-scripts\Headless Mode &amp; Sideloading\WalkAndUnGZ.bat" "%USERPROFILE%\AppData\Local\Temp\OnboardLogs"\RTDC4052\2017-04-18</v>
      </c>
      <c r="S23" s="92" t="str">
        <f>VLOOKUP(C23,'Train Runs'!$A$13:$AE$9935,22,0)</f>
        <v>https://d0f6bd738d7f1b3e5a7ca70fe4ff75f0.us-east-1.aws.found.io/app/kibana#/discover/Steve-Slow-Train-Analysis-(2080s-and-2083s)?_g=(refreshInterval:(display:Off,pause:!f,section:0,value:0),time:(from:'2017-04-17T02:42:47-0600',mode:absolute,to:'2017-04-17T04:59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3" s="94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/stypes="*4052*201704170*" /stext=" 09:.+((SYSTEM_STATE.+slice.+state.+changed )|(ment ac)|(multiple cpu faults)|(system.+state.+changed )|(\[timeout)|(PRM\|1\|D)|(kpr)|(kdp)|(\|lc)|(penalty))"</v>
      </c>
      <c r="U23" s="9" t="str">
        <f>MID(B23,13,4)</f>
        <v>4052</v>
      </c>
      <c r="V23" s="32">
        <f>A23-utc_offset/24</f>
        <v>42842.415590277778</v>
      </c>
      <c r="W23" s="46" t="str">
        <f>IFERROR(IF(VALUE(LEFT(IF(LEN(C23)=6,"0"&amp;C23,C23),2))&lt;=2,"EC",IF(OR(VALUE(LEFT(IF(LEN(C23)=6,"0"&amp;C23,C23),2))=8,VALUE(LEFT(IF(LEN(C23)=6,"0"&amp;C23,C23),2))=18),"NW","Other")),"Other")</f>
        <v>EC</v>
      </c>
      <c r="X23" s="46" t="str">
        <f>IF(AND(E23="TRACK WARRANT AUTHORITY",G23&lt;10),"OMIT","KEEP")</f>
        <v>KEEP</v>
      </c>
      <c r="Y23" s="104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{"issue":{"subject":"Wi-MAX data drop, 4051/4052 part of double pair","project_id":79,"tracker_id":40,"status_id":1,"priority_id":2,"assigned_to_id":23,"start_date":"2017-04-17","description":"http://stevetu21.github.io/eaglep3/load_kml.html?kml=http://rtdc.gmaps-snips.s3.amazonaws.com/c31ee923-8dab-4886-8033-d38e21f9d46e.kml","custom_fields":[{"id":1,"name":"Subdivision","value":"EC"},{"id":4,"name":"Milepost","value":"6.3995"},{"id":17,"name":"Train ID","value":"103-17"},{"id":16,"name":"Locomotive ID","value":"4052"},{"id":130,"name":"Impact","value":"Enforcement"},{"id":150,"name":"Time of Event (Mountain Time)","value":"03:58:27"},{"id":151,"name":"Denver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3" s="20" t="s">
        <v>1050</v>
      </c>
      <c r="AA23" s="48" t="s">
        <v>124</v>
      </c>
      <c r="AB23" s="48" t="s">
        <v>137</v>
      </c>
      <c r="AC23" s="123" t="str">
        <f>"grep -hSE -A400 ""Enforcement Action"" "&amp;search_path&amp;"\RTDC"&amp;U23&amp;"\*"&amp;U23&amp;"*"&amp;TEXT(A23-utc_offset/24,"YYYYMMDD")&amp;LEFT(TEXT(A23-utc_offset/24,"HH"),1)&amp;"* | grep -SE ""((Enforcement Ac)|(PRM))"" -"</f>
        <v>grep -hSE -A400 "Enforcement Action" "%USERPROFILE%\AppData\Local\Temp\OnboardLogs"\RTDC4052\*4052*201704170*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"%USERPROFILE%\AppData\Local\Temp\OnboardLogs"\RTDC4052\*4052*201704170* &gt;&gt; 2017-04-17-SliceDisagreementCheck.txt</v>
      </c>
      <c r="AE23" s="153" t="str">
        <f>"start /low /b "&amp;dls3logs&amp;" --loco "&amp;U23&amp;" --day "&amp;TEXT(V23,"YYYY-MM-DD")</f>
        <v>start /low /b %USERPROFILE%\Documents\GitHub\eaglep3\Utilities\DownloadLogsFromS3.py --loco 4052 --day 2017-04-17</v>
      </c>
      <c r="AF23" s="1"/>
    </row>
    <row r="24" spans="1:32" x14ac:dyDescent="0.25">
      <c r="A24" s="32">
        <v>42842.746805555558</v>
      </c>
      <c r="B24" s="30" t="s">
        <v>372</v>
      </c>
      <c r="C24" s="30" t="s">
        <v>626</v>
      </c>
      <c r="D24" s="30" t="s">
        <v>49</v>
      </c>
      <c r="E24" s="30" t="s">
        <v>603</v>
      </c>
      <c r="F24" s="43">
        <v>0</v>
      </c>
      <c r="G24" s="43">
        <v>693</v>
      </c>
      <c r="H24" s="43">
        <v>170569</v>
      </c>
      <c r="I24" s="43">
        <v>167840</v>
      </c>
      <c r="J24" s="30" t="s">
        <v>604</v>
      </c>
      <c r="K24" s="43">
        <v>168014</v>
      </c>
      <c r="L24" s="139" t="s">
        <v>51</v>
      </c>
      <c r="M24" s="140">
        <f>CONVERT((I24-K24)/10000,"mi","ft")*IF(L24="Increasing Mileposts (1)",-1,1)</f>
        <v>-91.872</v>
      </c>
      <c r="N24" s="141" t="str">
        <f>VLOOKUP(C24,'Trips&amp;Operators'!$C$1:$G$99999,5,FALSE)</f>
        <v>CLARK KATHLEEN</v>
      </c>
      <c r="O24" s="190" t="s">
        <v>502</v>
      </c>
      <c r="P24" s="142" t="s">
        <v>601</v>
      </c>
      <c r="Q24" s="30"/>
      <c r="R24" s="89" t="str">
        <f>IF(VLOOKUP(C24,'Train Runs'!$A$13:$AE$9935,1,1)=C24,VLOOKUP(C24,'Train Runs'!$A$13:$AE$9935,31,1),NA())</f>
        <v>aws s3 cp s3://rtdc.mdm.uploadarchive.raw/RTDC4027/ "%USERPROFILE%\AppData\Local\Temp\OnboardLogs"\RTDC4027\2017-04-17 --exclude "*" --recursive --include "*20170417*" &amp; "%USERPROFILE%\Documents\GitHub\mrs-test-scripts\Headless Mode &amp; Sideloading\WalkAndUnGZ.bat" "%USERPROFILE%\AppData\Local\Temp\OnboardLogs"\RTDC4027\2017-04-17 &amp; aws s3 cp s3://rtdc.mdm.uploadarchive.raw/RTDC4027/ "%USERPROFILE%\AppData\Local\Temp\OnboardLogs"\RTDC4027\2017-04-18 --exclude "*" --recursive --include "*20170418*" &amp; "%USERPROFILE%\Documents\GitHub\mrs-test-scripts\Headless Mode &amp; Sideloading\WalkAndUnGZ.bat" "%USERPROFILE%\AppData\Local\Temp\OnboardLogs"\RTDC4027\2017-04-18</v>
      </c>
      <c r="S24" s="92" t="str">
        <f>VLOOKUP(C24,'Train Runs'!$A$13:$AE$9935,22,0)</f>
        <v>https://d0f6bd738d7f1b3e5a7ca70fe4ff75f0.us-east-1.aws.found.io/app/kibana#/discover/Steve-Slow-Train-Analysis-(2080s-and-2083s)?_g=(refreshInterval:(display:Off,pause:!f,section:0,value:0),time:(from:'2017-04-17T17:04:42-0600',mode:absolute,to:'2017-04-17T19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4" s="94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/stypes="*4027*201704172*" /stext=" 23:.+((SYSTEM_STATE.+slice.+state.+changed )|(ment ac)|(multiple cpu faults)|(system.+state.+changed )|(\[timeout)|(PRM\|1\|D)|(kpr)|(kdp)|(\|lc)|(penalty))"</v>
      </c>
      <c r="U24" s="9" t="str">
        <f>MID(B24,13,4)</f>
        <v>4027</v>
      </c>
      <c r="V24" s="32">
        <f>A24-utc_offset/24</f>
        <v>42842.996805555558</v>
      </c>
      <c r="W24" s="46" t="str">
        <f>IFERROR(IF(VALUE(LEFT(IF(LEN(C24)=6,"0"&amp;C24,C24),2))&lt;=2,"EC",IF(OR(VALUE(LEFT(IF(LEN(C24)=6,"0"&amp;C24,C24),2))=8,VALUE(LEFT(IF(LEN(C24)=6,"0"&amp;C24,C24),2))=18),"NW","Other")),"Other")</f>
        <v>EC</v>
      </c>
      <c r="X24" s="46" t="str">
        <f>IF(AND(E24="TRACK WARRANT AUTHORITY",G24&lt;10),"OMIT","KEEP")</f>
        <v>KEEP</v>
      </c>
      <c r="Y24" s="104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-17","description":"http://stevetu21.github.io/eaglep3/load_kml.html?kml=http://rtdc.gmaps-snips.s3.amazonaws.com/2a4a60dd-2230-441b-8c12-35ff3124d9f4.kml","custom_fields":[{"id":1,"name":"Subdivision","value":"EC"},{"id":4,"name":"Milepost","value":"16.8014"},{"id":17,"name":"Train ID","value":"206-17"},{"id":16,"name":"Locomotive ID","value":"4027"},{"id":130,"name":"Impact","value":"Enforcement"},{"id":150,"name":"Time of Event (Mountain Time)","value":"17:55:24"},{"id":151,"name":"Denver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4" s="20" t="s">
        <v>1053</v>
      </c>
      <c r="AA24" s="48" t="s">
        <v>124</v>
      </c>
      <c r="AB24" s="48" t="s">
        <v>137</v>
      </c>
      <c r="AC24" s="123" t="str">
        <f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"%USERPROFILE%\AppData\Local\Temp\OnboardLogs"\RTDC4027\*4027*201704172*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"%USERPROFILE%\AppData\Local\Temp\OnboardLogs"\RTDC4027\*4027*201704172* &gt;&gt; 2017-04-17-SliceDisagreementCheck.txt</v>
      </c>
      <c r="AE24" s="153" t="str">
        <f>"start /low /b "&amp;dls3logs&amp;" --loco "&amp;U24&amp;" --day "&amp;TEXT(V24,"YYYY-MM-DD")</f>
        <v>start /low /b %USERPROFILE%\Documents\GitHub\eaglep3\Utilities\DownloadLogsFromS3.py --loco 4027 --day 2017-04-17</v>
      </c>
      <c r="AF24" s="1"/>
    </row>
    <row r="25" spans="1:32" x14ac:dyDescent="0.25">
      <c r="A25" s="32">
        <v>42842.34443287037</v>
      </c>
      <c r="B25" s="30" t="s">
        <v>488</v>
      </c>
      <c r="C25" s="30" t="s">
        <v>612</v>
      </c>
      <c r="D25" s="30" t="s">
        <v>98</v>
      </c>
      <c r="E25" s="30" t="s">
        <v>548</v>
      </c>
      <c r="F25" s="43">
        <v>0</v>
      </c>
      <c r="G25" s="43">
        <v>484</v>
      </c>
      <c r="H25" s="43">
        <v>11369</v>
      </c>
      <c r="I25" s="43">
        <v>9888</v>
      </c>
      <c r="J25" s="30" t="s">
        <v>549</v>
      </c>
      <c r="K25" s="43">
        <v>17100</v>
      </c>
      <c r="L25" s="139" t="s">
        <v>51</v>
      </c>
      <c r="M25" s="140">
        <f>CONVERT((I25-K25)/10000,"mi","ft")*IF(L25="Increasing Mileposts (1)",-1,1)</f>
        <v>-3807.9360000000001</v>
      </c>
      <c r="N25" s="141" t="str">
        <f>VLOOKUP(C25,'Trips&amp;Operators'!$C$1:$G$99999,5,FALSE)</f>
        <v>YORK EDGAR</v>
      </c>
      <c r="O25" s="190" t="s">
        <v>502</v>
      </c>
      <c r="P25" s="142" t="s">
        <v>601</v>
      </c>
      <c r="Q25" s="30"/>
      <c r="R25" s="89" t="str">
        <f>IF(VLOOKUP(C25,'Train Runs'!$A$13:$AE$9935,1,1)=C25,VLOOKUP(C25,'Train Runs'!$A$13:$AE$9935,31,1),NA())</f>
        <v>aws s3 cp s3://rtdc.mdm.uploadarchive.raw/RTDC4007/ "%USERPROFILE%\AppData\Local\Temp\OnboardLogs"\RTDC4007\2017-04-17 --exclude "*" --recursive --include "*20170417*" &amp; "%USERPROFILE%\Documents\GitHub\mrs-test-scripts\Headless Mode &amp; Sideloading\WalkAndUnGZ.bat" "%USERPROFILE%\AppData\Local\Temp\OnboardLogs"\RTDC4007\2017-04-17 &amp; aws s3 cp s3://rtdc.mdm.uploadarchive.raw/RTDC4007/ "%USERPROFILE%\AppData\Local\Temp\OnboardLogs"\RTDC4007\2017-04-18 --exclude "*" --recursive --include "*20170418*" &amp; "%USERPROFILE%\Documents\GitHub\mrs-test-scripts\Headless Mode &amp; Sideloading\WalkAndUnGZ.bat" "%USERPROFILE%\AppData\Local\Temp\OnboardLogs"\RTDC4007\2017-04-18</v>
      </c>
      <c r="S25" s="92" t="str">
        <f>VLOOKUP(C25,'Train Runs'!$A$13:$AE$9935,22,0)</f>
        <v>https://d0f6bd738d7f1b3e5a7ca70fe4ff75f0.us-east-1.aws.found.io/app/kibana#/discover/Steve-Slow-Train-Analysis-(2080s-and-2083s)?_g=(refreshInterval:(display:Off,pause:!f,section:0,value:0),time:(from:'2017-04-17T06:21:58-0600',mode:absolute,to:'2017-04-17T09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5" s="94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/stypes="*4007*201704171*" /stext=" 14:.+((SYSTEM_STATE.+slice.+state.+changed )|(ment ac)|(multiple cpu faults)|(system.+state.+changed )|(\[timeout)|(PRM\|1\|D)|(kpr)|(kdp)|(\|lc)|(penalty))"</v>
      </c>
      <c r="U25" s="9" t="str">
        <f>MID(B25,13,4)</f>
        <v>4007</v>
      </c>
      <c r="V25" s="32">
        <f>A25-utc_offset/24</f>
        <v>42842.59443287037</v>
      </c>
      <c r="W25" s="46" t="str">
        <f>IFERROR(IF(VALUE(LEFT(IF(LEN(C25)=6,"0"&amp;C25,C25),2))&lt;=2,"EC",IF(OR(VALUE(LEFT(IF(LEN(C25)=6,"0"&amp;C25,C25),2))=8,VALUE(LEFT(IF(LEN(C25)=6,"0"&amp;C25,C25),2))=18),"NW","Other")),"Other")</f>
        <v>EC</v>
      </c>
      <c r="X25" s="46" t="str">
        <f>IF(AND(E25="TRACK WARRANT AUTHORITY",G25&lt;10),"OMIT","KEEP")</f>
        <v>KEEP</v>
      </c>
      <c r="Y25" s="104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-17","description":"http://stevetu21.github.io/eaglep3/load_kml.html?kml=http://rtdc.gmaps-snips.s3.amazonaws.com/0a37ea28-ee66-479f-9fab-f622778745da.kml","custom_fields":[{"id":1,"name":"Subdivision","value":"EC"},{"id":4,"name":"Milepost","value":"1.71"},{"id":17,"name":"Train ID","value":"126-17"},{"id":16,"name":"Locomotive ID","value":"4007"},{"id":130,"name":"Impact","value":"Enforcement"},{"id":150,"name":"Time of Event (Mountain Time)","value":"08:15:59"},{"id":151,"name":"Denver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5" s="20" t="s">
        <v>1054</v>
      </c>
      <c r="AA25" s="48" t="s">
        <v>124</v>
      </c>
      <c r="AB25" s="48" t="s">
        <v>137</v>
      </c>
      <c r="AC25" s="123" t="str">
        <f>"grep -hSE -A400 ""Enforcement Action"" "&amp;search_path&amp;"\RTDC"&amp;U25&amp;"\*"&amp;U25&amp;"*"&amp;TEXT(A25-utc_offset/24,"YYYYMMDD")&amp;LEFT(TEXT(A25-utc_offset/24,"HH"),1)&amp;"* | grep -SE ""((Enforcement Ac)|(PRM))"" -"</f>
        <v>grep -hSE -A400 "Enforcement Action" "%USERPROFILE%\AppData\Local\Temp\OnboardLogs"\RTDC4007\*4007*201704171*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"%USERPROFILE%\AppData\Local\Temp\OnboardLogs"\RTDC4007\*4007*201704171* &gt;&gt; 2017-04-17-SliceDisagreementCheck.txt</v>
      </c>
      <c r="AE25" s="153" t="str">
        <f>"start /low /b "&amp;dls3logs&amp;" --loco "&amp;U25&amp;" --day "&amp;TEXT(V25,"YYYY-MM-DD")</f>
        <v>start /low /b %USERPROFILE%\Documents\GitHub\eaglep3\Utilities\DownloadLogsFromS3.py --loco 4007 --day 2017-04-17</v>
      </c>
      <c r="AF25" s="1"/>
    </row>
    <row r="26" spans="1:32" x14ac:dyDescent="0.25">
      <c r="A26" s="32">
        <v>42843.034131944441</v>
      </c>
      <c r="B26" s="30" t="s">
        <v>498</v>
      </c>
      <c r="C26" s="30" t="s">
        <v>634</v>
      </c>
      <c r="D26" s="30" t="s">
        <v>49</v>
      </c>
      <c r="E26" s="30" t="s">
        <v>548</v>
      </c>
      <c r="F26" s="43">
        <v>0</v>
      </c>
      <c r="G26" s="43">
        <v>687</v>
      </c>
      <c r="H26" s="43">
        <v>69404</v>
      </c>
      <c r="I26" s="43">
        <v>66350</v>
      </c>
      <c r="J26" s="30" t="s">
        <v>549</v>
      </c>
      <c r="K26" s="43">
        <v>69363</v>
      </c>
      <c r="L26" s="139" t="s">
        <v>51</v>
      </c>
      <c r="M26" s="140">
        <f>CONVERT((I26-K26)/10000,"mi","ft")*IF(L26="Increasing Mileposts (1)",-1,1)</f>
        <v>-1590.864</v>
      </c>
      <c r="N26" s="141" t="str">
        <f>VLOOKUP(C26,'Trips&amp;Operators'!$C$1:$G$99999,5,FALSE)</f>
        <v>SMITH MICHAEL</v>
      </c>
      <c r="O26" s="190" t="s">
        <v>502</v>
      </c>
      <c r="P26" s="142" t="s">
        <v>601</v>
      </c>
      <c r="Q26" s="30"/>
      <c r="R26" s="89" t="str">
        <f>IF(VLOOKUP(C26,'Train Runs'!$A$13:$AE$9935,1,1)=C26,VLOOKUP(C26,'Train Runs'!$A$13:$AE$9935,31,1),NA())</f>
        <v>aws s3 cp s3://rtdc.mdm.uploadarchive.raw/RTDC4051/ "%USERPROFILE%\AppData\Local\Temp\OnboardLogs"\RTDC4051\2017-04-18 --exclude "*" --recursive --include "*20170418*" &amp; "%USERPROFILE%\Documents\GitHub\mrs-test-scripts\Headless Mode &amp; Sideloading\WalkAndUnGZ.bat" "%USERPROFILE%\AppData\Local\Temp\OnboardLogs"\RTDC4051\2017-04-18 &amp; aws s3 cp s3://rtdc.mdm.uploadarchive.raw/RTDC4051/ "%USERPROFILE%\AppData\Local\Temp\OnboardLogs"\RTDC4051\2017-04-19 --exclude "*" --recursive --include "*20170419*" &amp; "%USERPROFILE%\Documents\GitHub\mrs-test-scripts\Headless Mode &amp; Sideloading\WalkAndUnGZ.bat" "%USERPROFILE%\AppData\Local\Temp\OnboardLogs"\RTDC4051\2017-04-19</v>
      </c>
      <c r="S26" s="92" t="str">
        <f>VLOOKUP(C26,'Train Runs'!$A$13:$AE$9935,22,0)</f>
        <v>https://d0f6bd738d7f1b3e5a7ca70fe4ff75f0.us-east-1.aws.found.io/app/kibana#/discover/Steve-Slow-Train-Analysis-(2080s-and-2083s)?_g=(refreshInterval:(display:Off,pause:!f,section:0,value:0),time:(from:'2017-04-17T23:10:24-0600',mode:absolute,to:'2017-04-18T02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6" s="94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/stypes="*4051*201704180*" /stext=" 06:.+((SYSTEM_STATE.+slice.+state.+changed )|(ment ac)|(multiple cpu faults)|(system.+state.+changed )|(\[timeout)|(PRM\|1\|D)|(kpr)|(kdp)|(\|lc)|(penalty))"</v>
      </c>
      <c r="U26" s="9" t="str">
        <f>MID(B26,13,4)</f>
        <v>4051</v>
      </c>
      <c r="V26" s="32">
        <f>A26-utc_offset/24</f>
        <v>42843.284131944441</v>
      </c>
      <c r="W26" s="46" t="str">
        <f>IFERROR(IF(VALUE(LEFT(IF(LEN(C26)=6,"0"&amp;C26,C26),2))&lt;=2,"EC",IF(OR(VALUE(LEFT(IF(LEN(C26)=6,"0"&amp;C26,C26),2))=8,VALUE(LEFT(IF(LEN(C26)=6,"0"&amp;C26,C26),2))=18),"NW","Other")),"Other")</f>
        <v>EC</v>
      </c>
      <c r="X26" s="46" t="str">
        <f>IF(AND(E26="TRACK WARRANT AUTHORITY",G26&lt;10),"OMIT","KEEP")</f>
        <v>KEEP</v>
      </c>
      <c r="Y26" s="104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-18","description":"http://stevetu21.github.io/eaglep3/load_kml.html?kml=http://rtdc.gmaps-snips.s3.amazonaws.com/3ed2b20d-023b-4866-81d5-3473cf2a4af2.kml","custom_fields":[{"id":1,"name":"Subdivision","value":"EC"},{"id":4,"name":"Milepost","value":"6.9363"},{"id":17,"name":"Train ID","value":"240-17"},{"id":16,"name":"Locomotive ID","value":"4051"},{"id":130,"name":"Impact","value":"Enforcement"},{"id":150,"name":"Time of Event (Mountain Time)","value":"00:49:09"},{"id":151,"name":"Denver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6" s="20" t="s">
        <v>1052</v>
      </c>
      <c r="AA26" s="48" t="s">
        <v>124</v>
      </c>
      <c r="AB26" s="48" t="s">
        <v>137</v>
      </c>
      <c r="AC26" s="123" t="str">
        <f>"grep -hSE -A400 ""Enforcement Action"" "&amp;search_path&amp;"\RTDC"&amp;U26&amp;"\*"&amp;U26&amp;"*"&amp;TEXT(A26-utc_offset/24,"YYYYMMDD")&amp;LEFT(TEXT(A26-utc_offset/24,"HH"),1)&amp;"* | grep -SE ""((Enforcement Ac)|(PRM))"" -"</f>
        <v>grep -hSE -A400 "Enforcement Action" "%USERPROFILE%\AppData\Local\Temp\OnboardLogs"\RTDC4051\*4051*201704180*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"%USERPROFILE%\AppData\Local\Temp\OnboardLogs"\RTDC4051\*4051*201704180* &gt;&gt; 2017-04-17-SliceDisagreementCheck.txt</v>
      </c>
      <c r="AE26" s="153" t="str">
        <f>"start /low /b "&amp;dls3logs&amp;" --loco "&amp;U26&amp;" --day "&amp;TEXT(V26,"YYYY-MM-DD")</f>
        <v>start /low /b %USERPROFILE%\Documents\GitHub\eaglep3\Utilities\DownloadLogsFromS3.py --loco 4051 --day 2017-04-18</v>
      </c>
      <c r="AF26" s="1"/>
    </row>
    <row r="27" spans="1:32" x14ac:dyDescent="0.25">
      <c r="A27" s="32">
        <v>42842.75472222222</v>
      </c>
      <c r="B27" s="30" t="s">
        <v>372</v>
      </c>
      <c r="C27" s="30" t="s">
        <v>626</v>
      </c>
      <c r="D27" s="30" t="s">
        <v>98</v>
      </c>
      <c r="E27" s="30" t="s">
        <v>548</v>
      </c>
      <c r="F27" s="43">
        <v>0</v>
      </c>
      <c r="G27" s="43">
        <v>230</v>
      </c>
      <c r="H27" s="43">
        <v>127040</v>
      </c>
      <c r="I27" s="43">
        <v>126420</v>
      </c>
      <c r="J27" s="30" t="s">
        <v>549</v>
      </c>
      <c r="K27" s="43">
        <v>127587</v>
      </c>
      <c r="L27" s="139" t="s">
        <v>51</v>
      </c>
      <c r="M27" s="140">
        <f>CONVERT((I27-K27)/10000,"mi","ft")*IF(L27="Increasing Mileposts (1)",-1,1)</f>
        <v>-616.17600000000004</v>
      </c>
      <c r="N27" s="141" t="str">
        <f>VLOOKUP(C27,'Trips&amp;Operators'!$C$1:$G$99999,5,FALSE)</f>
        <v>CLARK KATHLEEN</v>
      </c>
      <c r="O27" s="190" t="s">
        <v>502</v>
      </c>
      <c r="P27" s="142" t="s">
        <v>601</v>
      </c>
      <c r="Q27" s="30"/>
      <c r="R27" s="89" t="str">
        <f>IF(VLOOKUP(C27,'Train Runs'!$A$13:$AE$9935,1,1)=C27,VLOOKUP(C27,'Train Runs'!$A$13:$AE$9935,31,1),NA())</f>
        <v>aws s3 cp s3://rtdc.mdm.uploadarchive.raw/RTDC4027/ "%USERPROFILE%\AppData\Local\Temp\OnboardLogs"\RTDC4027\2017-04-17 --exclude "*" --recursive --include "*20170417*" &amp; "%USERPROFILE%\Documents\GitHub\mrs-test-scripts\Headless Mode &amp; Sideloading\WalkAndUnGZ.bat" "%USERPROFILE%\AppData\Local\Temp\OnboardLogs"\RTDC4027\2017-04-17 &amp; aws s3 cp s3://rtdc.mdm.uploadarchive.raw/RTDC4027/ "%USERPROFILE%\AppData\Local\Temp\OnboardLogs"\RTDC4027\2017-04-18 --exclude "*" --recursive --include "*20170418*" &amp; "%USERPROFILE%\Documents\GitHub\mrs-test-scripts\Headless Mode &amp; Sideloading\WalkAndUnGZ.bat" "%USERPROFILE%\AppData\Local\Temp\OnboardLogs"\RTDC4027\2017-04-18</v>
      </c>
      <c r="S27" s="92" t="str">
        <f>VLOOKUP(C27,'Train Runs'!$A$13:$AE$9935,22,0)</f>
        <v>https://d0f6bd738d7f1b3e5a7ca70fe4ff75f0.us-east-1.aws.found.io/app/kibana#/discover/Steve-Slow-Train-Analysis-(2080s-and-2083s)?_g=(refreshInterval:(display:Off,pause:!f,section:0,value:0),time:(from:'2017-04-17T17:04:42-0600',mode:absolute,to:'2017-04-17T19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7" s="94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/stypes="*4027*201704180*" /stext=" 00:.+((SYSTEM_STATE.+slice.+state.+changed )|(ment ac)|(multiple cpu faults)|(system.+state.+changed )|(\[timeout)|(PRM\|1\|D)|(kpr)|(kdp)|(\|lc)|(penalty))"</v>
      </c>
      <c r="U27" s="9" t="str">
        <f>MID(B27,13,4)</f>
        <v>4027</v>
      </c>
      <c r="V27" s="32">
        <f>A27-utc_offset/24</f>
        <v>42843.00472222222</v>
      </c>
      <c r="W27" s="46" t="str">
        <f>IFERROR(IF(VALUE(LEFT(IF(LEN(C27)=6,"0"&amp;C27,C27),2))&lt;=2,"EC",IF(OR(VALUE(LEFT(IF(LEN(C27)=6,"0"&amp;C27,C27),2))=8,VALUE(LEFT(IF(LEN(C27)=6,"0"&amp;C27,C27),2))=18),"NW","Other")),"Other")</f>
        <v>EC</v>
      </c>
      <c r="X27" s="46" t="str">
        <f>IF(AND(E27="TRACK WARRANT AUTHORITY",G27&lt;10),"OMIT","KEEP")</f>
        <v>KEEP</v>
      </c>
      <c r="Y27" s="104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drop","project_id":79,"tracker_id":40,"status_id":1,"priority_id":2,"assigned_to_id":23,"start_date":"2017-04-17","description":"","custom_fields":[{"id":1,"name":"Subdivision","value":"EC"},{"id":4,"name":"Milepost","value":"12.7587"},{"id":17,"name":"Train ID","value":"206-17"},{"id":16,"name":"Locomotive ID","value":"4027"},{"id":130,"name":"Impact","value":"Enforcement"},{"id":150,"name":"Time of Event (Mountain Time)","value":"18:06:48"},{"id":151,"name":"Denver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7" s="218"/>
      <c r="AA27" s="48" t="s">
        <v>124</v>
      </c>
      <c r="AB27" s="48" t="s">
        <v>137</v>
      </c>
      <c r="AC27" s="123" t="str">
        <f>"grep -hSE -A400 ""Enforcement Action"" "&amp;search_path&amp;"\RTDC"&amp;U27&amp;"\*"&amp;U27&amp;"*"&amp;TEXT(A27-utc_offset/24,"YYYYMMDD")&amp;LEFT(TEXT(A27-utc_offset/24,"HH"),1)&amp;"* | grep -SE ""((Enforcement Ac)|(PRM))"" -"</f>
        <v>grep -hSE -A400 "Enforcement Action" "%USERPROFILE%\AppData\Local\Temp\OnboardLogs"\RTDC4027\*4027*201704180*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"%USERPROFILE%\AppData\Local\Temp\OnboardLogs"\RTDC4027\*4027*201704180* &gt;&gt; 2017-04-17-SliceDisagreementCheck.txt</v>
      </c>
      <c r="AE27" s="153" t="str">
        <f>"start /low /b "&amp;dls3logs&amp;" --loco "&amp;U27&amp;" --day "&amp;TEXT(V27,"YYYY-MM-DD")</f>
        <v>start /low /b %USERPROFILE%\Documents\GitHub\eaglep3\Utilities\DownloadLogsFromS3.py --loco 4027 --day 2017-04-18</v>
      </c>
      <c r="AF27" s="1"/>
    </row>
    <row r="28" spans="1:32" x14ac:dyDescent="0.25">
      <c r="A28" s="32">
        <v>42842.739016203705</v>
      </c>
      <c r="B28" s="30" t="s">
        <v>372</v>
      </c>
      <c r="C28" s="30" t="s">
        <v>626</v>
      </c>
      <c r="D28" s="30" t="s">
        <v>98</v>
      </c>
      <c r="E28" s="30" t="s">
        <v>548</v>
      </c>
      <c r="F28" s="43">
        <v>0</v>
      </c>
      <c r="G28" s="43">
        <v>433</v>
      </c>
      <c r="H28" s="43">
        <v>218970</v>
      </c>
      <c r="I28" s="43">
        <v>217556</v>
      </c>
      <c r="J28" s="30" t="s">
        <v>549</v>
      </c>
      <c r="K28" s="43">
        <v>219875</v>
      </c>
      <c r="L28" s="139" t="s">
        <v>51</v>
      </c>
      <c r="M28" s="140">
        <f>CONVERT((I28-K28)/10000,"mi","ft")*IF(L28="Increasing Mileposts (1)",-1,1)</f>
        <v>-1224.432</v>
      </c>
      <c r="N28" s="141" t="str">
        <f>VLOOKUP(C28,'Trips&amp;Operators'!$C$1:$G$99999,5,FALSE)</f>
        <v>CLARK KATHLEEN</v>
      </c>
      <c r="O28" s="190" t="s">
        <v>502</v>
      </c>
      <c r="P28" s="142" t="s">
        <v>601</v>
      </c>
      <c r="Q28" s="30"/>
      <c r="R28" s="89" t="str">
        <f>IF(VLOOKUP(C28,'Train Runs'!$A$13:$AE$9935,1,1)=C28,VLOOKUP(C28,'Train Runs'!$A$13:$AE$9935,31,1),NA())</f>
        <v>aws s3 cp s3://rtdc.mdm.uploadarchive.raw/RTDC4027/ "%USERPROFILE%\AppData\Local\Temp\OnboardLogs"\RTDC4027\2017-04-17 --exclude "*" --recursive --include "*20170417*" &amp; "%USERPROFILE%\Documents\GitHub\mrs-test-scripts\Headless Mode &amp; Sideloading\WalkAndUnGZ.bat" "%USERPROFILE%\AppData\Local\Temp\OnboardLogs"\RTDC4027\2017-04-17 &amp; aws s3 cp s3://rtdc.mdm.uploadarchive.raw/RTDC4027/ "%USERPROFILE%\AppData\Local\Temp\OnboardLogs"\RTDC4027\2017-04-18 --exclude "*" --recursive --include "*20170418*" &amp; "%USERPROFILE%\Documents\GitHub\mrs-test-scripts\Headless Mode &amp; Sideloading\WalkAndUnGZ.bat" "%USERPROFILE%\AppData\Local\Temp\OnboardLogs"\RTDC4027\2017-04-18</v>
      </c>
      <c r="S28" s="92" t="str">
        <f>VLOOKUP(C28,'Train Runs'!$A$13:$AE$9935,22,0)</f>
        <v>https://d0f6bd738d7f1b3e5a7ca70fe4ff75f0.us-east-1.aws.found.io/app/kibana#/discover/Steve-Slow-Train-Analysis-(2080s-and-2083s)?_g=(refreshInterval:(display:Off,pause:!f,section:0,value:0),time:(from:'2017-04-17T17:04:42-0600',mode:absolute,to:'2017-04-17T19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8" s="94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/stypes="*4027*201704172*" /stext=" 23:.+((SYSTEM_STATE.+slice.+state.+changed )|(ment ac)|(multiple cpu faults)|(system.+state.+changed )|(\[timeout)|(PRM\|1\|D)|(kpr)|(kdp)|(\|lc)|(penalty))"</v>
      </c>
      <c r="U28" s="9" t="str">
        <f>MID(B28,13,4)</f>
        <v>4027</v>
      </c>
      <c r="V28" s="32">
        <f>A28-utc_offset/24</f>
        <v>42842.989016203705</v>
      </c>
      <c r="W28" s="46" t="str">
        <f>IFERROR(IF(VALUE(LEFT(IF(LEN(C28)=6,"0"&amp;C28,C28),2))&lt;=2,"EC",IF(OR(VALUE(LEFT(IF(LEN(C28)=6,"0"&amp;C28,C28),2))=8,VALUE(LEFT(IF(LEN(C28)=6,"0"&amp;C28,C28),2))=18),"NW","Other")),"Other")</f>
        <v>EC</v>
      </c>
      <c r="X28" s="46" t="str">
        <f>IF(AND(E28="TRACK WARRANT AUTHORITY",G28&lt;10),"OMIT","KEEP")</f>
        <v>KEEP</v>
      </c>
      <c r="Y28" s="104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-17","description":"http://stevetu21.github.io/eaglep3/load_kml.html?kml=http://rtdc.gmaps-snips.s3.amazonaws.com/dee8193d-b28c-4a75-a108-54c653077a80.kml","custom_fields":[{"id":1,"name":"Subdivision","value":"EC"},{"id":4,"name":"Milepost","value":"21.9875"},{"id":17,"name":"Train ID","value":"206-17"},{"id":16,"name":"Locomotive ID","value":"4027"},{"id":130,"name":"Impact","value":"Enforcement"},{"id":150,"name":"Time of Event (Mountain Time)","value":"17:44:11"},{"id":151,"name":"Denver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8" s="20" t="s">
        <v>1048</v>
      </c>
      <c r="AA28" s="48" t="s">
        <v>124</v>
      </c>
      <c r="AB28" s="48" t="s">
        <v>137</v>
      </c>
      <c r="AC28" s="123" t="str">
        <f>"grep -hSE -A400 ""Enforcement Action"" "&amp;search_path&amp;"\RTDC"&amp;U28&amp;"\*"&amp;U28&amp;"*"&amp;TEXT(A28-utc_offset/24,"YYYYMMDD")&amp;LEFT(TEXT(A28-utc_offset/24,"HH"),1)&amp;"* | grep -SE ""((Enforcement Ac)|(PRM))"" -"</f>
        <v>grep -hSE -A400 "Enforcement Action" "%USERPROFILE%\AppData\Local\Temp\OnboardLogs"\RTDC4027\*4027*201704172*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"%USERPROFILE%\AppData\Local\Temp\OnboardLogs"\RTDC4027\*4027*201704172* &gt;&gt; 2017-04-17-SliceDisagreementCheck.txt</v>
      </c>
      <c r="AE28" s="153" t="str">
        <f>"start /low /b "&amp;dls3logs&amp;" --loco "&amp;U28&amp;" --day "&amp;TEXT(V28,"YYYY-MM-DD")</f>
        <v>start /low /b %USERPROFILE%\Documents\GitHub\eaglep3\Utilities\DownloadLogsFromS3.py --loco 4027 --day 2017-04-17</v>
      </c>
      <c r="AF28" s="1"/>
    </row>
    <row r="29" spans="1:32" x14ac:dyDescent="0.25">
      <c r="A29" s="32">
        <v>42842.182222222225</v>
      </c>
      <c r="B29" s="30" t="s">
        <v>501</v>
      </c>
      <c r="C29" s="30" t="s">
        <v>602</v>
      </c>
      <c r="D29" s="30" t="s">
        <v>98</v>
      </c>
      <c r="E29" s="30" t="s">
        <v>548</v>
      </c>
      <c r="F29" s="43">
        <v>0</v>
      </c>
      <c r="G29" s="43">
        <v>301</v>
      </c>
      <c r="H29" s="43">
        <v>229082</v>
      </c>
      <c r="I29" s="43">
        <v>229740</v>
      </c>
      <c r="J29" s="30" t="s">
        <v>549</v>
      </c>
      <c r="K29" s="43">
        <v>228572</v>
      </c>
      <c r="L29" s="139" t="s">
        <v>50</v>
      </c>
      <c r="M29" s="140">
        <f>CONVERT((I29-K29)/10000,"mi","ft")*IF(L29="Increasing Mileposts (1)",-1,1)</f>
        <v>-616.70399999999995</v>
      </c>
      <c r="N29" s="141" t="str">
        <f>VLOOKUP(C29,'Trips&amp;Operators'!$C$1:$G$99999,5,FALSE)</f>
        <v>MAELZER KURT</v>
      </c>
      <c r="O29" s="190" t="s">
        <v>502</v>
      </c>
      <c r="P29" s="142" t="s">
        <v>1055</v>
      </c>
      <c r="Q29" s="30"/>
      <c r="R29" s="89" t="str">
        <f>IF(VLOOKUP(C29,'Train Runs'!$A$13:$AE$9935,1,1)=C29,VLOOKUP(C29,'Train Runs'!$A$13:$AE$9935,31,1),NA())</f>
        <v>aws s3 cp s3://rtdc.mdm.uploadarchive.raw/RTDC4052/ "%USERPROFILE%\AppData\Local\Temp\OnboardLogs"\RTDC4052\2017-04-17 --exclude "*" --recursive --include "*20170417*" &amp; "%USERPROFILE%\Documents\GitHub\mrs-test-scripts\Headless Mode &amp; Sideloading\WalkAndUnGZ.bat" "%USERPROFILE%\AppData\Local\Temp\OnboardLogs"\RTDC4052\2017-04-17 &amp; aws s3 cp s3://rtdc.mdm.uploadarchive.raw/RTDC4052/ "%USERPROFILE%\AppData\Local\Temp\OnboardLogs"\RTDC4052\2017-04-18 --exclude "*" --recursive --include "*20170418*" &amp; "%USERPROFILE%\Documents\GitHub\mrs-test-scripts\Headless Mode &amp; Sideloading\WalkAndUnGZ.bat" "%USERPROFILE%\AppData\Local\Temp\OnboardLogs"\RTDC4052\2017-04-18</v>
      </c>
      <c r="S29" s="92" t="str">
        <f>VLOOKUP(C29,'Train Runs'!$A$13:$AE$9935,22,0)</f>
        <v>https://d0f6bd738d7f1b3e5a7ca70fe4ff75f0.us-east-1.aws.found.io/app/kibana#/discover/Steve-Slow-Train-Analysis-(2080s-and-2083s)?_g=(refreshInterval:(display:Off,pause:!f,section:0,value:0),time:(from:'2017-04-17T02:42:47-0600',mode:absolute,to:'2017-04-17T04:59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9" s="94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/stypes="*4052*201704171*" /stext=" 10:.+((SYSTEM_STATE.+slice.+state.+changed )|(ment ac)|(multiple cpu faults)|(system.+state.+changed )|(\[timeout)|(PRM\|1\|D)|(kpr)|(kdp)|(\|lc)|(penalty))"</v>
      </c>
      <c r="U29" s="9" t="str">
        <f>MID(B29,13,4)</f>
        <v>4052</v>
      </c>
      <c r="V29" s="32">
        <f>A29-utc_offset/24</f>
        <v>42842.432222222225</v>
      </c>
      <c r="W29" s="46" t="str">
        <f>IFERROR(IF(VALUE(LEFT(IF(LEN(C29)=6,"0"&amp;C29,C29),2))&lt;=2,"EC",IF(OR(VALUE(LEFT(IF(LEN(C29)=6,"0"&amp;C29,C29),2))=8,VALUE(LEFT(IF(LEN(C29)=6,"0"&amp;C29,C29),2))=18),"NW","Other")),"Other")</f>
        <v>EC</v>
      </c>
      <c r="X29" s="46" t="str">
        <f>IF(AND(E29="TRACK WARRANT AUTHORITY",G29&lt;10),"OMIT","KEEP")</f>
        <v>KEEP</v>
      </c>
      <c r="Y29" s="104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{"issue":{"subject":"Wi-MAX data drop, 4051/4052 part of double pair","project_id":79,"tracker_id":40,"status_id":1,"priority_id":2,"assigned_to_id":23,"start_date":"2017-04-17","description":"http://stevetu21.github.io/eaglep3/load_kml.html?kml=http://rtdc.gmaps-snips.s3.amazonaws.com/b2390c44-d4b4-42f3-800a-de3284c79bbc.kml","custom_fields":[{"id":1,"name":"Subdivision","value":"EC"},{"id":4,"name":"Milepost","value":"22.8572"},{"id":17,"name":"Train ID","value":"103-17"},{"id":16,"name":"Locomotive ID","value":"4052"},{"id":130,"name":"Impact","value":"Enforcement"},{"id":150,"name":"Time of Event (Mountain Time)","value":"04:22:24"},{"id":151,"name":"Denver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9" s="20" t="s">
        <v>1051</v>
      </c>
      <c r="AA29" s="48" t="s">
        <v>124</v>
      </c>
      <c r="AB29" s="48" t="s">
        <v>137</v>
      </c>
      <c r="AC29" s="123" t="str">
        <f>"grep -hSE -A400 ""Enforcement Action"" "&amp;search_path&amp;"\RTDC"&amp;U29&amp;"\*"&amp;U29&amp;"*"&amp;TEXT(A29-utc_offset/24,"YYYYMMDD")&amp;LEFT(TEXT(A29-utc_offset/24,"HH"),1)&amp;"* | grep -SE ""((Enforcement Ac)|(PRM))"" -"</f>
        <v>grep -hSE -A400 "Enforcement Action" "%USERPROFILE%\AppData\Local\Temp\OnboardLogs"\RTDC4052\*4052*201704171*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"%USERPROFILE%\AppData\Local\Temp\OnboardLogs"\RTDC4052\*4052*201704171* &gt;&gt; 2017-04-17-SliceDisagreementCheck.txt</v>
      </c>
      <c r="AE29" s="153" t="str">
        <f>"start /low /b "&amp;dls3logs&amp;" --loco "&amp;U29&amp;" --day "&amp;TEXT(V29,"YYYY-MM-DD")</f>
        <v>start /low /b %USERPROFILE%\Documents\GitHub\eaglep3\Utilities\DownloadLogsFromS3.py --loco 4052 --day 2017-04-17</v>
      </c>
      <c r="AF29" s="1"/>
    </row>
    <row r="30" spans="1:32" x14ac:dyDescent="0.25">
      <c r="A30" s="32">
        <v>42842.451701388891</v>
      </c>
      <c r="B30" s="30" t="s">
        <v>374</v>
      </c>
      <c r="C30" s="30" t="s">
        <v>617</v>
      </c>
      <c r="D30" s="30" t="s">
        <v>49</v>
      </c>
      <c r="E30" s="30" t="s">
        <v>185</v>
      </c>
      <c r="F30" s="43">
        <v>0</v>
      </c>
      <c r="G30" s="43">
        <v>34</v>
      </c>
      <c r="H30" s="43">
        <v>116</v>
      </c>
      <c r="I30" s="43">
        <v>101</v>
      </c>
      <c r="J30" s="30" t="s">
        <v>186</v>
      </c>
      <c r="K30" s="43">
        <v>1</v>
      </c>
      <c r="L30" s="139" t="s">
        <v>51</v>
      </c>
      <c r="M30" s="140">
        <f>CONVERT((I30-K30)/10000,"mi","ft")*IF(L30="Increasing Mileposts (1)",-1,1)</f>
        <v>52.8</v>
      </c>
      <c r="N30" s="141" t="str">
        <f>VLOOKUP(C30,'Trips&amp;Operators'!$C$1:$G$99999,5,FALSE)</f>
        <v>MAELZER KURT</v>
      </c>
      <c r="O30" s="190" t="s">
        <v>184</v>
      </c>
      <c r="P30" s="142"/>
      <c r="Q30" s="30"/>
      <c r="R30" s="89" t="str">
        <f>IF(VLOOKUP(C30,'Train Runs'!$A$13:$AE$9935,1,1)=C30,VLOOKUP(C30,'Train Runs'!$A$13:$AE$9935,31,1),NA())</f>
        <v>aws s3 cp s3://rtdc.mdm.uploadarchive.raw/RTDC4031/ "%USERPROFILE%\AppData\Local\Temp\OnboardLogs"\RTDC4031\2017-04-17 --exclude "*" --recursive --include "*20170417*" &amp; "%USERPROFILE%\Documents\GitHub\mrs-test-scripts\Headless Mode &amp; Sideloading\WalkAndUnGZ.bat" "%USERPROFILE%\AppData\Local\Temp\OnboardLogs"\RTDC4031\2017-04-17 &amp; aws s3 cp s3://rtdc.mdm.uploadarchive.raw/RTDC4031/ "%USERPROFILE%\AppData\Local\Temp\OnboardLogs"\RTDC4031\2017-04-18 --exclude "*" --recursive --include "*20170418*" &amp; "%USERPROFILE%\Documents\GitHub\mrs-test-scripts\Headless Mode &amp; Sideloading\WalkAndUnGZ.bat" "%USERPROFILE%\AppData\Local\Temp\OnboardLogs"\RTDC4031\2017-04-18</v>
      </c>
      <c r="S30" s="92" t="str">
        <f>VLOOKUP(C30,'Train Runs'!$A$13:$AE$9935,22,0)</f>
        <v>https://d0f6bd738d7f1b3e5a7ca70fe4ff75f0.us-east-1.aws.found.io/app/kibana#/discover/Steve-Slow-Train-Analysis-(2080s-and-2083s)?_g=(refreshInterval:(display:Off,pause:!f,section:0,value:0),time:(from:'2017-04-17T08:57:36-0600',mode:absolute,to:'2017-04-17T11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0" s="94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/stypes="*4031*201704171*" /stext=" 16:.+((SYSTEM_STATE.+slice.+state.+changed )|(ment ac)|(multiple cpu faults)|(system.+state.+changed )|(\[timeout)|(PRM\|1\|D)|(kpr)|(kdp)|(\|lc)|(penalty))"</v>
      </c>
      <c r="U30" s="9" t="str">
        <f>MID(B30,13,4)</f>
        <v>4031</v>
      </c>
      <c r="V30" s="32">
        <f>A30-utc_offset/24</f>
        <v>42842.701701388891</v>
      </c>
      <c r="W30" s="46" t="str">
        <f>IFERROR(IF(VALUE(LEFT(IF(LEN(C30)=6,"0"&amp;C30,C30),2))&lt;=2,"EC",IF(OR(VALUE(LEFT(IF(LEN(C30)=6,"0"&amp;C30,C30),2))=8,VALUE(LEFT(IF(LEN(C30)=6,"0"&amp;C30,C30),2))=18),"NW","Other")),"Other")</f>
        <v>EC</v>
      </c>
      <c r="X30" s="46" t="str">
        <f>IF(AND(E30="TRACK WARRANT AUTHORITY",G30&lt;10),"OMIT","KEEP")</f>
        <v>KEEP</v>
      </c>
      <c r="Y30" s="104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{"issue":{"subject":"","project_id":79,"tracker_id":40,"status_id":1,"priority_id":2,"assigned_to_id":23,"start_date":"2017-04-17","description":"","custom_fields":[{"id":1,"name":"Subdivision","value":"EC"},{"id":4,"name":"Milepost","value":"0.0001"},{"id":17,"name":"Train ID","value":"146-17"},{"id":16,"name":"Locomotive ID","value":"4031"},{"id":130,"name":"Impact","value":""},{"id":150,"name":"Time of Event (Mountain Time)","value":"10:50:27"},{"id":151,"name":"Denver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18"/>
      <c r="AA30" s="48"/>
      <c r="AB30" s="48"/>
      <c r="AC30" s="123" t="str">
        <f>"grep -hSE -A400 ""Enforcement Action"" "&amp;search_path&amp;"\RTDC"&amp;U30&amp;"\*"&amp;U30&amp;"*"&amp;TEXT(A30-utc_offset/24,"YYYYMMDD")&amp;LEFT(TEXT(A30-utc_offset/24,"HH"),1)&amp;"* | grep -SE ""((Enforcement Ac)|(PRM))"" -"</f>
        <v>grep -hSE -A400 "Enforcement Action" "%USERPROFILE%\AppData\Local\Temp\OnboardLogs"\RTDC4031\*4031*201704171*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"%USERPROFILE%\AppData\Local\Temp\OnboardLogs"\RTDC4031\*4031*201704171* &gt;&gt; 2017-04-17-SliceDisagreementCheck.txt</v>
      </c>
      <c r="AE30" s="153" t="str">
        <f>"start /low /b "&amp;dls3logs&amp;" --loco "&amp;U30&amp;" --day "&amp;TEXT(V30,"YYYY-MM-DD")</f>
        <v>start /low /b %USERPROFILE%\Documents\GitHub\eaglep3\Utilities\DownloadLogsFromS3.py --loco 4031 --day 2017-04-17</v>
      </c>
      <c r="AF30" s="1"/>
    </row>
    <row r="31" spans="1:32" x14ac:dyDescent="0.25">
      <c r="A31" s="32">
        <v>42842.797048611108</v>
      </c>
      <c r="B31" s="30" t="s">
        <v>605</v>
      </c>
      <c r="C31" s="30" t="s">
        <v>630</v>
      </c>
      <c r="D31" s="30" t="s">
        <v>49</v>
      </c>
      <c r="E31" s="30" t="s">
        <v>185</v>
      </c>
      <c r="F31" s="43">
        <v>0</v>
      </c>
      <c r="G31" s="43">
        <v>70</v>
      </c>
      <c r="H31" s="43">
        <v>265</v>
      </c>
      <c r="I31" s="43">
        <v>196</v>
      </c>
      <c r="J31" s="30" t="s">
        <v>186</v>
      </c>
      <c r="K31" s="43">
        <v>1</v>
      </c>
      <c r="L31" s="139" t="s">
        <v>51</v>
      </c>
      <c r="M31" s="140">
        <f>CONVERT((I31-K31)/10000,"mi","ft")*IF(L31="Increasing Mileposts (1)",-1,1)</f>
        <v>102.96</v>
      </c>
      <c r="N31" s="141" t="str">
        <f>VLOOKUP(C31,'Trips&amp;Operators'!$C$1:$G$99999,5,FALSE)</f>
        <v>MACDONALD THOMAS</v>
      </c>
      <c r="O31" s="190" t="s">
        <v>184</v>
      </c>
      <c r="P31" s="142"/>
      <c r="Q31" s="30"/>
      <c r="R31" s="89" t="str">
        <f>IF(VLOOKUP(C31,'Train Runs'!$A$13:$AE$9935,1,1)=C31,VLOOKUP(C31,'Train Runs'!$A$13:$AE$9935,31,1),NA())</f>
        <v>aws s3 cp s3://rtdc.mdm.uploadarchive.raw/RTDC4001/ "%USERPROFILE%\AppData\Local\Temp\OnboardLogs"\RTDC4001\2017-04-17 --exclude "*" --recursive --include "*20170417*" &amp; "%USERPROFILE%\Documents\GitHub\mrs-test-scripts\Headless Mode &amp; Sideloading\WalkAndUnGZ.bat" "%USERPROFILE%\AppData\Local\Temp\OnboardLogs"\RTDC4001\2017-04-17 &amp; aws s3 cp s3://rtdc.mdm.uploadarchive.raw/RTDC4001/ "%USERPROFILE%\AppData\Local\Temp\OnboardLogs"\RTDC4001\2017-04-18 --exclude "*" --recursive --include "*20170418*" &amp; "%USERPROFILE%\Documents\GitHub\mrs-test-scripts\Headless Mode &amp; Sideloading\WalkAndUnGZ.bat" "%USERPROFILE%\AppData\Local\Temp\OnboardLogs"\RTDC4001\2017-04-18</v>
      </c>
      <c r="S31" s="92" t="str">
        <f>VLOOKUP(C31,'Train Runs'!$A$13:$AE$9935,22,0)</f>
        <v>https://d0f6bd738d7f1b3e5a7ca70fe4ff75f0.us-east-1.aws.found.io/app/kibana#/discover/Steve-Slow-Train-Analysis-(2080s-and-2083s)?_g=(refreshInterval:(display:Off,pause:!f,section:0,value:0),time:(from:'2017-04-17T17:20:46-0600',mode:absolute,to:'2017-04-17T20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1" s="94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/stypes="*4001*201704180*" /stext=" 01:.+((SYSTEM_STATE.+slice.+state.+changed )|(ment ac)|(multiple cpu faults)|(system.+state.+changed )|(\[timeout)|(PRM\|1\|D)|(kpr)|(kdp)|(\|lc)|(penalty))"</v>
      </c>
      <c r="U31" s="9" t="str">
        <f>MID(B31,13,4)</f>
        <v>4001</v>
      </c>
      <c r="V31" s="32">
        <f>A31-utc_offset/24</f>
        <v>42843.047048611108</v>
      </c>
      <c r="W31" s="46" t="str">
        <f>IFERROR(IF(VALUE(LEFT(IF(LEN(C31)=6,"0"&amp;C31,C31),2))&lt;=2,"EC",IF(OR(VALUE(LEFT(IF(LEN(C31)=6,"0"&amp;C31,C31),2))=8,VALUE(LEFT(IF(LEN(C31)=6,"0"&amp;C31,C31),2))=18),"NW","Other")),"Other")</f>
        <v>EC</v>
      </c>
      <c r="X31" s="46" t="str">
        <f>IF(AND(E31="TRACK WARRANT AUTHORITY",G31&lt;10),"OMIT","KEEP")</f>
        <v>KEEP</v>
      </c>
      <c r="Y31" s="104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{"issue":{"subject":"","project_id":79,"tracker_id":40,"status_id":1,"priority_id":2,"assigned_to_id":23,"start_date":"2017-04-17","description":"","custom_fields":[{"id":1,"name":"Subdivision","value":"EC"},{"id":4,"name":"Milepost","value":"0.0001"},{"id":17,"name":"Train ID","value":"212-17"},{"id":16,"name":"Locomotive ID","value":"4001"},{"id":130,"name":"Impact","value":""},{"id":150,"name":"Time of Event (Mountain Time)","value":"19:07:45"},{"id":151,"name":"Denver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18"/>
      <c r="AA31" s="48"/>
      <c r="AB31" s="48"/>
      <c r="AC31" s="123" t="str">
        <f>"grep -hSE -A400 ""Enforcement Action"" "&amp;search_path&amp;"\RTDC"&amp;U31&amp;"\*"&amp;U31&amp;"*"&amp;TEXT(A31-utc_offset/24,"YYYYMMDD")&amp;LEFT(TEXT(A31-utc_offset/24,"HH"),1)&amp;"* | grep -SE ""((Enforcement Ac)|(PRM))"" -"</f>
        <v>grep -hSE -A400 "Enforcement Action" "%USERPROFILE%\AppData\Local\Temp\OnboardLogs"\RTDC4001\*4001*201704180*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"%USERPROFILE%\AppData\Local\Temp\OnboardLogs"\RTDC4001\*4001*201704180* &gt;&gt; 2017-04-17-SliceDisagreementCheck.txt</v>
      </c>
      <c r="AE31" s="153" t="str">
        <f>"start /low /b "&amp;dls3logs&amp;" --loco "&amp;U31&amp;" --day "&amp;TEXT(V31,"YYYY-MM-DD")</f>
        <v>start /low /b %USERPROFILE%\Documents\GitHub\eaglep3\Utilities\DownloadLogsFromS3.py --loco 4001 --day 2017-04-18</v>
      </c>
      <c r="AF31" s="1"/>
    </row>
    <row r="32" spans="1:32" x14ac:dyDescent="0.25">
      <c r="A32" s="32">
        <v>42842.50236111111</v>
      </c>
      <c r="B32" s="30" t="s">
        <v>456</v>
      </c>
      <c r="C32" s="30" t="s">
        <v>618</v>
      </c>
      <c r="D32" s="30" t="s">
        <v>49</v>
      </c>
      <c r="E32" s="30" t="s">
        <v>185</v>
      </c>
      <c r="F32" s="43">
        <v>0</v>
      </c>
      <c r="G32" s="43">
        <v>80</v>
      </c>
      <c r="H32" s="43">
        <v>233253</v>
      </c>
      <c r="I32" s="43">
        <v>233334</v>
      </c>
      <c r="J32" s="30" t="s">
        <v>186</v>
      </c>
      <c r="K32" s="43">
        <v>233491</v>
      </c>
      <c r="L32" s="139" t="s">
        <v>50</v>
      </c>
      <c r="M32" s="140">
        <f>CONVERT((I32-K32)/10000,"mi","ft")*IF(L32="Increasing Mileposts (1)",-1,1)</f>
        <v>82.895999999999987</v>
      </c>
      <c r="N32" s="141" t="str">
        <f>VLOOKUP(C32,'Trips&amp;Operators'!$C$1:$G$99999,5,FALSE)</f>
        <v>DAVIS MICHAEL</v>
      </c>
      <c r="O32" s="190" t="s">
        <v>184</v>
      </c>
      <c r="P32" s="142"/>
      <c r="Q32" s="30"/>
      <c r="R32" s="89" t="str">
        <f>IF(VLOOKUP(C32,'Train Runs'!$A$13:$AE$9935,1,1)=C32,VLOOKUP(C32,'Train Runs'!$A$13:$AE$9935,31,1),NA())</f>
        <v>aws s3 cp s3://rtdc.mdm.uploadarchive.raw/RTDC4054/ "%USERPROFILE%\AppData\Local\Temp\OnboardLogs"\RTDC4054\2017-04-17 --exclude "*" --recursive --include "*20170417*" &amp; "%USERPROFILE%\Documents\GitHub\mrs-test-scripts\Headless Mode &amp; Sideloading\WalkAndUnGZ.bat" "%USERPROFILE%\AppData\Local\Temp\OnboardLogs"\RTDC4054\2017-04-17 &amp; aws s3 cp s3://rtdc.mdm.uploadarchive.raw/RTDC4054/ "%USERPROFILE%\AppData\Local\Temp\OnboardLogs"\RTDC4054\2017-04-18 --exclude "*" --recursive --include "*20170418*" &amp; "%USERPROFILE%\Documents\GitHub\mrs-test-scripts\Headless Mode &amp; Sideloading\WalkAndUnGZ.bat" "%USERPROFILE%\AppData\Local\Temp\OnboardLogs"\RTDC4054\2017-04-18</v>
      </c>
      <c r="S32" s="92" t="str">
        <f>VLOOKUP(C32,'Train Runs'!$A$13:$AE$9935,22,0)</f>
        <v>https://d0f6bd738d7f1b3e5a7ca70fe4ff75f0.us-east-1.aws.found.io/app/kibana#/discover/Steve-Slow-Train-Analysis-(2080s-and-2083s)?_g=(refreshInterval:(display:Off,pause:!f,section:0,value:0),time:(from:'2017-04-17T10:10:41-0600',mode:absolute,to:'2017-04-17T13:03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2" s="94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/stypes="*4054*201704171*" /stext=" 18:.+((SYSTEM_STATE.+slice.+state.+changed )|(ment ac)|(multiple cpu faults)|(system.+state.+changed )|(\[timeout)|(PRM\|1\|D)|(kpr)|(kdp)|(\|lc)|(penalty))"</v>
      </c>
      <c r="U32" s="9" t="str">
        <f>MID(B32,13,4)</f>
        <v>4054</v>
      </c>
      <c r="V32" s="32">
        <f>A32-utc_offset/24</f>
        <v>42842.75236111111</v>
      </c>
      <c r="W32" s="46" t="str">
        <f>IFERROR(IF(VALUE(LEFT(IF(LEN(C32)=6,"0"&amp;C32,C32),2))&lt;=2,"EC",IF(OR(VALUE(LEFT(IF(LEN(C32)=6,"0"&amp;C32,C32),2))=8,VALUE(LEFT(IF(LEN(C32)=6,"0"&amp;C32,C32),2))=18),"NW","Other")),"Other")</f>
        <v>EC</v>
      </c>
      <c r="X32" s="46" t="str">
        <f>IF(AND(E32="TRACK WARRANT AUTHORITY",G32&lt;10),"OMIT","KEEP")</f>
        <v>KEEP</v>
      </c>
      <c r="Y32" s="104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{"issue":{"subject":"","project_id":79,"tracker_id":40,"status_id":1,"priority_id":2,"assigned_to_id":23,"start_date":"2017-04-17","description":"","custom_fields":[{"id":1,"name":"Subdivision","value":"EC"},{"id":4,"name":"Milepost","value":"23.3491"},{"id":17,"name":"Train ID","value":"161-17"},{"id":16,"name":"Locomotive ID","value":"4054"},{"id":130,"name":"Impact","value":""},{"id":150,"name":"Time of Event (Mountain Time)","value":"12:03:24"},{"id":151,"name":"Denver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18"/>
      <c r="AA32" s="48"/>
      <c r="AB32" s="48"/>
      <c r="AC32" s="123" t="str">
        <f>"grep -hSE -A400 ""Enforcement Action"" "&amp;search_path&amp;"\RTDC"&amp;U32&amp;"\*"&amp;U32&amp;"*"&amp;TEXT(A32-utc_offset/24,"YYYYMMDD")&amp;LEFT(TEXT(A32-utc_offset/24,"HH"),1)&amp;"* | grep -SE ""((Enforcement Ac)|(PRM))"" -"</f>
        <v>grep -hSE -A400 "Enforcement Action" "%USERPROFILE%\AppData\Local\Temp\OnboardLogs"\RTDC4054\*4054*201704171*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"%USERPROFILE%\AppData\Local\Temp\OnboardLogs"\RTDC4054\*4054*201704171* &gt;&gt; 2017-04-17-SliceDisagreementCheck.txt</v>
      </c>
      <c r="AE32" s="153" t="str">
        <f>"start /low /b "&amp;dls3logs&amp;" --loco "&amp;U32&amp;" --day "&amp;TEXT(V32,"YYYY-MM-DD")</f>
        <v>start /low /b %USERPROFILE%\Documents\GitHub\eaglep3\Utilities\DownloadLogsFromS3.py --loco 4054 --day 2017-04-17</v>
      </c>
      <c r="AF32" s="1"/>
    </row>
    <row r="33" spans="1:32" x14ac:dyDescent="0.25">
      <c r="A33" s="32">
        <v>42842.660104166665</v>
      </c>
      <c r="B33" s="30" t="s">
        <v>553</v>
      </c>
      <c r="C33" s="30" t="s">
        <v>622</v>
      </c>
      <c r="D33" s="30" t="s">
        <v>49</v>
      </c>
      <c r="E33" s="30" t="s">
        <v>191</v>
      </c>
      <c r="F33" s="43">
        <v>250</v>
      </c>
      <c r="G33" s="43">
        <v>302</v>
      </c>
      <c r="H33" s="43">
        <v>11583</v>
      </c>
      <c r="I33" s="43">
        <v>10882</v>
      </c>
      <c r="J33" s="30" t="s">
        <v>192</v>
      </c>
      <c r="K33" s="43">
        <v>10988</v>
      </c>
      <c r="L33" s="139" t="s">
        <v>51</v>
      </c>
      <c r="M33" s="140">
        <f>CONVERT((I33-K33)/10000,"mi","ft")*IF(L33="Increasing Mileposts (1)",-1,1)</f>
        <v>-55.968000000000004</v>
      </c>
      <c r="N33" s="141" t="str">
        <f>VLOOKUP(C33,'Trips&amp;Operators'!$C$1:$G$99999,5,FALSE)</f>
        <v>LEVIN SCOTT</v>
      </c>
      <c r="O33" s="190" t="s">
        <v>184</v>
      </c>
      <c r="P33" s="142" t="s">
        <v>600</v>
      </c>
      <c r="Q33" s="30"/>
      <c r="R33" s="89" t="str">
        <f>IF(VLOOKUP(C33,'Train Runs'!$A$13:$AE$9935,1,1)=C33,VLOOKUP(C33,'Train Runs'!$A$13:$AE$9935,31,1),NA())</f>
        <v>aws s3 cp s3://rtdc.mdm.uploadarchive.raw/RTDC4023/ "%USERPROFILE%\AppData\Local\Temp\OnboardLogs"\RTDC4023\2017-04-17 --exclude "*" --recursive --include "*20170417*" &amp; "%USERPROFILE%\Documents\GitHub\mrs-test-scripts\Headless Mode &amp; Sideloading\WalkAndUnGZ.bat" "%USERPROFILE%\AppData\Local\Temp\OnboardLogs"\RTDC4023\2017-04-17 &amp; aws s3 cp s3://rtdc.mdm.uploadarchive.raw/RTDC4023/ "%USERPROFILE%\AppData\Local\Temp\OnboardLogs"\RTDC4023\2017-04-18 --exclude "*" --recursive --include "*20170418*" &amp; "%USERPROFILE%\Documents\GitHub\mrs-test-scripts\Headless Mode &amp; Sideloading\WalkAndUnGZ.bat" "%USERPROFILE%\AppData\Local\Temp\OnboardLogs"\RTDC4023\2017-04-18</v>
      </c>
      <c r="S33" s="92" t="str">
        <f>VLOOKUP(C33,'Train Runs'!$A$13:$AE$9935,22,0)</f>
        <v>https://d0f6bd738d7f1b3e5a7ca70fe4ff75f0.us-east-1.aws.found.io/app/kibana#/discover/Steve-Slow-Train-Analysis-(2080s-and-2083s)?_g=(refreshInterval:(display:Off,pause:!f,section:0,value:0),time:(from:'2017-04-17T14:36:08-0600',mode:absolute,to:'2017-04-17T16:56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3" s="94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/stypes="*4023*201704172*" /stext=" 21:.+((SYSTEM_STATE.+slice.+state.+changed )|(ment ac)|(multiple cpu faults)|(system.+state.+changed )|(\[timeout)|(PRM\|1\|D)|(kpr)|(kdp)|(\|lc)|(penalty))"</v>
      </c>
      <c r="U33" s="9" t="str">
        <f>MID(B33,13,4)</f>
        <v>4023</v>
      </c>
      <c r="V33" s="32">
        <f>A33-utc_offset/24</f>
        <v>42842.910104166665</v>
      </c>
      <c r="W33" s="46" t="str">
        <f>IFERROR(IF(VALUE(LEFT(IF(LEN(C33)=6,"0"&amp;C33,C33),2))&lt;=2,"EC",IF(OR(VALUE(LEFT(IF(LEN(C33)=6,"0"&amp;C33,C33),2))=8,VALUE(LEFT(IF(LEN(C33)=6,"0"&amp;C33,C33),2))=18),"NW","Other")),"Other")</f>
        <v>NW</v>
      </c>
      <c r="X33" s="46" t="str">
        <f>IF(AND(E33="TRACK WARRANT AUTHORITY",G33&lt;10),"OMIT","KEEP")</f>
        <v>KEEP</v>
      </c>
      <c r="Y33" s="104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arrival","project_id":79,"tracker_id":40,"status_id":1,"priority_id":2,"assigned_to_id":23,"start_date":"2017-04-17","description":"","custom_fields":[{"id":1,"name":"Subdivision","value":"NW"},{"id":4,"name":"Milepost","value":"1.0988"},{"id":17,"name":"Train ID","value":"826-17"},{"id":16,"name":"Locomotive ID","value":"4023"},{"id":130,"name":"Impact","value":""},{"id":150,"name":"Time of Event (Mountain Time)","value":"15:50:33"},{"id":151,"name":"Denver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18"/>
      <c r="AA33" s="48"/>
      <c r="AB33" s="48"/>
      <c r="AC33" s="123" t="str">
        <f>"grep -hSE -A400 ""Enforcement Action"" "&amp;search_path&amp;"\RTDC"&amp;U33&amp;"\*"&amp;U33&amp;"*"&amp;TEXT(A33-utc_offset/24,"YYYYMMDD")&amp;LEFT(TEXT(A33-utc_offset/24,"HH"),1)&amp;"* | grep -SE ""((Enforcement Ac)|(PRM))"" -"</f>
        <v>grep -hSE -A400 "Enforcement Action" "%USERPROFILE%\AppData\Local\Temp\OnboardLogs"\RTDC4023\*4023*201704172*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"%USERPROFILE%\AppData\Local\Temp\OnboardLogs"\RTDC4023\*4023*201704172* &gt;&gt; 2017-04-17-SliceDisagreementCheck.txt</v>
      </c>
      <c r="AE33" s="153" t="str">
        <f>"start /low /b "&amp;dls3logs&amp;" --loco "&amp;U33&amp;" --day "&amp;TEXT(V33,"YYYY-MM-DD")</f>
        <v>start /low /b %USERPROFILE%\Documents\GitHub\eaglep3\Utilities\DownloadLogsFromS3.py --loco 4023 --day 2017-04-17</v>
      </c>
      <c r="AF33" s="1"/>
    </row>
    <row r="34" spans="1:32" x14ac:dyDescent="0.25">
      <c r="A34" s="32">
        <v>42842.307523148149</v>
      </c>
      <c r="B34" s="30" t="s">
        <v>610</v>
      </c>
      <c r="C34" s="30" t="s">
        <v>611</v>
      </c>
      <c r="D34" s="30" t="s">
        <v>49</v>
      </c>
      <c r="E34" s="30" t="s">
        <v>603</v>
      </c>
      <c r="F34" s="43">
        <v>0</v>
      </c>
      <c r="G34" s="43">
        <v>70</v>
      </c>
      <c r="H34" s="43">
        <v>5015</v>
      </c>
      <c r="I34" s="43">
        <v>4926</v>
      </c>
      <c r="J34" s="30" t="s">
        <v>604</v>
      </c>
      <c r="K34" s="43">
        <v>4790</v>
      </c>
      <c r="L34" s="139" t="s">
        <v>51</v>
      </c>
      <c r="M34" s="140">
        <f>CONVERT((I34-K34)/10000,"mi","ft")*IF(L34="Increasing Mileposts (1)",-1,1)</f>
        <v>71.808000000000007</v>
      </c>
      <c r="N34" s="141" t="str">
        <f>VLOOKUP(C34,'Trips&amp;Operators'!$C$1:$G$99999,5,FALSE)</f>
        <v>LALONDE GREGORY</v>
      </c>
      <c r="O34" s="190" t="s">
        <v>184</v>
      </c>
      <c r="P34" s="142" t="s">
        <v>1049</v>
      </c>
      <c r="Q34" s="30"/>
      <c r="R34" s="89" t="str">
        <f>IF(VLOOKUP(C34,'Train Runs'!$A$13:$AE$9935,1,1)=C34,VLOOKUP(C34,'Train Runs'!$A$13:$AE$9935,31,1),NA())</f>
        <v>aws s3 cp s3://rtdc.mdm.uploadarchive.raw/RTDC4017/ "%USERPROFILE%\AppData\Local\Temp\OnboardLogs"\RTDC4017\2017-04-17 --exclude "*" --recursive --include "*20170417*" &amp; "%USERPROFILE%\Documents\GitHub\mrs-test-scripts\Headless Mode &amp; Sideloading\WalkAndUnGZ.bat" "%USERPROFILE%\AppData\Local\Temp\OnboardLogs"\RTDC4017\2017-04-17 &amp; aws s3 cp s3://rtdc.mdm.uploadarchive.raw/RTDC4017/ "%USERPROFILE%\AppData\Local\Temp\OnboardLogs"\RTDC4017\2017-04-18 --exclude "*" --recursive --include "*20170418*" &amp; "%USERPROFILE%\Documents\GitHub\mrs-test-scripts\Headless Mode &amp; Sideloading\WalkAndUnGZ.bat" "%USERPROFILE%\AppData\Local\Temp\OnboardLogs"\RTDC4017\2017-04-18</v>
      </c>
      <c r="S34" s="92" t="str">
        <f>VLOOKUP(C34,'Train Runs'!$A$13:$AE$9935,22,0)</f>
        <v>https://d0f6bd738d7f1b3e5a7ca70fe4ff75f0.us-east-1.aws.found.io/app/kibana#/discover/Steve-Slow-Train-Analysis-(2080s-and-2083s)?_g=(refreshInterval:(display:Off,pause:!f,section:0,value:0),time:(from:'2017-04-17T06:05:17-0600',mode:absolute,to:'2017-04-17T08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4" s="94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/stypes="*4017*201704171*" /stext=" 13:.+((SYSTEM_STATE.+slice.+state.+changed )|(ment ac)|(multiple cpu faults)|(system.+state.+changed )|(\[timeout)|(PRM\|1\|D)|(kpr)|(kdp)|(\|lc)|(penalty))"</v>
      </c>
      <c r="U34" s="9" t="str">
        <f>MID(B34,13,4)</f>
        <v>4017</v>
      </c>
      <c r="V34" s="32">
        <f>A34-utc_offset/24</f>
        <v>42842.557523148149</v>
      </c>
      <c r="W34" s="46" t="str">
        <f>IFERROR(IF(VALUE(LEFT(IF(LEN(C34)=6,"0"&amp;C34,C34),2))&lt;=2,"EC",IF(OR(VALUE(LEFT(IF(LEN(C34)=6,"0"&amp;C34,C34),2))=8,VALUE(LEFT(IF(LEN(C34)=6,"0"&amp;C34,C34),2))=18),"NW","Other")),"Other")</f>
        <v>NW</v>
      </c>
      <c r="X34" s="46" t="str">
        <f>IF(AND(E34="TRACK WARRANT AUTHORITY",G34&lt;10),"OMIT","KEEP")</f>
        <v>KEEP</v>
      </c>
      <c r="Y34" s="104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{"issue":{"subject":"DUS 28S STOP","project_id":79,"tracker_id":40,"status_id":1,"priority_id":2,"assigned_to_id":23,"start_date":"2017-04-17","description":"","custom_fields":[{"id":1,"name":"Subdivision","value":"NW"},{"id":4,"name":"Milepost","value":"0.479"},{"id":17,"name":"Train ID","value":"806-17"},{"id":16,"name":"Locomotive ID","value":"4017"},{"id":130,"name":"Impact","value":""},{"id":150,"name":"Time of Event (Mountain Time)","value":"07:22:50"},{"id":151,"name":"Denver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18"/>
      <c r="AA34" s="48"/>
      <c r="AB34" s="48"/>
      <c r="AC34" s="123" t="str">
        <f>"grep -hSE -A400 ""Enforcement Action"" "&amp;search_path&amp;"\RTDC"&amp;U34&amp;"\*"&amp;U34&amp;"*"&amp;TEXT(A34-utc_offset/24,"YYYYMMDD")&amp;LEFT(TEXT(A34-utc_offset/24,"HH"),1)&amp;"* | grep -SE ""((Enforcement Ac)|(PRM))"" -"</f>
        <v>grep -hSE -A400 "Enforcement Action" "%USERPROFILE%\AppData\Local\Temp\OnboardLogs"\RTDC4017\*4017*201704171*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"%USERPROFILE%\AppData\Local\Temp\OnboardLogs"\RTDC4017\*4017*201704171* &gt;&gt; 2017-04-17-SliceDisagreementCheck.txt</v>
      </c>
      <c r="AE34" s="153" t="str">
        <f>"start /low /b "&amp;dls3logs&amp;" --loco "&amp;U34&amp;" --day "&amp;TEXT(V34,"YYYY-MM-DD")</f>
        <v>start /low /b %USERPROFILE%\Documents\GitHub\eaglep3\Utilities\DownloadLogsFromS3.py --loco 4017 --day 2017-04-17</v>
      </c>
      <c r="AF34" s="1"/>
    </row>
    <row r="35" spans="1:32" x14ac:dyDescent="0.25">
      <c r="A35" s="32">
        <v>42842.704907407409</v>
      </c>
      <c r="B35" s="30" t="s">
        <v>553</v>
      </c>
      <c r="C35" s="30" t="s">
        <v>624</v>
      </c>
      <c r="D35" s="30" t="s">
        <v>49</v>
      </c>
      <c r="E35" s="30" t="s">
        <v>185</v>
      </c>
      <c r="F35" s="43">
        <v>0</v>
      </c>
      <c r="G35" s="43">
        <v>28</v>
      </c>
      <c r="H35" s="43">
        <v>633</v>
      </c>
      <c r="I35" s="43">
        <v>612</v>
      </c>
      <c r="J35" s="30" t="s">
        <v>186</v>
      </c>
      <c r="K35" s="43">
        <v>575</v>
      </c>
      <c r="L35" s="139" t="s">
        <v>51</v>
      </c>
      <c r="M35" s="140">
        <f>CONVERT((I35-K35)/10000,"mi","ft")*IF(L35="Increasing Mileposts (1)",-1,1)</f>
        <v>19.536000000000001</v>
      </c>
      <c r="N35" s="141" t="str">
        <f>VLOOKUP(C35,'Trips&amp;Operators'!$C$1:$G$99999,5,FALSE)</f>
        <v>LEVIN SCOTT</v>
      </c>
      <c r="O35" s="190" t="s">
        <v>184</v>
      </c>
      <c r="P35" s="142"/>
      <c r="Q35" s="30"/>
      <c r="R35" s="89" t="str">
        <f>IF(VLOOKUP(C35,'Train Runs'!$A$13:$AE$9935,1,1)=C35,VLOOKUP(C35,'Train Runs'!$A$13:$AE$9935,31,1),NA())</f>
        <v>aws s3 cp s3://rtdc.mdm.uploadarchive.raw/RTDC4023/ "%USERPROFILE%\AppData\Local\Temp\OnboardLogs"\RTDC4023\2017-04-17 --exclude "*" --recursive --include "*20170417*" &amp; "%USERPROFILE%\Documents\GitHub\mrs-test-scripts\Headless Mode &amp; Sideloading\WalkAndUnGZ.bat" "%USERPROFILE%\AppData\Local\Temp\OnboardLogs"\RTDC4023\2017-04-17 &amp; aws s3 cp s3://rtdc.mdm.uploadarchive.raw/RTDC4023/ "%USERPROFILE%\AppData\Local\Temp\OnboardLogs"\RTDC4023\2017-04-18 --exclude "*" --recursive --include "*20170418*" &amp; "%USERPROFILE%\Documents\GitHub\mrs-test-scripts\Headless Mode &amp; Sideloading\WalkAndUnGZ.bat" "%USERPROFILE%\AppData\Local\Temp\OnboardLogs"\RTDC4023\2017-04-18</v>
      </c>
      <c r="S35" s="92" t="str">
        <f>VLOOKUP(C35,'Train Runs'!$A$13:$AE$9935,22,0)</f>
        <v>https://d0f6bd738d7f1b3e5a7ca70fe4ff75f0.us-east-1.aws.found.io/app/kibana#/discover/Steve-Slow-Train-Analysis-(2080s-and-2083s)?_g=(refreshInterval:(display:Off,pause:!f,section:0,value:0),time:(from:'2017-04-17T15:35:34-0600',mode:absolute,to:'2017-04-17T17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5" s="94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/stypes="*4023*201704172*" /stext=" 22:.+((SYSTEM_STATE.+slice.+state.+changed )|(ment ac)|(multiple cpu faults)|(system.+state.+changed )|(\[timeout)|(PRM\|1\|D)|(kpr)|(kdp)|(\|lc)|(penalty))"</v>
      </c>
      <c r="U35" s="9" t="str">
        <f>MID(B35,13,4)</f>
        <v>4023</v>
      </c>
      <c r="V35" s="32">
        <f>A35-utc_offset/24</f>
        <v>42842.954907407409</v>
      </c>
      <c r="W35" s="46" t="str">
        <f>IFERROR(IF(VALUE(LEFT(IF(LEN(C35)=6,"0"&amp;C35,C35),2))&lt;=2,"EC",IF(OR(VALUE(LEFT(IF(LEN(C35)=6,"0"&amp;C35,C35),2))=8,VALUE(LEFT(IF(LEN(C35)=6,"0"&amp;C35,C35),2))=18),"NW","Other")),"Other")</f>
        <v>NW</v>
      </c>
      <c r="X35" s="46" t="str">
        <f>IF(AND(E35="TRACK WARRANT AUTHORITY",G35&lt;10),"OMIT","KEEP")</f>
        <v>KEEP</v>
      </c>
      <c r="Y35" s="104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{"issue":{"subject":"","project_id":79,"tracker_id":40,"status_id":1,"priority_id":2,"assigned_to_id":23,"start_date":"2017-04-17","description":"","custom_fields":[{"id":1,"name":"Subdivision","value":"NW"},{"id":4,"name":"Milepost","value":"0.0575"},{"id":17,"name":"Train ID","value":"830-17"},{"id":16,"name":"Locomotive ID","value":"4023"},{"id":130,"name":"Impact","value":""},{"id":150,"name":"Time of Event (Mountain Time)","value":"16:55:04"},{"id":151,"name":"Denver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18"/>
      <c r="AA35" s="48"/>
      <c r="AB35" s="48"/>
      <c r="AC35" s="123" t="str">
        <f>"grep -hSE -A400 ""Enforcement Action"" "&amp;search_path&amp;"\RTDC"&amp;U35&amp;"\*"&amp;U35&amp;"*"&amp;TEXT(A35-utc_offset/24,"YYYYMMDD")&amp;LEFT(TEXT(A35-utc_offset/24,"HH"),1)&amp;"* | grep -SE ""((Enforcement Ac)|(PRM))"" -"</f>
        <v>grep -hSE -A400 "Enforcement Action" "%USERPROFILE%\AppData\Local\Temp\OnboardLogs"\RTDC4023\*4023*201704172*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"%USERPROFILE%\AppData\Local\Temp\OnboardLogs"\RTDC4023\*4023*201704172* &gt;&gt; 2017-04-17-SliceDisagreementCheck.txt</v>
      </c>
      <c r="AE35" s="153" t="str">
        <f>"start /low /b "&amp;dls3logs&amp;" --loco "&amp;U35&amp;" --day "&amp;TEXT(V35,"YYYY-MM-DD")</f>
        <v>start /low /b %USERPROFILE%\Documents\GitHub\eaglep3\Utilities\DownloadLogsFromS3.py --loco 4023 --day 2017-04-17</v>
      </c>
      <c r="AF35" s="1"/>
    </row>
    <row r="36" spans="1:32" x14ac:dyDescent="0.25">
      <c r="A36" s="32">
        <v>42842.748148148145</v>
      </c>
      <c r="B36" s="30" t="s">
        <v>553</v>
      </c>
      <c r="C36" s="30" t="s">
        <v>628</v>
      </c>
      <c r="D36" s="30" t="s">
        <v>49</v>
      </c>
      <c r="E36" s="30" t="s">
        <v>185</v>
      </c>
      <c r="F36" s="43">
        <v>0</v>
      </c>
      <c r="G36" s="43">
        <v>18</v>
      </c>
      <c r="H36" s="43">
        <v>610</v>
      </c>
      <c r="I36" s="43">
        <v>601</v>
      </c>
      <c r="J36" s="30" t="s">
        <v>186</v>
      </c>
      <c r="K36" s="43">
        <v>575</v>
      </c>
      <c r="L36" s="139" t="s">
        <v>51</v>
      </c>
      <c r="M36" s="140">
        <f>CONVERT((I36-K36)/10000,"mi","ft")*IF(L36="Increasing Mileposts (1)",-1,1)</f>
        <v>13.728</v>
      </c>
      <c r="N36" s="141" t="str">
        <f>VLOOKUP(C36,'Trips&amp;Operators'!$C$1:$G$99999,5,FALSE)</f>
        <v>LEVIN SCOTT</v>
      </c>
      <c r="O36" s="190" t="s">
        <v>184</v>
      </c>
      <c r="P36" s="142"/>
      <c r="Q36" s="30"/>
      <c r="R36" s="89" t="str">
        <f>IF(VLOOKUP(C36,'Train Runs'!$A$13:$AE$9935,1,1)=C36,VLOOKUP(C36,'Train Runs'!$A$13:$AE$9935,31,1),NA())</f>
        <v>aws s3 cp s3://rtdc.mdm.uploadarchive.raw/RTDC4023/ "%USERPROFILE%\AppData\Local\Temp\OnboardLogs"\RTDC4023\2017-04-17 --exclude "*" --recursive --include "*20170417*" &amp; "%USERPROFILE%\Documents\GitHub\mrs-test-scripts\Headless Mode &amp; Sideloading\WalkAndUnGZ.bat" "%USERPROFILE%\AppData\Local\Temp\OnboardLogs"\RTDC4023\2017-04-17 &amp; aws s3 cp s3://rtdc.mdm.uploadarchive.raw/RTDC4023/ "%USERPROFILE%\AppData\Local\Temp\OnboardLogs"\RTDC4023\2017-04-18 --exclude "*" --recursive --include "*20170418*" &amp; "%USERPROFILE%\Documents\GitHub\mrs-test-scripts\Headless Mode &amp; Sideloading\WalkAndUnGZ.bat" "%USERPROFILE%\AppData\Local\Temp\OnboardLogs"\RTDC4023\2017-04-18</v>
      </c>
      <c r="S36" s="92" t="str">
        <f>VLOOKUP(C36,'Train Runs'!$A$13:$AE$9935,22,0)</f>
        <v>https://d0f6bd738d7f1b3e5a7ca70fe4ff75f0.us-east-1.aws.found.io/app/kibana#/discover/Steve-Slow-Train-Analysis-(2080s-and-2083s)?_g=(refreshInterval:(display:Off,pause:!f,section:0,value:0),time:(from:'2017-04-17T16:35:51-0600',mode:absolute,to:'2017-04-17T18:57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6" s="94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/stypes="*4023*201704172*" /stext=" 23:.+((SYSTEM_STATE.+slice.+state.+changed )|(ment ac)|(multiple cpu faults)|(system.+state.+changed )|(\[timeout)|(PRM\|1\|D)|(kpr)|(kdp)|(\|lc)|(penalty))"</v>
      </c>
      <c r="U36" s="9" t="str">
        <f>MID(B36,13,4)</f>
        <v>4023</v>
      </c>
      <c r="V36" s="32">
        <f>A36-utc_offset/24</f>
        <v>42842.998148148145</v>
      </c>
      <c r="W36" s="46" t="str">
        <f>IFERROR(IF(VALUE(LEFT(IF(LEN(C36)=6,"0"&amp;C36,C36),2))&lt;=2,"EC",IF(OR(VALUE(LEFT(IF(LEN(C36)=6,"0"&amp;C36,C36),2))=8,VALUE(LEFT(IF(LEN(C36)=6,"0"&amp;C36,C36),2))=18),"NW","Other")),"Other")</f>
        <v>NW</v>
      </c>
      <c r="X36" s="46" t="str">
        <f>IF(AND(E36="TRACK WARRANT AUTHORITY",G36&lt;10),"OMIT","KEEP")</f>
        <v>KEEP</v>
      </c>
      <c r="Y36" s="104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{"issue":{"subject":"","project_id":79,"tracker_id":40,"status_id":1,"priority_id":2,"assigned_to_id":23,"start_date":"2017-04-17","description":"","custom_fields":[{"id":1,"name":"Subdivision","value":"NW"},{"id":4,"name":"Milepost","value":"0.0575"},{"id":17,"name":"Train ID","value":"834-17"},{"id":16,"name":"Locomotive ID","value":"4023"},{"id":130,"name":"Impact","value":""},{"id":150,"name":"Time of Event (Mountain Time)","value":"17:57:20"},{"id":151,"name":"Denver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18"/>
      <c r="AA36" s="48"/>
      <c r="AB36" s="48"/>
      <c r="AC36" s="123" t="str">
        <f>"grep -hSE -A400 ""Enforcement Action"" "&amp;search_path&amp;"\RTDC"&amp;U36&amp;"\*"&amp;U36&amp;"*"&amp;TEXT(A36-utc_offset/24,"YYYYMMDD")&amp;LEFT(TEXT(A36-utc_offset/24,"HH"),1)&amp;"* | grep -SE ""((Enforcement Ac)|(PRM))"" -"</f>
        <v>grep -hSE -A400 "Enforcement Action" "%USERPROFILE%\AppData\Local\Temp\OnboardLogs"\RTDC4023\*4023*201704172*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"%USERPROFILE%\AppData\Local\Temp\OnboardLogs"\RTDC4023\*4023*201704172* &gt;&gt; 2017-04-17-SliceDisagreementCheck.txt</v>
      </c>
      <c r="AE36" s="153" t="str">
        <f>"start /low /b "&amp;dls3logs&amp;" --loco "&amp;U36&amp;" --day "&amp;TEXT(V36,"YYYY-MM-DD")</f>
        <v>start /low /b %USERPROFILE%\Documents\GitHub\eaglep3\Utilities\DownloadLogsFromS3.py --loco 4023 --day 2017-04-17</v>
      </c>
      <c r="AF36" s="1"/>
    </row>
    <row r="37" spans="1:32" x14ac:dyDescent="0.25">
      <c r="A37" s="32">
        <v>42842.87122685185</v>
      </c>
      <c r="B37" s="30" t="s">
        <v>553</v>
      </c>
      <c r="C37" s="30" t="s">
        <v>633</v>
      </c>
      <c r="D37" s="30" t="s">
        <v>49</v>
      </c>
      <c r="E37" s="30" t="s">
        <v>185</v>
      </c>
      <c r="F37" s="43">
        <v>0</v>
      </c>
      <c r="G37" s="43">
        <v>34</v>
      </c>
      <c r="H37" s="43">
        <v>673</v>
      </c>
      <c r="I37" s="43">
        <v>645</v>
      </c>
      <c r="J37" s="30" t="s">
        <v>186</v>
      </c>
      <c r="K37" s="43">
        <v>575</v>
      </c>
      <c r="L37" s="139" t="s">
        <v>51</v>
      </c>
      <c r="M37" s="140">
        <f>CONVERT((I37-K37)/10000,"mi","ft")*IF(L37="Increasing Mileposts (1)",-1,1)</f>
        <v>36.96</v>
      </c>
      <c r="N37" s="141" t="str">
        <f>VLOOKUP(C37,'Trips&amp;Operators'!$C$1:$G$99999,5,FALSE)</f>
        <v>LEVIN SCOTT</v>
      </c>
      <c r="O37" s="190" t="s">
        <v>184</v>
      </c>
      <c r="P37" s="142"/>
      <c r="Q37" s="30"/>
      <c r="R37" s="89" t="str">
        <f>IF(VLOOKUP(C37,'Train Runs'!$A$13:$AE$9935,1,1)=C37,VLOOKUP(C37,'Train Runs'!$A$13:$AE$9935,31,1),NA())</f>
        <v>aws s3 cp s3://rtdc.mdm.uploadarchive.raw/RTDC4023/ "%USERPROFILE%\AppData\Local\Temp\OnboardLogs"\RTDC4023\2017-04-17 --exclude "*" --recursive --include "*20170417*" &amp; "%USERPROFILE%\Documents\GitHub\mrs-test-scripts\Headless Mode &amp; Sideloading\WalkAndUnGZ.bat" "%USERPROFILE%\AppData\Local\Temp\OnboardLogs"\RTDC4023\2017-04-17 &amp; aws s3 cp s3://rtdc.mdm.uploadarchive.raw/RTDC4023/ "%USERPROFILE%\AppData\Local\Temp\OnboardLogs"\RTDC4023\2017-04-18 --exclude "*" --recursive --include "*20170418*" &amp; "%USERPROFILE%\Documents\GitHub\mrs-test-scripts\Headless Mode &amp; Sideloading\WalkAndUnGZ.bat" "%USERPROFILE%\AppData\Local\Temp\OnboardLogs"\RTDC4023\2017-04-18</v>
      </c>
      <c r="S37" s="92" t="str">
        <f>VLOOKUP(C37,'Train Runs'!$A$13:$AE$9935,22,0)</f>
        <v>https://d0f6bd738d7f1b3e5a7ca70fe4ff75f0.us-east-1.aws.found.io/app/kibana#/discover/Steve-Slow-Train-Analysis-(2080s-and-2083s)?_g=(refreshInterval:(display:Off,pause:!f,section:0,value:0),time:(from:'2017-04-17T19:36:25-0600',mode:absolute,to:'2017-04-17T21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7" s="94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/stypes="*4023*201704180*" /stext=" 02:.+((SYSTEM_STATE.+slice.+state.+changed )|(ment ac)|(multiple cpu faults)|(system.+state.+changed )|(\[timeout)|(PRM\|1\|D)|(kpr)|(kdp)|(\|lc)|(penalty))"</v>
      </c>
      <c r="U37" s="9" t="str">
        <f>MID(B37,13,4)</f>
        <v>4023</v>
      </c>
      <c r="V37" s="32">
        <f>A37-utc_offset/24</f>
        <v>42843.12122685185</v>
      </c>
      <c r="W37" s="46" t="str">
        <f>IFERROR(IF(VALUE(LEFT(IF(LEN(C37)=6,"0"&amp;C37,C37),2))&lt;=2,"EC",IF(OR(VALUE(LEFT(IF(LEN(C37)=6,"0"&amp;C37,C37),2))=8,VALUE(LEFT(IF(LEN(C37)=6,"0"&amp;C37,C37),2))=18),"NW","Other")),"Other")</f>
        <v>NW</v>
      </c>
      <c r="X37" s="46" t="str">
        <f>IF(AND(E37="TRACK WARRANT AUTHORITY",G37&lt;10),"OMIT","KEEP")</f>
        <v>KEEP</v>
      </c>
      <c r="Y37" s="104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{"issue":{"subject":"","project_id":79,"tracker_id":40,"status_id":1,"priority_id":2,"assigned_to_id":23,"start_date":"2017-04-17","description":"","custom_fields":[{"id":1,"name":"Subdivision","value":"NW"},{"id":4,"name":"Milepost","value":"0.0575"},{"id":17,"name":"Train ID","value":"842-17"},{"id":16,"name":"Locomotive ID","value":"4023"},{"id":130,"name":"Impact","value":""},{"id":150,"name":"Time of Event (Mountain Time)","value":"20:54:34"},{"id":151,"name":"Denver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18"/>
      <c r="AA37" s="48"/>
      <c r="AB37" s="48"/>
      <c r="AC37" s="123" t="str">
        <f>"grep -hSE -A400 ""Enforcement Action"" "&amp;search_path&amp;"\RTDC"&amp;U37&amp;"\*"&amp;U37&amp;"*"&amp;TEXT(A37-utc_offset/24,"YYYYMMDD")&amp;LEFT(TEXT(A37-utc_offset/24,"HH"),1)&amp;"* | grep -SE ""((Enforcement Ac)|(PRM))"" -"</f>
        <v>grep -hSE -A400 "Enforcement Action" "%USERPROFILE%\AppData\Local\Temp\OnboardLogs"\RTDC4023\*4023*201704180*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"%USERPROFILE%\AppData\Local\Temp\OnboardLogs"\RTDC4023\*4023*201704180* &gt;&gt; 2017-04-17-SliceDisagreementCheck.txt</v>
      </c>
      <c r="AE37" s="153" t="str">
        <f>"start /low /b "&amp;dls3logs&amp;" --loco "&amp;U37&amp;" --day "&amp;TEXT(V37,"YYYY-MM-DD")</f>
        <v>start /low /b %USERPROFILE%\Documents\GitHub\eaglep3\Utilities\DownloadLogsFromS3.py --loco 4023 --day 2017-04-18</v>
      </c>
      <c r="AF37" s="1"/>
    </row>
    <row r="38" spans="1:32" x14ac:dyDescent="0.25">
      <c r="A38" s="32">
        <v>42842.74046296296</v>
      </c>
      <c r="B38" s="30" t="s">
        <v>547</v>
      </c>
      <c r="C38" s="30" t="s">
        <v>627</v>
      </c>
      <c r="D38" s="30" t="s">
        <v>98</v>
      </c>
      <c r="E38" s="30" t="s">
        <v>603</v>
      </c>
      <c r="F38" s="43">
        <v>0</v>
      </c>
      <c r="G38" s="43">
        <v>39</v>
      </c>
      <c r="H38" s="43">
        <v>1768</v>
      </c>
      <c r="I38" s="43">
        <v>1806</v>
      </c>
      <c r="J38" s="30" t="s">
        <v>604</v>
      </c>
      <c r="K38" s="43">
        <v>1692</v>
      </c>
      <c r="L38" s="139" t="s">
        <v>50</v>
      </c>
      <c r="M38" s="140">
        <f>CONVERT((I38-K38)/10000,"mi","ft")*IF(L38="Increasing Mileposts (1)",-1,1)</f>
        <v>-60.192</v>
      </c>
      <c r="N38" s="141" t="str">
        <f>VLOOKUP(C38,'Trips&amp;Operators'!$C$1:$G$99999,5,FALSE)</f>
        <v>NELSON ARIANE</v>
      </c>
      <c r="O38" s="190" t="s">
        <v>184</v>
      </c>
      <c r="P38" s="142"/>
      <c r="Q38" s="30"/>
      <c r="R38" s="89" t="e">
        <f>IF(VLOOKUP(C38,'Train Runs'!$A$13:$AE$9935,1,1)=C38,VLOOKUP(C38,'Train Runs'!$A$13:$AE$9935,31,1),NA())</f>
        <v>#N/A</v>
      </c>
      <c r="S38" s="92" t="str">
        <f>VLOOKUP(C38,'Train Runs'!$A$13:$AE$9935,22,0)</f>
        <v>https://d0f6bd738d7f1b3e5a7ca70fe4ff75f0.us-east-1.aws.found.io/app/kibana#/discover/Steve-Slow-Train-Analysis-(2080s-and-2083s)?_g=(refreshInterval:(display:Off,pause:!f,section:0,value:0),time:(from:'2017-04-17T16:19:41-0600',mode:absolute,to:'2017-04-17T18:46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8" s="94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/stypes="*4016*201704172*" /stext=" 23:.+((SYSTEM_STATE.+slice.+state.+changed )|(ment ac)|(multiple cpu faults)|(system.+state.+changed )|(\[timeout)|(PRM\|1\|D)|(kpr)|(kdp)|(\|lc)|(penalty))"</v>
      </c>
      <c r="U38" s="9" t="str">
        <f>MID(B38,13,4)</f>
        <v>4016</v>
      </c>
      <c r="V38" s="32">
        <f>A38-utc_offset/24</f>
        <v>42842.99046296296</v>
      </c>
      <c r="W38" s="46" t="str">
        <f>IFERROR(IF(VALUE(LEFT(IF(LEN(C38)=6,"0"&amp;C38,C38),2))&lt;=2,"EC",IF(OR(VALUE(LEFT(IF(LEN(C38)=6,"0"&amp;C38,C38),2))=8,VALUE(LEFT(IF(LEN(C38)=6,"0"&amp;C38,C38),2))=18),"NW","Other")),"Other")</f>
        <v>Other</v>
      </c>
      <c r="X38" s="46" t="str">
        <f>IF(AND(E38="TRACK WARRANT AUTHORITY",G38&lt;10),"OMIT","KEEP")</f>
        <v>KEEP</v>
      </c>
      <c r="Y38" s="104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{"issue":{"subject":"","project_id":79,"tracker_id":40,"status_id":1,"priority_id":2,"assigned_to_id":23,"start_date":"2017-04-17","description":"","custom_fields":[{"id":1,"name":"Subdivision","value":"Other"},{"id":4,"name":"Milepost","value":"0.1692"},{"id":17,"name":"Train ID","value":"65-17"},{"id":16,"name":"Locomotive ID","value":"4016"},{"id":130,"name":"Impact","value":""},{"id":150,"name":"Time of Event (Mountain Time)","value":"17:46:16"},{"id":151,"name":"Denver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18"/>
      <c r="AA38" s="48"/>
      <c r="AB38" s="48"/>
      <c r="AC38" s="123" t="str">
        <f>"grep -hSE -A400 ""Enforcement Action"" "&amp;search_path&amp;"\RTDC"&amp;U38&amp;"\*"&amp;U38&amp;"*"&amp;TEXT(A38-utc_offset/24,"YYYYMMDD")&amp;LEFT(TEXT(A38-utc_offset/24,"HH"),1)&amp;"* | grep -SE ""((Enforcement Ac)|(PRM))"" -"</f>
        <v>grep -hSE -A400 "Enforcement Action" "%USERPROFILE%\AppData\Local\Temp\OnboardLogs"\RTDC4016\*4016*201704172*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"%USERPROFILE%\AppData\Local\Temp\OnboardLogs"\RTDC4016\*4016*201704172* &gt;&gt; 2017-04-17-SliceDisagreementCheck.txt</v>
      </c>
      <c r="AE38" s="153" t="str">
        <f>"start /low /b "&amp;dls3logs&amp;" --loco "&amp;U38&amp;" --day "&amp;TEXT(V38,"YYYY-MM-DD")</f>
        <v>start /low /b %USERPROFILE%\Documents\GitHub\eaglep3\Utilities\DownloadLogsFromS3.py --loco 4016 --day 2017-04-17</v>
      </c>
      <c r="AF38" s="1"/>
    </row>
    <row r="39" spans="1:32" x14ac:dyDescent="0.25">
      <c r="A39" s="32">
        <v>42842.4452662037</v>
      </c>
      <c r="B39" s="30" t="s">
        <v>420</v>
      </c>
      <c r="C39" s="30" t="s">
        <v>616</v>
      </c>
      <c r="D39" s="30" t="s">
        <v>98</v>
      </c>
      <c r="E39" s="30" t="s">
        <v>185</v>
      </c>
      <c r="F39" s="43">
        <v>0</v>
      </c>
      <c r="G39" s="43">
        <v>7</v>
      </c>
      <c r="H39" s="43">
        <v>826</v>
      </c>
      <c r="I39" s="43">
        <v>0</v>
      </c>
      <c r="J39" s="30" t="s">
        <v>186</v>
      </c>
      <c r="K39" s="43">
        <v>826</v>
      </c>
      <c r="L39" s="139" t="s">
        <v>51</v>
      </c>
      <c r="M39" s="140">
        <f>CONVERT((I39-K39)/10000,"mi","ft")*IF(L39="Increasing Mileposts (1)",-1,1)</f>
        <v>-436.12799999999999</v>
      </c>
      <c r="N39" s="141" t="str">
        <f>VLOOKUP(C39,'Trips&amp;Operators'!$C$1:$G$99999,5,FALSE)</f>
        <v>DAVIS MICHAEL</v>
      </c>
      <c r="O39" s="190" t="s">
        <v>184</v>
      </c>
      <c r="P39" s="142"/>
      <c r="Q39" s="30"/>
      <c r="R39" s="89" t="e">
        <f>IF(VLOOKUP(C39,'Train Runs'!$A$13:$AE$9935,1,1)=C39,VLOOKUP(C39,'Train Runs'!$A$13:$AE$9935,31,1),NA())</f>
        <v>#N/A</v>
      </c>
      <c r="S39" s="92" t="str">
        <f>VLOOKUP(C39,'Train Runs'!$A$13:$AE$9935,22,0)</f>
        <v>https://d0f6bd738d7f1b3e5a7ca70fe4ff75f0.us-east-1.aws.found.io/app/kibana#/discover/Steve-Slow-Train-Analysis-(2080s-and-2083s)?_g=(refreshInterval:(display:Off,pause:!f,section:0,value:0),time:(from:'2017-04-17T09:26:44-0600',mode:absolute,to:'2017-04-17T11:41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9" s="94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/stypes="*4003*201704171*" /stext=" 16:.+((SYSTEM_STATE.+slice.+state.+changed )|(ment ac)|(multiple cpu faults)|(system.+state.+changed )|(\[timeout)|(PRM\|1\|D)|(kpr)|(kdp)|(\|lc)|(penalty))"</v>
      </c>
      <c r="U39" s="9" t="str">
        <f>MID(B39,13,4)</f>
        <v>4003</v>
      </c>
      <c r="V39" s="32">
        <f>A39-utc_offset/24</f>
        <v>42842.6952662037</v>
      </c>
      <c r="W39" s="46" t="str">
        <f>IFERROR(IF(VALUE(LEFT(IF(LEN(C39)=6,"0"&amp;C39,C39),2))&lt;=2,"EC",IF(OR(VALUE(LEFT(IF(LEN(C39)=6,"0"&amp;C39,C39),2))=8,VALUE(LEFT(IF(LEN(C39)=6,"0"&amp;C39,C39),2))=18),"NW","Other")),"Other")</f>
        <v>Other</v>
      </c>
      <c r="X39" s="46" t="str">
        <f>IF(AND(E39="TRACK WARRANT AUTHORITY",G39&lt;10),"OMIT","KEEP")</f>
        <v>OMIT</v>
      </c>
      <c r="Y39" s="104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{"issue":{"subject":"","project_id":79,"tracker_id":40,"status_id":1,"priority_id":2,"assigned_to_id":23,"start_date":"2017-04-17","description":"","custom_fields":[{"id":1,"name":"Subdivision","value":"Other"},{"id":4,"name":"Milepost","value":"0.0826"},{"id":17,"name":"Train ID","value":"56-17"},{"id":16,"name":"Locomotive ID","value":"4003"},{"id":130,"name":"Impact","value":""},{"id":150,"name":"Time of Event (Mountain Time)","value":"10:41:11"},{"id":151,"name":"Denver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18"/>
      <c r="AA39" s="48"/>
      <c r="AB39" s="48"/>
      <c r="AC39" s="123" t="str">
        <f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"%USERPROFILE%\AppData\Local\Temp\OnboardLogs"\RTDC4003\*4003*201704171*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"%USERPROFILE%\AppData\Local\Temp\OnboardLogs"\RTDC4003\*4003*201704171* &gt;&gt; 2017-04-17-SliceDisagreementCheck.txt</v>
      </c>
      <c r="AE39" s="153" t="str">
        <f>"start /low /b "&amp;dls3logs&amp;" --loco "&amp;U39&amp;" --day "&amp;TEXT(V39,"YYYY-MM-DD")</f>
        <v>start /low /b %USERPROFILE%\Documents\GitHub\eaglep3\Utilities\DownloadLogsFromS3.py --loco 4003 --day 2017-04-17</v>
      </c>
      <c r="AF39" s="1"/>
    </row>
    <row r="40" spans="1:32" x14ac:dyDescent="0.25">
      <c r="A40" s="32">
        <v>42842.134571759256</v>
      </c>
      <c r="B40" s="30" t="s">
        <v>398</v>
      </c>
      <c r="C40" s="30" t="s">
        <v>563</v>
      </c>
      <c r="D40" s="30" t="s">
        <v>49</v>
      </c>
      <c r="E40" s="30" t="s">
        <v>185</v>
      </c>
      <c r="F40" s="43">
        <v>0</v>
      </c>
      <c r="G40" s="43">
        <v>11</v>
      </c>
      <c r="H40" s="43">
        <v>858</v>
      </c>
      <c r="I40" s="43">
        <v>848</v>
      </c>
      <c r="J40" s="30" t="s">
        <v>186</v>
      </c>
      <c r="K40" s="43">
        <v>839</v>
      </c>
      <c r="L40" s="139" t="s">
        <v>51</v>
      </c>
      <c r="M40" s="140">
        <f>CONVERT((I40-K40)/10000,"mi","ft")*IF(L40="Increasing Mileposts (1)",-1,1)</f>
        <v>4.7519999999999998</v>
      </c>
      <c r="N40" s="141" t="str">
        <f>VLOOKUP(C40,'Trips&amp;Operators'!$C$1:$G$99999,5,FALSE)</f>
        <v>DUNCAN SHEILA</v>
      </c>
      <c r="O40" s="190" t="s">
        <v>184</v>
      </c>
      <c r="P40" s="142"/>
      <c r="Q40" s="30"/>
      <c r="R40" s="89" t="e">
        <f>IF(VLOOKUP(C40,'Train Runs'!$A$13:$AE$9935,1,1)=C40,VLOOKUP(C40,'Train Runs'!$A$13:$AE$9935,31,1),NA())</f>
        <v>#N/A</v>
      </c>
      <c r="S40" s="92" t="str">
        <f>VLOOKUP(C40,'Train Runs'!$A$13:$AE$9935,22,0)</f>
        <v>https://d0f6bd738d7f1b3e5a7ca70fe4ff75f0.us-east-1.aws.found.io/app/kibana#/discover/Steve-Slow-Train-Analysis-(2080s-and-2083s)?_g=(refreshInterval:(display:Off,pause:!f,section:0,value:0),time:(from:'2017-04-17T01:43:48-0600',mode:absolute,to:'2017-04-17T04:13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0" s="94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/stypes="*4013*201704170*" /stext=" 09:.+((SYSTEM_STATE.+slice.+state.+changed )|(ment ac)|(multiple cpu faults)|(system.+state.+changed )|(\[timeout)|(PRM\|1\|D)|(kpr)|(kdp)|(\|lc)|(penalty))"</v>
      </c>
      <c r="U40" s="9" t="str">
        <f>MID(B40,13,4)</f>
        <v>4013</v>
      </c>
      <c r="V40" s="32">
        <f>A40-utc_offset/24</f>
        <v>42842.384571759256</v>
      </c>
      <c r="W40" s="46" t="str">
        <f>IFERROR(IF(VALUE(LEFT(IF(LEN(C40)=6,"0"&amp;C40,C40),2))&lt;=2,"EC",IF(OR(VALUE(LEFT(IF(LEN(C40)=6,"0"&amp;C40,C40),2))=8,VALUE(LEFT(IF(LEN(C40)=6,"0"&amp;C40,C40),2))=18),"NW","Other")),"Other")</f>
        <v>Other</v>
      </c>
      <c r="X40" s="46" t="str">
        <f>IF(AND(E40="TRACK WARRANT AUTHORITY",G40&lt;10),"OMIT","KEEP")</f>
        <v>KEEP</v>
      </c>
      <c r="Y40" s="104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{"issue":{"subject":"","project_id":79,"tracker_id":40,"status_id":1,"priority_id":2,"assigned_to_id":23,"start_date":"2017-04-17","description":"","custom_fields":[{"id":1,"name":"Subdivision","value":"Other"},{"id":4,"name":"Milepost","value":"0.0839"},{"id":17,"name":"Train ID","value":"50-17"},{"id":16,"name":"Locomotive ID","value":"4013"},{"id":130,"name":"Impact","value":""},{"id":150,"name":"Time of Event (Mountain Time)","value":"03:13:47"},{"id":151,"name":"Denver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18"/>
      <c r="AA40" s="48"/>
      <c r="AB40" s="48"/>
      <c r="AC40" s="123" t="str">
        <f>"grep -hSE -A400 ""Enforcement Action"" "&amp;search_path&amp;"\RTDC"&amp;U40&amp;"\*"&amp;U40&amp;"*"&amp;TEXT(A40-utc_offset/24,"YYYYMMDD")&amp;LEFT(TEXT(A40-utc_offset/24,"HH"),1)&amp;"* | grep -SE ""((Enforcement Ac)|(PRM))"" -"</f>
        <v>grep -hSE -A400 "Enforcement Action" "%USERPROFILE%\AppData\Local\Temp\OnboardLogs"\RTDC4013\*4013*201704170*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"%USERPROFILE%\AppData\Local\Temp\OnboardLogs"\RTDC4013\*4013*201704170* &gt;&gt; 2017-04-17-SliceDisagreementCheck.txt</v>
      </c>
      <c r="AE40" s="153" t="str">
        <f>"start /low /b "&amp;dls3logs&amp;" --loco "&amp;U40&amp;" --day "&amp;TEXT(V40,"YYYY-MM-DD")</f>
        <v>start /low /b %USERPROFILE%\Documents\GitHub\eaglep3\Utilities\DownloadLogsFromS3.py --loco 4013 --day 2017-04-17</v>
      </c>
      <c r="AF40" s="1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Z69"/>
      <c r="AC69"/>
      <c r="AE69"/>
    </row>
  </sheetData>
  <autoFilter ref="A6:AC69">
    <sortState ref="A7:AC69">
      <sortCondition ref="A6:A69"/>
    </sortState>
  </autoFilter>
  <sortState ref="A7:AE40">
    <sortCondition ref="W7:W40"/>
    <sortCondition ref="E7:E40"/>
    <sortCondition ref="K7:K40"/>
    <sortCondition ref="C7:C40"/>
    <sortCondition ref="F7:F40"/>
  </sortState>
  <mergeCells count="1">
    <mergeCell ref="A5:O5"/>
  </mergeCells>
  <conditionalFormatting sqref="O6:P6 R6 O70:O1048576 O7:O4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0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AA7:AA40</xm:sqref>
        </x14:dataValidation>
        <x14:dataValidation type="list" allowBlank="1" showInputMessage="1" showErrorMessage="1">
          <x14:formula1>
            <xm:f>'Redmine List Values'!$C$2:$C$15</xm:f>
          </x14:formula1>
          <xm:sqref>AB7:AB40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5"/>
  <sheetViews>
    <sheetView workbookViewId="0">
      <selection activeCell="A3" sqref="A3:A9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2017-04-17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/>
      <c r="B3" s="43" t="str">
        <f>A3&amp;"-"&amp;IF(DAY(Variables!$A$2)&lt;10,0,"")&amp;DAY(Variables!$A$2)</f>
        <v>-17</v>
      </c>
      <c r="C3" s="143"/>
      <c r="D3" s="161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3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" s="30" t="e">
        <f>VLOOKUP(B3,'Train Runs'!$A$13:$A$99932,1,FALSE)</f>
        <v>#N/A</v>
      </c>
    </row>
    <row r="4" spans="1:10" x14ac:dyDescent="0.25">
      <c r="A4" s="181"/>
      <c r="B4" s="43" t="str">
        <f>A4&amp;"-"&amp;IF(DAY(Variables!$A$2)&lt;10,0,"")&amp;DAY(Variables!$A$2)</f>
        <v>-17</v>
      </c>
      <c r="C4" s="143"/>
      <c r="D4" s="161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" s="30" t="e">
        <f>VLOOKUP(B4,'Train Runs'!$A$13:$A$99932,1,FALSE)</f>
        <v>#N/A</v>
      </c>
    </row>
    <row r="5" spans="1:10" x14ac:dyDescent="0.25">
      <c r="A5" s="181"/>
      <c r="B5" s="43" t="str">
        <f>A5&amp;"-"&amp;IF(DAY(Variables!$A$2)&lt;10,0,"")&amp;DAY(Variables!$A$2)</f>
        <v>-17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" s="30" t="e">
        <f>VLOOKUP(B5,'Train Runs'!$A$13:$A$99932,1,FALSE)</f>
        <v>#N/A</v>
      </c>
    </row>
    <row r="6" spans="1:10" x14ac:dyDescent="0.25">
      <c r="A6" s="181"/>
      <c r="B6" s="43" t="str">
        <f>A6&amp;"-"&amp;IF(DAY(Variables!$A$2)&lt;10,0,"")&amp;DAY(Variables!$A$2)</f>
        <v>-17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" s="30" t="e">
        <f>VLOOKUP(B6,'Train Runs'!$A$13:$A$99932,1,FALSE)</f>
        <v>#N/A</v>
      </c>
    </row>
    <row r="7" spans="1:10" x14ac:dyDescent="0.25">
      <c r="A7" s="181"/>
      <c r="B7" s="43" t="str">
        <f>A7&amp;"-"&amp;IF(DAY(Variables!$A$2)&lt;10,0,"")&amp;DAY(Variables!$A$2)</f>
        <v>-17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" s="30" t="e">
        <f>VLOOKUP(B7,'Train Runs'!$A$13:$A$99932,1,FALSE)</f>
        <v>#N/A</v>
      </c>
    </row>
    <row r="8" spans="1:10" x14ac:dyDescent="0.25">
      <c r="A8" s="181"/>
      <c r="B8" s="43" t="str">
        <f>A8&amp;"-"&amp;IF(DAY(Variables!$A$2)&lt;10,0,"")&amp;DAY(Variables!$A$2)</f>
        <v>-17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" s="30" t="e">
        <f>VLOOKUP(B8,'Train Runs'!$A$13:$A$99932,1,FALSE)</f>
        <v>#N/A</v>
      </c>
    </row>
    <row r="9" spans="1:10" x14ac:dyDescent="0.25">
      <c r="A9" s="181"/>
      <c r="B9" s="43" t="str">
        <f>A9&amp;"-"&amp;IF(DAY(Variables!$A$2)&lt;10,0,"")&amp;DAY(Variables!$A$2)</f>
        <v>-17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" s="30" t="e">
        <f>VLOOKUP(B9,'Train Runs'!$A$13:$A$99932,1,FALSE)</f>
        <v>#N/A</v>
      </c>
    </row>
    <row r="10" spans="1:10" x14ac:dyDescent="0.25">
      <c r="A10" s="181"/>
      <c r="B10" s="43" t="str">
        <f>A10&amp;"-"&amp;IF(DAY(Variables!$A$2)&lt;10,0,"")&amp;DAY(Variables!$A$2)</f>
        <v>-17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" s="30" t="e">
        <f>VLOOKUP(B10,'Train Runs'!$A$13:$A$99932,1,FALSE)</f>
        <v>#N/A</v>
      </c>
    </row>
    <row r="11" spans="1:10" x14ac:dyDescent="0.25">
      <c r="A11" s="181"/>
      <c r="B11" s="43" t="str">
        <f>A11&amp;"-"&amp;IF(DAY(Variables!$A$2)&lt;10,0,"")&amp;DAY(Variables!$A$2)</f>
        <v>-17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" s="30" t="e">
        <f>VLOOKUP(B11,'Train Runs'!$A$13:$A$99932,1,FALSE)</f>
        <v>#N/A</v>
      </c>
    </row>
    <row r="12" spans="1:10" x14ac:dyDescent="0.25">
      <c r="A12" s="181"/>
      <c r="B12" s="43" t="str">
        <f>A12&amp;"-"&amp;IF(DAY(Variables!$A$2)&lt;10,0,"")&amp;DAY(Variables!$A$2)</f>
        <v>-17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2" s="30" t="e">
        <f>VLOOKUP(B12,'Train Runs'!$A$13:$A$99932,1,FALSE)</f>
        <v>#N/A</v>
      </c>
    </row>
    <row r="13" spans="1:10" x14ac:dyDescent="0.25">
      <c r="A13" s="181"/>
      <c r="B13" s="43" t="str">
        <f>A13&amp;"-"&amp;IF(DAY(Variables!$A$2)&lt;10,0,"")&amp;DAY(Variables!$A$2)</f>
        <v>-17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3" s="30" t="e">
        <f>VLOOKUP(B13,'Train Runs'!$A$13:$A$99932,1,FALSE)</f>
        <v>#N/A</v>
      </c>
    </row>
    <row r="14" spans="1:10" x14ac:dyDescent="0.25">
      <c r="A14" s="181"/>
      <c r="B14" s="43" t="str">
        <f>A14&amp;"-"&amp;IF(DAY(Variables!$A$2)&lt;10,0,"")&amp;DAY(Variables!$A$2)</f>
        <v>-17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4" s="30" t="e">
        <f>VLOOKUP(B14,'Train Runs'!$A$13:$A$99932,1,FALSE)</f>
        <v>#N/A</v>
      </c>
    </row>
    <row r="15" spans="1:10" x14ac:dyDescent="0.25">
      <c r="A15" s="181"/>
      <c r="B15" s="43" t="str">
        <f>A15&amp;"-"&amp;IF(DAY(Variables!$A$2)&lt;10,0,"")&amp;DAY(Variables!$A$2)</f>
        <v>-17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5" s="30" t="e">
        <f>VLOOKUP(B15,'Train Runs'!$A$13:$A$99932,1,FALSE)</f>
        <v>#N/A</v>
      </c>
    </row>
    <row r="16" spans="1:10" x14ac:dyDescent="0.25">
      <c r="A16" s="181"/>
      <c r="B16" s="43" t="str">
        <f>A16&amp;"-"&amp;IF(DAY(Variables!$A$2)&lt;10,0,"")&amp;DAY(Variables!$A$2)</f>
        <v>-17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6" s="30" t="e">
        <f>VLOOKUP(B16,'Train Runs'!$A$13:$A$99932,1,FALSE)</f>
        <v>#N/A</v>
      </c>
    </row>
    <row r="17" spans="1:10" x14ac:dyDescent="0.25">
      <c r="A17" s="181"/>
      <c r="B17" s="43" t="str">
        <f>A17&amp;"-"&amp;IF(DAY(Variables!$A$2)&lt;10,0,"")&amp;DAY(Variables!$A$2)</f>
        <v>-17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7" s="30" t="e">
        <f>VLOOKUP(B17,'Train Runs'!$A$13:$A$99932,1,FALSE)</f>
        <v>#N/A</v>
      </c>
    </row>
    <row r="18" spans="1:10" x14ac:dyDescent="0.25">
      <c r="A18" s="181"/>
      <c r="B18" s="43" t="str">
        <f>A18&amp;"-"&amp;IF(DAY(Variables!$A$2)&lt;10,0,"")&amp;DAY(Variables!$A$2)</f>
        <v>-17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8" s="30" t="e">
        <f>VLOOKUP(B18,'Train Runs'!$A$13:$A$99932,1,FALSE)</f>
        <v>#N/A</v>
      </c>
    </row>
    <row r="19" spans="1:10" x14ac:dyDescent="0.25">
      <c r="A19" s="181"/>
      <c r="B19" s="43" t="str">
        <f>A19&amp;"-"&amp;IF(DAY(Variables!$A$2)&lt;10,0,"")&amp;DAY(Variables!$A$2)</f>
        <v>-17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9" s="30" t="e">
        <f>VLOOKUP(B19,'Train Runs'!$A$13:$A$99932,1,FALSE)</f>
        <v>#N/A</v>
      </c>
    </row>
    <row r="20" spans="1:10" x14ac:dyDescent="0.25">
      <c r="A20" s="181"/>
      <c r="B20" s="43" t="str">
        <f>A20&amp;"-"&amp;IF(DAY(Variables!$A$2)&lt;10,0,"")&amp;DAY(Variables!$A$2)</f>
        <v>-17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0" s="30" t="e">
        <f>VLOOKUP(B20,'Train Runs'!$A$13:$A$99932,1,FALSE)</f>
        <v>#N/A</v>
      </c>
    </row>
    <row r="21" spans="1:10" x14ac:dyDescent="0.25">
      <c r="A21" s="181"/>
      <c r="B21" s="43" t="str">
        <f>A21&amp;"-"&amp;IF(DAY(Variables!$A$2)&lt;10,0,"")&amp;DAY(Variables!$A$2)</f>
        <v>-17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1" s="30" t="e">
        <f>VLOOKUP(B21,'Train Runs'!$A$13:$A$99932,1,FALSE)</f>
        <v>#N/A</v>
      </c>
    </row>
    <row r="22" spans="1:10" x14ac:dyDescent="0.25">
      <c r="A22" s="181"/>
      <c r="B22" s="43" t="str">
        <f>A22&amp;"-"&amp;IF(DAY(Variables!$A$2)&lt;10,0,"")&amp;DAY(Variables!$A$2)</f>
        <v>-17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2" s="30" t="e">
        <f>VLOOKUP(B22,'Train Runs'!$A$13:$A$99932,1,FALSE)</f>
        <v>#N/A</v>
      </c>
    </row>
    <row r="23" spans="1:10" x14ac:dyDescent="0.25">
      <c r="A23" s="181"/>
      <c r="B23" s="43" t="str">
        <f>A23&amp;"-"&amp;IF(DAY(Variables!$A$2)&lt;10,0,"")&amp;DAY(Variables!$A$2)</f>
        <v>-17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3" s="30" t="e">
        <f>VLOOKUP(B23,'Train Runs'!$A$13:$A$99932,1,FALSE)</f>
        <v>#N/A</v>
      </c>
    </row>
    <row r="24" spans="1:10" x14ac:dyDescent="0.25">
      <c r="A24" s="181"/>
      <c r="B24" s="43" t="str">
        <f>A24&amp;"-"&amp;IF(DAY(Variables!$A$2)&lt;10,0,"")&amp;DAY(Variables!$A$2)</f>
        <v>-17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4" s="30" t="e">
        <f>VLOOKUP(B24,'Train Runs'!$A$13:$A$99932,1,FALSE)</f>
        <v>#N/A</v>
      </c>
    </row>
    <row r="25" spans="1:10" x14ac:dyDescent="0.25">
      <c r="A25" s="181"/>
      <c r="B25" s="43" t="str">
        <f>A25&amp;"-"&amp;IF(DAY(Variables!$A$2)&lt;10,0,"")&amp;DAY(Variables!$A$2)</f>
        <v>-17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5" s="30" t="e">
        <f>VLOOKUP(B25,'Train Runs'!$A$13:$A$99932,1,FALSE)</f>
        <v>#N/A</v>
      </c>
    </row>
    <row r="26" spans="1:10" x14ac:dyDescent="0.25">
      <c r="A26" s="181"/>
      <c r="B26" s="43" t="str">
        <f>A26&amp;"-"&amp;IF(DAY(Variables!$A$2)&lt;10,0,"")&amp;DAY(Variables!$A$2)</f>
        <v>-17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6" s="30" t="e">
        <f>VLOOKUP(B26,'Train Runs'!$A$13:$A$99932,1,FALSE)</f>
        <v>#N/A</v>
      </c>
    </row>
    <row r="27" spans="1:10" x14ac:dyDescent="0.25">
      <c r="A27" s="181"/>
      <c r="B27" s="43" t="str">
        <f>A27&amp;"-"&amp;IF(DAY(Variables!$A$2)&lt;10,0,"")&amp;DAY(Variables!$A$2)</f>
        <v>-17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7" s="30" t="e">
        <f>VLOOKUP(B27,'Train Runs'!$A$13:$A$99932,1,FALSE)</f>
        <v>#N/A</v>
      </c>
    </row>
    <row r="28" spans="1:10" x14ac:dyDescent="0.25">
      <c r="A28" s="181"/>
      <c r="B28" s="43" t="str">
        <f>A28&amp;"-"&amp;IF(DAY(Variables!$A$2)&lt;10,0,"")&amp;DAY(Variables!$A$2)</f>
        <v>-17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8" s="30" t="e">
        <f>VLOOKUP(B28,'Train Runs'!$A$13:$A$99932,1,FALSE)</f>
        <v>#N/A</v>
      </c>
    </row>
    <row r="29" spans="1:10" x14ac:dyDescent="0.25">
      <c r="A29" s="181"/>
      <c r="B29" s="43" t="str">
        <f>A29&amp;"-"&amp;IF(DAY(Variables!$A$2)&lt;10,0,"")&amp;DAY(Variables!$A$2)</f>
        <v>-17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9" s="30" t="e">
        <f>VLOOKUP(B29,'Train Runs'!$A$13:$A$99932,1,FALSE)</f>
        <v>#N/A</v>
      </c>
    </row>
    <row r="30" spans="1:10" x14ac:dyDescent="0.25">
      <c r="A30" s="181"/>
      <c r="B30" s="43" t="str">
        <f>A30&amp;"-"&amp;IF(DAY(Variables!$A$2)&lt;10,0,"")&amp;DAY(Variables!$A$2)</f>
        <v>-17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0" s="30" t="e">
        <f>VLOOKUP(B30,'Train Runs'!$A$13:$A$99932,1,FALSE)</f>
        <v>#N/A</v>
      </c>
    </row>
    <row r="31" spans="1:10" x14ac:dyDescent="0.25">
      <c r="A31" s="181"/>
      <c r="B31" s="43" t="str">
        <f>A31&amp;"-"&amp;IF(DAY(Variables!$A$2)&lt;10,0,"")&amp;DAY(Variables!$A$2)</f>
        <v>-17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1" s="30" t="e">
        <f>VLOOKUP(B31,'Train Runs'!$A$13:$A$99932,1,FALSE)</f>
        <v>#N/A</v>
      </c>
    </row>
    <row r="32" spans="1:10" x14ac:dyDescent="0.25">
      <c r="A32" s="181"/>
      <c r="B32" s="43" t="str">
        <f>A32&amp;"-"&amp;IF(DAY(Variables!$A$2)&lt;10,0,"")&amp;DAY(Variables!$A$2)</f>
        <v>-17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ref="I32:I6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2" s="30" t="e">
        <f>VLOOKUP(B32,'Train Runs'!$A$13:$A$99932,1,FALSE)</f>
        <v>#N/A</v>
      </c>
    </row>
    <row r="33" spans="1:10" x14ac:dyDescent="0.25">
      <c r="A33" s="181"/>
      <c r="B33" s="43" t="str">
        <f>A33&amp;"-"&amp;IF(DAY(Variables!$A$2)&lt;10,0,"")&amp;DAY(Variables!$A$2)</f>
        <v>-17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3" s="30" t="e">
        <f>VLOOKUP(B33,'Train Runs'!$A$13:$A$99932,1,FALSE)</f>
        <v>#N/A</v>
      </c>
    </row>
    <row r="34" spans="1:10" x14ac:dyDescent="0.25">
      <c r="A34" s="181"/>
      <c r="B34" s="43" t="str">
        <f>A34&amp;"-"&amp;IF(DAY(Variables!$A$2)&lt;10,0,"")&amp;DAY(Variables!$A$2)</f>
        <v>-17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4" s="30" t="e">
        <f>VLOOKUP(B34,'Train Runs'!$A$13:$A$99932,1,FALSE)</f>
        <v>#N/A</v>
      </c>
    </row>
    <row r="35" spans="1:10" x14ac:dyDescent="0.25">
      <c r="A35" s="181"/>
      <c r="B35" s="43" t="str">
        <f>A35&amp;"-"&amp;IF(DAY(Variables!$A$2)&lt;10,0,"")&amp;DAY(Variables!$A$2)</f>
        <v>-17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5" s="30" t="e">
        <f>VLOOKUP(B35,'Train Runs'!$A$13:$A$99932,1,FALSE)</f>
        <v>#N/A</v>
      </c>
    </row>
    <row r="36" spans="1:10" x14ac:dyDescent="0.25">
      <c r="A36" s="181"/>
      <c r="B36" s="43" t="str">
        <f>A36&amp;"-"&amp;IF(DAY(Variables!$A$2)&lt;10,0,"")&amp;DAY(Variables!$A$2)</f>
        <v>-17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6" s="30" t="e">
        <f>VLOOKUP(B36,'Train Runs'!$A$13:$A$99932,1,FALSE)</f>
        <v>#N/A</v>
      </c>
    </row>
    <row r="37" spans="1:10" x14ac:dyDescent="0.25">
      <c r="A37" s="181"/>
      <c r="B37" s="43" t="str">
        <f>A37&amp;"-"&amp;IF(DAY(Variables!$A$2)&lt;10,0,"")&amp;DAY(Variables!$A$2)</f>
        <v>-17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7" s="30" t="e">
        <f>VLOOKUP(B37,'Train Runs'!$A$13:$A$99932,1,FALSE)</f>
        <v>#N/A</v>
      </c>
    </row>
    <row r="38" spans="1:10" x14ac:dyDescent="0.25">
      <c r="A38" s="181"/>
      <c r="B38" s="43" t="str">
        <f>A38&amp;"-"&amp;IF(DAY(Variables!$A$2)&lt;10,0,"")&amp;DAY(Variables!$A$2)</f>
        <v>-17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8" s="30" t="e">
        <f>VLOOKUP(B38,'Train Runs'!$A$13:$A$99932,1,FALSE)</f>
        <v>#N/A</v>
      </c>
    </row>
    <row r="39" spans="1:10" x14ac:dyDescent="0.25">
      <c r="A39" s="181"/>
      <c r="B39" s="43" t="str">
        <f>A39&amp;"-"&amp;IF(DAY(Variables!$A$2)&lt;10,0,"")&amp;DAY(Variables!$A$2)</f>
        <v>-17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9" s="30" t="e">
        <f>VLOOKUP(B39,'Train Runs'!$A$13:$A$99932,1,FALSE)</f>
        <v>#N/A</v>
      </c>
    </row>
    <row r="40" spans="1:10" x14ac:dyDescent="0.25">
      <c r="A40" s="181"/>
      <c r="B40" s="43" t="str">
        <f>A40&amp;"-"&amp;IF(DAY(Variables!$A$2)&lt;10,0,"")&amp;DAY(Variables!$A$2)</f>
        <v>-17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0" s="30" t="e">
        <f>VLOOKUP(B40,'Train Runs'!$A$13:$A$99932,1,FALSE)</f>
        <v>#N/A</v>
      </c>
    </row>
    <row r="41" spans="1:10" x14ac:dyDescent="0.25">
      <c r="A41" s="181"/>
      <c r="B41" s="43" t="str">
        <f>A41&amp;"-"&amp;IF(DAY(Variables!$A$2)&lt;10,0,"")&amp;DAY(Variables!$A$2)</f>
        <v>-17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1" s="30" t="e">
        <f>VLOOKUP(B41,'Train Runs'!$A$13:$A$99932,1,FALSE)</f>
        <v>#N/A</v>
      </c>
    </row>
    <row r="42" spans="1:10" x14ac:dyDescent="0.25">
      <c r="A42" s="181"/>
      <c r="B42" s="43" t="str">
        <f>A42&amp;"-"&amp;IF(DAY(Variables!$A$2)&lt;10,0,"")&amp;DAY(Variables!$A$2)</f>
        <v>-17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2" s="30" t="e">
        <f>VLOOKUP(B42,'Train Runs'!$A$13:$A$99932,1,FALSE)</f>
        <v>#N/A</v>
      </c>
    </row>
    <row r="43" spans="1:10" x14ac:dyDescent="0.25">
      <c r="A43" s="181"/>
      <c r="B43" s="43" t="str">
        <f>A43&amp;"-"&amp;IF(DAY(Variables!$A$2)&lt;10,0,"")&amp;DAY(Variables!$A$2)</f>
        <v>-17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3" s="30" t="e">
        <f>VLOOKUP(B43,'Train Runs'!$A$13:$A$99932,1,FALSE)</f>
        <v>#N/A</v>
      </c>
    </row>
    <row r="44" spans="1:10" x14ac:dyDescent="0.25">
      <c r="A44" s="181"/>
      <c r="B44" s="43" t="str">
        <f>A44&amp;"-"&amp;IF(DAY(Variables!$A$2)&lt;10,0,"")&amp;DAY(Variables!$A$2)</f>
        <v>-17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4" s="30" t="e">
        <f>VLOOKUP(B44,'Train Runs'!$A$13:$A$99932,1,FALSE)</f>
        <v>#N/A</v>
      </c>
    </row>
    <row r="45" spans="1:10" x14ac:dyDescent="0.25">
      <c r="A45" s="181"/>
      <c r="B45" s="43" t="str">
        <f>A45&amp;"-"&amp;IF(DAY(Variables!$A$2)&lt;10,0,"")&amp;DAY(Variables!$A$2)</f>
        <v>-17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5" s="30" t="e">
        <f>VLOOKUP(B45,'Train Runs'!$A$13:$A$99932,1,FALSE)</f>
        <v>#N/A</v>
      </c>
    </row>
    <row r="46" spans="1:10" x14ac:dyDescent="0.25">
      <c r="A46" s="181"/>
      <c r="B46" s="43" t="str">
        <f>A46&amp;"-"&amp;IF(DAY(Variables!$A$2)&lt;10,0,"")&amp;DAY(Variables!$A$2)</f>
        <v>-17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6" s="30" t="e">
        <f>VLOOKUP(B46,'Train Runs'!$A$13:$A$99932,1,FALSE)</f>
        <v>#N/A</v>
      </c>
    </row>
    <row r="47" spans="1:10" x14ac:dyDescent="0.25">
      <c r="A47" s="181"/>
      <c r="B47" s="43" t="str">
        <f>A47&amp;"-"&amp;IF(DAY(Variables!$A$2)&lt;10,0,"")&amp;DAY(Variables!$A$2)</f>
        <v>-17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7" s="30" t="e">
        <f>VLOOKUP(B47,'Train Runs'!$A$13:$A$99932,1,FALSE)</f>
        <v>#N/A</v>
      </c>
    </row>
    <row r="48" spans="1:10" x14ac:dyDescent="0.25">
      <c r="A48" s="181"/>
      <c r="B48" s="43" t="str">
        <f>A48&amp;"-"&amp;IF(DAY(Variables!$A$2)&lt;10,0,"")&amp;DAY(Variables!$A$2)</f>
        <v>-17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8" s="30" t="e">
        <f>VLOOKUP(B48,'Train Runs'!$A$13:$A$99932,1,FALSE)</f>
        <v>#N/A</v>
      </c>
    </row>
    <row r="49" spans="1:10" x14ac:dyDescent="0.25">
      <c r="A49" s="181"/>
      <c r="B49" s="43" t="str">
        <f>A49&amp;"-"&amp;IF(DAY(Variables!$A$2)&lt;10,0,"")&amp;DAY(Variables!$A$2)</f>
        <v>-17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9" s="30" t="e">
        <f>VLOOKUP(B49,'Train Runs'!$A$13:$A$99932,1,FALSE)</f>
        <v>#N/A</v>
      </c>
    </row>
    <row r="50" spans="1:10" x14ac:dyDescent="0.25">
      <c r="A50" s="181"/>
      <c r="B50" s="43" t="str">
        <f>A50&amp;"-"&amp;IF(DAY(Variables!$A$2)&lt;10,0,"")&amp;DAY(Variables!$A$2)</f>
        <v>-17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0" s="30" t="e">
        <f>VLOOKUP(B50,'Train Runs'!$A$13:$A$99932,1,FALSE)</f>
        <v>#N/A</v>
      </c>
    </row>
    <row r="51" spans="1:10" x14ac:dyDescent="0.25">
      <c r="A51" s="181"/>
      <c r="B51" s="43" t="str">
        <f>A51&amp;"-"&amp;IF(DAY(Variables!$A$2)&lt;10,0,"")&amp;DAY(Variables!$A$2)</f>
        <v>-17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1" s="30" t="e">
        <f>VLOOKUP(B51,'Train Runs'!$A$13:$A$99932,1,FALSE)</f>
        <v>#N/A</v>
      </c>
    </row>
    <row r="52" spans="1:10" x14ac:dyDescent="0.25">
      <c r="A52" s="181"/>
      <c r="B52" s="43" t="str">
        <f>A52&amp;"-"&amp;IF(DAY(Variables!$A$2)&lt;10,0,"")&amp;DAY(Variables!$A$2)</f>
        <v>-17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2" s="30" t="e">
        <f>VLOOKUP(B52,'Train Runs'!$A$13:$A$99932,1,FALSE)</f>
        <v>#N/A</v>
      </c>
    </row>
    <row r="53" spans="1:10" x14ac:dyDescent="0.25">
      <c r="A53" s="181"/>
      <c r="B53" s="43" t="str">
        <f>A53&amp;"-"&amp;IF(DAY(Variables!$A$2)&lt;10,0,"")&amp;DAY(Variables!$A$2)</f>
        <v>-17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3" s="30" t="e">
        <f>VLOOKUP(B53,'Train Runs'!$A$13:$A$99932,1,FALSE)</f>
        <v>#N/A</v>
      </c>
    </row>
    <row r="54" spans="1:10" x14ac:dyDescent="0.25">
      <c r="A54" s="181"/>
      <c r="B54" s="43" t="str">
        <f>A54&amp;"-"&amp;IF(DAY(Variables!$A$2)&lt;10,0,"")&amp;DAY(Variables!$A$2)</f>
        <v>-17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4" s="30" t="e">
        <f>VLOOKUP(B54,'Train Runs'!$A$13:$A$99932,1,FALSE)</f>
        <v>#N/A</v>
      </c>
    </row>
    <row r="55" spans="1:10" x14ac:dyDescent="0.25">
      <c r="A55" s="181"/>
      <c r="B55" s="43" t="str">
        <f>A55&amp;"-"&amp;IF(DAY(Variables!$A$2)&lt;10,0,"")&amp;DAY(Variables!$A$2)</f>
        <v>-17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5" s="30" t="e">
        <f>VLOOKUP(B55,'Train Runs'!$A$13:$A$99932,1,FALSE)</f>
        <v>#N/A</v>
      </c>
    </row>
    <row r="56" spans="1:10" x14ac:dyDescent="0.25">
      <c r="A56" s="181"/>
      <c r="B56" s="43" t="str">
        <f>A56&amp;"-"&amp;IF(DAY(Variables!$A$2)&lt;10,0,"")&amp;DAY(Variables!$A$2)</f>
        <v>-17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6" s="30" t="e">
        <f>VLOOKUP(B56,'Train Runs'!$A$13:$A$99932,1,FALSE)</f>
        <v>#N/A</v>
      </c>
    </row>
    <row r="57" spans="1:10" x14ac:dyDescent="0.25">
      <c r="A57" s="181"/>
      <c r="B57" s="43" t="str">
        <f>A57&amp;"-"&amp;IF(DAY(Variables!$A$2)&lt;10,0,"")&amp;DAY(Variables!$A$2)</f>
        <v>-17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7" s="30" t="e">
        <f>VLOOKUP(B57,'Train Runs'!$A$13:$A$99932,1,FALSE)</f>
        <v>#N/A</v>
      </c>
    </row>
    <row r="58" spans="1:10" x14ac:dyDescent="0.25">
      <c r="A58" s="181"/>
      <c r="B58" s="43" t="str">
        <f>A58&amp;"-"&amp;IF(DAY(Variables!$A$2)&lt;10,0,"")&amp;DAY(Variables!$A$2)</f>
        <v>-17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8" s="30" t="e">
        <f>VLOOKUP(B58,'Train Runs'!$A$13:$A$99932,1,FALSE)</f>
        <v>#N/A</v>
      </c>
    </row>
    <row r="59" spans="1:10" x14ac:dyDescent="0.25">
      <c r="A59" s="181"/>
      <c r="B59" s="43" t="str">
        <f>A59&amp;"-"&amp;IF(DAY(Variables!$A$2)&lt;10,0,"")&amp;DAY(Variables!$A$2)</f>
        <v>-17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9" s="30" t="e">
        <f>VLOOKUP(B59,'Train Runs'!$A$13:$A$99932,1,FALSE)</f>
        <v>#N/A</v>
      </c>
    </row>
    <row r="60" spans="1:10" x14ac:dyDescent="0.25">
      <c r="A60" s="181"/>
      <c r="B60" s="43" t="str">
        <f>A60&amp;"-"&amp;IF(DAY(Variables!$A$2)&lt;10,0,"")&amp;DAY(Variables!$A$2)</f>
        <v>-17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0" s="30" t="e">
        <f>VLOOKUP(B60,'Train Runs'!$A$13:$A$99932,1,FALSE)</f>
        <v>#N/A</v>
      </c>
    </row>
    <row r="61" spans="1:10" x14ac:dyDescent="0.25">
      <c r="A61" s="181"/>
      <c r="B61" s="43" t="str">
        <f>A61&amp;"-"&amp;IF(DAY(Variables!$A$2)&lt;10,0,"")&amp;DAY(Variables!$A$2)</f>
        <v>-17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1" s="30" t="e">
        <f>VLOOKUP(B61,'Train Runs'!$A$13:$A$99932,1,FALSE)</f>
        <v>#N/A</v>
      </c>
    </row>
    <row r="62" spans="1:10" x14ac:dyDescent="0.25">
      <c r="A62" s="181"/>
      <c r="B62" s="43" t="str">
        <f>A62&amp;"-"&amp;IF(DAY(Variables!$A$2)&lt;10,0,"")&amp;DAY(Variables!$A$2)</f>
        <v>-17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2" s="30" t="e">
        <f>VLOOKUP(B62,'Train Runs'!$A$13:$A$99932,1,FALSE)</f>
        <v>#N/A</v>
      </c>
    </row>
    <row r="63" spans="1:10" x14ac:dyDescent="0.25">
      <c r="A63" s="181"/>
      <c r="B63" s="43" t="str">
        <f>A63&amp;"-"&amp;IF(DAY(Variables!$A$2)&lt;10,0,"")&amp;DAY(Variables!$A$2)</f>
        <v>-17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3" s="30" t="e">
        <f>VLOOKUP(B63,'Train Runs'!$A$13:$A$99932,1,FALSE)</f>
        <v>#N/A</v>
      </c>
    </row>
    <row r="64" spans="1:10" x14ac:dyDescent="0.25">
      <c r="A64" s="181"/>
      <c r="B64" s="43" t="str">
        <f>A64&amp;"-"&amp;IF(DAY(Variables!$A$2)&lt;10,0,"")&amp;DAY(Variables!$A$2)</f>
        <v>-17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ref="I64:I85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4" s="30" t="e">
        <f>VLOOKUP(B64,'Train Runs'!$A$13:$A$99932,1,FALSE)</f>
        <v>#N/A</v>
      </c>
    </row>
    <row r="65" spans="1:10" x14ac:dyDescent="0.25">
      <c r="A65" s="181"/>
      <c r="B65" s="43" t="str">
        <f>A65&amp;"-"&amp;IF(DAY(Variables!$A$2)&lt;10,0,"")&amp;DAY(Variables!$A$2)</f>
        <v>-17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5" s="30" t="e">
        <f>VLOOKUP(B65,'Train Runs'!$A$13:$A$99932,1,FALSE)</f>
        <v>#N/A</v>
      </c>
    </row>
    <row r="66" spans="1:10" x14ac:dyDescent="0.25">
      <c r="A66" s="181"/>
      <c r="B66" s="43" t="str">
        <f>A66&amp;"-"&amp;IF(DAY(Variables!$A$2)&lt;10,0,"")&amp;DAY(Variables!$A$2)</f>
        <v>-17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6" s="30" t="e">
        <f>VLOOKUP(B66,'Train Runs'!$A$13:$A$99932,1,FALSE)</f>
        <v>#N/A</v>
      </c>
    </row>
    <row r="67" spans="1:10" x14ac:dyDescent="0.25">
      <c r="A67" s="181"/>
      <c r="B67" s="43" t="str">
        <f>A67&amp;"-"&amp;IF(DAY(Variables!$A$2)&lt;10,0,"")&amp;DAY(Variables!$A$2)</f>
        <v>-17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7" s="30" t="e">
        <f>VLOOKUP(B67,'Train Runs'!$A$13:$A$99932,1,FALSE)</f>
        <v>#N/A</v>
      </c>
    </row>
    <row r="68" spans="1:10" x14ac:dyDescent="0.25">
      <c r="A68" s="181"/>
      <c r="B68" s="43" t="str">
        <f>A68&amp;"-"&amp;IF(DAY(Variables!$A$2)&lt;10,0,"")&amp;DAY(Variables!$A$2)</f>
        <v>-17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8" s="30" t="e">
        <f>VLOOKUP(B68,'Train Runs'!$A$13:$A$99932,1,FALSE)</f>
        <v>#N/A</v>
      </c>
    </row>
    <row r="69" spans="1:10" x14ac:dyDescent="0.25">
      <c r="A69" s="181"/>
      <c r="B69" s="43" t="str">
        <f>A69&amp;"-"&amp;IF(DAY(Variables!$A$2)&lt;10,0,"")&amp;DAY(Variables!$A$2)</f>
        <v>-17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9" s="30" t="e">
        <f>VLOOKUP(B69,'Train Runs'!$A$13:$A$99932,1,FALSE)</f>
        <v>#N/A</v>
      </c>
    </row>
    <row r="70" spans="1:10" x14ac:dyDescent="0.25">
      <c r="A70" s="181"/>
      <c r="B70" s="43" t="str">
        <f>A70&amp;"-"&amp;IF(DAY(Variables!$A$2)&lt;10,0,"")&amp;DAY(Variables!$A$2)</f>
        <v>-17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0" s="30" t="e">
        <f>VLOOKUP(B70,'Train Runs'!$A$13:$A$99932,1,FALSE)</f>
        <v>#N/A</v>
      </c>
    </row>
    <row r="71" spans="1:10" x14ac:dyDescent="0.25">
      <c r="A71" s="181"/>
      <c r="B71" s="43" t="str">
        <f>A71&amp;"-"&amp;IF(DAY(Variables!$A$2)&lt;10,0,"")&amp;DAY(Variables!$A$2)</f>
        <v>-17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1" s="30" t="e">
        <f>VLOOKUP(B71,'Train Runs'!$A$13:$A$99932,1,FALSE)</f>
        <v>#N/A</v>
      </c>
    </row>
    <row r="72" spans="1:10" x14ac:dyDescent="0.25">
      <c r="A72" s="181"/>
      <c r="B72" s="43" t="str">
        <f>A72&amp;"-"&amp;IF(DAY(Variables!$A$2)&lt;10,0,"")&amp;DAY(Variables!$A$2)</f>
        <v>-17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2" s="30" t="e">
        <f>VLOOKUP(B72,'Train Runs'!$A$13:$A$99932,1,FALSE)</f>
        <v>#N/A</v>
      </c>
    </row>
    <row r="73" spans="1:10" x14ac:dyDescent="0.25">
      <c r="A73" s="181"/>
      <c r="B73" s="43" t="str">
        <f>A73&amp;"-"&amp;IF(DAY(Variables!$A$2)&lt;10,0,"")&amp;DAY(Variables!$A$2)</f>
        <v>-17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3" s="30" t="e">
        <f>VLOOKUP(B73,'Train Runs'!$A$13:$A$99932,1,FALSE)</f>
        <v>#N/A</v>
      </c>
    </row>
    <row r="74" spans="1:10" x14ac:dyDescent="0.25">
      <c r="A74" s="181"/>
      <c r="B74" s="43" t="str">
        <f>A74&amp;"-"&amp;IF(DAY(Variables!$A$2)&lt;10,0,"")&amp;DAY(Variables!$A$2)</f>
        <v>-17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4" s="30" t="e">
        <f>VLOOKUP(B74,'Train Runs'!$A$13:$A$99932,1,FALSE)</f>
        <v>#N/A</v>
      </c>
    </row>
    <row r="75" spans="1:10" x14ac:dyDescent="0.25">
      <c r="A75" s="181"/>
      <c r="B75" s="43" t="str">
        <f>A75&amp;"-"&amp;IF(DAY(Variables!$A$2)&lt;10,0,"")&amp;DAY(Variables!$A$2)</f>
        <v>-17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5" s="30" t="e">
        <f>VLOOKUP(B75,'Train Runs'!$A$13:$A$99932,1,FALSE)</f>
        <v>#N/A</v>
      </c>
    </row>
    <row r="76" spans="1:10" x14ac:dyDescent="0.25">
      <c r="A76" s="181"/>
      <c r="B76" s="43" t="str">
        <f>A76&amp;"-"&amp;IF(DAY(Variables!$A$2)&lt;10,0,"")&amp;DAY(Variables!$A$2)</f>
        <v>-17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6" s="30" t="e">
        <f>VLOOKUP(B76,'Train Runs'!$A$13:$A$99932,1,FALSE)</f>
        <v>#N/A</v>
      </c>
    </row>
    <row r="77" spans="1:10" x14ac:dyDescent="0.25">
      <c r="A77" s="181"/>
      <c r="B77" s="43" t="str">
        <f>A77&amp;"-"&amp;IF(DAY(Variables!$A$2)&lt;10,0,"")&amp;DAY(Variables!$A$2)</f>
        <v>-17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7" s="30" t="e">
        <f>VLOOKUP(B77,'Train Runs'!$A$13:$A$99932,1,FALSE)</f>
        <v>#N/A</v>
      </c>
    </row>
    <row r="78" spans="1:10" x14ac:dyDescent="0.25">
      <c r="A78" s="181"/>
      <c r="B78" s="43" t="str">
        <f>A78&amp;"-"&amp;IF(DAY(Variables!$A$2)&lt;10,0,"")&amp;DAY(Variables!$A$2)</f>
        <v>-17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8" s="30" t="e">
        <f>VLOOKUP(B78,'Train Runs'!$A$13:$A$99932,1,FALSE)</f>
        <v>#N/A</v>
      </c>
    </row>
    <row r="79" spans="1:10" x14ac:dyDescent="0.25">
      <c r="A79" s="181"/>
      <c r="B79" s="43" t="str">
        <f>A79&amp;"-"&amp;IF(DAY(Variables!$A$2)&lt;10,0,"")&amp;DAY(Variables!$A$2)</f>
        <v>-17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9" s="30" t="e">
        <f>VLOOKUP(B79,'Train Runs'!$A$13:$A$99932,1,FALSE)</f>
        <v>#N/A</v>
      </c>
    </row>
    <row r="80" spans="1:10" x14ac:dyDescent="0.25">
      <c r="A80" s="181"/>
      <c r="B80" s="43" t="str">
        <f>A80&amp;"-"&amp;IF(DAY(Variables!$A$2)&lt;10,0,"")&amp;DAY(Variables!$A$2)</f>
        <v>-17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0" s="30" t="e">
        <f>VLOOKUP(B80,'Train Runs'!$A$13:$A$99932,1,FALSE)</f>
        <v>#N/A</v>
      </c>
    </row>
    <row r="81" spans="1:10" x14ac:dyDescent="0.25">
      <c r="A81" s="181"/>
      <c r="B81" s="43" t="str">
        <f>A81&amp;"-"&amp;IF(DAY(Variables!$A$2)&lt;10,0,"")&amp;DAY(Variables!$A$2)</f>
        <v>-17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1" s="30" t="e">
        <f>VLOOKUP(B81,'Train Runs'!$A$13:$A$99932,1,FALSE)</f>
        <v>#N/A</v>
      </c>
    </row>
    <row r="82" spans="1:10" x14ac:dyDescent="0.25">
      <c r="A82" s="181"/>
      <c r="B82" s="43" t="str">
        <f>A82&amp;"-"&amp;IF(DAY(Variables!$A$2)&lt;10,0,"")&amp;DAY(Variables!$A$2)</f>
        <v>-17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2" s="30" t="e">
        <f>VLOOKUP(B82,'Train Runs'!$A$13:$A$99932,1,FALSE)</f>
        <v>#N/A</v>
      </c>
    </row>
    <row r="83" spans="1:10" x14ac:dyDescent="0.25">
      <c r="A83" s="181"/>
      <c r="B83" s="43" t="str">
        <f>A83&amp;"-"&amp;IF(DAY(Variables!$A$2)&lt;10,0,"")&amp;DAY(Variables!$A$2)</f>
        <v>-17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3" s="30" t="e">
        <f>VLOOKUP(B83,'Train Runs'!$A$13:$A$99932,1,FALSE)</f>
        <v>#N/A</v>
      </c>
    </row>
    <row r="84" spans="1:10" x14ac:dyDescent="0.25">
      <c r="A84" s="181"/>
      <c r="B84" s="43" t="str">
        <f>A84&amp;"-"&amp;IF(DAY(Variables!$A$2)&lt;10,0,"")&amp;DAY(Variables!$A$2)</f>
        <v>-17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4" s="30" t="e">
        <f>VLOOKUP(B84,'Train Runs'!$A$13:$A$99932,1,FALSE)</f>
        <v>#N/A</v>
      </c>
    </row>
    <row r="85" spans="1:10" x14ac:dyDescent="0.25">
      <c r="A85" s="181"/>
      <c r="B85" s="43" t="str">
        <f>A85&amp;"-"&amp;IF(DAY(Variables!$A$2)&lt;10,0,"")&amp;DAY(Variables!$A$2)</f>
        <v>-17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5" s="30" t="e">
        <f>VLOOKUP(B85,'Train Runs'!$A$13:$A$99932,1,FALSE)</f>
        <v>#N/A</v>
      </c>
    </row>
  </sheetData>
  <autoFilter ref="A2:J8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346</v>
      </c>
      <c r="B1" s="203" t="s">
        <v>347</v>
      </c>
      <c r="C1" s="195" t="s">
        <v>355</v>
      </c>
      <c r="D1" s="207" t="s">
        <v>58</v>
      </c>
      <c r="E1" s="192" t="s">
        <v>24</v>
      </c>
      <c r="F1" s="207" t="s">
        <v>361</v>
      </c>
      <c r="G1" s="211" t="s">
        <v>94</v>
      </c>
      <c r="H1" s="213" t="s">
        <v>365</v>
      </c>
      <c r="I1" s="209" t="s">
        <v>364</v>
      </c>
      <c r="J1" s="205" t="s">
        <v>84</v>
      </c>
      <c r="K1" s="205" t="s">
        <v>360</v>
      </c>
      <c r="L1" s="200" t="s">
        <v>357</v>
      </c>
      <c r="M1" s="200" t="s">
        <v>348</v>
      </c>
      <c r="N1" s="200" t="s">
        <v>350</v>
      </c>
      <c r="O1" s="200" t="s">
        <v>351</v>
      </c>
      <c r="P1" s="200" t="s">
        <v>352</v>
      </c>
      <c r="Q1" s="199" t="s">
        <v>349</v>
      </c>
    </row>
    <row r="2" spans="1:17" x14ac:dyDescent="0.25">
      <c r="A2" s="197">
        <v>42800.21875</v>
      </c>
      <c r="B2" s="204" t="s">
        <v>354</v>
      </c>
      <c r="C2" s="194" t="s">
        <v>356</v>
      </c>
      <c r="D2" s="208">
        <v>104</v>
      </c>
      <c r="E2" s="30" t="s">
        <v>359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/stypes="*4031*201703061*"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"%USERPROFILE%\AppData\Local\Temp\OnboardLogs"\RTDC4031\*4031*201703061*</v>
      </c>
      <c r="I2" s="210" t="str">
        <f>IF(VLOOKUP(K2,'Train Runs'!$A$13:$V$988,1,TRUE)=K2,VLOOKUP(K2,'Train Runs'!$A$13:$V$988,22,TRUE),NA())</f>
        <v>https://d0f6bd738d7f1b3e5a7ca70fe4ff75f0.us-east-1.aws.found.io/app/kibana#/discover/Steve-Slow-Train-Analysis-(2080s-and-2083s)?_g=(refreshInterval:(display:Off,pause:!f,section:0,value:0),time:(from:'2017-04-17T03:35:07-0600',mode:absolute,to:'2017-04-17T06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104-17</v>
      </c>
      <c r="L2" s="202">
        <f>IF(VLOOKUP(K2,'Train Runs'!$A$12:$B$988,1,TRUE)=K2,VLOOKUP(K2,'Train Runs'!$A$12:$B$988,2,TRUE),NA())</f>
        <v>4031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354</v>
      </c>
      <c r="C3" s="194" t="s">
        <v>356</v>
      </c>
      <c r="D3" s="208">
        <v>126</v>
      </c>
      <c r="E3" s="30" t="s">
        <v>358</v>
      </c>
      <c r="F3" s="208" t="b">
        <v>1</v>
      </c>
      <c r="G3" s="212" t="str">
        <f t="shared" si="0"/>
        <v>"C:\Program Files (x86)\AstroGrep\AstroGrep.exe" /e /r /s /spath="%USERPROFILE%\AppData\Local\Temp\OnboardLogs" /stypes="*4007*201703061*"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"%USERPROFILE%\AppData\Local\Temp\OnboardLogs"\RTDC4007\*4007*201703061*</v>
      </c>
      <c r="I3" s="210" t="str">
        <f>IF(VLOOKUP(K3,'Train Runs'!$A$13:$V$988,1,TRUE)=K3,VLOOKUP(K3,'Train Runs'!$A$13:$V$988,22,TRUE),NA())</f>
        <v>https://d0f6bd738d7f1b3e5a7ca70fe4ff75f0.us-east-1.aws.found.io/app/kibana#/discover/Steve-Slow-Train-Analysis-(2080s-and-2083s)?_g=(refreshInterval:(display:Off,pause:!f,section:0,value:0),time:(from:'2017-04-17T06:21:58-0600',mode:absolute,to:'2017-04-17T09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126-17</v>
      </c>
      <c r="L3" s="202">
        <f>IF(VLOOKUP(K3,'Train Runs'!$A$12:$B$988,1,TRUE)=K3,VLOOKUP(K3,'Train Runs'!$A$12:$B$988,2,TRUE),NA())</f>
        <v>4007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354</v>
      </c>
      <c r="C4" s="194" t="s">
        <v>356</v>
      </c>
      <c r="D4" s="208">
        <v>128</v>
      </c>
      <c r="E4" s="30" t="s">
        <v>358</v>
      </c>
      <c r="F4" s="208" t="b">
        <v>1</v>
      </c>
      <c r="G4" s="212" t="str">
        <f t="shared" si="0"/>
        <v>"C:\Program Files (x86)\AstroGrep\AstroGrep.exe" /e /r /s /spath="%USERPROFILE%\AppData\Local\Temp\OnboardLogs" /stypes="*4001*201703061*"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"%USERPROFILE%\AppData\Local\Temp\OnboardLogs"\RTDC4001\*4001*201703061*</v>
      </c>
      <c r="I4" s="210" t="str">
        <f>IF(VLOOKUP(K4,'Train Runs'!$A$13:$V$988,1,TRUE)=K4,VLOOKUP(K4,'Train Runs'!$A$13:$V$988,22,TRUE),NA())</f>
        <v>https://d0f6bd738d7f1b3e5a7ca70fe4ff75f0.us-east-1.aws.found.io/app/kibana#/discover/Steve-Slow-Train-Analysis-(2080s-and-2083s)?_g=(refreshInterval:(display:Off,pause:!f,section:0,value:0),time:(from:'2017-04-17T06:37:45-0600',mode:absolute,to:'2017-04-17T09:33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128-17</v>
      </c>
      <c r="L4" s="202">
        <f>IF(VLOOKUP(K4,'Train Runs'!$A$12:$B$988,1,TRUE)=K4,VLOOKUP(K4,'Train Runs'!$A$12:$B$988,2,TRUE),NA())</f>
        <v>4001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354</v>
      </c>
      <c r="C5" s="194" t="s">
        <v>356</v>
      </c>
      <c r="D5" s="208">
        <f>D4+2</f>
        <v>130</v>
      </c>
      <c r="E5" s="30" t="s">
        <v>358</v>
      </c>
      <c r="F5" s="208" t="b">
        <v>1</v>
      </c>
      <c r="G5" s="212" t="str">
        <f t="shared" si="0"/>
        <v>"C:\Program Files (x86)\AstroGrep\AstroGrep.exe" /e /r /s /spath="%USERPROFILE%\AppData\Local\Temp\OnboardLogs" /stypes="*4051*201703061*"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"%USERPROFILE%\AppData\Local\Temp\OnboardLogs"\RTDC4051\*4051*201703061*</v>
      </c>
      <c r="I5" s="210" t="str">
        <f>IF(VLOOKUP(K5,'Train Runs'!$A$13:$V$988,1,TRUE)=K5,VLOOKUP(K5,'Train Runs'!$A$13:$V$988,22,TRUE),NA())</f>
        <v>https://d0f6bd738d7f1b3e5a7ca70fe4ff75f0.us-east-1.aws.found.io/app/kibana#/discover/Steve-Slow-Train-Analysis-(2080s-and-2083s)?_g=(refreshInterval:(display:Off,pause:!f,section:0,value:0),time:(from:'2017-04-17T07:06:15-0600',mode:absolute,to:'2017-04-17T09:49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130-17</v>
      </c>
      <c r="L5" s="202">
        <f>IF(VLOOKUP(K5,'Train Runs'!$A$12:$B$988,1,TRUE)=K5,VLOOKUP(K5,'Train Runs'!$A$12:$B$988,2,TRUE),NA())</f>
        <v>4051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354</v>
      </c>
      <c r="C6" s="194" t="s">
        <v>356</v>
      </c>
      <c r="D6" s="208">
        <f>D5+2</f>
        <v>132</v>
      </c>
      <c r="E6" s="30" t="s">
        <v>358</v>
      </c>
      <c r="F6" s="208" t="b">
        <v>1</v>
      </c>
      <c r="G6" s="212" t="str">
        <f t="shared" si="0"/>
        <v>"C:\Program Files (x86)\AstroGrep\AstroGrep.exe" /e /r /s /spath="%USERPROFILE%\AppData\Local\Temp\OnboardLogs" /stypes="*4031*201703061*"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"%USERPROFILE%\AppData\Local\Temp\OnboardLogs"\RTDC4031\*4031*201703061*</v>
      </c>
      <c r="I6" s="210" t="str">
        <f>IF(VLOOKUP(K6,'Train Runs'!$A$13:$V$988,1,TRUE)=K6,VLOOKUP(K6,'Train Runs'!$A$13:$V$988,22,TRUE),NA())</f>
        <v>https://d0f6bd738d7f1b3e5a7ca70fe4ff75f0.us-east-1.aws.found.io/app/kibana#/discover/Steve-Slow-Train-Analysis-(2080s-and-2083s)?_g=(refreshInterval:(display:Off,pause:!f,section:0,value:0),time:(from:'2017-04-17T07:11:47-0600',mode:absolute,to:'2017-04-17T10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6" s="206">
        <f t="shared" si="2"/>
        <v>42800.625</v>
      </c>
      <c r="K6" s="206" t="str">
        <f>D6&amp;"-"&amp;IF(DAY(Variables!$A$2)&lt;10,0,"")&amp;DAY(Variables!$A$2)</f>
        <v>132-17</v>
      </c>
      <c r="L6" s="202">
        <f>IF(VLOOKUP(K6,'Train Runs'!$A$12:$B$988,1,TRUE)=K6,VLOOKUP(K6,'Train Runs'!$A$12:$B$988,2,TRUE),NA())</f>
        <v>4031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354</v>
      </c>
      <c r="C7" s="194" t="s">
        <v>356</v>
      </c>
      <c r="D7" s="208">
        <f t="shared" ref="D7:D11" si="4">D6+2</f>
        <v>134</v>
      </c>
      <c r="E7" s="30" t="s">
        <v>358</v>
      </c>
      <c r="F7" s="208" t="b">
        <v>1</v>
      </c>
      <c r="G7" s="212" t="str">
        <f t="shared" si="0"/>
        <v>"C:\Program Files (x86)\AstroGrep\AstroGrep.exe" /e /r /s /spath="%USERPROFILE%\AppData\Local\Temp\OnboardLogs" /stypes="*4053*201703061*"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"%USERPROFILE%\AppData\Local\Temp\OnboardLogs"\RTDC4053\*4053*201703061*</v>
      </c>
      <c r="I7" s="210" t="str">
        <f>IF(VLOOKUP(K7,'Train Runs'!$A$13:$V$988,1,TRUE)=K7,VLOOKUP(K7,'Train Runs'!$A$13:$V$988,22,TRUE),NA())</f>
        <v>https://d0f6bd738d7f1b3e5a7ca70fe4ff75f0.us-east-1.aws.found.io/app/kibana#/discover/Steve-Slow-Train-Analysis-(2080s-and-2083s)?_g=(refreshInterval:(display:Off,pause:!f,section:0,value:0),time:(from:'2017-04-17T07:33:46-0600',mode:absolute,to:'2017-04-17T10:27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134-17</v>
      </c>
      <c r="L7" s="202">
        <f>IF(VLOOKUP(K7,'Train Runs'!$A$12:$B$988,1,TRUE)=K7,VLOOKUP(K7,'Train Runs'!$A$12:$B$988,2,TRUE),NA())</f>
        <v>4053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354</v>
      </c>
      <c r="C8" s="194" t="s">
        <v>356</v>
      </c>
      <c r="D8" s="208">
        <f t="shared" si="4"/>
        <v>136</v>
      </c>
      <c r="E8" s="30" t="s">
        <v>358</v>
      </c>
      <c r="F8" s="208" t="b">
        <v>1</v>
      </c>
      <c r="G8" s="212" t="str">
        <f t="shared" si="0"/>
        <v>"C:\Program Files (x86)\AstroGrep\AstroGrep.exe" /e /r /s /spath="%USERPROFILE%\AppData\Local\Temp\OnboardLogs" /stypes="*4015*201703061*"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"%USERPROFILE%\AppData\Local\Temp\OnboardLogs"\RTDC4015\*4015*201703061*</v>
      </c>
      <c r="I8" s="210" t="str">
        <f>IF(VLOOKUP(K8,'Train Runs'!$A$13:$V$988,1,TRUE)=K8,VLOOKUP(K8,'Train Runs'!$A$13:$V$988,22,TRUE),NA())</f>
        <v>https://d0f6bd738d7f1b3e5a7ca70fe4ff75f0.us-east-1.aws.found.io/app/kibana#/discover/Steve-Slow-Train-Analysis-(2080s-and-2083s)?_g=(refreshInterval:(display:Off,pause:!f,section:0,value:0),time:(from:'2017-04-17T07:46:39-0600',mode:absolute,to:'2017-04-17T10:40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136-17</v>
      </c>
      <c r="L8" s="202">
        <f>IF(VLOOKUP(K8,'Train Runs'!$A$12:$B$988,1,TRUE)=K8,VLOOKUP(K8,'Train Runs'!$A$12:$B$988,2,TRUE),NA())</f>
        <v>4015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354</v>
      </c>
      <c r="C9" s="194" t="s">
        <v>356</v>
      </c>
      <c r="D9" s="208">
        <f t="shared" si="4"/>
        <v>138</v>
      </c>
      <c r="E9" s="30" t="s">
        <v>358</v>
      </c>
      <c r="F9" s="208" t="b">
        <v>1</v>
      </c>
      <c r="G9" s="212" t="str">
        <f t="shared" si="0"/>
        <v>"C:\Program Files (x86)\AstroGrep\AstroGrep.exe" /e /r /s /spath="%USERPROFILE%\AppData\Local\Temp\OnboardLogs" /stypes="*4045*201703061*"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"%USERPROFILE%\AppData\Local\Temp\OnboardLogs"\RTDC4045\*4045*201703061*</v>
      </c>
      <c r="I9" s="210" t="str">
        <f>IF(VLOOKUP(K9,'Train Runs'!$A$13:$V$988,1,TRUE)=K9,VLOOKUP(K9,'Train Runs'!$A$13:$V$988,22,TRUE),NA())</f>
        <v>https://d0f6bd738d7f1b3e5a7ca70fe4ff75f0.us-east-1.aws.found.io/app/kibana#/discover/Steve-Slow-Train-Analysis-(2080s-and-2083s)?_g=(refreshInterval:(display:Off,pause:!f,section:0,value:0),time:(from:'2017-04-17T07:55:50-0600',mode:absolute,to:'2017-04-17T10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138-17</v>
      </c>
      <c r="L9" s="202">
        <f>IF(VLOOKUP(K9,'Train Runs'!$A$12:$B$988,1,TRUE)=K9,VLOOKUP(K9,'Train Runs'!$A$12:$B$988,2,TRUE),NA())</f>
        <v>4045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354</v>
      </c>
      <c r="C10" s="194" t="s">
        <v>356</v>
      </c>
      <c r="D10" s="208">
        <f t="shared" si="4"/>
        <v>140</v>
      </c>
      <c r="E10" s="30" t="s">
        <v>358</v>
      </c>
      <c r="F10" s="208" t="b">
        <v>1</v>
      </c>
      <c r="G10" s="212" t="str">
        <f t="shared" si="0"/>
        <v>"C:\Program Files (x86)\AstroGrep\AstroGrep.exe" /e /r /s /spath="%USERPROFILE%\AppData\Local\Temp\OnboardLogs" /stypes="*4007*201703061*"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"%USERPROFILE%\AppData\Local\Temp\OnboardLogs"\RTDC4007\*4007*201703061*</v>
      </c>
      <c r="I10" s="210" t="str">
        <f>IF(VLOOKUP(K10,'Train Runs'!$A$13:$V$988,1,TRUE)=K10,VLOOKUP(K10,'Train Runs'!$A$13:$V$988,22,TRUE),NA())</f>
        <v>https://d0f6bd738d7f1b3e5a7ca70fe4ff75f0.us-east-1.aws.found.io/app/kibana#/discover/Steve-Slow-Train-Analysis-(2080s-and-2083s)?_g=(refreshInterval:(display:Off,pause:!f,section:0,value:0),time:(from:'2017-04-17T08:08:35-0600',mode:absolute,to:'2017-04-17T11:03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140-17</v>
      </c>
      <c r="L10" s="202">
        <f>IF(VLOOKUP(K10,'Train Runs'!$A$12:$B$988,1,TRUE)=K10,VLOOKUP(K10,'Train Runs'!$A$12:$B$988,2,TRUE),NA())</f>
        <v>4007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354</v>
      </c>
      <c r="C11" s="194" t="s">
        <v>356</v>
      </c>
      <c r="D11" s="208">
        <f t="shared" si="4"/>
        <v>142</v>
      </c>
      <c r="E11" s="30" t="s">
        <v>358</v>
      </c>
      <c r="F11" s="208" t="b">
        <v>1</v>
      </c>
      <c r="G11" s="212" t="str">
        <f t="shared" si="0"/>
        <v>"C:\Program Files (x86)\AstroGrep\AstroGrep.exe" /e /r /s /spath="%USERPROFILE%\AppData\Local\Temp\OnboardLogs" /stypes="*4001*201703061*"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"%USERPROFILE%\AppData\Local\Temp\OnboardLogs"\RTDC4001\*4001*201703061*</v>
      </c>
      <c r="I11" s="210" t="str">
        <f>IF(VLOOKUP(K11,'Train Runs'!$A$13:$V$988,1,TRUE)=K11,VLOOKUP(K11,'Train Runs'!$A$13:$V$988,22,TRUE),NA())</f>
        <v>https://d0f6bd738d7f1b3e5a7ca70fe4ff75f0.us-east-1.aws.found.io/app/kibana#/discover/Steve-Slow-Train-Analysis-(2080s-and-2083s)?_g=(refreshInterval:(display:Off,pause:!f,section:0,value:0),time:(from:'2017-04-17T08:23:13-0600',mode:absolute,to:'2017-04-17T11:18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142-17</v>
      </c>
      <c r="L11" s="202">
        <f>IF(VLOOKUP(K11,'Train Runs'!$A$12:$B$988,1,TRUE)=K11,VLOOKUP(K11,'Train Runs'!$A$12:$B$988,2,TRUE),NA())</f>
        <v>4001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354</v>
      </c>
      <c r="C12" s="194" t="s">
        <v>356</v>
      </c>
      <c r="D12" s="208">
        <v>144</v>
      </c>
      <c r="E12" s="30" t="s">
        <v>358</v>
      </c>
      <c r="F12" s="208" t="b">
        <v>1</v>
      </c>
      <c r="G12" s="212" t="str">
        <f t="shared" si="0"/>
        <v>"C:\Program Files (x86)\AstroGrep\AstroGrep.exe" /e /r /s /spath="%USERPROFILE%\AppData\Local\Temp\OnboardLogs" /stypes="*4051*201703061*"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"%USERPROFILE%\AppData\Local\Temp\OnboardLogs"\RTDC4051\*4051*201703061*</v>
      </c>
      <c r="I12" s="210" t="str">
        <f>IF(VLOOKUP(K12,'Train Runs'!$A$13:$V$988,1,TRUE)=K12,VLOOKUP(K12,'Train Runs'!$A$13:$V$988,22,TRUE),NA())</f>
        <v>https://d0f6bd738d7f1b3e5a7ca70fe4ff75f0.us-east-1.aws.found.io/app/kibana#/discover/Steve-Slow-Train-Analysis-(2080s-and-2083s)?_g=(refreshInterval:(display:Off,pause:!f,section:0,value:0),time:(from:'2017-04-17T08:52:07-0600',mode:absolute,to:'2017-04-17T11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144-17</v>
      </c>
      <c r="L12" s="202">
        <f>IF(VLOOKUP(K12,'Train Runs'!$A$12:$B$988,1,TRUE)=K12,VLOOKUP(K12,'Train Runs'!$A$12:$B$988,2,TRUE),NA())</f>
        <v>4051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354</v>
      </c>
      <c r="C13" s="194" t="s">
        <v>356</v>
      </c>
      <c r="D13" s="208">
        <v>146</v>
      </c>
      <c r="E13" s="30" t="s">
        <v>358</v>
      </c>
      <c r="F13" s="208" t="b">
        <v>1</v>
      </c>
      <c r="G13" s="212" t="str">
        <f t="shared" si="0"/>
        <v>"C:\Program Files (x86)\AstroGrep\AstroGrep.exe" /e /r /s /spath="%USERPROFILE%\AppData\Local\Temp\OnboardLogs" /stypes="*4031*201703061*"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"%USERPROFILE%\AppData\Local\Temp\OnboardLogs"\RTDC4031\*4031*201703061*</v>
      </c>
      <c r="I13" s="210" t="str">
        <f>IF(VLOOKUP(K13,'Train Runs'!$A$13:$V$988,1,TRUE)=K13,VLOOKUP(K13,'Train Runs'!$A$13:$V$988,22,TRUE),NA())</f>
        <v>https://d0f6bd738d7f1b3e5a7ca70fe4ff75f0.us-east-1.aws.found.io/app/kibana#/discover/Steve-Slow-Train-Analysis-(2080s-and-2083s)?_g=(refreshInterval:(display:Off,pause:!f,section:0,value:0),time:(from:'2017-04-17T08:57:36-0600',mode:absolute,to:'2017-04-17T11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146-17</v>
      </c>
      <c r="L13" s="202">
        <f>IF(VLOOKUP(K13,'Train Runs'!$A$12:$B$988,1,TRUE)=K13,VLOOKUP(K13,'Train Runs'!$A$12:$B$988,2,TRUE),NA())</f>
        <v>4031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354</v>
      </c>
      <c r="C14" s="194" t="s">
        <v>356</v>
      </c>
      <c r="D14" s="208">
        <v>148</v>
      </c>
      <c r="E14" s="30" t="s">
        <v>362</v>
      </c>
      <c r="F14" s="208" t="b">
        <v>1</v>
      </c>
      <c r="G14" s="212" t="str">
        <f t="shared" si="0"/>
        <v>"C:\Program Files (x86)\AstroGrep\AstroGrep.exe" /e /r /s /spath="%USERPROFILE%\AppData\Local\Temp\OnboardLogs" /stypes="*4053*201703061*"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"%USERPROFILE%\AppData\Local\Temp\OnboardLogs"\RTDC4053\*4053*201703061*</v>
      </c>
      <c r="I14" s="210" t="str">
        <f>IF(VLOOKUP(K14,'Train Runs'!$A$13:$V$988,1,TRUE)=K14,VLOOKUP(K14,'Train Runs'!$A$13:$V$988,22,TRUE),NA())</f>
        <v>https://d0f6bd738d7f1b3e5a7ca70fe4ff75f0.us-east-1.aws.found.io/app/kibana#/discover/Steve-Slow-Train-Analysis-(2080s-and-2083s)?_g=(refreshInterval:(display:Off,pause:!f,section:0,value:0),time:(from:'2017-04-17T09:09:18-0600',mode:absolute,to:'2017-04-17T12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148-17</v>
      </c>
      <c r="L14" s="202">
        <f>IF(VLOOKUP(K14,'Train Runs'!$A$12:$B$988,1,TRUE)=K14,VLOOKUP(K14,'Train Runs'!$A$12:$B$988,2,TRUE),NA())</f>
        <v>4053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354</v>
      </c>
      <c r="C15" s="194" t="s">
        <v>356</v>
      </c>
      <c r="D15" s="208">
        <v>178</v>
      </c>
      <c r="E15" s="30" t="s">
        <v>363</v>
      </c>
      <c r="F15" s="208" t="b">
        <v>1</v>
      </c>
      <c r="G15" s="212" t="str">
        <f t="shared" si="0"/>
        <v>"C:\Program Files (x86)\AstroGrep\AstroGrep.exe" /e /r /s /spath="%USERPROFILE%\AppData\Local\Temp\OnboardLogs" /stypes="*4027*201703062*"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"%USERPROFILE%\AppData\Local\Temp\OnboardLogs"\RTDC4027\*4027*201703062*</v>
      </c>
      <c r="I15" s="210" t="str">
        <f>IF(VLOOKUP(K15,'Train Runs'!$A$13:$V$988,1,TRUE)=K15,VLOOKUP(K15,'Train Runs'!$A$13:$V$988,22,TRUE),NA())</f>
        <v>https://d0f6bd738d7f1b3e5a7ca70fe4ff75f0.us-east-1.aws.found.io/app/kibana#/discover/Steve-Slow-Train-Analysis-(2080s-and-2083s)?_g=(refreshInterval:(display:Off,pause:!f,section:0,value:0),time:(from:'2017-04-17T13:04:57-0600',mode:absolute,to:'2017-04-17T15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178-17</v>
      </c>
      <c r="L15" s="202">
        <f>IF(VLOOKUP(K15,'Train Runs'!$A$12:$B$988,1,TRUE)=K15,VLOOKUP(K15,'Train Runs'!$A$12:$B$988,2,TRUE),NA())</f>
        <v>4027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354</v>
      </c>
      <c r="C16" s="194" t="s">
        <v>356</v>
      </c>
      <c r="D16" s="208">
        <v>194</v>
      </c>
      <c r="E16" s="30" t="s">
        <v>363</v>
      </c>
      <c r="F16" s="208" t="b">
        <v>1</v>
      </c>
      <c r="G16" s="212" t="str">
        <f t="shared" si="0"/>
        <v>"C:\Program Files (x86)\AstroGrep\AstroGrep.exe" /e /r /s /spath="%USERPROFILE%\AppData\Local\Temp\OnboardLogs" /stypes="*4045*201703062*"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"%USERPROFILE%\AppData\Local\Temp\OnboardLogs"\RTDC4045\*4045*201703062*</v>
      </c>
      <c r="I16" s="210" t="str">
        <f>IF(VLOOKUP(K16,'Train Runs'!$A$13:$V$988,1,TRUE)=K16,VLOOKUP(K16,'Train Runs'!$A$13:$V$988,22,TRUE),NA())</f>
        <v>https://d0f6bd738d7f1b3e5a7ca70fe4ff75f0.us-east-1.aws.found.io/app/kibana#/discover/Steve-Slow-Train-Analysis-(2080s-and-2083s)?_g=(refreshInterval:(display:Off,pause:!f,section:0,value:0),time:(from:'2017-04-17T15:06:33-0600',mode:absolute,to:'2017-04-17T17:48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194-17</v>
      </c>
      <c r="L16" s="202">
        <f>IF(VLOOKUP(K16,'Train Runs'!$A$12:$B$988,1,TRUE)=K16,VLOOKUP(K16,'Train Runs'!$A$12:$B$988,2,TRUE),NA())</f>
        <v>4045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354</v>
      </c>
      <c r="C17" s="194" t="s">
        <v>356</v>
      </c>
      <c r="D17" s="208">
        <v>206</v>
      </c>
      <c r="E17" s="30" t="s">
        <v>358</v>
      </c>
      <c r="F17" s="208" t="b">
        <v>1</v>
      </c>
      <c r="G17" s="212" t="str">
        <f t="shared" si="0"/>
        <v>"C:\Program Files (x86)\AstroGrep\AstroGrep.exe" /e /r /s /spath="%USERPROFILE%\AppData\Local\Temp\OnboardLogs" /stypes="*4027*201703070*"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"%USERPROFILE%\AppData\Local\Temp\OnboardLogs"\RTDC4027\*4027*201703070*</v>
      </c>
      <c r="I17" s="210" t="str">
        <f>IF(VLOOKUP(K17,'Train Runs'!$A$13:$V$988,1,TRUE)=K17,VLOOKUP(K17,'Train Runs'!$A$13:$V$988,22,TRUE),NA())</f>
        <v>https://d0f6bd738d7f1b3e5a7ca70fe4ff75f0.us-east-1.aws.found.io/app/kibana#/discover/Steve-Slow-Train-Analysis-(2080s-and-2083s)?_g=(refreshInterval:(display:Off,pause:!f,section:0,value:0),time:(from:'2017-04-17T16:36:04-0600',mode:absolute,to:'2017-04-17T18:45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206-17</v>
      </c>
      <c r="L17" s="202">
        <f>IF(VLOOKUP(K17,'Train Runs'!$A$12:$B$988,1,TRUE)=K17,VLOOKUP(K17,'Train Runs'!$A$12:$B$988,2,TRUE),NA())</f>
        <v>4027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354</v>
      </c>
      <c r="C18" s="194" t="s">
        <v>356</v>
      </c>
      <c r="D18" s="208">
        <v>210</v>
      </c>
      <c r="E18" s="30" t="s">
        <v>358</v>
      </c>
      <c r="F18" s="208" t="b">
        <v>1</v>
      </c>
      <c r="G18" s="212" t="str">
        <f t="shared" si="0"/>
        <v>"C:\Program Files (x86)\AstroGrep\AstroGrep.exe" /e /r /s /spath="%USERPROFILE%\AppData\Local\Temp\OnboardLogs" /stypes="*4007*201703070*"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"%USERPROFILE%\AppData\Local\Temp\OnboardLogs"\RTDC4007\*4007*201703070*</v>
      </c>
      <c r="I18" s="210" t="str">
        <f>IF(VLOOKUP(K18,'Train Runs'!$A$13:$V$988,1,TRUE)=K18,VLOOKUP(K18,'Train Runs'!$A$13:$V$988,22,TRUE),NA())</f>
        <v>https://d0f6bd738d7f1b3e5a7ca70fe4ff75f0.us-east-1.aws.found.io/app/kibana#/discover/Steve-Slow-Train-Analysis-(2080s-and-2083s)?_g=(refreshInterval:(display:Off,pause:!f,section:0,value:0),time:(from:'2017-04-17T17:09:34-0600',mode:absolute,to:'2017-04-17T19:56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210-17</v>
      </c>
      <c r="L18" s="202">
        <f>IF(VLOOKUP(K18,'Train Runs'!$A$12:$B$988,1,TRUE)=K18,VLOOKUP(K18,'Train Runs'!$A$12:$B$988,2,TRUE),NA())</f>
        <v>4007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354</v>
      </c>
      <c r="C19" s="194" t="s">
        <v>356</v>
      </c>
      <c r="D19" s="208">
        <f>D18+2</f>
        <v>212</v>
      </c>
      <c r="E19" s="30" t="s">
        <v>358</v>
      </c>
      <c r="F19" s="208" t="b">
        <v>1</v>
      </c>
      <c r="G19" s="212" t="str">
        <f t="shared" si="0"/>
        <v>"C:\Program Files (x86)\AstroGrep\AstroGrep.exe" /e /r /s /spath="%USERPROFILE%\AppData\Local\Temp\OnboardLogs" /stypes="*4001*201703070*"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"%USERPROFILE%\AppData\Local\Temp\OnboardLogs"\RTDC4001\*4001*201703070*</v>
      </c>
      <c r="I19" s="210" t="str">
        <f>IF(VLOOKUP(K19,'Train Runs'!$A$13:$V$988,1,TRUE)=K19,VLOOKUP(K19,'Train Runs'!$A$13:$V$988,22,TRUE),NA())</f>
        <v>https://d0f6bd738d7f1b3e5a7ca70fe4ff75f0.us-east-1.aws.found.io/app/kibana#/discover/Steve-Slow-Train-Analysis-(2080s-and-2083s)?_g=(refreshInterval:(display:Off,pause:!f,section:0,value:0),time:(from:'2017-04-17T17:20:46-0600',mode:absolute,to:'2017-04-17T20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212-17</v>
      </c>
      <c r="L19" s="202">
        <f>IF(VLOOKUP(K19,'Train Runs'!$A$12:$B$988,1,TRUE)=K19,VLOOKUP(K19,'Train Runs'!$A$12:$B$988,2,TRUE),NA())</f>
        <v>4001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354</v>
      </c>
      <c r="C20" s="194" t="s">
        <v>356</v>
      </c>
      <c r="D20" s="208">
        <v>214</v>
      </c>
      <c r="E20" s="30" t="s">
        <v>358</v>
      </c>
      <c r="F20" s="208" t="b">
        <v>1</v>
      </c>
      <c r="G20" s="212" t="str">
        <f t="shared" si="0"/>
        <v>"C:\Program Files (x86)\AstroGrep\AstroGrep.exe" /e /r /s /spath="%USERPROFILE%\AppData\Local\Temp\OnboardLogs" /stypes="*4051*201703070*"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"%USERPROFILE%\AppData\Local\Temp\OnboardLogs"\RTDC4051\*4051*201703070*</v>
      </c>
      <c r="I20" s="210" t="str">
        <f>IF(VLOOKUP(K20,'Train Runs'!$A$13:$V$988,1,TRUE)=K20,VLOOKUP(K20,'Train Runs'!$A$13:$V$988,22,TRUE),NA())</f>
        <v>https://d0f6bd738d7f1b3e5a7ca70fe4ff75f0.us-east-1.aws.found.io/app/kibana#/discover/Steve-Slow-Train-Analysis-(2080s-and-2083s)?_g=(refreshInterval:(display:Off,pause:!f,section:0,value:0),time:(from:'2017-04-17T17:30:33-0600',mode:absolute,to:'2017-04-17T20:20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214-17</v>
      </c>
      <c r="L20" s="202">
        <f>IF(VLOOKUP(K20,'Train Runs'!$A$12:$B$988,1,TRUE)=K20,VLOOKUP(K20,'Train Runs'!$A$12:$B$988,2,TRUE),NA())</f>
        <v>4051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354</v>
      </c>
      <c r="C21" s="194" t="s">
        <v>356</v>
      </c>
      <c r="D21" s="208">
        <v>216</v>
      </c>
      <c r="E21" s="30" t="s">
        <v>358</v>
      </c>
      <c r="F21" s="208" t="b">
        <v>1</v>
      </c>
      <c r="G21" s="212" t="str">
        <f t="shared" si="0"/>
        <v>"C:\Program Files (x86)\AstroGrep\AstroGrep.exe" /e /r /s /spath="%USERPROFILE%\AppData\Local\Temp\OnboardLogs" /stypes="*4031*201703070*"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"%USERPROFILE%\AppData\Local\Temp\OnboardLogs"\RTDC4031\*4031*201703070*</v>
      </c>
      <c r="I21" s="210" t="str">
        <f>IF(VLOOKUP(K21,'Train Runs'!$A$13:$V$988,1,TRUE)=K21,VLOOKUP(K21,'Train Runs'!$A$13:$V$988,22,TRUE),NA())</f>
        <v>https://d0f6bd738d7f1b3e5a7ca70fe4ff75f0.us-east-1.aws.found.io/app/kibana#/discover/Steve-Slow-Train-Analysis-(2080s-and-2083s)?_g=(refreshInterval:(display:Off,pause:!f,section:0,value:0),time:(from:'2017-04-17T17:49:56-0600',mode:absolute,to:'2017-04-17T20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216-17</v>
      </c>
      <c r="L21" s="202">
        <f>IF(VLOOKUP(K21,'Train Runs'!$A$12:$B$988,1,TRUE)=K21,VLOOKUP(K21,'Train Runs'!$A$12:$B$988,2,TRUE),NA())</f>
        <v>4031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354</v>
      </c>
      <c r="C22" s="194" t="s">
        <v>356</v>
      </c>
      <c r="D22" s="208">
        <f>D21+2</f>
        <v>218</v>
      </c>
      <c r="E22" s="30" t="s">
        <v>358</v>
      </c>
      <c r="F22" s="208" t="b">
        <v>1</v>
      </c>
      <c r="G22" s="212" t="str">
        <f t="shared" si="0"/>
        <v>"C:\Program Files (x86)\AstroGrep\AstroGrep.exe" /e /r /s /spath="%USERPROFILE%\AppData\Local\Temp\OnboardLogs" /stypes="*4053*201703070*"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"%USERPROFILE%\AppData\Local\Temp\OnboardLogs"\RTDC4053\*4053*201703070*</v>
      </c>
      <c r="I22" s="210" t="str">
        <f>IF(VLOOKUP(K22,'Train Runs'!$A$13:$V$988,1,TRUE)=K22,VLOOKUP(K22,'Train Runs'!$A$13:$V$988,22,TRUE),NA())</f>
        <v>https://d0f6bd738d7f1b3e5a7ca70fe4ff75f0.us-east-1.aws.found.io/app/kibana#/discover/Steve-Slow-Train-Analysis-(2080s-and-2083s)?_g=(refreshInterval:(display:Off,pause:!f,section:0,value:0),time:(from:'2017-04-17T18:05:22-0600',mode:absolute,to:'2017-04-17T20:49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218-17</v>
      </c>
      <c r="L22" s="202">
        <f>IF(VLOOKUP(K22,'Train Runs'!$A$12:$B$988,1,TRUE)=K22,VLOOKUP(K22,'Train Runs'!$A$12:$B$988,2,TRUE),NA())</f>
        <v>4053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354</v>
      </c>
      <c r="C23" s="194" t="s">
        <v>356</v>
      </c>
      <c r="D23" s="208">
        <f>D22+2</f>
        <v>220</v>
      </c>
      <c r="E23" s="30" t="s">
        <v>358</v>
      </c>
      <c r="F23" s="208" t="b">
        <v>1</v>
      </c>
      <c r="G23" s="212" t="str">
        <f t="shared" si="0"/>
        <v>"C:\Program Files (x86)\AstroGrep\AstroGrep.exe" /e /r /s /spath="%USERPROFILE%\AppData\Local\Temp\OnboardLogs" /stypes="*4025*201703070*"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"%USERPROFILE%\AppData\Local\Temp\OnboardLogs"\RTDC4025\*4025*201703070*</v>
      </c>
      <c r="I23" s="210" t="str">
        <f>IF(VLOOKUP(K23,'Train Runs'!$A$13:$V$988,1,TRUE)=K23,VLOOKUP(K23,'Train Runs'!$A$13:$V$988,22,TRUE),NA())</f>
        <v>https://d0f6bd738d7f1b3e5a7ca70fe4ff75f0.us-east-1.aws.found.io/app/kibana#/discover/Steve-Slow-Train-Analysis-(2080s-and-2083s)?_g=(refreshInterval:(display:Off,pause:!f,section:0,value:0),time:(from:'2017-04-17T18:18:29-0600',mode:absolute,to:'2017-04-17T21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220-17</v>
      </c>
      <c r="L23" s="202">
        <f>IF(VLOOKUP(K23,'Train Runs'!$A$12:$B$988,1,TRUE)=K23,VLOOKUP(K23,'Train Runs'!$A$12:$B$988,2,TRUE),NA())</f>
        <v>4025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354</v>
      </c>
      <c r="C24" s="194" t="s">
        <v>356</v>
      </c>
      <c r="D24" s="208">
        <f>D23+2</f>
        <v>222</v>
      </c>
      <c r="E24" s="30" t="s">
        <v>358</v>
      </c>
      <c r="F24" s="208" t="b">
        <v>1</v>
      </c>
      <c r="G24" s="212" t="str">
        <f t="shared" si="0"/>
        <v>"C:\Program Files (x86)\AstroGrep\AstroGrep.exe" /e /r /s /spath="%USERPROFILE%\AppData\Local\Temp\OnboardLogs" /stypes="*4007*201703070*" /stext=" 02:.+((SYSTEM_STATE.+slice.+state.+changed )|(ment ac)|(multiple cpu faults)|(system.+state.+changed )|(\[timeout)|(PRM\|1\|D)|(kpr)|(kdp)|(\|lc)|(penalty)|(\|PRM\|1\|D)|(crossing.((167)|(168)|(199)|(200))))"</v>
      </c>
      <c r="H24" s="214" t="str">
        <f t="shared" si="1"/>
        <v>grep -hSE " 02:.+((\|PRM\|1\|D)|(crossing.((167)|(168)|(199)|(200))))" "%USERPROFILE%\AppData\Local\Temp\OnboardLogs"\RTDC4007\*4007*201703070*</v>
      </c>
      <c r="I24" s="210" t="str">
        <f>IF(VLOOKUP(K24,'Train Runs'!$A$13:$V$988,1,TRUE)=K24,VLOOKUP(K24,'Train Runs'!$A$13:$V$988,22,TRUE),NA())</f>
        <v>https://d0f6bd738d7f1b3e5a7ca70fe4ff75f0.us-east-1.aws.found.io/app/kibana#/discover/Steve-Slow-Train-Analysis-(2080s-and-2083s)?_g=(refreshInterval:(display:Off,pause:!f,section:0,value:0),time:(from:'2017-04-17T18:52:13-0600',mode:absolute,to:'2017-04-17T21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222-17</v>
      </c>
      <c r="L24" s="202">
        <f>IF(VLOOKUP(K24,'Train Runs'!$A$12:$B$988,1,TRUE)=K24,VLOOKUP(K24,'Train Runs'!$A$12:$B$988,2,TRUE),NA())</f>
        <v>4007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354</v>
      </c>
      <c r="C25" s="194" t="s">
        <v>356</v>
      </c>
      <c r="D25" s="208">
        <f>D24+2</f>
        <v>224</v>
      </c>
      <c r="E25" s="30" t="s">
        <v>358</v>
      </c>
      <c r="F25" s="208" t="b">
        <v>1</v>
      </c>
      <c r="G25" s="212" t="str">
        <f t="shared" si="0"/>
        <v>"C:\Program Files (x86)\AstroGrep\AstroGrep.exe" /e /r /s /spath="%USERPROFILE%\AppData\Local\Temp\OnboardLogs" /stypes="*4051*201703070*" /stext=" 02:.+((SYSTEM_STATE.+slice.+state.+changed )|(ment ac)|(multiple cpu faults)|(system.+state.+changed )|(\[timeout)|(PRM\|1\|D)|(kpr)|(kdp)|(\|lc)|(penalty)|(\|PRM\|1\|D)|(crossing.((167)|(168)|(199)|(200))))"</v>
      </c>
      <c r="H25" s="214" t="str">
        <f t="shared" si="1"/>
        <v>grep -hSE " 02:.+((\|PRM\|1\|D)|(crossing.((167)|(168)|(199)|(200))))" "%USERPROFILE%\AppData\Local\Temp\OnboardLogs"\RTDC4051\*4051*201703070*</v>
      </c>
      <c r="I25" s="210" t="str">
        <f>IF(VLOOKUP(K25,'Train Runs'!$A$13:$V$988,1,TRUE)=K25,VLOOKUP(K25,'Train Runs'!$A$13:$V$988,22,TRUE),NA())</f>
        <v>https://d0f6bd738d7f1b3e5a7ca70fe4ff75f0.us-east-1.aws.found.io/app/kibana#/discover/Steve-Slow-Train-Analysis-(2080s-and-2083s)?_g=(refreshInterval:(display:Off,pause:!f,section:0,value:0),time:(from:'2017-04-17T19:13:08-0600',mode:absolute,to:'2017-04-17T22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25" s="206">
        <f t="shared" si="2"/>
        <v>42801.122916666667</v>
      </c>
      <c r="K25" s="206" t="str">
        <f>D25&amp;"-"&amp;IF(DAY(Variables!$A$2)&lt;10,0,"")&amp;DAY(Variables!$A$2)</f>
        <v>224-17</v>
      </c>
      <c r="L25" s="202">
        <f>IF(VLOOKUP(K25,'Train Runs'!$A$12:$B$988,1,TRUE)=K25,VLOOKUP(K25,'Train Runs'!$A$12:$B$988,2,TRUE),NA())</f>
        <v>4051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354</v>
      </c>
      <c r="C26" s="194" t="s">
        <v>356</v>
      </c>
      <c r="D26" s="208">
        <f>D25+2</f>
        <v>226</v>
      </c>
      <c r="E26" s="30" t="s">
        <v>358</v>
      </c>
      <c r="F26" s="208" t="b">
        <v>1</v>
      </c>
      <c r="G26" s="212" t="str">
        <f t="shared" si="0"/>
        <v>"C:\Program Files (x86)\AstroGrep\AstroGrep.exe" /e /r /s /spath="%USERPROFILE%\AppData\Local\Temp\OnboardLogs" /stypes="*4053*201703070*" /stext=" 03:.+((SYSTEM_STATE.+slice.+state.+changed )|(ment ac)|(multiple cpu faults)|(system.+state.+changed )|(\[timeout)|(PRM\|1\|D)|(kpr)|(kdp)|(\|lc)|(penalty)|(\|PRM\|1\|D)|(crossing.((167)|(168)|(199)|(200))))"</v>
      </c>
      <c r="H26" s="214" t="str">
        <f t="shared" si="1"/>
        <v>grep -hSE " 03:.+((\|PRM\|1\|D)|(crossing.((167)|(168)|(199)|(200))))" "%USERPROFILE%\AppData\Local\Temp\OnboardLogs"\RTDC4053\*4053*201703070*</v>
      </c>
      <c r="I26" s="210" t="str">
        <f>IF(VLOOKUP(K26,'Train Runs'!$A$13:$V$988,1,TRUE)=K26,VLOOKUP(K26,'Train Runs'!$A$13:$V$988,22,TRUE),NA())</f>
        <v>https://d0f6bd738d7f1b3e5a7ca70fe4ff75f0.us-east-1.aws.found.io/app/kibana#/discover/Steve-Slow-Train-Analysis-(2080s-and-2083s)?_g=(refreshInterval:(display:Off,pause:!f,section:0,value:0),time:(from:'2017-04-17T19:47:21-0600',mode:absolute,to:'2017-04-17T22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26" s="206">
        <f t="shared" si="2"/>
        <v>42801.145138888889</v>
      </c>
      <c r="K26" s="206" t="str">
        <f>D26&amp;"-"&amp;IF(DAY(Variables!$A$2)&lt;10,0,"")&amp;DAY(Variables!$A$2)</f>
        <v>226-17</v>
      </c>
      <c r="L26" s="202">
        <f>IF(VLOOKUP(K26,'Train Runs'!$A$12:$B$988,1,TRUE)=K26,VLOOKUP(K26,'Train Runs'!$A$12:$B$988,2,TRUE),NA())</f>
        <v>4053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354</v>
      </c>
      <c r="C27" s="194" t="s">
        <v>356</v>
      </c>
      <c r="D27" s="208">
        <f t="shared" ref="D27:D33" si="5">D26+2</f>
        <v>228</v>
      </c>
      <c r="E27" s="30" t="s">
        <v>358</v>
      </c>
      <c r="F27" s="208" t="b">
        <v>1</v>
      </c>
      <c r="G27" s="212" t="str">
        <f t="shared" si="0"/>
        <v>"C:\Program Files (x86)\AstroGrep\AstroGrep.exe" /e /r /s /spath="%USERPROFILE%\AppData\Local\Temp\OnboardLogs" /stypes="*4027*201703070*" /stext=" 04:.+((SYSTEM_STATE.+slice.+state.+changed )|(ment ac)|(multiple cpu faults)|(system.+state.+changed )|(\[timeout)|(PRM\|1\|D)|(kpr)|(kdp)|(\|lc)|(penalty)|(\|PRM\|1\|D)|(crossing.((167)|(168)|(199)|(200))))"</v>
      </c>
      <c r="H27" s="214" t="str">
        <f t="shared" si="1"/>
        <v>grep -hSE " 04:.+((\|PRM\|1\|D)|(crossing.((167)|(168)|(199)|(200))))" "%USERPROFILE%\AppData\Local\Temp\OnboardLogs"\RTDC4027\*4027*201703070*</v>
      </c>
      <c r="I27" s="210" t="str">
        <f>IF(VLOOKUP(K27,'Train Runs'!$A$13:$V$988,1,TRUE)=K27,VLOOKUP(K27,'Train Runs'!$A$13:$V$988,22,TRUE),NA())</f>
        <v>https://d0f6bd738d7f1b3e5a7ca70fe4ff75f0.us-east-1.aws.found.io/app/kibana#/discover/Steve-Slow-Train-Analysis-(2080s-and-2083s)?_g=(refreshInterval:(display:Off,pause:!f,section:0,value:0),time:(from:'2017-04-17T20:15:35-0600',mode:absolute,to:'2017-04-17T23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J27" s="206">
        <f t="shared" si="2"/>
        <v>42801.166666666664</v>
      </c>
      <c r="K27" s="206" t="str">
        <f>D27&amp;"-"&amp;IF(DAY(Variables!$A$2)&lt;10,0,"")&amp;DAY(Variables!$A$2)</f>
        <v>228-17</v>
      </c>
      <c r="L27" s="202">
        <f>IF(VLOOKUP(K27,'Train Runs'!$A$12:$B$988,1,TRUE)=K27,VLOOKUP(K27,'Train Runs'!$A$12:$B$988,2,TRUE),NA())</f>
        <v>4027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354</v>
      </c>
      <c r="C28" s="194" t="s">
        <v>356</v>
      </c>
      <c r="D28" s="208">
        <f t="shared" si="5"/>
        <v>230</v>
      </c>
      <c r="E28" s="30" t="s">
        <v>358</v>
      </c>
      <c r="F28" s="208" t="b">
        <v>1</v>
      </c>
      <c r="G28" s="212" t="str">
        <f t="shared" si="0"/>
        <v>"C:\Program Files (x86)\AstroGrep\AstroGrep.exe" /e /r /s /spath="%USERPROFILE%\AppData\Local\Temp\OnboardLogs" /stypes="*4007*201703070*" /stext=" 04:.+((SYSTEM_STATE.+slice.+state.+changed )|(ment ac)|(multiple cpu faults)|(system.+state.+changed )|(\[timeout)|(PRM\|1\|D)|(kpr)|(kdp)|(\|lc)|(penalty)|(\|PRM\|1\|D)|(crossing.((167)|(168)|(199)|(200))))"</v>
      </c>
      <c r="H28" s="214" t="str">
        <f t="shared" si="1"/>
        <v>grep -hSE " 04:.+((\|PRM\|1\|D)|(crossing.((167)|(168)|(199)|(200))))" "%USERPROFILE%\AppData\Local\Temp\OnboardLogs"\RTDC4007\*4007*201703070*</v>
      </c>
      <c r="I28" s="210" t="str">
        <f>IF(VLOOKUP(K28,'Train Runs'!$A$13:$V$988,1,TRUE)=K28,VLOOKUP(K28,'Train Runs'!$A$13:$V$988,22,TRUE),NA())</f>
        <v>https://d0f6bd738d7f1b3e5a7ca70fe4ff75f0.us-east-1.aws.found.io/app/kibana#/discover/Steve-Slow-Train-Analysis-(2080s-and-2083s)?_g=(refreshInterval:(display:Off,pause:!f,section:0,value:0),time:(from:'2017-04-17T20:52:29-0600',mode:absolute,to:'2017-04-17T23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28" s="206">
        <f t="shared" si="2"/>
        <v>42801.189583333333</v>
      </c>
      <c r="K28" s="206" t="str">
        <f>D28&amp;"-"&amp;IF(DAY(Variables!$A$2)&lt;10,0,"")&amp;DAY(Variables!$A$2)</f>
        <v>230-17</v>
      </c>
      <c r="L28" s="202">
        <f>IF(VLOOKUP(K28,'Train Runs'!$A$12:$B$988,1,TRUE)=K28,VLOOKUP(K28,'Train Runs'!$A$12:$B$988,2,TRUE),NA())</f>
        <v>4007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354</v>
      </c>
      <c r="C29" s="194" t="s">
        <v>356</v>
      </c>
      <c r="D29" s="208">
        <f t="shared" si="5"/>
        <v>232</v>
      </c>
      <c r="E29" s="30" t="s">
        <v>358</v>
      </c>
      <c r="F29" s="208" t="b">
        <v>1</v>
      </c>
      <c r="G29" s="212" t="str">
        <f t="shared" si="0"/>
        <v>"C:\Program Files (x86)\AstroGrep\AstroGrep.exe" /e /r /s /spath="%USERPROFILE%\AppData\Local\Temp\OnboardLogs" /stypes="*4051*201703070*" /stext=" 04:.+((SYSTEM_STATE.+slice.+state.+changed )|(ment ac)|(multiple cpu faults)|(system.+state.+changed )|(\[timeout)|(PRM\|1\|D)|(kpr)|(kdp)|(\|lc)|(penalty)|(\|PRM\|1\|D)|(crossing.((167)|(168)|(199)|(200))))"</v>
      </c>
      <c r="H29" s="214" t="str">
        <f t="shared" si="1"/>
        <v>grep -hSE " 04:.+((\|PRM\|1\|D)|(crossing.((167)|(168)|(199)|(200))))" "%USERPROFILE%\AppData\Local\Temp\OnboardLogs"\RTDC4051\*4051*201703070*</v>
      </c>
      <c r="I29" s="210" t="str">
        <f>IF(VLOOKUP(K29,'Train Runs'!$A$13:$V$988,1,TRUE)=K29,VLOOKUP(K29,'Train Runs'!$A$13:$V$988,22,TRUE),NA())</f>
        <v>https://d0f6bd738d7f1b3e5a7ca70fe4ff75f0.us-east-1.aws.found.io/app/kibana#/discover/Steve-Slow-Train-Analysis-(2080s-and-2083s)?_g=(refreshInterval:(display:Off,pause:!f,section:0,value:0),time:(from:'2017-04-17T21:13:47-0600',mode:absolute,to:'2017-04-18T00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29" s="206">
        <f t="shared" si="2"/>
        <v>42801.207638888889</v>
      </c>
      <c r="K29" s="206" t="str">
        <f>D29&amp;"-"&amp;IF(DAY(Variables!$A$2)&lt;10,0,"")&amp;DAY(Variables!$A$2)</f>
        <v>232-17</v>
      </c>
      <c r="L29" s="202">
        <f>IF(VLOOKUP(K29,'Train Runs'!$A$12:$B$988,1,TRUE)=K29,VLOOKUP(K29,'Train Runs'!$A$12:$B$988,2,TRUE),NA())</f>
        <v>4051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354</v>
      </c>
      <c r="C30" s="194" t="s">
        <v>356</v>
      </c>
      <c r="D30" s="208">
        <f t="shared" si="5"/>
        <v>234</v>
      </c>
      <c r="E30" s="30" t="s">
        <v>358</v>
      </c>
      <c r="F30" s="208" t="b">
        <v>1</v>
      </c>
      <c r="G30" s="212" t="str">
        <f t="shared" si="0"/>
        <v>"C:\Program Files (x86)\AstroGrep\AstroGrep.exe" /e /r /s /spath="%USERPROFILE%\AppData\Local\Temp\OnboardLogs" /stypes="*4053*201703070*" /stext=" 05:.+((SYSTEM_STATE.+slice.+state.+changed )|(ment ac)|(multiple cpu faults)|(system.+state.+changed )|(\[timeout)|(PRM\|1\|D)|(kpr)|(kdp)|(\|lc)|(penalty)|(\|PRM\|1\|D)|(crossing.((167)|(168)|(199)|(200))))"</v>
      </c>
      <c r="H30" s="214" t="str">
        <f t="shared" si="1"/>
        <v>grep -hSE " 05:.+((\|PRM\|1\|D)|(crossing.((167)|(168)|(199)|(200))))" "%USERPROFILE%\AppData\Local\Temp\OnboardLogs"\RTDC4053\*4053*201703070*</v>
      </c>
      <c r="I30" s="210" t="str">
        <f>IF(VLOOKUP(K30,'Train Runs'!$A$13:$V$988,1,TRUE)=K30,VLOOKUP(K30,'Train Runs'!$A$13:$V$988,22,TRUE),NA())</f>
        <v>https://d0f6bd738d7f1b3e5a7ca70fe4ff75f0.us-east-1.aws.found.io/app/kibana#/discover/Steve-Slow-Train-Analysis-(2080s-and-2083s)?_g=(refreshInterval:(display:Off,pause:!f,section:0,value:0),time:(from:'2017-04-17T21:52:52-0600',mode:absolute,to:'2017-04-18T00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30" s="206">
        <f t="shared" si="2"/>
        <v>42801.21875</v>
      </c>
      <c r="K30" s="206" t="str">
        <f>D30&amp;"-"&amp;IF(DAY(Variables!$A$2)&lt;10,0,"")&amp;DAY(Variables!$A$2)</f>
        <v>234-17</v>
      </c>
      <c r="L30" s="202">
        <f>IF(VLOOKUP(K30,'Train Runs'!$A$12:$B$988,1,TRUE)=K30,VLOOKUP(K30,'Train Runs'!$A$12:$B$988,2,TRUE),NA())</f>
        <v>4053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354</v>
      </c>
      <c r="C31" s="194" t="s">
        <v>356</v>
      </c>
      <c r="D31" s="208">
        <f t="shared" si="5"/>
        <v>236</v>
      </c>
      <c r="E31" s="30" t="s">
        <v>358</v>
      </c>
      <c r="F31" s="208" t="b">
        <v>1</v>
      </c>
      <c r="G31" s="212" t="str">
        <f t="shared" si="0"/>
        <v>"C:\Program Files (x86)\AstroGrep\AstroGrep.exe" /e /r /s /spath="%USERPROFILE%\AppData\Local\Temp\OnboardLogs" /stypes="*4027*201703070*" /stext=" 05:.+((SYSTEM_STATE.+slice.+state.+changed )|(ment ac)|(multiple cpu faults)|(system.+state.+changed )|(\[timeout)|(PRM\|1\|D)|(kpr)|(kdp)|(\|lc)|(penalty)|(\|PRM\|1\|D)|(crossing.((167)|(168)|(199)|(200))))"</v>
      </c>
      <c r="H31" s="214" t="str">
        <f t="shared" si="1"/>
        <v>grep -hSE " 05:.+((\|PRM\|1\|D)|(crossing.((167)|(168)|(199)|(200))))" "%USERPROFILE%\AppData\Local\Temp\OnboardLogs"\RTDC4027\*4027*201703070*</v>
      </c>
      <c r="I31" s="210" t="str">
        <f>IF(VLOOKUP(K31,'Train Runs'!$A$13:$V$988,1,TRUE)=K31,VLOOKUP(K31,'Train Runs'!$A$13:$V$988,22,TRUE),NA())</f>
        <v>https://d0f6bd738d7f1b3e5a7ca70fe4ff75f0.us-east-1.aws.found.io/app/kibana#/discover/Steve-Slow-Train-Analysis-(2080s-and-2083s)?_g=(refreshInterval:(display:Off,pause:!f,section:0,value:0),time:(from:'2017-04-17T22:17:25-0600',mode:absolute,to:'2017-04-18T01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J31" s="206">
        <f t="shared" si="2"/>
        <v>42801.229861111111</v>
      </c>
      <c r="K31" s="206" t="str">
        <f>D31&amp;"-"&amp;IF(DAY(Variables!$A$2)&lt;10,0,"")&amp;DAY(Variables!$A$2)</f>
        <v>236-17</v>
      </c>
      <c r="L31" s="202">
        <f>IF(VLOOKUP(K31,'Train Runs'!$A$12:$B$988,1,TRUE)=K31,VLOOKUP(K31,'Train Runs'!$A$12:$B$988,2,TRUE),NA())</f>
        <v>4027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354</v>
      </c>
      <c r="C32" s="194" t="s">
        <v>356</v>
      </c>
      <c r="D32" s="208">
        <f t="shared" si="5"/>
        <v>238</v>
      </c>
      <c r="E32" s="30" t="s">
        <v>358</v>
      </c>
      <c r="F32" s="208" t="b">
        <v>1</v>
      </c>
      <c r="G32" s="212" t="str">
        <f t="shared" si="0"/>
        <v>"C:\Program Files (x86)\AstroGrep\AstroGrep.exe" /e /r /s /spath="%USERPROFILE%\AppData\Local\Temp\OnboardLogs" /stypes="*4007*201703070*" /stext=" 05:.+((SYSTEM_STATE.+slice.+state.+changed )|(ment ac)|(multiple cpu faults)|(system.+state.+changed )|(\[timeout)|(PRM\|1\|D)|(kpr)|(kdp)|(\|lc)|(penalty)|(\|PRM\|1\|D)|(crossing.((167)|(168)|(199)|(200))))"</v>
      </c>
      <c r="H32" s="214" t="str">
        <f t="shared" si="1"/>
        <v>grep -hSE " 05:.+((\|PRM\|1\|D)|(crossing.((167)|(168)|(199)|(200))))" "%USERPROFILE%\AppData\Local\Temp\OnboardLogs"\RTDC4007\*4007*201703070*</v>
      </c>
      <c r="I32" s="210" t="str">
        <f>IF(VLOOKUP(K32,'Train Runs'!$A$13:$V$988,1,TRUE)=K32,VLOOKUP(K32,'Train Runs'!$A$13:$V$988,22,TRUE),NA())</f>
        <v>https://d0f6bd738d7f1b3e5a7ca70fe4ff75f0.us-east-1.aws.found.io/app/kibana#/discover/Steve-Slow-Train-Analysis-(2080s-and-2083s)?_g=(refreshInterval:(display:Off,pause:!f,section:0,value:0),time:(from:'2017-04-17T22:53:52-0600',mode:absolute,to:'2017-04-18T01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32" s="206">
        <f t="shared" si="2"/>
        <v>42801.249305555553</v>
      </c>
      <c r="K32" s="206" t="str">
        <f>D32&amp;"-"&amp;IF(DAY(Variables!$A$2)&lt;10,0,"")&amp;DAY(Variables!$A$2)</f>
        <v>238-17</v>
      </c>
      <c r="L32" s="202">
        <f>IF(VLOOKUP(K32,'Train Runs'!$A$12:$B$988,1,TRUE)=K32,VLOOKUP(K32,'Train Runs'!$A$12:$B$988,2,TRUE),NA())</f>
        <v>4007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354</v>
      </c>
      <c r="C33" s="194" t="s">
        <v>356</v>
      </c>
      <c r="D33" s="208">
        <f t="shared" si="5"/>
        <v>240</v>
      </c>
      <c r="E33" s="30" t="s">
        <v>358</v>
      </c>
      <c r="F33" s="208" t="b">
        <v>1</v>
      </c>
      <c r="G33" s="212" t="str">
        <f t="shared" si="0"/>
        <v>"C:\Program Files (x86)\AstroGrep\AstroGrep.exe" /e /r /s /spath="%USERPROFILE%\AppData\Local\Temp\OnboardLogs" /stypes="*4051*201703070*" /stext=" 06:.+((SYSTEM_STATE.+slice.+state.+changed )|(ment ac)|(multiple cpu faults)|(system.+state.+changed )|(\[timeout)|(PRM\|1\|D)|(kpr)|(kdp)|(\|lc)|(penalty)|(\|PRM\|1\|D)|(crossing.((167)|(168)|(199)|(200))))"</v>
      </c>
      <c r="H33" s="214" t="str">
        <f t="shared" si="1"/>
        <v>grep -hSE " 06:.+((\|PRM\|1\|D)|(crossing.((167)|(168)|(199)|(200))))" "%USERPROFILE%\AppData\Local\Temp\OnboardLogs"\RTDC4051\*4051*201703070*</v>
      </c>
      <c r="I33" s="210" t="str">
        <f>IF(VLOOKUP(K33,'Train Runs'!$A$13:$V$988,1,TRUE)=K33,VLOOKUP(K33,'Train Runs'!$A$13:$V$988,22,TRUE),NA())</f>
        <v>https://d0f6bd738d7f1b3e5a7ca70fe4ff75f0.us-east-1.aws.found.io/app/kibana#/discover/Steve-Slow-Train-Analysis-(2080s-and-2083s)?_g=(refreshInterval:(display:Off,pause:!f,section:0,value:0),time:(from:'2017-04-17T23:10:24-0600',mode:absolute,to:'2017-04-18T02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33" s="206">
        <f t="shared" si="2"/>
        <v>42801.272222222222</v>
      </c>
      <c r="K33" s="206" t="str">
        <f>D33&amp;"-"&amp;IF(DAY(Variables!$A$2)&lt;10,0,"")&amp;DAY(Variables!$A$2)</f>
        <v>240-17</v>
      </c>
      <c r="L33" s="202">
        <f>IF(VLOOKUP(K33,'Train Runs'!$A$12:$B$988,1,TRUE)=K33,VLOOKUP(K33,'Train Runs'!$A$12:$B$988,2,TRUE),NA())</f>
        <v>4051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354</v>
      </c>
      <c r="C34" s="194" t="s">
        <v>356</v>
      </c>
      <c r="D34" s="208">
        <v>240</v>
      </c>
      <c r="E34" s="30" t="s">
        <v>358</v>
      </c>
      <c r="F34" s="208" t="b">
        <v>1</v>
      </c>
      <c r="G34" s="212" t="str">
        <f t="shared" si="0"/>
        <v>"C:\Program Files (x86)\AstroGrep\AstroGrep.exe" /e /r /s /spath="%USERPROFILE%\AppData\Local\Temp\OnboardLogs" /stypes="*4051*201703070*" /stext=" 06:.+((SYSTEM_STATE.+slice.+state.+changed )|(ment ac)|(multiple cpu faults)|(system.+state.+changed )|(\[timeout)|(PRM\|1\|D)|(kpr)|(kdp)|(\|lc)|(penalty)|(\|PRM\|1\|D)|(crossing.((167)|(168)|(199)|(200))))"</v>
      </c>
      <c r="H34" s="214" t="str">
        <f t="shared" si="1"/>
        <v>grep -hSE " 06:.+((\|PRM\|1\|D)|(crossing.((167)|(168)|(199)|(200))))" "%USERPROFILE%\AppData\Local\Temp\OnboardLogs"\RTDC4051\*4051*201703070*</v>
      </c>
      <c r="I34" s="210" t="str">
        <f>IF(VLOOKUP(K34,'Train Runs'!$A$13:$V$988,1,TRUE)=K34,VLOOKUP(K34,'Train Runs'!$A$13:$V$988,22,TRUE),NA())</f>
        <v>https://d0f6bd738d7f1b3e5a7ca70fe4ff75f0.us-east-1.aws.found.io/app/kibana#/discover/Steve-Slow-Train-Analysis-(2080s-and-2083s)?_g=(refreshInterval:(display:Off,pause:!f,section:0,value:0),time:(from:'2017-04-17T23:10:24-0600',mode:absolute,to:'2017-04-18T02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34" s="206">
        <f t="shared" si="2"/>
        <v>42801.290277777778</v>
      </c>
      <c r="K34" s="206" t="str">
        <f>D34&amp;"-"&amp;IF(DAY(Variables!$A$2)&lt;10,0,"")&amp;DAY(Variables!$A$2)</f>
        <v>240-17</v>
      </c>
      <c r="L34" s="202">
        <f>IF(VLOOKUP(K34,'Train Runs'!$A$12:$B$988,1,TRUE)=K34,VLOOKUP(K34,'Train Runs'!$A$12:$B$988,2,TRUE),NA())</f>
        <v>4051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354</v>
      </c>
      <c r="C35" s="194" t="s">
        <v>356</v>
      </c>
      <c r="D35" s="208">
        <v>242</v>
      </c>
      <c r="E35" s="30" t="s">
        <v>358</v>
      </c>
      <c r="F35" s="208" t="b">
        <v>1</v>
      </c>
      <c r="G35" s="212" t="str">
        <f t="shared" si="0"/>
        <v>"C:\Program Files (x86)\AstroGrep\AstroGrep.exe" /e /r /s /spath="%USERPROFILE%\AppData\Local\Temp\OnboardLogs" /stypes="*4053*201703070*" /stext=" 07:.+((SYSTEM_STATE.+slice.+state.+changed )|(ment ac)|(multiple cpu faults)|(system.+state.+changed )|(\[timeout)|(PRM\|1\|D)|(kpr)|(kdp)|(\|lc)|(penalty)|(\|PRM\|1\|D)|(crossing.((167)|(168)|(199)|(200))))"</v>
      </c>
      <c r="H35" s="214" t="str">
        <f t="shared" si="1"/>
        <v>grep -hSE " 07:.+((\|PRM\|1\|D)|(crossing.((167)|(168)|(199)|(200))))" "%USERPROFILE%\AppData\Local\Temp\OnboardLogs"\RTDC4053\*4053*201703070*</v>
      </c>
      <c r="I35" s="210" t="str">
        <f>IF(VLOOKUP(K35,'Train Runs'!$A$13:$V$988,1,TRUE)=K35,VLOOKUP(K35,'Train Runs'!$A$13:$V$988,22,TRUE),NA())</f>
        <v>https://d0f6bd738d7f1b3e5a7ca70fe4ff75f0.us-east-1.aws.found.io/app/kibana#/discover/Steve-Slow-Train-Analysis-(2080s-and-2083s)?_g=(refreshInterval:(display:Off,pause:!f,section:0,value:0),time:(from:'2017-04-17T23:51:31-0600',mode:absolute,to:'2017-04-18T02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35" s="206">
        <f t="shared" si="2"/>
        <v>42801.311805555553</v>
      </c>
      <c r="K35" s="206" t="str">
        <f>D35&amp;"-"&amp;IF(DAY(Variables!$A$2)&lt;10,0,"")&amp;DAY(Variables!$A$2)</f>
        <v>242-17</v>
      </c>
      <c r="L35" s="202">
        <f>IF(VLOOKUP(K35,'Train Runs'!$A$12:$B$988,1,TRUE)=K35,VLOOKUP(K35,'Train Runs'!$A$12:$B$988,2,TRUE),NA())</f>
        <v>4053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42842.049490740741</v>
      </c>
      <c r="B2" s="20" t="s">
        <v>427</v>
      </c>
      <c r="C2" s="20" t="s">
        <v>550</v>
      </c>
      <c r="D2" s="146">
        <v>1810000</v>
      </c>
      <c r="E2" s="20" t="s">
        <v>393</v>
      </c>
      <c r="F2" s="20" t="s">
        <v>193</v>
      </c>
      <c r="G2" s="8" t="str">
        <f>E2&amp;" "&amp;F2</f>
        <v>NEWELL JAMES</v>
      </c>
    </row>
    <row r="3" spans="1:7" x14ac:dyDescent="0.25">
      <c r="A3" s="8">
        <v>42842.054375</v>
      </c>
      <c r="B3" s="20" t="s">
        <v>500</v>
      </c>
      <c r="C3" s="20" t="s">
        <v>559</v>
      </c>
      <c r="D3" s="146">
        <v>2000000</v>
      </c>
      <c r="E3" s="20" t="s">
        <v>373</v>
      </c>
      <c r="F3" s="20" t="s">
        <v>193</v>
      </c>
      <c r="G3" s="8" t="str">
        <f t="shared" ref="G3:G66" si="0">E3&amp;" "&amp;F3</f>
        <v>STAMBAUGH JAMES</v>
      </c>
    </row>
    <row r="4" spans="1:7" x14ac:dyDescent="0.25">
      <c r="A4" s="8">
        <v>42842.069293981483</v>
      </c>
      <c r="B4" s="20" t="s">
        <v>421</v>
      </c>
      <c r="C4" s="20" t="s">
        <v>560</v>
      </c>
      <c r="D4" s="146">
        <v>2630000</v>
      </c>
      <c r="E4" s="20" t="s">
        <v>465</v>
      </c>
      <c r="F4" s="20" t="s">
        <v>466</v>
      </c>
      <c r="G4" s="8" t="str">
        <f t="shared" si="0"/>
        <v>SAFIEF AEIMEN</v>
      </c>
    </row>
    <row r="5" spans="1:7" x14ac:dyDescent="0.25">
      <c r="A5" s="8">
        <v>42842.076724537037</v>
      </c>
      <c r="B5" s="20" t="s">
        <v>397</v>
      </c>
      <c r="C5" s="20" t="s">
        <v>561</v>
      </c>
      <c r="D5" s="146">
        <v>0</v>
      </c>
      <c r="E5" s="20" t="s">
        <v>518</v>
      </c>
      <c r="F5" s="20" t="s">
        <v>472</v>
      </c>
      <c r="G5" s="8" t="str">
        <f t="shared" si="0"/>
        <v>HAUSER FRANK</v>
      </c>
    </row>
    <row r="6" spans="1:7" x14ac:dyDescent="0.25">
      <c r="A6" s="8">
        <v>42842.077777777777</v>
      </c>
      <c r="B6" s="20" t="s">
        <v>397</v>
      </c>
      <c r="C6" s="20" t="s">
        <v>561</v>
      </c>
      <c r="D6" s="146">
        <v>2680000</v>
      </c>
      <c r="E6" s="20" t="s">
        <v>415</v>
      </c>
      <c r="F6" s="20" t="s">
        <v>416</v>
      </c>
      <c r="G6" s="8" t="str">
        <f t="shared" si="0"/>
        <v>DUNCAN SHEILA</v>
      </c>
    </row>
    <row r="7" spans="1:7" x14ac:dyDescent="0.25">
      <c r="A7" s="8">
        <v>42842.078738425924</v>
      </c>
      <c r="B7" s="20" t="s">
        <v>397</v>
      </c>
      <c r="C7" s="20" t="s">
        <v>561</v>
      </c>
      <c r="D7" s="146">
        <v>2680000</v>
      </c>
      <c r="E7" s="20" t="s">
        <v>415</v>
      </c>
      <c r="F7" s="20" t="s">
        <v>416</v>
      </c>
      <c r="G7" s="8" t="str">
        <f t="shared" si="0"/>
        <v>DUNCAN SHEILA</v>
      </c>
    </row>
    <row r="8" spans="1:7" x14ac:dyDescent="0.25">
      <c r="A8" s="8">
        <v>42842.079826388886</v>
      </c>
      <c r="B8" s="20" t="s">
        <v>397</v>
      </c>
      <c r="C8" s="20" t="s">
        <v>561</v>
      </c>
      <c r="D8" s="146">
        <v>2680000</v>
      </c>
      <c r="E8" s="20" t="s">
        <v>415</v>
      </c>
      <c r="F8" s="20" t="s">
        <v>416</v>
      </c>
      <c r="G8" s="8" t="str">
        <f t="shared" si="0"/>
        <v>DUNCAN SHEILA</v>
      </c>
    </row>
    <row r="9" spans="1:7" ht="15.75" thickBot="1" x14ac:dyDescent="0.3">
      <c r="A9" s="24">
        <v>42842.088321759256</v>
      </c>
      <c r="B9" s="20" t="s">
        <v>470</v>
      </c>
      <c r="C9" s="20" t="s">
        <v>562</v>
      </c>
      <c r="D9" s="146">
        <v>2000000</v>
      </c>
      <c r="E9" s="20" t="s">
        <v>373</v>
      </c>
      <c r="F9" s="20" t="s">
        <v>193</v>
      </c>
      <c r="G9" s="8" t="str">
        <f t="shared" si="0"/>
        <v>STAMBAUGH JAMES</v>
      </c>
    </row>
    <row r="10" spans="1:7" x14ac:dyDescent="0.25">
      <c r="A10" s="8">
        <v>42842.114363425928</v>
      </c>
      <c r="B10" s="20" t="s">
        <v>398</v>
      </c>
      <c r="C10" s="20" t="s">
        <v>563</v>
      </c>
      <c r="D10" s="146">
        <v>2680000</v>
      </c>
      <c r="E10" s="20" t="s">
        <v>415</v>
      </c>
      <c r="F10" s="20" t="s">
        <v>416</v>
      </c>
      <c r="G10" s="8" t="str">
        <f t="shared" si="0"/>
        <v>DUNCAN SHEILA</v>
      </c>
    </row>
    <row r="11" spans="1:7" x14ac:dyDescent="0.25">
      <c r="A11" s="8">
        <v>42842.117060185185</v>
      </c>
      <c r="B11" s="20" t="s">
        <v>605</v>
      </c>
      <c r="C11" s="20" t="s">
        <v>635</v>
      </c>
      <c r="D11" s="146">
        <v>1360000</v>
      </c>
      <c r="E11" s="20" t="s">
        <v>516</v>
      </c>
      <c r="F11" s="20" t="s">
        <v>517</v>
      </c>
      <c r="G11" s="8" t="str">
        <f t="shared" si="0"/>
        <v>SANTIZO D. EDY</v>
      </c>
    </row>
    <row r="12" spans="1:7" x14ac:dyDescent="0.25">
      <c r="A12" s="8">
        <v>42842.127442129633</v>
      </c>
      <c r="B12" s="20" t="s">
        <v>489</v>
      </c>
      <c r="C12" s="20" t="s">
        <v>636</v>
      </c>
      <c r="D12" s="146">
        <v>1360000</v>
      </c>
      <c r="E12" s="20" t="s">
        <v>516</v>
      </c>
      <c r="F12" s="20" t="s">
        <v>517</v>
      </c>
      <c r="G12" s="8" t="str">
        <f t="shared" si="0"/>
        <v>SANTIZO D. EDY</v>
      </c>
    </row>
    <row r="13" spans="1:7" x14ac:dyDescent="0.25">
      <c r="A13" s="8">
        <v>42842.14340277778</v>
      </c>
      <c r="B13" s="20" t="s">
        <v>374</v>
      </c>
      <c r="C13" s="20" t="s">
        <v>637</v>
      </c>
      <c r="D13" s="146">
        <v>2010000</v>
      </c>
      <c r="E13" s="20" t="s">
        <v>638</v>
      </c>
      <c r="F13" s="20" t="s">
        <v>639</v>
      </c>
      <c r="G13" s="8" t="str">
        <f t="shared" si="0"/>
        <v>MAELZER KURT</v>
      </c>
    </row>
    <row r="14" spans="1:7" x14ac:dyDescent="0.25">
      <c r="A14" s="8">
        <v>42842.15519675926</v>
      </c>
      <c r="B14" s="20" t="s">
        <v>501</v>
      </c>
      <c r="C14" s="20" t="s">
        <v>602</v>
      </c>
      <c r="D14" s="146">
        <v>2010000</v>
      </c>
      <c r="E14" s="20" t="s">
        <v>638</v>
      </c>
      <c r="F14" s="20" t="s">
        <v>639</v>
      </c>
      <c r="G14" s="8" t="str">
        <f t="shared" si="0"/>
        <v>MAELZER KURT</v>
      </c>
    </row>
    <row r="15" spans="1:7" x14ac:dyDescent="0.25">
      <c r="A15" s="8">
        <v>42842.159988425927</v>
      </c>
      <c r="B15" s="20" t="s">
        <v>372</v>
      </c>
      <c r="C15" s="20" t="s">
        <v>607</v>
      </c>
      <c r="D15" s="146">
        <v>1110000</v>
      </c>
      <c r="E15" s="20" t="s">
        <v>640</v>
      </c>
      <c r="F15" s="20" t="s">
        <v>641</v>
      </c>
      <c r="G15" s="8" t="str">
        <f t="shared" si="0"/>
        <v>STARKS ANGELINA</v>
      </c>
    </row>
    <row r="16" spans="1:7" x14ac:dyDescent="0.25">
      <c r="A16" s="8">
        <v>42842.160555555558</v>
      </c>
      <c r="B16" s="20" t="s">
        <v>372</v>
      </c>
      <c r="C16" s="20" t="s">
        <v>642</v>
      </c>
      <c r="D16" s="146">
        <v>1110000</v>
      </c>
      <c r="E16" s="20" t="s">
        <v>640</v>
      </c>
      <c r="F16" s="20" t="s">
        <v>641</v>
      </c>
      <c r="G16" s="8" t="str">
        <f t="shared" si="0"/>
        <v>STARKS ANGELINA</v>
      </c>
    </row>
    <row r="17" spans="1:7" x14ac:dyDescent="0.25">
      <c r="A17" s="8">
        <v>42842.161990740744</v>
      </c>
      <c r="B17" s="20" t="s">
        <v>372</v>
      </c>
      <c r="C17" s="20" t="s">
        <v>642</v>
      </c>
      <c r="D17" s="146">
        <v>1110000</v>
      </c>
      <c r="E17" s="20" t="s">
        <v>640</v>
      </c>
      <c r="F17" s="20" t="s">
        <v>641</v>
      </c>
      <c r="G17" s="8" t="str">
        <f t="shared" si="0"/>
        <v>STARKS ANGELINA</v>
      </c>
    </row>
    <row r="18" spans="1:7" x14ac:dyDescent="0.25">
      <c r="A18" s="8">
        <v>42842.163217592592</v>
      </c>
      <c r="B18" s="20" t="s">
        <v>605</v>
      </c>
      <c r="C18" s="20" t="s">
        <v>606</v>
      </c>
      <c r="D18" s="146">
        <v>1360000</v>
      </c>
      <c r="E18" s="20" t="s">
        <v>516</v>
      </c>
      <c r="F18" s="20" t="s">
        <v>517</v>
      </c>
      <c r="G18" s="8" t="str">
        <f t="shared" si="0"/>
        <v>SANTIZO D. EDY</v>
      </c>
    </row>
    <row r="19" spans="1:7" x14ac:dyDescent="0.25">
      <c r="A19" s="8">
        <v>42842.169942129629</v>
      </c>
      <c r="B19" s="20" t="s">
        <v>501</v>
      </c>
      <c r="C19" s="20" t="s">
        <v>602</v>
      </c>
      <c r="D19" s="146">
        <v>2010000</v>
      </c>
      <c r="E19" s="20" t="s">
        <v>638</v>
      </c>
      <c r="F19" s="20" t="s">
        <v>639</v>
      </c>
      <c r="G19" s="8" t="str">
        <f t="shared" si="0"/>
        <v>MAELZER KURT</v>
      </c>
    </row>
    <row r="20" spans="1:7" x14ac:dyDescent="0.25">
      <c r="A20" s="8">
        <v>42842.171712962961</v>
      </c>
      <c r="B20" s="20" t="s">
        <v>546</v>
      </c>
      <c r="C20" s="20" t="s">
        <v>643</v>
      </c>
      <c r="D20" s="146">
        <v>940000</v>
      </c>
      <c r="E20" s="20" t="s">
        <v>644</v>
      </c>
      <c r="F20" s="20" t="s">
        <v>645</v>
      </c>
      <c r="G20" s="8" t="str">
        <f t="shared" si="0"/>
        <v>BONDS REYNALDO</v>
      </c>
    </row>
    <row r="21" spans="1:7" x14ac:dyDescent="0.25">
      <c r="A21" s="8">
        <v>42842.175057870372</v>
      </c>
      <c r="B21" s="20" t="s">
        <v>456</v>
      </c>
      <c r="C21" s="20" t="s">
        <v>607</v>
      </c>
      <c r="D21" s="146">
        <v>1110000</v>
      </c>
      <c r="E21" s="20" t="s">
        <v>640</v>
      </c>
      <c r="F21" s="20" t="s">
        <v>641</v>
      </c>
      <c r="G21" s="8" t="str">
        <f t="shared" si="0"/>
        <v>STARKS ANGELINA</v>
      </c>
    </row>
    <row r="22" spans="1:7" x14ac:dyDescent="0.25">
      <c r="A22" s="26">
        <v>42842.177546296298</v>
      </c>
      <c r="B22" s="20" t="s">
        <v>410</v>
      </c>
      <c r="C22" s="20" t="s">
        <v>646</v>
      </c>
      <c r="D22" s="146">
        <v>2020000</v>
      </c>
      <c r="E22" s="20" t="s">
        <v>505</v>
      </c>
      <c r="F22" s="20" t="s">
        <v>447</v>
      </c>
      <c r="G22" s="8" t="str">
        <f t="shared" si="0"/>
        <v>SHOOK JOHN</v>
      </c>
    </row>
    <row r="23" spans="1:7" x14ac:dyDescent="0.25">
      <c r="A23" s="8">
        <v>42842.182488425926</v>
      </c>
      <c r="B23" s="20" t="s">
        <v>547</v>
      </c>
      <c r="C23" s="20" t="s">
        <v>647</v>
      </c>
      <c r="D23" s="146">
        <v>940000</v>
      </c>
      <c r="E23" s="20" t="s">
        <v>644</v>
      </c>
      <c r="F23" s="20" t="s">
        <v>645</v>
      </c>
      <c r="G23" s="8" t="str">
        <f t="shared" si="0"/>
        <v>BONDS REYNALDO</v>
      </c>
    </row>
    <row r="24" spans="1:7" x14ac:dyDescent="0.25">
      <c r="A24" s="8">
        <v>42842.191261574073</v>
      </c>
      <c r="B24" s="20" t="s">
        <v>375</v>
      </c>
      <c r="C24" s="20" t="s">
        <v>608</v>
      </c>
      <c r="D24" s="146">
        <v>2020000</v>
      </c>
      <c r="E24" s="20" t="s">
        <v>505</v>
      </c>
      <c r="F24" s="20" t="s">
        <v>447</v>
      </c>
      <c r="G24" s="8" t="str">
        <f t="shared" si="0"/>
        <v>SHOOK JOHN</v>
      </c>
    </row>
    <row r="25" spans="1:7" x14ac:dyDescent="0.25">
      <c r="A25" s="8">
        <v>42842.191342592596</v>
      </c>
      <c r="B25" s="20" t="s">
        <v>374</v>
      </c>
      <c r="C25" s="20" t="s">
        <v>648</v>
      </c>
      <c r="D25" s="146">
        <v>2010000</v>
      </c>
      <c r="E25" s="20" t="s">
        <v>638</v>
      </c>
      <c r="F25" s="20" t="s">
        <v>639</v>
      </c>
      <c r="G25" s="8" t="str">
        <f t="shared" si="0"/>
        <v>MAELZER KURT</v>
      </c>
    </row>
    <row r="26" spans="1:7" x14ac:dyDescent="0.25">
      <c r="A26" s="8">
        <v>42842.204340277778</v>
      </c>
      <c r="B26" s="20" t="s">
        <v>489</v>
      </c>
      <c r="C26" s="20" t="s">
        <v>649</v>
      </c>
      <c r="D26" s="146">
        <v>1830000</v>
      </c>
      <c r="E26" s="20" t="s">
        <v>551</v>
      </c>
      <c r="F26" s="20" t="s">
        <v>552</v>
      </c>
      <c r="G26" s="8" t="str">
        <f t="shared" si="0"/>
        <v>YORK EDGAR</v>
      </c>
    </row>
    <row r="27" spans="1:7" x14ac:dyDescent="0.25">
      <c r="A27" s="8">
        <v>42842.205833333333</v>
      </c>
      <c r="B27" s="20" t="s">
        <v>471</v>
      </c>
      <c r="C27" s="20" t="s">
        <v>650</v>
      </c>
      <c r="D27" s="146">
        <v>2530000</v>
      </c>
      <c r="E27" s="20" t="s">
        <v>522</v>
      </c>
      <c r="F27" s="20" t="s">
        <v>523</v>
      </c>
      <c r="G27" s="8" t="str">
        <f t="shared" si="0"/>
        <v>LALONDE GREGORY</v>
      </c>
    </row>
    <row r="28" spans="1:7" x14ac:dyDescent="0.25">
      <c r="A28" s="8">
        <v>42842.211956018517</v>
      </c>
      <c r="B28" s="20" t="s">
        <v>489</v>
      </c>
      <c r="C28" s="20" t="s">
        <v>649</v>
      </c>
      <c r="D28" s="146">
        <v>1830000</v>
      </c>
      <c r="E28" s="20" t="s">
        <v>551</v>
      </c>
      <c r="F28" s="20" t="s">
        <v>552</v>
      </c>
      <c r="G28" s="8" t="str">
        <f t="shared" si="0"/>
        <v>YORK EDGAR</v>
      </c>
    </row>
    <row r="29" spans="1:7" x14ac:dyDescent="0.25">
      <c r="A29" s="8">
        <v>42842.215046296296</v>
      </c>
      <c r="B29" s="20" t="s">
        <v>372</v>
      </c>
      <c r="C29" s="20" t="s">
        <v>651</v>
      </c>
      <c r="D29" s="146">
        <v>1110000</v>
      </c>
      <c r="E29" s="20" t="s">
        <v>640</v>
      </c>
      <c r="F29" s="20" t="s">
        <v>641</v>
      </c>
      <c r="G29" s="8" t="str">
        <f t="shared" si="0"/>
        <v>STARKS ANGELINA</v>
      </c>
    </row>
    <row r="30" spans="1:7" x14ac:dyDescent="0.25">
      <c r="A30" s="8">
        <v>42842.21570601852</v>
      </c>
      <c r="B30" s="20" t="s">
        <v>610</v>
      </c>
      <c r="C30" s="20" t="s">
        <v>652</v>
      </c>
      <c r="D30" s="146">
        <v>2530000</v>
      </c>
      <c r="E30" s="20" t="s">
        <v>522</v>
      </c>
      <c r="F30" s="20" t="s">
        <v>523</v>
      </c>
      <c r="G30" s="8" t="str">
        <f t="shared" si="0"/>
        <v>LALONDE GREGORY</v>
      </c>
    </row>
    <row r="31" spans="1:7" x14ac:dyDescent="0.25">
      <c r="A31" s="8">
        <v>42842.216608796298</v>
      </c>
      <c r="B31" s="20" t="s">
        <v>613</v>
      </c>
      <c r="C31" s="20" t="s">
        <v>653</v>
      </c>
      <c r="D31" s="146">
        <v>1360000</v>
      </c>
      <c r="E31" s="20" t="s">
        <v>516</v>
      </c>
      <c r="F31" s="20" t="s">
        <v>517</v>
      </c>
      <c r="G31" s="8" t="str">
        <f t="shared" si="0"/>
        <v>SANTIZO D. EDY</v>
      </c>
    </row>
    <row r="32" spans="1:7" x14ac:dyDescent="0.25">
      <c r="A32" s="8">
        <v>42842.223460648151</v>
      </c>
      <c r="B32" s="20" t="s">
        <v>546</v>
      </c>
      <c r="C32" s="20" t="s">
        <v>654</v>
      </c>
      <c r="D32" s="146">
        <v>940000</v>
      </c>
      <c r="E32" s="20" t="s">
        <v>644</v>
      </c>
      <c r="F32" s="20" t="s">
        <v>645</v>
      </c>
      <c r="G32" s="8" t="str">
        <f t="shared" si="0"/>
        <v>BONDS REYNALDO</v>
      </c>
    </row>
    <row r="33" spans="1:7" x14ac:dyDescent="0.25">
      <c r="A33" s="8">
        <v>42842.225335648145</v>
      </c>
      <c r="B33" s="20" t="s">
        <v>655</v>
      </c>
      <c r="C33" s="20" t="s">
        <v>656</v>
      </c>
      <c r="D33" s="146">
        <v>2010000</v>
      </c>
      <c r="E33" s="20" t="s">
        <v>638</v>
      </c>
      <c r="F33" s="20" t="s">
        <v>639</v>
      </c>
      <c r="G33" s="8" t="str">
        <f t="shared" si="0"/>
        <v>MAELZER KURT</v>
      </c>
    </row>
    <row r="34" spans="1:7" x14ac:dyDescent="0.25">
      <c r="A34" s="8">
        <v>42842.225995370369</v>
      </c>
      <c r="B34" s="20" t="s">
        <v>501</v>
      </c>
      <c r="C34" s="20" t="s">
        <v>657</v>
      </c>
      <c r="D34" s="146">
        <v>2140000</v>
      </c>
      <c r="E34" s="20" t="s">
        <v>503</v>
      </c>
      <c r="F34" s="20" t="s">
        <v>504</v>
      </c>
      <c r="G34" s="8" t="str">
        <f t="shared" si="0"/>
        <v>ROBINSON KADDIBA</v>
      </c>
    </row>
    <row r="35" spans="1:7" x14ac:dyDescent="0.25">
      <c r="A35" s="8">
        <v>42842.226678240739</v>
      </c>
      <c r="B35" s="20" t="s">
        <v>410</v>
      </c>
      <c r="C35" s="20" t="s">
        <v>658</v>
      </c>
      <c r="D35" s="146">
        <v>2020000</v>
      </c>
      <c r="E35" s="20" t="s">
        <v>505</v>
      </c>
      <c r="F35" s="20" t="s">
        <v>447</v>
      </c>
      <c r="G35" s="8" t="str">
        <f t="shared" si="0"/>
        <v>SHOOK JOHN</v>
      </c>
    </row>
    <row r="36" spans="1:7" x14ac:dyDescent="0.25">
      <c r="A36" s="8">
        <v>42842.228946759256</v>
      </c>
      <c r="B36" s="20" t="s">
        <v>471</v>
      </c>
      <c r="C36" s="20" t="s">
        <v>659</v>
      </c>
      <c r="D36" s="146">
        <v>2530000</v>
      </c>
      <c r="E36" s="20" t="s">
        <v>522</v>
      </c>
      <c r="F36" s="20" t="s">
        <v>523</v>
      </c>
      <c r="G36" s="8" t="str">
        <f t="shared" si="0"/>
        <v>LALONDE GREGORY</v>
      </c>
    </row>
    <row r="37" spans="1:7" x14ac:dyDescent="0.25">
      <c r="A37" s="8">
        <v>42842.234363425923</v>
      </c>
      <c r="B37" s="20" t="s">
        <v>488</v>
      </c>
      <c r="C37" s="20" t="s">
        <v>660</v>
      </c>
      <c r="D37" s="146">
        <v>1830000</v>
      </c>
      <c r="E37" s="20" t="s">
        <v>551</v>
      </c>
      <c r="F37" s="20" t="s">
        <v>552</v>
      </c>
      <c r="G37" s="8" t="str">
        <f t="shared" si="0"/>
        <v>YORK EDGAR</v>
      </c>
    </row>
    <row r="38" spans="1:7" x14ac:dyDescent="0.25">
      <c r="A38" s="8">
        <v>42842.245648148149</v>
      </c>
      <c r="B38" s="20" t="s">
        <v>605</v>
      </c>
      <c r="C38" s="20" t="s">
        <v>661</v>
      </c>
      <c r="D38" s="146">
        <v>1360000</v>
      </c>
      <c r="E38" s="20" t="s">
        <v>516</v>
      </c>
      <c r="F38" s="20" t="s">
        <v>517</v>
      </c>
      <c r="G38" s="8" t="str">
        <f t="shared" si="0"/>
        <v>SANTIZO D. EDY</v>
      </c>
    </row>
    <row r="39" spans="1:7" x14ac:dyDescent="0.25">
      <c r="A39" s="8">
        <v>42842.246898148151</v>
      </c>
      <c r="B39" s="20" t="s">
        <v>553</v>
      </c>
      <c r="C39" s="20" t="s">
        <v>662</v>
      </c>
      <c r="D39" s="146">
        <v>900000</v>
      </c>
      <c r="E39" s="20" t="s">
        <v>663</v>
      </c>
      <c r="F39" s="20" t="s">
        <v>664</v>
      </c>
      <c r="G39" s="8" t="str">
        <f t="shared" si="0"/>
        <v>ROCHA YAOTL</v>
      </c>
    </row>
    <row r="40" spans="1:7" x14ac:dyDescent="0.25">
      <c r="A40" s="8">
        <v>42842.247986111113</v>
      </c>
      <c r="B40" s="25" t="s">
        <v>456</v>
      </c>
      <c r="C40" s="20" t="s">
        <v>609</v>
      </c>
      <c r="D40" s="146">
        <v>1110000</v>
      </c>
      <c r="E40" s="20" t="s">
        <v>640</v>
      </c>
      <c r="F40" s="20" t="s">
        <v>641</v>
      </c>
      <c r="G40" s="8" t="str">
        <f t="shared" si="0"/>
        <v>STARKS ANGELINA</v>
      </c>
    </row>
    <row r="41" spans="1:7" x14ac:dyDescent="0.25">
      <c r="A41" s="8">
        <v>42842.250393518516</v>
      </c>
      <c r="B41" s="20" t="s">
        <v>371</v>
      </c>
      <c r="C41" s="20" t="s">
        <v>665</v>
      </c>
      <c r="D41" s="146">
        <v>1140000</v>
      </c>
      <c r="E41" s="20" t="s">
        <v>666</v>
      </c>
      <c r="F41" s="20" t="s">
        <v>667</v>
      </c>
      <c r="G41" s="8" t="str">
        <f t="shared" si="0"/>
        <v>YOUNG ELIZABETH</v>
      </c>
    </row>
    <row r="42" spans="1:7" x14ac:dyDescent="0.25">
      <c r="A42" s="8">
        <v>42842.254363425927</v>
      </c>
      <c r="B42" s="20" t="s">
        <v>610</v>
      </c>
      <c r="C42" s="20" t="s">
        <v>668</v>
      </c>
      <c r="D42" s="146">
        <v>2530000</v>
      </c>
      <c r="E42" s="20" t="s">
        <v>522</v>
      </c>
      <c r="F42" s="20" t="s">
        <v>523</v>
      </c>
      <c r="G42" s="8" t="str">
        <f t="shared" si="0"/>
        <v>LALONDE GREGORY</v>
      </c>
    </row>
    <row r="43" spans="1:7" x14ac:dyDescent="0.25">
      <c r="A43" s="8">
        <v>42842.256724537037</v>
      </c>
      <c r="B43" s="20" t="s">
        <v>554</v>
      </c>
      <c r="C43" s="20" t="s">
        <v>669</v>
      </c>
      <c r="D43" s="146">
        <v>900000</v>
      </c>
      <c r="E43" s="20" t="s">
        <v>663</v>
      </c>
      <c r="F43" s="20" t="s">
        <v>664</v>
      </c>
      <c r="G43" s="8" t="str">
        <f t="shared" si="0"/>
        <v>ROCHA YAOTL</v>
      </c>
    </row>
    <row r="44" spans="1:7" x14ac:dyDescent="0.25">
      <c r="A44" s="8">
        <v>42842.257604166669</v>
      </c>
      <c r="B44" s="20" t="s">
        <v>547</v>
      </c>
      <c r="C44" s="20" t="s">
        <v>670</v>
      </c>
      <c r="D44" s="146">
        <v>940000</v>
      </c>
      <c r="E44" s="20" t="s">
        <v>644</v>
      </c>
      <c r="F44" s="20" t="s">
        <v>645</v>
      </c>
      <c r="G44" s="8" t="str">
        <f t="shared" si="0"/>
        <v>BONDS REYNALDO</v>
      </c>
    </row>
    <row r="45" spans="1:7" x14ac:dyDescent="0.25">
      <c r="A45" s="8">
        <v>42842.258391203701</v>
      </c>
      <c r="B45" s="20" t="s">
        <v>372</v>
      </c>
      <c r="C45" s="20" t="s">
        <v>671</v>
      </c>
      <c r="D45" s="146">
        <v>1140000</v>
      </c>
      <c r="E45" s="20" t="s">
        <v>666</v>
      </c>
      <c r="F45" s="20" t="s">
        <v>667</v>
      </c>
      <c r="G45" s="8" t="str">
        <f t="shared" si="0"/>
        <v>YOUNG ELIZABETH</v>
      </c>
    </row>
    <row r="46" spans="1:7" x14ac:dyDescent="0.25">
      <c r="A46" s="8">
        <v>42842.259016203701</v>
      </c>
      <c r="B46" s="20" t="s">
        <v>498</v>
      </c>
      <c r="C46" s="20" t="s">
        <v>672</v>
      </c>
      <c r="D46" s="146">
        <v>2140000</v>
      </c>
      <c r="E46" s="20" t="s">
        <v>503</v>
      </c>
      <c r="F46" s="20" t="s">
        <v>504</v>
      </c>
      <c r="G46" s="8" t="str">
        <f t="shared" si="0"/>
        <v>ROBINSON KADDIBA</v>
      </c>
    </row>
    <row r="47" spans="1:7" x14ac:dyDescent="0.25">
      <c r="A47" s="8">
        <v>42842.267060185186</v>
      </c>
      <c r="B47" s="20" t="s">
        <v>375</v>
      </c>
      <c r="C47" s="20" t="s">
        <v>673</v>
      </c>
      <c r="D47" s="146">
        <v>2020000</v>
      </c>
      <c r="E47" s="20" t="s">
        <v>505</v>
      </c>
      <c r="F47" s="20" t="s">
        <v>447</v>
      </c>
      <c r="G47" s="8" t="str">
        <f t="shared" si="0"/>
        <v>SHOOK JOHN</v>
      </c>
    </row>
    <row r="48" spans="1:7" x14ac:dyDescent="0.25">
      <c r="A48" s="8">
        <v>42842.269849537035</v>
      </c>
      <c r="B48" s="20" t="s">
        <v>471</v>
      </c>
      <c r="C48" s="20" t="s">
        <v>674</v>
      </c>
      <c r="D48" s="146">
        <v>2530000</v>
      </c>
      <c r="E48" s="20" t="s">
        <v>522</v>
      </c>
      <c r="F48" s="20" t="s">
        <v>523</v>
      </c>
      <c r="G48" s="8" t="str">
        <f t="shared" si="0"/>
        <v>LALONDE GREGORY</v>
      </c>
    </row>
    <row r="49" spans="1:7" x14ac:dyDescent="0.25">
      <c r="A49" s="8">
        <v>42842.275173611109</v>
      </c>
      <c r="B49" s="20" t="s">
        <v>553</v>
      </c>
      <c r="C49" s="20" t="s">
        <v>675</v>
      </c>
      <c r="D49" s="146">
        <v>900000</v>
      </c>
      <c r="E49" s="20" t="s">
        <v>663</v>
      </c>
      <c r="F49" s="20" t="s">
        <v>664</v>
      </c>
      <c r="G49" s="8" t="str">
        <f t="shared" si="0"/>
        <v>ROCHA YAOTL</v>
      </c>
    </row>
    <row r="50" spans="1:7" x14ac:dyDescent="0.25">
      <c r="A50" s="8">
        <v>42842.275266203702</v>
      </c>
      <c r="B50" s="20" t="s">
        <v>489</v>
      </c>
      <c r="C50" s="20" t="s">
        <v>676</v>
      </c>
      <c r="D50" s="146">
        <v>1830000</v>
      </c>
      <c r="E50" s="20" t="s">
        <v>551</v>
      </c>
      <c r="F50" s="20" t="s">
        <v>552</v>
      </c>
      <c r="G50" s="8" t="str">
        <f t="shared" si="0"/>
        <v>YORK EDGAR</v>
      </c>
    </row>
    <row r="51" spans="1:7" x14ac:dyDescent="0.25">
      <c r="A51" s="8">
        <v>42842.27621527778</v>
      </c>
      <c r="B51" s="20" t="s">
        <v>374</v>
      </c>
      <c r="C51" s="20" t="s">
        <v>677</v>
      </c>
      <c r="D51" s="146">
        <v>2010000</v>
      </c>
      <c r="E51" s="20" t="s">
        <v>638</v>
      </c>
      <c r="F51" s="20" t="s">
        <v>639</v>
      </c>
      <c r="G51" s="8" t="str">
        <f t="shared" si="0"/>
        <v>MAELZER KURT</v>
      </c>
    </row>
    <row r="52" spans="1:7" x14ac:dyDescent="0.25">
      <c r="A52" s="8">
        <v>42842.286261574074</v>
      </c>
      <c r="B52" s="20" t="s">
        <v>613</v>
      </c>
      <c r="C52" s="20" t="s">
        <v>661</v>
      </c>
      <c r="D52" s="146">
        <v>1360000</v>
      </c>
      <c r="E52" s="20" t="s">
        <v>516</v>
      </c>
      <c r="F52" s="20" t="s">
        <v>517</v>
      </c>
      <c r="G52" s="8" t="str">
        <f t="shared" si="0"/>
        <v>SANTIZO D. EDY</v>
      </c>
    </row>
    <row r="53" spans="1:7" x14ac:dyDescent="0.25">
      <c r="A53" s="8">
        <v>42842.286874999998</v>
      </c>
      <c r="B53" s="20" t="s">
        <v>613</v>
      </c>
      <c r="C53" s="20" t="s">
        <v>678</v>
      </c>
      <c r="D53" s="146">
        <v>1360000</v>
      </c>
      <c r="E53" s="20" t="s">
        <v>516</v>
      </c>
      <c r="F53" s="20" t="s">
        <v>517</v>
      </c>
      <c r="G53" s="8" t="str">
        <f t="shared" si="0"/>
        <v>SANTIZO D. EDY</v>
      </c>
    </row>
    <row r="54" spans="1:7" x14ac:dyDescent="0.25">
      <c r="A54" s="8">
        <v>42842.287789351853</v>
      </c>
      <c r="B54" s="20" t="s">
        <v>424</v>
      </c>
      <c r="C54" s="20" t="s">
        <v>679</v>
      </c>
      <c r="D54" s="146">
        <v>1110000</v>
      </c>
      <c r="E54" s="20" t="s">
        <v>640</v>
      </c>
      <c r="F54" s="20" t="s">
        <v>641</v>
      </c>
      <c r="G54" s="8" t="str">
        <f t="shared" si="0"/>
        <v>STARKS ANGELINA</v>
      </c>
    </row>
    <row r="55" spans="1:7" x14ac:dyDescent="0.25">
      <c r="A55" s="8">
        <v>42842.295636574076</v>
      </c>
      <c r="B55" s="20" t="s">
        <v>610</v>
      </c>
      <c r="C55" s="20" t="s">
        <v>611</v>
      </c>
      <c r="D55" s="146">
        <v>2530000</v>
      </c>
      <c r="E55" s="20" t="s">
        <v>522</v>
      </c>
      <c r="F55" s="20" t="s">
        <v>523</v>
      </c>
      <c r="G55" s="8" t="str">
        <f t="shared" si="0"/>
        <v>LALONDE GREGORY</v>
      </c>
    </row>
    <row r="56" spans="1:7" x14ac:dyDescent="0.25">
      <c r="A56" s="8">
        <v>42842.295810185184</v>
      </c>
      <c r="B56" s="20" t="s">
        <v>546</v>
      </c>
      <c r="C56" s="20" t="s">
        <v>680</v>
      </c>
      <c r="D56" s="146">
        <v>940000</v>
      </c>
      <c r="E56" s="20" t="s">
        <v>644</v>
      </c>
      <c r="F56" s="20" t="s">
        <v>645</v>
      </c>
      <c r="G56" s="8" t="str">
        <f t="shared" si="0"/>
        <v>BONDS REYNALDO</v>
      </c>
    </row>
    <row r="57" spans="1:7" x14ac:dyDescent="0.25">
      <c r="A57" s="8">
        <v>42842.297800925924</v>
      </c>
      <c r="B57" s="20" t="s">
        <v>410</v>
      </c>
      <c r="C57" s="20" t="s">
        <v>681</v>
      </c>
      <c r="D57" s="146">
        <v>2020000</v>
      </c>
      <c r="E57" s="20" t="s">
        <v>505</v>
      </c>
      <c r="F57" s="20" t="s">
        <v>447</v>
      </c>
      <c r="G57" s="8" t="str">
        <f t="shared" si="0"/>
        <v>SHOOK JOHN</v>
      </c>
    </row>
    <row r="58" spans="1:7" x14ac:dyDescent="0.25">
      <c r="A58" s="8">
        <v>42842.298275462963</v>
      </c>
      <c r="B58" s="20" t="s">
        <v>501</v>
      </c>
      <c r="C58" s="20" t="s">
        <v>682</v>
      </c>
      <c r="D58" s="146">
        <v>2140000</v>
      </c>
      <c r="E58" s="20" t="s">
        <v>503</v>
      </c>
      <c r="F58" s="20" t="s">
        <v>504</v>
      </c>
      <c r="G58" s="8" t="str">
        <f t="shared" si="0"/>
        <v>ROBINSON KADDIBA</v>
      </c>
    </row>
    <row r="59" spans="1:7" x14ac:dyDescent="0.25">
      <c r="A59" s="8">
        <v>42842.304918981485</v>
      </c>
      <c r="B59" s="20" t="s">
        <v>554</v>
      </c>
      <c r="C59" s="20" t="s">
        <v>683</v>
      </c>
      <c r="D59" s="146">
        <v>900000</v>
      </c>
      <c r="E59" s="20" t="s">
        <v>663</v>
      </c>
      <c r="F59" s="20" t="s">
        <v>664</v>
      </c>
      <c r="G59" s="8" t="str">
        <f t="shared" si="0"/>
        <v>ROCHA YAOTL</v>
      </c>
    </row>
    <row r="60" spans="1:7" x14ac:dyDescent="0.25">
      <c r="A60" s="8">
        <v>42842.307187500002</v>
      </c>
      <c r="B60" s="20" t="s">
        <v>488</v>
      </c>
      <c r="C60" s="20" t="s">
        <v>612</v>
      </c>
      <c r="D60" s="146">
        <v>1830000</v>
      </c>
      <c r="E60" s="20" t="s">
        <v>551</v>
      </c>
      <c r="F60" s="20" t="s">
        <v>552</v>
      </c>
      <c r="G60" s="8" t="str">
        <f t="shared" si="0"/>
        <v>YORK EDGAR</v>
      </c>
    </row>
    <row r="61" spans="1:7" x14ac:dyDescent="0.25">
      <c r="A61" s="8">
        <v>42842.308981481481</v>
      </c>
      <c r="B61" s="20" t="s">
        <v>655</v>
      </c>
      <c r="C61" s="20" t="s">
        <v>684</v>
      </c>
      <c r="D61" s="146">
        <v>2010000</v>
      </c>
      <c r="E61" s="20" t="s">
        <v>638</v>
      </c>
      <c r="F61" s="20" t="s">
        <v>639</v>
      </c>
      <c r="G61" s="8" t="str">
        <f t="shared" si="0"/>
        <v>MAELZER KURT</v>
      </c>
    </row>
    <row r="62" spans="1:7" x14ac:dyDescent="0.25">
      <c r="A62" s="8">
        <v>42842.312280092592</v>
      </c>
      <c r="B62" s="20" t="s">
        <v>471</v>
      </c>
      <c r="C62" s="20" t="s">
        <v>685</v>
      </c>
      <c r="D62" s="146">
        <v>2530000</v>
      </c>
      <c r="E62" s="20" t="s">
        <v>522</v>
      </c>
      <c r="F62" s="20" t="s">
        <v>523</v>
      </c>
      <c r="G62" s="8" t="str">
        <f t="shared" si="0"/>
        <v>LALONDE GREGORY</v>
      </c>
    </row>
    <row r="63" spans="1:7" x14ac:dyDescent="0.25">
      <c r="A63" s="8">
        <v>42842.31790509259</v>
      </c>
      <c r="B63" s="20" t="s">
        <v>553</v>
      </c>
      <c r="C63" s="20" t="s">
        <v>686</v>
      </c>
      <c r="D63" s="146">
        <v>900000</v>
      </c>
      <c r="E63" s="20" t="s">
        <v>663</v>
      </c>
      <c r="F63" s="20" t="s">
        <v>664</v>
      </c>
      <c r="G63" s="8" t="str">
        <f t="shared" si="0"/>
        <v>ROCHA YAOTL</v>
      </c>
    </row>
    <row r="64" spans="1:7" x14ac:dyDescent="0.25">
      <c r="A64" s="26">
        <v>42842.318229166667</v>
      </c>
      <c r="B64" s="20" t="s">
        <v>605</v>
      </c>
      <c r="C64" s="20" t="s">
        <v>687</v>
      </c>
      <c r="D64" s="146">
        <v>1360000</v>
      </c>
      <c r="E64" s="20" t="s">
        <v>516</v>
      </c>
      <c r="F64" s="20" t="s">
        <v>517</v>
      </c>
      <c r="G64" s="8" t="str">
        <f t="shared" si="0"/>
        <v>SANTIZO D. EDY</v>
      </c>
    </row>
    <row r="65" spans="1:7" x14ac:dyDescent="0.25">
      <c r="A65" s="8">
        <v>42842.319155092591</v>
      </c>
      <c r="B65" s="20" t="s">
        <v>456</v>
      </c>
      <c r="C65" s="20" t="s">
        <v>688</v>
      </c>
      <c r="D65" s="146">
        <v>1110000</v>
      </c>
      <c r="E65" s="20" t="s">
        <v>640</v>
      </c>
      <c r="F65" s="20" t="s">
        <v>641</v>
      </c>
      <c r="G65" s="8" t="str">
        <f t="shared" si="0"/>
        <v>STARKS ANGELINA</v>
      </c>
    </row>
    <row r="66" spans="1:7" x14ac:dyDescent="0.25">
      <c r="A66" s="8">
        <v>42842.32916666667</v>
      </c>
      <c r="B66" s="20" t="s">
        <v>547</v>
      </c>
      <c r="C66" s="20" t="s">
        <v>689</v>
      </c>
      <c r="D66" s="146">
        <v>940000</v>
      </c>
      <c r="E66" s="20" t="s">
        <v>644</v>
      </c>
      <c r="F66" s="20" t="s">
        <v>645</v>
      </c>
      <c r="G66" s="8" t="str">
        <f t="shared" si="0"/>
        <v>BONDS REYNALDO</v>
      </c>
    </row>
    <row r="67" spans="1:7" x14ac:dyDescent="0.25">
      <c r="A67" s="8">
        <v>42842.337592592594</v>
      </c>
      <c r="B67" s="20" t="s">
        <v>610</v>
      </c>
      <c r="C67" s="20" t="s">
        <v>690</v>
      </c>
      <c r="D67" s="146">
        <v>2530000</v>
      </c>
      <c r="E67" s="20" t="s">
        <v>522</v>
      </c>
      <c r="F67" s="20" t="s">
        <v>523</v>
      </c>
      <c r="G67" s="8" t="str">
        <f t="shared" ref="G67:G130" si="1">E67&amp;" "&amp;F67</f>
        <v>LALONDE GREGORY</v>
      </c>
    </row>
    <row r="68" spans="1:7" x14ac:dyDescent="0.25">
      <c r="A68" s="8">
        <v>42842.338055555556</v>
      </c>
      <c r="B68" s="20" t="s">
        <v>498</v>
      </c>
      <c r="C68" s="20" t="s">
        <v>691</v>
      </c>
      <c r="D68" s="146">
        <v>2140000</v>
      </c>
      <c r="E68" s="20" t="s">
        <v>503</v>
      </c>
      <c r="F68" s="20" t="s">
        <v>504</v>
      </c>
      <c r="G68" s="8" t="str">
        <f t="shared" si="1"/>
        <v>ROBINSON KADDIBA</v>
      </c>
    </row>
    <row r="69" spans="1:7" x14ac:dyDescent="0.25">
      <c r="A69" s="8">
        <v>42842.33997685185</v>
      </c>
      <c r="B69" s="20" t="s">
        <v>375</v>
      </c>
      <c r="C69" s="20" t="s">
        <v>692</v>
      </c>
      <c r="D69" s="146">
        <v>2020000</v>
      </c>
      <c r="E69" s="20" t="s">
        <v>505</v>
      </c>
      <c r="F69" s="20" t="s">
        <v>447</v>
      </c>
      <c r="G69" s="8" t="str">
        <f t="shared" si="1"/>
        <v>SHOOK JOHN</v>
      </c>
    </row>
    <row r="70" spans="1:7" x14ac:dyDescent="0.25">
      <c r="A70" s="8">
        <v>42842.341932870368</v>
      </c>
      <c r="B70" s="20" t="s">
        <v>374</v>
      </c>
      <c r="C70" s="20" t="s">
        <v>693</v>
      </c>
      <c r="D70" s="146">
        <v>2010000</v>
      </c>
      <c r="E70" s="20" t="s">
        <v>638</v>
      </c>
      <c r="F70" s="20" t="s">
        <v>639</v>
      </c>
      <c r="G70" s="8" t="str">
        <f t="shared" si="1"/>
        <v>MAELZER KURT</v>
      </c>
    </row>
    <row r="71" spans="1:7" x14ac:dyDescent="0.25">
      <c r="A71" s="8">
        <v>42842.346666666665</v>
      </c>
      <c r="B71" s="20" t="s">
        <v>554</v>
      </c>
      <c r="C71" s="20" t="s">
        <v>694</v>
      </c>
      <c r="D71" s="146">
        <v>900000</v>
      </c>
      <c r="E71" s="20" t="s">
        <v>663</v>
      </c>
      <c r="F71" s="20" t="s">
        <v>664</v>
      </c>
      <c r="G71" s="8" t="str">
        <f t="shared" si="1"/>
        <v>ROCHA YAOTL</v>
      </c>
    </row>
    <row r="72" spans="1:7" x14ac:dyDescent="0.25">
      <c r="A72" s="8">
        <v>42842.352129629631</v>
      </c>
      <c r="B72" s="20" t="s">
        <v>489</v>
      </c>
      <c r="C72" s="20" t="s">
        <v>695</v>
      </c>
      <c r="D72" s="146">
        <v>1830000</v>
      </c>
      <c r="E72" s="20" t="s">
        <v>551</v>
      </c>
      <c r="F72" s="20" t="s">
        <v>552</v>
      </c>
      <c r="G72" s="8" t="str">
        <f t="shared" si="1"/>
        <v>YORK EDGAR</v>
      </c>
    </row>
    <row r="73" spans="1:7" x14ac:dyDescent="0.25">
      <c r="A73" s="8">
        <v>42842.352986111109</v>
      </c>
      <c r="B73" s="20" t="s">
        <v>471</v>
      </c>
      <c r="C73" s="20" t="s">
        <v>696</v>
      </c>
      <c r="D73" s="146">
        <v>2530000</v>
      </c>
      <c r="E73" s="20" t="s">
        <v>522</v>
      </c>
      <c r="F73" s="20" t="s">
        <v>523</v>
      </c>
      <c r="G73" s="8" t="str">
        <f t="shared" si="1"/>
        <v>LALONDE GREGORY</v>
      </c>
    </row>
    <row r="74" spans="1:7" x14ac:dyDescent="0.25">
      <c r="A74" s="8">
        <v>42842.357256944444</v>
      </c>
      <c r="B74" s="20" t="s">
        <v>424</v>
      </c>
      <c r="C74" s="20" t="s">
        <v>697</v>
      </c>
      <c r="D74" s="146">
        <v>1110000</v>
      </c>
      <c r="E74" s="20" t="s">
        <v>640</v>
      </c>
      <c r="F74" s="20" t="s">
        <v>641</v>
      </c>
      <c r="G74" s="8" t="str">
        <f t="shared" si="1"/>
        <v>STARKS ANGELINA</v>
      </c>
    </row>
    <row r="75" spans="1:7" x14ac:dyDescent="0.25">
      <c r="A75" s="8">
        <v>42842.358148148145</v>
      </c>
      <c r="B75" s="20" t="s">
        <v>613</v>
      </c>
      <c r="C75" s="20" t="s">
        <v>614</v>
      </c>
      <c r="D75" s="146">
        <v>1360000</v>
      </c>
      <c r="E75" s="20" t="s">
        <v>516</v>
      </c>
      <c r="F75" s="20" t="s">
        <v>517</v>
      </c>
      <c r="G75" s="8" t="str">
        <f t="shared" si="1"/>
        <v>SANTIZO D. EDY</v>
      </c>
    </row>
    <row r="76" spans="1:7" x14ac:dyDescent="0.25">
      <c r="A76" s="8">
        <v>42842.359618055554</v>
      </c>
      <c r="B76" s="20" t="s">
        <v>553</v>
      </c>
      <c r="C76" s="20" t="s">
        <v>698</v>
      </c>
      <c r="D76" s="146">
        <v>900000</v>
      </c>
      <c r="E76" s="20" t="s">
        <v>663</v>
      </c>
      <c r="F76" s="20" t="s">
        <v>664</v>
      </c>
      <c r="G76" s="8" t="str">
        <f t="shared" si="1"/>
        <v>ROCHA YAOTL</v>
      </c>
    </row>
    <row r="77" spans="1:7" x14ac:dyDescent="0.25">
      <c r="A77" s="8">
        <v>42842.36614583333</v>
      </c>
      <c r="B77" s="20" t="s">
        <v>546</v>
      </c>
      <c r="C77" s="20" t="s">
        <v>699</v>
      </c>
      <c r="D77" s="146">
        <v>940000</v>
      </c>
      <c r="E77" s="20" t="s">
        <v>644</v>
      </c>
      <c r="F77" s="20" t="s">
        <v>645</v>
      </c>
      <c r="G77" s="8" t="str">
        <f t="shared" si="1"/>
        <v>BONDS REYNALDO</v>
      </c>
    </row>
    <row r="78" spans="1:7" x14ac:dyDescent="0.25">
      <c r="A78" s="8">
        <v>42842.370787037034</v>
      </c>
      <c r="B78" s="20" t="s">
        <v>501</v>
      </c>
      <c r="C78" s="20" t="s">
        <v>615</v>
      </c>
      <c r="D78" s="146">
        <v>2140000</v>
      </c>
      <c r="E78" s="20" t="s">
        <v>503</v>
      </c>
      <c r="F78" s="20" t="s">
        <v>504</v>
      </c>
      <c r="G78" s="8" t="str">
        <f t="shared" si="1"/>
        <v>ROBINSON KADDIBA</v>
      </c>
    </row>
    <row r="79" spans="1:7" x14ac:dyDescent="0.25">
      <c r="A79" s="8">
        <v>42842.372453703705</v>
      </c>
      <c r="B79" s="20" t="s">
        <v>410</v>
      </c>
      <c r="C79" s="20" t="s">
        <v>700</v>
      </c>
      <c r="D79" s="146">
        <v>2020000</v>
      </c>
      <c r="E79" s="20" t="s">
        <v>505</v>
      </c>
      <c r="F79" s="20" t="s">
        <v>447</v>
      </c>
      <c r="G79" s="8" t="str">
        <f t="shared" si="1"/>
        <v>SHOOK JOHN</v>
      </c>
    </row>
    <row r="80" spans="1:7" x14ac:dyDescent="0.25">
      <c r="A80" s="8">
        <v>42842.381249999999</v>
      </c>
      <c r="B80" s="20" t="s">
        <v>488</v>
      </c>
      <c r="C80" s="20" t="s">
        <v>701</v>
      </c>
      <c r="D80" s="146">
        <v>1830000</v>
      </c>
      <c r="E80" s="20" t="s">
        <v>551</v>
      </c>
      <c r="F80" s="20" t="s">
        <v>552</v>
      </c>
      <c r="G80" s="8" t="str">
        <f t="shared" si="1"/>
        <v>YORK EDGAR</v>
      </c>
    </row>
    <row r="81" spans="1:7" x14ac:dyDescent="0.25">
      <c r="A81" s="8">
        <v>42842.382881944446</v>
      </c>
      <c r="B81" s="20" t="s">
        <v>655</v>
      </c>
      <c r="C81" s="20" t="s">
        <v>702</v>
      </c>
      <c r="D81" s="146">
        <v>2010000</v>
      </c>
      <c r="E81" s="20" t="s">
        <v>638</v>
      </c>
      <c r="F81" s="20" t="s">
        <v>639</v>
      </c>
      <c r="G81" s="8" t="str">
        <f t="shared" si="1"/>
        <v>MAELZER KURT</v>
      </c>
    </row>
    <row r="82" spans="1:7" x14ac:dyDescent="0.25">
      <c r="A82" s="8">
        <v>42842.388819444444</v>
      </c>
      <c r="B82" s="20" t="s">
        <v>554</v>
      </c>
      <c r="C82" s="20" t="s">
        <v>703</v>
      </c>
      <c r="D82" s="146">
        <v>900000</v>
      </c>
      <c r="E82" s="20" t="s">
        <v>663</v>
      </c>
      <c r="F82" s="20" t="s">
        <v>664</v>
      </c>
      <c r="G82" s="8" t="str">
        <f t="shared" si="1"/>
        <v>ROCHA YAOTL</v>
      </c>
    </row>
    <row r="83" spans="1:7" x14ac:dyDescent="0.25">
      <c r="A83" s="8">
        <v>42842.391504629632</v>
      </c>
      <c r="B83" s="20" t="s">
        <v>605</v>
      </c>
      <c r="C83" s="20" t="s">
        <v>704</v>
      </c>
      <c r="D83" s="146">
        <v>1360000</v>
      </c>
      <c r="E83" s="20" t="s">
        <v>516</v>
      </c>
      <c r="F83" s="20" t="s">
        <v>517</v>
      </c>
      <c r="G83" s="8" t="str">
        <f t="shared" si="1"/>
        <v>SANTIZO D. EDY</v>
      </c>
    </row>
    <row r="84" spans="1:7" x14ac:dyDescent="0.25">
      <c r="A84" s="8">
        <v>42842.395277777781</v>
      </c>
      <c r="B84" s="20" t="s">
        <v>456</v>
      </c>
      <c r="C84" s="20" t="s">
        <v>705</v>
      </c>
      <c r="D84" s="146">
        <v>1110000</v>
      </c>
      <c r="E84" s="20" t="s">
        <v>640</v>
      </c>
      <c r="F84" s="20" t="s">
        <v>641</v>
      </c>
      <c r="G84" s="8" t="str">
        <f t="shared" si="1"/>
        <v>STARKS ANGELINA</v>
      </c>
    </row>
    <row r="85" spans="1:7" x14ac:dyDescent="0.25">
      <c r="A85" s="8">
        <v>42842.400462962964</v>
      </c>
      <c r="B85" s="20" t="s">
        <v>553</v>
      </c>
      <c r="C85" s="20" t="s">
        <v>706</v>
      </c>
      <c r="D85" s="146">
        <v>900000</v>
      </c>
      <c r="E85" s="20" t="s">
        <v>663</v>
      </c>
      <c r="F85" s="20" t="s">
        <v>664</v>
      </c>
      <c r="G85" s="8" t="str">
        <f t="shared" si="1"/>
        <v>ROCHA YAOTL</v>
      </c>
    </row>
    <row r="86" spans="1:7" x14ac:dyDescent="0.25">
      <c r="A86" s="8">
        <v>42842.404988425929</v>
      </c>
      <c r="B86" s="20" t="s">
        <v>547</v>
      </c>
      <c r="C86" s="20" t="s">
        <v>707</v>
      </c>
      <c r="D86" s="146">
        <v>940000</v>
      </c>
      <c r="E86" s="20" t="s">
        <v>644</v>
      </c>
      <c r="F86" s="20" t="s">
        <v>645</v>
      </c>
      <c r="G86" s="8" t="str">
        <f t="shared" si="1"/>
        <v>BONDS REYNALDO</v>
      </c>
    </row>
    <row r="87" spans="1:7" x14ac:dyDescent="0.25">
      <c r="A87" s="8">
        <v>42842.411666666667</v>
      </c>
      <c r="B87" s="20" t="s">
        <v>498</v>
      </c>
      <c r="C87" s="20" t="s">
        <v>708</v>
      </c>
      <c r="D87" s="146">
        <v>2140000</v>
      </c>
      <c r="E87" s="20" t="s">
        <v>503</v>
      </c>
      <c r="F87" s="20" t="s">
        <v>504</v>
      </c>
      <c r="G87" s="8" t="str">
        <f t="shared" si="1"/>
        <v>ROBINSON KADDIBA</v>
      </c>
    </row>
    <row r="88" spans="1:7" x14ac:dyDescent="0.25">
      <c r="A88" s="8">
        <v>42842.412743055553</v>
      </c>
      <c r="B88" s="20" t="s">
        <v>375</v>
      </c>
      <c r="C88" s="20" t="s">
        <v>709</v>
      </c>
      <c r="D88" s="146">
        <v>2020000</v>
      </c>
      <c r="E88" s="20" t="s">
        <v>505</v>
      </c>
      <c r="F88" s="20" t="s">
        <v>447</v>
      </c>
      <c r="G88" s="8" t="str">
        <f t="shared" si="1"/>
        <v>SHOOK JOHN</v>
      </c>
    </row>
    <row r="89" spans="1:7" x14ac:dyDescent="0.25">
      <c r="A89" s="8">
        <v>42842.415266203701</v>
      </c>
      <c r="B89" s="20" t="s">
        <v>374</v>
      </c>
      <c r="C89" s="20" t="s">
        <v>617</v>
      </c>
      <c r="D89" s="146">
        <v>2010000</v>
      </c>
      <c r="E89" s="20" t="s">
        <v>638</v>
      </c>
      <c r="F89" s="20" t="s">
        <v>639</v>
      </c>
      <c r="G89" s="8" t="str">
        <f t="shared" si="1"/>
        <v>MAELZER KURT</v>
      </c>
    </row>
    <row r="90" spans="1:7" x14ac:dyDescent="0.25">
      <c r="A90" s="8">
        <v>42842.423425925925</v>
      </c>
      <c r="B90" s="20" t="s">
        <v>424</v>
      </c>
      <c r="C90" s="20" t="s">
        <v>710</v>
      </c>
      <c r="D90" s="146">
        <v>1110000</v>
      </c>
      <c r="E90" s="20" t="s">
        <v>640</v>
      </c>
      <c r="F90" s="20" t="s">
        <v>641</v>
      </c>
      <c r="G90" s="8" t="str">
        <f t="shared" si="1"/>
        <v>STARKS ANGELINA</v>
      </c>
    </row>
    <row r="91" spans="1:7" x14ac:dyDescent="0.25">
      <c r="A91" s="8">
        <v>42842.427025462966</v>
      </c>
      <c r="B91" s="20" t="s">
        <v>489</v>
      </c>
      <c r="C91" s="20" t="s">
        <v>711</v>
      </c>
      <c r="D91" s="146">
        <v>1830000</v>
      </c>
      <c r="E91" s="20" t="s">
        <v>551</v>
      </c>
      <c r="F91" s="20" t="s">
        <v>552</v>
      </c>
      <c r="G91" s="8" t="str">
        <f t="shared" si="1"/>
        <v>YORK EDGAR</v>
      </c>
    </row>
    <row r="92" spans="1:7" x14ac:dyDescent="0.25">
      <c r="A92" s="8">
        <v>42842.430428240739</v>
      </c>
      <c r="B92" s="20" t="s">
        <v>554</v>
      </c>
      <c r="C92" s="20" t="s">
        <v>712</v>
      </c>
      <c r="D92" s="146">
        <v>900000</v>
      </c>
      <c r="E92" s="20" t="s">
        <v>663</v>
      </c>
      <c r="F92" s="20" t="s">
        <v>664</v>
      </c>
      <c r="G92" s="8" t="str">
        <f t="shared" si="1"/>
        <v>ROCHA YAOTL</v>
      </c>
    </row>
    <row r="93" spans="1:7" x14ac:dyDescent="0.25">
      <c r="A93" s="8">
        <v>42842.432858796295</v>
      </c>
      <c r="B93" s="20" t="s">
        <v>613</v>
      </c>
      <c r="C93" s="20" t="s">
        <v>713</v>
      </c>
      <c r="D93" s="146">
        <v>2530000</v>
      </c>
      <c r="E93" s="20" t="s">
        <v>522</v>
      </c>
      <c r="F93" s="20" t="s">
        <v>523</v>
      </c>
      <c r="G93" s="8" t="str">
        <f t="shared" si="1"/>
        <v>LALONDE GREGORY</v>
      </c>
    </row>
    <row r="94" spans="1:7" x14ac:dyDescent="0.25">
      <c r="A94" s="8">
        <v>42842.435902777775</v>
      </c>
      <c r="B94" s="20" t="s">
        <v>420</v>
      </c>
      <c r="C94" s="20" t="s">
        <v>616</v>
      </c>
      <c r="D94" s="146">
        <v>920000</v>
      </c>
      <c r="E94" s="20" t="s">
        <v>515</v>
      </c>
      <c r="F94" s="20" t="s">
        <v>196</v>
      </c>
      <c r="G94" s="8" t="str">
        <f t="shared" si="1"/>
        <v>DAVIS MICHAEL</v>
      </c>
    </row>
    <row r="95" spans="1:7" x14ac:dyDescent="0.25">
      <c r="A95" s="8">
        <v>42842.442858796298</v>
      </c>
      <c r="B95" s="20" t="s">
        <v>546</v>
      </c>
      <c r="C95" s="20" t="s">
        <v>714</v>
      </c>
      <c r="D95" s="146">
        <v>940000</v>
      </c>
      <c r="E95" s="20" t="s">
        <v>644</v>
      </c>
      <c r="F95" s="20" t="s">
        <v>645</v>
      </c>
      <c r="G95" s="8" t="str">
        <f t="shared" si="1"/>
        <v>BONDS REYNALDO</v>
      </c>
    </row>
    <row r="96" spans="1:7" x14ac:dyDescent="0.25">
      <c r="A96" s="8">
        <v>42842.443449074075</v>
      </c>
      <c r="B96" s="20" t="s">
        <v>553</v>
      </c>
      <c r="C96" s="20" t="s">
        <v>715</v>
      </c>
      <c r="D96" s="146">
        <v>900000</v>
      </c>
      <c r="E96" s="20" t="s">
        <v>663</v>
      </c>
      <c r="F96" s="20" t="s">
        <v>664</v>
      </c>
      <c r="G96" s="8" t="str">
        <f t="shared" si="1"/>
        <v>ROCHA YAOTL</v>
      </c>
    </row>
    <row r="97" spans="1:7" x14ac:dyDescent="0.25">
      <c r="A97" s="8">
        <v>42842.443842592591</v>
      </c>
      <c r="B97" s="20" t="s">
        <v>501</v>
      </c>
      <c r="C97" s="20" t="s">
        <v>716</v>
      </c>
      <c r="D97" s="146">
        <v>2140000</v>
      </c>
      <c r="E97" s="20" t="s">
        <v>503</v>
      </c>
      <c r="F97" s="20" t="s">
        <v>504</v>
      </c>
      <c r="G97" s="8" t="str">
        <f t="shared" si="1"/>
        <v>ROBINSON KADDIBA</v>
      </c>
    </row>
    <row r="98" spans="1:7" x14ac:dyDescent="0.25">
      <c r="A98" s="8">
        <v>42842.443981481483</v>
      </c>
      <c r="B98" s="20" t="s">
        <v>410</v>
      </c>
      <c r="C98" s="20" t="s">
        <v>717</v>
      </c>
      <c r="D98" s="146">
        <v>2020000</v>
      </c>
      <c r="E98" s="20" t="s">
        <v>505</v>
      </c>
      <c r="F98" s="20" t="s">
        <v>447</v>
      </c>
      <c r="G98" s="8" t="str">
        <f t="shared" si="1"/>
        <v>SHOOK JOHN</v>
      </c>
    </row>
    <row r="99" spans="1:7" x14ac:dyDescent="0.25">
      <c r="A99" s="8">
        <v>42842.453773148147</v>
      </c>
      <c r="B99" s="20" t="s">
        <v>488</v>
      </c>
      <c r="C99" s="20" t="s">
        <v>718</v>
      </c>
      <c r="D99" s="146">
        <v>1830000</v>
      </c>
      <c r="E99" s="20" t="s">
        <v>551</v>
      </c>
      <c r="F99" s="20" t="s">
        <v>552</v>
      </c>
      <c r="G99" s="8" t="str">
        <f t="shared" si="1"/>
        <v>YORK EDGAR</v>
      </c>
    </row>
    <row r="100" spans="1:7" x14ac:dyDescent="0.25">
      <c r="A100" s="8">
        <v>42842.454722222225</v>
      </c>
      <c r="B100" s="20" t="s">
        <v>655</v>
      </c>
      <c r="C100" s="20" t="s">
        <v>719</v>
      </c>
      <c r="D100" s="146">
        <v>880000</v>
      </c>
      <c r="E100" s="20" t="s">
        <v>519</v>
      </c>
      <c r="F100" s="20" t="s">
        <v>196</v>
      </c>
      <c r="G100" s="8" t="str">
        <f t="shared" si="1"/>
        <v>STEWART MICHAEL</v>
      </c>
    </row>
    <row r="101" spans="1:7" x14ac:dyDescent="0.25">
      <c r="A101" s="8">
        <v>42842.458877314813</v>
      </c>
      <c r="B101" s="20" t="s">
        <v>419</v>
      </c>
      <c r="C101" s="20" t="s">
        <v>720</v>
      </c>
      <c r="D101" s="146">
        <v>2010000</v>
      </c>
      <c r="E101" s="20" t="s">
        <v>638</v>
      </c>
      <c r="F101" s="20" t="s">
        <v>639</v>
      </c>
      <c r="G101" s="8" t="str">
        <f t="shared" si="1"/>
        <v>MAELZER KURT</v>
      </c>
    </row>
    <row r="102" spans="1:7" x14ac:dyDescent="0.25">
      <c r="A102" s="8">
        <v>42842.466481481482</v>
      </c>
      <c r="B102" s="20" t="s">
        <v>456</v>
      </c>
      <c r="C102" s="20" t="s">
        <v>618</v>
      </c>
      <c r="D102" s="146">
        <v>920000</v>
      </c>
      <c r="E102" s="20" t="s">
        <v>515</v>
      </c>
      <c r="F102" s="20" t="s">
        <v>196</v>
      </c>
      <c r="G102" s="8" t="str">
        <f t="shared" si="1"/>
        <v>DAVIS MICHAEL</v>
      </c>
    </row>
    <row r="103" spans="1:7" x14ac:dyDescent="0.25">
      <c r="A103" s="8">
        <v>42842.468043981484</v>
      </c>
      <c r="B103" s="20" t="s">
        <v>554</v>
      </c>
      <c r="C103" s="20" t="s">
        <v>721</v>
      </c>
      <c r="D103" s="146">
        <v>900000</v>
      </c>
      <c r="E103" s="20" t="s">
        <v>663</v>
      </c>
      <c r="F103" s="20" t="s">
        <v>664</v>
      </c>
      <c r="G103" s="8" t="str">
        <f t="shared" si="1"/>
        <v>ROCHA YAOTL</v>
      </c>
    </row>
    <row r="104" spans="1:7" x14ac:dyDescent="0.25">
      <c r="A104" s="8">
        <v>42842.468101851853</v>
      </c>
      <c r="B104" s="20" t="s">
        <v>605</v>
      </c>
      <c r="C104" s="20" t="s">
        <v>722</v>
      </c>
      <c r="D104" s="146">
        <v>2530000</v>
      </c>
      <c r="E104" s="20" t="s">
        <v>522</v>
      </c>
      <c r="F104" s="20" t="s">
        <v>523</v>
      </c>
      <c r="G104" s="8" t="str">
        <f t="shared" si="1"/>
        <v>LALONDE GREGORY</v>
      </c>
    </row>
    <row r="105" spans="1:7" x14ac:dyDescent="0.25">
      <c r="A105" s="8">
        <v>42842.47115740741</v>
      </c>
      <c r="B105" s="20" t="s">
        <v>371</v>
      </c>
      <c r="C105" s="20" t="s">
        <v>627</v>
      </c>
      <c r="D105" s="146">
        <v>2450000</v>
      </c>
      <c r="E105" s="20" t="s">
        <v>723</v>
      </c>
      <c r="F105" s="20" t="s">
        <v>724</v>
      </c>
      <c r="G105" s="8" t="str">
        <f t="shared" si="1"/>
        <v>NELSON ARIANE</v>
      </c>
    </row>
    <row r="106" spans="1:7" x14ac:dyDescent="0.25">
      <c r="A106" s="8">
        <v>42842.476423611108</v>
      </c>
      <c r="B106" s="20" t="s">
        <v>372</v>
      </c>
      <c r="C106" s="20" t="s">
        <v>627</v>
      </c>
      <c r="D106" s="146">
        <v>2450000</v>
      </c>
      <c r="E106" s="20" t="s">
        <v>723</v>
      </c>
      <c r="F106" s="20" t="s">
        <v>724</v>
      </c>
      <c r="G106" s="8" t="str">
        <f t="shared" si="1"/>
        <v>NELSON ARIANE</v>
      </c>
    </row>
    <row r="107" spans="1:7" x14ac:dyDescent="0.25">
      <c r="A107" s="8">
        <v>42842.480567129627</v>
      </c>
      <c r="B107" s="20" t="s">
        <v>371</v>
      </c>
      <c r="C107" s="20" t="s">
        <v>725</v>
      </c>
      <c r="D107" s="146">
        <v>930000</v>
      </c>
      <c r="E107" s="20" t="s">
        <v>726</v>
      </c>
      <c r="F107" s="20" t="s">
        <v>727</v>
      </c>
      <c r="G107" s="8" t="str">
        <f t="shared" si="1"/>
        <v>CLARK KATHLEEN</v>
      </c>
    </row>
    <row r="108" spans="1:7" x14ac:dyDescent="0.25">
      <c r="A108" s="8">
        <v>42842.481180555558</v>
      </c>
      <c r="B108" s="20" t="s">
        <v>498</v>
      </c>
      <c r="C108" s="20" t="s">
        <v>728</v>
      </c>
      <c r="D108" s="146">
        <v>2140000</v>
      </c>
      <c r="E108" s="20" t="s">
        <v>503</v>
      </c>
      <c r="F108" s="20" t="s">
        <v>504</v>
      </c>
      <c r="G108" s="8" t="str">
        <f t="shared" si="1"/>
        <v>ROBINSON KADDIBA</v>
      </c>
    </row>
    <row r="109" spans="1:7" x14ac:dyDescent="0.25">
      <c r="A109" s="8">
        <v>42842.485891203702</v>
      </c>
      <c r="B109" s="20" t="s">
        <v>553</v>
      </c>
      <c r="C109" s="20" t="s">
        <v>729</v>
      </c>
      <c r="D109" s="146">
        <v>900000</v>
      </c>
      <c r="E109" s="20" t="s">
        <v>663</v>
      </c>
      <c r="F109" s="20" t="s">
        <v>664</v>
      </c>
      <c r="G109" s="8" t="str">
        <f t="shared" si="1"/>
        <v>ROCHA YAOTL</v>
      </c>
    </row>
    <row r="110" spans="1:7" x14ac:dyDescent="0.25">
      <c r="A110" s="8">
        <v>42842.487222222226</v>
      </c>
      <c r="B110" s="20" t="s">
        <v>375</v>
      </c>
      <c r="C110" s="20" t="s">
        <v>730</v>
      </c>
      <c r="D110" s="146">
        <v>2470000</v>
      </c>
      <c r="E110" s="20" t="s">
        <v>555</v>
      </c>
      <c r="F110" s="20" t="s">
        <v>556</v>
      </c>
      <c r="G110" s="8" t="str">
        <f t="shared" si="1"/>
        <v>ROMERO CHAD</v>
      </c>
    </row>
    <row r="111" spans="1:7" x14ac:dyDescent="0.25">
      <c r="A111" s="8">
        <v>42842.493483796294</v>
      </c>
      <c r="B111" s="20" t="s">
        <v>374</v>
      </c>
      <c r="C111" s="20" t="s">
        <v>731</v>
      </c>
      <c r="D111" s="146">
        <v>880000</v>
      </c>
      <c r="E111" s="20" t="s">
        <v>519</v>
      </c>
      <c r="F111" s="20" t="s">
        <v>196</v>
      </c>
      <c r="G111" s="8" t="str">
        <f t="shared" si="1"/>
        <v>STEWART MICHAEL</v>
      </c>
    </row>
    <row r="112" spans="1:7" x14ac:dyDescent="0.25">
      <c r="A112" s="8">
        <v>42842.497291666667</v>
      </c>
      <c r="B112" s="20" t="s">
        <v>489</v>
      </c>
      <c r="C112" s="20" t="s">
        <v>732</v>
      </c>
      <c r="D112" s="146">
        <v>2560000</v>
      </c>
      <c r="E112" s="20" t="s">
        <v>733</v>
      </c>
      <c r="F112" s="20" t="s">
        <v>734</v>
      </c>
      <c r="G112" s="8" t="str">
        <f t="shared" si="1"/>
        <v>MACDONALD THOMAS</v>
      </c>
    </row>
    <row r="113" spans="1:7" x14ac:dyDescent="0.25">
      <c r="A113" s="8">
        <v>42842.498090277775</v>
      </c>
      <c r="B113" s="20" t="s">
        <v>554</v>
      </c>
      <c r="C113" s="20" t="s">
        <v>735</v>
      </c>
      <c r="D113" s="146">
        <v>900000</v>
      </c>
      <c r="E113" s="20" t="s">
        <v>663</v>
      </c>
      <c r="F113" s="20" t="s">
        <v>664</v>
      </c>
      <c r="G113" s="8" t="str">
        <f t="shared" si="1"/>
        <v>ROCHA YAOTL</v>
      </c>
    </row>
    <row r="114" spans="1:7" x14ac:dyDescent="0.25">
      <c r="A114" s="8">
        <v>42842.506979166668</v>
      </c>
      <c r="B114" s="20" t="s">
        <v>424</v>
      </c>
      <c r="C114" s="20" t="s">
        <v>736</v>
      </c>
      <c r="D114" s="146">
        <v>920000</v>
      </c>
      <c r="E114" s="20" t="s">
        <v>515</v>
      </c>
      <c r="F114" s="20" t="s">
        <v>196</v>
      </c>
      <c r="G114" s="8" t="str">
        <f t="shared" si="1"/>
        <v>DAVIS MICHAEL</v>
      </c>
    </row>
    <row r="115" spans="1:7" x14ac:dyDescent="0.25">
      <c r="A115" s="8">
        <v>42842.508773148147</v>
      </c>
      <c r="B115" s="20" t="s">
        <v>613</v>
      </c>
      <c r="C115" s="20" t="s">
        <v>737</v>
      </c>
      <c r="D115" s="146">
        <v>1180000</v>
      </c>
      <c r="E115" s="20" t="s">
        <v>738</v>
      </c>
      <c r="F115" s="20" t="s">
        <v>739</v>
      </c>
      <c r="G115" s="8" t="str">
        <f t="shared" si="1"/>
        <v>LEVERE CRAIG</v>
      </c>
    </row>
    <row r="116" spans="1:7" x14ac:dyDescent="0.25">
      <c r="A116" s="8">
        <v>42842.516076388885</v>
      </c>
      <c r="B116" s="20" t="s">
        <v>501</v>
      </c>
      <c r="C116" s="20" t="s">
        <v>740</v>
      </c>
      <c r="D116" s="146">
        <v>2360000</v>
      </c>
      <c r="E116" s="20" t="s">
        <v>506</v>
      </c>
      <c r="F116" s="20" t="s">
        <v>507</v>
      </c>
      <c r="G116" s="8" t="str">
        <f t="shared" si="1"/>
        <v>BRANDNER MELINDA</v>
      </c>
    </row>
    <row r="117" spans="1:7" x14ac:dyDescent="0.25">
      <c r="A117" s="8">
        <v>42842.516527777778</v>
      </c>
      <c r="B117" s="20" t="s">
        <v>372</v>
      </c>
      <c r="C117" s="20" t="s">
        <v>741</v>
      </c>
      <c r="D117" s="146">
        <v>930000</v>
      </c>
      <c r="E117" s="20" t="s">
        <v>726</v>
      </c>
      <c r="F117" s="20" t="s">
        <v>727</v>
      </c>
      <c r="G117" s="8" t="str">
        <f t="shared" si="1"/>
        <v>CLARK KATHLEEN</v>
      </c>
    </row>
    <row r="118" spans="1:7" x14ac:dyDescent="0.25">
      <c r="A118" s="8">
        <v>42842.520601851851</v>
      </c>
      <c r="B118" s="20" t="s">
        <v>410</v>
      </c>
      <c r="C118" s="20" t="s">
        <v>619</v>
      </c>
      <c r="D118" s="146">
        <v>2470000</v>
      </c>
      <c r="E118" s="20" t="s">
        <v>555</v>
      </c>
      <c r="F118" s="20" t="s">
        <v>556</v>
      </c>
      <c r="G118" s="8" t="str">
        <f t="shared" si="1"/>
        <v>ROMERO CHAD</v>
      </c>
    </row>
    <row r="119" spans="1:7" x14ac:dyDescent="0.25">
      <c r="A119" s="8">
        <v>42842.52542824074</v>
      </c>
      <c r="B119" s="20" t="s">
        <v>553</v>
      </c>
      <c r="C119" s="20" t="s">
        <v>742</v>
      </c>
      <c r="D119" s="146">
        <v>900000</v>
      </c>
      <c r="E119" s="20" t="s">
        <v>663</v>
      </c>
      <c r="F119" s="20" t="s">
        <v>664</v>
      </c>
      <c r="G119" s="8" t="str">
        <f t="shared" si="1"/>
        <v>ROCHA YAOTL</v>
      </c>
    </row>
    <row r="120" spans="1:7" x14ac:dyDescent="0.25">
      <c r="A120" s="8">
        <v>42842.527708333335</v>
      </c>
      <c r="B120" s="20" t="s">
        <v>655</v>
      </c>
      <c r="C120" s="20" t="s">
        <v>743</v>
      </c>
      <c r="D120" s="146">
        <v>880000</v>
      </c>
      <c r="E120" s="20" t="s">
        <v>519</v>
      </c>
      <c r="F120" s="20" t="s">
        <v>196</v>
      </c>
      <c r="G120" s="8" t="str">
        <f t="shared" si="1"/>
        <v>STEWART MICHAEL</v>
      </c>
    </row>
    <row r="121" spans="1:7" x14ac:dyDescent="0.25">
      <c r="A121" s="8">
        <v>42842.535439814812</v>
      </c>
      <c r="B121" s="20" t="s">
        <v>488</v>
      </c>
      <c r="C121" s="20" t="s">
        <v>620</v>
      </c>
      <c r="D121" s="146">
        <v>2560000</v>
      </c>
      <c r="E121" s="20" t="s">
        <v>733</v>
      </c>
      <c r="F121" s="20" t="s">
        <v>734</v>
      </c>
      <c r="G121" s="8" t="str">
        <f t="shared" si="1"/>
        <v>MACDONALD THOMAS</v>
      </c>
    </row>
    <row r="122" spans="1:7" x14ac:dyDescent="0.25">
      <c r="A122" s="8">
        <v>42842.538946759261</v>
      </c>
      <c r="B122" s="25" t="s">
        <v>456</v>
      </c>
      <c r="C122" s="20" t="s">
        <v>744</v>
      </c>
      <c r="D122" s="146">
        <v>920000</v>
      </c>
      <c r="E122" s="20" t="s">
        <v>515</v>
      </c>
      <c r="F122" s="20" t="s">
        <v>196</v>
      </c>
      <c r="G122" s="8" t="str">
        <f t="shared" si="1"/>
        <v>DAVIS MICHAEL</v>
      </c>
    </row>
    <row r="123" spans="1:7" x14ac:dyDescent="0.25">
      <c r="A123" s="8">
        <v>42842.543252314812</v>
      </c>
      <c r="B123" s="20" t="s">
        <v>605</v>
      </c>
      <c r="C123" s="20" t="s">
        <v>745</v>
      </c>
      <c r="D123" s="146">
        <v>1180000</v>
      </c>
      <c r="E123" s="20" t="s">
        <v>738</v>
      </c>
      <c r="F123" s="20" t="s">
        <v>739</v>
      </c>
      <c r="G123" s="8" t="str">
        <f t="shared" si="1"/>
        <v>LEVERE CRAIG</v>
      </c>
    </row>
    <row r="124" spans="1:7" x14ac:dyDescent="0.25">
      <c r="A124" s="8">
        <v>42842.549421296295</v>
      </c>
      <c r="B124" s="20" t="s">
        <v>371</v>
      </c>
      <c r="C124" s="20" t="s">
        <v>746</v>
      </c>
      <c r="D124" s="146">
        <v>930000</v>
      </c>
      <c r="E124" s="20" t="s">
        <v>726</v>
      </c>
      <c r="F124" s="20" t="s">
        <v>727</v>
      </c>
      <c r="G124" s="8" t="str">
        <f t="shared" si="1"/>
        <v>CLARK KATHLEEN</v>
      </c>
    </row>
    <row r="125" spans="1:7" x14ac:dyDescent="0.25">
      <c r="A125" s="8">
        <v>42842.553842592592</v>
      </c>
      <c r="B125" s="20" t="s">
        <v>554</v>
      </c>
      <c r="C125" s="20" t="s">
        <v>747</v>
      </c>
      <c r="D125" s="146">
        <v>1300000</v>
      </c>
      <c r="E125" s="20" t="s">
        <v>520</v>
      </c>
      <c r="F125" s="20" t="s">
        <v>521</v>
      </c>
      <c r="G125" s="8" t="str">
        <f t="shared" si="1"/>
        <v>LEVIN SCOTT</v>
      </c>
    </row>
    <row r="126" spans="1:7" x14ac:dyDescent="0.25">
      <c r="A126" s="8">
        <v>42842.554618055554</v>
      </c>
      <c r="B126" s="20" t="s">
        <v>498</v>
      </c>
      <c r="C126" s="20" t="s">
        <v>748</v>
      </c>
      <c r="D126" s="146">
        <v>2360000</v>
      </c>
      <c r="E126" s="20" t="s">
        <v>506</v>
      </c>
      <c r="F126" s="20" t="s">
        <v>507</v>
      </c>
      <c r="G126" s="8" t="str">
        <f t="shared" si="1"/>
        <v>BRANDNER MELINDA</v>
      </c>
    </row>
    <row r="127" spans="1:7" x14ac:dyDescent="0.25">
      <c r="A127" s="8">
        <v>42842.557106481479</v>
      </c>
      <c r="B127" s="20" t="s">
        <v>375</v>
      </c>
      <c r="C127" s="20" t="s">
        <v>749</v>
      </c>
      <c r="D127" s="146">
        <v>2470000</v>
      </c>
      <c r="E127" s="20" t="s">
        <v>555</v>
      </c>
      <c r="F127" s="20" t="s">
        <v>556</v>
      </c>
      <c r="G127" s="8" t="str">
        <f t="shared" si="1"/>
        <v>ROMERO CHAD</v>
      </c>
    </row>
    <row r="128" spans="1:7" x14ac:dyDescent="0.25">
      <c r="A128" s="8">
        <v>42842.567152777781</v>
      </c>
      <c r="B128" s="20" t="s">
        <v>374</v>
      </c>
      <c r="C128" s="20" t="s">
        <v>750</v>
      </c>
      <c r="D128" s="146">
        <v>880000</v>
      </c>
      <c r="E128" s="20" t="s">
        <v>519</v>
      </c>
      <c r="F128" s="20" t="s">
        <v>196</v>
      </c>
      <c r="G128" s="8" t="str">
        <f t="shared" si="1"/>
        <v>STEWART MICHAEL</v>
      </c>
    </row>
    <row r="129" spans="1:7" x14ac:dyDescent="0.25">
      <c r="A129" s="8">
        <v>42842.567175925928</v>
      </c>
      <c r="B129" s="20" t="s">
        <v>553</v>
      </c>
      <c r="C129" s="20" t="s">
        <v>751</v>
      </c>
      <c r="D129" s="146">
        <v>1300000</v>
      </c>
      <c r="E129" s="20" t="s">
        <v>520</v>
      </c>
      <c r="F129" s="20" t="s">
        <v>521</v>
      </c>
      <c r="G129" s="8" t="str">
        <f t="shared" si="1"/>
        <v>LEVIN SCOTT</v>
      </c>
    </row>
    <row r="130" spans="1:7" x14ac:dyDescent="0.25">
      <c r="A130" s="8">
        <v>42842.569247685184</v>
      </c>
      <c r="B130" s="20" t="s">
        <v>489</v>
      </c>
      <c r="C130" s="20" t="s">
        <v>752</v>
      </c>
      <c r="D130" s="146">
        <v>2560000</v>
      </c>
      <c r="E130" s="20" t="s">
        <v>733</v>
      </c>
      <c r="F130" s="20" t="s">
        <v>734</v>
      </c>
      <c r="G130" s="8" t="str">
        <f t="shared" si="1"/>
        <v>MACDONALD THOMAS</v>
      </c>
    </row>
    <row r="131" spans="1:7" x14ac:dyDescent="0.25">
      <c r="A131" s="8">
        <v>42842.578796296293</v>
      </c>
      <c r="B131" s="20" t="s">
        <v>424</v>
      </c>
      <c r="C131" s="20" t="s">
        <v>753</v>
      </c>
      <c r="D131" s="146">
        <v>920000</v>
      </c>
      <c r="E131" s="20" t="s">
        <v>515</v>
      </c>
      <c r="F131" s="20" t="s">
        <v>196</v>
      </c>
      <c r="G131" s="8" t="str">
        <f t="shared" ref="G131:G194" si="2">E131&amp;" "&amp;F131</f>
        <v>DAVIS MICHAEL</v>
      </c>
    </row>
    <row r="132" spans="1:7" x14ac:dyDescent="0.25">
      <c r="A132" s="8">
        <v>42842.580509259256</v>
      </c>
      <c r="B132" s="20" t="s">
        <v>613</v>
      </c>
      <c r="C132" s="20" t="s">
        <v>754</v>
      </c>
      <c r="D132" s="146">
        <v>1180000</v>
      </c>
      <c r="E132" s="20" t="s">
        <v>738</v>
      </c>
      <c r="F132" s="20" t="s">
        <v>739</v>
      </c>
      <c r="G132" s="8" t="str">
        <f t="shared" si="2"/>
        <v>LEVERE CRAIG</v>
      </c>
    </row>
    <row r="133" spans="1:7" x14ac:dyDescent="0.25">
      <c r="A133" s="8">
        <v>42842.587071759262</v>
      </c>
      <c r="B133" s="20" t="s">
        <v>372</v>
      </c>
      <c r="C133" s="20" t="s">
        <v>755</v>
      </c>
      <c r="D133" s="146">
        <v>930000</v>
      </c>
      <c r="E133" s="20" t="s">
        <v>726</v>
      </c>
      <c r="F133" s="20" t="s">
        <v>727</v>
      </c>
      <c r="G133" s="8" t="str">
        <f t="shared" si="2"/>
        <v>CLARK KATHLEEN</v>
      </c>
    </row>
    <row r="134" spans="1:7" x14ac:dyDescent="0.25">
      <c r="A134" s="8">
        <v>42842.592789351853</v>
      </c>
      <c r="B134" s="20" t="s">
        <v>501</v>
      </c>
      <c r="C134" s="20" t="s">
        <v>756</v>
      </c>
      <c r="D134" s="146">
        <v>2360000</v>
      </c>
      <c r="E134" s="20" t="s">
        <v>506</v>
      </c>
      <c r="F134" s="20" t="s">
        <v>507</v>
      </c>
      <c r="G134" s="8" t="str">
        <f t="shared" si="2"/>
        <v>BRANDNER MELINDA</v>
      </c>
    </row>
    <row r="135" spans="1:7" x14ac:dyDescent="0.25">
      <c r="A135" s="8">
        <v>42842.595960648148</v>
      </c>
      <c r="B135" s="20" t="s">
        <v>554</v>
      </c>
      <c r="C135" s="20" t="s">
        <v>757</v>
      </c>
      <c r="D135" s="146">
        <v>1300000</v>
      </c>
      <c r="E135" s="20" t="s">
        <v>520</v>
      </c>
      <c r="F135" s="20" t="s">
        <v>521</v>
      </c>
      <c r="G135" s="8" t="str">
        <f t="shared" si="2"/>
        <v>LEVIN SCOTT</v>
      </c>
    </row>
    <row r="136" spans="1:7" x14ac:dyDescent="0.25">
      <c r="A136" s="8">
        <v>42842.59957175926</v>
      </c>
      <c r="B136" s="20" t="s">
        <v>410</v>
      </c>
      <c r="C136" s="20" t="s">
        <v>758</v>
      </c>
      <c r="D136" s="146">
        <v>2470000</v>
      </c>
      <c r="E136" s="20" t="s">
        <v>555</v>
      </c>
      <c r="F136" s="20" t="s">
        <v>556</v>
      </c>
      <c r="G136" s="8" t="str">
        <f t="shared" si="2"/>
        <v>ROMERO CHAD</v>
      </c>
    </row>
    <row r="137" spans="1:7" x14ac:dyDescent="0.25">
      <c r="A137" s="8">
        <v>42842.601354166669</v>
      </c>
      <c r="B137" s="20" t="s">
        <v>655</v>
      </c>
      <c r="C137" s="20" t="s">
        <v>759</v>
      </c>
      <c r="D137" s="146">
        <v>880000</v>
      </c>
      <c r="E137" s="20" t="s">
        <v>519</v>
      </c>
      <c r="F137" s="20" t="s">
        <v>196</v>
      </c>
      <c r="G137" s="8" t="str">
        <f t="shared" si="2"/>
        <v>STEWART MICHAEL</v>
      </c>
    </row>
    <row r="138" spans="1:7" x14ac:dyDescent="0.25">
      <c r="A138" s="8">
        <v>42842.607615740744</v>
      </c>
      <c r="B138" s="20" t="s">
        <v>488</v>
      </c>
      <c r="C138" s="20" t="s">
        <v>621</v>
      </c>
      <c r="D138" s="146">
        <v>2560000</v>
      </c>
      <c r="E138" s="20" t="s">
        <v>733</v>
      </c>
      <c r="F138" s="20" t="s">
        <v>734</v>
      </c>
      <c r="G138" s="8" t="str">
        <f t="shared" si="2"/>
        <v>MACDONALD THOMAS</v>
      </c>
    </row>
    <row r="139" spans="1:7" x14ac:dyDescent="0.25">
      <c r="A139" s="8">
        <v>42842.608715277776</v>
      </c>
      <c r="B139" s="20" t="s">
        <v>553</v>
      </c>
      <c r="C139" s="20" t="s">
        <v>760</v>
      </c>
      <c r="D139" s="146">
        <v>1300000</v>
      </c>
      <c r="E139" s="20" t="s">
        <v>520</v>
      </c>
      <c r="F139" s="20" t="s">
        <v>521</v>
      </c>
      <c r="G139" s="8" t="str">
        <f t="shared" si="2"/>
        <v>LEVIN SCOTT</v>
      </c>
    </row>
    <row r="140" spans="1:7" x14ac:dyDescent="0.25">
      <c r="A140" s="8">
        <v>42842.613067129627</v>
      </c>
      <c r="B140" s="20" t="s">
        <v>456</v>
      </c>
      <c r="C140" s="20" t="s">
        <v>761</v>
      </c>
      <c r="D140" s="146">
        <v>920000</v>
      </c>
      <c r="E140" s="20" t="s">
        <v>515</v>
      </c>
      <c r="F140" s="20" t="s">
        <v>196</v>
      </c>
      <c r="G140" s="8" t="str">
        <f t="shared" si="2"/>
        <v>DAVIS MICHAEL</v>
      </c>
    </row>
    <row r="141" spans="1:7" x14ac:dyDescent="0.25">
      <c r="A141" s="8">
        <v>42842.616712962961</v>
      </c>
      <c r="B141" s="20" t="s">
        <v>605</v>
      </c>
      <c r="C141" s="20" t="s">
        <v>762</v>
      </c>
      <c r="D141" s="146">
        <v>1180000</v>
      </c>
      <c r="E141" s="20" t="s">
        <v>738</v>
      </c>
      <c r="F141" s="20" t="s">
        <v>739</v>
      </c>
      <c r="G141" s="8" t="str">
        <f t="shared" si="2"/>
        <v>LEVERE CRAIG</v>
      </c>
    </row>
    <row r="142" spans="1:7" x14ac:dyDescent="0.25">
      <c r="A142" s="8">
        <v>42842.62096064815</v>
      </c>
      <c r="B142" s="20" t="s">
        <v>371</v>
      </c>
      <c r="C142" s="20" t="s">
        <v>763</v>
      </c>
      <c r="D142" s="146">
        <v>930000</v>
      </c>
      <c r="E142" s="20" t="s">
        <v>726</v>
      </c>
      <c r="F142" s="20" t="s">
        <v>727</v>
      </c>
      <c r="G142" s="8" t="str">
        <f t="shared" si="2"/>
        <v>CLARK KATHLEEN</v>
      </c>
    </row>
    <row r="143" spans="1:7" x14ac:dyDescent="0.25">
      <c r="A143" s="8">
        <v>42842.625590277778</v>
      </c>
      <c r="B143" s="20" t="s">
        <v>488</v>
      </c>
      <c r="C143" s="20" t="s">
        <v>621</v>
      </c>
      <c r="D143" s="146">
        <v>2560000</v>
      </c>
      <c r="E143" s="20" t="s">
        <v>733</v>
      </c>
      <c r="F143" s="20" t="s">
        <v>734</v>
      </c>
      <c r="G143" s="8" t="str">
        <f t="shared" si="2"/>
        <v>MACDONALD THOMAS</v>
      </c>
    </row>
    <row r="144" spans="1:7" x14ac:dyDescent="0.25">
      <c r="A144" s="8">
        <v>42842.628680555557</v>
      </c>
      <c r="B144" s="20" t="s">
        <v>498</v>
      </c>
      <c r="C144" s="20" t="s">
        <v>764</v>
      </c>
      <c r="D144" s="146">
        <v>2360000</v>
      </c>
      <c r="E144" s="20" t="s">
        <v>506</v>
      </c>
      <c r="F144" s="20" t="s">
        <v>507</v>
      </c>
      <c r="G144" s="8" t="str">
        <f t="shared" si="2"/>
        <v>BRANDNER MELINDA</v>
      </c>
    </row>
    <row r="145" spans="1:7" x14ac:dyDescent="0.25">
      <c r="A145" s="8">
        <v>42842.630833333336</v>
      </c>
      <c r="B145" s="20" t="s">
        <v>375</v>
      </c>
      <c r="C145" s="20" t="s">
        <v>765</v>
      </c>
      <c r="D145" s="146">
        <v>2470000</v>
      </c>
      <c r="E145" s="20" t="s">
        <v>555</v>
      </c>
      <c r="F145" s="20" t="s">
        <v>556</v>
      </c>
      <c r="G145" s="8" t="str">
        <f t="shared" si="2"/>
        <v>ROMERO CHAD</v>
      </c>
    </row>
    <row r="146" spans="1:7" x14ac:dyDescent="0.25">
      <c r="A146" s="8">
        <v>42842.638078703705</v>
      </c>
      <c r="B146" s="20" t="s">
        <v>554</v>
      </c>
      <c r="C146" s="20" t="s">
        <v>766</v>
      </c>
      <c r="D146" s="146">
        <v>1300000</v>
      </c>
      <c r="E146" s="20" t="s">
        <v>520</v>
      </c>
      <c r="F146" s="20" t="s">
        <v>521</v>
      </c>
      <c r="G146" s="8" t="str">
        <f t="shared" si="2"/>
        <v>LEVIN SCOTT</v>
      </c>
    </row>
    <row r="147" spans="1:7" x14ac:dyDescent="0.25">
      <c r="A147" s="8">
        <v>42842.641122685185</v>
      </c>
      <c r="B147" s="20" t="s">
        <v>374</v>
      </c>
      <c r="C147" s="20" t="s">
        <v>767</v>
      </c>
      <c r="D147" s="146">
        <v>880000</v>
      </c>
      <c r="E147" s="20" t="s">
        <v>519</v>
      </c>
      <c r="F147" s="20" t="s">
        <v>196</v>
      </c>
      <c r="G147" s="8" t="str">
        <f t="shared" si="2"/>
        <v>STEWART MICHAEL</v>
      </c>
    </row>
    <row r="148" spans="1:7" x14ac:dyDescent="0.25">
      <c r="A148" s="8">
        <v>42842.642175925925</v>
      </c>
      <c r="B148" s="20" t="s">
        <v>610</v>
      </c>
      <c r="C148" s="20" t="s">
        <v>768</v>
      </c>
      <c r="D148" s="146">
        <v>1810000</v>
      </c>
      <c r="E148" s="20" t="s">
        <v>393</v>
      </c>
      <c r="F148" s="20" t="s">
        <v>193</v>
      </c>
      <c r="G148" s="8" t="str">
        <f t="shared" si="2"/>
        <v>NEWELL JAMES</v>
      </c>
    </row>
    <row r="149" spans="1:7" x14ac:dyDescent="0.25">
      <c r="A149" s="8">
        <v>42842.647604166668</v>
      </c>
      <c r="B149" s="20" t="s">
        <v>489</v>
      </c>
      <c r="C149" s="20" t="s">
        <v>769</v>
      </c>
      <c r="D149" s="146">
        <v>2560000</v>
      </c>
      <c r="E149" s="20" t="s">
        <v>733</v>
      </c>
      <c r="F149" s="20" t="s">
        <v>734</v>
      </c>
      <c r="G149" s="8" t="str">
        <f t="shared" si="2"/>
        <v>MACDONALD THOMAS</v>
      </c>
    </row>
    <row r="150" spans="1:7" x14ac:dyDescent="0.25">
      <c r="A150" s="8">
        <v>42842.65047453704</v>
      </c>
      <c r="B150" s="20" t="s">
        <v>553</v>
      </c>
      <c r="C150" s="20" t="s">
        <v>622</v>
      </c>
      <c r="D150" s="146">
        <v>1300000</v>
      </c>
      <c r="E150" s="20" t="s">
        <v>520</v>
      </c>
      <c r="F150" s="20" t="s">
        <v>521</v>
      </c>
      <c r="G150" s="8" t="str">
        <f t="shared" si="2"/>
        <v>LEVIN SCOTT</v>
      </c>
    </row>
    <row r="151" spans="1:7" x14ac:dyDescent="0.25">
      <c r="A151" s="8">
        <v>42842.651273148149</v>
      </c>
      <c r="B151" s="20" t="s">
        <v>471</v>
      </c>
      <c r="C151" s="20" t="s">
        <v>770</v>
      </c>
      <c r="D151" s="146">
        <v>1810000</v>
      </c>
      <c r="E151" s="20" t="s">
        <v>393</v>
      </c>
      <c r="F151" s="20" t="s">
        <v>193</v>
      </c>
      <c r="G151" s="8" t="str">
        <f t="shared" si="2"/>
        <v>NEWELL JAMES</v>
      </c>
    </row>
    <row r="152" spans="1:7" x14ac:dyDescent="0.25">
      <c r="A152" s="8">
        <v>42842.652546296296</v>
      </c>
      <c r="B152" s="20" t="s">
        <v>424</v>
      </c>
      <c r="C152" s="20" t="s">
        <v>771</v>
      </c>
      <c r="D152" s="146">
        <v>920000</v>
      </c>
      <c r="E152" s="20" t="s">
        <v>515</v>
      </c>
      <c r="F152" s="20" t="s">
        <v>196</v>
      </c>
      <c r="G152" s="8" t="str">
        <f t="shared" si="2"/>
        <v>DAVIS MICHAEL</v>
      </c>
    </row>
    <row r="153" spans="1:7" x14ac:dyDescent="0.25">
      <c r="A153" s="8">
        <v>42842.654293981483</v>
      </c>
      <c r="B153" s="20" t="s">
        <v>613</v>
      </c>
      <c r="C153" s="20" t="s">
        <v>772</v>
      </c>
      <c r="D153" s="146">
        <v>1180000</v>
      </c>
      <c r="E153" s="20" t="s">
        <v>738</v>
      </c>
      <c r="F153" s="20" t="s">
        <v>739</v>
      </c>
      <c r="G153" s="8" t="str">
        <f t="shared" si="2"/>
        <v>LEVERE CRAIG</v>
      </c>
    </row>
    <row r="154" spans="1:7" x14ac:dyDescent="0.25">
      <c r="A154" s="8">
        <v>42842.657696759263</v>
      </c>
      <c r="B154" s="20" t="s">
        <v>372</v>
      </c>
      <c r="C154" s="20" t="s">
        <v>773</v>
      </c>
      <c r="D154" s="146">
        <v>930000</v>
      </c>
      <c r="E154" s="20" t="s">
        <v>726</v>
      </c>
      <c r="F154" s="20" t="s">
        <v>727</v>
      </c>
      <c r="G154" s="8" t="str">
        <f t="shared" si="2"/>
        <v>CLARK KATHLEEN</v>
      </c>
    </row>
    <row r="155" spans="1:7" x14ac:dyDescent="0.25">
      <c r="A155" s="8">
        <v>42842.664571759262</v>
      </c>
      <c r="B155" s="20" t="s">
        <v>501</v>
      </c>
      <c r="C155" s="20" t="s">
        <v>774</v>
      </c>
      <c r="D155" s="146">
        <v>2360000</v>
      </c>
      <c r="E155" s="20" t="s">
        <v>506</v>
      </c>
      <c r="F155" s="20" t="s">
        <v>507</v>
      </c>
      <c r="G155" s="8" t="str">
        <f t="shared" si="2"/>
        <v>BRANDNER MELINDA</v>
      </c>
    </row>
    <row r="156" spans="1:7" x14ac:dyDescent="0.25">
      <c r="A156" s="8">
        <v>42842.670520833337</v>
      </c>
      <c r="B156" s="20" t="s">
        <v>610</v>
      </c>
      <c r="C156" s="20" t="s">
        <v>775</v>
      </c>
      <c r="D156" s="146">
        <v>1810000</v>
      </c>
      <c r="E156" s="20" t="s">
        <v>393</v>
      </c>
      <c r="F156" s="20" t="s">
        <v>193</v>
      </c>
      <c r="G156" s="8" t="str">
        <f t="shared" si="2"/>
        <v>NEWELL JAMES</v>
      </c>
    </row>
    <row r="157" spans="1:7" x14ac:dyDescent="0.25">
      <c r="A157" s="8">
        <v>42842.671550925923</v>
      </c>
      <c r="B157" s="20" t="s">
        <v>410</v>
      </c>
      <c r="C157" s="20" t="s">
        <v>776</v>
      </c>
      <c r="D157" s="146">
        <v>2470000</v>
      </c>
      <c r="E157" s="20" t="s">
        <v>555</v>
      </c>
      <c r="F157" s="20" t="s">
        <v>556</v>
      </c>
      <c r="G157" s="8" t="str">
        <f t="shared" si="2"/>
        <v>ROMERO CHAD</v>
      </c>
    </row>
    <row r="158" spans="1:7" x14ac:dyDescent="0.25">
      <c r="A158" s="8">
        <v>42842.674409722225</v>
      </c>
      <c r="B158" s="20" t="s">
        <v>655</v>
      </c>
      <c r="C158" s="20" t="s">
        <v>777</v>
      </c>
      <c r="D158" s="146">
        <v>880000</v>
      </c>
      <c r="E158" s="20" t="s">
        <v>519</v>
      </c>
      <c r="F158" s="20" t="s">
        <v>196</v>
      </c>
      <c r="G158" s="8" t="str">
        <f t="shared" si="2"/>
        <v>STEWART MICHAEL</v>
      </c>
    </row>
    <row r="159" spans="1:7" x14ac:dyDescent="0.25">
      <c r="A159" s="8">
        <v>42842.679791666669</v>
      </c>
      <c r="B159" s="20" t="s">
        <v>554</v>
      </c>
      <c r="C159" s="20" t="s">
        <v>778</v>
      </c>
      <c r="D159" s="146">
        <v>1300000</v>
      </c>
      <c r="E159" s="20" t="s">
        <v>520</v>
      </c>
      <c r="F159" s="20" t="s">
        <v>521</v>
      </c>
      <c r="G159" s="8" t="str">
        <f t="shared" si="2"/>
        <v>LEVIN SCOTT</v>
      </c>
    </row>
    <row r="160" spans="1:7" x14ac:dyDescent="0.25">
      <c r="A160" s="8">
        <v>42842.683136574073</v>
      </c>
      <c r="B160" s="20" t="s">
        <v>488</v>
      </c>
      <c r="C160" s="20" t="s">
        <v>623</v>
      </c>
      <c r="D160" s="146">
        <v>2560000</v>
      </c>
      <c r="E160" s="20" t="s">
        <v>733</v>
      </c>
      <c r="F160" s="20" t="s">
        <v>734</v>
      </c>
      <c r="G160" s="8" t="str">
        <f t="shared" si="2"/>
        <v>MACDONALD THOMAS</v>
      </c>
    </row>
    <row r="161" spans="1:7" x14ac:dyDescent="0.25">
      <c r="A161" s="8">
        <v>42842.685115740744</v>
      </c>
      <c r="B161" s="20" t="s">
        <v>456</v>
      </c>
      <c r="C161" s="20" t="s">
        <v>779</v>
      </c>
      <c r="D161" s="146">
        <v>920000</v>
      </c>
      <c r="E161" s="20" t="s">
        <v>515</v>
      </c>
      <c r="F161" s="20" t="s">
        <v>196</v>
      </c>
      <c r="G161" s="8" t="str">
        <f t="shared" si="2"/>
        <v>DAVIS MICHAEL</v>
      </c>
    </row>
    <row r="162" spans="1:7" x14ac:dyDescent="0.25">
      <c r="A162" s="8">
        <v>42842.685879629629</v>
      </c>
      <c r="B162" s="20" t="s">
        <v>471</v>
      </c>
      <c r="C162" s="20" t="s">
        <v>780</v>
      </c>
      <c r="D162" s="146">
        <v>1810000</v>
      </c>
      <c r="E162" s="20" t="s">
        <v>393</v>
      </c>
      <c r="F162" s="20" t="s">
        <v>193</v>
      </c>
      <c r="G162" s="8" t="str">
        <f t="shared" si="2"/>
        <v>NEWELL JAMES</v>
      </c>
    </row>
    <row r="163" spans="1:7" x14ac:dyDescent="0.25">
      <c r="A163" s="8">
        <v>42842.691724537035</v>
      </c>
      <c r="B163" s="20" t="s">
        <v>553</v>
      </c>
      <c r="C163" s="20" t="s">
        <v>624</v>
      </c>
      <c r="D163" s="146">
        <v>1300000</v>
      </c>
      <c r="E163" s="20" t="s">
        <v>520</v>
      </c>
      <c r="F163" s="20" t="s">
        <v>521</v>
      </c>
      <c r="G163" s="8" t="str">
        <f t="shared" si="2"/>
        <v>LEVIN SCOTT</v>
      </c>
    </row>
    <row r="164" spans="1:7" x14ac:dyDescent="0.25">
      <c r="A164" s="8">
        <v>42842.692685185182</v>
      </c>
      <c r="B164" s="20" t="s">
        <v>605</v>
      </c>
      <c r="C164" s="20" t="s">
        <v>781</v>
      </c>
      <c r="D164" s="146">
        <v>1180000</v>
      </c>
      <c r="E164" s="20" t="s">
        <v>738</v>
      </c>
      <c r="F164" s="20" t="s">
        <v>739</v>
      </c>
      <c r="G164" s="8" t="str">
        <f t="shared" si="2"/>
        <v>LEVERE CRAIG</v>
      </c>
    </row>
    <row r="165" spans="1:7" x14ac:dyDescent="0.25">
      <c r="A165" s="8">
        <v>42842.696319444447</v>
      </c>
      <c r="B165" s="20" t="s">
        <v>371</v>
      </c>
      <c r="C165" s="20" t="s">
        <v>782</v>
      </c>
      <c r="D165" s="146">
        <v>930000</v>
      </c>
      <c r="E165" s="20" t="s">
        <v>726</v>
      </c>
      <c r="F165" s="20" t="s">
        <v>727</v>
      </c>
      <c r="G165" s="8" t="str">
        <f t="shared" si="2"/>
        <v>CLARK KATHLEEN</v>
      </c>
    </row>
    <row r="166" spans="1:7" x14ac:dyDescent="0.25">
      <c r="A166" s="8">
        <v>42842.702557870369</v>
      </c>
      <c r="B166" s="20" t="s">
        <v>498</v>
      </c>
      <c r="C166" s="20" t="s">
        <v>783</v>
      </c>
      <c r="D166" s="146">
        <v>2360000</v>
      </c>
      <c r="E166" s="20" t="s">
        <v>506</v>
      </c>
      <c r="F166" s="20" t="s">
        <v>507</v>
      </c>
      <c r="G166" s="8" t="str">
        <f t="shared" si="2"/>
        <v>BRANDNER MELINDA</v>
      </c>
    </row>
    <row r="167" spans="1:7" x14ac:dyDescent="0.25">
      <c r="A167" s="8">
        <v>42842.70585648148</v>
      </c>
      <c r="B167" s="20" t="s">
        <v>375</v>
      </c>
      <c r="C167" s="20" t="s">
        <v>784</v>
      </c>
      <c r="D167" s="146">
        <v>2470000</v>
      </c>
      <c r="E167" s="20" t="s">
        <v>555</v>
      </c>
      <c r="F167" s="20" t="s">
        <v>556</v>
      </c>
      <c r="G167" s="8" t="str">
        <f t="shared" si="2"/>
        <v>ROMERO CHAD</v>
      </c>
    </row>
    <row r="168" spans="1:7" x14ac:dyDescent="0.25">
      <c r="A168" s="8">
        <v>42842.712106481478</v>
      </c>
      <c r="B168" s="20" t="s">
        <v>610</v>
      </c>
      <c r="C168" s="20" t="s">
        <v>785</v>
      </c>
      <c r="D168" s="146">
        <v>1810000</v>
      </c>
      <c r="E168" s="20" t="s">
        <v>393</v>
      </c>
      <c r="F168" s="20" t="s">
        <v>193</v>
      </c>
      <c r="G168" s="8" t="str">
        <f t="shared" si="2"/>
        <v>NEWELL JAMES</v>
      </c>
    </row>
    <row r="169" spans="1:7" x14ac:dyDescent="0.25">
      <c r="A169" s="8">
        <v>42842.713263888887</v>
      </c>
      <c r="B169" s="20" t="s">
        <v>374</v>
      </c>
      <c r="C169" s="20" t="s">
        <v>786</v>
      </c>
      <c r="D169" s="146">
        <v>880000</v>
      </c>
      <c r="E169" s="20" t="s">
        <v>519</v>
      </c>
      <c r="F169" s="20" t="s">
        <v>196</v>
      </c>
      <c r="G169" s="8" t="str">
        <f t="shared" si="2"/>
        <v>STEWART MICHAEL</v>
      </c>
    </row>
    <row r="170" spans="1:7" x14ac:dyDescent="0.25">
      <c r="A170" s="8">
        <v>42842.717835648145</v>
      </c>
      <c r="B170" s="20" t="s">
        <v>489</v>
      </c>
      <c r="C170" s="20" t="s">
        <v>787</v>
      </c>
      <c r="D170" s="146">
        <v>1800000</v>
      </c>
      <c r="E170" s="20" t="s">
        <v>391</v>
      </c>
      <c r="F170" s="20" t="s">
        <v>392</v>
      </c>
      <c r="G170" s="8" t="str">
        <f t="shared" si="2"/>
        <v>CHANDLER KELVIN</v>
      </c>
    </row>
    <row r="171" spans="1:7" x14ac:dyDescent="0.25">
      <c r="A171" s="8">
        <v>42842.721030092594</v>
      </c>
      <c r="B171" s="20" t="s">
        <v>554</v>
      </c>
      <c r="C171" s="20" t="s">
        <v>788</v>
      </c>
      <c r="D171" s="146">
        <v>1300000</v>
      </c>
      <c r="E171" s="20" t="s">
        <v>520</v>
      </c>
      <c r="F171" s="20" t="s">
        <v>521</v>
      </c>
      <c r="G171" s="8" t="str">
        <f t="shared" si="2"/>
        <v>LEVIN SCOTT</v>
      </c>
    </row>
    <row r="172" spans="1:7" x14ac:dyDescent="0.25">
      <c r="A172" s="8">
        <v>42842.723101851851</v>
      </c>
      <c r="B172" s="20" t="s">
        <v>547</v>
      </c>
      <c r="C172" s="20" t="s">
        <v>627</v>
      </c>
      <c r="D172" s="146">
        <v>2450000</v>
      </c>
      <c r="E172" s="20" t="s">
        <v>723</v>
      </c>
      <c r="F172" s="20" t="s">
        <v>724</v>
      </c>
      <c r="G172" s="8" t="str">
        <f t="shared" si="2"/>
        <v>NELSON ARIANE</v>
      </c>
    </row>
    <row r="173" spans="1:7" x14ac:dyDescent="0.25">
      <c r="A173" s="8">
        <v>42842.724247685182</v>
      </c>
      <c r="B173" s="20" t="s">
        <v>424</v>
      </c>
      <c r="C173" s="20" t="s">
        <v>789</v>
      </c>
      <c r="D173" s="146">
        <v>920000</v>
      </c>
      <c r="E173" s="20" t="s">
        <v>515</v>
      </c>
      <c r="F173" s="20" t="s">
        <v>196</v>
      </c>
      <c r="G173" s="8" t="str">
        <f t="shared" si="2"/>
        <v>DAVIS MICHAEL</v>
      </c>
    </row>
    <row r="174" spans="1:7" x14ac:dyDescent="0.25">
      <c r="A174" s="8">
        <v>42842.726273148146</v>
      </c>
      <c r="B174" s="20" t="s">
        <v>613</v>
      </c>
      <c r="C174" s="20" t="s">
        <v>625</v>
      </c>
      <c r="D174" s="146">
        <v>2560000</v>
      </c>
      <c r="E174" s="20" t="s">
        <v>733</v>
      </c>
      <c r="F174" s="20" t="s">
        <v>734</v>
      </c>
      <c r="G174" s="8" t="str">
        <f t="shared" si="2"/>
        <v>MACDONALD THOMAS</v>
      </c>
    </row>
    <row r="175" spans="1:7" x14ac:dyDescent="0.25">
      <c r="A175" s="8">
        <v>42842.728634259256</v>
      </c>
      <c r="B175" s="20" t="s">
        <v>471</v>
      </c>
      <c r="C175" s="20" t="s">
        <v>790</v>
      </c>
      <c r="D175" s="146">
        <v>1810000</v>
      </c>
      <c r="E175" s="20" t="s">
        <v>393</v>
      </c>
      <c r="F175" s="20" t="s">
        <v>193</v>
      </c>
      <c r="G175" s="8" t="str">
        <f t="shared" si="2"/>
        <v>NEWELL JAMES</v>
      </c>
    </row>
    <row r="176" spans="1:7" x14ac:dyDescent="0.25">
      <c r="A176" s="8">
        <v>42842.733680555553</v>
      </c>
      <c r="B176" s="20" t="s">
        <v>372</v>
      </c>
      <c r="C176" s="20" t="s">
        <v>626</v>
      </c>
      <c r="D176" s="146">
        <v>930000</v>
      </c>
      <c r="E176" s="20" t="s">
        <v>726</v>
      </c>
      <c r="F176" s="20" t="s">
        <v>727</v>
      </c>
      <c r="G176" s="8" t="str">
        <f t="shared" si="2"/>
        <v>CLARK KATHLEEN</v>
      </c>
    </row>
    <row r="177" spans="1:7" x14ac:dyDescent="0.25">
      <c r="A177" s="8">
        <v>42842.733726851853</v>
      </c>
      <c r="B177" s="20" t="s">
        <v>553</v>
      </c>
      <c r="C177" s="20" t="s">
        <v>628</v>
      </c>
      <c r="D177" s="146">
        <v>1300000</v>
      </c>
      <c r="E177" s="20" t="s">
        <v>520</v>
      </c>
      <c r="F177" s="20" t="s">
        <v>521</v>
      </c>
      <c r="G177" s="8" t="str">
        <f t="shared" si="2"/>
        <v>LEVIN SCOTT</v>
      </c>
    </row>
    <row r="178" spans="1:7" x14ac:dyDescent="0.25">
      <c r="A178" s="8">
        <v>42842.734942129631</v>
      </c>
      <c r="B178" s="20" t="s">
        <v>410</v>
      </c>
      <c r="C178" s="20" t="s">
        <v>629</v>
      </c>
      <c r="D178" s="146">
        <v>2470000</v>
      </c>
      <c r="E178" s="20" t="s">
        <v>555</v>
      </c>
      <c r="F178" s="20" t="s">
        <v>556</v>
      </c>
      <c r="G178" s="8" t="str">
        <f t="shared" si="2"/>
        <v>ROMERO CHAD</v>
      </c>
    </row>
    <row r="179" spans="1:7" x14ac:dyDescent="0.25">
      <c r="A179" s="8">
        <v>42842.739652777775</v>
      </c>
      <c r="B179" s="20" t="s">
        <v>501</v>
      </c>
      <c r="C179" s="20" t="s">
        <v>791</v>
      </c>
      <c r="D179" s="146">
        <v>2230000</v>
      </c>
      <c r="E179" s="20" t="s">
        <v>378</v>
      </c>
      <c r="F179" s="20" t="s">
        <v>196</v>
      </c>
      <c r="G179" s="8" t="str">
        <f t="shared" si="2"/>
        <v>SMITH MICHAEL</v>
      </c>
    </row>
    <row r="180" spans="1:7" x14ac:dyDescent="0.25">
      <c r="A180" s="8">
        <v>42842.741203703707</v>
      </c>
      <c r="B180" s="20" t="s">
        <v>372</v>
      </c>
      <c r="C180" s="20" t="s">
        <v>626</v>
      </c>
      <c r="D180" s="146">
        <v>930000</v>
      </c>
      <c r="E180" s="20" t="s">
        <v>726</v>
      </c>
      <c r="F180" s="20" t="s">
        <v>727</v>
      </c>
      <c r="G180" s="8" t="str">
        <f t="shared" si="2"/>
        <v>CLARK KATHLEEN</v>
      </c>
    </row>
    <row r="181" spans="1:7" x14ac:dyDescent="0.25">
      <c r="A181" s="8">
        <v>42842.741805555554</v>
      </c>
      <c r="B181" s="20" t="s">
        <v>499</v>
      </c>
      <c r="C181" s="20" t="s">
        <v>792</v>
      </c>
      <c r="D181" s="146">
        <v>2610000</v>
      </c>
      <c r="E181" s="20" t="s">
        <v>557</v>
      </c>
      <c r="F181" s="20" t="s">
        <v>558</v>
      </c>
      <c r="G181" s="8" t="str">
        <f t="shared" si="2"/>
        <v>MAGEE KENYA</v>
      </c>
    </row>
    <row r="182" spans="1:7" x14ac:dyDescent="0.25">
      <c r="A182" s="8">
        <v>42842.743472222224</v>
      </c>
      <c r="B182" s="20" t="s">
        <v>499</v>
      </c>
      <c r="C182" s="20" t="s">
        <v>792</v>
      </c>
      <c r="D182" s="146">
        <v>2610000</v>
      </c>
      <c r="E182" s="20" t="s">
        <v>557</v>
      </c>
      <c r="F182" s="20" t="s">
        <v>558</v>
      </c>
      <c r="G182" s="8" t="str">
        <f t="shared" si="2"/>
        <v>MAGEE KENYA</v>
      </c>
    </row>
    <row r="183" spans="1:7" x14ac:dyDescent="0.25">
      <c r="A183" s="8">
        <v>42842.74459490741</v>
      </c>
      <c r="B183" s="20" t="s">
        <v>499</v>
      </c>
      <c r="C183" s="20" t="s">
        <v>792</v>
      </c>
      <c r="D183" s="146">
        <v>2610000</v>
      </c>
      <c r="E183" s="20" t="s">
        <v>557</v>
      </c>
      <c r="F183" s="20" t="s">
        <v>558</v>
      </c>
      <c r="G183" s="8" t="str">
        <f t="shared" si="2"/>
        <v>MAGEE KENYA</v>
      </c>
    </row>
    <row r="184" spans="1:7" x14ac:dyDescent="0.25">
      <c r="A184" s="8">
        <v>42842.748888888891</v>
      </c>
      <c r="B184" s="20" t="s">
        <v>655</v>
      </c>
      <c r="C184" s="20" t="s">
        <v>793</v>
      </c>
      <c r="D184" s="146">
        <v>2360000</v>
      </c>
      <c r="E184" s="20" t="s">
        <v>506</v>
      </c>
      <c r="F184" s="20" t="s">
        <v>507</v>
      </c>
      <c r="G184" s="8" t="str">
        <f t="shared" si="2"/>
        <v>BRANDNER MELINDA</v>
      </c>
    </row>
    <row r="185" spans="1:7" x14ac:dyDescent="0.25">
      <c r="A185" s="8">
        <v>42842.753506944442</v>
      </c>
      <c r="B185" s="20" t="s">
        <v>372</v>
      </c>
      <c r="C185" s="20" t="s">
        <v>626</v>
      </c>
      <c r="D185" s="146">
        <v>930000</v>
      </c>
      <c r="E185" s="20" t="s">
        <v>726</v>
      </c>
      <c r="F185" s="20" t="s">
        <v>727</v>
      </c>
      <c r="G185" s="8" t="str">
        <f t="shared" si="2"/>
        <v>CLARK KATHLEEN</v>
      </c>
    </row>
    <row r="186" spans="1:7" x14ac:dyDescent="0.25">
      <c r="A186" s="8">
        <v>42842.754490740743</v>
      </c>
      <c r="B186" s="20" t="s">
        <v>610</v>
      </c>
      <c r="C186" s="20" t="s">
        <v>794</v>
      </c>
      <c r="D186" s="146">
        <v>1810000</v>
      </c>
      <c r="E186" s="20" t="s">
        <v>393</v>
      </c>
      <c r="F186" s="20" t="s">
        <v>193</v>
      </c>
      <c r="G186" s="8" t="str">
        <f t="shared" si="2"/>
        <v>NEWELL JAMES</v>
      </c>
    </row>
    <row r="187" spans="1:7" x14ac:dyDescent="0.25">
      <c r="A187" s="8">
        <v>42842.757060185184</v>
      </c>
      <c r="B187" s="20" t="s">
        <v>488</v>
      </c>
      <c r="C187" s="20" t="s">
        <v>795</v>
      </c>
      <c r="D187" s="146">
        <v>1800000</v>
      </c>
      <c r="E187" s="20" t="s">
        <v>391</v>
      </c>
      <c r="F187" s="20" t="s">
        <v>392</v>
      </c>
      <c r="G187" s="8" t="str">
        <f t="shared" si="2"/>
        <v>CHANDLER KELVIN</v>
      </c>
    </row>
    <row r="188" spans="1:7" x14ac:dyDescent="0.25">
      <c r="A188" s="8">
        <v>42842.757418981484</v>
      </c>
      <c r="B188" s="20" t="s">
        <v>456</v>
      </c>
      <c r="C188" s="20" t="s">
        <v>796</v>
      </c>
      <c r="D188" s="146">
        <v>2000000</v>
      </c>
      <c r="E188" s="20" t="s">
        <v>373</v>
      </c>
      <c r="F188" s="20" t="s">
        <v>193</v>
      </c>
      <c r="G188" s="8" t="str">
        <f t="shared" si="2"/>
        <v>STAMBAUGH JAMES</v>
      </c>
    </row>
    <row r="189" spans="1:7" x14ac:dyDescent="0.25">
      <c r="A189" s="8">
        <v>42842.762835648151</v>
      </c>
      <c r="B189" s="20" t="s">
        <v>554</v>
      </c>
      <c r="C189" s="20" t="s">
        <v>797</v>
      </c>
      <c r="D189" s="146">
        <v>1300000</v>
      </c>
      <c r="E189" s="20" t="s">
        <v>520</v>
      </c>
      <c r="F189" s="20" t="s">
        <v>521</v>
      </c>
      <c r="G189" s="8" t="str">
        <f t="shared" si="2"/>
        <v>LEVIN SCOTT</v>
      </c>
    </row>
    <row r="190" spans="1:7" x14ac:dyDescent="0.25">
      <c r="A190" s="8">
        <v>42842.765219907407</v>
      </c>
      <c r="B190" s="20" t="s">
        <v>605</v>
      </c>
      <c r="C190" s="20" t="s">
        <v>630</v>
      </c>
      <c r="D190" s="146">
        <v>2560000</v>
      </c>
      <c r="E190" s="20" t="s">
        <v>733</v>
      </c>
      <c r="F190" s="20" t="s">
        <v>734</v>
      </c>
      <c r="G190" s="8" t="str">
        <f t="shared" si="2"/>
        <v>MACDONALD THOMAS</v>
      </c>
    </row>
    <row r="191" spans="1:7" x14ac:dyDescent="0.25">
      <c r="A191" s="8">
        <v>42842.76871527778</v>
      </c>
      <c r="B191" s="20" t="s">
        <v>497</v>
      </c>
      <c r="C191" s="20" t="s">
        <v>798</v>
      </c>
      <c r="D191" s="146">
        <v>1740000</v>
      </c>
      <c r="E191" s="20" t="s">
        <v>394</v>
      </c>
      <c r="F191" s="20" t="s">
        <v>395</v>
      </c>
      <c r="G191" s="8" t="str">
        <f t="shared" si="2"/>
        <v>STORY SAMANTHA</v>
      </c>
    </row>
    <row r="192" spans="1:7" x14ac:dyDescent="0.25">
      <c r="A192" s="8">
        <v>42842.770335648151</v>
      </c>
      <c r="B192" s="20" t="s">
        <v>471</v>
      </c>
      <c r="C192" s="20" t="s">
        <v>799</v>
      </c>
      <c r="D192" s="146">
        <v>1810000</v>
      </c>
      <c r="E192" s="20" t="s">
        <v>393</v>
      </c>
      <c r="F192" s="20" t="s">
        <v>193</v>
      </c>
      <c r="G192" s="8" t="str">
        <f t="shared" si="2"/>
        <v>NEWELL JAMES</v>
      </c>
    </row>
    <row r="193" spans="1:7" x14ac:dyDescent="0.25">
      <c r="A193" s="8">
        <v>42842.771747685183</v>
      </c>
      <c r="B193" s="20" t="s">
        <v>498</v>
      </c>
      <c r="C193" s="20" t="s">
        <v>800</v>
      </c>
      <c r="D193" s="146">
        <v>2230000</v>
      </c>
      <c r="E193" s="20" t="s">
        <v>378</v>
      </c>
      <c r="F193" s="20" t="s">
        <v>196</v>
      </c>
      <c r="G193" s="8" t="str">
        <f t="shared" si="2"/>
        <v>SMITH MICHAEL</v>
      </c>
    </row>
    <row r="194" spans="1:7" x14ac:dyDescent="0.25">
      <c r="A194" s="8">
        <v>42842.775370370371</v>
      </c>
      <c r="B194" s="20" t="s">
        <v>553</v>
      </c>
      <c r="C194" s="20" t="s">
        <v>801</v>
      </c>
      <c r="D194" s="146">
        <v>1300000</v>
      </c>
      <c r="E194" s="20" t="s">
        <v>520</v>
      </c>
      <c r="F194" s="20" t="s">
        <v>521</v>
      </c>
      <c r="G194" s="8" t="str">
        <f t="shared" si="2"/>
        <v>LEVIN SCOTT</v>
      </c>
    </row>
    <row r="195" spans="1:7" x14ac:dyDescent="0.25">
      <c r="A195" s="8">
        <v>42842.779826388891</v>
      </c>
      <c r="B195" s="20" t="s">
        <v>375</v>
      </c>
      <c r="C195" s="20" t="s">
        <v>802</v>
      </c>
      <c r="D195" s="146">
        <v>2470000</v>
      </c>
      <c r="E195" s="20" t="s">
        <v>555</v>
      </c>
      <c r="F195" s="20" t="s">
        <v>556</v>
      </c>
      <c r="G195" s="8" t="str">
        <f t="shared" ref="G195:G258" si="3">E195&amp;" "&amp;F195</f>
        <v>ROMERO CHAD</v>
      </c>
    </row>
    <row r="196" spans="1:7" x14ac:dyDescent="0.25">
      <c r="A196" s="8">
        <v>42842.785520833335</v>
      </c>
      <c r="B196" s="20" t="s">
        <v>374</v>
      </c>
      <c r="C196" s="20" t="s">
        <v>803</v>
      </c>
      <c r="D196" s="146">
        <v>2360000</v>
      </c>
      <c r="E196" s="20" t="s">
        <v>506</v>
      </c>
      <c r="F196" s="20" t="s">
        <v>507</v>
      </c>
      <c r="G196" s="8" t="str">
        <f t="shared" si="3"/>
        <v>BRANDNER MELINDA</v>
      </c>
    </row>
    <row r="197" spans="1:7" x14ac:dyDescent="0.25">
      <c r="A197" s="8">
        <v>42842.78765046296</v>
      </c>
      <c r="B197" s="20" t="s">
        <v>371</v>
      </c>
      <c r="C197" s="20" t="s">
        <v>804</v>
      </c>
      <c r="D197" s="146">
        <v>2610000</v>
      </c>
      <c r="E197" s="20" t="s">
        <v>557</v>
      </c>
      <c r="F197" s="20" t="s">
        <v>558</v>
      </c>
      <c r="G197" s="8" t="str">
        <f t="shared" si="3"/>
        <v>MAGEE KENYA</v>
      </c>
    </row>
    <row r="198" spans="1:7" x14ac:dyDescent="0.25">
      <c r="A198" s="8">
        <v>42842.790902777779</v>
      </c>
      <c r="B198" s="20" t="s">
        <v>372</v>
      </c>
      <c r="C198" s="20" t="s">
        <v>805</v>
      </c>
      <c r="D198" s="146">
        <v>2610000</v>
      </c>
      <c r="E198" s="20" t="s">
        <v>557</v>
      </c>
      <c r="F198" s="20" t="s">
        <v>558</v>
      </c>
      <c r="G198" s="8" t="str">
        <f t="shared" si="3"/>
        <v>MAGEE KENYA</v>
      </c>
    </row>
    <row r="199" spans="1:7" x14ac:dyDescent="0.25">
      <c r="A199" s="8">
        <v>42842.791562500002</v>
      </c>
      <c r="B199" s="20" t="s">
        <v>489</v>
      </c>
      <c r="C199" s="20" t="s">
        <v>806</v>
      </c>
      <c r="D199" s="146">
        <v>1800000</v>
      </c>
      <c r="E199" s="20" t="s">
        <v>391</v>
      </c>
      <c r="F199" s="20" t="s">
        <v>392</v>
      </c>
      <c r="G199" s="8" t="str">
        <f t="shared" si="3"/>
        <v>CHANDLER KELVIN</v>
      </c>
    </row>
    <row r="200" spans="1:7" x14ac:dyDescent="0.25">
      <c r="A200" s="8">
        <v>42842.79582175926</v>
      </c>
      <c r="B200" s="20" t="s">
        <v>610</v>
      </c>
      <c r="C200" s="20" t="s">
        <v>807</v>
      </c>
      <c r="D200" s="146">
        <v>1810000</v>
      </c>
      <c r="E200" s="20" t="s">
        <v>393</v>
      </c>
      <c r="F200" s="20" t="s">
        <v>193</v>
      </c>
      <c r="G200" s="8" t="str">
        <f t="shared" si="3"/>
        <v>NEWELL JAMES</v>
      </c>
    </row>
    <row r="201" spans="1:7" x14ac:dyDescent="0.25">
      <c r="A201" s="8">
        <v>42842.796076388891</v>
      </c>
      <c r="B201" s="20" t="s">
        <v>424</v>
      </c>
      <c r="C201" s="20" t="s">
        <v>631</v>
      </c>
      <c r="D201" s="146">
        <v>2000000</v>
      </c>
      <c r="E201" s="20" t="s">
        <v>373</v>
      </c>
      <c r="F201" s="20" t="s">
        <v>193</v>
      </c>
      <c r="G201" s="8" t="str">
        <f t="shared" si="3"/>
        <v>STAMBAUGH JAMES</v>
      </c>
    </row>
    <row r="202" spans="1:7" x14ac:dyDescent="0.25">
      <c r="A202" s="26">
        <v>42842.798796296294</v>
      </c>
      <c r="B202" s="20" t="s">
        <v>613</v>
      </c>
      <c r="C202" s="20" t="s">
        <v>808</v>
      </c>
      <c r="D202" s="146">
        <v>2560000</v>
      </c>
      <c r="E202" s="20" t="s">
        <v>733</v>
      </c>
      <c r="F202" s="20" t="s">
        <v>734</v>
      </c>
      <c r="G202" s="8" t="str">
        <f t="shared" si="3"/>
        <v>MACDONALD THOMAS</v>
      </c>
    </row>
    <row r="203" spans="1:7" x14ac:dyDescent="0.25">
      <c r="A203" s="8">
        <v>42842.800104166665</v>
      </c>
      <c r="B203" s="20" t="s">
        <v>554</v>
      </c>
      <c r="C203" s="20" t="s">
        <v>809</v>
      </c>
      <c r="D203" s="146">
        <v>1300000</v>
      </c>
      <c r="E203" s="20" t="s">
        <v>520</v>
      </c>
      <c r="F203" s="20" t="s">
        <v>521</v>
      </c>
      <c r="G203" s="8" t="str">
        <f t="shared" si="3"/>
        <v>LEVIN SCOTT</v>
      </c>
    </row>
    <row r="204" spans="1:7" x14ac:dyDescent="0.25">
      <c r="A204" s="8">
        <v>42842.805034722223</v>
      </c>
      <c r="B204" s="20" t="s">
        <v>499</v>
      </c>
      <c r="C204" s="20" t="s">
        <v>810</v>
      </c>
      <c r="D204" s="146">
        <v>1740000</v>
      </c>
      <c r="E204" s="20" t="s">
        <v>394</v>
      </c>
      <c r="F204" s="20" t="s">
        <v>395</v>
      </c>
      <c r="G204" s="8" t="str">
        <f t="shared" si="3"/>
        <v>STORY SAMANTHA</v>
      </c>
    </row>
    <row r="205" spans="1:7" x14ac:dyDescent="0.25">
      <c r="A205" s="8">
        <v>42842.807615740741</v>
      </c>
      <c r="B205" s="20" t="s">
        <v>501</v>
      </c>
      <c r="C205" s="20" t="s">
        <v>632</v>
      </c>
      <c r="D205" s="146">
        <v>2230000</v>
      </c>
      <c r="E205" s="20" t="s">
        <v>378</v>
      </c>
      <c r="F205" s="20" t="s">
        <v>196</v>
      </c>
      <c r="G205" s="8" t="str">
        <f t="shared" si="3"/>
        <v>SMITH MICHAEL</v>
      </c>
    </row>
    <row r="206" spans="1:7" x14ac:dyDescent="0.25">
      <c r="A206" s="8">
        <v>42842.816701388889</v>
      </c>
      <c r="B206" s="20" t="s">
        <v>553</v>
      </c>
      <c r="C206" s="20" t="s">
        <v>811</v>
      </c>
      <c r="D206" s="146">
        <v>1300000</v>
      </c>
      <c r="E206" s="20" t="s">
        <v>520</v>
      </c>
      <c r="F206" s="20" t="s">
        <v>521</v>
      </c>
      <c r="G206" s="8" t="str">
        <f t="shared" si="3"/>
        <v>LEVIN SCOTT</v>
      </c>
    </row>
    <row r="207" spans="1:7" x14ac:dyDescent="0.25">
      <c r="A207" s="8">
        <v>42842.828217592592</v>
      </c>
      <c r="B207" s="20" t="s">
        <v>488</v>
      </c>
      <c r="C207" s="20" t="s">
        <v>812</v>
      </c>
      <c r="D207" s="146">
        <v>1800000</v>
      </c>
      <c r="E207" s="20" t="s">
        <v>391</v>
      </c>
      <c r="F207" s="20" t="s">
        <v>392</v>
      </c>
      <c r="G207" s="8" t="str">
        <f t="shared" si="3"/>
        <v>CHANDLER KELVIN</v>
      </c>
    </row>
    <row r="208" spans="1:7" x14ac:dyDescent="0.25">
      <c r="A208" s="8">
        <v>42842.829629629632</v>
      </c>
      <c r="B208" s="20" t="s">
        <v>456</v>
      </c>
      <c r="C208" s="20" t="s">
        <v>813</v>
      </c>
      <c r="D208" s="146">
        <v>2000000</v>
      </c>
      <c r="E208" s="20" t="s">
        <v>373</v>
      </c>
      <c r="F208" s="20" t="s">
        <v>193</v>
      </c>
      <c r="G208" s="8" t="str">
        <f t="shared" si="3"/>
        <v>STAMBAUGH JAMES</v>
      </c>
    </row>
    <row r="209" spans="1:7" x14ac:dyDescent="0.25">
      <c r="A209" s="8">
        <v>42842.830740740741</v>
      </c>
      <c r="B209" s="20" t="s">
        <v>371</v>
      </c>
      <c r="C209" s="20" t="s">
        <v>804</v>
      </c>
      <c r="D209" s="146">
        <v>2610000</v>
      </c>
      <c r="E209" s="20" t="s">
        <v>557</v>
      </c>
      <c r="F209" s="20" t="s">
        <v>558</v>
      </c>
      <c r="G209" s="8" t="str">
        <f t="shared" si="3"/>
        <v>MAGEE KENYA</v>
      </c>
    </row>
    <row r="210" spans="1:7" x14ac:dyDescent="0.25">
      <c r="A210" s="8">
        <v>42842.83902777778</v>
      </c>
      <c r="B210" s="20" t="s">
        <v>372</v>
      </c>
      <c r="C210" s="20" t="s">
        <v>805</v>
      </c>
      <c r="D210" s="146">
        <v>2610000</v>
      </c>
      <c r="E210" s="20" t="s">
        <v>557</v>
      </c>
      <c r="F210" s="20" t="s">
        <v>558</v>
      </c>
      <c r="G210" s="8" t="str">
        <f t="shared" si="3"/>
        <v>MAGEE KENYA</v>
      </c>
    </row>
    <row r="211" spans="1:7" x14ac:dyDescent="0.25">
      <c r="A211" s="8">
        <v>42842.842986111114</v>
      </c>
      <c r="B211" s="20" t="s">
        <v>498</v>
      </c>
      <c r="C211" s="20" t="s">
        <v>814</v>
      </c>
      <c r="D211" s="146">
        <v>2230000</v>
      </c>
      <c r="E211" s="20" t="s">
        <v>378</v>
      </c>
      <c r="F211" s="20" t="s">
        <v>196</v>
      </c>
      <c r="G211" s="8" t="str">
        <f t="shared" si="3"/>
        <v>SMITH MICHAEL</v>
      </c>
    </row>
    <row r="212" spans="1:7" x14ac:dyDescent="0.25">
      <c r="A212" s="8">
        <v>42842.845462962963</v>
      </c>
      <c r="B212" s="20" t="s">
        <v>497</v>
      </c>
      <c r="C212" s="20" t="s">
        <v>804</v>
      </c>
      <c r="D212" s="146">
        <v>2610000</v>
      </c>
      <c r="E212" s="20" t="s">
        <v>557</v>
      </c>
      <c r="F212" s="20" t="s">
        <v>558</v>
      </c>
      <c r="G212" s="8" t="str">
        <f t="shared" si="3"/>
        <v>MAGEE KENYA</v>
      </c>
    </row>
    <row r="213" spans="1:7" x14ac:dyDescent="0.25">
      <c r="A213" s="8">
        <v>42842.846099537041</v>
      </c>
      <c r="B213" s="20" t="s">
        <v>554</v>
      </c>
      <c r="C213" s="20" t="s">
        <v>815</v>
      </c>
      <c r="D213" s="146">
        <v>1300000</v>
      </c>
      <c r="E213" s="20" t="s">
        <v>520</v>
      </c>
      <c r="F213" s="20" t="s">
        <v>521</v>
      </c>
      <c r="G213" s="8" t="str">
        <f t="shared" si="3"/>
        <v>LEVIN SCOTT</v>
      </c>
    </row>
    <row r="214" spans="1:7" x14ac:dyDescent="0.25">
      <c r="A214" s="8">
        <v>42842.848090277781</v>
      </c>
      <c r="B214" s="20" t="s">
        <v>371</v>
      </c>
      <c r="C214" s="20" t="s">
        <v>816</v>
      </c>
      <c r="D214" s="146">
        <v>1740000</v>
      </c>
      <c r="E214" s="20" t="s">
        <v>394</v>
      </c>
      <c r="F214" s="20" t="s">
        <v>395</v>
      </c>
      <c r="G214" s="8" t="str">
        <f t="shared" si="3"/>
        <v>STORY SAMANTHA</v>
      </c>
    </row>
    <row r="215" spans="1:7" x14ac:dyDescent="0.25">
      <c r="A215" s="8">
        <v>42842.849212962959</v>
      </c>
      <c r="B215" s="20" t="s">
        <v>499</v>
      </c>
      <c r="C215" s="20" t="s">
        <v>805</v>
      </c>
      <c r="D215" s="146">
        <v>2610000</v>
      </c>
      <c r="E215" s="20" t="s">
        <v>557</v>
      </c>
      <c r="F215" s="20" t="s">
        <v>558</v>
      </c>
      <c r="G215" s="8" t="str">
        <f t="shared" si="3"/>
        <v>MAGEE KENYA</v>
      </c>
    </row>
    <row r="216" spans="1:7" x14ac:dyDescent="0.25">
      <c r="A216" s="8">
        <v>42842.858981481484</v>
      </c>
      <c r="B216" s="20" t="s">
        <v>553</v>
      </c>
      <c r="C216" s="20" t="s">
        <v>633</v>
      </c>
      <c r="D216" s="146">
        <v>1300000</v>
      </c>
      <c r="E216" s="20" t="s">
        <v>520</v>
      </c>
      <c r="F216" s="20" t="s">
        <v>521</v>
      </c>
      <c r="G216" s="8" t="str">
        <f t="shared" si="3"/>
        <v>LEVIN SCOTT</v>
      </c>
    </row>
    <row r="217" spans="1:7" x14ac:dyDescent="0.25">
      <c r="A217" s="8">
        <v>42842.866562499999</v>
      </c>
      <c r="B217" s="20" t="s">
        <v>424</v>
      </c>
      <c r="C217" s="20" t="s">
        <v>817</v>
      </c>
      <c r="D217" s="146">
        <v>2000000</v>
      </c>
      <c r="E217" s="20" t="s">
        <v>373</v>
      </c>
      <c r="F217" s="20" t="s">
        <v>193</v>
      </c>
      <c r="G217" s="8" t="str">
        <f t="shared" si="3"/>
        <v>STAMBAUGH JAMES</v>
      </c>
    </row>
    <row r="218" spans="1:7" x14ac:dyDescent="0.25">
      <c r="A218" s="8">
        <v>42842.874745370369</v>
      </c>
      <c r="B218" s="20" t="s">
        <v>554</v>
      </c>
      <c r="C218" s="20" t="s">
        <v>818</v>
      </c>
      <c r="D218" s="146">
        <v>1810000</v>
      </c>
      <c r="E218" s="20" t="s">
        <v>393</v>
      </c>
      <c r="F218" s="20" t="s">
        <v>193</v>
      </c>
      <c r="G218" s="8" t="str">
        <f t="shared" si="3"/>
        <v>NEWELL JAMES</v>
      </c>
    </row>
    <row r="219" spans="1:7" x14ac:dyDescent="0.25">
      <c r="A219" s="8">
        <v>42842.874861111108</v>
      </c>
      <c r="B219" s="20" t="s">
        <v>489</v>
      </c>
      <c r="C219" s="20" t="s">
        <v>819</v>
      </c>
      <c r="D219" s="146">
        <v>1800000</v>
      </c>
      <c r="E219" s="20" t="s">
        <v>391</v>
      </c>
      <c r="F219" s="20" t="s">
        <v>392</v>
      </c>
      <c r="G219" s="8" t="str">
        <f t="shared" si="3"/>
        <v>CHANDLER KELVIN</v>
      </c>
    </row>
    <row r="220" spans="1:7" x14ac:dyDescent="0.25">
      <c r="A220" s="8">
        <v>42842.884398148148</v>
      </c>
      <c r="B220" s="20" t="s">
        <v>501</v>
      </c>
      <c r="C220" s="20" t="s">
        <v>820</v>
      </c>
      <c r="D220" s="146">
        <v>2230000</v>
      </c>
      <c r="E220" s="20" t="s">
        <v>378</v>
      </c>
      <c r="F220" s="20" t="s">
        <v>196</v>
      </c>
      <c r="G220" s="8" t="str">
        <f t="shared" si="3"/>
        <v>SMITH MICHAEL</v>
      </c>
    </row>
    <row r="221" spans="1:7" x14ac:dyDescent="0.25">
      <c r="A221" s="8">
        <v>42842.887337962966</v>
      </c>
      <c r="B221" s="20" t="s">
        <v>372</v>
      </c>
      <c r="C221" s="20" t="s">
        <v>821</v>
      </c>
      <c r="D221" s="146">
        <v>1740000</v>
      </c>
      <c r="E221" s="20" t="s">
        <v>394</v>
      </c>
      <c r="F221" s="20" t="s">
        <v>395</v>
      </c>
      <c r="G221" s="8" t="str">
        <f t="shared" si="3"/>
        <v>STORY SAMANTHA</v>
      </c>
    </row>
    <row r="222" spans="1:7" x14ac:dyDescent="0.25">
      <c r="A222" s="8">
        <v>42842.900358796294</v>
      </c>
      <c r="B222" s="20" t="s">
        <v>553</v>
      </c>
      <c r="C222" s="20" t="s">
        <v>822</v>
      </c>
      <c r="D222" s="146">
        <v>1810000</v>
      </c>
      <c r="E222" s="20" t="s">
        <v>393</v>
      </c>
      <c r="F222" s="20" t="s">
        <v>193</v>
      </c>
      <c r="G222" s="8" t="str">
        <f t="shared" si="3"/>
        <v>NEWELL JAMES</v>
      </c>
    </row>
    <row r="223" spans="1:7" x14ac:dyDescent="0.25">
      <c r="A223" s="8">
        <v>42842.901423611111</v>
      </c>
      <c r="B223" s="20" t="s">
        <v>456</v>
      </c>
      <c r="C223" s="20" t="s">
        <v>823</v>
      </c>
      <c r="D223" s="146">
        <v>2000000</v>
      </c>
      <c r="E223" s="20" t="s">
        <v>373</v>
      </c>
      <c r="F223" s="20" t="s">
        <v>193</v>
      </c>
      <c r="G223" s="8" t="str">
        <f t="shared" si="3"/>
        <v>STAMBAUGH JAMES</v>
      </c>
    </row>
    <row r="224" spans="1:7" x14ac:dyDescent="0.25">
      <c r="A224" s="8">
        <v>42842.911724537036</v>
      </c>
      <c r="B224" t="s">
        <v>488</v>
      </c>
      <c r="C224" t="s">
        <v>824</v>
      </c>
      <c r="D224" s="146">
        <v>1800000</v>
      </c>
      <c r="E224" t="s">
        <v>391</v>
      </c>
      <c r="F224" s="20" t="s">
        <v>392</v>
      </c>
      <c r="G224" s="8" t="str">
        <f t="shared" si="3"/>
        <v>CHANDLER KELVIN</v>
      </c>
    </row>
    <row r="225" spans="1:7" x14ac:dyDescent="0.25">
      <c r="A225" s="8">
        <v>42842.914594907408</v>
      </c>
      <c r="B225" t="s">
        <v>554</v>
      </c>
      <c r="C225" t="s">
        <v>825</v>
      </c>
      <c r="D225" s="146">
        <v>1810000</v>
      </c>
      <c r="E225" t="s">
        <v>393</v>
      </c>
      <c r="F225" s="20" t="s">
        <v>193</v>
      </c>
      <c r="G225" s="8" t="str">
        <f t="shared" si="3"/>
        <v>NEWELL JAMES</v>
      </c>
    </row>
    <row r="226" spans="1:7" x14ac:dyDescent="0.25">
      <c r="A226" s="8">
        <v>42842.926655092589</v>
      </c>
      <c r="B226" t="s">
        <v>498</v>
      </c>
      <c r="C226" t="s">
        <v>826</v>
      </c>
      <c r="D226" s="146">
        <v>2230000</v>
      </c>
      <c r="E226" t="s">
        <v>378</v>
      </c>
      <c r="F226" s="20" t="s">
        <v>196</v>
      </c>
      <c r="G226" s="8" t="str">
        <f t="shared" si="3"/>
        <v>SMITH MICHAEL</v>
      </c>
    </row>
    <row r="227" spans="1:7" x14ac:dyDescent="0.25">
      <c r="A227" s="8">
        <v>42842.933622685188</v>
      </c>
      <c r="B227" t="s">
        <v>371</v>
      </c>
      <c r="C227" t="s">
        <v>827</v>
      </c>
      <c r="D227" s="146">
        <v>1740000</v>
      </c>
      <c r="E227" t="s">
        <v>394</v>
      </c>
      <c r="F227" s="20" t="s">
        <v>395</v>
      </c>
      <c r="G227" s="8" t="str">
        <f t="shared" si="3"/>
        <v>STORY SAMANTHA</v>
      </c>
    </row>
    <row r="228" spans="1:7" x14ac:dyDescent="0.25">
      <c r="A228" s="8">
        <v>42842.942395833335</v>
      </c>
      <c r="B228" t="s">
        <v>553</v>
      </c>
      <c r="C228" t="s">
        <v>828</v>
      </c>
      <c r="D228" s="146">
        <v>1810000</v>
      </c>
      <c r="E228" t="s">
        <v>393</v>
      </c>
      <c r="F228" s="20" t="s">
        <v>193</v>
      </c>
      <c r="G228" s="8" t="str">
        <f t="shared" si="3"/>
        <v>NEWELL JAMES</v>
      </c>
    </row>
    <row r="229" spans="1:7" x14ac:dyDescent="0.25">
      <c r="A229" s="8">
        <v>42842.953703703701</v>
      </c>
      <c r="B229" t="s">
        <v>424</v>
      </c>
      <c r="C229" t="s">
        <v>829</v>
      </c>
      <c r="D229" s="146">
        <v>2000000</v>
      </c>
      <c r="E229" t="s">
        <v>373</v>
      </c>
      <c r="F229" s="20" t="s">
        <v>193</v>
      </c>
      <c r="G229" s="8" t="str">
        <f t="shared" si="3"/>
        <v>STAMBAUGH JAMES</v>
      </c>
    </row>
    <row r="230" spans="1:7" x14ac:dyDescent="0.25">
      <c r="A230" s="8">
        <v>42842.955659722225</v>
      </c>
      <c r="B230" t="s">
        <v>489</v>
      </c>
      <c r="C230" t="s">
        <v>830</v>
      </c>
      <c r="D230" s="146">
        <v>1800000</v>
      </c>
      <c r="E230" t="s">
        <v>391</v>
      </c>
      <c r="F230" s="20" t="s">
        <v>392</v>
      </c>
      <c r="G230" s="8" t="str">
        <f t="shared" si="3"/>
        <v>CHANDLER KELVIN</v>
      </c>
    </row>
    <row r="231" spans="1:7" x14ac:dyDescent="0.25">
      <c r="A231" s="8">
        <v>42842.96775462963</v>
      </c>
      <c r="B231" t="s">
        <v>501</v>
      </c>
      <c r="C231" t="s">
        <v>831</v>
      </c>
      <c r="D231" s="146">
        <v>2230000</v>
      </c>
      <c r="E231" t="s">
        <v>378</v>
      </c>
      <c r="F231" s="20" t="s">
        <v>196</v>
      </c>
      <c r="G231" s="8" t="str">
        <f t="shared" si="3"/>
        <v>SMITH MICHAEL</v>
      </c>
    </row>
    <row r="232" spans="1:7" x14ac:dyDescent="0.25">
      <c r="A232" s="8">
        <v>42842.970960648148</v>
      </c>
      <c r="B232" t="s">
        <v>372</v>
      </c>
      <c r="C232" t="s">
        <v>832</v>
      </c>
      <c r="D232" s="146">
        <v>1740000</v>
      </c>
      <c r="E232" t="s">
        <v>394</v>
      </c>
      <c r="F232" s="20" t="s">
        <v>395</v>
      </c>
      <c r="G232" s="8" t="str">
        <f t="shared" si="3"/>
        <v>STORY SAMANTHA</v>
      </c>
    </row>
    <row r="233" spans="1:7" x14ac:dyDescent="0.25">
      <c r="A233" s="8">
        <v>42842.98474537037</v>
      </c>
      <c r="B233" t="s">
        <v>456</v>
      </c>
      <c r="C233" t="s">
        <v>833</v>
      </c>
      <c r="D233" s="146">
        <v>2000000</v>
      </c>
      <c r="E233" t="s">
        <v>373</v>
      </c>
      <c r="F233" s="20" t="s">
        <v>193</v>
      </c>
      <c r="G233" s="8" t="str">
        <f t="shared" si="3"/>
        <v>STAMBAUGH JAMES</v>
      </c>
    </row>
    <row r="234" spans="1:7" x14ac:dyDescent="0.25">
      <c r="A234" s="8">
        <v>42842.996030092596</v>
      </c>
      <c r="B234" t="s">
        <v>488</v>
      </c>
      <c r="C234" t="s">
        <v>834</v>
      </c>
      <c r="D234" s="146">
        <v>1800000</v>
      </c>
      <c r="E234" t="s">
        <v>391</v>
      </c>
      <c r="F234" s="20" t="s">
        <v>392</v>
      </c>
      <c r="G234" s="8" t="str">
        <f t="shared" si="3"/>
        <v>CHANDLER KELVIN</v>
      </c>
    </row>
    <row r="235" spans="1:7" x14ac:dyDescent="0.25">
      <c r="A235" s="8">
        <v>42843.004641203705</v>
      </c>
      <c r="B235" t="s">
        <v>456</v>
      </c>
      <c r="C235" t="s">
        <v>833</v>
      </c>
      <c r="D235" s="146">
        <v>2000000</v>
      </c>
      <c r="E235" t="s">
        <v>373</v>
      </c>
      <c r="F235" s="20" t="s">
        <v>193</v>
      </c>
      <c r="G235" s="8" t="str">
        <f t="shared" si="3"/>
        <v>STAMBAUGH JAMES</v>
      </c>
    </row>
    <row r="236" spans="1:7" x14ac:dyDescent="0.25">
      <c r="A236" s="8">
        <v>42843.007708333331</v>
      </c>
      <c r="B236" t="s">
        <v>498</v>
      </c>
      <c r="C236" t="s">
        <v>634</v>
      </c>
      <c r="D236" s="146">
        <v>2230000</v>
      </c>
      <c r="E236" t="s">
        <v>378</v>
      </c>
      <c r="F236" s="20" t="s">
        <v>196</v>
      </c>
      <c r="G236" s="8" t="str">
        <f t="shared" si="3"/>
        <v>SMITH MICHAEL</v>
      </c>
    </row>
    <row r="237" spans="1:7" x14ac:dyDescent="0.25">
      <c r="A237" s="8">
        <v>42843.010763888888</v>
      </c>
      <c r="B237" t="s">
        <v>371</v>
      </c>
      <c r="C237" t="s">
        <v>835</v>
      </c>
      <c r="D237" s="146">
        <v>1740000</v>
      </c>
      <c r="E237" t="s">
        <v>394</v>
      </c>
      <c r="F237" s="20" t="s">
        <v>395</v>
      </c>
      <c r="G237" s="8" t="str">
        <f t="shared" si="3"/>
        <v>STORY SAMANTHA</v>
      </c>
    </row>
    <row r="238" spans="1:7" x14ac:dyDescent="0.25">
      <c r="A238" s="8">
        <v>42843.028877314813</v>
      </c>
      <c r="B238" t="s">
        <v>489</v>
      </c>
      <c r="C238" t="s">
        <v>836</v>
      </c>
      <c r="D238" s="146">
        <v>1800000</v>
      </c>
      <c r="E238" t="s">
        <v>391</v>
      </c>
      <c r="F238" s="20" t="s">
        <v>392</v>
      </c>
      <c r="G238" s="8" t="str">
        <f t="shared" si="3"/>
        <v>CHANDLER KELVIN</v>
      </c>
    </row>
    <row r="239" spans="1:7" x14ac:dyDescent="0.25">
      <c r="A239" s="8">
        <v>42843.03638888889</v>
      </c>
      <c r="B239" t="s">
        <v>424</v>
      </c>
      <c r="C239" t="s">
        <v>837</v>
      </c>
      <c r="D239" s="146">
        <v>2000000</v>
      </c>
      <c r="E239" t="s">
        <v>373</v>
      </c>
      <c r="F239" s="20" t="s">
        <v>193</v>
      </c>
      <c r="G239" s="8" t="str">
        <f t="shared" si="3"/>
        <v>STAMBAUGH JAMES</v>
      </c>
    </row>
    <row r="240" spans="1:7" x14ac:dyDescent="0.25">
      <c r="A240" s="8">
        <v>42843.048738425925</v>
      </c>
      <c r="B240" t="s">
        <v>501</v>
      </c>
      <c r="C240" t="s">
        <v>838</v>
      </c>
      <c r="D240" s="146">
        <v>2230000</v>
      </c>
      <c r="E240" t="s">
        <v>378</v>
      </c>
      <c r="F240" s="20" t="s">
        <v>196</v>
      </c>
      <c r="G240" s="8" t="str">
        <f t="shared" si="3"/>
        <v>SMITH MICHAEL</v>
      </c>
    </row>
    <row r="241" spans="1:7" x14ac:dyDescent="0.25">
      <c r="A241" s="8">
        <v>42843.049907407411</v>
      </c>
      <c r="B241" t="s">
        <v>372</v>
      </c>
      <c r="C241" t="s">
        <v>839</v>
      </c>
      <c r="D241" s="146">
        <v>1740000</v>
      </c>
      <c r="E241" t="s">
        <v>394</v>
      </c>
      <c r="F241" s="20" t="s">
        <v>395</v>
      </c>
      <c r="G241" s="8" t="str">
        <f t="shared" si="3"/>
        <v>STORY SAMANTHA</v>
      </c>
    </row>
    <row r="242" spans="1:7" x14ac:dyDescent="0.25">
      <c r="A242" s="8">
        <v>42843.067719907405</v>
      </c>
      <c r="B242" t="s">
        <v>456</v>
      </c>
      <c r="C242" t="s">
        <v>840</v>
      </c>
      <c r="D242" s="146">
        <v>2000000</v>
      </c>
      <c r="E242" t="s">
        <v>373</v>
      </c>
      <c r="F242" s="20" t="s">
        <v>193</v>
      </c>
      <c r="G242" s="8" t="str">
        <f t="shared" si="3"/>
        <v>STAMBAUGH JAMES</v>
      </c>
    </row>
    <row r="243" spans="1:7" x14ac:dyDescent="0.25">
      <c r="A243" s="8">
        <v>42843.090231481481</v>
      </c>
      <c r="B243" t="s">
        <v>371</v>
      </c>
      <c r="C243" t="s">
        <v>841</v>
      </c>
      <c r="D243" s="146">
        <v>1740000</v>
      </c>
      <c r="E243" t="s">
        <v>394</v>
      </c>
      <c r="F243" s="20" t="s">
        <v>395</v>
      </c>
      <c r="G243" s="8" t="str">
        <f t="shared" si="3"/>
        <v>STORY SAMANTHA</v>
      </c>
    </row>
    <row r="244" spans="1:7" x14ac:dyDescent="0.25">
      <c r="A244" s="8">
        <v>42843.090648148151</v>
      </c>
      <c r="B244" t="s">
        <v>497</v>
      </c>
      <c r="C244" t="s">
        <v>842</v>
      </c>
      <c r="D244" s="146">
        <v>2600000</v>
      </c>
      <c r="E244" t="s">
        <v>524</v>
      </c>
      <c r="F244" s="20" t="s">
        <v>525</v>
      </c>
      <c r="G244" s="8" t="str">
        <f t="shared" si="3"/>
        <v>DAVIDSON DAVID</v>
      </c>
    </row>
    <row r="245" spans="1:7" x14ac:dyDescent="0.25">
      <c r="A245" s="8">
        <v>42832.015138888892</v>
      </c>
      <c r="B245" t="s">
        <v>380</v>
      </c>
      <c r="C245" t="s">
        <v>457</v>
      </c>
      <c r="D245" s="146">
        <v>1810000</v>
      </c>
      <c r="E245" t="s">
        <v>393</v>
      </c>
      <c r="F245" s="20" t="s">
        <v>193</v>
      </c>
      <c r="G245" s="8" t="str">
        <f t="shared" si="3"/>
        <v>NEWELL JAMES</v>
      </c>
    </row>
    <row r="246" spans="1:7" x14ac:dyDescent="0.25">
      <c r="A246" s="8">
        <v>42832.028819444444</v>
      </c>
      <c r="B246" t="s">
        <v>419</v>
      </c>
      <c r="C246" t="s">
        <v>458</v>
      </c>
      <c r="D246" s="146">
        <v>1800000</v>
      </c>
      <c r="E246" t="s">
        <v>391</v>
      </c>
      <c r="F246" s="20" t="s">
        <v>392</v>
      </c>
      <c r="G246" s="8" t="str">
        <f t="shared" si="3"/>
        <v>CHANDLER KELVIN</v>
      </c>
    </row>
    <row r="247" spans="1:7" x14ac:dyDescent="0.25">
      <c r="A247" s="8">
        <v>42832.036076388889</v>
      </c>
      <c r="B247" t="s">
        <v>424</v>
      </c>
      <c r="C247" t="s">
        <v>459</v>
      </c>
      <c r="D247" s="146">
        <v>2480000</v>
      </c>
      <c r="E247" t="s">
        <v>448</v>
      </c>
      <c r="F247" s="20" t="s">
        <v>449</v>
      </c>
      <c r="G247" s="8" t="str">
        <f t="shared" si="3"/>
        <v>WHITED DUSTIN</v>
      </c>
    </row>
    <row r="248" spans="1:7" x14ac:dyDescent="0.25">
      <c r="A248" s="8">
        <v>42832.047430555554</v>
      </c>
      <c r="B248" t="s">
        <v>379</v>
      </c>
      <c r="C248" t="s">
        <v>460</v>
      </c>
      <c r="D248" s="146">
        <v>1810000</v>
      </c>
      <c r="E248" t="s">
        <v>393</v>
      </c>
      <c r="F248" s="20" t="s">
        <v>193</v>
      </c>
      <c r="G248" s="8" t="str">
        <f t="shared" si="3"/>
        <v>NEWELL JAMES</v>
      </c>
    </row>
    <row r="249" spans="1:7" x14ac:dyDescent="0.25">
      <c r="A249" s="8">
        <v>42832.057939814818</v>
      </c>
      <c r="B249" t="s">
        <v>418</v>
      </c>
      <c r="C249" t="s">
        <v>461</v>
      </c>
      <c r="D249" s="146">
        <v>2150000</v>
      </c>
      <c r="E249" t="s">
        <v>369</v>
      </c>
      <c r="F249" s="20" t="s">
        <v>370</v>
      </c>
      <c r="G249" s="8" t="str">
        <f t="shared" si="3"/>
        <v>SWANSON BRYCE</v>
      </c>
    </row>
    <row r="250" spans="1:7" x14ac:dyDescent="0.25">
      <c r="A250" s="8">
        <v>42832.068240740744</v>
      </c>
      <c r="B250" t="s">
        <v>456</v>
      </c>
      <c r="C250" t="s">
        <v>462</v>
      </c>
      <c r="D250" s="146">
        <v>2480000</v>
      </c>
      <c r="E250" t="s">
        <v>448</v>
      </c>
      <c r="F250" s="20" t="s">
        <v>449</v>
      </c>
      <c r="G250" s="8" t="str">
        <f t="shared" si="3"/>
        <v>WHITED DUSTIN</v>
      </c>
    </row>
    <row r="251" spans="1:7" x14ac:dyDescent="0.25">
      <c r="A251" s="8">
        <v>42832.090752314813</v>
      </c>
      <c r="B251" t="s">
        <v>421</v>
      </c>
      <c r="C251" t="s">
        <v>463</v>
      </c>
      <c r="D251" s="146">
        <v>2150000</v>
      </c>
      <c r="E251" t="s">
        <v>369</v>
      </c>
      <c r="F251" s="20" t="s">
        <v>370</v>
      </c>
      <c r="G251" s="8" t="str">
        <f t="shared" si="3"/>
        <v>SWANSON BRYCE</v>
      </c>
    </row>
    <row r="252" spans="1:7" x14ac:dyDescent="0.25">
      <c r="A252" s="8">
        <v>42829.913263888891</v>
      </c>
      <c r="B252" t="s">
        <v>405</v>
      </c>
      <c r="C252" t="s">
        <v>429</v>
      </c>
      <c r="D252" s="146">
        <v>1740000</v>
      </c>
      <c r="E252" t="s">
        <v>394</v>
      </c>
      <c r="F252" s="20" t="s">
        <v>395</v>
      </c>
      <c r="G252" s="8" t="str">
        <f t="shared" si="3"/>
        <v>STORY SAMANTHA</v>
      </c>
    </row>
    <row r="253" spans="1:7" x14ac:dyDescent="0.25">
      <c r="A253" s="8">
        <v>42829.916273148148</v>
      </c>
      <c r="B253" t="s">
        <v>421</v>
      </c>
      <c r="C253" t="s">
        <v>430</v>
      </c>
      <c r="D253" s="146">
        <v>2150000</v>
      </c>
      <c r="E253" t="s">
        <v>369</v>
      </c>
      <c r="F253" s="20" t="s">
        <v>370</v>
      </c>
      <c r="G253" s="8" t="str">
        <f t="shared" si="3"/>
        <v>SWANSON BRYCE</v>
      </c>
    </row>
    <row r="254" spans="1:7" x14ac:dyDescent="0.25">
      <c r="A254" s="8">
        <v>42829.916666666664</v>
      </c>
      <c r="B254" t="s">
        <v>376</v>
      </c>
      <c r="C254" t="s">
        <v>428</v>
      </c>
      <c r="D254" s="146">
        <v>2680000</v>
      </c>
      <c r="E254" t="s">
        <v>415</v>
      </c>
      <c r="F254" s="20" t="s">
        <v>416</v>
      </c>
      <c r="G254" s="8" t="str">
        <f t="shared" si="3"/>
        <v>DUNCAN SHEILA</v>
      </c>
    </row>
    <row r="255" spans="1:7" x14ac:dyDescent="0.25">
      <c r="A255" s="8">
        <v>42829.924108796295</v>
      </c>
      <c r="B255" t="s">
        <v>375</v>
      </c>
      <c r="C255" t="s">
        <v>431</v>
      </c>
      <c r="D255" s="146">
        <v>2970000</v>
      </c>
      <c r="E255" t="s">
        <v>422</v>
      </c>
      <c r="F255" s="20" t="s">
        <v>423</v>
      </c>
      <c r="G255" s="8" t="str">
        <f t="shared" si="3"/>
        <v>GUZMAN DANNY</v>
      </c>
    </row>
    <row r="256" spans="1:7" x14ac:dyDescent="0.25">
      <c r="A256" s="8">
        <v>42829.927233796298</v>
      </c>
      <c r="B256" t="s">
        <v>377</v>
      </c>
      <c r="C256" t="s">
        <v>426</v>
      </c>
      <c r="D256" s="146">
        <v>2680000</v>
      </c>
      <c r="E256" t="s">
        <v>415</v>
      </c>
      <c r="F256" s="20" t="s">
        <v>416</v>
      </c>
      <c r="G256" s="8" t="str">
        <f t="shared" si="3"/>
        <v>DUNCAN SHEILA</v>
      </c>
    </row>
    <row r="257" spans="1:7" x14ac:dyDescent="0.25">
      <c r="A257" s="8">
        <v>42829.932175925926</v>
      </c>
      <c r="B257" t="s">
        <v>420</v>
      </c>
      <c r="C257" t="s">
        <v>432</v>
      </c>
      <c r="D257" s="146">
        <v>1810000</v>
      </c>
      <c r="E257" t="s">
        <v>393</v>
      </c>
      <c r="F257" s="20" t="s">
        <v>193</v>
      </c>
      <c r="G257" s="8" t="str">
        <f t="shared" si="3"/>
        <v>NEWELL JAMES</v>
      </c>
    </row>
    <row r="258" spans="1:7" x14ac:dyDescent="0.25">
      <c r="A258" s="8">
        <v>42829.94327546296</v>
      </c>
      <c r="B258" t="s">
        <v>418</v>
      </c>
      <c r="C258" t="s">
        <v>433</v>
      </c>
      <c r="D258" s="146">
        <v>2150000</v>
      </c>
      <c r="E258" t="s">
        <v>369</v>
      </c>
      <c r="F258" s="20" t="s">
        <v>370</v>
      </c>
      <c r="G258" s="8" t="str">
        <f t="shared" si="3"/>
        <v>SWANSON BRYCE</v>
      </c>
    </row>
    <row r="259" spans="1:7" x14ac:dyDescent="0.25">
      <c r="A259" s="8">
        <v>42829.952060185184</v>
      </c>
      <c r="B259" t="s">
        <v>376</v>
      </c>
      <c r="C259" t="s">
        <v>428</v>
      </c>
      <c r="D259" s="146">
        <v>2680000</v>
      </c>
      <c r="E259" t="s">
        <v>415</v>
      </c>
      <c r="F259" s="20" t="s">
        <v>416</v>
      </c>
      <c r="G259" s="8" t="str">
        <f t="shared" ref="G259:G322" si="4">E259&amp;" "&amp;F259</f>
        <v>DUNCAN SHEILA</v>
      </c>
    </row>
    <row r="260" spans="1:7" x14ac:dyDescent="0.25">
      <c r="A260" s="8">
        <v>42829.953784722224</v>
      </c>
      <c r="B260" t="s">
        <v>409</v>
      </c>
      <c r="C260" t="s">
        <v>434</v>
      </c>
      <c r="D260" s="146">
        <v>1740000</v>
      </c>
      <c r="E260" t="s">
        <v>394</v>
      </c>
      <c r="F260" s="20" t="s">
        <v>395</v>
      </c>
      <c r="G260" s="8" t="str">
        <f t="shared" si="4"/>
        <v>STORY SAMANTHA</v>
      </c>
    </row>
    <row r="261" spans="1:7" x14ac:dyDescent="0.25">
      <c r="A261" s="8">
        <v>42829.958067129628</v>
      </c>
      <c r="B261" t="s">
        <v>397</v>
      </c>
      <c r="C261" t="s">
        <v>435</v>
      </c>
      <c r="D261" s="146">
        <v>1800000</v>
      </c>
      <c r="E261" t="s">
        <v>391</v>
      </c>
      <c r="F261" s="20" t="s">
        <v>392</v>
      </c>
      <c r="G261" s="8" t="str">
        <f t="shared" si="4"/>
        <v>CHANDLER KELVIN</v>
      </c>
    </row>
    <row r="262" spans="1:7" x14ac:dyDescent="0.25">
      <c r="A262" s="8">
        <v>42829.965127314812</v>
      </c>
      <c r="B262" t="s">
        <v>377</v>
      </c>
      <c r="C262" t="s">
        <v>426</v>
      </c>
      <c r="D262" s="146">
        <v>2680000</v>
      </c>
      <c r="E262" t="s">
        <v>415</v>
      </c>
      <c r="F262" s="20" t="s">
        <v>416</v>
      </c>
      <c r="G262" s="8" t="str">
        <f t="shared" si="4"/>
        <v>DUNCAN SHEILA</v>
      </c>
    </row>
    <row r="263" spans="1:7" x14ac:dyDescent="0.25">
      <c r="A263" s="8">
        <v>42829.965925925928</v>
      </c>
      <c r="B263" t="s">
        <v>410</v>
      </c>
      <c r="C263" t="s">
        <v>436</v>
      </c>
      <c r="D263" s="146">
        <v>2970000</v>
      </c>
      <c r="E263" t="s">
        <v>422</v>
      </c>
      <c r="F263" s="20" t="s">
        <v>423</v>
      </c>
      <c r="G263" s="8" t="str">
        <f t="shared" si="4"/>
        <v>GUZMAN DANNY</v>
      </c>
    </row>
    <row r="264" spans="1:7" x14ac:dyDescent="0.25">
      <c r="A264" s="8">
        <v>42829.967789351853</v>
      </c>
      <c r="B264" t="s">
        <v>377</v>
      </c>
      <c r="C264" t="s">
        <v>426</v>
      </c>
      <c r="D264" s="146">
        <v>2680000</v>
      </c>
      <c r="E264" t="s">
        <v>415</v>
      </c>
      <c r="F264" s="20" t="s">
        <v>416</v>
      </c>
      <c r="G264" s="8" t="str">
        <f t="shared" si="4"/>
        <v>DUNCAN SHEILA</v>
      </c>
    </row>
    <row r="265" spans="1:7" x14ac:dyDescent="0.25">
      <c r="A265" s="8">
        <v>42829.976087962961</v>
      </c>
      <c r="B265" t="s">
        <v>419</v>
      </c>
      <c r="C265" t="s">
        <v>425</v>
      </c>
      <c r="D265" s="146">
        <v>1810000</v>
      </c>
      <c r="E265" t="s">
        <v>393</v>
      </c>
      <c r="F265" s="20" t="s">
        <v>193</v>
      </c>
      <c r="G265" s="8" t="str">
        <f t="shared" si="4"/>
        <v>NEWELL JAMES</v>
      </c>
    </row>
    <row r="266" spans="1:7" x14ac:dyDescent="0.25">
      <c r="A266" s="8">
        <v>42829.978796296295</v>
      </c>
      <c r="B266" t="s">
        <v>376</v>
      </c>
      <c r="C266" t="s">
        <v>428</v>
      </c>
      <c r="D266" s="146">
        <v>2680000</v>
      </c>
      <c r="E266" t="s">
        <v>415</v>
      </c>
      <c r="F266" s="20" t="s">
        <v>416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377</v>
      </c>
      <c r="C267" t="s">
        <v>426</v>
      </c>
      <c r="D267" s="146">
        <v>2680000</v>
      </c>
      <c r="E267" t="s">
        <v>415</v>
      </c>
      <c r="F267" s="20" t="s">
        <v>416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405</v>
      </c>
      <c r="C268" t="s">
        <v>437</v>
      </c>
      <c r="D268" s="146">
        <v>1740000</v>
      </c>
      <c r="E268" t="s">
        <v>394</v>
      </c>
      <c r="F268" s="20" t="s">
        <v>395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398</v>
      </c>
      <c r="C269" t="s">
        <v>438</v>
      </c>
      <c r="D269" s="146">
        <v>1800000</v>
      </c>
      <c r="E269" t="s">
        <v>391</v>
      </c>
      <c r="F269" s="20" t="s">
        <v>392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376</v>
      </c>
      <c r="C270" t="s">
        <v>428</v>
      </c>
      <c r="D270" s="146">
        <v>2680000</v>
      </c>
      <c r="E270" t="s">
        <v>415</v>
      </c>
      <c r="F270" s="20" t="s">
        <v>416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377</v>
      </c>
      <c r="C271" t="s">
        <v>426</v>
      </c>
      <c r="D271" s="146">
        <v>2680000</v>
      </c>
      <c r="E271" t="s">
        <v>415</v>
      </c>
      <c r="F271" s="20" t="s">
        <v>416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375</v>
      </c>
      <c r="C272" t="s">
        <v>439</v>
      </c>
      <c r="D272" s="146">
        <v>2970000</v>
      </c>
      <c r="E272" t="s">
        <v>422</v>
      </c>
      <c r="F272" s="20" t="s">
        <v>423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376</v>
      </c>
      <c r="C273" t="s">
        <v>428</v>
      </c>
      <c r="D273" s="146">
        <v>2680000</v>
      </c>
      <c r="E273" t="s">
        <v>415</v>
      </c>
      <c r="F273" s="20" t="s">
        <v>416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377</v>
      </c>
      <c r="C274" t="s">
        <v>426</v>
      </c>
      <c r="D274" s="146">
        <v>2680000</v>
      </c>
      <c r="E274" t="s">
        <v>415</v>
      </c>
      <c r="F274" s="20" t="s">
        <v>416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420</v>
      </c>
      <c r="C275" t="s">
        <v>440</v>
      </c>
      <c r="D275" s="146">
        <v>1810000</v>
      </c>
      <c r="E275" t="s">
        <v>393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376</v>
      </c>
      <c r="C276" t="s">
        <v>428</v>
      </c>
      <c r="D276" s="146">
        <v>2680000</v>
      </c>
      <c r="E276" t="s">
        <v>415</v>
      </c>
      <c r="F276" s="20" t="s">
        <v>416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377</v>
      </c>
      <c r="C277" t="s">
        <v>426</v>
      </c>
      <c r="D277" s="146">
        <v>2680000</v>
      </c>
      <c r="E277" t="s">
        <v>415</v>
      </c>
      <c r="F277" s="20" t="s">
        <v>416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376</v>
      </c>
      <c r="C278" t="s">
        <v>428</v>
      </c>
      <c r="D278" s="146">
        <v>2680000</v>
      </c>
      <c r="E278" t="s">
        <v>415</v>
      </c>
      <c r="F278" s="20" t="s">
        <v>416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397</v>
      </c>
      <c r="C279" t="s">
        <v>441</v>
      </c>
      <c r="D279" s="146">
        <v>1800000</v>
      </c>
      <c r="E279" t="s">
        <v>391</v>
      </c>
      <c r="F279" s="20" t="s">
        <v>392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409</v>
      </c>
      <c r="C280" t="s">
        <v>442</v>
      </c>
      <c r="D280" s="146">
        <v>1740000</v>
      </c>
      <c r="E280" t="s">
        <v>394</v>
      </c>
      <c r="F280" s="20" t="s">
        <v>395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410</v>
      </c>
      <c r="C281" t="s">
        <v>443</v>
      </c>
      <c r="D281" s="146">
        <v>2970000</v>
      </c>
      <c r="E281" t="s">
        <v>422</v>
      </c>
      <c r="F281" s="20" t="s">
        <v>423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419</v>
      </c>
      <c r="C282" t="s">
        <v>444</v>
      </c>
      <c r="D282" s="146">
        <v>1810000</v>
      </c>
      <c r="E282" t="s">
        <v>393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405</v>
      </c>
      <c r="C283" t="s">
        <v>445</v>
      </c>
      <c r="D283" s="146">
        <v>1740000</v>
      </c>
      <c r="E283" t="s">
        <v>394</v>
      </c>
      <c r="F283" s="20" t="s">
        <v>395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377</v>
      </c>
      <c r="C284" t="s">
        <v>426</v>
      </c>
      <c r="D284" s="146">
        <v>2680000</v>
      </c>
      <c r="E284" t="s">
        <v>415</v>
      </c>
      <c r="F284" s="20" t="s">
        <v>416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377</v>
      </c>
      <c r="C285" t="s">
        <v>426</v>
      </c>
      <c r="D285" s="146">
        <v>2680000</v>
      </c>
      <c r="E285" t="s">
        <v>415</v>
      </c>
      <c r="F285" s="20" t="s">
        <v>416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375</v>
      </c>
      <c r="C286" t="s">
        <v>446</v>
      </c>
      <c r="D286" s="146">
        <v>2970000</v>
      </c>
      <c r="E286" t="s">
        <v>422</v>
      </c>
      <c r="F286" s="20" t="s">
        <v>423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383</v>
      </c>
      <c r="D287" s="146">
        <v>2230000</v>
      </c>
      <c r="E287" t="s">
        <v>378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374</v>
      </c>
      <c r="C288" t="s">
        <v>384</v>
      </c>
      <c r="D288" s="146">
        <v>2000000</v>
      </c>
      <c r="E288" t="s">
        <v>373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381</v>
      </c>
      <c r="C289" t="s">
        <v>385</v>
      </c>
      <c r="D289" s="146">
        <v>2150000</v>
      </c>
      <c r="E289" t="s">
        <v>369</v>
      </c>
      <c r="F289" s="20" t="s">
        <v>370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381</v>
      </c>
      <c r="C290" t="s">
        <v>385</v>
      </c>
      <c r="D290" s="146">
        <v>2150000</v>
      </c>
      <c r="E290" t="s">
        <v>369</v>
      </c>
      <c r="F290" s="20" t="s">
        <v>370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381</v>
      </c>
      <c r="C291" t="s">
        <v>385</v>
      </c>
      <c r="D291" s="146">
        <v>2150000</v>
      </c>
      <c r="E291" t="s">
        <v>369</v>
      </c>
      <c r="F291" s="20" t="s">
        <v>370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382</v>
      </c>
      <c r="C292" t="s">
        <v>386</v>
      </c>
      <c r="D292" s="146">
        <v>2230000</v>
      </c>
      <c r="E292" t="s">
        <v>378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371</v>
      </c>
      <c r="C293" t="s">
        <v>387</v>
      </c>
      <c r="D293" s="146">
        <v>2270000</v>
      </c>
      <c r="E293" t="s">
        <v>206</v>
      </c>
      <c r="F293" s="20" t="s">
        <v>207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371</v>
      </c>
      <c r="C294" t="s">
        <v>387</v>
      </c>
      <c r="D294" s="146">
        <v>2270000</v>
      </c>
      <c r="E294" t="s">
        <v>206</v>
      </c>
      <c r="F294" s="20" t="s">
        <v>207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371</v>
      </c>
      <c r="C295" t="s">
        <v>387</v>
      </c>
      <c r="D295" s="146">
        <v>2270000</v>
      </c>
      <c r="E295" t="s">
        <v>206</v>
      </c>
      <c r="F295" s="20" t="s">
        <v>207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377</v>
      </c>
      <c r="C296" t="s">
        <v>388</v>
      </c>
      <c r="D296" s="146">
        <v>2150000</v>
      </c>
      <c r="E296" t="s">
        <v>369</v>
      </c>
      <c r="F296" s="20" t="s">
        <v>370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372</v>
      </c>
      <c r="C297" t="s">
        <v>389</v>
      </c>
      <c r="D297" s="146">
        <v>2270000</v>
      </c>
      <c r="E297" t="s">
        <v>206</v>
      </c>
      <c r="F297" s="20" t="s">
        <v>207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163</v>
      </c>
      <c r="K1" s="186" t="s">
        <v>161</v>
      </c>
      <c r="L1" s="186" t="s">
        <v>156</v>
      </c>
      <c r="M1" s="186" t="s">
        <v>166</v>
      </c>
      <c r="N1" s="186" t="s">
        <v>160</v>
      </c>
      <c r="O1" s="186" t="s">
        <v>167</v>
      </c>
      <c r="P1" s="186" t="s">
        <v>164</v>
      </c>
      <c r="Q1"/>
      <c r="R1"/>
    </row>
    <row r="2" spans="1:18" x14ac:dyDescent="0.25">
      <c r="A2" s="164">
        <v>54.39</v>
      </c>
      <c r="B2" s="164">
        <v>0.21</v>
      </c>
      <c r="C2" s="164">
        <v>28.61</v>
      </c>
      <c r="D2" s="8">
        <v>42842</v>
      </c>
      <c r="E2" s="164">
        <v>0.37</v>
      </c>
      <c r="F2" s="164" t="s">
        <v>451</v>
      </c>
      <c r="G2" s="164">
        <v>338.62</v>
      </c>
      <c r="H2" s="164">
        <v>0</v>
      </c>
      <c r="I2" s="164">
        <v>0</v>
      </c>
      <c r="J2" s="164">
        <v>1015.76</v>
      </c>
      <c r="K2" s="164" t="s">
        <v>450</v>
      </c>
      <c r="L2" s="164">
        <v>54.39</v>
      </c>
      <c r="M2" s="164">
        <v>1492408800</v>
      </c>
      <c r="N2" s="164">
        <v>6.49</v>
      </c>
      <c r="O2" s="164">
        <v>301</v>
      </c>
      <c r="P2" s="164">
        <v>2.85</v>
      </c>
      <c r="Q2"/>
      <c r="R2"/>
    </row>
    <row r="3" spans="1:18" x14ac:dyDescent="0.25">
      <c r="A3" s="164">
        <v>52.79</v>
      </c>
      <c r="B3" s="164">
        <v>0.15</v>
      </c>
      <c r="C3" s="164">
        <v>24.33</v>
      </c>
      <c r="D3" s="8">
        <v>42842.041666666664</v>
      </c>
      <c r="E3" s="164">
        <v>0.33</v>
      </c>
      <c r="F3" s="164" t="s">
        <v>451</v>
      </c>
      <c r="G3" s="164">
        <v>337.88</v>
      </c>
      <c r="H3" s="164">
        <v>0</v>
      </c>
      <c r="I3" s="164">
        <v>0</v>
      </c>
      <c r="J3" s="164">
        <v>1016.36</v>
      </c>
      <c r="K3" s="164" t="s">
        <v>450</v>
      </c>
      <c r="L3" s="164">
        <v>52.79</v>
      </c>
      <c r="M3" s="164">
        <v>1492412400</v>
      </c>
      <c r="N3" s="164">
        <v>6.74</v>
      </c>
      <c r="O3" s="164">
        <v>275</v>
      </c>
      <c r="P3" s="164">
        <v>2.65</v>
      </c>
      <c r="Q3"/>
      <c r="R3"/>
    </row>
    <row r="4" spans="1:18" x14ac:dyDescent="0.25">
      <c r="A4" s="164">
        <v>50.78</v>
      </c>
      <c r="B4" s="164">
        <v>0.13</v>
      </c>
      <c r="C4" s="164">
        <v>21.95</v>
      </c>
      <c r="D4" s="8">
        <v>42842.083333333336</v>
      </c>
      <c r="E4" s="164">
        <v>0.32</v>
      </c>
      <c r="F4" s="164" t="s">
        <v>451</v>
      </c>
      <c r="G4" s="164">
        <v>337.14</v>
      </c>
      <c r="H4" s="164">
        <v>0</v>
      </c>
      <c r="I4" s="164">
        <v>0</v>
      </c>
      <c r="J4" s="164">
        <v>1016.96</v>
      </c>
      <c r="K4" s="164" t="s">
        <v>450</v>
      </c>
      <c r="L4" s="164">
        <v>50.78</v>
      </c>
      <c r="M4" s="164">
        <v>1492416000</v>
      </c>
      <c r="N4" s="164">
        <v>6.31</v>
      </c>
      <c r="O4" s="164">
        <v>286</v>
      </c>
      <c r="P4" s="164">
        <v>2.13</v>
      </c>
      <c r="Q4"/>
      <c r="R4"/>
    </row>
    <row r="5" spans="1:18" x14ac:dyDescent="0.25">
      <c r="A5" s="164">
        <v>49.43</v>
      </c>
      <c r="B5" s="164">
        <v>0.09</v>
      </c>
      <c r="C5" s="164">
        <v>22.72</v>
      </c>
      <c r="D5" s="8">
        <v>42842.125</v>
      </c>
      <c r="E5" s="164">
        <v>0.35</v>
      </c>
      <c r="F5" s="164" t="s">
        <v>451</v>
      </c>
      <c r="G5" s="164">
        <v>336.4</v>
      </c>
      <c r="H5" s="164">
        <v>0</v>
      </c>
      <c r="I5" s="164">
        <v>0</v>
      </c>
      <c r="J5" s="164">
        <v>1017.49</v>
      </c>
      <c r="K5" s="164" t="s">
        <v>450</v>
      </c>
      <c r="L5" s="164">
        <v>49.43</v>
      </c>
      <c r="M5" s="164">
        <v>1492419600</v>
      </c>
      <c r="N5" s="164">
        <v>6.22</v>
      </c>
      <c r="O5" s="164">
        <v>181</v>
      </c>
      <c r="P5" s="164">
        <v>0.5</v>
      </c>
      <c r="Q5"/>
      <c r="R5"/>
    </row>
    <row r="6" spans="1:18" x14ac:dyDescent="0.25">
      <c r="A6" s="164">
        <v>46.19</v>
      </c>
      <c r="B6" s="164">
        <v>0.13</v>
      </c>
      <c r="C6" s="164">
        <v>22.76</v>
      </c>
      <c r="D6" s="8">
        <v>42842.166666666664</v>
      </c>
      <c r="E6" s="164">
        <v>0.39</v>
      </c>
      <c r="F6" s="164" t="s">
        <v>451</v>
      </c>
      <c r="G6" s="164">
        <v>334.35</v>
      </c>
      <c r="H6" s="164">
        <v>0</v>
      </c>
      <c r="I6" s="164">
        <v>0</v>
      </c>
      <c r="J6" s="164">
        <v>1017.95</v>
      </c>
      <c r="K6" s="164" t="s">
        <v>450</v>
      </c>
      <c r="L6" s="164">
        <v>46.19</v>
      </c>
      <c r="M6" s="164">
        <v>1492423200</v>
      </c>
      <c r="N6" s="164">
        <v>10</v>
      </c>
      <c r="O6" s="164">
        <v>327</v>
      </c>
      <c r="P6" s="164">
        <v>2.09</v>
      </c>
      <c r="Q6"/>
      <c r="R6"/>
    </row>
    <row r="7" spans="1:18" x14ac:dyDescent="0.25">
      <c r="A7" s="164">
        <v>44</v>
      </c>
      <c r="B7" s="164">
        <v>0.22</v>
      </c>
      <c r="C7" s="164">
        <v>24.58</v>
      </c>
      <c r="D7" s="8">
        <v>42842.208333333336</v>
      </c>
      <c r="E7" s="164">
        <v>0.46</v>
      </c>
      <c r="F7" s="164" t="s">
        <v>451</v>
      </c>
      <c r="G7" s="164">
        <v>331.83</v>
      </c>
      <c r="H7" s="164">
        <v>0</v>
      </c>
      <c r="I7" s="164">
        <v>0</v>
      </c>
      <c r="J7" s="164">
        <v>1018.34</v>
      </c>
      <c r="K7" s="164" t="s">
        <v>450</v>
      </c>
      <c r="L7" s="164">
        <v>44</v>
      </c>
      <c r="M7" s="164">
        <v>1492426800</v>
      </c>
      <c r="N7" s="164">
        <v>7.04</v>
      </c>
      <c r="O7" s="164">
        <v>289</v>
      </c>
      <c r="P7" s="164">
        <v>1.71</v>
      </c>
      <c r="Q7"/>
      <c r="R7"/>
    </row>
    <row r="8" spans="1:18" x14ac:dyDescent="0.25">
      <c r="A8" s="164">
        <v>42.43</v>
      </c>
      <c r="B8" s="164">
        <v>0.27</v>
      </c>
      <c r="C8" s="164">
        <v>26.66</v>
      </c>
      <c r="D8" s="8">
        <v>42842.25</v>
      </c>
      <c r="E8" s="164">
        <v>0.53</v>
      </c>
      <c r="F8" s="164" t="s">
        <v>473</v>
      </c>
      <c r="G8" s="164">
        <v>330</v>
      </c>
      <c r="H8" s="164">
        <v>0</v>
      </c>
      <c r="I8" s="164">
        <v>0</v>
      </c>
      <c r="J8" s="164">
        <v>1018.34</v>
      </c>
      <c r="K8" s="164" t="s">
        <v>344</v>
      </c>
      <c r="L8" s="164">
        <v>42.43</v>
      </c>
      <c r="M8" s="164">
        <v>1492430400</v>
      </c>
      <c r="N8" s="164">
        <v>6.7</v>
      </c>
      <c r="O8" s="164">
        <v>273</v>
      </c>
      <c r="P8" s="164">
        <v>1.36</v>
      </c>
      <c r="Q8"/>
      <c r="R8"/>
    </row>
    <row r="9" spans="1:18" x14ac:dyDescent="0.25">
      <c r="A9" s="164">
        <v>42.6</v>
      </c>
      <c r="B9" s="164">
        <v>0.28000000000000003</v>
      </c>
      <c r="C9" s="164">
        <v>27.81</v>
      </c>
      <c r="D9" s="8">
        <v>42842.291666666664</v>
      </c>
      <c r="E9" s="164">
        <v>0.56000000000000005</v>
      </c>
      <c r="F9" s="164" t="s">
        <v>508</v>
      </c>
      <c r="G9" s="164">
        <v>329.5</v>
      </c>
      <c r="H9" s="164">
        <v>0</v>
      </c>
      <c r="I9" s="164">
        <v>0</v>
      </c>
      <c r="J9" s="164">
        <v>1017.62</v>
      </c>
      <c r="K9" s="164" t="s">
        <v>344</v>
      </c>
      <c r="L9" s="164">
        <v>42.6</v>
      </c>
      <c r="M9" s="164">
        <v>1492434000</v>
      </c>
      <c r="N9" s="164">
        <v>9.74</v>
      </c>
      <c r="O9" s="164">
        <v>162</v>
      </c>
      <c r="P9" s="164">
        <v>1.69</v>
      </c>
      <c r="Q9"/>
      <c r="R9"/>
    </row>
    <row r="10" spans="1:18" x14ac:dyDescent="0.25">
      <c r="A10" s="164">
        <v>48.47</v>
      </c>
      <c r="B10" s="164">
        <v>0.27</v>
      </c>
      <c r="C10" s="164">
        <v>30.05</v>
      </c>
      <c r="D10" s="8">
        <v>42842.333333333336</v>
      </c>
      <c r="E10" s="164">
        <v>0.49</v>
      </c>
      <c r="F10" s="164" t="s">
        <v>508</v>
      </c>
      <c r="G10" s="164">
        <v>329.68</v>
      </c>
      <c r="H10" s="164">
        <v>0</v>
      </c>
      <c r="I10" s="164">
        <v>0</v>
      </c>
      <c r="J10" s="164">
        <v>1016.43</v>
      </c>
      <c r="K10" s="164" t="s">
        <v>344</v>
      </c>
      <c r="L10" s="164">
        <v>48.47</v>
      </c>
      <c r="M10" s="164">
        <v>1492437600</v>
      </c>
      <c r="N10" s="164">
        <v>5.41</v>
      </c>
      <c r="O10" s="164">
        <v>197</v>
      </c>
      <c r="P10" s="164">
        <v>1.3</v>
      </c>
      <c r="Q10"/>
      <c r="R10"/>
    </row>
    <row r="11" spans="1:18" x14ac:dyDescent="0.25">
      <c r="A11" s="164">
        <v>54.07</v>
      </c>
      <c r="B11" s="164">
        <v>0.3</v>
      </c>
      <c r="C11" s="164">
        <v>31.73</v>
      </c>
      <c r="D11" s="8">
        <v>42842.375</v>
      </c>
      <c r="E11" s="164">
        <v>0.42</v>
      </c>
      <c r="F11" s="164" t="s">
        <v>508</v>
      </c>
      <c r="G11" s="164">
        <v>329.81</v>
      </c>
      <c r="H11" s="164">
        <v>0</v>
      </c>
      <c r="I11" s="164">
        <v>0</v>
      </c>
      <c r="J11" s="164">
        <v>1015.13</v>
      </c>
      <c r="K11" s="164" t="s">
        <v>344</v>
      </c>
      <c r="L11" s="164">
        <v>54.07</v>
      </c>
      <c r="M11" s="164">
        <v>1492441200</v>
      </c>
      <c r="N11" s="164">
        <v>5.21</v>
      </c>
      <c r="O11" s="164">
        <v>142</v>
      </c>
      <c r="P11" s="164">
        <v>2.16</v>
      </c>
      <c r="Q11"/>
      <c r="R11"/>
    </row>
    <row r="12" spans="1:18" x14ac:dyDescent="0.25">
      <c r="A12" s="164">
        <v>59.5</v>
      </c>
      <c r="B12" s="164">
        <v>0.37</v>
      </c>
      <c r="C12" s="164">
        <v>32.71</v>
      </c>
      <c r="D12" s="8">
        <v>42842.416666666664</v>
      </c>
      <c r="E12" s="164">
        <v>0.36</v>
      </c>
      <c r="F12" s="164" t="s">
        <v>508</v>
      </c>
      <c r="G12" s="164">
        <v>329.77</v>
      </c>
      <c r="H12" s="164">
        <v>0</v>
      </c>
      <c r="I12" s="164">
        <v>0</v>
      </c>
      <c r="J12" s="164">
        <v>1013.78</v>
      </c>
      <c r="K12" s="164" t="s">
        <v>344</v>
      </c>
      <c r="L12" s="164">
        <v>59.5</v>
      </c>
      <c r="M12" s="164">
        <v>1492444800</v>
      </c>
      <c r="N12" s="164">
        <v>10</v>
      </c>
      <c r="O12" s="164">
        <v>136</v>
      </c>
      <c r="P12" s="164">
        <v>2.9</v>
      </c>
      <c r="Q12"/>
      <c r="R12"/>
    </row>
    <row r="13" spans="1:18" x14ac:dyDescent="0.25">
      <c r="A13" s="164">
        <v>65.67</v>
      </c>
      <c r="B13" s="164">
        <v>0.46</v>
      </c>
      <c r="C13" s="164">
        <v>34.229999999999997</v>
      </c>
      <c r="D13" s="8">
        <v>42842.458333333336</v>
      </c>
      <c r="E13" s="164">
        <v>0.31</v>
      </c>
      <c r="F13" s="164" t="s">
        <v>508</v>
      </c>
      <c r="G13" s="164">
        <v>329.69</v>
      </c>
      <c r="H13" s="164">
        <v>0</v>
      </c>
      <c r="I13" s="164">
        <v>0</v>
      </c>
      <c r="J13" s="164">
        <v>1012.35</v>
      </c>
      <c r="K13" s="164" t="s">
        <v>344</v>
      </c>
      <c r="L13" s="164">
        <v>65.67</v>
      </c>
      <c r="M13" s="164">
        <v>1492448400</v>
      </c>
      <c r="N13" s="164">
        <v>5.19</v>
      </c>
      <c r="O13" s="164">
        <v>143</v>
      </c>
      <c r="P13" s="164">
        <v>2.0099999999999998</v>
      </c>
      <c r="Q13"/>
      <c r="R13"/>
    </row>
    <row r="14" spans="1:18" x14ac:dyDescent="0.25">
      <c r="A14" s="164">
        <v>70.19</v>
      </c>
      <c r="B14" s="164">
        <v>0.56000000000000005</v>
      </c>
      <c r="C14" s="164">
        <v>34.090000000000003</v>
      </c>
      <c r="D14" s="8">
        <v>42842.5</v>
      </c>
      <c r="E14" s="164">
        <v>0.26</v>
      </c>
      <c r="F14" s="164" t="s">
        <v>508</v>
      </c>
      <c r="G14" s="164">
        <v>329.16</v>
      </c>
      <c r="H14" s="164">
        <v>0</v>
      </c>
      <c r="I14" s="164">
        <v>0</v>
      </c>
      <c r="J14" s="164">
        <v>1011.09</v>
      </c>
      <c r="K14" s="164" t="s">
        <v>344</v>
      </c>
      <c r="L14" s="164">
        <v>70.19</v>
      </c>
      <c r="M14" s="164">
        <v>1492452000</v>
      </c>
      <c r="N14" s="164">
        <v>5.27</v>
      </c>
      <c r="O14" s="164">
        <v>144</v>
      </c>
      <c r="P14" s="164">
        <v>0.57999999999999996</v>
      </c>
      <c r="Q14"/>
      <c r="R14"/>
    </row>
    <row r="15" spans="1:18" x14ac:dyDescent="0.25">
      <c r="A15" s="164">
        <v>72.95</v>
      </c>
      <c r="B15" s="164">
        <v>0.61</v>
      </c>
      <c r="C15" s="164">
        <v>32.08</v>
      </c>
      <c r="D15" s="8">
        <v>42842.541666666664</v>
      </c>
      <c r="E15" s="164">
        <v>0.22</v>
      </c>
      <c r="F15" s="164" t="s">
        <v>508</v>
      </c>
      <c r="G15" s="164">
        <v>327.81</v>
      </c>
      <c r="H15" s="164">
        <v>0</v>
      </c>
      <c r="I15" s="164">
        <v>0</v>
      </c>
      <c r="J15" s="164">
        <v>1009.97</v>
      </c>
      <c r="K15" s="164" t="s">
        <v>843</v>
      </c>
      <c r="L15" s="164">
        <v>72.95</v>
      </c>
      <c r="M15" s="164">
        <v>1492455600</v>
      </c>
      <c r="N15" s="164">
        <v>5.31</v>
      </c>
      <c r="O15" s="164">
        <v>43</v>
      </c>
      <c r="P15" s="164">
        <v>1.58</v>
      </c>
      <c r="Q15"/>
      <c r="R15"/>
    </row>
    <row r="16" spans="1:18" x14ac:dyDescent="0.25">
      <c r="A16" s="164">
        <v>75.89</v>
      </c>
      <c r="B16" s="164">
        <v>0.62</v>
      </c>
      <c r="C16" s="164">
        <v>29.36</v>
      </c>
      <c r="D16" s="8">
        <v>42842.583333333336</v>
      </c>
      <c r="E16" s="164">
        <v>0.18</v>
      </c>
      <c r="F16" s="164" t="s">
        <v>508</v>
      </c>
      <c r="G16" s="164">
        <v>326.01</v>
      </c>
      <c r="H16" s="164">
        <v>0</v>
      </c>
      <c r="I16" s="164">
        <v>0</v>
      </c>
      <c r="J16" s="164">
        <v>1008.9</v>
      </c>
      <c r="K16" s="164" t="s">
        <v>843</v>
      </c>
      <c r="L16" s="164">
        <v>75.89</v>
      </c>
      <c r="M16" s="164">
        <v>1492459200</v>
      </c>
      <c r="N16" s="164">
        <v>5.28</v>
      </c>
      <c r="O16" s="164">
        <v>98</v>
      </c>
      <c r="P16" s="164">
        <v>1.38</v>
      </c>
      <c r="Q16"/>
      <c r="R16"/>
    </row>
    <row r="17" spans="1:18" x14ac:dyDescent="0.25">
      <c r="A17" s="164">
        <v>75.989999999999995</v>
      </c>
      <c r="B17" s="164">
        <v>0.6</v>
      </c>
      <c r="C17" s="164">
        <v>26.39</v>
      </c>
      <c r="D17" s="8">
        <v>42842.625</v>
      </c>
      <c r="E17" s="164">
        <v>0.16</v>
      </c>
      <c r="F17" s="164" t="s">
        <v>508</v>
      </c>
      <c r="G17" s="164">
        <v>324.52</v>
      </c>
      <c r="H17" s="164">
        <v>0</v>
      </c>
      <c r="I17" s="164">
        <v>0</v>
      </c>
      <c r="J17" s="164">
        <v>1007.96</v>
      </c>
      <c r="K17" s="164" t="s">
        <v>843</v>
      </c>
      <c r="L17" s="164">
        <v>75.989999999999995</v>
      </c>
      <c r="M17" s="164">
        <v>1492462800</v>
      </c>
      <c r="N17" s="164">
        <v>5.3</v>
      </c>
      <c r="O17" s="164">
        <v>257</v>
      </c>
      <c r="P17" s="164">
        <v>1.6</v>
      </c>
      <c r="Q17"/>
      <c r="R17"/>
    </row>
    <row r="18" spans="1:18" x14ac:dyDescent="0.25">
      <c r="A18" s="164">
        <v>75.5</v>
      </c>
      <c r="B18" s="164">
        <v>0.69</v>
      </c>
      <c r="C18" s="164">
        <v>24.25</v>
      </c>
      <c r="D18" s="8">
        <v>42842.666666666664</v>
      </c>
      <c r="E18" s="164">
        <v>0.15</v>
      </c>
      <c r="F18" s="164" t="s">
        <v>508</v>
      </c>
      <c r="G18" s="164">
        <v>323.97000000000003</v>
      </c>
      <c r="H18" s="164">
        <v>0</v>
      </c>
      <c r="I18" s="164">
        <v>0</v>
      </c>
      <c r="J18" s="164">
        <v>1007.16</v>
      </c>
      <c r="K18" s="164" t="s">
        <v>843</v>
      </c>
      <c r="L18" s="164">
        <v>75.5</v>
      </c>
      <c r="M18" s="164">
        <v>1492466400</v>
      </c>
      <c r="N18" s="164">
        <v>5.19</v>
      </c>
      <c r="O18" s="164">
        <v>253</v>
      </c>
      <c r="P18" s="164">
        <v>2.72</v>
      </c>
      <c r="Q18"/>
      <c r="R18"/>
    </row>
    <row r="19" spans="1:18" x14ac:dyDescent="0.25">
      <c r="A19" s="164">
        <v>76.36</v>
      </c>
      <c r="B19" s="164">
        <v>0.71</v>
      </c>
      <c r="C19" s="164">
        <v>23.06</v>
      </c>
      <c r="D19" s="8">
        <v>42842.708333333336</v>
      </c>
      <c r="E19" s="164">
        <v>0.14000000000000001</v>
      </c>
      <c r="F19" s="164" t="s">
        <v>508</v>
      </c>
      <c r="G19" s="164">
        <v>323.74</v>
      </c>
      <c r="H19" s="164">
        <v>0</v>
      </c>
      <c r="I19" s="164">
        <v>0</v>
      </c>
      <c r="J19" s="164">
        <v>1006.56</v>
      </c>
      <c r="K19" s="164" t="s">
        <v>843</v>
      </c>
      <c r="L19" s="164">
        <v>76.36</v>
      </c>
      <c r="M19" s="164">
        <v>1492470000</v>
      </c>
      <c r="N19" s="164">
        <v>5.26</v>
      </c>
      <c r="O19" s="164">
        <v>228</v>
      </c>
      <c r="P19" s="164">
        <v>3.73</v>
      </c>
      <c r="Q19"/>
      <c r="R19"/>
    </row>
    <row r="20" spans="1:18" x14ac:dyDescent="0.25">
      <c r="A20" s="164">
        <v>74.680000000000007</v>
      </c>
      <c r="B20" s="164">
        <v>0.7</v>
      </c>
      <c r="C20" s="164">
        <v>21.39</v>
      </c>
      <c r="D20" s="8">
        <v>42842.75</v>
      </c>
      <c r="E20" s="164">
        <v>0.13</v>
      </c>
      <c r="F20" s="164" t="s">
        <v>508</v>
      </c>
      <c r="G20" s="164">
        <v>322.67</v>
      </c>
      <c r="H20" s="164">
        <v>0</v>
      </c>
      <c r="I20" s="164">
        <v>0</v>
      </c>
      <c r="J20" s="164">
        <v>1006.35</v>
      </c>
      <c r="K20" s="164" t="s">
        <v>843</v>
      </c>
      <c r="L20" s="164">
        <v>74.680000000000007</v>
      </c>
      <c r="M20" s="164">
        <v>1492473600</v>
      </c>
      <c r="N20" s="164">
        <v>5.48</v>
      </c>
      <c r="O20" s="164">
        <v>244</v>
      </c>
      <c r="P20" s="164">
        <v>4.08</v>
      </c>
      <c r="Q20"/>
      <c r="R20"/>
    </row>
    <row r="21" spans="1:18" x14ac:dyDescent="0.25">
      <c r="A21" s="164">
        <v>71.44</v>
      </c>
      <c r="B21" s="164">
        <v>0.57999999999999996</v>
      </c>
      <c r="C21" s="164">
        <v>20</v>
      </c>
      <c r="D21" s="8">
        <v>42842.791666666664</v>
      </c>
      <c r="E21" s="164">
        <v>0.14000000000000001</v>
      </c>
      <c r="F21" s="164" t="s">
        <v>508</v>
      </c>
      <c r="G21" s="164">
        <v>320.05</v>
      </c>
      <c r="H21" s="164">
        <v>0</v>
      </c>
      <c r="I21" s="164">
        <v>0</v>
      </c>
      <c r="J21" s="164">
        <v>1006.42</v>
      </c>
      <c r="K21" s="164" t="s">
        <v>344</v>
      </c>
      <c r="L21" s="164">
        <v>71.44</v>
      </c>
      <c r="M21" s="164">
        <v>1492477200</v>
      </c>
      <c r="N21" s="164">
        <v>6.11</v>
      </c>
      <c r="O21" s="164">
        <v>260</v>
      </c>
      <c r="P21" s="164">
        <v>4.87</v>
      </c>
      <c r="Q21"/>
      <c r="R21"/>
    </row>
    <row r="22" spans="1:18" x14ac:dyDescent="0.25">
      <c r="A22" s="164">
        <v>68.31</v>
      </c>
      <c r="B22" s="164">
        <v>0.38</v>
      </c>
      <c r="C22" s="164">
        <v>21.21</v>
      </c>
      <c r="D22" s="8">
        <v>42842.833333333336</v>
      </c>
      <c r="E22" s="164">
        <v>0.17</v>
      </c>
      <c r="F22" s="164" t="s">
        <v>473</v>
      </c>
      <c r="G22" s="164">
        <v>316.58999999999997</v>
      </c>
      <c r="H22" s="164">
        <v>0</v>
      </c>
      <c r="I22" s="164">
        <v>0</v>
      </c>
      <c r="J22" s="164">
        <v>1007.19</v>
      </c>
      <c r="K22" s="164" t="s">
        <v>344</v>
      </c>
      <c r="L22" s="164">
        <v>68.31</v>
      </c>
      <c r="M22" s="164">
        <v>1492480800</v>
      </c>
      <c r="N22" s="164">
        <v>6.7</v>
      </c>
      <c r="O22" s="164">
        <v>253</v>
      </c>
      <c r="P22" s="164">
        <v>4.76</v>
      </c>
      <c r="Q22"/>
      <c r="R22"/>
    </row>
    <row r="23" spans="1:18" x14ac:dyDescent="0.25">
      <c r="A23" s="164">
        <v>65.28</v>
      </c>
      <c r="B23" s="164">
        <v>0.24</v>
      </c>
      <c r="C23" s="164">
        <v>22.48</v>
      </c>
      <c r="D23" s="8">
        <v>42842.875</v>
      </c>
      <c r="E23" s="164">
        <v>0.19</v>
      </c>
      <c r="F23" s="164" t="s">
        <v>451</v>
      </c>
      <c r="G23" s="164">
        <v>313.22000000000003</v>
      </c>
      <c r="H23" s="164">
        <v>0</v>
      </c>
      <c r="I23" s="164">
        <v>0</v>
      </c>
      <c r="J23" s="164">
        <v>1008.09</v>
      </c>
      <c r="K23" s="164" t="s">
        <v>450</v>
      </c>
      <c r="L23" s="164">
        <v>65.28</v>
      </c>
      <c r="M23" s="164">
        <v>1492484400</v>
      </c>
      <c r="N23" s="164">
        <v>7.88</v>
      </c>
      <c r="O23" s="164">
        <v>257</v>
      </c>
      <c r="P23" s="164">
        <v>4.49</v>
      </c>
      <c r="Q23"/>
      <c r="R23"/>
    </row>
    <row r="24" spans="1:18" x14ac:dyDescent="0.25">
      <c r="A24" s="164">
        <v>63.1</v>
      </c>
      <c r="B24" s="164">
        <v>0.22</v>
      </c>
      <c r="C24" s="164">
        <v>24.34</v>
      </c>
      <c r="D24" s="8">
        <v>42842.916666666664</v>
      </c>
      <c r="E24" s="164">
        <v>0.23</v>
      </c>
      <c r="F24" s="164" t="s">
        <v>451</v>
      </c>
      <c r="G24" s="164">
        <v>310.22000000000003</v>
      </c>
      <c r="H24" s="164">
        <v>0</v>
      </c>
      <c r="I24" s="164">
        <v>0</v>
      </c>
      <c r="J24" s="164">
        <v>1008.71</v>
      </c>
      <c r="K24" s="164" t="s">
        <v>450</v>
      </c>
      <c r="L24" s="164">
        <v>63.1</v>
      </c>
      <c r="M24" s="164">
        <v>1492488000</v>
      </c>
      <c r="N24" s="164">
        <v>6.75</v>
      </c>
      <c r="O24" s="164">
        <v>251</v>
      </c>
      <c r="P24" s="164">
        <v>3.99</v>
      </c>
      <c r="Q24"/>
      <c r="R24"/>
    </row>
    <row r="25" spans="1:18" x14ac:dyDescent="0.25">
      <c r="A25" s="164">
        <v>60.3</v>
      </c>
      <c r="B25" s="164">
        <v>0.27</v>
      </c>
      <c r="C25" s="164">
        <v>24.67</v>
      </c>
      <c r="D25" s="8">
        <v>42842.958333333336</v>
      </c>
      <c r="E25" s="164">
        <v>0.25</v>
      </c>
      <c r="F25" s="164" t="s">
        <v>473</v>
      </c>
      <c r="G25" s="164">
        <v>307.31</v>
      </c>
      <c r="H25" s="164">
        <v>0</v>
      </c>
      <c r="I25" s="164">
        <v>0</v>
      </c>
      <c r="J25" s="164">
        <v>1009.24</v>
      </c>
      <c r="K25" s="164" t="s">
        <v>344</v>
      </c>
      <c r="L25" s="164">
        <v>60.3</v>
      </c>
      <c r="M25" s="164">
        <v>1492491600</v>
      </c>
      <c r="N25" s="164">
        <v>6.4</v>
      </c>
      <c r="O25" s="164">
        <v>243</v>
      </c>
      <c r="P25" s="164">
        <v>3.53</v>
      </c>
      <c r="Q25"/>
      <c r="R25"/>
    </row>
    <row r="26" spans="1:18" x14ac:dyDescent="0.25">
      <c r="A26" s="164">
        <v>56.34</v>
      </c>
      <c r="B26" s="164">
        <v>0.14000000000000001</v>
      </c>
      <c r="C26" s="164">
        <v>23.94</v>
      </c>
      <c r="D26" s="8">
        <v>42843</v>
      </c>
      <c r="E26" s="164">
        <v>0.28000000000000003</v>
      </c>
      <c r="F26" s="164" t="s">
        <v>451</v>
      </c>
      <c r="G26" s="164">
        <v>304.62</v>
      </c>
      <c r="H26" s="164">
        <v>0</v>
      </c>
      <c r="I26" s="164">
        <v>0</v>
      </c>
      <c r="J26" s="164">
        <v>1009.88</v>
      </c>
      <c r="K26" s="164" t="s">
        <v>450</v>
      </c>
      <c r="L26" s="164">
        <v>56.34</v>
      </c>
      <c r="M26" s="164">
        <v>1492495200</v>
      </c>
      <c r="N26" s="164">
        <v>6.62</v>
      </c>
      <c r="O26" s="164">
        <v>234</v>
      </c>
      <c r="P26" s="164">
        <v>3.12</v>
      </c>
      <c r="Q26"/>
      <c r="R26"/>
    </row>
    <row r="27" spans="1:18" x14ac:dyDescent="0.25">
      <c r="A27" s="164">
        <v>54.03</v>
      </c>
      <c r="B27" s="164">
        <v>0.15</v>
      </c>
      <c r="C27" s="164">
        <v>23.86</v>
      </c>
      <c r="D27" s="8">
        <v>42843.041666666664</v>
      </c>
      <c r="E27" s="164">
        <v>0.31</v>
      </c>
      <c r="F27" s="164" t="s">
        <v>451</v>
      </c>
      <c r="G27" s="164">
        <v>302.44</v>
      </c>
      <c r="H27" s="164">
        <v>0</v>
      </c>
      <c r="I27" s="164">
        <v>0</v>
      </c>
      <c r="J27" s="164">
        <v>1010.88</v>
      </c>
      <c r="K27" s="164" t="s">
        <v>450</v>
      </c>
      <c r="L27" s="164">
        <v>54.03</v>
      </c>
      <c r="M27" s="164">
        <v>1492498800</v>
      </c>
      <c r="N27" s="164">
        <v>6.88</v>
      </c>
      <c r="O27" s="164">
        <v>229</v>
      </c>
      <c r="P27" s="164">
        <v>3.05</v>
      </c>
      <c r="Q27"/>
      <c r="R27"/>
    </row>
    <row r="28" spans="1:18" x14ac:dyDescent="0.25">
      <c r="A28" s="164">
        <v>52.89</v>
      </c>
      <c r="B28" s="164">
        <v>0.16</v>
      </c>
      <c r="C28" s="164">
        <v>26.64</v>
      </c>
      <c r="D28" s="8">
        <v>42843.083333333336</v>
      </c>
      <c r="E28" s="164">
        <v>0.36</v>
      </c>
      <c r="F28" s="164" t="s">
        <v>451</v>
      </c>
      <c r="G28" s="164">
        <v>300.26</v>
      </c>
      <c r="H28" s="164">
        <v>0</v>
      </c>
      <c r="I28" s="164">
        <v>0</v>
      </c>
      <c r="J28" s="164">
        <v>1011.79</v>
      </c>
      <c r="K28" s="164" t="s">
        <v>450</v>
      </c>
      <c r="L28" s="164">
        <v>52.89</v>
      </c>
      <c r="M28" s="164">
        <v>1492502400</v>
      </c>
      <c r="N28" s="164">
        <v>7.02</v>
      </c>
      <c r="O28" s="164">
        <v>179</v>
      </c>
      <c r="P28" s="164">
        <v>1.39</v>
      </c>
      <c r="Q28"/>
      <c r="R28"/>
    </row>
    <row r="29" spans="1:18" x14ac:dyDescent="0.25">
      <c r="A29" s="164">
        <v>53.02</v>
      </c>
      <c r="B29" s="164">
        <v>0.3</v>
      </c>
      <c r="C29" s="164">
        <v>27.41</v>
      </c>
      <c r="D29" s="8">
        <v>42843.125</v>
      </c>
      <c r="E29" s="164">
        <v>0.37</v>
      </c>
      <c r="F29" s="164" t="s">
        <v>473</v>
      </c>
      <c r="G29" s="164">
        <v>298.07</v>
      </c>
      <c r="H29" s="164">
        <v>0</v>
      </c>
      <c r="I29" s="164">
        <v>0</v>
      </c>
      <c r="J29" s="164">
        <v>1012.72</v>
      </c>
      <c r="K29" s="164" t="s">
        <v>344</v>
      </c>
      <c r="L29" s="164">
        <v>53.02</v>
      </c>
      <c r="M29" s="164">
        <v>1492506000</v>
      </c>
      <c r="N29" s="164">
        <v>5.32</v>
      </c>
      <c r="O29" s="164">
        <v>356</v>
      </c>
      <c r="P29" s="164">
        <v>0.41</v>
      </c>
      <c r="Q29"/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187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7"/>
  <sheetViews>
    <sheetView workbookViewId="0">
      <selection activeCell="C18" sqref="C18:C32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353</v>
      </c>
      <c r="U1" s="215"/>
      <c r="V1" s="215"/>
      <c r="W1" s="215"/>
      <c r="X1" s="215"/>
    </row>
    <row r="2" spans="1:24" ht="15.75" thickBot="1" x14ac:dyDescent="0.3">
      <c r="A2" s="12">
        <v>42842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354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366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367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368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188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1027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1028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1029</v>
      </c>
      <c r="J20" s="148" t="s">
        <v>87</v>
      </c>
      <c r="M20" s="164" t="s">
        <v>345</v>
      </c>
      <c r="N20" s="164" t="s">
        <v>345</v>
      </c>
      <c r="T20" s="193"/>
      <c r="U20" s="193"/>
      <c r="V20" s="193"/>
      <c r="W20" s="193"/>
      <c r="X20" s="193"/>
    </row>
    <row r="21" spans="3:24" x14ac:dyDescent="0.25">
      <c r="C21" t="s">
        <v>1030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1031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1032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1033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1034</v>
      </c>
      <c r="J25" s="148" t="s">
        <v>150</v>
      </c>
      <c r="M25" s="164" t="b">
        <v>1</v>
      </c>
    </row>
    <row r="26" spans="3:24" x14ac:dyDescent="0.25">
      <c r="C26" t="s">
        <v>1035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C:\Users\stu\Documents\GitHub\eaglep3-reporting\EC\2017-04-17-refined-times.txt</v>
      </c>
    </row>
    <row r="27" spans="3:24" x14ac:dyDescent="0.25">
      <c r="C27" t="s">
        <v>1036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C:\Users\stu\Documents\GitHub\eaglep3-reporting\EC\2017-04-17-Enforcements.txt</v>
      </c>
    </row>
    <row r="28" spans="3:24" x14ac:dyDescent="0.25">
      <c r="C28" t="s">
        <v>1037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C:\Users\stu\Documents\GitHub\eaglep3-reporting\EC\2017-04-17-Runs-refined.txt</v>
      </c>
    </row>
    <row r="29" spans="3:24" x14ac:dyDescent="0.25">
      <c r="C29" t="s">
        <v>1038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C:\Users\stu\Documents\GitHub\eaglep3-reporting\EC\2017-04-17-Trips.txt</v>
      </c>
    </row>
    <row r="30" spans="3:24" x14ac:dyDescent="0.25">
      <c r="C30" t="s">
        <v>1039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C:\Users\stu\Documents\GitHub\eaglep3-reporting\EC\2017-04-17-Weather.txt</v>
      </c>
    </row>
    <row r="31" spans="3:24" x14ac:dyDescent="0.25">
      <c r="C31" t="s">
        <v>1040</v>
      </c>
      <c r="J31" s="148" t="s">
        <v>201</v>
      </c>
      <c r="M31" s="164" t="s">
        <v>202</v>
      </c>
    </row>
    <row r="32" spans="3:24" x14ac:dyDescent="0.25">
      <c r="C32" t="s">
        <v>1041</v>
      </c>
    </row>
    <row r="33" spans="3:3" x14ac:dyDescent="0.25">
      <c r="C33" t="s">
        <v>1042</v>
      </c>
    </row>
    <row r="34" spans="3:3" x14ac:dyDescent="0.25">
      <c r="C34" t="s">
        <v>1043</v>
      </c>
    </row>
    <row r="35" spans="3:3" x14ac:dyDescent="0.25">
      <c r="C35" t="s">
        <v>1044</v>
      </c>
    </row>
    <row r="36" spans="3:3" x14ac:dyDescent="0.25">
      <c r="C36" t="s">
        <v>1045</v>
      </c>
    </row>
    <row r="37" spans="3:3" x14ac:dyDescent="0.25">
      <c r="C37" t="s">
        <v>1046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403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404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189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214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215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216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217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218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219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220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221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222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223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224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225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226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227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228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229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230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231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232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233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234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235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236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237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238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239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240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241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242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243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244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245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246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247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248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249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250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251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252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253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254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255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256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257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258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259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260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261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262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263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264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265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266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267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268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269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270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271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272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273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274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275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276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277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278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279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280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281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282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283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284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285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286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287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288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289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290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291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292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293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294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295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296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297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298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299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300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301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302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303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304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305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306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307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308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309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310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311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312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313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314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315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316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317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318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319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320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321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322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323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324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325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326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327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328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329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330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331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332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333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334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335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336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337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338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339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340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341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342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343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2017-04-19T14:37:49Z</dcterms:modified>
</cp:coreProperties>
</file>